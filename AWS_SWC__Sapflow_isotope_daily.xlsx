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E:\liuqin_scientific_research\2-publications\papers_preparing\0_plant_water_sources\the effect of soil water dynamics on transpiration in a karst region\manuscript\投稿WRR\数据上传至github\"/>
    </mc:Choice>
  </mc:AlternateContent>
  <xr:revisionPtr revIDLastSave="0" documentId="13_ncr:1_{286AB6A7-7AAE-42C3-8C4A-93066FB0FFE4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isotopes" sheetId="6" r:id="rId1"/>
    <sheet name="sapflow_daily_from baseliner" sheetId="1" r:id="rId2"/>
    <sheet name="AWS_SWC_sapflow (original)" sheetId="3" r:id="rId3"/>
    <sheet name="data for NNs (after filtering)" sheetId="4" r:id="rId4"/>
  </sheets>
  <externalReferences>
    <externalReference r:id="rId5"/>
  </externalReferences>
  <definedNames>
    <definedName name="_xlnm._FilterDatabase" localSheetId="2" hidden="1">'AWS_SWC_sapflow (original)'!$A$4:$Y$804</definedName>
    <definedName name="_xlnm._FilterDatabase" localSheetId="3" hidden="1">'data for NNs (after filtering)'!$A$7:$AD$7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W116" i="6" l="1"/>
  <c r="AV116" i="6"/>
  <c r="AU116" i="6"/>
  <c r="AT116" i="6"/>
  <c r="AS116" i="6"/>
  <c r="AR116" i="6"/>
  <c r="V116" i="6"/>
  <c r="U116" i="6"/>
  <c r="P116" i="6"/>
  <c r="O116" i="6"/>
  <c r="I116" i="6"/>
  <c r="G116" i="6"/>
  <c r="AW115" i="6"/>
  <c r="AV115" i="6"/>
  <c r="AU115" i="6"/>
  <c r="AT115" i="6"/>
  <c r="AS115" i="6"/>
  <c r="AR115" i="6"/>
  <c r="V115" i="6"/>
  <c r="U115" i="6"/>
  <c r="P115" i="6"/>
  <c r="O115" i="6"/>
  <c r="I115" i="6"/>
  <c r="G115" i="6"/>
  <c r="AW114" i="6"/>
  <c r="AV114" i="6"/>
  <c r="AU114" i="6"/>
  <c r="AT114" i="6"/>
  <c r="AS114" i="6"/>
  <c r="AR114" i="6"/>
  <c r="V114" i="6"/>
  <c r="U114" i="6"/>
  <c r="P114" i="6"/>
  <c r="O114" i="6"/>
  <c r="I114" i="6"/>
  <c r="G114" i="6"/>
  <c r="AQ113" i="6"/>
  <c r="AP113" i="6"/>
  <c r="AK113" i="6"/>
  <c r="AJ113" i="6"/>
  <c r="AI113" i="6"/>
  <c r="AH113" i="6"/>
  <c r="Y113" i="6"/>
  <c r="X113" i="6"/>
  <c r="W113" i="6"/>
  <c r="R113" i="6"/>
  <c r="Q113" i="6"/>
  <c r="K113" i="6"/>
  <c r="Y112" i="6"/>
  <c r="F106" i="6"/>
  <c r="AQ105" i="6"/>
  <c r="AP105" i="6"/>
  <c r="AK105" i="6"/>
  <c r="AJ105" i="6"/>
  <c r="AI105" i="6"/>
  <c r="AH105" i="6"/>
  <c r="X105" i="6"/>
  <c r="W105" i="6"/>
  <c r="R105" i="6"/>
  <c r="Q105" i="6"/>
  <c r="K105" i="6"/>
  <c r="Y100" i="6"/>
  <c r="Y99" i="6"/>
  <c r="AQ94" i="6"/>
  <c r="AP94" i="6"/>
  <c r="AK94" i="6"/>
  <c r="AJ94" i="6"/>
  <c r="AI94" i="6"/>
  <c r="AH94" i="6"/>
  <c r="X94" i="6"/>
  <c r="W94" i="6"/>
  <c r="R94" i="6"/>
  <c r="Q94" i="6"/>
  <c r="K94" i="6"/>
  <c r="AQ88" i="6"/>
  <c r="AP88" i="6"/>
  <c r="AK88" i="6"/>
  <c r="AJ88" i="6"/>
  <c r="AI88" i="6"/>
  <c r="AH88" i="6"/>
  <c r="X88" i="6"/>
  <c r="W88" i="6"/>
  <c r="R88" i="6"/>
  <c r="Q88" i="6"/>
  <c r="K88" i="6"/>
  <c r="F85" i="6"/>
  <c r="F84" i="6"/>
  <c r="F83" i="6"/>
  <c r="F82" i="6"/>
  <c r="AQ81" i="6"/>
  <c r="AP81" i="6"/>
  <c r="AK81" i="6"/>
  <c r="AJ81" i="6"/>
  <c r="AI81" i="6"/>
  <c r="AH81" i="6"/>
  <c r="X81" i="6"/>
  <c r="W81" i="6"/>
  <c r="R81" i="6"/>
  <c r="Q81" i="6"/>
  <c r="K81" i="6"/>
  <c r="F79" i="6"/>
  <c r="AQ72" i="6"/>
  <c r="AP72" i="6"/>
  <c r="AK72" i="6"/>
  <c r="AJ72" i="6"/>
  <c r="AI72" i="6"/>
  <c r="AH72" i="6"/>
  <c r="X72" i="6"/>
  <c r="W72" i="6"/>
  <c r="R72" i="6"/>
  <c r="Q72" i="6"/>
  <c r="K72" i="6"/>
  <c r="F72" i="6"/>
  <c r="F71" i="6"/>
  <c r="AQ64" i="6"/>
  <c r="AP64" i="6"/>
  <c r="AK64" i="6"/>
  <c r="AJ64" i="6"/>
  <c r="AI64" i="6"/>
  <c r="AH64" i="6"/>
  <c r="X64" i="6"/>
  <c r="W64" i="6"/>
  <c r="R64" i="6"/>
  <c r="Q64" i="6"/>
  <c r="K64" i="6"/>
  <c r="F59" i="6"/>
  <c r="AQ55" i="6"/>
  <c r="AP55" i="6"/>
  <c r="AK55" i="6"/>
  <c r="AJ55" i="6"/>
  <c r="AI55" i="6"/>
  <c r="AH55" i="6"/>
  <c r="X55" i="6"/>
  <c r="W55" i="6"/>
  <c r="R55" i="6"/>
  <c r="Q55" i="6"/>
  <c r="L55" i="6"/>
  <c r="K55" i="6"/>
  <c r="F53" i="6"/>
  <c r="F51" i="6"/>
  <c r="AQ48" i="6"/>
  <c r="AP48" i="6"/>
  <c r="AK48" i="6"/>
  <c r="AJ48" i="6"/>
  <c r="AI48" i="6"/>
  <c r="AH48" i="6"/>
  <c r="X48" i="6"/>
  <c r="W48" i="6"/>
  <c r="R48" i="6"/>
  <c r="Q48" i="6"/>
  <c r="K48" i="6"/>
  <c r="F46" i="6"/>
  <c r="F44" i="6"/>
  <c r="AQ41" i="6"/>
  <c r="AP41" i="6"/>
  <c r="AK41" i="6"/>
  <c r="AJ41" i="6"/>
  <c r="AI41" i="6"/>
  <c r="AH41" i="6"/>
  <c r="X41" i="6"/>
  <c r="W41" i="6"/>
  <c r="R41" i="6"/>
  <c r="Q41" i="6"/>
  <c r="K41" i="6"/>
  <c r="AQ34" i="6"/>
  <c r="AP34" i="6"/>
  <c r="AK34" i="6"/>
  <c r="AJ34" i="6"/>
  <c r="AI34" i="6"/>
  <c r="AH34" i="6"/>
  <c r="X34" i="6"/>
  <c r="W34" i="6"/>
  <c r="R34" i="6"/>
  <c r="Q34" i="6"/>
  <c r="L34" i="6"/>
  <c r="K34" i="6"/>
  <c r="F33" i="6"/>
  <c r="AQ28" i="6"/>
  <c r="AP28" i="6"/>
  <c r="AK28" i="6"/>
  <c r="AJ28" i="6"/>
  <c r="AI28" i="6"/>
  <c r="AH28" i="6"/>
  <c r="X28" i="6"/>
  <c r="W28" i="6"/>
  <c r="R28" i="6"/>
  <c r="Q28" i="6"/>
  <c r="L28" i="6"/>
  <c r="K28" i="6"/>
  <c r="F22" i="6"/>
  <c r="AQ20" i="6"/>
  <c r="AP20" i="6"/>
  <c r="AK20" i="6"/>
  <c r="AJ20" i="6"/>
  <c r="AI20" i="6"/>
  <c r="AH20" i="6"/>
  <c r="X20" i="6"/>
  <c r="W20" i="6"/>
  <c r="R20" i="6"/>
  <c r="Q20" i="6"/>
  <c r="L20" i="6"/>
  <c r="K20" i="6"/>
  <c r="A13" i="6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Q12" i="6"/>
  <c r="AP12" i="6"/>
  <c r="AK12" i="6"/>
  <c r="AJ12" i="6"/>
  <c r="AI12" i="6"/>
  <c r="AH12" i="6"/>
  <c r="X12" i="6"/>
  <c r="W12" i="6"/>
  <c r="R12" i="6"/>
  <c r="Q12" i="6"/>
  <c r="L12" i="6"/>
  <c r="K12" i="6"/>
  <c r="Y802" i="3"/>
  <c r="Y797" i="3"/>
  <c r="Y796" i="3"/>
  <c r="Y795" i="3"/>
  <c r="Y794" i="3"/>
  <c r="Y793" i="3"/>
  <c r="Y792" i="3"/>
  <c r="Y791" i="3"/>
  <c r="Y790" i="3"/>
  <c r="Y789" i="3"/>
  <c r="Y788" i="3"/>
  <c r="Y787" i="3"/>
  <c r="Y779" i="3"/>
  <c r="Y766" i="3"/>
  <c r="Y670" i="3"/>
  <c r="Y669" i="3"/>
  <c r="Y668" i="3"/>
  <c r="Y667" i="3"/>
  <c r="Y617" i="3"/>
  <c r="Y616" i="3"/>
  <c r="Y606" i="3"/>
  <c r="Y605" i="3"/>
  <c r="Y604" i="3"/>
  <c r="Y558" i="3"/>
  <c r="Y557" i="3"/>
  <c r="Y556" i="3"/>
  <c r="Y555" i="3"/>
  <c r="Y493" i="3"/>
  <c r="Y492" i="3"/>
  <c r="Y491" i="3"/>
  <c r="Y475" i="3"/>
  <c r="Y437" i="3"/>
  <c r="Y436" i="3"/>
  <c r="Y431" i="3"/>
  <c r="Y430" i="3"/>
  <c r="Y429" i="3"/>
  <c r="Y428" i="3"/>
  <c r="Y427" i="3"/>
  <c r="Y426" i="3"/>
  <c r="Y425" i="3"/>
  <c r="Y423" i="3"/>
  <c r="Y238" i="3"/>
  <c r="Y237" i="3"/>
  <c r="Y113" i="3"/>
  <c r="Y87" i="3"/>
  <c r="Z6" i="3"/>
  <c r="AA6" i="3"/>
  <c r="Z7" i="3"/>
  <c r="AA7" i="3"/>
  <c r="Z8" i="3"/>
  <c r="AA8" i="3"/>
  <c r="Z9" i="3"/>
  <c r="AA9" i="3"/>
  <c r="Z10" i="3"/>
  <c r="AA10" i="3"/>
  <c r="Z11" i="3"/>
  <c r="AA11" i="3"/>
  <c r="Z12" i="3"/>
  <c r="AA12" i="3"/>
  <c r="Z13" i="3"/>
  <c r="AA13" i="3"/>
  <c r="Z14" i="3"/>
  <c r="AA14" i="3"/>
  <c r="Z15" i="3"/>
  <c r="AA15" i="3"/>
  <c r="Z16" i="3"/>
  <c r="AA16" i="3"/>
  <c r="Z17" i="3"/>
  <c r="AA17" i="3"/>
  <c r="Z18" i="3"/>
  <c r="AA18" i="3"/>
  <c r="Z19" i="3"/>
  <c r="AA19" i="3"/>
  <c r="Z20" i="3"/>
  <c r="AA20" i="3"/>
  <c r="Z21" i="3"/>
  <c r="AA21" i="3"/>
  <c r="Z22" i="3"/>
  <c r="AA22" i="3"/>
  <c r="Z23" i="3"/>
  <c r="AA23" i="3"/>
  <c r="Z24" i="3"/>
  <c r="AA24" i="3"/>
  <c r="Z25" i="3"/>
  <c r="AA25" i="3"/>
  <c r="Z26" i="3"/>
  <c r="AA26" i="3"/>
  <c r="Z27" i="3"/>
  <c r="AA27" i="3"/>
  <c r="Z28" i="3"/>
  <c r="AA28" i="3"/>
  <c r="Z29" i="3"/>
  <c r="AA29" i="3"/>
  <c r="Z30" i="3"/>
  <c r="AA30" i="3"/>
  <c r="Z31" i="3"/>
  <c r="AA31" i="3"/>
  <c r="Z32" i="3"/>
  <c r="AA32" i="3"/>
  <c r="Z33" i="3"/>
  <c r="AA33" i="3"/>
  <c r="Z34" i="3"/>
  <c r="AA34" i="3"/>
  <c r="Z35" i="3"/>
  <c r="AA35" i="3"/>
  <c r="Z36" i="3"/>
  <c r="AA36" i="3"/>
  <c r="Z37" i="3"/>
  <c r="AA37" i="3"/>
  <c r="Z38" i="3"/>
  <c r="AA38" i="3"/>
  <c r="Z39" i="3"/>
  <c r="AA39" i="3"/>
  <c r="Z40" i="3"/>
  <c r="AA40" i="3"/>
  <c r="Z41" i="3"/>
  <c r="AA41" i="3"/>
  <c r="Z42" i="3"/>
  <c r="AA42" i="3"/>
  <c r="Z43" i="3"/>
  <c r="AA43" i="3"/>
  <c r="Z44" i="3"/>
  <c r="AA44" i="3"/>
  <c r="Z45" i="3"/>
  <c r="AA45" i="3"/>
  <c r="Z46" i="3"/>
  <c r="AA46" i="3"/>
  <c r="Z47" i="3"/>
  <c r="AA47" i="3"/>
  <c r="Z48" i="3"/>
  <c r="AA48" i="3"/>
  <c r="Z49" i="3"/>
  <c r="AA49" i="3"/>
  <c r="Z50" i="3"/>
  <c r="AA50" i="3"/>
  <c r="Z51" i="3"/>
  <c r="AA51" i="3"/>
  <c r="Z52" i="3"/>
  <c r="AA52" i="3"/>
  <c r="Z53" i="3"/>
  <c r="AA53" i="3"/>
  <c r="Z54" i="3"/>
  <c r="AA54" i="3"/>
  <c r="Z55" i="3"/>
  <c r="AA55" i="3"/>
  <c r="Z56" i="3"/>
  <c r="AA56" i="3"/>
  <c r="Z57" i="3"/>
  <c r="AA57" i="3"/>
  <c r="Z58" i="3"/>
  <c r="AA58" i="3"/>
  <c r="Z59" i="3"/>
  <c r="AA59" i="3"/>
  <c r="Z60" i="3"/>
  <c r="AA60" i="3"/>
  <c r="Z61" i="3"/>
  <c r="AA61" i="3"/>
  <c r="Z62" i="3"/>
  <c r="AA62" i="3"/>
  <c r="Z63" i="3"/>
  <c r="AA63" i="3"/>
  <c r="Z64" i="3"/>
  <c r="AA64" i="3"/>
  <c r="Z65" i="3"/>
  <c r="AA65" i="3"/>
  <c r="Z66" i="3"/>
  <c r="AA66" i="3"/>
  <c r="Z67" i="3"/>
  <c r="AA67" i="3"/>
  <c r="Z68" i="3"/>
  <c r="AA68" i="3"/>
  <c r="Z69" i="3"/>
  <c r="AA69" i="3"/>
  <c r="Z70" i="3"/>
  <c r="AA70" i="3"/>
  <c r="Z71" i="3"/>
  <c r="AA71" i="3"/>
  <c r="Z72" i="3"/>
  <c r="AA72" i="3"/>
  <c r="Z73" i="3"/>
  <c r="AA73" i="3"/>
  <c r="Z74" i="3"/>
  <c r="AA74" i="3"/>
  <c r="Z75" i="3"/>
  <c r="AA75" i="3"/>
  <c r="Z76" i="3"/>
  <c r="AA76" i="3"/>
  <c r="Z77" i="3"/>
  <c r="AA77" i="3"/>
  <c r="Z78" i="3"/>
  <c r="AA78" i="3"/>
  <c r="Z79" i="3"/>
  <c r="AA79" i="3"/>
  <c r="Z80" i="3"/>
  <c r="AA80" i="3"/>
  <c r="Z81" i="3"/>
  <c r="AA81" i="3"/>
  <c r="Z82" i="3"/>
  <c r="AA82" i="3"/>
  <c r="Z83" i="3"/>
  <c r="AA83" i="3"/>
  <c r="Z84" i="3"/>
  <c r="AA84" i="3"/>
  <c r="Z85" i="3"/>
  <c r="AA85" i="3"/>
  <c r="Z86" i="3"/>
  <c r="AA86" i="3"/>
  <c r="Z87" i="3"/>
  <c r="AA87" i="3"/>
  <c r="Z88" i="3"/>
  <c r="AA88" i="3"/>
  <c r="Z89" i="3"/>
  <c r="AA89" i="3"/>
  <c r="Z90" i="3"/>
  <c r="AA90" i="3"/>
  <c r="Z91" i="3"/>
  <c r="AA91" i="3"/>
  <c r="Z92" i="3"/>
  <c r="AA92" i="3"/>
  <c r="Z93" i="3"/>
  <c r="AA93" i="3"/>
  <c r="Z94" i="3"/>
  <c r="AA94" i="3"/>
  <c r="Z95" i="3"/>
  <c r="AA95" i="3"/>
  <c r="Z96" i="3"/>
  <c r="AA96" i="3"/>
  <c r="Z97" i="3"/>
  <c r="AA97" i="3"/>
  <c r="Z98" i="3"/>
  <c r="AA98" i="3"/>
  <c r="Z99" i="3"/>
  <c r="AA99" i="3"/>
  <c r="Z100" i="3"/>
  <c r="AA100" i="3"/>
  <c r="Z101" i="3"/>
  <c r="AA101" i="3"/>
  <c r="Z102" i="3"/>
  <c r="AA102" i="3"/>
  <c r="Z103" i="3"/>
  <c r="AA103" i="3"/>
  <c r="Z104" i="3"/>
  <c r="AA104" i="3"/>
  <c r="Z105" i="3"/>
  <c r="AA105" i="3"/>
  <c r="Z106" i="3"/>
  <c r="AA106" i="3"/>
  <c r="Z107" i="3"/>
  <c r="AA107" i="3"/>
  <c r="Z108" i="3"/>
  <c r="AA108" i="3"/>
  <c r="Z109" i="3"/>
  <c r="AA109" i="3"/>
  <c r="Z110" i="3"/>
  <c r="AA110" i="3"/>
  <c r="Z111" i="3"/>
  <c r="AA111" i="3"/>
  <c r="Z112" i="3"/>
  <c r="AA112" i="3"/>
  <c r="Z113" i="3"/>
  <c r="AA113" i="3"/>
  <c r="Z114" i="3"/>
  <c r="AA114" i="3"/>
  <c r="Z115" i="3"/>
  <c r="AA115" i="3"/>
  <c r="Z116" i="3"/>
  <c r="AA116" i="3"/>
  <c r="Z117" i="3"/>
  <c r="AA117" i="3"/>
  <c r="Z118" i="3"/>
  <c r="AA118" i="3"/>
  <c r="Z119" i="3"/>
  <c r="AA119" i="3"/>
  <c r="Z120" i="3"/>
  <c r="AA120" i="3"/>
  <c r="Z121" i="3"/>
  <c r="AA121" i="3"/>
  <c r="Z122" i="3"/>
  <c r="AA122" i="3"/>
  <c r="Z123" i="3"/>
  <c r="AA123" i="3"/>
  <c r="Z124" i="3"/>
  <c r="AA124" i="3"/>
  <c r="Z125" i="3"/>
  <c r="AA125" i="3"/>
  <c r="Z126" i="3"/>
  <c r="AA126" i="3"/>
  <c r="Z127" i="3"/>
  <c r="AA127" i="3"/>
  <c r="Z128" i="3"/>
  <c r="AA128" i="3"/>
  <c r="Z129" i="3"/>
  <c r="AA129" i="3"/>
  <c r="Z130" i="3"/>
  <c r="AA130" i="3"/>
  <c r="Z131" i="3"/>
  <c r="AA131" i="3"/>
  <c r="Z132" i="3"/>
  <c r="AA132" i="3"/>
  <c r="Z133" i="3"/>
  <c r="AA133" i="3"/>
  <c r="Z134" i="3"/>
  <c r="AA134" i="3"/>
  <c r="Z135" i="3"/>
  <c r="AA135" i="3"/>
  <c r="Z136" i="3"/>
  <c r="AA136" i="3"/>
  <c r="Z137" i="3"/>
  <c r="AA137" i="3"/>
  <c r="Z138" i="3"/>
  <c r="AA138" i="3"/>
  <c r="Z139" i="3"/>
  <c r="AA139" i="3"/>
  <c r="Z140" i="3"/>
  <c r="AA140" i="3"/>
  <c r="Z141" i="3"/>
  <c r="AA141" i="3"/>
  <c r="Z142" i="3"/>
  <c r="AA142" i="3"/>
  <c r="Z143" i="3"/>
  <c r="AA143" i="3"/>
  <c r="Z144" i="3"/>
  <c r="AA144" i="3"/>
  <c r="Z145" i="3"/>
  <c r="AA145" i="3"/>
  <c r="Z146" i="3"/>
  <c r="AA146" i="3"/>
  <c r="Z147" i="3"/>
  <c r="AA147" i="3"/>
  <c r="Z148" i="3"/>
  <c r="AA148" i="3"/>
  <c r="Z149" i="3"/>
  <c r="AA149" i="3"/>
  <c r="Z150" i="3"/>
  <c r="AA150" i="3"/>
  <c r="Z151" i="3"/>
  <c r="AA151" i="3"/>
  <c r="Z152" i="3"/>
  <c r="AA152" i="3"/>
  <c r="Z153" i="3"/>
  <c r="AA153" i="3"/>
  <c r="Z154" i="3"/>
  <c r="AA154" i="3"/>
  <c r="Z155" i="3"/>
  <c r="AA155" i="3"/>
  <c r="Z156" i="3"/>
  <c r="AA156" i="3"/>
  <c r="Z157" i="3"/>
  <c r="AA157" i="3"/>
  <c r="Z158" i="3"/>
  <c r="AA158" i="3"/>
  <c r="Z159" i="3"/>
  <c r="AA159" i="3"/>
  <c r="Z160" i="3"/>
  <c r="AA160" i="3"/>
  <c r="Z161" i="3"/>
  <c r="AA161" i="3"/>
  <c r="Z162" i="3"/>
  <c r="AA162" i="3"/>
  <c r="Z163" i="3"/>
  <c r="AA163" i="3"/>
  <c r="Z164" i="3"/>
  <c r="AA164" i="3"/>
  <c r="Z165" i="3"/>
  <c r="AA165" i="3"/>
  <c r="Z166" i="3"/>
  <c r="AA166" i="3"/>
  <c r="Z167" i="3"/>
  <c r="AA167" i="3"/>
  <c r="Z168" i="3"/>
  <c r="AA168" i="3"/>
  <c r="Z169" i="3"/>
  <c r="AA169" i="3"/>
  <c r="Z170" i="3"/>
  <c r="AA170" i="3"/>
  <c r="Z171" i="3"/>
  <c r="AA171" i="3"/>
  <c r="Z172" i="3"/>
  <c r="AA172" i="3"/>
  <c r="Z173" i="3"/>
  <c r="AA173" i="3"/>
  <c r="Z174" i="3"/>
  <c r="AA174" i="3"/>
  <c r="Z175" i="3"/>
  <c r="AA175" i="3"/>
  <c r="Z176" i="3"/>
  <c r="AA176" i="3"/>
  <c r="Z177" i="3"/>
  <c r="AA177" i="3"/>
  <c r="Z178" i="3"/>
  <c r="AA178" i="3"/>
  <c r="Z179" i="3"/>
  <c r="AA179" i="3"/>
  <c r="Z180" i="3"/>
  <c r="AA180" i="3"/>
  <c r="Z181" i="3"/>
  <c r="AA181" i="3"/>
  <c r="Z182" i="3"/>
  <c r="AA182" i="3"/>
  <c r="Z183" i="3"/>
  <c r="AA183" i="3"/>
  <c r="Z184" i="3"/>
  <c r="AA184" i="3"/>
  <c r="Z185" i="3"/>
  <c r="AA185" i="3"/>
  <c r="Z186" i="3"/>
  <c r="AA186" i="3"/>
  <c r="Z187" i="3"/>
  <c r="AA187" i="3"/>
  <c r="Z188" i="3"/>
  <c r="AA188" i="3"/>
  <c r="Z189" i="3"/>
  <c r="AA189" i="3"/>
  <c r="Z190" i="3"/>
  <c r="AA190" i="3"/>
  <c r="Z191" i="3"/>
  <c r="AA191" i="3"/>
  <c r="Z192" i="3"/>
  <c r="AA192" i="3"/>
  <c r="Z193" i="3"/>
  <c r="AA193" i="3"/>
  <c r="Z194" i="3"/>
  <c r="AA194" i="3"/>
  <c r="Z195" i="3"/>
  <c r="AA195" i="3"/>
  <c r="Z196" i="3"/>
  <c r="AA196" i="3"/>
  <c r="Z197" i="3"/>
  <c r="AA197" i="3"/>
  <c r="Z198" i="3"/>
  <c r="AA198" i="3"/>
  <c r="Z199" i="3"/>
  <c r="AA199" i="3"/>
  <c r="Z200" i="3"/>
  <c r="AA200" i="3"/>
  <c r="Z201" i="3"/>
  <c r="AA201" i="3"/>
  <c r="Z202" i="3"/>
  <c r="AA202" i="3"/>
  <c r="Z203" i="3"/>
  <c r="AA203" i="3"/>
  <c r="Z204" i="3"/>
  <c r="AA204" i="3"/>
  <c r="Z205" i="3"/>
  <c r="AA205" i="3"/>
  <c r="Z206" i="3"/>
  <c r="AA206" i="3"/>
  <c r="Z207" i="3"/>
  <c r="AA207" i="3"/>
  <c r="Z208" i="3"/>
  <c r="AA208" i="3"/>
  <c r="Z209" i="3"/>
  <c r="AA209" i="3"/>
  <c r="Z210" i="3"/>
  <c r="AA210" i="3"/>
  <c r="Z211" i="3"/>
  <c r="AA211" i="3"/>
  <c r="Z212" i="3"/>
  <c r="AA212" i="3"/>
  <c r="Z213" i="3"/>
  <c r="AA213" i="3"/>
  <c r="Z214" i="3"/>
  <c r="AA214" i="3"/>
  <c r="Z215" i="3"/>
  <c r="AA215" i="3"/>
  <c r="Z216" i="3"/>
  <c r="AA216" i="3"/>
  <c r="Z217" i="3"/>
  <c r="AA217" i="3"/>
  <c r="Z218" i="3"/>
  <c r="AA218" i="3"/>
  <c r="Z219" i="3"/>
  <c r="AA219" i="3"/>
  <c r="Z220" i="3"/>
  <c r="AA220" i="3"/>
  <c r="Z221" i="3"/>
  <c r="AA221" i="3"/>
  <c r="Z222" i="3"/>
  <c r="AA222" i="3"/>
  <c r="Z223" i="3"/>
  <c r="AA223" i="3"/>
  <c r="Z224" i="3"/>
  <c r="AA224" i="3"/>
  <c r="Z225" i="3"/>
  <c r="AA225" i="3"/>
  <c r="Z226" i="3"/>
  <c r="AA226" i="3"/>
  <c r="Z227" i="3"/>
  <c r="AA227" i="3"/>
  <c r="Z228" i="3"/>
  <c r="AA228" i="3"/>
  <c r="Z229" i="3"/>
  <c r="AA229" i="3"/>
  <c r="Z230" i="3"/>
  <c r="AA230" i="3"/>
  <c r="Z231" i="3"/>
  <c r="AA231" i="3"/>
  <c r="Z232" i="3"/>
  <c r="AA232" i="3"/>
  <c r="Z233" i="3"/>
  <c r="AA233" i="3"/>
  <c r="Z234" i="3"/>
  <c r="AA234" i="3"/>
  <c r="Z235" i="3"/>
  <c r="AA235" i="3"/>
  <c r="Z236" i="3"/>
  <c r="AA236" i="3"/>
  <c r="Z237" i="3"/>
  <c r="AA237" i="3"/>
  <c r="Z238" i="3"/>
  <c r="AA238" i="3"/>
  <c r="Z239" i="3"/>
  <c r="AA239" i="3"/>
  <c r="Z240" i="3"/>
  <c r="AA240" i="3"/>
  <c r="Z241" i="3"/>
  <c r="AA241" i="3"/>
  <c r="Z242" i="3"/>
  <c r="AA242" i="3"/>
  <c r="Z243" i="3"/>
  <c r="AA243" i="3"/>
  <c r="Z244" i="3"/>
  <c r="AA244" i="3"/>
  <c r="Z245" i="3"/>
  <c r="AA245" i="3"/>
  <c r="Z246" i="3"/>
  <c r="AA246" i="3"/>
  <c r="Z247" i="3"/>
  <c r="AA247" i="3"/>
  <c r="Z248" i="3"/>
  <c r="AA248" i="3"/>
  <c r="Z249" i="3"/>
  <c r="AA249" i="3"/>
  <c r="Z250" i="3"/>
  <c r="AA250" i="3"/>
  <c r="Z251" i="3"/>
  <c r="AA251" i="3"/>
  <c r="Z252" i="3"/>
  <c r="AA252" i="3"/>
  <c r="Z253" i="3"/>
  <c r="AA253" i="3"/>
  <c r="Z254" i="3"/>
  <c r="AA254" i="3"/>
  <c r="Z255" i="3"/>
  <c r="AA255" i="3"/>
  <c r="Z256" i="3"/>
  <c r="AA256" i="3"/>
  <c r="Z257" i="3"/>
  <c r="AA257" i="3"/>
  <c r="Z258" i="3"/>
  <c r="AA258" i="3"/>
  <c r="Z259" i="3"/>
  <c r="AA259" i="3"/>
  <c r="Z260" i="3"/>
  <c r="AA260" i="3"/>
  <c r="Z261" i="3"/>
  <c r="AA261" i="3"/>
  <c r="Z262" i="3"/>
  <c r="AA262" i="3"/>
  <c r="Z263" i="3"/>
  <c r="AA263" i="3"/>
  <c r="Z264" i="3"/>
  <c r="AA264" i="3"/>
  <c r="Z265" i="3"/>
  <c r="AA265" i="3"/>
  <c r="Z266" i="3"/>
  <c r="AA266" i="3"/>
  <c r="Z267" i="3"/>
  <c r="AA267" i="3"/>
  <c r="Z268" i="3"/>
  <c r="AA268" i="3"/>
  <c r="Z269" i="3"/>
  <c r="AA269" i="3"/>
  <c r="Z270" i="3"/>
  <c r="AA270" i="3"/>
  <c r="Z271" i="3"/>
  <c r="AA271" i="3"/>
  <c r="Z272" i="3"/>
  <c r="AA272" i="3"/>
  <c r="Z273" i="3"/>
  <c r="AA273" i="3"/>
  <c r="Z274" i="3"/>
  <c r="AA274" i="3"/>
  <c r="Z275" i="3"/>
  <c r="AA275" i="3"/>
  <c r="Z276" i="3"/>
  <c r="AA276" i="3"/>
  <c r="AB276" i="3" s="1"/>
  <c r="Z277" i="3"/>
  <c r="AA277" i="3"/>
  <c r="Z278" i="3"/>
  <c r="AA278" i="3"/>
  <c r="Z279" i="3"/>
  <c r="AA279" i="3"/>
  <c r="Z280" i="3"/>
  <c r="AA280" i="3"/>
  <c r="Z281" i="3"/>
  <c r="AA281" i="3"/>
  <c r="Z282" i="3"/>
  <c r="AA282" i="3"/>
  <c r="Z283" i="3"/>
  <c r="AA283" i="3"/>
  <c r="Z284" i="3"/>
  <c r="AA284" i="3"/>
  <c r="Z285" i="3"/>
  <c r="AA285" i="3"/>
  <c r="Z286" i="3"/>
  <c r="AA286" i="3"/>
  <c r="Z287" i="3"/>
  <c r="AA287" i="3"/>
  <c r="Z288" i="3"/>
  <c r="AA288" i="3"/>
  <c r="Z289" i="3"/>
  <c r="AA289" i="3"/>
  <c r="Z290" i="3"/>
  <c r="AA290" i="3"/>
  <c r="Z291" i="3"/>
  <c r="AA291" i="3"/>
  <c r="Z292" i="3"/>
  <c r="AA292" i="3"/>
  <c r="Z293" i="3"/>
  <c r="AA293" i="3"/>
  <c r="Z294" i="3"/>
  <c r="AA294" i="3"/>
  <c r="Z295" i="3"/>
  <c r="AA295" i="3"/>
  <c r="Z296" i="3"/>
  <c r="AA296" i="3"/>
  <c r="Z297" i="3"/>
  <c r="AA297" i="3"/>
  <c r="Z298" i="3"/>
  <c r="AA298" i="3"/>
  <c r="Z299" i="3"/>
  <c r="AA299" i="3"/>
  <c r="Z300" i="3"/>
  <c r="AA300" i="3"/>
  <c r="Z301" i="3"/>
  <c r="AA301" i="3"/>
  <c r="Z302" i="3"/>
  <c r="AA302" i="3"/>
  <c r="Z303" i="3"/>
  <c r="AA303" i="3"/>
  <c r="Z304" i="3"/>
  <c r="AA304" i="3"/>
  <c r="Z305" i="3"/>
  <c r="AA305" i="3"/>
  <c r="Z306" i="3"/>
  <c r="AA306" i="3"/>
  <c r="Z307" i="3"/>
  <c r="AA307" i="3"/>
  <c r="Z308" i="3"/>
  <c r="AA308" i="3"/>
  <c r="Z309" i="3"/>
  <c r="AA309" i="3"/>
  <c r="Z310" i="3"/>
  <c r="AA310" i="3"/>
  <c r="Z311" i="3"/>
  <c r="AA311" i="3"/>
  <c r="Z312" i="3"/>
  <c r="AA312" i="3"/>
  <c r="Z313" i="3"/>
  <c r="AA313" i="3"/>
  <c r="Z314" i="3"/>
  <c r="AA314" i="3"/>
  <c r="Z315" i="3"/>
  <c r="AA315" i="3"/>
  <c r="Z316" i="3"/>
  <c r="AA316" i="3"/>
  <c r="Z317" i="3"/>
  <c r="AA317" i="3"/>
  <c r="Z318" i="3"/>
  <c r="AA318" i="3"/>
  <c r="Z319" i="3"/>
  <c r="AA319" i="3"/>
  <c r="Z320" i="3"/>
  <c r="AA320" i="3"/>
  <c r="Z321" i="3"/>
  <c r="AA321" i="3"/>
  <c r="Z322" i="3"/>
  <c r="AA322" i="3"/>
  <c r="Z323" i="3"/>
  <c r="AA323" i="3"/>
  <c r="Z324" i="3"/>
  <c r="AA324" i="3"/>
  <c r="Z325" i="3"/>
  <c r="AA325" i="3"/>
  <c r="Z326" i="3"/>
  <c r="AA326" i="3"/>
  <c r="Z327" i="3"/>
  <c r="AA327" i="3"/>
  <c r="Z328" i="3"/>
  <c r="AA328" i="3"/>
  <c r="Z329" i="3"/>
  <c r="AA329" i="3"/>
  <c r="Z330" i="3"/>
  <c r="AA330" i="3"/>
  <c r="Z331" i="3"/>
  <c r="AA331" i="3"/>
  <c r="Z332" i="3"/>
  <c r="AA332" i="3"/>
  <c r="Z333" i="3"/>
  <c r="AA333" i="3"/>
  <c r="Z334" i="3"/>
  <c r="AA334" i="3"/>
  <c r="Z335" i="3"/>
  <c r="AA335" i="3"/>
  <c r="Z336" i="3"/>
  <c r="AA336" i="3"/>
  <c r="Z337" i="3"/>
  <c r="AA337" i="3"/>
  <c r="Z338" i="3"/>
  <c r="AA338" i="3"/>
  <c r="Z339" i="3"/>
  <c r="AA339" i="3"/>
  <c r="Z340" i="3"/>
  <c r="AA340" i="3"/>
  <c r="Z341" i="3"/>
  <c r="AA341" i="3"/>
  <c r="Z342" i="3"/>
  <c r="AA342" i="3"/>
  <c r="Z343" i="3"/>
  <c r="AA343" i="3"/>
  <c r="Z344" i="3"/>
  <c r="AA344" i="3"/>
  <c r="Z345" i="3"/>
  <c r="AA345" i="3"/>
  <c r="Z346" i="3"/>
  <c r="AA346" i="3"/>
  <c r="Z347" i="3"/>
  <c r="AA347" i="3"/>
  <c r="Z348" i="3"/>
  <c r="AA348" i="3"/>
  <c r="Z349" i="3"/>
  <c r="AA349" i="3"/>
  <c r="Z350" i="3"/>
  <c r="AA350" i="3"/>
  <c r="Z351" i="3"/>
  <c r="AA351" i="3"/>
  <c r="Z352" i="3"/>
  <c r="AA352" i="3"/>
  <c r="Z353" i="3"/>
  <c r="AA353" i="3"/>
  <c r="Z354" i="3"/>
  <c r="AA354" i="3"/>
  <c r="Z355" i="3"/>
  <c r="AA355" i="3"/>
  <c r="Z356" i="3"/>
  <c r="AA356" i="3"/>
  <c r="Z357" i="3"/>
  <c r="AA357" i="3"/>
  <c r="Z358" i="3"/>
  <c r="AA358" i="3"/>
  <c r="Z359" i="3"/>
  <c r="AA359" i="3"/>
  <c r="Z360" i="3"/>
  <c r="AA360" i="3"/>
  <c r="Z361" i="3"/>
  <c r="AA361" i="3"/>
  <c r="Z362" i="3"/>
  <c r="AA362" i="3"/>
  <c r="Z363" i="3"/>
  <c r="AA363" i="3"/>
  <c r="Z364" i="3"/>
  <c r="AA364" i="3"/>
  <c r="Z365" i="3"/>
  <c r="AA365" i="3"/>
  <c r="Z366" i="3"/>
  <c r="AA366" i="3"/>
  <c r="Z367" i="3"/>
  <c r="AA367" i="3"/>
  <c r="Z368" i="3"/>
  <c r="AA368" i="3"/>
  <c r="Z369" i="3"/>
  <c r="AA369" i="3"/>
  <c r="Z370" i="3"/>
  <c r="AA370" i="3"/>
  <c r="Z371" i="3"/>
  <c r="AA371" i="3"/>
  <c r="Z372" i="3"/>
  <c r="AA372" i="3"/>
  <c r="Z373" i="3"/>
  <c r="AA373" i="3"/>
  <c r="Z374" i="3"/>
  <c r="AA374" i="3"/>
  <c r="Z375" i="3"/>
  <c r="AA375" i="3"/>
  <c r="Z376" i="3"/>
  <c r="AA376" i="3"/>
  <c r="Z377" i="3"/>
  <c r="AA377" i="3"/>
  <c r="Z378" i="3"/>
  <c r="AA378" i="3"/>
  <c r="Z379" i="3"/>
  <c r="AA379" i="3"/>
  <c r="Z380" i="3"/>
  <c r="AA380" i="3"/>
  <c r="Z381" i="3"/>
  <c r="AA381" i="3"/>
  <c r="Z382" i="3"/>
  <c r="AA382" i="3"/>
  <c r="Z383" i="3"/>
  <c r="AA383" i="3"/>
  <c r="Z384" i="3"/>
  <c r="AA384" i="3"/>
  <c r="Z385" i="3"/>
  <c r="AA385" i="3"/>
  <c r="Z386" i="3"/>
  <c r="AA386" i="3"/>
  <c r="Z387" i="3"/>
  <c r="AA387" i="3"/>
  <c r="Z388" i="3"/>
  <c r="AA388" i="3"/>
  <c r="Z389" i="3"/>
  <c r="AA389" i="3"/>
  <c r="Z390" i="3"/>
  <c r="AA390" i="3"/>
  <c r="Z391" i="3"/>
  <c r="AA391" i="3"/>
  <c r="Z392" i="3"/>
  <c r="AA392" i="3"/>
  <c r="Z393" i="3"/>
  <c r="AA393" i="3"/>
  <c r="Z394" i="3"/>
  <c r="AA394" i="3"/>
  <c r="Z395" i="3"/>
  <c r="AA395" i="3"/>
  <c r="Z396" i="3"/>
  <c r="AA396" i="3"/>
  <c r="Z397" i="3"/>
  <c r="AA397" i="3"/>
  <c r="Z398" i="3"/>
  <c r="AA398" i="3"/>
  <c r="Z399" i="3"/>
  <c r="AA399" i="3"/>
  <c r="Z400" i="3"/>
  <c r="AA400" i="3"/>
  <c r="Z401" i="3"/>
  <c r="AA401" i="3"/>
  <c r="Z402" i="3"/>
  <c r="AA402" i="3"/>
  <c r="Z403" i="3"/>
  <c r="AA403" i="3"/>
  <c r="Z404" i="3"/>
  <c r="AA404" i="3"/>
  <c r="Z405" i="3"/>
  <c r="AA405" i="3"/>
  <c r="Z406" i="3"/>
  <c r="AA406" i="3"/>
  <c r="Z407" i="3"/>
  <c r="AA407" i="3"/>
  <c r="Z408" i="3"/>
  <c r="AA408" i="3"/>
  <c r="Z409" i="3"/>
  <c r="AA409" i="3"/>
  <c r="Z410" i="3"/>
  <c r="AA410" i="3"/>
  <c r="Z411" i="3"/>
  <c r="AA411" i="3"/>
  <c r="Z412" i="3"/>
  <c r="AA412" i="3"/>
  <c r="Z413" i="3"/>
  <c r="AA413" i="3"/>
  <c r="Z414" i="3"/>
  <c r="AA414" i="3"/>
  <c r="Z415" i="3"/>
  <c r="AA415" i="3"/>
  <c r="Z416" i="3"/>
  <c r="AA416" i="3"/>
  <c r="Z417" i="3"/>
  <c r="AA417" i="3"/>
  <c r="Z418" i="3"/>
  <c r="AA418" i="3"/>
  <c r="Z419" i="3"/>
  <c r="AA419" i="3"/>
  <c r="Z420" i="3"/>
  <c r="AA420" i="3"/>
  <c r="Z421" i="3"/>
  <c r="AA421" i="3"/>
  <c r="Z422" i="3"/>
  <c r="AA422" i="3"/>
  <c r="Z423" i="3"/>
  <c r="AA423" i="3"/>
  <c r="Z424" i="3"/>
  <c r="AA424" i="3"/>
  <c r="Z425" i="3"/>
  <c r="AA425" i="3"/>
  <c r="Z426" i="3"/>
  <c r="AA426" i="3"/>
  <c r="Z427" i="3"/>
  <c r="AA427" i="3"/>
  <c r="Z428" i="3"/>
  <c r="AA428" i="3"/>
  <c r="Z429" i="3"/>
  <c r="AA429" i="3"/>
  <c r="Z430" i="3"/>
  <c r="AA430" i="3"/>
  <c r="Z431" i="3"/>
  <c r="AA431" i="3"/>
  <c r="Z432" i="3"/>
  <c r="AA432" i="3"/>
  <c r="Z433" i="3"/>
  <c r="AA433" i="3"/>
  <c r="Z434" i="3"/>
  <c r="AA434" i="3"/>
  <c r="Z435" i="3"/>
  <c r="AA435" i="3"/>
  <c r="Z436" i="3"/>
  <c r="AA436" i="3"/>
  <c r="Z437" i="3"/>
  <c r="AA437" i="3"/>
  <c r="Z438" i="3"/>
  <c r="AA438" i="3"/>
  <c r="Z439" i="3"/>
  <c r="AA439" i="3"/>
  <c r="Z440" i="3"/>
  <c r="AA440" i="3"/>
  <c r="Z441" i="3"/>
  <c r="AA441" i="3"/>
  <c r="Z442" i="3"/>
  <c r="AA442" i="3"/>
  <c r="Z443" i="3"/>
  <c r="AA443" i="3"/>
  <c r="Z444" i="3"/>
  <c r="AA444" i="3"/>
  <c r="Z445" i="3"/>
  <c r="AA445" i="3"/>
  <c r="Z446" i="3"/>
  <c r="AA446" i="3"/>
  <c r="Z447" i="3"/>
  <c r="AA447" i="3"/>
  <c r="Z448" i="3"/>
  <c r="AA448" i="3"/>
  <c r="Z449" i="3"/>
  <c r="AA449" i="3"/>
  <c r="Z450" i="3"/>
  <c r="AA450" i="3"/>
  <c r="Z451" i="3"/>
  <c r="AA451" i="3"/>
  <c r="Z452" i="3"/>
  <c r="AA452" i="3"/>
  <c r="Z453" i="3"/>
  <c r="AA453" i="3"/>
  <c r="Z454" i="3"/>
  <c r="AA454" i="3"/>
  <c r="Z455" i="3"/>
  <c r="AA455" i="3"/>
  <c r="Z456" i="3"/>
  <c r="AA456" i="3"/>
  <c r="Z457" i="3"/>
  <c r="AA457" i="3"/>
  <c r="Z458" i="3"/>
  <c r="AA458" i="3"/>
  <c r="Z459" i="3"/>
  <c r="AA459" i="3"/>
  <c r="Z460" i="3"/>
  <c r="AA460" i="3"/>
  <c r="Z461" i="3"/>
  <c r="AA461" i="3"/>
  <c r="Z462" i="3"/>
  <c r="AA462" i="3"/>
  <c r="Z463" i="3"/>
  <c r="AA463" i="3"/>
  <c r="Z464" i="3"/>
  <c r="AA464" i="3"/>
  <c r="Z465" i="3"/>
  <c r="AA465" i="3"/>
  <c r="Z466" i="3"/>
  <c r="AA466" i="3"/>
  <c r="Z467" i="3"/>
  <c r="AA467" i="3"/>
  <c r="Z468" i="3"/>
  <c r="AA468" i="3"/>
  <c r="Z469" i="3"/>
  <c r="AA469" i="3"/>
  <c r="Z470" i="3"/>
  <c r="AA470" i="3"/>
  <c r="Z471" i="3"/>
  <c r="AA471" i="3"/>
  <c r="Z472" i="3"/>
  <c r="AA472" i="3"/>
  <c r="Z473" i="3"/>
  <c r="AA473" i="3"/>
  <c r="Z474" i="3"/>
  <c r="AA474" i="3"/>
  <c r="Z475" i="3"/>
  <c r="AA475" i="3"/>
  <c r="Z476" i="3"/>
  <c r="AA476" i="3"/>
  <c r="Z477" i="3"/>
  <c r="AA477" i="3"/>
  <c r="Z478" i="3"/>
  <c r="AA478" i="3"/>
  <c r="Z479" i="3"/>
  <c r="AA479" i="3"/>
  <c r="Z480" i="3"/>
  <c r="AA480" i="3"/>
  <c r="Z481" i="3"/>
  <c r="AA481" i="3"/>
  <c r="Z482" i="3"/>
  <c r="AA482" i="3"/>
  <c r="Z483" i="3"/>
  <c r="AA483" i="3"/>
  <c r="Z484" i="3"/>
  <c r="AA484" i="3"/>
  <c r="Z485" i="3"/>
  <c r="AA485" i="3"/>
  <c r="Z486" i="3"/>
  <c r="AA486" i="3"/>
  <c r="Z487" i="3"/>
  <c r="AA487" i="3"/>
  <c r="Z488" i="3"/>
  <c r="AA488" i="3"/>
  <c r="Z489" i="3"/>
  <c r="AA489" i="3"/>
  <c r="Z490" i="3"/>
  <c r="AA490" i="3"/>
  <c r="Z491" i="3"/>
  <c r="AA491" i="3"/>
  <c r="Z492" i="3"/>
  <c r="AA492" i="3"/>
  <c r="Z493" i="3"/>
  <c r="AA493" i="3"/>
  <c r="Z494" i="3"/>
  <c r="AA494" i="3"/>
  <c r="Z495" i="3"/>
  <c r="AA495" i="3"/>
  <c r="Z496" i="3"/>
  <c r="AA496" i="3"/>
  <c r="Z497" i="3"/>
  <c r="AA497" i="3"/>
  <c r="Z498" i="3"/>
  <c r="AA498" i="3"/>
  <c r="Z499" i="3"/>
  <c r="AA499" i="3"/>
  <c r="Z500" i="3"/>
  <c r="AA500" i="3"/>
  <c r="Z501" i="3"/>
  <c r="AA501" i="3"/>
  <c r="Z502" i="3"/>
  <c r="AA502" i="3"/>
  <c r="Z503" i="3"/>
  <c r="AA503" i="3"/>
  <c r="Z504" i="3"/>
  <c r="AA504" i="3"/>
  <c r="Z505" i="3"/>
  <c r="AA505" i="3"/>
  <c r="Z506" i="3"/>
  <c r="AA506" i="3"/>
  <c r="Z507" i="3"/>
  <c r="AA507" i="3"/>
  <c r="Z508" i="3"/>
  <c r="AA508" i="3"/>
  <c r="Z509" i="3"/>
  <c r="AA509" i="3"/>
  <c r="Z510" i="3"/>
  <c r="AA510" i="3"/>
  <c r="Z511" i="3"/>
  <c r="AA511" i="3"/>
  <c r="Z512" i="3"/>
  <c r="AA512" i="3"/>
  <c r="Z513" i="3"/>
  <c r="AA513" i="3"/>
  <c r="Z514" i="3"/>
  <c r="AA514" i="3"/>
  <c r="Z515" i="3"/>
  <c r="AA515" i="3"/>
  <c r="Z516" i="3"/>
  <c r="AA516" i="3"/>
  <c r="Z517" i="3"/>
  <c r="AA517" i="3"/>
  <c r="Z518" i="3"/>
  <c r="AA518" i="3"/>
  <c r="Z519" i="3"/>
  <c r="AA519" i="3"/>
  <c r="Z520" i="3"/>
  <c r="AA520" i="3"/>
  <c r="Z521" i="3"/>
  <c r="AA521" i="3"/>
  <c r="Z522" i="3"/>
  <c r="AA522" i="3"/>
  <c r="Z523" i="3"/>
  <c r="AA523" i="3"/>
  <c r="Z524" i="3"/>
  <c r="AA524" i="3"/>
  <c r="Z525" i="3"/>
  <c r="AA525" i="3"/>
  <c r="Z526" i="3"/>
  <c r="AA526" i="3"/>
  <c r="Z527" i="3"/>
  <c r="AA527" i="3"/>
  <c r="Z528" i="3"/>
  <c r="AA528" i="3"/>
  <c r="Z529" i="3"/>
  <c r="AA529" i="3"/>
  <c r="Z530" i="3"/>
  <c r="AA530" i="3"/>
  <c r="Z531" i="3"/>
  <c r="AA531" i="3"/>
  <c r="Z532" i="3"/>
  <c r="AA532" i="3"/>
  <c r="Z533" i="3"/>
  <c r="AA533" i="3"/>
  <c r="Z534" i="3"/>
  <c r="AA534" i="3"/>
  <c r="Z535" i="3"/>
  <c r="AA535" i="3"/>
  <c r="Z536" i="3"/>
  <c r="AA536" i="3"/>
  <c r="Z537" i="3"/>
  <c r="AA537" i="3"/>
  <c r="Z538" i="3"/>
  <c r="AA538" i="3"/>
  <c r="Z539" i="3"/>
  <c r="AA539" i="3"/>
  <c r="Z540" i="3"/>
  <c r="AA540" i="3"/>
  <c r="Z541" i="3"/>
  <c r="AA541" i="3"/>
  <c r="Z542" i="3"/>
  <c r="AA542" i="3"/>
  <c r="Z543" i="3"/>
  <c r="AA543" i="3"/>
  <c r="Z544" i="3"/>
  <c r="AA544" i="3"/>
  <c r="Z545" i="3"/>
  <c r="AA545" i="3"/>
  <c r="Z546" i="3"/>
  <c r="AA546" i="3"/>
  <c r="Z547" i="3"/>
  <c r="AA547" i="3"/>
  <c r="Z548" i="3"/>
  <c r="AA548" i="3"/>
  <c r="Z549" i="3"/>
  <c r="AA549" i="3"/>
  <c r="Z550" i="3"/>
  <c r="AA550" i="3"/>
  <c r="Z551" i="3"/>
  <c r="AA551" i="3"/>
  <c r="Z552" i="3"/>
  <c r="AA552" i="3"/>
  <c r="Z553" i="3"/>
  <c r="AA553" i="3"/>
  <c r="Z554" i="3"/>
  <c r="AA554" i="3"/>
  <c r="Z555" i="3"/>
  <c r="AA555" i="3"/>
  <c r="Z556" i="3"/>
  <c r="AA556" i="3"/>
  <c r="Z557" i="3"/>
  <c r="AA557" i="3"/>
  <c r="Z558" i="3"/>
  <c r="AA558" i="3"/>
  <c r="Z559" i="3"/>
  <c r="AA559" i="3"/>
  <c r="Z560" i="3"/>
  <c r="AA560" i="3"/>
  <c r="Z561" i="3"/>
  <c r="AA561" i="3"/>
  <c r="Z562" i="3"/>
  <c r="AA562" i="3"/>
  <c r="Z563" i="3"/>
  <c r="AA563" i="3"/>
  <c r="Z564" i="3"/>
  <c r="AA564" i="3"/>
  <c r="Z565" i="3"/>
  <c r="AA565" i="3"/>
  <c r="Z566" i="3"/>
  <c r="AA566" i="3"/>
  <c r="Z567" i="3"/>
  <c r="AA567" i="3"/>
  <c r="Z568" i="3"/>
  <c r="AA568" i="3"/>
  <c r="Z569" i="3"/>
  <c r="AA569" i="3"/>
  <c r="Z570" i="3"/>
  <c r="AA570" i="3"/>
  <c r="Z571" i="3"/>
  <c r="AA571" i="3"/>
  <c r="Z572" i="3"/>
  <c r="AA572" i="3"/>
  <c r="Z573" i="3"/>
  <c r="AA573" i="3"/>
  <c r="Z574" i="3"/>
  <c r="AA574" i="3"/>
  <c r="Z575" i="3"/>
  <c r="AA575" i="3"/>
  <c r="Z576" i="3"/>
  <c r="AA576" i="3"/>
  <c r="Z577" i="3"/>
  <c r="AA577" i="3"/>
  <c r="Z578" i="3"/>
  <c r="AA578" i="3"/>
  <c r="Z579" i="3"/>
  <c r="AA579" i="3"/>
  <c r="Z580" i="3"/>
  <c r="AA580" i="3"/>
  <c r="Z581" i="3"/>
  <c r="AA581" i="3"/>
  <c r="Z582" i="3"/>
  <c r="AA582" i="3"/>
  <c r="Z583" i="3"/>
  <c r="AA583" i="3"/>
  <c r="Z584" i="3"/>
  <c r="AA584" i="3"/>
  <c r="Z585" i="3"/>
  <c r="AA585" i="3"/>
  <c r="Z586" i="3"/>
  <c r="AA586" i="3"/>
  <c r="Z587" i="3"/>
  <c r="AA587" i="3"/>
  <c r="Z588" i="3"/>
  <c r="AA588" i="3"/>
  <c r="Z589" i="3"/>
  <c r="AA589" i="3"/>
  <c r="Z590" i="3"/>
  <c r="AA590" i="3"/>
  <c r="Z591" i="3"/>
  <c r="AA591" i="3"/>
  <c r="Z592" i="3"/>
  <c r="AA592" i="3"/>
  <c r="Z593" i="3"/>
  <c r="AA593" i="3"/>
  <c r="Z594" i="3"/>
  <c r="AA594" i="3"/>
  <c r="Z595" i="3"/>
  <c r="AA595" i="3"/>
  <c r="Z596" i="3"/>
  <c r="AA596" i="3"/>
  <c r="Z597" i="3"/>
  <c r="AA597" i="3"/>
  <c r="Z598" i="3"/>
  <c r="AA598" i="3"/>
  <c r="Z599" i="3"/>
  <c r="AA599" i="3"/>
  <c r="Z600" i="3"/>
  <c r="AA600" i="3"/>
  <c r="Z601" i="3"/>
  <c r="AA601" i="3"/>
  <c r="Z602" i="3"/>
  <c r="AA602" i="3"/>
  <c r="Z603" i="3"/>
  <c r="AA603" i="3"/>
  <c r="Z604" i="3"/>
  <c r="AA604" i="3"/>
  <c r="Z605" i="3"/>
  <c r="AA605" i="3"/>
  <c r="Z606" i="3"/>
  <c r="AA606" i="3"/>
  <c r="Z607" i="3"/>
  <c r="AA607" i="3"/>
  <c r="Z608" i="3"/>
  <c r="AA608" i="3"/>
  <c r="Z609" i="3"/>
  <c r="AA609" i="3"/>
  <c r="Z610" i="3"/>
  <c r="AA610" i="3"/>
  <c r="Z611" i="3"/>
  <c r="AA611" i="3"/>
  <c r="Z612" i="3"/>
  <c r="AA612" i="3"/>
  <c r="Z613" i="3"/>
  <c r="AA613" i="3"/>
  <c r="Z614" i="3"/>
  <c r="AA614" i="3"/>
  <c r="Z615" i="3"/>
  <c r="AA615" i="3"/>
  <c r="Z616" i="3"/>
  <c r="AA616" i="3"/>
  <c r="Z617" i="3"/>
  <c r="AA617" i="3"/>
  <c r="Z618" i="3"/>
  <c r="AA618" i="3"/>
  <c r="Z619" i="3"/>
  <c r="AA619" i="3"/>
  <c r="Z620" i="3"/>
  <c r="AA620" i="3"/>
  <c r="Z621" i="3"/>
  <c r="AA621" i="3"/>
  <c r="Z622" i="3"/>
  <c r="AA622" i="3"/>
  <c r="Z623" i="3"/>
  <c r="AA623" i="3"/>
  <c r="Z624" i="3"/>
  <c r="AA624" i="3"/>
  <c r="Z625" i="3"/>
  <c r="AA625" i="3"/>
  <c r="Z626" i="3"/>
  <c r="AA626" i="3"/>
  <c r="Z627" i="3"/>
  <c r="AA627" i="3"/>
  <c r="Z628" i="3"/>
  <c r="AA628" i="3"/>
  <c r="Z629" i="3"/>
  <c r="AA629" i="3"/>
  <c r="Z630" i="3"/>
  <c r="AA630" i="3"/>
  <c r="Z631" i="3"/>
  <c r="AA631" i="3"/>
  <c r="Z632" i="3"/>
  <c r="AA632" i="3"/>
  <c r="Z633" i="3"/>
  <c r="AA633" i="3"/>
  <c r="Z634" i="3"/>
  <c r="AA634" i="3"/>
  <c r="Z635" i="3"/>
  <c r="AA635" i="3"/>
  <c r="Z636" i="3"/>
  <c r="AA636" i="3"/>
  <c r="Z637" i="3"/>
  <c r="AA637" i="3"/>
  <c r="Z638" i="3"/>
  <c r="AA638" i="3"/>
  <c r="Z639" i="3"/>
  <c r="AA639" i="3"/>
  <c r="Z640" i="3"/>
  <c r="AA640" i="3"/>
  <c r="Z641" i="3"/>
  <c r="AA641" i="3"/>
  <c r="Z642" i="3"/>
  <c r="AA642" i="3"/>
  <c r="Z643" i="3"/>
  <c r="AA643" i="3"/>
  <c r="Z644" i="3"/>
  <c r="AA644" i="3"/>
  <c r="Z645" i="3"/>
  <c r="AA645" i="3"/>
  <c r="Z646" i="3"/>
  <c r="AA646" i="3"/>
  <c r="Z647" i="3"/>
  <c r="AA647" i="3"/>
  <c r="Z648" i="3"/>
  <c r="AA648" i="3"/>
  <c r="Z649" i="3"/>
  <c r="AA649" i="3"/>
  <c r="Z650" i="3"/>
  <c r="AA650" i="3"/>
  <c r="Z651" i="3"/>
  <c r="AA651" i="3"/>
  <c r="Z652" i="3"/>
  <c r="AA652" i="3"/>
  <c r="Z653" i="3"/>
  <c r="AA653" i="3"/>
  <c r="Z654" i="3"/>
  <c r="AA654" i="3"/>
  <c r="Z655" i="3"/>
  <c r="AA655" i="3"/>
  <c r="Z656" i="3"/>
  <c r="AA656" i="3"/>
  <c r="Z657" i="3"/>
  <c r="AA657" i="3"/>
  <c r="Z658" i="3"/>
  <c r="AA658" i="3"/>
  <c r="Z659" i="3"/>
  <c r="AA659" i="3"/>
  <c r="Z660" i="3"/>
  <c r="AA660" i="3"/>
  <c r="Z661" i="3"/>
  <c r="AA661" i="3"/>
  <c r="Z662" i="3"/>
  <c r="AA662" i="3"/>
  <c r="Z663" i="3"/>
  <c r="AA663" i="3"/>
  <c r="Z664" i="3"/>
  <c r="AA664" i="3"/>
  <c r="Z665" i="3"/>
  <c r="AA665" i="3"/>
  <c r="Z666" i="3"/>
  <c r="AA666" i="3"/>
  <c r="Z667" i="3"/>
  <c r="AA667" i="3"/>
  <c r="Z668" i="3"/>
  <c r="AA668" i="3"/>
  <c r="Z669" i="3"/>
  <c r="AA669" i="3"/>
  <c r="Z670" i="3"/>
  <c r="AA670" i="3"/>
  <c r="Z671" i="3"/>
  <c r="AA671" i="3"/>
  <c r="Z672" i="3"/>
  <c r="AA672" i="3"/>
  <c r="Z673" i="3"/>
  <c r="AA673" i="3"/>
  <c r="Z674" i="3"/>
  <c r="AA674" i="3"/>
  <c r="Z675" i="3"/>
  <c r="AA675" i="3"/>
  <c r="Z676" i="3"/>
  <c r="AA676" i="3"/>
  <c r="Z677" i="3"/>
  <c r="AA677" i="3"/>
  <c r="Z678" i="3"/>
  <c r="AA678" i="3"/>
  <c r="Z679" i="3"/>
  <c r="AA679" i="3"/>
  <c r="Z680" i="3"/>
  <c r="AA680" i="3"/>
  <c r="Z681" i="3"/>
  <c r="AA681" i="3"/>
  <c r="Z682" i="3"/>
  <c r="AA682" i="3"/>
  <c r="Z683" i="3"/>
  <c r="AA683" i="3"/>
  <c r="Z684" i="3"/>
  <c r="AA684" i="3"/>
  <c r="Z685" i="3"/>
  <c r="AA685" i="3"/>
  <c r="AB685" i="3" s="1"/>
  <c r="Z686" i="3"/>
  <c r="AA686" i="3"/>
  <c r="Z687" i="3"/>
  <c r="AA687" i="3"/>
  <c r="Z688" i="3"/>
  <c r="AA688" i="3"/>
  <c r="Z689" i="3"/>
  <c r="AA689" i="3"/>
  <c r="Z690" i="3"/>
  <c r="AA690" i="3"/>
  <c r="Z691" i="3"/>
  <c r="AA691" i="3"/>
  <c r="Z692" i="3"/>
  <c r="AA692" i="3"/>
  <c r="Z693" i="3"/>
  <c r="AA693" i="3"/>
  <c r="Z694" i="3"/>
  <c r="AA694" i="3"/>
  <c r="Z695" i="3"/>
  <c r="AA695" i="3"/>
  <c r="Z696" i="3"/>
  <c r="AA696" i="3"/>
  <c r="Z697" i="3"/>
  <c r="AA697" i="3"/>
  <c r="Z698" i="3"/>
  <c r="AA698" i="3"/>
  <c r="Z699" i="3"/>
  <c r="AA699" i="3"/>
  <c r="Z700" i="3"/>
  <c r="AA700" i="3"/>
  <c r="Z701" i="3"/>
  <c r="AA701" i="3"/>
  <c r="Z702" i="3"/>
  <c r="AA702" i="3"/>
  <c r="Z703" i="3"/>
  <c r="AA703" i="3"/>
  <c r="Z704" i="3"/>
  <c r="AA704" i="3"/>
  <c r="Z705" i="3"/>
  <c r="AA705" i="3"/>
  <c r="Z706" i="3"/>
  <c r="AA706" i="3"/>
  <c r="Z707" i="3"/>
  <c r="AA707" i="3"/>
  <c r="Z708" i="3"/>
  <c r="AA708" i="3"/>
  <c r="Z709" i="3"/>
  <c r="AA709" i="3"/>
  <c r="Z710" i="3"/>
  <c r="AA710" i="3"/>
  <c r="Z711" i="3"/>
  <c r="AA711" i="3"/>
  <c r="Z712" i="3"/>
  <c r="AA712" i="3"/>
  <c r="Z713" i="3"/>
  <c r="AA713" i="3"/>
  <c r="Z714" i="3"/>
  <c r="AA714" i="3"/>
  <c r="Z715" i="3"/>
  <c r="AA715" i="3"/>
  <c r="Z716" i="3"/>
  <c r="AA716" i="3"/>
  <c r="AB716" i="3" s="1"/>
  <c r="Z717" i="3"/>
  <c r="AA717" i="3"/>
  <c r="Z718" i="3"/>
  <c r="AA718" i="3"/>
  <c r="Z719" i="3"/>
  <c r="AA719" i="3"/>
  <c r="Z720" i="3"/>
  <c r="AA720" i="3"/>
  <c r="Z721" i="3"/>
  <c r="AA721" i="3"/>
  <c r="Z722" i="3"/>
  <c r="AA722" i="3"/>
  <c r="Z723" i="3"/>
  <c r="AA723" i="3"/>
  <c r="Z724" i="3"/>
  <c r="AA724" i="3"/>
  <c r="Z725" i="3"/>
  <c r="AA725" i="3"/>
  <c r="Z726" i="3"/>
  <c r="AA726" i="3"/>
  <c r="Z727" i="3"/>
  <c r="AA727" i="3"/>
  <c r="Z728" i="3"/>
  <c r="AA728" i="3"/>
  <c r="Z729" i="3"/>
  <c r="AA729" i="3"/>
  <c r="Z730" i="3"/>
  <c r="AA730" i="3"/>
  <c r="Z731" i="3"/>
  <c r="AA731" i="3"/>
  <c r="Z732" i="3"/>
  <c r="AA732" i="3"/>
  <c r="Z733" i="3"/>
  <c r="AA733" i="3"/>
  <c r="Z734" i="3"/>
  <c r="AA734" i="3"/>
  <c r="Z735" i="3"/>
  <c r="AA735" i="3"/>
  <c r="Z736" i="3"/>
  <c r="AA736" i="3"/>
  <c r="Z737" i="3"/>
  <c r="AA737" i="3"/>
  <c r="Z738" i="3"/>
  <c r="AA738" i="3"/>
  <c r="Z739" i="3"/>
  <c r="AA739" i="3"/>
  <c r="Z740" i="3"/>
  <c r="AA740" i="3"/>
  <c r="Z741" i="3"/>
  <c r="AA741" i="3"/>
  <c r="Z742" i="3"/>
  <c r="AA742" i="3"/>
  <c r="Z743" i="3"/>
  <c r="AA743" i="3"/>
  <c r="Z744" i="3"/>
  <c r="AA744" i="3"/>
  <c r="Z745" i="3"/>
  <c r="AA745" i="3"/>
  <c r="Z746" i="3"/>
  <c r="AA746" i="3"/>
  <c r="Z747" i="3"/>
  <c r="AA747" i="3"/>
  <c r="Z748" i="3"/>
  <c r="AA748" i="3"/>
  <c r="Z749" i="3"/>
  <c r="AA749" i="3"/>
  <c r="Z750" i="3"/>
  <c r="AA750" i="3"/>
  <c r="Z751" i="3"/>
  <c r="AA751" i="3"/>
  <c r="Z752" i="3"/>
  <c r="AA752" i="3"/>
  <c r="Z753" i="3"/>
  <c r="AA753" i="3"/>
  <c r="Z754" i="3"/>
  <c r="AA754" i="3"/>
  <c r="Z755" i="3"/>
  <c r="AA755" i="3"/>
  <c r="Z756" i="3"/>
  <c r="AA756" i="3"/>
  <c r="Z757" i="3"/>
  <c r="AA757" i="3"/>
  <c r="Z758" i="3"/>
  <c r="AA758" i="3"/>
  <c r="Z759" i="3"/>
  <c r="AA759" i="3"/>
  <c r="Z760" i="3"/>
  <c r="AA760" i="3"/>
  <c r="Z761" i="3"/>
  <c r="AA761" i="3"/>
  <c r="Z762" i="3"/>
  <c r="AA762" i="3"/>
  <c r="Z763" i="3"/>
  <c r="AA763" i="3"/>
  <c r="Z764" i="3"/>
  <c r="AA764" i="3"/>
  <c r="Z765" i="3"/>
  <c r="AA765" i="3"/>
  <c r="Z766" i="3"/>
  <c r="AA766" i="3"/>
  <c r="Z767" i="3"/>
  <c r="AA767" i="3"/>
  <c r="Z768" i="3"/>
  <c r="AA768" i="3"/>
  <c r="Z769" i="3"/>
  <c r="AA769" i="3"/>
  <c r="Z770" i="3"/>
  <c r="AA770" i="3"/>
  <c r="Z771" i="3"/>
  <c r="AA771" i="3"/>
  <c r="Z772" i="3"/>
  <c r="AA772" i="3"/>
  <c r="Z773" i="3"/>
  <c r="AA773" i="3"/>
  <c r="Z774" i="3"/>
  <c r="AA774" i="3"/>
  <c r="Z775" i="3"/>
  <c r="AA775" i="3"/>
  <c r="Z776" i="3"/>
  <c r="AA776" i="3"/>
  <c r="Z777" i="3"/>
  <c r="AA777" i="3"/>
  <c r="Z778" i="3"/>
  <c r="AA778" i="3"/>
  <c r="Z779" i="3"/>
  <c r="AA779" i="3"/>
  <c r="Z780" i="3"/>
  <c r="AA780" i="3"/>
  <c r="Z781" i="3"/>
  <c r="AA781" i="3"/>
  <c r="Z782" i="3"/>
  <c r="AA782" i="3"/>
  <c r="Z783" i="3"/>
  <c r="AA783" i="3"/>
  <c r="Z784" i="3"/>
  <c r="AA784" i="3"/>
  <c r="Z785" i="3"/>
  <c r="AA785" i="3"/>
  <c r="Z786" i="3"/>
  <c r="AA786" i="3"/>
  <c r="Z787" i="3"/>
  <c r="AA787" i="3"/>
  <c r="Z788" i="3"/>
  <c r="AA788" i="3"/>
  <c r="Z789" i="3"/>
  <c r="AA789" i="3"/>
  <c r="Z790" i="3"/>
  <c r="AA790" i="3"/>
  <c r="Z791" i="3"/>
  <c r="AA791" i="3"/>
  <c r="Z792" i="3"/>
  <c r="AA792" i="3"/>
  <c r="Z793" i="3"/>
  <c r="AA793" i="3"/>
  <c r="Z794" i="3"/>
  <c r="AA794" i="3"/>
  <c r="Z795" i="3"/>
  <c r="AA795" i="3"/>
  <c r="Z796" i="3"/>
  <c r="AA796" i="3"/>
  <c r="Z797" i="3"/>
  <c r="AA797" i="3"/>
  <c r="Z798" i="3"/>
  <c r="AA798" i="3"/>
  <c r="Z799" i="3"/>
  <c r="AA799" i="3"/>
  <c r="Z800" i="3"/>
  <c r="AA800" i="3"/>
  <c r="Z801" i="3"/>
  <c r="AA801" i="3"/>
  <c r="Z802" i="3"/>
  <c r="AA802" i="3"/>
  <c r="Z803" i="3"/>
  <c r="AA803" i="3"/>
  <c r="Z804" i="3"/>
  <c r="AA804" i="3"/>
  <c r="AA5" i="3"/>
  <c r="Z5" i="3"/>
  <c r="AA298" i="4"/>
  <c r="AA293" i="4"/>
  <c r="AA292" i="4"/>
  <c r="AA287" i="4"/>
  <c r="AA279" i="4"/>
  <c r="AA215" i="4"/>
  <c r="AA187" i="4"/>
  <c r="AA183" i="4"/>
  <c r="AA182" i="4"/>
  <c r="AA170" i="4"/>
  <c r="AA169" i="4"/>
  <c r="AA165" i="4"/>
  <c r="AA163" i="4"/>
  <c r="AA61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0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88" i="4"/>
  <c r="AC189" i="4"/>
  <c r="AC190" i="4"/>
  <c r="AC191" i="4"/>
  <c r="AC192" i="4"/>
  <c r="AC193" i="4"/>
  <c r="AC194" i="4"/>
  <c r="AC195" i="4"/>
  <c r="AC196" i="4"/>
  <c r="AC197" i="4"/>
  <c r="AC198" i="4"/>
  <c r="AC199" i="4"/>
  <c r="AC200" i="4"/>
  <c r="AC201" i="4"/>
  <c r="AC202" i="4"/>
  <c r="AC203" i="4"/>
  <c r="AC204" i="4"/>
  <c r="AC205" i="4"/>
  <c r="AC206" i="4"/>
  <c r="AC207" i="4"/>
  <c r="AC208" i="4"/>
  <c r="AC209" i="4"/>
  <c r="AC210" i="4"/>
  <c r="AC211" i="4"/>
  <c r="AC212" i="4"/>
  <c r="AC213" i="4"/>
  <c r="AC214" i="4"/>
  <c r="AC215" i="4"/>
  <c r="AC216" i="4"/>
  <c r="AC217" i="4"/>
  <c r="AC218" i="4"/>
  <c r="AC219" i="4"/>
  <c r="AC220" i="4"/>
  <c r="AC221" i="4"/>
  <c r="AC222" i="4"/>
  <c r="AC223" i="4"/>
  <c r="AC224" i="4"/>
  <c r="AC225" i="4"/>
  <c r="AC226" i="4"/>
  <c r="AC227" i="4"/>
  <c r="AC228" i="4"/>
  <c r="AC229" i="4"/>
  <c r="AC230" i="4"/>
  <c r="AC231" i="4"/>
  <c r="AC232" i="4"/>
  <c r="AC233" i="4"/>
  <c r="AC234" i="4"/>
  <c r="AC235" i="4"/>
  <c r="AC236" i="4"/>
  <c r="AC237" i="4"/>
  <c r="AC238" i="4"/>
  <c r="AC239" i="4"/>
  <c r="AC240" i="4"/>
  <c r="AC241" i="4"/>
  <c r="AC242" i="4"/>
  <c r="AC243" i="4"/>
  <c r="AC244" i="4"/>
  <c r="AC245" i="4"/>
  <c r="AC246" i="4"/>
  <c r="AC247" i="4"/>
  <c r="AC248" i="4"/>
  <c r="AC249" i="4"/>
  <c r="AC250" i="4"/>
  <c r="AC251" i="4"/>
  <c r="AC252" i="4"/>
  <c r="AC253" i="4"/>
  <c r="AC254" i="4"/>
  <c r="AC255" i="4"/>
  <c r="AC256" i="4"/>
  <c r="AC257" i="4"/>
  <c r="AC258" i="4"/>
  <c r="AC259" i="4"/>
  <c r="AC260" i="4"/>
  <c r="AC261" i="4"/>
  <c r="AC262" i="4"/>
  <c r="AC263" i="4"/>
  <c r="AC264" i="4"/>
  <c r="AC265" i="4"/>
  <c r="AC266" i="4"/>
  <c r="AC267" i="4"/>
  <c r="AC268" i="4"/>
  <c r="AC269" i="4"/>
  <c r="AC270" i="4"/>
  <c r="AC271" i="4"/>
  <c r="AC272" i="4"/>
  <c r="AC273" i="4"/>
  <c r="AC274" i="4"/>
  <c r="AC275" i="4"/>
  <c r="AC276" i="4"/>
  <c r="AC277" i="4"/>
  <c r="AC278" i="4"/>
  <c r="AC279" i="4"/>
  <c r="AC280" i="4"/>
  <c r="AC281" i="4"/>
  <c r="AC282" i="4"/>
  <c r="AC283" i="4"/>
  <c r="AC284" i="4"/>
  <c r="AC285" i="4"/>
  <c r="AC286" i="4"/>
  <c r="AC287" i="4"/>
  <c r="AC288" i="4"/>
  <c r="AC289" i="4"/>
  <c r="AC290" i="4"/>
  <c r="AC291" i="4"/>
  <c r="AC292" i="4"/>
  <c r="AC293" i="4"/>
  <c r="AC294" i="4"/>
  <c r="AC295" i="4"/>
  <c r="AC296" i="4"/>
  <c r="AC297" i="4"/>
  <c r="AC298" i="4"/>
  <c r="AC299" i="4"/>
  <c r="AB9" i="4"/>
  <c r="AB10" i="4"/>
  <c r="AB11" i="4"/>
  <c r="AB12" i="4"/>
  <c r="AB13" i="4"/>
  <c r="AB14" i="4"/>
  <c r="AB15" i="4"/>
  <c r="AB16" i="4"/>
  <c r="AB17" i="4"/>
  <c r="AB18" i="4"/>
  <c r="AB19" i="4"/>
  <c r="AB20" i="4"/>
  <c r="AB21" i="4"/>
  <c r="AB22" i="4"/>
  <c r="AB23" i="4"/>
  <c r="AB24" i="4"/>
  <c r="AB25" i="4"/>
  <c r="AB26" i="4"/>
  <c r="AB27" i="4"/>
  <c r="AB28" i="4"/>
  <c r="AB29" i="4"/>
  <c r="AB30" i="4"/>
  <c r="AB31" i="4"/>
  <c r="AB32" i="4"/>
  <c r="AB33" i="4"/>
  <c r="AB34" i="4"/>
  <c r="AB35" i="4"/>
  <c r="AB36" i="4"/>
  <c r="AB37" i="4"/>
  <c r="AB38" i="4"/>
  <c r="AB39" i="4"/>
  <c r="AB40" i="4"/>
  <c r="AB41" i="4"/>
  <c r="AB42" i="4"/>
  <c r="AB43" i="4"/>
  <c r="AB44" i="4"/>
  <c r="AB45" i="4"/>
  <c r="AB46" i="4"/>
  <c r="AB47" i="4"/>
  <c r="AB48" i="4"/>
  <c r="AB49" i="4"/>
  <c r="AB50" i="4"/>
  <c r="AB51" i="4"/>
  <c r="AB52" i="4"/>
  <c r="AB53" i="4"/>
  <c r="AB54" i="4"/>
  <c r="AB55" i="4"/>
  <c r="AB56" i="4"/>
  <c r="AB57" i="4"/>
  <c r="AB58" i="4"/>
  <c r="AB59" i="4"/>
  <c r="AB60" i="4"/>
  <c r="AB61" i="4"/>
  <c r="AB62" i="4"/>
  <c r="AB63" i="4"/>
  <c r="AB64" i="4"/>
  <c r="AB65" i="4"/>
  <c r="AB66" i="4"/>
  <c r="AB67" i="4"/>
  <c r="AB68" i="4"/>
  <c r="AB69" i="4"/>
  <c r="AB70" i="4"/>
  <c r="AB71" i="4"/>
  <c r="AB72" i="4"/>
  <c r="AB73" i="4"/>
  <c r="AB74" i="4"/>
  <c r="AB75" i="4"/>
  <c r="AB76" i="4"/>
  <c r="AB77" i="4"/>
  <c r="AB78" i="4"/>
  <c r="AB79" i="4"/>
  <c r="AB80" i="4"/>
  <c r="AB81" i="4"/>
  <c r="AB82" i="4"/>
  <c r="AB83" i="4"/>
  <c r="AB84" i="4"/>
  <c r="AB85" i="4"/>
  <c r="AB86" i="4"/>
  <c r="AB87" i="4"/>
  <c r="AB88" i="4"/>
  <c r="AB89" i="4"/>
  <c r="AB90" i="4"/>
  <c r="AB91" i="4"/>
  <c r="AB92" i="4"/>
  <c r="AB93" i="4"/>
  <c r="AB94" i="4"/>
  <c r="AB95" i="4"/>
  <c r="AB96" i="4"/>
  <c r="AB97" i="4"/>
  <c r="AB98" i="4"/>
  <c r="AB99" i="4"/>
  <c r="AB100" i="4"/>
  <c r="AB101" i="4"/>
  <c r="AB102" i="4"/>
  <c r="AB103" i="4"/>
  <c r="AB104" i="4"/>
  <c r="AB105" i="4"/>
  <c r="AB106" i="4"/>
  <c r="AB107" i="4"/>
  <c r="AB108" i="4"/>
  <c r="AB109" i="4"/>
  <c r="AB110" i="4"/>
  <c r="AB111" i="4"/>
  <c r="AB112" i="4"/>
  <c r="AB113" i="4"/>
  <c r="AB114" i="4"/>
  <c r="AB115" i="4"/>
  <c r="AB116" i="4"/>
  <c r="AB117" i="4"/>
  <c r="AB118" i="4"/>
  <c r="AB119" i="4"/>
  <c r="AB120" i="4"/>
  <c r="AB121" i="4"/>
  <c r="AB122" i="4"/>
  <c r="AB123" i="4"/>
  <c r="AB124" i="4"/>
  <c r="AB125" i="4"/>
  <c r="AB126" i="4"/>
  <c r="AB127" i="4"/>
  <c r="AB128" i="4"/>
  <c r="AB129" i="4"/>
  <c r="AB130" i="4"/>
  <c r="AB131" i="4"/>
  <c r="AB132" i="4"/>
  <c r="AB133" i="4"/>
  <c r="AB134" i="4"/>
  <c r="AB135" i="4"/>
  <c r="AB136" i="4"/>
  <c r="AB137" i="4"/>
  <c r="AB138" i="4"/>
  <c r="AB139" i="4"/>
  <c r="AB140" i="4"/>
  <c r="AB141" i="4"/>
  <c r="AB142" i="4"/>
  <c r="AB143" i="4"/>
  <c r="AB144" i="4"/>
  <c r="AB145" i="4"/>
  <c r="AB146" i="4"/>
  <c r="AB147" i="4"/>
  <c r="AB148" i="4"/>
  <c r="AB149" i="4"/>
  <c r="AB150" i="4"/>
  <c r="AB151" i="4"/>
  <c r="AB152" i="4"/>
  <c r="AB153" i="4"/>
  <c r="AB154" i="4"/>
  <c r="AB155" i="4"/>
  <c r="AB156" i="4"/>
  <c r="AB157" i="4"/>
  <c r="AB158" i="4"/>
  <c r="AB159" i="4"/>
  <c r="AB160" i="4"/>
  <c r="AB161" i="4"/>
  <c r="AB162" i="4"/>
  <c r="AB163" i="4"/>
  <c r="AB164" i="4"/>
  <c r="AB165" i="4"/>
  <c r="AB166" i="4"/>
  <c r="AB167" i="4"/>
  <c r="AB168" i="4"/>
  <c r="AB169" i="4"/>
  <c r="AB170" i="4"/>
  <c r="AB171" i="4"/>
  <c r="AB172" i="4"/>
  <c r="AB173" i="4"/>
  <c r="AB174" i="4"/>
  <c r="AB175" i="4"/>
  <c r="AB176" i="4"/>
  <c r="AB177" i="4"/>
  <c r="AB178" i="4"/>
  <c r="AB179" i="4"/>
  <c r="AB180" i="4"/>
  <c r="AB181" i="4"/>
  <c r="AB182" i="4"/>
  <c r="AB183" i="4"/>
  <c r="AB184" i="4"/>
  <c r="AB185" i="4"/>
  <c r="AB186" i="4"/>
  <c r="AB187" i="4"/>
  <c r="AB188" i="4"/>
  <c r="AB189" i="4"/>
  <c r="AB190" i="4"/>
  <c r="AB191" i="4"/>
  <c r="AB192" i="4"/>
  <c r="AB193" i="4"/>
  <c r="AB194" i="4"/>
  <c r="AB195" i="4"/>
  <c r="AB196" i="4"/>
  <c r="AB197" i="4"/>
  <c r="AB198" i="4"/>
  <c r="AB199" i="4"/>
  <c r="AB200" i="4"/>
  <c r="AB201" i="4"/>
  <c r="AB202" i="4"/>
  <c r="AB203" i="4"/>
  <c r="AB204" i="4"/>
  <c r="AB205" i="4"/>
  <c r="AB206" i="4"/>
  <c r="AB207" i="4"/>
  <c r="AB208" i="4"/>
  <c r="AB209" i="4"/>
  <c r="AB210" i="4"/>
  <c r="AB211" i="4"/>
  <c r="AB212" i="4"/>
  <c r="AB213" i="4"/>
  <c r="AB214" i="4"/>
  <c r="AB215" i="4"/>
  <c r="AB216" i="4"/>
  <c r="AB217" i="4"/>
  <c r="AB218" i="4"/>
  <c r="AB219" i="4"/>
  <c r="AB220" i="4"/>
  <c r="AB221" i="4"/>
  <c r="AB222" i="4"/>
  <c r="AB223" i="4"/>
  <c r="AB224" i="4"/>
  <c r="AB225" i="4"/>
  <c r="AB226" i="4"/>
  <c r="AB227" i="4"/>
  <c r="AB228" i="4"/>
  <c r="AB229" i="4"/>
  <c r="AB230" i="4"/>
  <c r="AB231" i="4"/>
  <c r="AB232" i="4"/>
  <c r="AB233" i="4"/>
  <c r="AB234" i="4"/>
  <c r="AB235" i="4"/>
  <c r="AB236" i="4"/>
  <c r="AB237" i="4"/>
  <c r="AB238" i="4"/>
  <c r="AB239" i="4"/>
  <c r="AB240" i="4"/>
  <c r="AB241" i="4"/>
  <c r="AB242" i="4"/>
  <c r="AB243" i="4"/>
  <c r="AB244" i="4"/>
  <c r="AB245" i="4"/>
  <c r="AB246" i="4"/>
  <c r="AB247" i="4"/>
  <c r="AB248" i="4"/>
  <c r="AB249" i="4"/>
  <c r="AB250" i="4"/>
  <c r="AB251" i="4"/>
  <c r="AB252" i="4"/>
  <c r="AB253" i="4"/>
  <c r="AB254" i="4"/>
  <c r="AB255" i="4"/>
  <c r="AB256" i="4"/>
  <c r="AB257" i="4"/>
  <c r="AB258" i="4"/>
  <c r="AB259" i="4"/>
  <c r="AB260" i="4"/>
  <c r="AB261" i="4"/>
  <c r="AB262" i="4"/>
  <c r="AB263" i="4"/>
  <c r="AB264" i="4"/>
  <c r="AB265" i="4"/>
  <c r="AB266" i="4"/>
  <c r="AB267" i="4"/>
  <c r="AB268" i="4"/>
  <c r="AB269" i="4"/>
  <c r="AB270" i="4"/>
  <c r="AB271" i="4"/>
  <c r="AB272" i="4"/>
  <c r="AB273" i="4"/>
  <c r="AB274" i="4"/>
  <c r="AB275" i="4"/>
  <c r="AB276" i="4"/>
  <c r="AB277" i="4"/>
  <c r="AB278" i="4"/>
  <c r="AB279" i="4"/>
  <c r="AB280" i="4"/>
  <c r="AB281" i="4"/>
  <c r="AB282" i="4"/>
  <c r="AB283" i="4"/>
  <c r="AB284" i="4"/>
  <c r="AB285" i="4"/>
  <c r="AB286" i="4"/>
  <c r="AB287" i="4"/>
  <c r="AB288" i="4"/>
  <c r="AB289" i="4"/>
  <c r="AB290" i="4"/>
  <c r="AB291" i="4"/>
  <c r="AB292" i="4"/>
  <c r="AB293" i="4"/>
  <c r="AB294" i="4"/>
  <c r="AB295" i="4"/>
  <c r="AB296" i="4"/>
  <c r="AB297" i="4"/>
  <c r="AB298" i="4"/>
  <c r="AB299" i="4"/>
  <c r="AC8" i="4"/>
  <c r="AB8" i="4"/>
  <c r="F2" i="4"/>
  <c r="F3" i="4"/>
  <c r="F1" i="4" s="1"/>
  <c r="B2" i="4"/>
  <c r="C2" i="4"/>
  <c r="D2" i="4"/>
  <c r="E2" i="4"/>
  <c r="B3" i="4"/>
  <c r="C3" i="4"/>
  <c r="D3" i="4"/>
  <c r="E3" i="4"/>
  <c r="AD294" i="4" l="1"/>
  <c r="AD293" i="4"/>
  <c r="AD193" i="4"/>
  <c r="AD23" i="4"/>
  <c r="AD242" i="4"/>
  <c r="AD241" i="4"/>
  <c r="AD221" i="4"/>
  <c r="AD41" i="4"/>
  <c r="AD128" i="4"/>
  <c r="AD127" i="4"/>
  <c r="AD126" i="4"/>
  <c r="AD66" i="4"/>
  <c r="AD114" i="4"/>
  <c r="AD65" i="4"/>
  <c r="AD113" i="4"/>
  <c r="E1" i="4"/>
  <c r="AD192" i="4"/>
  <c r="AD208" i="4"/>
  <c r="AD168" i="4"/>
  <c r="AD88" i="4"/>
  <c r="AD68" i="4"/>
  <c r="AD267" i="4"/>
  <c r="AD247" i="4"/>
  <c r="AD227" i="4"/>
  <c r="AD207" i="4"/>
  <c r="AD147" i="4"/>
  <c r="AD107" i="4"/>
  <c r="AD87" i="4"/>
  <c r="AD67" i="4"/>
  <c r="AD47" i="4"/>
  <c r="AD27" i="4"/>
  <c r="AD206" i="4"/>
  <c r="AD245" i="4"/>
  <c r="AD205" i="4"/>
  <c r="AD196" i="4"/>
  <c r="AD244" i="4"/>
  <c r="AD224" i="4"/>
  <c r="AD204" i="4"/>
  <c r="AD144" i="4"/>
  <c r="AD64" i="4"/>
  <c r="AD44" i="4"/>
  <c r="AD280" i="4"/>
  <c r="AD260" i="4"/>
  <c r="AD240" i="4"/>
  <c r="AD220" i="4"/>
  <c r="AD200" i="4"/>
  <c r="AD180" i="4"/>
  <c r="AD160" i="4"/>
  <c r="AD140" i="4"/>
  <c r="AD120" i="4"/>
  <c r="AD100" i="4"/>
  <c r="AD80" i="4"/>
  <c r="AD60" i="4"/>
  <c r="AD40" i="4"/>
  <c r="AD20" i="4"/>
  <c r="AD298" i="4"/>
  <c r="AD278" i="4"/>
  <c r="AD258" i="4"/>
  <c r="AD238" i="4"/>
  <c r="AD218" i="4"/>
  <c r="AD198" i="4"/>
  <c r="AD178" i="4"/>
  <c r="AD158" i="4"/>
  <c r="AD138" i="4"/>
  <c r="AD118" i="4"/>
  <c r="AD98" i="4"/>
  <c r="AD78" i="4"/>
  <c r="AD58" i="4"/>
  <c r="AD38" i="4"/>
  <c r="AD18" i="4"/>
  <c r="AD292" i="4"/>
  <c r="AD272" i="4"/>
  <c r="AD252" i="4"/>
  <c r="AD232" i="4"/>
  <c r="AD212" i="4"/>
  <c r="AD172" i="4"/>
  <c r="AD152" i="4"/>
  <c r="AD132" i="4"/>
  <c r="AD112" i="4"/>
  <c r="AD92" i="4"/>
  <c r="AD72" i="4"/>
  <c r="AD52" i="4"/>
  <c r="AD32" i="4"/>
  <c r="AD12" i="4"/>
  <c r="AD283" i="4"/>
  <c r="AD203" i="4"/>
  <c r="AD163" i="4"/>
  <c r="AD143" i="4"/>
  <c r="AD103" i="4"/>
  <c r="AD83" i="4"/>
  <c r="AD63" i="4"/>
  <c r="AD51" i="4"/>
  <c r="AD282" i="4"/>
  <c r="AD162" i="4"/>
  <c r="AD142" i="4"/>
  <c r="AD102" i="4"/>
  <c r="AD82" i="4"/>
  <c r="AD50" i="4"/>
  <c r="AD281" i="4"/>
  <c r="AD141" i="4"/>
  <c r="AD101" i="4"/>
  <c r="AD81" i="4"/>
  <c r="AD297" i="4"/>
  <c r="AD257" i="4"/>
  <c r="AD237" i="4"/>
  <c r="AD217" i="4"/>
  <c r="AD197" i="4"/>
  <c r="AD177" i="4"/>
  <c r="AD157" i="4"/>
  <c r="AD137" i="4"/>
  <c r="AD117" i="4"/>
  <c r="AD97" i="4"/>
  <c r="AD77" i="4"/>
  <c r="AD57" i="4"/>
  <c r="AD37" i="4"/>
  <c r="AD17" i="4"/>
  <c r="D1" i="4"/>
  <c r="AD276" i="4"/>
  <c r="AD256" i="4"/>
  <c r="AD236" i="4"/>
  <c r="AD176" i="4"/>
  <c r="AD156" i="4"/>
  <c r="AD96" i="4"/>
  <c r="AD76" i="4"/>
  <c r="AD56" i="4"/>
  <c r="AD36" i="4"/>
  <c r="AD16" i="4"/>
  <c r="AD287" i="4"/>
  <c r="AD187" i="4"/>
  <c r="AD167" i="4"/>
  <c r="AD275" i="4"/>
  <c r="AD255" i="4"/>
  <c r="AD175" i="4"/>
  <c r="AD155" i="4"/>
  <c r="AD75" i="4"/>
  <c r="AD55" i="4"/>
  <c r="AD35" i="4"/>
  <c r="AD15" i="4"/>
  <c r="AD226" i="4"/>
  <c r="AD254" i="4"/>
  <c r="AD234" i="4"/>
  <c r="AD214" i="4"/>
  <c r="AD174" i="4"/>
  <c r="AD154" i="4"/>
  <c r="AD74" i="4"/>
  <c r="AD54" i="4"/>
  <c r="AD285" i="4"/>
  <c r="AD265" i="4"/>
  <c r="AD165" i="4"/>
  <c r="AD273" i="4"/>
  <c r="AD253" i="4"/>
  <c r="AD233" i="4"/>
  <c r="AD153" i="4"/>
  <c r="AD133" i="4"/>
  <c r="AD93" i="4"/>
  <c r="AD53" i="4"/>
  <c r="AD33" i="4"/>
  <c r="AD13" i="4"/>
  <c r="AD284" i="4"/>
  <c r="AD264" i="4"/>
  <c r="AD164" i="4"/>
  <c r="AD104" i="4"/>
  <c r="AD84" i="4"/>
  <c r="AD289" i="4"/>
  <c r="AD269" i="4"/>
  <c r="AD249" i="4"/>
  <c r="AD229" i="4"/>
  <c r="AD209" i="4"/>
  <c r="AD189" i="4"/>
  <c r="AD169" i="4"/>
  <c r="AD149" i="4"/>
  <c r="AD129" i="4"/>
  <c r="AD109" i="4"/>
  <c r="AD89" i="4"/>
  <c r="AD69" i="4"/>
  <c r="AD49" i="4"/>
  <c r="AD29" i="4"/>
  <c r="AD9" i="4"/>
  <c r="AD228" i="4"/>
  <c r="AD148" i="4"/>
  <c r="AD266" i="4"/>
  <c r="AD186" i="4"/>
  <c r="AD145" i="4"/>
  <c r="AD116" i="4"/>
  <c r="AD184" i="4"/>
  <c r="AD124" i="4"/>
  <c r="AD24" i="4"/>
  <c r="AD235" i="4"/>
  <c r="AD115" i="4"/>
  <c r="AD183" i="4"/>
  <c r="AD14" i="4"/>
  <c r="AD213" i="4"/>
  <c r="AD268" i="4"/>
  <c r="AD188" i="4"/>
  <c r="AD108" i="4"/>
  <c r="AD28" i="4"/>
  <c r="AD86" i="4"/>
  <c r="AD277" i="4"/>
  <c r="AD105" i="4"/>
  <c r="AD25" i="4"/>
  <c r="AD216" i="4"/>
  <c r="AD136" i="4"/>
  <c r="AD295" i="4"/>
  <c r="AD215" i="4"/>
  <c r="AD195" i="4"/>
  <c r="AD135" i="4"/>
  <c r="AD261" i="4"/>
  <c r="AD201" i="4"/>
  <c r="AD181" i="4"/>
  <c r="AD288" i="4"/>
  <c r="AD48" i="4"/>
  <c r="AD286" i="4"/>
  <c r="AD166" i="4"/>
  <c r="AD106" i="4"/>
  <c r="AD26" i="4"/>
  <c r="AD225" i="4"/>
  <c r="AD125" i="4"/>
  <c r="AD45" i="4"/>
  <c r="AD95" i="4"/>
  <c r="AD251" i="4"/>
  <c r="AD191" i="4"/>
  <c r="AD131" i="4"/>
  <c r="AD111" i="4"/>
  <c r="AD31" i="4"/>
  <c r="AD248" i="4"/>
  <c r="AD246" i="4"/>
  <c r="AD146" i="4"/>
  <c r="AD46" i="4"/>
  <c r="AD185" i="4"/>
  <c r="AD85" i="4"/>
  <c r="AD296" i="4"/>
  <c r="AD299" i="4"/>
  <c r="AD279" i="4"/>
  <c r="AD259" i="4"/>
  <c r="AD239" i="4"/>
  <c r="AD219" i="4"/>
  <c r="AD199" i="4"/>
  <c r="AD179" i="4"/>
  <c r="AD159" i="4"/>
  <c r="AD139" i="4"/>
  <c r="AD119" i="4"/>
  <c r="AD99" i="4"/>
  <c r="AD79" i="4"/>
  <c r="AD59" i="4"/>
  <c r="AD39" i="4"/>
  <c r="AD19" i="4"/>
  <c r="AD190" i="4"/>
  <c r="AD130" i="4"/>
  <c r="B1" i="4"/>
  <c r="G248" i="4" s="1"/>
  <c r="G106" i="4"/>
  <c r="AD291" i="4"/>
  <c r="AD271" i="4"/>
  <c r="AD231" i="4"/>
  <c r="AD211" i="4"/>
  <c r="AD171" i="4"/>
  <c r="AD151" i="4"/>
  <c r="AD91" i="4"/>
  <c r="AD71" i="4"/>
  <c r="AD11" i="4"/>
  <c r="AD290" i="4"/>
  <c r="AD270" i="4"/>
  <c r="AD250" i="4"/>
  <c r="AD230" i="4"/>
  <c r="AD210" i="4"/>
  <c r="AD170" i="4"/>
  <c r="AD150" i="4"/>
  <c r="AD110" i="4"/>
  <c r="AD90" i="4"/>
  <c r="AD70" i="4"/>
  <c r="AD30" i="4"/>
  <c r="AD10" i="4"/>
  <c r="AD263" i="4"/>
  <c r="AD243" i="4"/>
  <c r="AD223" i="4"/>
  <c r="AD43" i="4"/>
  <c r="C1" i="4"/>
  <c r="AD123" i="4"/>
  <c r="AD202" i="4"/>
  <c r="AD182" i="4"/>
  <c r="AD62" i="4"/>
  <c r="AD42" i="4"/>
  <c r="AD262" i="4"/>
  <c r="AD222" i="4"/>
  <c r="AD122" i="4"/>
  <c r="AD22" i="4"/>
  <c r="AD8" i="4"/>
  <c r="AD161" i="4"/>
  <c r="AD121" i="4"/>
  <c r="AD61" i="4"/>
  <c r="AD21" i="4"/>
  <c r="AD274" i="4"/>
  <c r="AD194" i="4"/>
  <c r="AD134" i="4"/>
  <c r="AD94" i="4"/>
  <c r="AD34" i="4"/>
  <c r="AD173" i="4"/>
  <c r="AD73" i="4"/>
  <c r="AB397" i="3"/>
  <c r="AB398" i="3"/>
  <c r="AB337" i="3"/>
  <c r="AB277" i="3"/>
  <c r="AB237" i="3"/>
  <c r="AB798" i="3"/>
  <c r="AB778" i="3"/>
  <c r="AB738" i="3"/>
  <c r="AB698" i="3"/>
  <c r="AB678" i="3"/>
  <c r="AB618" i="3"/>
  <c r="AB598" i="3"/>
  <c r="AB538" i="3"/>
  <c r="AB518" i="3"/>
  <c r="AB478" i="3"/>
  <c r="AB438" i="3"/>
  <c r="AB378" i="3"/>
  <c r="AB318" i="3"/>
  <c r="AB298" i="3"/>
  <c r="AB238" i="3"/>
  <c r="AB178" i="3"/>
  <c r="AB118" i="3"/>
  <c r="AB98" i="3"/>
  <c r="AB38" i="3"/>
  <c r="AB18" i="3"/>
  <c r="K116" i="6"/>
  <c r="Q116" i="6"/>
  <c r="Y116" i="6"/>
  <c r="W116" i="6"/>
  <c r="AH116" i="6"/>
  <c r="AP116" i="6"/>
  <c r="AJ114" i="6"/>
  <c r="W114" i="6"/>
  <c r="W115" i="6"/>
  <c r="Y114" i="6"/>
  <c r="Y115" i="6"/>
  <c r="AH114" i="6"/>
  <c r="AJ116" i="6"/>
  <c r="AP114" i="6"/>
  <c r="AP115" i="6"/>
  <c r="AJ115" i="6"/>
  <c r="AH115" i="6"/>
  <c r="Q115" i="6"/>
  <c r="K114" i="6"/>
  <c r="K115" i="6"/>
  <c r="Q114" i="6"/>
  <c r="AB139" i="3"/>
  <c r="AB418" i="3"/>
  <c r="AB797" i="3"/>
  <c r="AB777" i="3"/>
  <c r="AB737" i="3"/>
  <c r="AB637" i="3"/>
  <c r="AB577" i="3"/>
  <c r="AB537" i="3"/>
  <c r="AB437" i="3"/>
  <c r="AB417" i="3"/>
  <c r="AB217" i="3"/>
  <c r="AB197" i="3"/>
  <c r="AB137" i="3"/>
  <c r="AB117" i="3"/>
  <c r="AB77" i="3"/>
  <c r="AB37" i="3"/>
  <c r="AB578" i="3"/>
  <c r="AB218" i="3"/>
  <c r="AB198" i="3"/>
  <c r="AB78" i="3"/>
  <c r="AB733" i="3"/>
  <c r="AB653" i="3"/>
  <c r="AB583" i="3"/>
  <c r="AB503" i="3"/>
  <c r="AB153" i="3"/>
  <c r="AB83" i="3"/>
  <c r="AB576" i="3"/>
  <c r="AB296" i="3"/>
  <c r="AB516" i="3"/>
  <c r="AB295" i="3"/>
  <c r="AB718" i="3"/>
  <c r="AB638" i="3"/>
  <c r="AB498" i="3"/>
  <c r="AB278" i="3"/>
  <c r="AB138" i="3"/>
  <c r="AB717" i="3"/>
  <c r="AB497" i="3"/>
  <c r="AB374" i="3"/>
  <c r="AB723" i="3"/>
  <c r="AB643" i="3"/>
  <c r="AB143" i="3"/>
  <c r="AB338" i="3"/>
  <c r="AB697" i="3"/>
  <c r="AB639" i="3"/>
  <c r="AB339" i="3"/>
  <c r="AB199" i="3"/>
  <c r="AB677" i="3"/>
  <c r="AB617" i="3"/>
  <c r="AB597" i="3"/>
  <c r="AB517" i="3"/>
  <c r="AB477" i="3"/>
  <c r="AB377" i="3"/>
  <c r="AB317" i="3"/>
  <c r="AB297" i="3"/>
  <c r="AB177" i="3"/>
  <c r="AB97" i="3"/>
  <c r="AB17" i="3"/>
  <c r="AB223" i="3"/>
  <c r="AB436" i="3"/>
  <c r="AB416" i="3"/>
  <c r="AB356" i="3"/>
  <c r="AB156" i="3"/>
  <c r="AB355" i="3"/>
  <c r="AB255" i="3"/>
  <c r="AB195" i="3"/>
  <c r="AB175" i="3"/>
  <c r="AB155" i="3"/>
  <c r="AB135" i="3"/>
  <c r="AB115" i="3"/>
  <c r="AB95" i="3"/>
  <c r="AB75" i="3"/>
  <c r="AB55" i="3"/>
  <c r="AB35" i="3"/>
  <c r="AB15" i="3"/>
  <c r="AB736" i="3"/>
  <c r="AB676" i="3"/>
  <c r="AB656" i="3"/>
  <c r="AB596" i="3"/>
  <c r="AB476" i="3"/>
  <c r="AB796" i="3"/>
  <c r="AB776" i="3"/>
  <c r="AB756" i="3"/>
  <c r="AB636" i="3"/>
  <c r="AB616" i="3"/>
  <c r="AB556" i="3"/>
  <c r="AB536" i="3"/>
  <c r="AB496" i="3"/>
  <c r="AB456" i="3"/>
  <c r="AB396" i="3"/>
  <c r="AB376" i="3"/>
  <c r="AB316" i="3"/>
  <c r="AB256" i="3"/>
  <c r="AB196" i="3"/>
  <c r="AB176" i="3"/>
  <c r="AB136" i="3"/>
  <c r="AB116" i="3"/>
  <c r="AB96" i="3"/>
  <c r="AB76" i="3"/>
  <c r="AB56" i="3"/>
  <c r="AB16" i="3"/>
  <c r="AB795" i="3"/>
  <c r="AB775" i="3"/>
  <c r="AB755" i="3"/>
  <c r="AB735" i="3"/>
  <c r="AB715" i="3"/>
  <c r="AB655" i="3"/>
  <c r="AB635" i="3"/>
  <c r="AB615" i="3"/>
  <c r="AB595" i="3"/>
  <c r="AB575" i="3"/>
  <c r="AB555" i="3"/>
  <c r="AB495" i="3"/>
  <c r="AB336" i="3"/>
  <c r="AB696" i="3"/>
  <c r="AB695" i="3"/>
  <c r="AB216" i="3"/>
  <c r="AB36" i="3"/>
  <c r="AB236" i="3"/>
  <c r="AB699" i="3"/>
  <c r="AB499" i="3"/>
  <c r="AB799" i="3"/>
  <c r="AB789" i="3"/>
  <c r="AB779" i="3"/>
  <c r="AB769" i="3"/>
  <c r="AB759" i="3"/>
  <c r="AB749" i="3"/>
  <c r="AB739" i="3"/>
  <c r="AB719" i="3"/>
  <c r="AB709" i="3"/>
  <c r="AB689" i="3"/>
  <c r="AB679" i="3"/>
  <c r="AB669" i="3"/>
  <c r="AB659" i="3"/>
  <c r="AB629" i="3"/>
  <c r="AB619" i="3"/>
  <c r="AB609" i="3"/>
  <c r="AB599" i="3"/>
  <c r="AB579" i="3"/>
  <c r="AB569" i="3"/>
  <c r="AB559" i="3"/>
  <c r="AB539" i="3"/>
  <c r="AB519" i="3"/>
  <c r="AB479" i="3"/>
  <c r="AB459" i="3"/>
  <c r="AB439" i="3"/>
  <c r="AB419" i="3"/>
  <c r="AB399" i="3"/>
  <c r="AB379" i="3"/>
  <c r="AB359" i="3"/>
  <c r="AB319" i="3"/>
  <c r="AB299" i="3"/>
  <c r="AB279" i="3"/>
  <c r="AB259" i="3"/>
  <c r="AB239" i="3"/>
  <c r="AB219" i="3"/>
  <c r="AB179" i="3"/>
  <c r="AB169" i="3"/>
  <c r="AB149" i="3"/>
  <c r="AB129" i="3"/>
  <c r="AB109" i="3"/>
  <c r="AB99" i="3"/>
  <c r="AB89" i="3"/>
  <c r="AB79" i="3"/>
  <c r="AB69" i="3"/>
  <c r="AB59" i="3"/>
  <c r="AB49" i="3"/>
  <c r="AB39" i="3"/>
  <c r="AB29" i="3"/>
  <c r="AB19" i="3"/>
  <c r="AB9" i="3"/>
  <c r="AB729" i="3"/>
  <c r="AB649" i="3"/>
  <c r="AB589" i="3"/>
  <c r="AB549" i="3"/>
  <c r="AB529" i="3"/>
  <c r="AB509" i="3"/>
  <c r="AB489" i="3"/>
  <c r="AB469" i="3"/>
  <c r="AB449" i="3"/>
  <c r="AB429" i="3"/>
  <c r="AB409" i="3"/>
  <c r="AB389" i="3"/>
  <c r="AB369" i="3"/>
  <c r="AB349" i="3"/>
  <c r="AB329" i="3"/>
  <c r="AB309" i="3"/>
  <c r="AB289" i="3"/>
  <c r="AB269" i="3"/>
  <c r="AB249" i="3"/>
  <c r="AB229" i="3"/>
  <c r="AB209" i="3"/>
  <c r="AB189" i="3"/>
  <c r="AB159" i="3"/>
  <c r="AB119" i="3"/>
  <c r="AB757" i="3"/>
  <c r="AB657" i="3"/>
  <c r="AB557" i="3"/>
  <c r="AB457" i="3"/>
  <c r="AB357" i="3"/>
  <c r="AB257" i="3"/>
  <c r="AB157" i="3"/>
  <c r="AB57" i="3"/>
  <c r="AB535" i="3"/>
  <c r="AB435" i="3"/>
  <c r="AB315" i="3"/>
  <c r="AB235" i="3"/>
  <c r="AB784" i="3"/>
  <c r="AB754" i="3"/>
  <c r="AB724" i="3"/>
  <c r="AB684" i="3"/>
  <c r="AB654" i="3"/>
  <c r="AB614" i="3"/>
  <c r="AB584" i="3"/>
  <c r="AB554" i="3"/>
  <c r="AB524" i="3"/>
  <c r="AB494" i="3"/>
  <c r="AB454" i="3"/>
  <c r="AB424" i="3"/>
  <c r="AB394" i="3"/>
  <c r="AB364" i="3"/>
  <c r="AB334" i="3"/>
  <c r="AB294" i="3"/>
  <c r="AB264" i="3"/>
  <c r="AB224" i="3"/>
  <c r="AB194" i="3"/>
  <c r="AB164" i="3"/>
  <c r="AB134" i="3"/>
  <c r="AB104" i="3"/>
  <c r="AB74" i="3"/>
  <c r="AB44" i="3"/>
  <c r="AB14" i="3"/>
  <c r="AB515" i="3"/>
  <c r="AB415" i="3"/>
  <c r="AB794" i="3"/>
  <c r="AB764" i="3"/>
  <c r="AB734" i="3"/>
  <c r="AB714" i="3"/>
  <c r="AB694" i="3"/>
  <c r="AB664" i="3"/>
  <c r="AB634" i="3"/>
  <c r="AB604" i="3"/>
  <c r="AB564" i="3"/>
  <c r="AB534" i="3"/>
  <c r="AB504" i="3"/>
  <c r="AB474" i="3"/>
  <c r="AB444" i="3"/>
  <c r="AB414" i="3"/>
  <c r="AB384" i="3"/>
  <c r="AB354" i="3"/>
  <c r="AB314" i="3"/>
  <c r="AB284" i="3"/>
  <c r="AB254" i="3"/>
  <c r="AB234" i="3"/>
  <c r="AB214" i="3"/>
  <c r="AB184" i="3"/>
  <c r="AB154" i="3"/>
  <c r="AB124" i="3"/>
  <c r="AB84" i="3"/>
  <c r="AB54" i="3"/>
  <c r="AB34" i="3"/>
  <c r="AB803" i="3"/>
  <c r="AB793" i="3"/>
  <c r="AB783" i="3"/>
  <c r="AB753" i="3"/>
  <c r="AB743" i="3"/>
  <c r="AB703" i="3"/>
  <c r="AB693" i="3"/>
  <c r="AB683" i="3"/>
  <c r="AB633" i="3"/>
  <c r="AB623" i="3"/>
  <c r="AB603" i="3"/>
  <c r="AB593" i="3"/>
  <c r="AB553" i="3"/>
  <c r="AB543" i="3"/>
  <c r="AB533" i="3"/>
  <c r="AB523" i="3"/>
  <c r="AB493" i="3"/>
  <c r="AB483" i="3"/>
  <c r="AB453" i="3"/>
  <c r="AB443" i="3"/>
  <c r="AB433" i="3"/>
  <c r="AB423" i="3"/>
  <c r="AB403" i="3"/>
  <c r="AB393" i="3"/>
  <c r="AB383" i="3"/>
  <c r="AB353" i="3"/>
  <c r="AB343" i="3"/>
  <c r="AB333" i="3"/>
  <c r="AB323" i="3"/>
  <c r="AB303" i="3"/>
  <c r="AB293" i="3"/>
  <c r="AB283" i="3"/>
  <c r="AB253" i="3"/>
  <c r="AB243" i="3"/>
  <c r="AB233" i="3"/>
  <c r="AB203" i="3"/>
  <c r="AB193" i="3"/>
  <c r="AB183" i="3"/>
  <c r="AB133" i="3"/>
  <c r="AB123" i="3"/>
  <c r="AB103" i="3"/>
  <c r="AB93" i="3"/>
  <c r="AB53" i="3"/>
  <c r="AB43" i="3"/>
  <c r="AB33" i="3"/>
  <c r="AB23" i="3"/>
  <c r="AB395" i="3"/>
  <c r="AB215" i="3"/>
  <c r="AB804" i="3"/>
  <c r="AB774" i="3"/>
  <c r="AB744" i="3"/>
  <c r="AB704" i="3"/>
  <c r="AB674" i="3"/>
  <c r="AB644" i="3"/>
  <c r="AB624" i="3"/>
  <c r="AB594" i="3"/>
  <c r="AB574" i="3"/>
  <c r="AB544" i="3"/>
  <c r="AB514" i="3"/>
  <c r="AB484" i="3"/>
  <c r="AB464" i="3"/>
  <c r="AB434" i="3"/>
  <c r="AB404" i="3"/>
  <c r="AB344" i="3"/>
  <c r="AB324" i="3"/>
  <c r="AB304" i="3"/>
  <c r="AB274" i="3"/>
  <c r="AB244" i="3"/>
  <c r="AB204" i="3"/>
  <c r="AB174" i="3"/>
  <c r="AB144" i="3"/>
  <c r="AB114" i="3"/>
  <c r="AB94" i="3"/>
  <c r="AB64" i="3"/>
  <c r="AB24" i="3"/>
  <c r="AB475" i="3"/>
  <c r="AB455" i="3"/>
  <c r="AB375" i="3"/>
  <c r="AB335" i="3"/>
  <c r="AB275" i="3"/>
  <c r="AB263" i="3"/>
  <c r="AB352" i="3"/>
  <c r="AB800" i="3"/>
  <c r="AB790" i="3"/>
  <c r="AB780" i="3"/>
  <c r="AB770" i="3"/>
  <c r="AB760" i="3"/>
  <c r="AB750" i="3"/>
  <c r="AB740" i="3"/>
  <c r="AB730" i="3"/>
  <c r="AB720" i="3"/>
  <c r="AB710" i="3"/>
  <c r="AB700" i="3"/>
  <c r="AB690" i="3"/>
  <c r="AB680" i="3"/>
  <c r="AB670" i="3"/>
  <c r="AB650" i="3"/>
  <c r="AB640" i="3"/>
  <c r="AB630" i="3"/>
  <c r="AB620" i="3"/>
  <c r="AB610" i="3"/>
  <c r="AB600" i="3"/>
  <c r="AB590" i="3"/>
  <c r="AB580" i="3"/>
  <c r="AB570" i="3"/>
  <c r="AB560" i="3"/>
  <c r="AB550" i="3"/>
  <c r="AB540" i="3"/>
  <c r="AB530" i="3"/>
  <c r="AB520" i="3"/>
  <c r="AB510" i="3"/>
  <c r="AB500" i="3"/>
  <c r="AB490" i="3"/>
  <c r="AB480" i="3"/>
  <c r="AB470" i="3"/>
  <c r="AB460" i="3"/>
  <c r="AB450" i="3"/>
  <c r="AB440" i="3"/>
  <c r="AB430" i="3"/>
  <c r="AB420" i="3"/>
  <c r="AB410" i="3"/>
  <c r="AB400" i="3"/>
  <c r="AB390" i="3"/>
  <c r="AB380" i="3"/>
  <c r="AB370" i="3"/>
  <c r="AB360" i="3"/>
  <c r="AB350" i="3"/>
  <c r="AB340" i="3"/>
  <c r="AB330" i="3"/>
  <c r="AB320" i="3"/>
  <c r="AB310" i="3"/>
  <c r="AB300" i="3"/>
  <c r="AB290" i="3"/>
  <c r="AB280" i="3"/>
  <c r="AB270" i="3"/>
  <c r="AB260" i="3"/>
  <c r="AB250" i="3"/>
  <c r="AB240" i="3"/>
  <c r="AB230" i="3"/>
  <c r="AB220" i="3"/>
  <c r="AB210" i="3"/>
  <c r="AB200" i="3"/>
  <c r="AB190" i="3"/>
  <c r="AB180" i="3"/>
  <c r="AB170" i="3"/>
  <c r="AB160" i="3"/>
  <c r="AB150" i="3"/>
  <c r="AB140" i="3"/>
  <c r="AB130" i="3"/>
  <c r="AB120" i="3"/>
  <c r="AB110" i="3"/>
  <c r="AB100" i="3"/>
  <c r="AB90" i="3"/>
  <c r="AB80" i="3"/>
  <c r="AB70" i="3"/>
  <c r="AB60" i="3"/>
  <c r="AB50" i="3"/>
  <c r="AB40" i="3"/>
  <c r="AB30" i="3"/>
  <c r="AB20" i="3"/>
  <c r="AB10" i="3"/>
  <c r="AB613" i="3"/>
  <c r="AB573" i="3"/>
  <c r="AB463" i="3"/>
  <c r="AB413" i="3"/>
  <c r="AB363" i="3"/>
  <c r="AB313" i="3"/>
  <c r="AB273" i="3"/>
  <c r="AB173" i="3"/>
  <c r="AB163" i="3"/>
  <c r="AB113" i="3"/>
  <c r="AB63" i="3"/>
  <c r="AB13" i="3"/>
  <c r="AB802" i="3"/>
  <c r="AB782" i="3"/>
  <c r="AB762" i="3"/>
  <c r="AB742" i="3"/>
  <c r="AB722" i="3"/>
  <c r="AB702" i="3"/>
  <c r="AB682" i="3"/>
  <c r="AB662" i="3"/>
  <c r="AB622" i="3"/>
  <c r="AB602" i="3"/>
  <c r="AB582" i="3"/>
  <c r="AB562" i="3"/>
  <c r="AB542" i="3"/>
  <c r="AB522" i="3"/>
  <c r="AB502" i="3"/>
  <c r="AB482" i="3"/>
  <c r="AB462" i="3"/>
  <c r="AB442" i="3"/>
  <c r="AB422" i="3"/>
  <c r="AB392" i="3"/>
  <c r="AB372" i="3"/>
  <c r="AB332" i="3"/>
  <c r="AB312" i="3"/>
  <c r="AB292" i="3"/>
  <c r="AB262" i="3"/>
  <c r="AB242" i="3"/>
  <c r="AB222" i="3"/>
  <c r="AB202" i="3"/>
  <c r="AB162" i="3"/>
  <c r="AB122" i="3"/>
  <c r="AB12" i="3"/>
  <c r="AB801" i="3"/>
  <c r="AB781" i="3"/>
  <c r="AB761" i="3"/>
  <c r="AB741" i="3"/>
  <c r="AB721" i="3"/>
  <c r="AB701" i="3"/>
  <c r="AB758" i="3"/>
  <c r="AB658" i="3"/>
  <c r="AB558" i="3"/>
  <c r="AB458" i="3"/>
  <c r="AB358" i="3"/>
  <c r="AB258" i="3"/>
  <c r="AB158" i="3"/>
  <c r="AB58" i="3"/>
  <c r="AB652" i="3"/>
  <c r="AB42" i="3"/>
  <c r="AB673" i="3"/>
  <c r="AB642" i="3"/>
  <c r="AB22" i="3"/>
  <c r="AB192" i="3"/>
  <c r="AB5" i="3"/>
  <c r="AB785" i="3"/>
  <c r="AB765" i="3"/>
  <c r="AB745" i="3"/>
  <c r="AB725" i="3"/>
  <c r="AB705" i="3"/>
  <c r="AB665" i="3"/>
  <c r="AB645" i="3"/>
  <c r="AB625" i="3"/>
  <c r="AB605" i="3"/>
  <c r="AB585" i="3"/>
  <c r="AB565" i="3"/>
  <c r="AB545" i="3"/>
  <c r="AB525" i="3"/>
  <c r="AB505" i="3"/>
  <c r="AB485" i="3"/>
  <c r="AB465" i="3"/>
  <c r="AB445" i="3"/>
  <c r="AB425" i="3"/>
  <c r="AB405" i="3"/>
  <c r="AB385" i="3"/>
  <c r="AB365" i="3"/>
  <c r="AB345" i="3"/>
  <c r="AB325" i="3"/>
  <c r="AB305" i="3"/>
  <c r="AB285" i="3"/>
  <c r="AB265" i="3"/>
  <c r="AB245" i="3"/>
  <c r="AB225" i="3"/>
  <c r="AB205" i="3"/>
  <c r="AB185" i="3"/>
  <c r="AB165" i="3"/>
  <c r="AB145" i="3"/>
  <c r="AB125" i="3"/>
  <c r="AB105" i="3"/>
  <c r="AB85" i="3"/>
  <c r="AB65" i="3"/>
  <c r="AB45" i="3"/>
  <c r="AB25" i="3"/>
  <c r="AB73" i="3"/>
  <c r="AB362" i="3"/>
  <c r="AB675" i="3"/>
  <c r="AB773" i="3"/>
  <c r="AB763" i="3"/>
  <c r="AB713" i="3"/>
  <c r="AB663" i="3"/>
  <c r="AB563" i="3"/>
  <c r="AB513" i="3"/>
  <c r="AB473" i="3"/>
  <c r="AB373" i="3"/>
  <c r="AB213" i="3"/>
  <c r="AB792" i="3"/>
  <c r="AB772" i="3"/>
  <c r="AB752" i="3"/>
  <c r="AB732" i="3"/>
  <c r="AB712" i="3"/>
  <c r="AB692" i="3"/>
  <c r="AB672" i="3"/>
  <c r="AB632" i="3"/>
  <c r="AB612" i="3"/>
  <c r="AB592" i="3"/>
  <c r="AB572" i="3"/>
  <c r="AB552" i="3"/>
  <c r="AB532" i="3"/>
  <c r="AB512" i="3"/>
  <c r="AB492" i="3"/>
  <c r="AB472" i="3"/>
  <c r="AB452" i="3"/>
  <c r="AB432" i="3"/>
  <c r="AB412" i="3"/>
  <c r="AB402" i="3"/>
  <c r="AB382" i="3"/>
  <c r="AB342" i="3"/>
  <c r="AB322" i="3"/>
  <c r="AB302" i="3"/>
  <c r="AB282" i="3"/>
  <c r="AB272" i="3"/>
  <c r="AB252" i="3"/>
  <c r="AB232" i="3"/>
  <c r="AB212" i="3"/>
  <c r="AB182" i="3"/>
  <c r="AB172" i="3"/>
  <c r="AB152" i="3"/>
  <c r="AB142" i="3"/>
  <c r="AB132" i="3"/>
  <c r="AB112" i="3"/>
  <c r="AB102" i="3"/>
  <c r="AB92" i="3"/>
  <c r="AB82" i="3"/>
  <c r="AB72" i="3"/>
  <c r="AB62" i="3"/>
  <c r="AB52" i="3"/>
  <c r="AB32" i="3"/>
  <c r="AB791" i="3"/>
  <c r="AB771" i="3"/>
  <c r="AB751" i="3"/>
  <c r="AB731" i="3"/>
  <c r="AB711" i="3"/>
  <c r="AB660" i="3"/>
  <c r="AB691" i="3"/>
  <c r="AB681" i="3"/>
  <c r="AB671" i="3"/>
  <c r="AB661" i="3"/>
  <c r="AB651" i="3"/>
  <c r="AB641" i="3"/>
  <c r="AB631" i="3"/>
  <c r="AB621" i="3"/>
  <c r="AB611" i="3"/>
  <c r="AB601" i="3"/>
  <c r="AB591" i="3"/>
  <c r="AB581" i="3"/>
  <c r="AB571" i="3"/>
  <c r="AB561" i="3"/>
  <c r="AB551" i="3"/>
  <c r="AB541" i="3"/>
  <c r="AB531" i="3"/>
  <c r="AB521" i="3"/>
  <c r="AB511" i="3"/>
  <c r="AB501" i="3"/>
  <c r="AB491" i="3"/>
  <c r="AB481" i="3"/>
  <c r="AB471" i="3"/>
  <c r="AB461" i="3"/>
  <c r="AB451" i="3"/>
  <c r="AB441" i="3"/>
  <c r="AB431" i="3"/>
  <c r="AB421" i="3"/>
  <c r="AB411" i="3"/>
  <c r="AB401" i="3"/>
  <c r="AB391" i="3"/>
  <c r="AB381" i="3"/>
  <c r="AB371" i="3"/>
  <c r="AB361" i="3"/>
  <c r="AB351" i="3"/>
  <c r="AB341" i="3"/>
  <c r="AB331" i="3"/>
  <c r="AB321" i="3"/>
  <c r="AB311" i="3"/>
  <c r="AB301" i="3"/>
  <c r="AB291" i="3"/>
  <c r="AB281" i="3"/>
  <c r="AB271" i="3"/>
  <c r="AB261" i="3"/>
  <c r="AB251" i="3"/>
  <c r="AB241" i="3"/>
  <c r="AB231" i="3"/>
  <c r="AB221" i="3"/>
  <c r="AB211" i="3"/>
  <c r="AB201" i="3"/>
  <c r="AB191" i="3"/>
  <c r="AB181" i="3"/>
  <c r="AB171" i="3"/>
  <c r="AB161" i="3"/>
  <c r="AB151" i="3"/>
  <c r="AB141" i="3"/>
  <c r="AB131" i="3"/>
  <c r="AB121" i="3"/>
  <c r="AB111" i="3"/>
  <c r="AB101" i="3"/>
  <c r="AB91" i="3"/>
  <c r="AB81" i="3"/>
  <c r="AB71" i="3"/>
  <c r="AB61" i="3"/>
  <c r="AB51" i="3"/>
  <c r="AB41" i="3"/>
  <c r="AB31" i="3"/>
  <c r="AB21" i="3"/>
  <c r="AB11" i="3"/>
  <c r="AB768" i="3"/>
  <c r="AB668" i="3"/>
  <c r="AB588" i="3"/>
  <c r="AB428" i="3"/>
  <c r="AB268" i="3"/>
  <c r="AB168" i="3"/>
  <c r="AB788" i="3"/>
  <c r="AB728" i="3"/>
  <c r="AB708" i="3"/>
  <c r="AB648" i="3"/>
  <c r="AB548" i="3"/>
  <c r="AB528" i="3"/>
  <c r="AB508" i="3"/>
  <c r="AB488" i="3"/>
  <c r="AB468" i="3"/>
  <c r="AB408" i="3"/>
  <c r="AB388" i="3"/>
  <c r="AB368" i="3"/>
  <c r="AB308" i="3"/>
  <c r="AB288" i="3"/>
  <c r="AB208" i="3"/>
  <c r="AB188" i="3"/>
  <c r="AB148" i="3"/>
  <c r="AB68" i="3"/>
  <c r="AB48" i="3"/>
  <c r="AB8" i="3"/>
  <c r="AB608" i="3"/>
  <c r="AB787" i="3"/>
  <c r="AB767" i="3"/>
  <c r="AB747" i="3"/>
  <c r="AB727" i="3"/>
  <c r="AB707" i="3"/>
  <c r="AB687" i="3"/>
  <c r="AB667" i="3"/>
  <c r="AB647" i="3"/>
  <c r="AB627" i="3"/>
  <c r="AB607" i="3"/>
  <c r="AB587" i="3"/>
  <c r="AB567" i="3"/>
  <c r="AB547" i="3"/>
  <c r="AB527" i="3"/>
  <c r="AB507" i="3"/>
  <c r="AB487" i="3"/>
  <c r="AB467" i="3"/>
  <c r="AB447" i="3"/>
  <c r="AB427" i="3"/>
  <c r="AB407" i="3"/>
  <c r="AB387" i="3"/>
  <c r="AB367" i="3"/>
  <c r="AB347" i="3"/>
  <c r="AB327" i="3"/>
  <c r="AB307" i="3"/>
  <c r="AB287" i="3"/>
  <c r="AB267" i="3"/>
  <c r="AB247" i="3"/>
  <c r="AB227" i="3"/>
  <c r="AB207" i="3"/>
  <c r="AB187" i="3"/>
  <c r="AB167" i="3"/>
  <c r="AB147" i="3"/>
  <c r="AB127" i="3"/>
  <c r="AB107" i="3"/>
  <c r="AB87" i="3"/>
  <c r="AB67" i="3"/>
  <c r="AB47" i="3"/>
  <c r="AB27" i="3"/>
  <c r="AB7" i="3"/>
  <c r="AB568" i="3"/>
  <c r="AB348" i="3"/>
  <c r="AB748" i="3"/>
  <c r="AB688" i="3"/>
  <c r="AB628" i="3"/>
  <c r="AB448" i="3"/>
  <c r="AB328" i="3"/>
  <c r="AB248" i="3"/>
  <c r="AB228" i="3"/>
  <c r="AB128" i="3"/>
  <c r="AB108" i="3"/>
  <c r="AB88" i="3"/>
  <c r="AB28" i="3"/>
  <c r="AB786" i="3"/>
  <c r="AB766" i="3"/>
  <c r="AB746" i="3"/>
  <c r="AB726" i="3"/>
  <c r="AB706" i="3"/>
  <c r="AB686" i="3"/>
  <c r="AB666" i="3"/>
  <c r="AB646" i="3"/>
  <c r="AB626" i="3"/>
  <c r="AB606" i="3"/>
  <c r="AB586" i="3"/>
  <c r="AB566" i="3"/>
  <c r="AB546" i="3"/>
  <c r="AB526" i="3"/>
  <c r="AB506" i="3"/>
  <c r="AB486" i="3"/>
  <c r="AB466" i="3"/>
  <c r="AB446" i="3"/>
  <c r="AB426" i="3"/>
  <c r="AB406" i="3"/>
  <c r="AB386" i="3"/>
  <c r="AB366" i="3"/>
  <c r="AB346" i="3"/>
  <c r="AB326" i="3"/>
  <c r="AB306" i="3"/>
  <c r="AB286" i="3"/>
  <c r="AB266" i="3"/>
  <c r="AB246" i="3"/>
  <c r="AB226" i="3"/>
  <c r="AB206" i="3"/>
  <c r="AB186" i="3"/>
  <c r="AB166" i="3"/>
  <c r="AB146" i="3"/>
  <c r="AB126" i="3"/>
  <c r="AB106" i="3"/>
  <c r="AB86" i="3"/>
  <c r="AB66" i="3"/>
  <c r="AB46" i="3"/>
  <c r="AB26" i="3"/>
  <c r="AB6" i="3"/>
  <c r="G105" i="4" l="1"/>
  <c r="G239" i="4"/>
  <c r="G219" i="4"/>
  <c r="G79" i="4"/>
  <c r="G59" i="4"/>
  <c r="G50" i="4"/>
  <c r="G30" i="4"/>
  <c r="G10" i="4"/>
  <c r="G57" i="4"/>
  <c r="G15" i="4"/>
  <c r="G62" i="4"/>
  <c r="G193" i="4"/>
  <c r="G166" i="4"/>
  <c r="G155" i="4"/>
  <c r="G245" i="4"/>
  <c r="G33" i="4"/>
  <c r="G277" i="4"/>
  <c r="G249" i="4"/>
  <c r="G67" i="4"/>
  <c r="G251" i="4"/>
  <c r="G213" i="4"/>
  <c r="G217" i="4"/>
  <c r="G236" i="4"/>
  <c r="G101" i="4"/>
  <c r="G208" i="4"/>
  <c r="G16" i="4"/>
  <c r="G13" i="4"/>
  <c r="G116" i="4"/>
  <c r="G289" i="4"/>
  <c r="G231" i="4"/>
  <c r="G235" i="4"/>
  <c r="G195" i="4"/>
  <c r="G299" i="4"/>
  <c r="G204" i="4"/>
  <c r="G263" i="4"/>
  <c r="G266" i="4"/>
  <c r="G279" i="4"/>
  <c r="G228" i="4"/>
  <c r="G259" i="4"/>
  <c r="G120" i="4"/>
  <c r="G96" i="4"/>
  <c r="G69" i="4"/>
  <c r="G117" i="4"/>
  <c r="H108" i="4"/>
  <c r="G77" i="4"/>
  <c r="G173" i="4"/>
  <c r="G83" i="4"/>
  <c r="G41" i="4"/>
  <c r="G145" i="4"/>
  <c r="G149" i="4"/>
  <c r="H103" i="4"/>
  <c r="H83" i="4"/>
  <c r="H73" i="4"/>
  <c r="H222" i="4"/>
  <c r="H94" i="4"/>
  <c r="G72" i="4"/>
  <c r="G32" i="4"/>
  <c r="H156" i="4"/>
  <c r="H74" i="4"/>
  <c r="H112" i="4"/>
  <c r="H54" i="4"/>
  <c r="H111" i="4"/>
  <c r="H237" i="4"/>
  <c r="H191" i="4"/>
  <c r="H147" i="4"/>
  <c r="G297" i="4"/>
  <c r="G44" i="4"/>
  <c r="G223" i="4"/>
  <c r="G12" i="4"/>
  <c r="G39" i="4"/>
  <c r="H136" i="4"/>
  <c r="G21" i="4"/>
  <c r="G260" i="4"/>
  <c r="G194" i="4"/>
  <c r="G281" i="4"/>
  <c r="G138" i="4"/>
  <c r="G127" i="4"/>
  <c r="G224" i="4"/>
  <c r="G56" i="4"/>
  <c r="G256" i="4"/>
  <c r="G118" i="4"/>
  <c r="H126" i="4"/>
  <c r="G40" i="4"/>
  <c r="G257" i="4"/>
  <c r="G28" i="4"/>
  <c r="G92" i="4"/>
  <c r="G270" i="4"/>
  <c r="H132" i="4"/>
  <c r="G131" i="4"/>
  <c r="G222" i="4"/>
  <c r="G274" i="4"/>
  <c r="G68" i="4"/>
  <c r="G250" i="4"/>
  <c r="H101" i="4"/>
  <c r="G226" i="4"/>
  <c r="G184" i="4"/>
  <c r="G247" i="4"/>
  <c r="G45" i="4"/>
  <c r="G230" i="4"/>
  <c r="H70" i="4"/>
  <c r="G49" i="4"/>
  <c r="G146" i="4"/>
  <c r="G220" i="4"/>
  <c r="G112" i="4"/>
  <c r="G210" i="4"/>
  <c r="H100" i="4"/>
  <c r="G9" i="4"/>
  <c r="G255" i="4"/>
  <c r="G192" i="4"/>
  <c r="G88" i="4"/>
  <c r="G110" i="4"/>
  <c r="H244" i="4"/>
  <c r="G48" i="4"/>
  <c r="G216" i="4"/>
  <c r="G273" i="4"/>
  <c r="G221" i="4"/>
  <c r="G90" i="4"/>
  <c r="H224" i="4"/>
  <c r="G268" i="4"/>
  <c r="G182" i="4"/>
  <c r="G246" i="4"/>
  <c r="G196" i="4"/>
  <c r="G70" i="4"/>
  <c r="H204" i="4"/>
  <c r="H146" i="4"/>
  <c r="H63" i="4"/>
  <c r="H124" i="4"/>
  <c r="H192" i="4"/>
  <c r="H81" i="4"/>
  <c r="H88" i="4"/>
  <c r="G51" i="4"/>
  <c r="G296" i="4"/>
  <c r="G287" i="4"/>
  <c r="G191" i="4"/>
  <c r="G22" i="4"/>
  <c r="G19" i="4"/>
  <c r="H35" i="4"/>
  <c r="H57" i="4"/>
  <c r="G200" i="4"/>
  <c r="G114" i="4"/>
  <c r="G104" i="4"/>
  <c r="G52" i="4"/>
  <c r="G206" i="4"/>
  <c r="G218" i="4"/>
  <c r="H208" i="4"/>
  <c r="H25" i="4"/>
  <c r="G161" i="4"/>
  <c r="G75" i="4"/>
  <c r="G66" i="4"/>
  <c r="G25" i="4"/>
  <c r="G183" i="4"/>
  <c r="G198" i="4"/>
  <c r="H159" i="4"/>
  <c r="H175" i="4"/>
  <c r="G123" i="4"/>
  <c r="G37" i="4"/>
  <c r="G31" i="4"/>
  <c r="G292" i="4"/>
  <c r="G160" i="4"/>
  <c r="G178" i="4"/>
  <c r="H117" i="4"/>
  <c r="H150" i="4"/>
  <c r="G87" i="4"/>
  <c r="G295" i="4"/>
  <c r="G286" i="4"/>
  <c r="G264" i="4"/>
  <c r="G135" i="4"/>
  <c r="G158" i="4"/>
  <c r="H77" i="4"/>
  <c r="H133" i="4"/>
  <c r="H137" i="4"/>
  <c r="H139" i="4"/>
  <c r="H267" i="4"/>
  <c r="H36" i="4"/>
  <c r="H140" i="4"/>
  <c r="H268" i="4"/>
  <c r="H40" i="4"/>
  <c r="H171" i="4"/>
  <c r="H269" i="4"/>
  <c r="H86" i="4"/>
  <c r="H87" i="4"/>
  <c r="H217" i="4"/>
  <c r="H91" i="4"/>
  <c r="H92" i="4"/>
  <c r="H219" i="4"/>
  <c r="H93" i="4"/>
  <c r="H220" i="4"/>
  <c r="H95" i="4"/>
  <c r="H229" i="4"/>
  <c r="H265" i="4"/>
  <c r="H266" i="4"/>
  <c r="H218" i="4"/>
  <c r="H48" i="4"/>
  <c r="H178" i="4"/>
  <c r="H49" i="4"/>
  <c r="H179" i="4"/>
  <c r="H52" i="4"/>
  <c r="H185" i="4"/>
  <c r="H85" i="4"/>
  <c r="H186" i="4"/>
  <c r="H216" i="4"/>
  <c r="H134" i="4"/>
  <c r="H242" i="4"/>
  <c r="H84" i="4"/>
  <c r="H26" i="4"/>
  <c r="H226" i="4"/>
  <c r="H148" i="4"/>
  <c r="H221" i="4"/>
  <c r="H230" i="4"/>
  <c r="H13" i="4"/>
  <c r="H110" i="4"/>
  <c r="H68" i="4"/>
  <c r="H293" i="4"/>
  <c r="H258" i="4"/>
  <c r="H261" i="4"/>
  <c r="H174" i="4"/>
  <c r="H75" i="4"/>
  <c r="H211" i="4"/>
  <c r="H289" i="4"/>
  <c r="H157" i="4"/>
  <c r="H194" i="4"/>
  <c r="H23" i="4"/>
  <c r="H164" i="4"/>
  <c r="H297" i="4"/>
  <c r="H241" i="4"/>
  <c r="H12" i="4"/>
  <c r="H239" i="4"/>
  <c r="H120" i="4"/>
  <c r="H38" i="4"/>
  <c r="H154" i="4"/>
  <c r="H262" i="4"/>
  <c r="H104" i="4"/>
  <c r="H50" i="4"/>
  <c r="H250" i="4"/>
  <c r="H180" i="4"/>
  <c r="H256" i="4"/>
  <c r="H259" i="4"/>
  <c r="H145" i="4"/>
  <c r="H153" i="4"/>
  <c r="H113" i="4"/>
  <c r="H32" i="4"/>
  <c r="H8" i="4"/>
  <c r="H130" i="4"/>
  <c r="H282" i="4"/>
  <c r="H144" i="4"/>
  <c r="H273" i="4"/>
  <c r="H285" i="4"/>
  <c r="H188" i="4"/>
  <c r="H195" i="4"/>
  <c r="H79" i="4"/>
  <c r="H99" i="4"/>
  <c r="H9" i="4"/>
  <c r="H278" i="4"/>
  <c r="H206" i="4"/>
  <c r="H214" i="4"/>
  <c r="H43" i="4"/>
  <c r="H184" i="4"/>
  <c r="H125" i="4"/>
  <c r="H29" i="4"/>
  <c r="H271" i="4"/>
  <c r="H45" i="4"/>
  <c r="H16" i="4"/>
  <c r="H281" i="4"/>
  <c r="H56" i="4"/>
  <c r="H166" i="4"/>
  <c r="H294" i="4"/>
  <c r="H123" i="4"/>
  <c r="H15" i="4"/>
  <c r="H225" i="4"/>
  <c r="H128" i="4"/>
  <c r="H119" i="4"/>
  <c r="H161" i="4"/>
  <c r="H168" i="4"/>
  <c r="H190" i="4"/>
  <c r="H155" i="4"/>
  <c r="H71" i="4"/>
  <c r="H33" i="4"/>
  <c r="H22" i="4"/>
  <c r="H143" i="4"/>
  <c r="H39" i="4"/>
  <c r="H249" i="4"/>
  <c r="H152" i="4"/>
  <c r="H151" i="4"/>
  <c r="H193" i="4"/>
  <c r="H197" i="4"/>
  <c r="H236" i="4"/>
  <c r="H200" i="4"/>
  <c r="H116" i="4"/>
  <c r="H80" i="4"/>
  <c r="H42" i="4"/>
  <c r="H163" i="4"/>
  <c r="H66" i="4"/>
  <c r="H272" i="4"/>
  <c r="H177" i="4"/>
  <c r="H181" i="4"/>
  <c r="H227" i="4"/>
  <c r="H231" i="4"/>
  <c r="H279" i="4"/>
  <c r="H240" i="4"/>
  <c r="H158" i="4"/>
  <c r="H121" i="4"/>
  <c r="H62" i="4"/>
  <c r="H183" i="4"/>
  <c r="H90" i="4"/>
  <c r="H296" i="4"/>
  <c r="H201" i="4"/>
  <c r="H212" i="4"/>
  <c r="H257" i="4"/>
  <c r="H260" i="4"/>
  <c r="H17" i="4"/>
  <c r="H284" i="4"/>
  <c r="H207" i="4"/>
  <c r="H169" i="4"/>
  <c r="H270" i="4"/>
  <c r="H82" i="4"/>
  <c r="H203" i="4"/>
  <c r="H115" i="4"/>
  <c r="H27" i="4"/>
  <c r="H228" i="4"/>
  <c r="H245" i="4"/>
  <c r="H286" i="4"/>
  <c r="H290" i="4"/>
  <c r="H60" i="4"/>
  <c r="H20" i="4"/>
  <c r="H248" i="4"/>
  <c r="H210" i="4"/>
  <c r="H172" i="4"/>
  <c r="H232" i="4"/>
  <c r="H102" i="4"/>
  <c r="H223" i="4"/>
  <c r="H138" i="4"/>
  <c r="H51" i="4"/>
  <c r="H252" i="4"/>
  <c r="H275" i="4"/>
  <c r="H11" i="4"/>
  <c r="H10" i="4"/>
  <c r="H109" i="4"/>
  <c r="H67" i="4"/>
  <c r="H292" i="4"/>
  <c r="H255" i="4"/>
  <c r="H46" i="4"/>
  <c r="H127" i="4"/>
  <c r="H14" i="4"/>
  <c r="H122" i="4"/>
  <c r="H243" i="4"/>
  <c r="H165" i="4"/>
  <c r="H76" i="4"/>
  <c r="H276" i="4"/>
  <c r="H37" i="4"/>
  <c r="H41" i="4"/>
  <c r="H31" i="4"/>
  <c r="H106" i="4"/>
  <c r="H160" i="4"/>
  <c r="H198" i="4"/>
  <c r="H202" i="4"/>
  <c r="H30" i="4"/>
  <c r="H59" i="4"/>
  <c r="H131" i="4"/>
  <c r="H173" i="4"/>
  <c r="H182" i="4"/>
  <c r="H47" i="4"/>
  <c r="H235" i="4"/>
  <c r="H277" i="4"/>
  <c r="H98" i="4"/>
  <c r="H149" i="4"/>
  <c r="H162" i="4"/>
  <c r="H176" i="4"/>
  <c r="H97" i="4"/>
  <c r="H233" i="4"/>
  <c r="H69" i="4"/>
  <c r="H287" i="4"/>
  <c r="H142" i="4"/>
  <c r="H291" i="4"/>
  <c r="H21" i="4"/>
  <c r="H187" i="4"/>
  <c r="H89" i="4"/>
  <c r="H264" i="4"/>
  <c r="H274" i="4"/>
  <c r="H288" i="4"/>
  <c r="H141" i="4"/>
  <c r="H58" i="4"/>
  <c r="H238" i="4"/>
  <c r="H254" i="4"/>
  <c r="H215" i="4"/>
  <c r="H246" i="4"/>
  <c r="H96" i="4"/>
  <c r="H28" i="4"/>
  <c r="H213" i="4"/>
  <c r="H234" i="4"/>
  <c r="H170" i="4"/>
  <c r="H205" i="4"/>
  <c r="H55" i="4"/>
  <c r="H118" i="4"/>
  <c r="H189" i="4"/>
  <c r="H114" i="4"/>
  <c r="H65" i="4"/>
  <c r="H196" i="4"/>
  <c r="H299" i="4"/>
  <c r="H64" i="4"/>
  <c r="H129" i="4"/>
  <c r="H167" i="4"/>
  <c r="H247" i="4"/>
  <c r="H253" i="4"/>
  <c r="H61" i="4"/>
  <c r="H135" i="4"/>
  <c r="H78" i="4"/>
  <c r="H24" i="4"/>
  <c r="H209" i="4"/>
  <c r="H18" i="4"/>
  <c r="H107" i="4"/>
  <c r="H53" i="4"/>
  <c r="H283" i="4"/>
  <c r="H298" i="4"/>
  <c r="H34" i="4"/>
  <c r="H295" i="4"/>
  <c r="H19" i="4"/>
  <c r="H105" i="4"/>
  <c r="H44" i="4"/>
  <c r="H251" i="4"/>
  <c r="H280" i="4"/>
  <c r="H72" i="4"/>
  <c r="H199" i="4"/>
  <c r="H263" i="4"/>
  <c r="G205" i="4"/>
  <c r="G269" i="4"/>
  <c r="G46" i="4"/>
  <c r="G185" i="4"/>
  <c r="G34" i="4"/>
  <c r="G175" i="4"/>
  <c r="G165" i="4"/>
  <c r="G181" i="4"/>
  <c r="G233" i="4"/>
  <c r="G65" i="4"/>
  <c r="G199" i="4"/>
  <c r="G98" i="4"/>
  <c r="G60" i="4"/>
  <c r="G23" i="4"/>
  <c r="G232" i="4"/>
  <c r="G8" i="4"/>
  <c r="G147" i="4"/>
  <c r="G288" i="4"/>
  <c r="G142" i="4"/>
  <c r="G136" i="4"/>
  <c r="G153" i="4"/>
  <c r="G209" i="4"/>
  <c r="G42" i="4"/>
  <c r="G179" i="4"/>
  <c r="G78" i="4"/>
  <c r="G151" i="4"/>
  <c r="G14" i="4"/>
  <c r="G128" i="4"/>
  <c r="G197" i="4"/>
  <c r="G265" i="4"/>
  <c r="G113" i="4"/>
  <c r="G254" i="4"/>
  <c r="G102" i="4"/>
  <c r="G108" i="4"/>
  <c r="G125" i="4"/>
  <c r="G186" i="4"/>
  <c r="G17" i="4"/>
  <c r="G159" i="4"/>
  <c r="G58" i="4"/>
  <c r="G242" i="4"/>
  <c r="G100" i="4"/>
  <c r="G211" i="4"/>
  <c r="G157" i="4"/>
  <c r="G227" i="4"/>
  <c r="G74" i="4"/>
  <c r="G215" i="4"/>
  <c r="G64" i="4"/>
  <c r="G82" i="4"/>
  <c r="G97" i="4"/>
  <c r="G163" i="4"/>
  <c r="G291" i="4"/>
  <c r="G139" i="4"/>
  <c r="G38" i="4"/>
  <c r="G54" i="4"/>
  <c r="G61" i="4"/>
  <c r="G202" i="4"/>
  <c r="G24" i="4"/>
  <c r="G122" i="4"/>
  <c r="G189" i="4"/>
  <c r="G36" i="4"/>
  <c r="G177" i="4"/>
  <c r="G27" i="4"/>
  <c r="G53" i="4"/>
  <c r="G71" i="4"/>
  <c r="G140" i="4"/>
  <c r="G267" i="4"/>
  <c r="G119" i="4"/>
  <c r="G18" i="4"/>
  <c r="G133" i="4"/>
  <c r="G162" i="4"/>
  <c r="G284" i="4"/>
  <c r="G129" i="4"/>
  <c r="G86" i="4"/>
  <c r="G154" i="4"/>
  <c r="G294" i="4"/>
  <c r="G144" i="4"/>
  <c r="G29" i="4"/>
  <c r="G26" i="4"/>
  <c r="G43" i="4"/>
  <c r="G115" i="4"/>
  <c r="G244" i="4"/>
  <c r="G99" i="4"/>
  <c r="G290" i="4"/>
  <c r="G240" i="4"/>
  <c r="G243" i="4"/>
  <c r="G132" i="4"/>
  <c r="G261" i="4"/>
  <c r="G252" i="4"/>
  <c r="G164" i="4"/>
  <c r="G20" i="4"/>
  <c r="G298" i="4"/>
  <c r="G137" i="4"/>
  <c r="G63" i="4"/>
  <c r="G237" i="4"/>
  <c r="G225" i="4"/>
  <c r="G214" i="4"/>
  <c r="G134" i="4"/>
  <c r="G180" i="4"/>
  <c r="G103" i="4"/>
  <c r="G170" i="4"/>
  <c r="G168" i="4"/>
  <c r="G271" i="4"/>
  <c r="G85" i="4"/>
  <c r="G187" i="4"/>
  <c r="G35" i="4"/>
  <c r="G176" i="4"/>
  <c r="G111" i="4"/>
  <c r="G107" i="4"/>
  <c r="G152" i="4"/>
  <c r="G253" i="4"/>
  <c r="G80" i="4"/>
  <c r="G258" i="4"/>
  <c r="G150" i="4"/>
  <c r="G76" i="4"/>
  <c r="G89" i="4"/>
  <c r="G171" i="4"/>
  <c r="G272" i="4"/>
  <c r="G91" i="4"/>
  <c r="G172" i="4"/>
  <c r="G275" i="4"/>
  <c r="G93" i="4"/>
  <c r="G174" i="4"/>
  <c r="G280" i="4"/>
  <c r="G188" i="4"/>
  <c r="G282" i="4"/>
  <c r="G11" i="4"/>
  <c r="G95" i="4"/>
  <c r="G201" i="4"/>
  <c r="G283" i="4"/>
  <c r="G94" i="4"/>
  <c r="G169" i="4"/>
  <c r="G262" i="4"/>
  <c r="G203" i="4"/>
  <c r="G156" i="4"/>
  <c r="G109" i="4"/>
  <c r="G167" i="4"/>
  <c r="G207" i="4"/>
  <c r="G126" i="4"/>
  <c r="G190" i="4"/>
  <c r="G285" i="4"/>
  <c r="G121" i="4"/>
  <c r="G73" i="4"/>
  <c r="G141" i="4"/>
  <c r="G276" i="4"/>
  <c r="G278" i="4"/>
  <c r="G241" i="4"/>
  <c r="G234" i="4"/>
  <c r="G47" i="4"/>
  <c r="G148" i="4"/>
  <c r="G293" i="4"/>
  <c r="G143" i="4"/>
  <c r="G84" i="4"/>
  <c r="G81" i="4"/>
  <c r="G124" i="4"/>
  <c r="G229" i="4"/>
  <c r="G55" i="4"/>
  <c r="G238" i="4"/>
  <c r="G130" i="4"/>
  <c r="G212" i="4"/>
</calcChain>
</file>

<file path=xl/sharedStrings.xml><?xml version="1.0" encoding="utf-8"?>
<sst xmlns="http://schemas.openxmlformats.org/spreadsheetml/2006/main" count="124" uniqueCount="75">
  <si>
    <r>
      <t>kg/m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/d</t>
    </r>
    <phoneticPr fontId="2" type="noConversion"/>
  </si>
  <si>
    <r>
      <rPr>
        <sz val="11"/>
        <color theme="1"/>
        <rFont val="宋体"/>
        <family val="1"/>
        <charset val="134"/>
      </rPr>
      <t>边材面积（</t>
    </r>
    <r>
      <rPr>
        <sz val="11"/>
        <color theme="1"/>
        <rFont val="Times New Roman"/>
        <family val="1"/>
      </rPr>
      <t>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宋体"/>
        <family val="1"/>
        <charset val="134"/>
      </rPr>
      <t>）</t>
    </r>
    <phoneticPr fontId="2" type="noConversion"/>
  </si>
  <si>
    <t>Solar Rad (wat/m2)</t>
  </si>
  <si>
    <t>RH (%)</t>
  </si>
  <si>
    <t>Temperature (*C)</t>
  </si>
  <si>
    <t>Rainfall (mm)</t>
  </si>
  <si>
    <t>Wind Dir (Deg)</t>
  </si>
  <si>
    <t>Wind Gust (km/h)</t>
  </si>
  <si>
    <t>Wind Speed (km/h)</t>
  </si>
  <si>
    <t>Dew Point (*C)</t>
  </si>
  <si>
    <t>SM(3)</t>
  </si>
  <si>
    <t>upper profile</t>
  </si>
  <si>
    <t>lower profile</t>
  </si>
  <si>
    <t>Date</t>
  </si>
  <si>
    <t>VPD (kPa)</t>
  </si>
  <si>
    <t>AWS</t>
    <phoneticPr fontId="2" type="noConversion"/>
  </si>
  <si>
    <t>筛选原则：[4月15，11月15]+P&lt;2mm/d+VPD≥0.2kPa，共计292d</t>
    <phoneticPr fontId="2" type="noConversion"/>
  </si>
  <si>
    <t>Max</t>
    <phoneticPr fontId="2" type="noConversion"/>
  </si>
  <si>
    <t>Min</t>
    <phoneticPr fontId="2" type="noConversion"/>
  </si>
  <si>
    <t>Max-Min</t>
    <phoneticPr fontId="2" type="noConversion"/>
  </si>
  <si>
    <t>shallow</t>
    <phoneticPr fontId="2" type="noConversion"/>
  </si>
  <si>
    <t>deep</t>
    <phoneticPr fontId="2" type="noConversion"/>
  </si>
  <si>
    <t>mean</t>
    <phoneticPr fontId="2" type="noConversion"/>
  </si>
  <si>
    <t>min</t>
    <phoneticPr fontId="2" type="noConversion"/>
  </si>
  <si>
    <t>max</t>
    <phoneticPr fontId="2" type="noConversion"/>
  </si>
  <si>
    <t>SD</t>
    <phoneticPr fontId="2" type="noConversion"/>
  </si>
  <si>
    <t>sd</t>
    <phoneticPr fontId="2" type="noConversion"/>
  </si>
  <si>
    <t>surface</t>
    <phoneticPr fontId="2" type="noConversion"/>
  </si>
  <si>
    <r>
      <t>δ</t>
    </r>
    <r>
      <rPr>
        <vertAlign val="super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O (‰)</t>
    </r>
    <phoneticPr fontId="2" type="noConversion"/>
  </si>
  <si>
    <t>δD (‰)</t>
    <phoneticPr fontId="2" type="noConversion"/>
  </si>
  <si>
    <r>
      <t>δ</t>
    </r>
    <r>
      <rPr>
        <vertAlign val="superscript"/>
        <sz val="11"/>
        <rFont val="Times New Roman"/>
        <family val="1"/>
      </rPr>
      <t>18</t>
    </r>
    <r>
      <rPr>
        <sz val="11"/>
        <rFont val="Times New Roman"/>
        <family val="1"/>
      </rPr>
      <t>O (‰)</t>
    </r>
    <phoneticPr fontId="2" type="noConversion"/>
  </si>
  <si>
    <t>P amount for isotope measurement</t>
    <phoneticPr fontId="2" type="noConversion"/>
  </si>
  <si>
    <t>P (mm)</t>
    <phoneticPr fontId="2" type="noConversion"/>
  </si>
  <si>
    <t>PET</t>
    <phoneticPr fontId="2" type="noConversion"/>
  </si>
  <si>
    <t>Ta</t>
    <phoneticPr fontId="2" type="noConversion"/>
  </si>
  <si>
    <t>VPD</t>
    <phoneticPr fontId="2" type="noConversion"/>
  </si>
  <si>
    <t>Date (y/m/d)</t>
    <phoneticPr fontId="2" type="noConversion"/>
  </si>
  <si>
    <t>deep (10-55)</t>
    <phoneticPr fontId="2" type="noConversion"/>
  </si>
  <si>
    <t>surface (0-10)</t>
    <phoneticPr fontId="2" type="noConversion"/>
  </si>
  <si>
    <t>剖面</t>
    <phoneticPr fontId="2" type="noConversion"/>
  </si>
  <si>
    <r>
      <t>Xylem Water Isotopes_δ</t>
    </r>
    <r>
      <rPr>
        <vertAlign val="super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O (‰)</t>
    </r>
    <phoneticPr fontId="2" type="noConversion"/>
  </si>
  <si>
    <r>
      <t>Soil Water Isotopes_δ</t>
    </r>
    <r>
      <rPr>
        <vertAlign val="super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O (‰)</t>
    </r>
    <phoneticPr fontId="2" type="noConversion"/>
  </si>
  <si>
    <t>SWC</t>
    <phoneticPr fontId="2" type="noConversion"/>
  </si>
  <si>
    <r>
      <t>Xylem Water Isotopes_δ</t>
    </r>
    <r>
      <rPr>
        <vertAlign val="superscript"/>
        <sz val="11"/>
        <color rgb="FF00B050"/>
        <rFont val="Times New Roman"/>
        <family val="1"/>
      </rPr>
      <t>18</t>
    </r>
    <r>
      <rPr>
        <sz val="11"/>
        <color rgb="FF00B050"/>
        <rFont val="Times New Roman"/>
        <family val="1"/>
      </rPr>
      <t>O (‰)</t>
    </r>
    <phoneticPr fontId="2" type="noConversion"/>
  </si>
  <si>
    <t>Epikarst 2</t>
    <phoneticPr fontId="2" type="noConversion"/>
  </si>
  <si>
    <t>Epikarst 1</t>
    <phoneticPr fontId="2" type="noConversion"/>
  </si>
  <si>
    <t>Precipitation</t>
    <phoneticPr fontId="2" type="noConversion"/>
  </si>
  <si>
    <t>Peman-Monteith</t>
    <phoneticPr fontId="2" type="noConversion"/>
  </si>
  <si>
    <t>there is always outflow at point1</t>
    <phoneticPr fontId="2" type="noConversion"/>
  </si>
  <si>
    <r>
      <t xml:space="preserve">I only used </t>
    </r>
    <r>
      <rPr>
        <vertAlign val="superscript"/>
        <sz val="11"/>
        <color theme="1"/>
        <rFont val="Times New Roman"/>
        <family val="1"/>
      </rPr>
      <t>18</t>
    </r>
    <r>
      <rPr>
        <sz val="11"/>
        <color theme="1"/>
        <rFont val="Times New Roman"/>
        <family val="1"/>
      </rPr>
      <t>O in the final analysis</t>
    </r>
    <phoneticPr fontId="2" type="noConversion"/>
  </si>
  <si>
    <t>Pf</t>
  </si>
  <si>
    <t>Pf_1</t>
  </si>
  <si>
    <t>Pf_2</t>
  </si>
  <si>
    <t>Pf_3</t>
  </si>
  <si>
    <t>Pf_4</t>
  </si>
  <si>
    <t>Ps</t>
  </si>
  <si>
    <t>note: these four trees are named as Ps_5,6,7,8</t>
  </si>
  <si>
    <t>Ps_1</t>
  </si>
  <si>
    <t>Ps_2</t>
  </si>
  <si>
    <t>Ps_3</t>
  </si>
  <si>
    <t>Ps_4</t>
  </si>
  <si>
    <t>Ps_5</t>
  </si>
  <si>
    <t>Ps_6</t>
  </si>
  <si>
    <t>Ps_7</t>
  </si>
  <si>
    <t>Ps_8</t>
  </si>
  <si>
    <t>Ps_mean</t>
  </si>
  <si>
    <t>Ps_SD</t>
  </si>
  <si>
    <t>Ps (deciduous tree)</t>
  </si>
  <si>
    <t>Ps_profile_depth_weighted</t>
  </si>
  <si>
    <t>Ps</t>
    <phoneticPr fontId="2" type="noConversion"/>
  </si>
  <si>
    <t>Pf</t>
    <phoneticPr fontId="2" type="noConversion"/>
  </si>
  <si>
    <t>no</t>
    <phoneticPr fontId="2" type="noConversion"/>
  </si>
  <si>
    <t>SWC_Ps (cm3/cm3)</t>
    <phoneticPr fontId="2" type="noConversion"/>
  </si>
  <si>
    <t>Ps_5678</t>
  </si>
  <si>
    <t>normalized sapflow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</si>
</sst>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000_ "/>
    <numFmt numFmtId="177" formatCode="0.000_ "/>
    <numFmt numFmtId="178" formatCode="0.000"/>
    <numFmt numFmtId="179" formatCode="0.00_ "/>
    <numFmt numFmtId="180" formatCode="0_ "/>
    <numFmt numFmtId="181" formatCode="0.0_ "/>
    <numFmt numFmtId="183" formatCode="m/d;@"/>
  </numFmts>
  <fonts count="15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1"/>
      <color rgb="FFFF0000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  <charset val="134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C00000"/>
      <name val="Times New Roman"/>
      <family val="1"/>
    </font>
    <font>
      <sz val="10"/>
      <name val="Times New Roman"/>
      <family val="1"/>
    </font>
    <font>
      <sz val="11"/>
      <color rgb="FF00B050"/>
      <name val="Times New Roman"/>
      <family val="1"/>
    </font>
    <font>
      <vertAlign val="superscript"/>
      <sz val="11"/>
      <name val="Times New Roman"/>
      <family val="1"/>
    </font>
    <font>
      <sz val="11"/>
      <color theme="1"/>
      <name val="SimSun"/>
      <family val="1"/>
      <charset val="134"/>
    </font>
    <font>
      <vertAlign val="superscript"/>
      <sz val="11"/>
      <color rgb="FF00B05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 applyAlignment="1">
      <alignment horizontal="center" vertical="center"/>
    </xf>
    <xf numFmtId="176" fontId="3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/>
    </xf>
    <xf numFmtId="176" fontId="0" fillId="0" borderId="0" xfId="0" applyNumberFormat="1"/>
    <xf numFmtId="0" fontId="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vertical="center"/>
    </xf>
    <xf numFmtId="0" fontId="1" fillId="0" borderId="0" xfId="0" applyFont="1"/>
    <xf numFmtId="0" fontId="1" fillId="3" borderId="0" xfId="0" applyFont="1" applyFill="1" applyAlignment="1">
      <alignment horizontal="center" vertical="center"/>
    </xf>
    <xf numFmtId="179" fontId="1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180" fontId="1" fillId="0" borderId="0" xfId="0" applyNumberFormat="1" applyFont="1" applyAlignment="1">
      <alignment horizontal="center" vertical="center" wrapText="1"/>
    </xf>
    <xf numFmtId="181" fontId="1" fillId="0" borderId="0" xfId="0" applyNumberFormat="1" applyFont="1" applyAlignment="1">
      <alignment horizontal="center" vertical="center" wrapText="1"/>
    </xf>
    <xf numFmtId="177" fontId="1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vertical="center"/>
    </xf>
    <xf numFmtId="181" fontId="1" fillId="0" borderId="0" xfId="0" applyNumberFormat="1" applyFont="1" applyAlignment="1">
      <alignment vertical="center"/>
    </xf>
    <xf numFmtId="179" fontId="1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179" fontId="0" fillId="0" borderId="0" xfId="0" applyNumberFormat="1"/>
    <xf numFmtId="179" fontId="1" fillId="0" borderId="0" xfId="0" applyNumberFormat="1" applyFont="1" applyAlignment="1">
      <alignment horizontal="center" vertical="center"/>
    </xf>
    <xf numFmtId="179" fontId="9" fillId="0" borderId="0" xfId="0" applyNumberFormat="1" applyFont="1" applyAlignment="1">
      <alignment vertical="center"/>
    </xf>
    <xf numFmtId="179" fontId="1" fillId="5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4" fontId="1" fillId="4" borderId="0" xfId="0" applyNumberFormat="1" applyFont="1" applyFill="1" applyAlignment="1">
      <alignment horizontal="center" vertical="center"/>
    </xf>
    <xf numFmtId="176" fontId="1" fillId="4" borderId="0" xfId="0" applyNumberFormat="1" applyFont="1" applyFill="1" applyAlignment="1">
      <alignment vertical="center"/>
    </xf>
    <xf numFmtId="14" fontId="1" fillId="4" borderId="0" xfId="0" applyNumberFormat="1" applyFont="1" applyFill="1" applyAlignment="1">
      <alignment vertical="center"/>
    </xf>
    <xf numFmtId="181" fontId="1" fillId="4" borderId="0" xfId="0" applyNumberFormat="1" applyFont="1" applyFill="1" applyAlignment="1">
      <alignment vertical="center"/>
    </xf>
    <xf numFmtId="177" fontId="1" fillId="4" borderId="0" xfId="0" applyNumberFormat="1" applyFont="1" applyFill="1" applyAlignment="1">
      <alignment vertical="center"/>
    </xf>
    <xf numFmtId="179" fontId="1" fillId="4" borderId="0" xfId="0" applyNumberFormat="1" applyFont="1" applyFill="1" applyAlignment="1">
      <alignment vertical="center"/>
    </xf>
    <xf numFmtId="0" fontId="0" fillId="4" borderId="0" xfId="0" applyFill="1"/>
    <xf numFmtId="179" fontId="0" fillId="4" borderId="0" xfId="0" applyNumberFormat="1" applyFill="1"/>
    <xf numFmtId="176" fontId="3" fillId="4" borderId="0" xfId="0" applyNumberFormat="1" applyFont="1" applyFill="1" applyAlignment="1">
      <alignment vertical="center"/>
    </xf>
    <xf numFmtId="179" fontId="3" fillId="0" borderId="0" xfId="0" applyNumberFormat="1" applyFont="1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/>
    </xf>
    <xf numFmtId="0" fontId="5" fillId="0" borderId="0" xfId="0" applyFont="1" applyAlignment="1">
      <alignment horizontal="center" vertical="center"/>
    </xf>
    <xf numFmtId="0" fontId="8" fillId="5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183" fontId="1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179" fontId="1" fillId="0" borderId="0" xfId="0" applyNumberFormat="1" applyFont="1"/>
    <xf numFmtId="179" fontId="3" fillId="0" borderId="0" xfId="0" applyNumberFormat="1" applyFont="1" applyAlignment="1">
      <alignment horizontal="center" vertical="center"/>
    </xf>
    <xf numFmtId="179" fontId="10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/>
    </xf>
    <xf numFmtId="181" fontId="7" fillId="0" borderId="0" xfId="0" applyNumberFormat="1" applyFont="1" applyAlignment="1">
      <alignment horizontal="center" vertical="center"/>
    </xf>
    <xf numFmtId="179" fontId="1" fillId="4" borderId="0" xfId="0" applyNumberFormat="1" applyFont="1" applyFill="1" applyAlignment="1">
      <alignment horizontal="center" vertical="center"/>
    </xf>
    <xf numFmtId="181" fontId="1" fillId="4" borderId="0" xfId="0" applyNumberFormat="1" applyFont="1" applyFill="1" applyAlignment="1">
      <alignment horizontal="center" vertical="center"/>
    </xf>
    <xf numFmtId="177" fontId="1" fillId="4" borderId="0" xfId="0" applyNumberFormat="1" applyFont="1" applyFill="1" applyAlignment="1">
      <alignment horizontal="center" vertical="center"/>
    </xf>
    <xf numFmtId="183" fontId="1" fillId="4" borderId="0" xfId="0" applyNumberFormat="1" applyFont="1" applyFill="1" applyAlignment="1">
      <alignment horizontal="center" vertical="center"/>
    </xf>
    <xf numFmtId="181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9" fontId="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183" fontId="1" fillId="0" borderId="0" xfId="0" applyNumberFormat="1" applyFont="1" applyAlignment="1">
      <alignment horizontal="center" vertical="center" wrapText="1"/>
    </xf>
    <xf numFmtId="183" fontId="1" fillId="0" borderId="0" xfId="0" applyNumberFormat="1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3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iuqin_scientific_research/2-publications/papers_preparing/0_plant_water_sources/the%20effect%20of%20soil%20water%20dynamics%20on%20transpiration%20in%20a%20karst%20region/manuscript/&#20986;&#22270;/dataforfigu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S"/>
      <sheetName val="2S"/>
      <sheetName val="2（最终启用）"/>
      <sheetName val="3"/>
      <sheetName val="2 (2)"/>
      <sheetName val="各个变量干湿季anova分析"/>
      <sheetName val="单点潜在水源同位素组成anova分析"/>
      <sheetName val="4"/>
      <sheetName val="Sheet1"/>
      <sheetName val="简单线性相关"/>
      <sheetName val="6"/>
      <sheetName val="总"/>
      <sheetName val="HJ3"/>
      <sheetName val="HX"/>
      <sheetName val="Sheet2"/>
      <sheetName val="7"/>
      <sheetName val="Fd"/>
      <sheetName val="Sheet7"/>
      <sheetName val="Pf"/>
      <sheetName val="Ps"/>
    </sheetNames>
    <sheetDataSet>
      <sheetData sheetId="0"/>
      <sheetData sheetId="1"/>
      <sheetData sheetId="2"/>
      <sheetData sheetId="3">
        <row r="12">
          <cell r="A12">
            <v>44385</v>
          </cell>
          <cell r="D12">
            <v>4.3219579800505583</v>
          </cell>
          <cell r="E12">
            <v>0.2</v>
          </cell>
          <cell r="K12">
            <v>-8.8605487000000007</v>
          </cell>
          <cell r="O12">
            <v>-7.5362555999999996</v>
          </cell>
          <cell r="P12">
            <v>-8.7665132000000003</v>
          </cell>
          <cell r="Q12">
            <v>-8.6605863000000003</v>
          </cell>
          <cell r="U12">
            <v>-8.6380376000000005</v>
          </cell>
          <cell r="V12">
            <v>-8.7052154000000002</v>
          </cell>
          <cell r="W12">
            <v>-8.9037697999999992</v>
          </cell>
          <cell r="X12">
            <v>0.50431778596296462</v>
          </cell>
          <cell r="AI12">
            <v>-9.7806153999999985</v>
          </cell>
          <cell r="AK12">
            <v>-9.2224827999999999</v>
          </cell>
          <cell r="AQ12">
            <v>-9.0393959499999994</v>
          </cell>
        </row>
        <row r="13">
          <cell r="A13">
            <v>44386</v>
          </cell>
          <cell r="D13">
            <v>4.5292373439103031</v>
          </cell>
          <cell r="E13">
            <v>0.4</v>
          </cell>
        </row>
        <row r="14">
          <cell r="A14">
            <v>44387</v>
          </cell>
          <cell r="D14">
            <v>4.8346582228144266</v>
          </cell>
          <cell r="E14">
            <v>0</v>
          </cell>
        </row>
        <row r="15">
          <cell r="A15">
            <v>44388</v>
          </cell>
          <cell r="D15">
            <v>4.7176933299683323</v>
          </cell>
          <cell r="E15">
            <v>0</v>
          </cell>
        </row>
        <row r="16">
          <cell r="A16">
            <v>44389</v>
          </cell>
          <cell r="D16">
            <v>5.3533806373674429</v>
          </cell>
          <cell r="E16">
            <v>0</v>
          </cell>
        </row>
        <row r="17">
          <cell r="A17">
            <v>44390</v>
          </cell>
          <cell r="D17">
            <v>4.8661861819644709</v>
          </cell>
          <cell r="E17">
            <v>0</v>
          </cell>
        </row>
        <row r="18">
          <cell r="A18">
            <v>44391</v>
          </cell>
          <cell r="D18">
            <v>4.6731916004138494</v>
          </cell>
          <cell r="E18">
            <v>0</v>
          </cell>
        </row>
        <row r="19">
          <cell r="A19">
            <v>44392</v>
          </cell>
          <cell r="D19">
            <v>4.490963025533989</v>
          </cell>
          <cell r="E19">
            <v>0</v>
          </cell>
        </row>
        <row r="20">
          <cell r="A20">
            <v>44393</v>
          </cell>
          <cell r="D20">
            <v>5.360734593269183</v>
          </cell>
          <cell r="E20">
            <v>29.3</v>
          </cell>
          <cell r="K20">
            <v>-8.9185083000000009</v>
          </cell>
          <cell r="L20">
            <v>0.323353001390152</v>
          </cell>
          <cell r="O20">
            <v>-8.7353265999999987</v>
          </cell>
          <cell r="P20">
            <v>-9.2020502000000004</v>
          </cell>
          <cell r="Q20">
            <v>-9.0068196500000006</v>
          </cell>
          <cell r="U20">
            <v>-8.0879357999999986</v>
          </cell>
          <cell r="V20">
            <v>-9.3665863999999992</v>
          </cell>
          <cell r="W20">
            <v>-8.538528399999997</v>
          </cell>
          <cell r="X20">
            <v>0.58171155120567009</v>
          </cell>
          <cell r="AI20">
            <v>-8.6396707999999993</v>
          </cell>
          <cell r="AK20">
            <v>-10.112998666666666</v>
          </cell>
          <cell r="AQ20">
            <v>-8.8279673499999998</v>
          </cell>
        </row>
        <row r="21">
          <cell r="A21">
            <v>44394</v>
          </cell>
          <cell r="D21">
            <v>5.1710565536407191</v>
          </cell>
          <cell r="E21">
            <v>16.399999999999999</v>
          </cell>
        </row>
        <row r="22">
          <cell r="A22">
            <v>44395</v>
          </cell>
          <cell r="D22">
            <v>4.1858072486420381</v>
          </cell>
          <cell r="E22">
            <v>19.099999999999994</v>
          </cell>
          <cell r="G22">
            <v>-15.1645122400953</v>
          </cell>
        </row>
        <row r="23">
          <cell r="A23">
            <v>44396</v>
          </cell>
          <cell r="D23">
            <v>4.6920974541701801</v>
          </cell>
          <cell r="E23">
            <v>0.5</v>
          </cell>
        </row>
        <row r="24">
          <cell r="A24">
            <v>44397</v>
          </cell>
          <cell r="D24">
            <v>4.9130972298424762</v>
          </cell>
          <cell r="E24">
            <v>1.5999999999999999</v>
          </cell>
        </row>
        <row r="25">
          <cell r="A25">
            <v>44398</v>
          </cell>
          <cell r="D25">
            <v>5.1176782433880215</v>
          </cell>
          <cell r="E25">
            <v>5</v>
          </cell>
        </row>
        <row r="26">
          <cell r="A26">
            <v>44399</v>
          </cell>
          <cell r="D26">
            <v>5.0390341758506745</v>
          </cell>
          <cell r="E26">
            <v>0.2</v>
          </cell>
        </row>
        <row r="27">
          <cell r="A27">
            <v>44400</v>
          </cell>
          <cell r="D27">
            <v>3.996061601687404</v>
          </cell>
          <cell r="E27">
            <v>7.7</v>
          </cell>
        </row>
        <row r="28">
          <cell r="A28">
            <v>44401</v>
          </cell>
          <cell r="D28">
            <v>4.8574476063639773</v>
          </cell>
          <cell r="E28">
            <v>2.2000000000000002</v>
          </cell>
          <cell r="K28">
            <v>-8.8875516000000019</v>
          </cell>
          <cell r="L28">
            <v>2.6114019114644414E-2</v>
          </cell>
          <cell r="O28">
            <v>-12.3410464</v>
          </cell>
          <cell r="P28">
            <v>-8.3247198999999998</v>
          </cell>
          <cell r="Q28">
            <v>-10.556567374999998</v>
          </cell>
          <cell r="U28">
            <v>-10.5554144</v>
          </cell>
          <cell r="V28">
            <v>-10.006747000000001</v>
          </cell>
          <cell r="W28">
            <v>-10.284325150000001</v>
          </cell>
          <cell r="X28">
            <v>0.22805173436606416</v>
          </cell>
          <cell r="AI28">
            <v>-12.815763199999999</v>
          </cell>
          <cell r="AK28">
            <v>-10.021600815117548</v>
          </cell>
          <cell r="AQ28">
            <v>-10.1196222</v>
          </cell>
        </row>
        <row r="29">
          <cell r="A29">
            <v>44402</v>
          </cell>
          <cell r="D29">
            <v>5.0629943735947789</v>
          </cell>
          <cell r="E29">
            <v>7.1999999999999993</v>
          </cell>
        </row>
        <row r="30">
          <cell r="A30">
            <v>44403</v>
          </cell>
          <cell r="D30">
            <v>5.929369871760092</v>
          </cell>
          <cell r="E30">
            <v>12.1</v>
          </cell>
        </row>
        <row r="31">
          <cell r="A31">
            <v>44404</v>
          </cell>
          <cell r="D31">
            <v>6.0048552464352563</v>
          </cell>
          <cell r="E31">
            <v>4.8</v>
          </cell>
        </row>
        <row r="32">
          <cell r="A32">
            <v>44405</v>
          </cell>
          <cell r="D32">
            <v>5.4574089687215359</v>
          </cell>
          <cell r="E32">
            <v>9</v>
          </cell>
        </row>
        <row r="33">
          <cell r="A33">
            <v>44406</v>
          </cell>
          <cell r="D33">
            <v>5.9458073575370731</v>
          </cell>
          <cell r="E33">
            <v>14.099999999999996</v>
          </cell>
          <cell r="G33">
            <v>-7.480917000098426</v>
          </cell>
        </row>
        <row r="34">
          <cell r="A34">
            <v>44407</v>
          </cell>
          <cell r="D34">
            <v>6.1397225103512767</v>
          </cell>
          <cell r="E34">
            <v>0</v>
          </cell>
          <cell r="K34">
            <v>-8.7604662000000015</v>
          </cell>
          <cell r="L34">
            <v>0.10752831400147582</v>
          </cell>
          <cell r="O34">
            <v>-9.7355917000000005</v>
          </cell>
          <cell r="P34">
            <v>-9.2278507000000012</v>
          </cell>
          <cell r="Q34">
            <v>-9.4865825500000014</v>
          </cell>
          <cell r="U34">
            <v>-9.3888154000000021</v>
          </cell>
          <cell r="V34">
            <v>-9.8306581000000008</v>
          </cell>
          <cell r="W34">
            <v>-9.5343858250000011</v>
          </cell>
          <cell r="X34">
            <v>0.27160379875631779</v>
          </cell>
          <cell r="AI34">
            <v>-10.1506937</v>
          </cell>
          <cell r="AK34">
            <v>-10.823311199777521</v>
          </cell>
          <cell r="AQ34">
            <v>-9.5657145250000006</v>
          </cell>
        </row>
        <row r="35">
          <cell r="A35">
            <v>44408</v>
          </cell>
          <cell r="D35">
            <v>3.7682879764677386</v>
          </cell>
          <cell r="E35">
            <v>0</v>
          </cell>
        </row>
        <row r="36">
          <cell r="A36">
            <v>44409</v>
          </cell>
          <cell r="D36">
            <v>6.4786964249066799</v>
          </cell>
          <cell r="E36">
            <v>0</v>
          </cell>
        </row>
        <row r="37">
          <cell r="A37">
            <v>44410</v>
          </cell>
          <cell r="D37">
            <v>6.5219121044835413</v>
          </cell>
          <cell r="E37">
            <v>0</v>
          </cell>
        </row>
        <row r="38">
          <cell r="A38">
            <v>44411</v>
          </cell>
          <cell r="D38">
            <v>6.1340204802115812</v>
          </cell>
          <cell r="E38">
            <v>0</v>
          </cell>
        </row>
        <row r="39">
          <cell r="A39">
            <v>44412</v>
          </cell>
          <cell r="D39">
            <v>6.4976993405570243</v>
          </cell>
          <cell r="E39">
            <v>0</v>
          </cell>
        </row>
        <row r="40">
          <cell r="A40">
            <v>44413</v>
          </cell>
          <cell r="D40">
            <v>6.5134120054578935</v>
          </cell>
          <cell r="E40">
            <v>0</v>
          </cell>
        </row>
        <row r="41">
          <cell r="A41">
            <v>44414</v>
          </cell>
          <cell r="D41">
            <v>6.3525010772259005</v>
          </cell>
          <cell r="E41">
            <v>0</v>
          </cell>
          <cell r="K41">
            <v>-8.9777313999999997</v>
          </cell>
          <cell r="L41">
            <v>0</v>
          </cell>
          <cell r="O41">
            <v>-8.7181044000000014</v>
          </cell>
          <cell r="P41">
            <v>-9.6239952000000013</v>
          </cell>
          <cell r="Q41">
            <v>-9.0792659000000011</v>
          </cell>
          <cell r="U41">
            <v>-9.1167398000000013</v>
          </cell>
          <cell r="V41">
            <v>-8.8842930000000013</v>
          </cell>
          <cell r="W41">
            <v>-8.8226511500000004</v>
          </cell>
          <cell r="X41">
            <v>0.22627986298548575</v>
          </cell>
          <cell r="AI41">
            <v>-9.2470838000000022</v>
          </cell>
          <cell r="AK41">
            <v>-10.097593405442757</v>
          </cell>
          <cell r="AQ41">
            <v>-9.017895600000001</v>
          </cell>
        </row>
        <row r="42">
          <cell r="A42">
            <v>44415</v>
          </cell>
          <cell r="D42">
            <v>5.7561275037342829</v>
          </cell>
          <cell r="E42">
            <v>0</v>
          </cell>
        </row>
        <row r="43">
          <cell r="A43">
            <v>44416</v>
          </cell>
          <cell r="D43">
            <v>4.974413570319471</v>
          </cell>
          <cell r="E43">
            <v>0</v>
          </cell>
        </row>
        <row r="44">
          <cell r="A44">
            <v>44417</v>
          </cell>
          <cell r="D44">
            <v>4.3170071300681192</v>
          </cell>
          <cell r="E44">
            <v>9.2999999999999989</v>
          </cell>
          <cell r="G44">
            <v>-2.7995952679897003</v>
          </cell>
        </row>
        <row r="45">
          <cell r="A45">
            <v>44418</v>
          </cell>
          <cell r="D45">
            <v>5.7562381875135795</v>
          </cell>
          <cell r="E45">
            <v>0</v>
          </cell>
        </row>
        <row r="46">
          <cell r="A46">
            <v>44419</v>
          </cell>
          <cell r="D46">
            <v>3.7456392143567991</v>
          </cell>
          <cell r="E46">
            <v>34.800000000000011</v>
          </cell>
          <cell r="G46">
            <v>-8.0739660691002637</v>
          </cell>
        </row>
        <row r="47">
          <cell r="A47">
            <v>44420</v>
          </cell>
          <cell r="D47">
            <v>4.5905914586092091</v>
          </cell>
          <cell r="E47">
            <v>13.8</v>
          </cell>
        </row>
        <row r="48">
          <cell r="A48">
            <v>44421</v>
          </cell>
          <cell r="D48">
            <v>3.9824411836385818</v>
          </cell>
          <cell r="E48">
            <v>12.7</v>
          </cell>
          <cell r="K48">
            <v>-8.7715512999999987</v>
          </cell>
          <cell r="L48">
            <v>0</v>
          </cell>
          <cell r="O48">
            <v>-8.5893709999999999</v>
          </cell>
          <cell r="P48">
            <v>-7.8584679999999993</v>
          </cell>
          <cell r="Q48">
            <v>-8.7317334500000001</v>
          </cell>
          <cell r="U48">
            <v>-8.1017387000000003</v>
          </cell>
          <cell r="V48">
            <v>-8.5784619999999983</v>
          </cell>
          <cell r="W48">
            <v>-8.3395548999999995</v>
          </cell>
          <cell r="X48">
            <v>0.21849794749874962</v>
          </cell>
          <cell r="AI48">
            <v>-8.8053691999999995</v>
          </cell>
          <cell r="AK48">
            <v>-10.027374920000879</v>
          </cell>
          <cell r="AQ48">
            <v>-8.1347384250000001</v>
          </cell>
        </row>
        <row r="49">
          <cell r="A49">
            <v>44422</v>
          </cell>
          <cell r="D49">
            <v>2.8656434825670059</v>
          </cell>
          <cell r="E49">
            <v>0</v>
          </cell>
        </row>
        <row r="50">
          <cell r="A50">
            <v>44423</v>
          </cell>
          <cell r="D50">
            <v>2.5582479484337046</v>
          </cell>
          <cell r="E50">
            <v>8.3000000000000007</v>
          </cell>
        </row>
        <row r="51">
          <cell r="A51">
            <v>44424</v>
          </cell>
          <cell r="D51">
            <v>3.790090694868665</v>
          </cell>
          <cell r="E51">
            <v>3.7</v>
          </cell>
          <cell r="G51">
            <v>-7.9290692161620555</v>
          </cell>
        </row>
        <row r="52">
          <cell r="A52">
            <v>44425</v>
          </cell>
          <cell r="D52">
            <v>3.9999770852305114</v>
          </cell>
          <cell r="E52">
            <v>1.2</v>
          </cell>
        </row>
        <row r="53">
          <cell r="A53">
            <v>44426</v>
          </cell>
          <cell r="D53">
            <v>4.3699620763149918</v>
          </cell>
          <cell r="E53">
            <v>29.299999999999997</v>
          </cell>
          <cell r="G53">
            <v>-16.267376679856529</v>
          </cell>
        </row>
        <row r="54">
          <cell r="A54">
            <v>44427</v>
          </cell>
          <cell r="D54">
            <v>4.3696159208449803</v>
          </cell>
          <cell r="E54">
            <v>0</v>
          </cell>
        </row>
        <row r="55">
          <cell r="A55">
            <v>44428</v>
          </cell>
          <cell r="D55">
            <v>4.409342271151746</v>
          </cell>
          <cell r="E55">
            <v>0</v>
          </cell>
          <cell r="K55">
            <v>-8.1502440000000007</v>
          </cell>
          <cell r="L55">
            <v>6.3015659283070125E-2</v>
          </cell>
          <cell r="O55">
            <v>-13.124747599999997</v>
          </cell>
          <cell r="P55">
            <v>-13.051516399999999</v>
          </cell>
          <cell r="Q55">
            <v>-12.578310624999999</v>
          </cell>
          <cell r="U55">
            <v>-11.756748099999999</v>
          </cell>
          <cell r="V55">
            <v>-10.855597499999998</v>
          </cell>
          <cell r="W55">
            <v>-10.692861499999999</v>
          </cell>
          <cell r="X55">
            <v>0.7989612374097721</v>
          </cell>
          <cell r="AI55">
            <v>-12.691971549999998</v>
          </cell>
          <cell r="AK55">
            <v>-10.056663053441516</v>
          </cell>
          <cell r="AQ55">
            <v>-11.263708874999999</v>
          </cell>
        </row>
        <row r="56">
          <cell r="A56">
            <v>44429</v>
          </cell>
          <cell r="D56">
            <v>4.4688143565563605</v>
          </cell>
          <cell r="E56">
            <v>0</v>
          </cell>
        </row>
        <row r="57">
          <cell r="A57">
            <v>44430</v>
          </cell>
          <cell r="D57">
            <v>3.9628892047469408</v>
          </cell>
          <cell r="E57">
            <v>0</v>
          </cell>
        </row>
        <row r="58">
          <cell r="A58">
            <v>44431</v>
          </cell>
          <cell r="D58">
            <v>4.6220359542410385</v>
          </cell>
          <cell r="E58">
            <v>12.4</v>
          </cell>
        </row>
        <row r="59">
          <cell r="A59">
            <v>44432</v>
          </cell>
          <cell r="D59">
            <v>3.9346927145155401</v>
          </cell>
          <cell r="E59">
            <v>11.2</v>
          </cell>
          <cell r="G59">
            <v>-6.14898609738602</v>
          </cell>
        </row>
        <row r="60">
          <cell r="A60">
            <v>44433</v>
          </cell>
          <cell r="D60">
            <v>4.0448217159439332</v>
          </cell>
          <cell r="E60">
            <v>0.2</v>
          </cell>
        </row>
        <row r="61">
          <cell r="A61">
            <v>44434</v>
          </cell>
          <cell r="D61">
            <v>4.3927248069362754</v>
          </cell>
          <cell r="E61">
            <v>1.8</v>
          </cell>
        </row>
        <row r="62">
          <cell r="A62">
            <v>44435</v>
          </cell>
          <cell r="D62">
            <v>3.8058877782400278</v>
          </cell>
          <cell r="E62">
            <v>0.7</v>
          </cell>
        </row>
        <row r="63">
          <cell r="A63">
            <v>44436</v>
          </cell>
          <cell r="D63">
            <v>3.9768882751893986</v>
          </cell>
          <cell r="E63">
            <v>1</v>
          </cell>
        </row>
        <row r="64">
          <cell r="A64">
            <v>44437</v>
          </cell>
          <cell r="D64">
            <v>4.2580308413483303</v>
          </cell>
          <cell r="E64">
            <v>1.4</v>
          </cell>
          <cell r="K64">
            <v>-8.3371735999999999</v>
          </cell>
          <cell r="L64">
            <v>0</v>
          </cell>
          <cell r="O64">
            <v>-11.754122300000001</v>
          </cell>
          <cell r="P64">
            <v>-10.731155300000001</v>
          </cell>
          <cell r="Q64">
            <v>-10.991288575000002</v>
          </cell>
          <cell r="U64">
            <v>-10.3612869</v>
          </cell>
          <cell r="V64">
            <v>-10.598892900000001</v>
          </cell>
          <cell r="W64">
            <v>-10.354322625</v>
          </cell>
          <cell r="X64">
            <v>0.26281863940757599</v>
          </cell>
          <cell r="AI64">
            <v>-11.832136450000002</v>
          </cell>
          <cell r="AK64">
            <v>-10.621207861886019</v>
          </cell>
          <cell r="AQ64">
            <v>-10.195647575000002</v>
          </cell>
        </row>
        <row r="65">
          <cell r="A65">
            <v>44438</v>
          </cell>
          <cell r="D65">
            <v>3.7993868231680765</v>
          </cell>
          <cell r="E65">
            <v>0</v>
          </cell>
        </row>
        <row r="66">
          <cell r="A66">
            <v>44439</v>
          </cell>
          <cell r="D66">
            <v>4.0125858255950622</v>
          </cell>
          <cell r="E66">
            <v>0</v>
          </cell>
        </row>
        <row r="67">
          <cell r="A67">
            <v>44440</v>
          </cell>
          <cell r="D67">
            <v>4.6138418443977063</v>
          </cell>
          <cell r="E67">
            <v>0</v>
          </cell>
        </row>
        <row r="68">
          <cell r="A68">
            <v>44441</v>
          </cell>
          <cell r="D68">
            <v>4.6203974516576976</v>
          </cell>
          <cell r="E68">
            <v>0</v>
          </cell>
        </row>
        <row r="69">
          <cell r="A69">
            <v>44442</v>
          </cell>
          <cell r="D69">
            <v>4.0491728093340766</v>
          </cell>
          <cell r="E69">
            <v>0</v>
          </cell>
        </row>
        <row r="70">
          <cell r="A70">
            <v>44443</v>
          </cell>
          <cell r="D70">
            <v>3.9344985035312812</v>
          </cell>
          <cell r="E70">
            <v>0</v>
          </cell>
        </row>
        <row r="71">
          <cell r="A71">
            <v>44444</v>
          </cell>
          <cell r="D71">
            <v>4.3484025732317315</v>
          </cell>
          <cell r="E71">
            <v>8.5</v>
          </cell>
          <cell r="G71">
            <v>-10.304</v>
          </cell>
        </row>
        <row r="72">
          <cell r="A72">
            <v>44445</v>
          </cell>
          <cell r="D72">
            <v>5.3307414205641965</v>
          </cell>
          <cell r="E72">
            <v>9.8999999999999986</v>
          </cell>
          <cell r="G72">
            <v>-11.167</v>
          </cell>
          <cell r="K72">
            <v>-8.0220015999999994</v>
          </cell>
          <cell r="L72">
            <v>0</v>
          </cell>
          <cell r="O72">
            <v>-10.129193399999998</v>
          </cell>
          <cell r="P72">
            <v>-8.4648000000000003</v>
          </cell>
          <cell r="Q72">
            <v>-9.7328968499999995</v>
          </cell>
          <cell r="U72">
            <v>-9.6089915000000019</v>
          </cell>
          <cell r="V72">
            <v>-9.7939521999999997</v>
          </cell>
          <cell r="W72">
            <v>-9.5250358750000004</v>
          </cell>
          <cell r="X72">
            <v>0.26412271157586731</v>
          </cell>
          <cell r="AI72">
            <v>-10.908759</v>
          </cell>
          <cell r="AK72">
            <v>-10.915923771339047</v>
          </cell>
          <cell r="AQ72">
            <v>-9.3560552500000007</v>
          </cell>
        </row>
        <row r="73">
          <cell r="A73">
            <v>44446</v>
          </cell>
          <cell r="D73">
            <v>4.4626669144928357</v>
          </cell>
          <cell r="E73">
            <v>0</v>
          </cell>
        </row>
        <row r="74">
          <cell r="A74">
            <v>44447</v>
          </cell>
          <cell r="D74">
            <v>4.8693454612398597</v>
          </cell>
          <cell r="E74">
            <v>0</v>
          </cell>
        </row>
        <row r="75">
          <cell r="A75">
            <v>44448</v>
          </cell>
          <cell r="D75">
            <v>4.7925810302434728</v>
          </cell>
          <cell r="E75">
            <v>0</v>
          </cell>
        </row>
        <row r="76">
          <cell r="A76">
            <v>44449</v>
          </cell>
          <cell r="D76">
            <v>5.2330334227082789</v>
          </cell>
          <cell r="E76">
            <v>0</v>
          </cell>
        </row>
        <row r="77">
          <cell r="A77">
            <v>44450</v>
          </cell>
          <cell r="D77">
            <v>5.0869428691821303</v>
          </cell>
          <cell r="E77">
            <v>0</v>
          </cell>
        </row>
        <row r="78">
          <cell r="A78">
            <v>44451</v>
          </cell>
          <cell r="D78">
            <v>5.7325411286350274</v>
          </cell>
          <cell r="E78">
            <v>1</v>
          </cell>
        </row>
        <row r="79">
          <cell r="A79">
            <v>44452</v>
          </cell>
          <cell r="D79">
            <v>4.1399293616475532</v>
          </cell>
          <cell r="E79">
            <v>64.5</v>
          </cell>
          <cell r="G79">
            <v>-7.3201000000000001</v>
          </cell>
        </row>
        <row r="80">
          <cell r="A80">
            <v>44453</v>
          </cell>
          <cell r="D80">
            <v>4.1940195427896487</v>
          </cell>
          <cell r="E80">
            <v>5</v>
          </cell>
        </row>
        <row r="81">
          <cell r="A81">
            <v>44454</v>
          </cell>
          <cell r="D81">
            <v>4.1954648606642273</v>
          </cell>
          <cell r="E81">
            <v>0</v>
          </cell>
          <cell r="K81">
            <v>-7.9926580000000005</v>
          </cell>
          <cell r="L81">
            <v>0</v>
          </cell>
          <cell r="O81">
            <v>-8.1865325999999996</v>
          </cell>
          <cell r="P81">
            <v>-6.4272989999999997</v>
          </cell>
          <cell r="Q81">
            <v>-7.7404709999999994</v>
          </cell>
          <cell r="U81">
            <v>-8.6899151999999997</v>
          </cell>
          <cell r="V81">
            <v>-9.3141929999999995</v>
          </cell>
          <cell r="W81">
            <v>-9.0299329499999992</v>
          </cell>
          <cell r="X81">
            <v>0.27707023065210351</v>
          </cell>
          <cell r="AI81">
            <v>-7.8900153</v>
          </cell>
          <cell r="AK81">
            <v>-9.0783721124356855</v>
          </cell>
          <cell r="AQ81">
            <v>-8.7645438999999996</v>
          </cell>
        </row>
        <row r="82">
          <cell r="A82">
            <v>44455</v>
          </cell>
          <cell r="D82">
            <v>3.7801989417431012</v>
          </cell>
          <cell r="E82">
            <v>15.600000000000001</v>
          </cell>
          <cell r="G82">
            <v>-13.488</v>
          </cell>
        </row>
        <row r="83">
          <cell r="A83">
            <v>44456</v>
          </cell>
          <cell r="D83">
            <v>4.5098032773799117</v>
          </cell>
          <cell r="E83">
            <v>19.799999999999997</v>
          </cell>
          <cell r="G83">
            <v>-13.108000000000001</v>
          </cell>
        </row>
        <row r="84">
          <cell r="A84">
            <v>44457</v>
          </cell>
          <cell r="D84">
            <v>4.0430941724361036</v>
          </cell>
          <cell r="E84">
            <v>7.4</v>
          </cell>
          <cell r="G84">
            <v>-13.162000000000001</v>
          </cell>
        </row>
        <row r="85">
          <cell r="A85">
            <v>44458</v>
          </cell>
          <cell r="D85">
            <v>2.6179599701743594</v>
          </cell>
          <cell r="E85">
            <v>5.7000000000000011</v>
          </cell>
          <cell r="G85">
            <v>-17.859000000000002</v>
          </cell>
        </row>
        <row r="86">
          <cell r="A86">
            <v>44459</v>
          </cell>
          <cell r="D86">
            <v>4.8710890711592425</v>
          </cell>
          <cell r="E86">
            <v>0</v>
          </cell>
        </row>
        <row r="87">
          <cell r="A87">
            <v>44460</v>
          </cell>
          <cell r="D87">
            <v>4.594376664961076</v>
          </cell>
          <cell r="E87">
            <v>0</v>
          </cell>
        </row>
        <row r="88">
          <cell r="A88">
            <v>44461</v>
          </cell>
          <cell r="D88">
            <v>4.0833057393161987</v>
          </cell>
          <cell r="E88">
            <v>0</v>
          </cell>
          <cell r="K88">
            <v>-8.973805500000001</v>
          </cell>
          <cell r="L88">
            <v>0</v>
          </cell>
          <cell r="O88">
            <v>-11.451338999999999</v>
          </cell>
          <cell r="P88">
            <v>-10.960056</v>
          </cell>
          <cell r="Q88">
            <v>-10.614771175</v>
          </cell>
          <cell r="U88">
            <v>-10.031494799999999</v>
          </cell>
          <cell r="V88">
            <v>-10.1488692</v>
          </cell>
          <cell r="W88">
            <v>-9.543793299999999</v>
          </cell>
          <cell r="X88">
            <v>0.64324200827266675</v>
          </cell>
          <cell r="AI88">
            <v>-11.117889</v>
          </cell>
          <cell r="AK88">
            <v>-10.157489414403756</v>
          </cell>
          <cell r="AQ88">
            <v>-9.7940290000000001</v>
          </cell>
        </row>
        <row r="89">
          <cell r="A89">
            <v>44462</v>
          </cell>
          <cell r="D89">
            <v>3.6293215139989972</v>
          </cell>
          <cell r="E89">
            <v>0</v>
          </cell>
        </row>
        <row r="90">
          <cell r="A90">
            <v>44463</v>
          </cell>
          <cell r="D90">
            <v>3.6861871772728092</v>
          </cell>
          <cell r="E90">
            <v>0.2</v>
          </cell>
        </row>
        <row r="91">
          <cell r="A91">
            <v>44464</v>
          </cell>
          <cell r="D91">
            <v>3.6536784236672792</v>
          </cell>
          <cell r="E91">
            <v>0</v>
          </cell>
        </row>
        <row r="92">
          <cell r="A92">
            <v>44465</v>
          </cell>
          <cell r="D92">
            <v>3.8512813507565022</v>
          </cell>
          <cell r="E92">
            <v>0</v>
          </cell>
        </row>
        <row r="93">
          <cell r="A93">
            <v>44466</v>
          </cell>
          <cell r="D93">
            <v>4.3697537673686453</v>
          </cell>
          <cell r="E93">
            <v>0</v>
          </cell>
        </row>
        <row r="94">
          <cell r="A94">
            <v>44467</v>
          </cell>
          <cell r="D94">
            <v>4.8322828089447922</v>
          </cell>
          <cell r="E94">
            <v>1.0999999999999999</v>
          </cell>
          <cell r="K94">
            <v>-8.7883579999999988</v>
          </cell>
          <cell r="L94">
            <v>0</v>
          </cell>
          <cell r="O94">
            <v>-9.5595660000000002</v>
          </cell>
          <cell r="P94">
            <v>-9.1238580000000002</v>
          </cell>
          <cell r="Q94">
            <v>-9.6040260000000011</v>
          </cell>
          <cell r="U94">
            <v>-8.5622615</v>
          </cell>
          <cell r="V94">
            <v>-9.6023715000000003</v>
          </cell>
          <cell r="W94">
            <v>-8.9440792500000015</v>
          </cell>
          <cell r="X94">
            <v>0.49788957000264267</v>
          </cell>
          <cell r="AI94">
            <v>-10.639141500000001</v>
          </cell>
          <cell r="AK94">
            <v>-10.118923153142566</v>
          </cell>
          <cell r="AQ94">
            <v>-9.3470466249999991</v>
          </cell>
        </row>
        <row r="95">
          <cell r="A95">
            <v>44468</v>
          </cell>
          <cell r="D95">
            <v>5.2530976003040832</v>
          </cell>
          <cell r="E95">
            <v>0.2</v>
          </cell>
        </row>
        <row r="96">
          <cell r="A96">
            <v>44469</v>
          </cell>
          <cell r="D96">
            <v>5.0240969648381197</v>
          </cell>
          <cell r="E96">
            <v>0</v>
          </cell>
        </row>
        <row r="97">
          <cell r="A97">
            <v>44470</v>
          </cell>
          <cell r="D97">
            <v>4.6995136114931562</v>
          </cell>
          <cell r="E97">
            <v>0</v>
          </cell>
        </row>
        <row r="98">
          <cell r="A98">
            <v>44471</v>
          </cell>
          <cell r="D98">
            <v>3.9689013287617056</v>
          </cell>
          <cell r="E98">
            <v>0</v>
          </cell>
        </row>
        <row r="99">
          <cell r="A99">
            <v>44472</v>
          </cell>
          <cell r="D99">
            <v>3.6768013507196673</v>
          </cell>
          <cell r="E99">
            <v>0</v>
          </cell>
        </row>
        <row r="100">
          <cell r="A100">
            <v>44473</v>
          </cell>
          <cell r="D100">
            <v>2.9777642773972448</v>
          </cell>
          <cell r="E100">
            <v>0</v>
          </cell>
        </row>
        <row r="101">
          <cell r="A101">
            <v>44474</v>
          </cell>
          <cell r="D101">
            <v>4.039407349516833</v>
          </cell>
          <cell r="E101">
            <v>0</v>
          </cell>
        </row>
        <row r="102">
          <cell r="A102">
            <v>44475</v>
          </cell>
          <cell r="D102">
            <v>3.5381836941664382</v>
          </cell>
          <cell r="E102">
            <v>0</v>
          </cell>
        </row>
        <row r="103">
          <cell r="A103">
            <v>44476</v>
          </cell>
          <cell r="D103">
            <v>3.9033531984898073</v>
          </cell>
          <cell r="E103">
            <v>0</v>
          </cell>
        </row>
        <row r="104">
          <cell r="A104">
            <v>44477</v>
          </cell>
          <cell r="D104">
            <v>4.1451951227429573</v>
          </cell>
          <cell r="E104">
            <v>0.89999999999999991</v>
          </cell>
        </row>
        <row r="105">
          <cell r="A105">
            <v>44478</v>
          </cell>
          <cell r="D105">
            <v>3.6025703965147051</v>
          </cell>
          <cell r="E105">
            <v>1.2</v>
          </cell>
          <cell r="K105">
            <v>-8.6834299999999995</v>
          </cell>
          <cell r="L105">
            <v>0</v>
          </cell>
          <cell r="O105">
            <v>-5.1741584999999999</v>
          </cell>
          <cell r="P105">
            <v>-4.5213235000000003</v>
          </cell>
          <cell r="Q105">
            <v>-5.6115026250000009</v>
          </cell>
          <cell r="U105">
            <v>-8.8148610000000005</v>
          </cell>
          <cell r="V105">
            <v>-9.2216699999999996</v>
          </cell>
          <cell r="W105">
            <v>-8.7392789999999998</v>
          </cell>
          <cell r="X105">
            <v>0.60734432160842633</v>
          </cell>
          <cell r="AI105">
            <v>-8.7265767500000013</v>
          </cell>
          <cell r="AK105">
            <v>-9.8281893764239943</v>
          </cell>
          <cell r="AQ105">
            <v>-8.7017658749999995</v>
          </cell>
        </row>
        <row r="106">
          <cell r="A106">
            <v>44479</v>
          </cell>
          <cell r="D106">
            <v>1.4067352087146943</v>
          </cell>
          <cell r="E106">
            <v>21.599999999999994</v>
          </cell>
          <cell r="G106">
            <v>-8.6042097241940017</v>
          </cell>
        </row>
        <row r="107">
          <cell r="A107">
            <v>44480</v>
          </cell>
          <cell r="D107">
            <v>1.4305476062327676</v>
          </cell>
          <cell r="E107">
            <v>2.3000000000000003</v>
          </cell>
        </row>
        <row r="108">
          <cell r="A108">
            <v>44481</v>
          </cell>
          <cell r="D108">
            <v>2.3862493564633671</v>
          </cell>
          <cell r="E108">
            <v>0.2</v>
          </cell>
        </row>
        <row r="109">
          <cell r="A109">
            <v>44482</v>
          </cell>
          <cell r="D109">
            <v>1.6736698269045347</v>
          </cell>
          <cell r="E109">
            <v>0</v>
          </cell>
        </row>
        <row r="110">
          <cell r="A110">
            <v>44483</v>
          </cell>
          <cell r="D110">
            <v>1.5175610536193072</v>
          </cell>
          <cell r="E110">
            <v>2.2000000000000002</v>
          </cell>
        </row>
        <row r="111">
          <cell r="A111">
            <v>44484</v>
          </cell>
          <cell r="D111">
            <v>1.767332465198602</v>
          </cell>
          <cell r="E111">
            <v>1.4</v>
          </cell>
        </row>
        <row r="112">
          <cell r="A112">
            <v>44485</v>
          </cell>
          <cell r="D112">
            <v>1.4431523095200369</v>
          </cell>
          <cell r="E112">
            <v>0.2</v>
          </cell>
        </row>
        <row r="113">
          <cell r="A113">
            <v>44486</v>
          </cell>
          <cell r="D113">
            <v>2.154072881938387</v>
          </cell>
          <cell r="E113">
            <v>0</v>
          </cell>
          <cell r="K113">
            <v>-8.4287609999999979</v>
          </cell>
          <cell r="O113">
            <v>-8.3806689999999993</v>
          </cell>
          <cell r="P113">
            <v>-8.1074189999999984</v>
          </cell>
          <cell r="Q113">
            <v>-7.6756839999999986</v>
          </cell>
          <cell r="U113">
            <v>-8.1566039999999997</v>
          </cell>
          <cell r="V113">
            <v>-8.3784829999999992</v>
          </cell>
          <cell r="W113">
            <v>-8.1820162500000002</v>
          </cell>
          <cell r="X113">
            <v>0.16454974941006931</v>
          </cell>
          <cell r="AI113">
            <v>-8.2664504999999995</v>
          </cell>
          <cell r="AK113">
            <v>-9.8636134065075343</v>
          </cell>
          <cell r="AQ113">
            <v>-8.7681374999999999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3BF66-9CDF-4B9D-BC5C-C668CCCC277F}">
  <dimension ref="A1:AW116"/>
  <sheetViews>
    <sheetView workbookViewId="0">
      <selection activeCell="M20" sqref="M20"/>
    </sheetView>
  </sheetViews>
  <sheetFormatPr defaultRowHeight="13.8"/>
  <sheetData>
    <row r="1" spans="1:49">
      <c r="A1" s="72" t="s">
        <v>49</v>
      </c>
      <c r="B1" s="71"/>
      <c r="C1" s="71"/>
      <c r="D1" s="71"/>
      <c r="E1" s="49"/>
      <c r="F1" s="49"/>
      <c r="G1" s="49"/>
      <c r="H1" s="49"/>
      <c r="I1" s="41" t="s">
        <v>48</v>
      </c>
      <c r="J1" s="41"/>
      <c r="K1" s="27"/>
      <c r="L1" s="27"/>
      <c r="M1" s="41" t="s">
        <v>50</v>
      </c>
      <c r="N1" s="41"/>
      <c r="O1" s="41"/>
      <c r="P1" s="41"/>
      <c r="Q1" s="41"/>
      <c r="R1" s="41"/>
      <c r="S1" s="41"/>
      <c r="T1" s="41"/>
      <c r="U1" s="41"/>
      <c r="V1" s="41"/>
      <c r="W1" s="27"/>
      <c r="X1" s="27"/>
      <c r="Y1" s="27"/>
      <c r="Z1" s="73" t="s">
        <v>55</v>
      </c>
      <c r="AA1" s="73"/>
      <c r="AB1" s="73"/>
      <c r="AC1" s="73"/>
      <c r="AD1" s="73"/>
      <c r="AE1" s="73"/>
      <c r="AF1" s="73"/>
      <c r="AG1" s="73"/>
      <c r="AH1" s="73"/>
      <c r="AI1" s="73"/>
      <c r="AJ1" s="73"/>
      <c r="AK1" s="73"/>
      <c r="AL1" s="73"/>
      <c r="AM1" s="73"/>
      <c r="AN1" s="73"/>
      <c r="AO1" s="73"/>
      <c r="AP1" s="18"/>
      <c r="AQ1" s="18"/>
      <c r="AR1" s="18"/>
      <c r="AS1" s="18"/>
      <c r="AT1" s="27"/>
      <c r="AU1" s="27"/>
      <c r="AV1" s="27"/>
      <c r="AW1" s="27"/>
    </row>
    <row r="2" spans="1:49">
      <c r="A2" s="72"/>
      <c r="B2" s="71"/>
      <c r="C2" s="71"/>
      <c r="D2" s="71"/>
      <c r="E2" s="49"/>
      <c r="F2" s="49"/>
      <c r="G2" s="49"/>
      <c r="H2" s="49"/>
      <c r="I2" s="41"/>
      <c r="J2" s="41"/>
      <c r="K2" s="27"/>
      <c r="L2" s="27"/>
      <c r="M2" s="70"/>
      <c r="N2" s="70"/>
      <c r="O2" s="70"/>
      <c r="P2" s="70"/>
      <c r="Q2" s="70"/>
      <c r="R2" s="70"/>
      <c r="S2" s="70"/>
      <c r="T2" s="70"/>
      <c r="U2" s="70"/>
      <c r="V2" s="70"/>
      <c r="W2" s="69"/>
      <c r="X2" s="69"/>
      <c r="Y2" s="69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41" t="s">
        <v>56</v>
      </c>
      <c r="AM2" s="41"/>
      <c r="AN2" s="41"/>
      <c r="AO2" s="41"/>
      <c r="AP2" s="27"/>
      <c r="AQ2" s="27"/>
      <c r="AR2" s="27"/>
      <c r="AS2" s="27"/>
      <c r="AT2" s="27"/>
      <c r="AU2" s="27"/>
      <c r="AV2" s="27"/>
      <c r="AW2" s="27"/>
    </row>
    <row r="3" spans="1:49" ht="16.8">
      <c r="A3" s="50"/>
      <c r="B3" s="50"/>
      <c r="C3" s="50"/>
      <c r="D3" s="50" t="s">
        <v>47</v>
      </c>
      <c r="E3" s="68" t="s">
        <v>46</v>
      </c>
      <c r="F3" s="68"/>
      <c r="G3" s="68"/>
      <c r="H3" s="68"/>
      <c r="I3" s="27" t="s">
        <v>45</v>
      </c>
      <c r="J3" s="27" t="s">
        <v>44</v>
      </c>
      <c r="K3" s="27"/>
      <c r="L3" s="27"/>
      <c r="M3" s="41" t="s">
        <v>41</v>
      </c>
      <c r="N3" s="41"/>
      <c r="O3" s="41"/>
      <c r="P3" s="41"/>
      <c r="Q3" s="27"/>
      <c r="R3" s="27"/>
      <c r="S3" s="67" t="s">
        <v>43</v>
      </c>
      <c r="T3" s="67"/>
      <c r="U3" s="67"/>
      <c r="V3" s="67"/>
      <c r="W3" s="27"/>
      <c r="X3" s="27"/>
      <c r="Y3" s="74" t="s">
        <v>42</v>
      </c>
      <c r="Z3" s="41" t="s">
        <v>41</v>
      </c>
      <c r="AA3" s="41"/>
      <c r="AB3" s="41"/>
      <c r="AC3" s="41"/>
      <c r="AD3" s="41"/>
      <c r="AE3" s="41"/>
      <c r="AF3" s="41"/>
      <c r="AG3" s="41"/>
      <c r="AH3" s="27"/>
      <c r="AI3" s="27"/>
      <c r="AJ3" s="27"/>
      <c r="AK3" s="27"/>
      <c r="AL3" s="41" t="s">
        <v>40</v>
      </c>
      <c r="AM3" s="41"/>
      <c r="AN3" s="41"/>
      <c r="AO3" s="41"/>
      <c r="AP3" s="27"/>
      <c r="AQ3" s="27"/>
      <c r="AR3" s="66" t="s">
        <v>39</v>
      </c>
      <c r="AS3" s="41"/>
      <c r="AT3" s="65" t="s">
        <v>38</v>
      </c>
      <c r="AU3" s="65"/>
      <c r="AV3" s="65" t="s">
        <v>37</v>
      </c>
      <c r="AW3" s="65"/>
    </row>
    <row r="4" spans="1:49" ht="69">
      <c r="A4" s="50" t="s">
        <v>36</v>
      </c>
      <c r="B4" s="50" t="s">
        <v>35</v>
      </c>
      <c r="C4" s="50" t="s">
        <v>34</v>
      </c>
      <c r="D4" s="50" t="s">
        <v>33</v>
      </c>
      <c r="E4" s="49" t="s">
        <v>32</v>
      </c>
      <c r="F4" s="64" t="s">
        <v>31</v>
      </c>
      <c r="G4" s="29" t="s">
        <v>30</v>
      </c>
      <c r="H4" s="29" t="s">
        <v>29</v>
      </c>
      <c r="I4" s="28" t="s">
        <v>28</v>
      </c>
      <c r="J4" s="28" t="s">
        <v>28</v>
      </c>
      <c r="K4" s="28" t="s">
        <v>22</v>
      </c>
      <c r="L4" s="28" t="s">
        <v>26</v>
      </c>
      <c r="M4" s="27" t="s">
        <v>51</v>
      </c>
      <c r="N4" s="27" t="s">
        <v>52</v>
      </c>
      <c r="O4" s="27" t="s">
        <v>53</v>
      </c>
      <c r="P4" s="27" t="s">
        <v>54</v>
      </c>
      <c r="Q4" s="27" t="s">
        <v>22</v>
      </c>
      <c r="R4" s="27" t="s">
        <v>26</v>
      </c>
      <c r="S4" s="63" t="s">
        <v>51</v>
      </c>
      <c r="T4" s="63" t="s">
        <v>52</v>
      </c>
      <c r="U4" s="63" t="s">
        <v>53</v>
      </c>
      <c r="V4" s="63" t="s">
        <v>54</v>
      </c>
      <c r="W4" s="27" t="s">
        <v>22</v>
      </c>
      <c r="X4" s="27" t="s">
        <v>26</v>
      </c>
      <c r="Y4" s="27" t="s">
        <v>53</v>
      </c>
      <c r="Z4" s="27" t="s">
        <v>57</v>
      </c>
      <c r="AA4" s="27" t="s">
        <v>58</v>
      </c>
      <c r="AB4" s="27" t="s">
        <v>59</v>
      </c>
      <c r="AC4" s="27" t="s">
        <v>60</v>
      </c>
      <c r="AD4" s="27" t="s">
        <v>61</v>
      </c>
      <c r="AE4" s="27" t="s">
        <v>62</v>
      </c>
      <c r="AF4" s="27" t="s">
        <v>63</v>
      </c>
      <c r="AG4" s="27" t="s">
        <v>64</v>
      </c>
      <c r="AH4" s="27" t="s">
        <v>27</v>
      </c>
      <c r="AI4" s="27" t="s">
        <v>26</v>
      </c>
      <c r="AJ4" s="27" t="s">
        <v>21</v>
      </c>
      <c r="AK4" s="27" t="s">
        <v>26</v>
      </c>
      <c r="AL4" s="63" t="s">
        <v>61</v>
      </c>
      <c r="AM4" s="63" t="s">
        <v>62</v>
      </c>
      <c r="AN4" s="63" t="s">
        <v>63</v>
      </c>
      <c r="AO4" s="63" t="s">
        <v>64</v>
      </c>
      <c r="AP4" s="63"/>
      <c r="AQ4" s="63"/>
      <c r="AR4" s="63" t="s">
        <v>65</v>
      </c>
      <c r="AS4" s="63" t="s">
        <v>66</v>
      </c>
      <c r="AT4" s="24" t="s">
        <v>22</v>
      </c>
      <c r="AU4" s="24" t="s">
        <v>25</v>
      </c>
      <c r="AV4" s="24" t="s">
        <v>22</v>
      </c>
      <c r="AW4" s="24" t="s">
        <v>25</v>
      </c>
    </row>
    <row r="5" spans="1:49">
      <c r="A5" s="50">
        <v>45108</v>
      </c>
      <c r="B5" s="62">
        <v>0.13147497943947309</v>
      </c>
      <c r="C5" s="61">
        <v>22.481249999999999</v>
      </c>
      <c r="D5" s="24">
        <v>5.398052722949517</v>
      </c>
      <c r="E5" s="61">
        <v>60.900000000000013</v>
      </c>
      <c r="F5" s="64"/>
      <c r="G5" s="29"/>
      <c r="H5" s="29"/>
      <c r="I5" s="28"/>
      <c r="J5" s="28"/>
      <c r="K5" s="28"/>
      <c r="L5" s="28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4">
        <v>0.41466666666666674</v>
      </c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63"/>
      <c r="AM5" s="63"/>
      <c r="AN5" s="63"/>
      <c r="AO5" s="63"/>
      <c r="AP5" s="63"/>
      <c r="AQ5" s="63"/>
      <c r="AR5" s="24">
        <v>0.55248011363636351</v>
      </c>
      <c r="AS5" s="24">
        <v>2.3174487301217093E-2</v>
      </c>
      <c r="AT5" s="24">
        <v>0.56937499999999996</v>
      </c>
      <c r="AU5" s="24">
        <v>8.2348477225683225E-2</v>
      </c>
      <c r="AV5" s="24">
        <v>0.54872569444444441</v>
      </c>
      <c r="AW5" s="24">
        <v>6.9296488878939952E-2</v>
      </c>
    </row>
    <row r="6" spans="1:49">
      <c r="A6" s="50">
        <v>45109</v>
      </c>
      <c r="B6" s="62">
        <v>0.12547018241287469</v>
      </c>
      <c r="C6" s="61">
        <v>20.308333333333334</v>
      </c>
      <c r="D6" s="24">
        <v>4.0198729616186375</v>
      </c>
      <c r="E6" s="61">
        <v>32.299999999999997</v>
      </c>
      <c r="F6" s="64"/>
      <c r="G6" s="29"/>
      <c r="H6" s="29"/>
      <c r="I6" s="28"/>
      <c r="J6" s="28"/>
      <c r="K6" s="28"/>
      <c r="L6" s="28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4">
        <v>0.4048958333333334</v>
      </c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63"/>
      <c r="AM6" s="63"/>
      <c r="AN6" s="63"/>
      <c r="AO6" s="63"/>
      <c r="AP6" s="63"/>
      <c r="AQ6" s="63"/>
      <c r="AR6" s="24">
        <v>0.55032291666666666</v>
      </c>
      <c r="AS6" s="24">
        <v>2.2719153389089412E-2</v>
      </c>
      <c r="AT6" s="24">
        <v>0.56701041666666674</v>
      </c>
      <c r="AU6" s="24">
        <v>8.4396140612868209E-2</v>
      </c>
      <c r="AV6" s="24">
        <v>0.54661458333333324</v>
      </c>
      <c r="AW6" s="24">
        <v>6.8625591666646404E-2</v>
      </c>
    </row>
    <row r="7" spans="1:49">
      <c r="A7" s="50">
        <v>45110</v>
      </c>
      <c r="B7" s="62">
        <v>0.39529987072719514</v>
      </c>
      <c r="C7" s="61">
        <v>20.066666666666666</v>
      </c>
      <c r="D7" s="24">
        <v>3.2166117021972056</v>
      </c>
      <c r="E7" s="61">
        <v>6.2</v>
      </c>
      <c r="F7" s="64"/>
      <c r="G7" s="29"/>
      <c r="H7" s="29"/>
      <c r="I7" s="28"/>
      <c r="J7" s="28"/>
      <c r="K7" s="28"/>
      <c r="L7" s="28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4">
        <v>0.30686111111111114</v>
      </c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63"/>
      <c r="AM7" s="63"/>
      <c r="AN7" s="63"/>
      <c r="AO7" s="63"/>
      <c r="AP7" s="63"/>
      <c r="AQ7" s="63"/>
      <c r="AR7" s="24">
        <v>0.52804356060606061</v>
      </c>
      <c r="AS7" s="24">
        <v>2.1817190477859946E-2</v>
      </c>
      <c r="AT7" s="24">
        <v>0.54030208333333318</v>
      </c>
      <c r="AU7" s="24">
        <v>0.10481384891963065</v>
      </c>
      <c r="AV7" s="24">
        <v>0.52531944444444445</v>
      </c>
      <c r="AW7" s="24">
        <v>6.9278735347120646E-2</v>
      </c>
    </row>
    <row r="8" spans="1:49">
      <c r="A8" s="50">
        <v>45111</v>
      </c>
      <c r="B8" s="62">
        <v>0.40131743328935388</v>
      </c>
      <c r="C8" s="61">
        <v>22.685416666666665</v>
      </c>
      <c r="D8" s="24">
        <v>4.9879256190884238</v>
      </c>
      <c r="E8" s="61">
        <v>1.4</v>
      </c>
      <c r="F8" s="64"/>
      <c r="G8" s="29"/>
      <c r="H8" s="29"/>
      <c r="I8" s="28"/>
      <c r="J8" s="28"/>
      <c r="K8" s="28"/>
      <c r="L8" s="28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4">
        <v>0.30414285714285716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63"/>
      <c r="AM8" s="63"/>
      <c r="AN8" s="63"/>
      <c r="AO8" s="63"/>
      <c r="AP8" s="63"/>
      <c r="AQ8" s="63"/>
      <c r="AR8" s="24">
        <v>0.53650662878787891</v>
      </c>
      <c r="AS8" s="24">
        <v>2.2275872433459191E-2</v>
      </c>
      <c r="AT8" s="24">
        <v>0.55070833333333313</v>
      </c>
      <c r="AU8" s="24">
        <v>0.10164659979556585</v>
      </c>
      <c r="AV8" s="24">
        <v>0.53335069444444472</v>
      </c>
      <c r="AW8" s="24">
        <v>7.0937857214796368E-2</v>
      </c>
    </row>
    <row r="9" spans="1:49">
      <c r="A9" s="50">
        <v>45112</v>
      </c>
      <c r="B9" s="62">
        <v>0.50286529046205908</v>
      </c>
      <c r="C9" s="61">
        <v>23.274999999999995</v>
      </c>
      <c r="D9" s="24">
        <v>3.7053977328711873</v>
      </c>
      <c r="E9" s="61">
        <v>9</v>
      </c>
      <c r="F9" s="64"/>
      <c r="G9" s="29"/>
      <c r="H9" s="29"/>
      <c r="I9" s="28"/>
      <c r="J9" s="28"/>
      <c r="K9" s="28"/>
      <c r="L9" s="28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4">
        <v>0.27999999999999997</v>
      </c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63"/>
      <c r="AM9" s="63"/>
      <c r="AN9" s="63"/>
      <c r="AO9" s="63"/>
      <c r="AP9" s="63"/>
      <c r="AQ9" s="63"/>
      <c r="AR9" s="24">
        <v>0.52204924242424244</v>
      </c>
      <c r="AS9" s="24">
        <v>2.0966787436091983E-2</v>
      </c>
      <c r="AT9" s="24">
        <v>0.53145833333333337</v>
      </c>
      <c r="AU9" s="24">
        <v>0.11310762220729795</v>
      </c>
      <c r="AV9" s="24">
        <v>0.51995833333333341</v>
      </c>
      <c r="AW9" s="24">
        <v>6.9564217683694224E-2</v>
      </c>
    </row>
    <row r="10" spans="1:49">
      <c r="A10" s="50">
        <v>45113</v>
      </c>
      <c r="B10" s="62">
        <v>0.69033696014073787</v>
      </c>
      <c r="C10" s="61">
        <v>23.258333333333336</v>
      </c>
      <c r="D10" s="24">
        <v>3.8814441367760089</v>
      </c>
      <c r="E10" s="61">
        <v>0.2</v>
      </c>
      <c r="F10" s="64"/>
      <c r="G10" s="29"/>
      <c r="H10" s="29"/>
      <c r="I10" s="28"/>
      <c r="J10" s="28"/>
      <c r="K10" s="28"/>
      <c r="L10" s="28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4">
        <v>0.27116279069767435</v>
      </c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63"/>
      <c r="AM10" s="63"/>
      <c r="AN10" s="63"/>
      <c r="AO10" s="63"/>
      <c r="AP10" s="63"/>
      <c r="AQ10" s="63"/>
      <c r="AR10" s="24">
        <v>0.51261268939393934</v>
      </c>
      <c r="AS10" s="24">
        <v>1.9755465308093339E-2</v>
      </c>
      <c r="AT10" s="24">
        <v>0.51676041666666683</v>
      </c>
      <c r="AU10" s="24">
        <v>0.12119515601711928</v>
      </c>
      <c r="AV10" s="24">
        <v>0.51169097222222215</v>
      </c>
      <c r="AW10" s="24">
        <v>6.8670834997708083E-2</v>
      </c>
    </row>
    <row r="11" spans="1:49">
      <c r="A11" s="50">
        <v>45114</v>
      </c>
      <c r="B11" s="62">
        <v>0.43509291928196564</v>
      </c>
      <c r="C11" s="61">
        <v>23.897916666666664</v>
      </c>
      <c r="D11" s="24">
        <v>5.1038516114979542</v>
      </c>
      <c r="E11" s="61">
        <v>0</v>
      </c>
      <c r="F11" s="64"/>
      <c r="G11" s="29"/>
      <c r="H11" s="29"/>
      <c r="I11" s="28"/>
      <c r="J11" s="28"/>
      <c r="K11" s="28"/>
      <c r="L11" s="28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4">
        <v>0.25054166666666683</v>
      </c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63"/>
      <c r="AM11" s="63"/>
      <c r="AN11" s="63"/>
      <c r="AO11" s="63"/>
      <c r="AP11" s="63"/>
      <c r="AQ11" s="63"/>
      <c r="AR11" s="24">
        <v>0.50240625000000005</v>
      </c>
      <c r="AS11" s="24">
        <v>1.8441693049866162E-2</v>
      </c>
      <c r="AT11" s="24">
        <v>0.49987500000000007</v>
      </c>
      <c r="AU11" s="24">
        <v>0.13069690338931389</v>
      </c>
      <c r="AV11" s="24">
        <v>0.50296875000000008</v>
      </c>
      <c r="AW11" s="24">
        <v>6.7854594269964819E-2</v>
      </c>
    </row>
    <row r="12" spans="1:49">
      <c r="A12" s="60">
        <v>44385</v>
      </c>
      <c r="B12" s="59">
        <v>0.5633741847165129</v>
      </c>
      <c r="C12" s="58">
        <v>22.270833333333332</v>
      </c>
      <c r="D12" s="57">
        <v>4.3219579800505583</v>
      </c>
      <c r="E12" s="56">
        <v>0.2</v>
      </c>
      <c r="F12" s="56"/>
      <c r="G12" s="51"/>
      <c r="H12" s="49"/>
      <c r="I12" s="54">
        <v>-9.0204331000000018</v>
      </c>
      <c r="J12" s="54">
        <v>-8.7006642999999997</v>
      </c>
      <c r="K12" s="54">
        <f>AVERAGE(I12:J12)</f>
        <v>-8.8605487000000007</v>
      </c>
      <c r="L12" s="54">
        <f>STDEV(I12:J12)</f>
        <v>0.22611068689188635</v>
      </c>
      <c r="M12" s="51">
        <v>-9.7634090000000011</v>
      </c>
      <c r="N12" s="51">
        <v>-8.5761673999999992</v>
      </c>
      <c r="O12" s="51">
        <v>-7.5362555999999996</v>
      </c>
      <c r="P12" s="51">
        <v>-8.7665132000000003</v>
      </c>
      <c r="Q12" s="51">
        <f>AVERAGE(M12:P12)</f>
        <v>-8.6605863000000003</v>
      </c>
      <c r="R12" s="51">
        <f>STDEV(M12:P12)</f>
        <v>0.91263071929789941</v>
      </c>
      <c r="S12" s="51">
        <v>-9.6580197999999999</v>
      </c>
      <c r="T12" s="51">
        <v>-8.6138063999999996</v>
      </c>
      <c r="U12" s="51">
        <v>-8.6380376000000005</v>
      </c>
      <c r="V12" s="51">
        <v>-8.7052154000000002</v>
      </c>
      <c r="W12" s="51">
        <f>AVERAGE(S12:V12)</f>
        <v>-8.9037697999999992</v>
      </c>
      <c r="X12" s="51">
        <f>STDEV(S12:V12)</f>
        <v>0.50431778596296462</v>
      </c>
      <c r="Y12" s="24">
        <v>0.23848275862068974</v>
      </c>
      <c r="Z12" s="51">
        <v>-10.483927</v>
      </c>
      <c r="AA12" s="51">
        <v>-9.5666107999999994</v>
      </c>
      <c r="AB12" s="51">
        <v>-8.5869213999999996</v>
      </c>
      <c r="AC12" s="51">
        <v>-7.6018549999999996</v>
      </c>
      <c r="AD12" s="51">
        <v>-9.0773037999999993</v>
      </c>
      <c r="AE12" s="51">
        <v>-9.960207200000001</v>
      </c>
      <c r="AF12" s="51">
        <v>-9.8376115999999989</v>
      </c>
      <c r="AG12" s="51">
        <v>-9.7816907999999998</v>
      </c>
      <c r="AH12" s="51">
        <f>AVERAGE(Z12,AD12)</f>
        <v>-9.7806153999999985</v>
      </c>
      <c r="AI12" s="51">
        <f>STDEV(Z12,AD12)</f>
        <v>0.99463280329432147</v>
      </c>
      <c r="AJ12" s="51">
        <f>AVERAGE(AA12:AC12,AE12:AG12)</f>
        <v>-9.2224827999999999</v>
      </c>
      <c r="AK12" s="51">
        <f>STDEV(AA12:AC12,AE12:AG12)</f>
        <v>0.9363899997218682</v>
      </c>
      <c r="AL12" s="51">
        <v>-8.8891088000000007</v>
      </c>
      <c r="AM12" s="51">
        <v>-9.1278475999999991</v>
      </c>
      <c r="AN12" s="51">
        <v>-8.9493311999999996</v>
      </c>
      <c r="AO12" s="51">
        <v>-9.1912962</v>
      </c>
      <c r="AP12" s="51">
        <f>AVERAGE(AL12:AO12)</f>
        <v>-9.0393959499999994</v>
      </c>
      <c r="AQ12" s="51">
        <f>STDEV(AL12:AO12)</f>
        <v>0.14328906330150684</v>
      </c>
      <c r="AR12" s="52">
        <v>0.49222537878787875</v>
      </c>
      <c r="AS12" s="52">
        <v>1.7026809878798826E-2</v>
      </c>
      <c r="AT12" s="24">
        <v>0.48217708333333353</v>
      </c>
      <c r="AU12" s="24">
        <v>0.13969778345816763</v>
      </c>
      <c r="AV12" s="24">
        <v>0.49445833333333322</v>
      </c>
      <c r="AW12" s="24">
        <v>6.6840316810956049E-2</v>
      </c>
    </row>
    <row r="13" spans="1:49">
      <c r="A13" s="50">
        <f>A12+1</f>
        <v>44386</v>
      </c>
      <c r="B13" s="62">
        <v>0.7360902906261716</v>
      </c>
      <c r="C13" s="61">
        <v>22.695833333333329</v>
      </c>
      <c r="D13" s="24">
        <v>4.5292373439103031</v>
      </c>
      <c r="E13" s="56">
        <v>0.4</v>
      </c>
      <c r="F13" s="56"/>
      <c r="G13" s="51"/>
      <c r="H13" s="49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4">
        <v>0.20036842105263156</v>
      </c>
      <c r="Z13" s="27"/>
      <c r="AA13" s="27"/>
      <c r="AB13" s="27"/>
      <c r="AC13" s="27"/>
      <c r="AD13" s="27"/>
      <c r="AE13" s="27"/>
      <c r="AF13" s="27"/>
      <c r="AG13" s="27"/>
      <c r="AH13" s="27"/>
      <c r="AI13" s="51"/>
      <c r="AJ13" s="51"/>
      <c r="AK13" s="51"/>
      <c r="AL13" s="27"/>
      <c r="AM13" s="27"/>
      <c r="AN13" s="27"/>
      <c r="AO13" s="27"/>
      <c r="AP13" s="51"/>
      <c r="AQ13" s="51"/>
      <c r="AR13" s="52">
        <v>0.47501799242424242</v>
      </c>
      <c r="AS13" s="52">
        <v>1.5155253578215008E-2</v>
      </c>
      <c r="AT13" s="24">
        <v>0.45595833333333335</v>
      </c>
      <c r="AU13" s="24">
        <v>0.1526172136060964</v>
      </c>
      <c r="AV13" s="24">
        <v>0.47925347222222214</v>
      </c>
      <c r="AW13" s="24">
        <v>6.5341403647851015E-2</v>
      </c>
    </row>
    <row r="14" spans="1:49">
      <c r="A14" s="50">
        <f>A13+1</f>
        <v>44387</v>
      </c>
      <c r="B14" s="62">
        <v>0.77934554577110016</v>
      </c>
      <c r="C14" s="61">
        <v>23.360416666666666</v>
      </c>
      <c r="D14" s="24">
        <v>4.8346582228144266</v>
      </c>
      <c r="E14" s="56">
        <v>0</v>
      </c>
      <c r="F14" s="56"/>
      <c r="G14" s="51"/>
      <c r="H14" s="49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4">
        <v>0.17494999999999999</v>
      </c>
      <c r="Z14" s="27"/>
      <c r="AA14" s="27"/>
      <c r="AB14" s="27"/>
      <c r="AC14" s="27"/>
      <c r="AD14" s="27"/>
      <c r="AE14" s="27"/>
      <c r="AF14" s="27"/>
      <c r="AG14" s="27"/>
      <c r="AH14" s="27"/>
      <c r="AI14" s="51"/>
      <c r="AJ14" s="51"/>
      <c r="AK14" s="51"/>
      <c r="AL14" s="27"/>
      <c r="AM14" s="27"/>
      <c r="AN14" s="27"/>
      <c r="AO14" s="27"/>
      <c r="AP14" s="51"/>
      <c r="AQ14" s="51"/>
      <c r="AR14" s="52">
        <v>0.45364488636363642</v>
      </c>
      <c r="AS14" s="52">
        <v>1.3798626363552341E-2</v>
      </c>
      <c r="AT14" s="24">
        <v>0.42818750000000005</v>
      </c>
      <c r="AU14" s="24">
        <v>0.16033646263404933</v>
      </c>
      <c r="AV14" s="24">
        <v>0.45930208333333339</v>
      </c>
      <c r="AW14" s="24">
        <v>6.3738044562512086E-2</v>
      </c>
    </row>
    <row r="15" spans="1:49">
      <c r="A15" s="50">
        <f>A14+1</f>
        <v>44388</v>
      </c>
      <c r="B15" s="62">
        <v>0.82395965576254293</v>
      </c>
      <c r="C15" s="61">
        <v>23.618750000000002</v>
      </c>
      <c r="D15" s="24">
        <v>4.7176933299683323</v>
      </c>
      <c r="E15" s="56">
        <v>0</v>
      </c>
      <c r="F15" s="56"/>
      <c r="G15" s="51"/>
      <c r="H15" s="49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4">
        <v>0.15786111111111109</v>
      </c>
      <c r="Z15" s="27"/>
      <c r="AA15" s="27"/>
      <c r="AB15" s="27"/>
      <c r="AC15" s="27"/>
      <c r="AD15" s="27"/>
      <c r="AE15" s="27"/>
      <c r="AF15" s="27"/>
      <c r="AG15" s="27"/>
      <c r="AH15" s="27"/>
      <c r="AI15" s="51"/>
      <c r="AJ15" s="51"/>
      <c r="AK15" s="51"/>
      <c r="AL15" s="27"/>
      <c r="AM15" s="27"/>
      <c r="AN15" s="27"/>
      <c r="AO15" s="27"/>
      <c r="AP15" s="51"/>
      <c r="AQ15" s="51"/>
      <c r="AR15" s="52">
        <v>0.43276515151515155</v>
      </c>
      <c r="AS15" s="52">
        <v>1.3188612843039993E-2</v>
      </c>
      <c r="AT15" s="24">
        <v>0.40605208333333354</v>
      </c>
      <c r="AU15" s="24">
        <v>0.1610583008065109</v>
      </c>
      <c r="AV15" s="24">
        <v>0.43870138888888882</v>
      </c>
      <c r="AW15" s="24">
        <v>6.2301151266041369E-2</v>
      </c>
    </row>
    <row r="16" spans="1:49">
      <c r="A16" s="50">
        <f>A15+1</f>
        <v>44389</v>
      </c>
      <c r="B16" s="62">
        <v>0.75309228552959884</v>
      </c>
      <c r="C16" s="61">
        <v>24.489583333333332</v>
      </c>
      <c r="D16" s="24">
        <v>5.3533806373674429</v>
      </c>
      <c r="E16" s="56">
        <v>0</v>
      </c>
      <c r="F16" s="56"/>
      <c r="G16" s="51"/>
      <c r="H16" s="49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4">
        <v>0.14441666666666664</v>
      </c>
      <c r="Z16" s="27"/>
      <c r="AA16" s="27"/>
      <c r="AB16" s="27"/>
      <c r="AC16" s="27"/>
      <c r="AD16" s="27"/>
      <c r="AE16" s="27"/>
      <c r="AF16" s="27"/>
      <c r="AG16" s="27"/>
      <c r="AH16" s="27"/>
      <c r="AI16" s="51"/>
      <c r="AJ16" s="51"/>
      <c r="AK16" s="51"/>
      <c r="AL16" s="27"/>
      <c r="AM16" s="27"/>
      <c r="AN16" s="27"/>
      <c r="AO16" s="27"/>
      <c r="AP16" s="51"/>
      <c r="AQ16" s="51"/>
      <c r="AR16" s="52">
        <v>0.41374242424242424</v>
      </c>
      <c r="AS16" s="52">
        <v>1.2421241279365971E-2</v>
      </c>
      <c r="AT16" s="24">
        <v>0.38892708333333337</v>
      </c>
      <c r="AU16" s="24">
        <v>0.1584066503770612</v>
      </c>
      <c r="AV16" s="24">
        <v>0.41925694444444445</v>
      </c>
      <c r="AW16" s="24">
        <v>6.0569328199333049E-2</v>
      </c>
    </row>
    <row r="17" spans="1:49">
      <c r="A17" s="50">
        <f>A16+1</f>
        <v>44390</v>
      </c>
      <c r="B17" s="62">
        <v>0.73484804383761426</v>
      </c>
      <c r="C17" s="61">
        <v>24.612500000000001</v>
      </c>
      <c r="D17" s="24">
        <v>4.8661861819644709</v>
      </c>
      <c r="E17" s="56">
        <v>0</v>
      </c>
      <c r="F17" s="56"/>
      <c r="G17" s="51"/>
      <c r="H17" s="49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4">
        <v>0.13879999999999998</v>
      </c>
      <c r="Z17" s="27"/>
      <c r="AA17" s="27"/>
      <c r="AB17" s="27"/>
      <c r="AC17" s="27"/>
      <c r="AD17" s="27"/>
      <c r="AE17" s="27"/>
      <c r="AF17" s="27"/>
      <c r="AG17" s="27"/>
      <c r="AH17" s="27"/>
      <c r="AI17" s="51"/>
      <c r="AJ17" s="51"/>
      <c r="AK17" s="51"/>
      <c r="AL17" s="27"/>
      <c r="AM17" s="27"/>
      <c r="AN17" s="27"/>
      <c r="AO17" s="27"/>
      <c r="AP17" s="51"/>
      <c r="AQ17" s="51"/>
      <c r="AR17" s="52">
        <v>0.39793560606060607</v>
      </c>
      <c r="AS17" s="52">
        <v>1.1565481368043602E-2</v>
      </c>
      <c r="AT17" s="24">
        <v>0.37523958333333335</v>
      </c>
      <c r="AU17" s="24">
        <v>0.1535452912564042</v>
      </c>
      <c r="AV17" s="24">
        <v>0.40297916666666672</v>
      </c>
      <c r="AW17" s="24">
        <v>5.8421333919591339E-2</v>
      </c>
    </row>
    <row r="18" spans="1:49">
      <c r="A18" s="50">
        <f>A17+1</f>
        <v>44391</v>
      </c>
      <c r="B18" s="62">
        <v>0.69252270244538439</v>
      </c>
      <c r="C18" s="61">
        <v>24.762499999999992</v>
      </c>
      <c r="D18" s="24">
        <v>4.6731916004138494</v>
      </c>
      <c r="E18" s="56">
        <v>0</v>
      </c>
      <c r="F18" s="56"/>
      <c r="G18" s="51"/>
      <c r="H18" s="49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4">
        <v>0.13416666666666666</v>
      </c>
      <c r="Z18" s="27"/>
      <c r="AA18" s="27"/>
      <c r="AB18" s="27"/>
      <c r="AC18" s="27"/>
      <c r="AD18" s="27"/>
      <c r="AE18" s="27"/>
      <c r="AF18" s="27"/>
      <c r="AG18" s="27"/>
      <c r="AH18" s="27"/>
      <c r="AI18" s="51"/>
      <c r="AJ18" s="51"/>
      <c r="AK18" s="51"/>
      <c r="AL18" s="27"/>
      <c r="AM18" s="27"/>
      <c r="AN18" s="27"/>
      <c r="AO18" s="27"/>
      <c r="AP18" s="51"/>
      <c r="AQ18" s="51"/>
      <c r="AR18" s="52">
        <v>0.38385700757575764</v>
      </c>
      <c r="AS18" s="52">
        <v>1.0603253674326699E-2</v>
      </c>
      <c r="AT18" s="24">
        <v>0.36288541666666674</v>
      </c>
      <c r="AU18" s="24">
        <v>0.14771166031161445</v>
      </c>
      <c r="AV18" s="24">
        <v>0.38851736111111107</v>
      </c>
      <c r="AW18" s="24">
        <v>5.5945564155944497E-2</v>
      </c>
    </row>
    <row r="19" spans="1:49">
      <c r="A19" s="50">
        <f>A18+1</f>
        <v>44392</v>
      </c>
      <c r="B19" s="62">
        <v>0.75639031798874568</v>
      </c>
      <c r="C19" s="61">
        <v>24.089583333333334</v>
      </c>
      <c r="D19" s="24">
        <v>4.490963025533989</v>
      </c>
      <c r="E19" s="56">
        <v>0</v>
      </c>
      <c r="F19" s="56"/>
      <c r="G19" s="51"/>
      <c r="H19" s="49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4">
        <v>0.13</v>
      </c>
      <c r="Z19" s="27"/>
      <c r="AA19" s="27"/>
      <c r="AB19" s="27"/>
      <c r="AC19" s="27"/>
      <c r="AD19" s="27"/>
      <c r="AE19" s="27"/>
      <c r="AF19" s="27"/>
      <c r="AG19" s="27"/>
      <c r="AH19" s="27"/>
      <c r="AI19" s="51"/>
      <c r="AJ19" s="51"/>
      <c r="AK19" s="51"/>
      <c r="AL19" s="27"/>
      <c r="AM19" s="27"/>
      <c r="AN19" s="27"/>
      <c r="AO19" s="27"/>
      <c r="AP19" s="51"/>
      <c r="AQ19" s="51"/>
      <c r="AR19" s="52">
        <v>0.37687026515151523</v>
      </c>
      <c r="AS19" s="52">
        <v>1.0063549066716556E-2</v>
      </c>
      <c r="AT19" s="24">
        <v>0.35814583333333339</v>
      </c>
      <c r="AU19" s="24">
        <v>0.13985982876218914</v>
      </c>
      <c r="AV19" s="24">
        <v>0.3810312500000001</v>
      </c>
      <c r="AW19" s="24">
        <v>5.3759951840333629E-2</v>
      </c>
    </row>
    <row r="20" spans="1:49">
      <c r="A20" s="60">
        <f>A19+1</f>
        <v>44393</v>
      </c>
      <c r="B20" s="59">
        <v>0.24223084772215112</v>
      </c>
      <c r="C20" s="58">
        <v>24.106250000000003</v>
      </c>
      <c r="D20" s="57">
        <v>5.360734593269183</v>
      </c>
      <c r="E20" s="56">
        <v>29.3</v>
      </c>
      <c r="F20" s="56"/>
      <c r="G20" s="51"/>
      <c r="H20" s="49"/>
      <c r="I20" s="54">
        <v>-8.6898632000000013</v>
      </c>
      <c r="J20" s="54">
        <v>-9.1471534000000005</v>
      </c>
      <c r="K20" s="54">
        <f>AVERAGE(I20:J20)</f>
        <v>-8.9185083000000009</v>
      </c>
      <c r="L20" s="54">
        <f>STDEV(I20:J20)</f>
        <v>0.323353001390152</v>
      </c>
      <c r="M20" s="51">
        <v>-9.3631784000000007</v>
      </c>
      <c r="N20" s="51">
        <v>-8.7267234000000009</v>
      </c>
      <c r="O20" s="51">
        <v>-8.7353265999999987</v>
      </c>
      <c r="P20" s="51">
        <v>-9.2020502000000004</v>
      </c>
      <c r="Q20" s="51">
        <f>AVERAGE(M20:P20)</f>
        <v>-9.0068196500000006</v>
      </c>
      <c r="R20" s="51">
        <f>STDEV(M20:P20)</f>
        <v>0.32520194331995761</v>
      </c>
      <c r="S20" s="51">
        <v>-8.5159449999999985</v>
      </c>
      <c r="T20" s="51">
        <v>-8.1836463999999989</v>
      </c>
      <c r="U20" s="51">
        <v>-8.0879357999999986</v>
      </c>
      <c r="V20" s="51">
        <v>-9.3665863999999992</v>
      </c>
      <c r="W20" s="51">
        <f>AVERAGE(S20:V20)</f>
        <v>-8.538528399999997</v>
      </c>
      <c r="X20" s="51">
        <f>STDEV(S20:V20)</f>
        <v>0.58171155120567009</v>
      </c>
      <c r="Y20" s="24">
        <v>0.27500000000000002</v>
      </c>
      <c r="Z20" s="51">
        <v>-8.8459983999999992</v>
      </c>
      <c r="AA20" s="51">
        <v>-10.9049192</v>
      </c>
      <c r="AB20" s="51">
        <v>-10.426936000000001</v>
      </c>
      <c r="AC20" s="51">
        <v>-9.2640975999999995</v>
      </c>
      <c r="AD20" s="51">
        <v>-8.4333431999999995</v>
      </c>
      <c r="AE20" s="51">
        <v>-10.2222416</v>
      </c>
      <c r="AF20" s="51">
        <v>-10.0578328</v>
      </c>
      <c r="AG20" s="51">
        <v>-9.8019648000000004</v>
      </c>
      <c r="AH20" s="51">
        <f>AVERAGE(Z20,AD20)</f>
        <v>-8.6396707999999993</v>
      </c>
      <c r="AI20" s="51">
        <f>STDEV(Z20,AD20)</f>
        <v>0.29179129021189076</v>
      </c>
      <c r="AJ20" s="51">
        <f>AVERAGE(AA20:AC20,AE20:AG20)</f>
        <v>-10.112998666666666</v>
      </c>
      <c r="AK20" s="51">
        <f>STDEV(AA20:AC20,AE20:AG20)</f>
        <v>0.55821987762980552</v>
      </c>
      <c r="AL20" s="51">
        <v>-9.0246091999999987</v>
      </c>
      <c r="AM20" s="51">
        <v>-8.7912473999999996</v>
      </c>
      <c r="AN20" s="51">
        <v>-8.8024463999999991</v>
      </c>
      <c r="AO20" s="51">
        <v>-8.6935663999999999</v>
      </c>
      <c r="AP20" s="51">
        <f>AVERAGE(AL20:AO20)</f>
        <v>-8.8279673499999998</v>
      </c>
      <c r="AQ20" s="51">
        <f>STDEV(AL20:AO20)</f>
        <v>0.13991819770760053</v>
      </c>
      <c r="AR20" s="52">
        <v>0.45648106060606064</v>
      </c>
      <c r="AS20" s="52">
        <v>1.7916050224836399E-2</v>
      </c>
      <c r="AT20" s="24">
        <v>0.45761458333333355</v>
      </c>
      <c r="AU20" s="24">
        <v>8.7312956085263918E-2</v>
      </c>
      <c r="AV20" s="24">
        <v>0.45622916666666669</v>
      </c>
      <c r="AW20" s="24">
        <v>6.6216318744366343E-2</v>
      </c>
    </row>
    <row r="21" spans="1:49">
      <c r="A21" s="50">
        <f>A20+1</f>
        <v>44394</v>
      </c>
      <c r="B21" s="62">
        <v>0.25347894551006028</v>
      </c>
      <c r="C21" s="61">
        <v>20.747916666666669</v>
      </c>
      <c r="D21" s="24">
        <v>5.1710565536407191</v>
      </c>
      <c r="E21" s="56">
        <v>16.399999999999999</v>
      </c>
      <c r="F21" s="56"/>
      <c r="G21" s="51"/>
      <c r="H21" s="49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4">
        <v>0.316</v>
      </c>
      <c r="Z21" s="27"/>
      <c r="AA21" s="27"/>
      <c r="AB21" s="27"/>
      <c r="AC21" s="27"/>
      <c r="AD21" s="27"/>
      <c r="AE21" s="27"/>
      <c r="AF21" s="27"/>
      <c r="AG21" s="27"/>
      <c r="AH21" s="27"/>
      <c r="AI21" s="51"/>
      <c r="AJ21" s="51"/>
      <c r="AK21" s="51"/>
      <c r="AL21" s="27"/>
      <c r="AM21" s="27"/>
      <c r="AN21" s="27"/>
      <c r="AO21" s="27"/>
      <c r="AP21" s="51"/>
      <c r="AQ21" s="51"/>
      <c r="AR21" s="52">
        <v>0.5196429924242425</v>
      </c>
      <c r="AS21" s="52">
        <v>3.1314250589194202E-2</v>
      </c>
      <c r="AT21" s="24">
        <v>0.52133333333333332</v>
      </c>
      <c r="AU21" s="24">
        <v>7.5454186109113475E-2</v>
      </c>
      <c r="AV21" s="24">
        <v>0.51926736111111105</v>
      </c>
      <c r="AW21" s="24">
        <v>8.5145803683082999E-2</v>
      </c>
    </row>
    <row r="22" spans="1:49">
      <c r="A22" s="50">
        <f>A21+1</f>
        <v>44395</v>
      </c>
      <c r="B22" s="62">
        <v>0.37782055820488242</v>
      </c>
      <c r="C22" s="61">
        <v>20.541666666666668</v>
      </c>
      <c r="D22" s="24">
        <v>4.1858072486420381</v>
      </c>
      <c r="E22" s="56">
        <v>19.099999999999994</v>
      </c>
      <c r="F22" s="56">
        <f>SUM(E20:E22)</f>
        <v>64.8</v>
      </c>
      <c r="G22" s="51">
        <v>-15.1645122400953</v>
      </c>
      <c r="H22" s="51">
        <v>-111.3478686641231</v>
      </c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4">
        <v>0.27952380952380951</v>
      </c>
      <c r="Z22" s="27"/>
      <c r="AA22" s="27"/>
      <c r="AB22" s="27"/>
      <c r="AC22" s="27"/>
      <c r="AD22" s="27"/>
      <c r="AE22" s="27"/>
      <c r="AF22" s="27"/>
      <c r="AG22" s="27"/>
      <c r="AH22" s="27"/>
      <c r="AI22" s="51"/>
      <c r="AJ22" s="51"/>
      <c r="AK22" s="51"/>
      <c r="AL22" s="27"/>
      <c r="AM22" s="27"/>
      <c r="AN22" s="27"/>
      <c r="AO22" s="27"/>
      <c r="AP22" s="51"/>
      <c r="AQ22" s="51"/>
      <c r="AR22" s="52">
        <v>0.51168371212121211</v>
      </c>
      <c r="AS22" s="52">
        <v>2.5024616123583004E-2</v>
      </c>
      <c r="AT22" s="24">
        <v>0.50566666666666671</v>
      </c>
      <c r="AU22" s="24">
        <v>9.7020942935303792E-2</v>
      </c>
      <c r="AV22" s="24">
        <v>0.51302083333333337</v>
      </c>
      <c r="AW22" s="24">
        <v>7.3777263087018125E-2</v>
      </c>
    </row>
    <row r="23" spans="1:49">
      <c r="A23" s="50">
        <f>A22+1</f>
        <v>44396</v>
      </c>
      <c r="B23" s="62">
        <v>0.42298313960141337</v>
      </c>
      <c r="C23" s="61">
        <v>21.170833333333338</v>
      </c>
      <c r="D23" s="24">
        <v>4.6920974541701801</v>
      </c>
      <c r="E23" s="56">
        <v>0.5</v>
      </c>
      <c r="F23" s="56"/>
      <c r="G23" s="49"/>
      <c r="H23" s="49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4">
        <v>0.27102083333333338</v>
      </c>
      <c r="Z23" s="27"/>
      <c r="AA23" s="27"/>
      <c r="AB23" s="27"/>
      <c r="AC23" s="27"/>
      <c r="AD23" s="27"/>
      <c r="AE23" s="27"/>
      <c r="AF23" s="27"/>
      <c r="AG23" s="27"/>
      <c r="AH23" s="27"/>
      <c r="AI23" s="51"/>
      <c r="AJ23" s="51"/>
      <c r="AK23" s="51"/>
      <c r="AL23" s="27"/>
      <c r="AM23" s="27"/>
      <c r="AN23" s="27"/>
      <c r="AO23" s="27"/>
      <c r="AP23" s="51"/>
      <c r="AQ23" s="51"/>
      <c r="AR23" s="52">
        <v>0.50365435606060616</v>
      </c>
      <c r="AS23" s="52">
        <v>2.3430277822441805E-2</v>
      </c>
      <c r="AT23" s="24">
        <v>0.49417708333333354</v>
      </c>
      <c r="AU23" s="24">
        <v>0.10720033430613539</v>
      </c>
      <c r="AV23" s="24">
        <v>0.50576041666666682</v>
      </c>
      <c r="AW23" s="24">
        <v>7.2616432787378463E-2</v>
      </c>
    </row>
    <row r="24" spans="1:49">
      <c r="A24" s="50">
        <f>A23+1</f>
        <v>44397</v>
      </c>
      <c r="B24" s="62">
        <v>0.5564031939848556</v>
      </c>
      <c r="C24" s="61">
        <v>22.041666666666661</v>
      </c>
      <c r="D24" s="24">
        <v>4.9130972298424762</v>
      </c>
      <c r="E24" s="56">
        <v>1.5999999999999999</v>
      </c>
      <c r="F24" s="56"/>
      <c r="G24" s="51"/>
      <c r="H24" s="49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4">
        <v>0.27716666666666673</v>
      </c>
      <c r="Z24" s="27"/>
      <c r="AA24" s="27"/>
      <c r="AB24" s="27"/>
      <c r="AC24" s="27"/>
      <c r="AD24" s="27"/>
      <c r="AE24" s="27"/>
      <c r="AF24" s="27"/>
      <c r="AG24" s="27"/>
      <c r="AH24" s="27"/>
      <c r="AI24" s="51"/>
      <c r="AJ24" s="51"/>
      <c r="AK24" s="51"/>
      <c r="AL24" s="27"/>
      <c r="AM24" s="27"/>
      <c r="AN24" s="27"/>
      <c r="AO24" s="27"/>
      <c r="AP24" s="51"/>
      <c r="AQ24" s="51"/>
      <c r="AR24" s="52">
        <v>0.4981202651515152</v>
      </c>
      <c r="AS24" s="52">
        <v>2.2066954520835892E-2</v>
      </c>
      <c r="AT24" s="24">
        <v>0.48948958333333337</v>
      </c>
      <c r="AU24" s="24">
        <v>0.1158329295931211</v>
      </c>
      <c r="AV24" s="24">
        <v>0.50003819444444442</v>
      </c>
      <c r="AW24" s="24">
        <v>7.1709039577031064E-2</v>
      </c>
    </row>
    <row r="25" spans="1:49">
      <c r="A25" s="50">
        <f>A24+1</f>
        <v>44398</v>
      </c>
      <c r="B25" s="62">
        <v>0.38782928637413061</v>
      </c>
      <c r="C25" s="61">
        <v>23.106249999999992</v>
      </c>
      <c r="D25" s="24">
        <v>5.1176782433880215</v>
      </c>
      <c r="E25" s="56">
        <v>5</v>
      </c>
      <c r="F25" s="56"/>
      <c r="G25" s="51"/>
      <c r="H25" s="49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4">
        <v>0.27654166666666685</v>
      </c>
      <c r="Z25" s="27"/>
      <c r="AA25" s="27"/>
      <c r="AB25" s="27"/>
      <c r="AC25" s="27"/>
      <c r="AD25" s="27"/>
      <c r="AE25" s="27"/>
      <c r="AF25" s="27"/>
      <c r="AG25" s="27"/>
      <c r="AH25" s="27"/>
      <c r="AI25" s="51"/>
      <c r="AJ25" s="51"/>
      <c r="AK25" s="51"/>
      <c r="AL25" s="27"/>
      <c r="AM25" s="27"/>
      <c r="AN25" s="27"/>
      <c r="AO25" s="27"/>
      <c r="AP25" s="51"/>
      <c r="AQ25" s="51"/>
      <c r="AR25" s="52">
        <v>0.4921780303030302</v>
      </c>
      <c r="AS25" s="52">
        <v>2.1085977783678211E-2</v>
      </c>
      <c r="AT25" s="24">
        <v>0.48369791666666684</v>
      </c>
      <c r="AU25" s="24">
        <v>0.12293346018753661</v>
      </c>
      <c r="AV25" s="24">
        <v>0.49406249999999985</v>
      </c>
      <c r="AW25" s="24">
        <v>7.1185250793654606E-2</v>
      </c>
    </row>
    <row r="26" spans="1:49">
      <c r="A26" s="50">
        <f>A25+1</f>
        <v>44399</v>
      </c>
      <c r="B26" s="62">
        <v>0.20362557169737064</v>
      </c>
      <c r="C26" s="61">
        <v>22.03958333333334</v>
      </c>
      <c r="D26" s="24">
        <v>5.0390341758506745</v>
      </c>
      <c r="E26" s="56">
        <v>0.2</v>
      </c>
      <c r="F26" s="56"/>
      <c r="G26" s="51"/>
      <c r="H26" s="49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4">
        <v>0.28566666666666662</v>
      </c>
      <c r="Z26" s="27"/>
      <c r="AA26" s="27"/>
      <c r="AB26" s="27"/>
      <c r="AC26" s="27"/>
      <c r="AD26" s="27"/>
      <c r="AE26" s="27"/>
      <c r="AF26" s="27"/>
      <c r="AG26" s="27"/>
      <c r="AH26" s="27"/>
      <c r="AI26" s="51"/>
      <c r="AJ26" s="51"/>
      <c r="AK26" s="51"/>
      <c r="AL26" s="27"/>
      <c r="AM26" s="27"/>
      <c r="AN26" s="27"/>
      <c r="AO26" s="27"/>
      <c r="AP26" s="51"/>
      <c r="AQ26" s="51"/>
      <c r="AR26" s="52">
        <v>0.48785795454545455</v>
      </c>
      <c r="AS26" s="52">
        <v>2.0673498827986223E-2</v>
      </c>
      <c r="AT26" s="24">
        <v>0.47800000000000004</v>
      </c>
      <c r="AU26" s="24">
        <v>0.1253936025304144</v>
      </c>
      <c r="AV26" s="24">
        <v>0.49004861111111114</v>
      </c>
      <c r="AW26" s="24">
        <v>7.099696133299209E-2</v>
      </c>
    </row>
    <row r="27" spans="1:49">
      <c r="A27" s="50">
        <f>A26+1</f>
        <v>44400</v>
      </c>
      <c r="B27" s="62">
        <v>0.29783973425677568</v>
      </c>
      <c r="C27" s="61">
        <v>20.956250000000001</v>
      </c>
      <c r="D27" s="24">
        <v>3.996061601687404</v>
      </c>
      <c r="E27" s="56">
        <v>7.7</v>
      </c>
      <c r="F27" s="56"/>
      <c r="G27" s="51"/>
      <c r="H27" s="49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4">
        <v>0.29633333333333328</v>
      </c>
      <c r="Z27" s="27"/>
      <c r="AA27" s="27"/>
      <c r="AB27" s="27"/>
      <c r="AC27" s="27"/>
      <c r="AD27" s="27"/>
      <c r="AE27" s="27"/>
      <c r="AF27" s="27"/>
      <c r="AG27" s="27"/>
      <c r="AH27" s="27"/>
      <c r="AI27" s="51"/>
      <c r="AJ27" s="51"/>
      <c r="AK27" s="51"/>
      <c r="AL27" s="27"/>
      <c r="AM27" s="27"/>
      <c r="AN27" s="27"/>
      <c r="AO27" s="27"/>
      <c r="AP27" s="51"/>
      <c r="AQ27" s="51"/>
      <c r="AR27" s="52">
        <v>0.48583996212121205</v>
      </c>
      <c r="AS27" s="52">
        <v>2.0363470002522841E-2</v>
      </c>
      <c r="AT27" s="24">
        <v>0.47972916666666632</v>
      </c>
      <c r="AU27" s="24">
        <v>0.1288702108712482</v>
      </c>
      <c r="AV27" s="24">
        <v>0.48719791666666673</v>
      </c>
      <c r="AW27" s="24">
        <v>7.083685009652263E-2</v>
      </c>
    </row>
    <row r="28" spans="1:49">
      <c r="A28" s="60">
        <f>A27+1</f>
        <v>44401</v>
      </c>
      <c r="B28" s="59">
        <v>0.34405810248131052</v>
      </c>
      <c r="C28" s="58">
        <v>21.743750000000006</v>
      </c>
      <c r="D28" s="57">
        <v>4.8574476063639773</v>
      </c>
      <c r="E28" s="56">
        <v>2.2000000000000002</v>
      </c>
      <c r="F28" s="56"/>
      <c r="G28" s="51"/>
      <c r="H28" s="49"/>
      <c r="I28" s="54">
        <v>-8.9060170000000021</v>
      </c>
      <c r="J28" s="54">
        <v>-8.8690862000000017</v>
      </c>
      <c r="K28" s="54">
        <f>AVERAGE(I28:J28)</f>
        <v>-8.8875516000000019</v>
      </c>
      <c r="L28" s="54">
        <f>STDEV(I28:J28)</f>
        <v>2.6114019114644414E-2</v>
      </c>
      <c r="M28" s="24">
        <v>-11.16732</v>
      </c>
      <c r="N28" s="24">
        <v>-10.393183200000001</v>
      </c>
      <c r="O28" s="24">
        <v>-12.3410464</v>
      </c>
      <c r="P28" s="24">
        <v>-8.3247198999999998</v>
      </c>
      <c r="Q28" s="51">
        <f>AVERAGE(M28:P28)</f>
        <v>-10.556567374999998</v>
      </c>
      <c r="R28" s="51">
        <f>STDEV(M28:P28)</f>
        <v>1.6896963928384454</v>
      </c>
      <c r="S28" s="51">
        <v>-10.235307200000001</v>
      </c>
      <c r="T28" s="51">
        <v>-10.339832000000001</v>
      </c>
      <c r="U28" s="51">
        <v>-10.5554144</v>
      </c>
      <c r="V28" s="51">
        <v>-10.006747000000001</v>
      </c>
      <c r="W28" s="51">
        <f>AVERAGE(S28:V28)</f>
        <v>-10.284325150000001</v>
      </c>
      <c r="X28" s="51">
        <f>STDEV(S28:V28)</f>
        <v>0.22805173436606416</v>
      </c>
      <c r="Y28" s="24">
        <v>0.29264285714285709</v>
      </c>
      <c r="Z28" s="24">
        <v>-13.5311048</v>
      </c>
      <c r="AA28" s="24">
        <v>-12.312149511080705</v>
      </c>
      <c r="AB28" s="24">
        <v>-9.8760032000000013</v>
      </c>
      <c r="AC28" s="24">
        <v>-8.3233744000000005</v>
      </c>
      <c r="AD28" s="24">
        <v>-12.100421599999999</v>
      </c>
      <c r="AE28" s="24">
        <v>-10.349897971905994</v>
      </c>
      <c r="AF28" s="24">
        <v>-9.679416100000001</v>
      </c>
      <c r="AG28" s="24">
        <v>-9.5887637077185932</v>
      </c>
      <c r="AH28" s="51">
        <f>AVERAGE(Z28,AD28)</f>
        <v>-12.815763199999999</v>
      </c>
      <c r="AI28" s="51">
        <f>STDEV(Z28,AD28)</f>
        <v>1.01164579244967</v>
      </c>
      <c r="AJ28" s="51">
        <f>AVERAGE(AA28:AC28,AE28:AG28)</f>
        <v>-10.021600815117548</v>
      </c>
      <c r="AK28" s="51">
        <f>STDEV(AA28:AC28,AE28:AG28)</f>
        <v>1.3087400288114173</v>
      </c>
      <c r="AL28" s="51">
        <v>-9.5950927999999998</v>
      </c>
      <c r="AM28" s="51">
        <v>-9.9184663999999998</v>
      </c>
      <c r="AN28" s="51">
        <v>-10.8167264</v>
      </c>
      <c r="AO28" s="51">
        <v>-10.148203200000001</v>
      </c>
      <c r="AP28" s="51">
        <f>AVERAGE(AL28:AO28)</f>
        <v>-10.1196222</v>
      </c>
      <c r="AQ28" s="51">
        <f>STDEV(AL28:AO28)</f>
        <v>0.51716080238053641</v>
      </c>
      <c r="AR28" s="52">
        <v>0.48274621212121216</v>
      </c>
      <c r="AS28" s="52">
        <v>1.8828057266480437E-2</v>
      </c>
      <c r="AT28" s="24">
        <v>0.47757291666666662</v>
      </c>
      <c r="AU28" s="24">
        <v>0.13689881911597024</v>
      </c>
      <c r="AV28" s="24">
        <v>0.48389583333333347</v>
      </c>
      <c r="AW28" s="24">
        <v>6.981192616395869E-2</v>
      </c>
    </row>
    <row r="29" spans="1:49">
      <c r="A29" s="50">
        <f>A28+1</f>
        <v>44402</v>
      </c>
      <c r="B29" s="62">
        <v>0.62618129312342552</v>
      </c>
      <c r="C29" s="61">
        <v>21.514583333333338</v>
      </c>
      <c r="D29" s="24">
        <v>5.0629943735947789</v>
      </c>
      <c r="E29" s="56">
        <v>7.1999999999999993</v>
      </c>
      <c r="F29" s="56"/>
      <c r="G29" s="51"/>
      <c r="H29" s="49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4">
        <v>0.30220000000000002</v>
      </c>
      <c r="Z29" s="27"/>
      <c r="AA29" s="27"/>
      <c r="AB29" s="27"/>
      <c r="AC29" s="27"/>
      <c r="AD29" s="27"/>
      <c r="AE29" s="27"/>
      <c r="AF29" s="27"/>
      <c r="AG29" s="27"/>
      <c r="AH29" s="27"/>
      <c r="AI29" s="51"/>
      <c r="AJ29" s="51"/>
      <c r="AK29" s="51"/>
      <c r="AL29" s="27"/>
      <c r="AM29" s="27"/>
      <c r="AN29" s="27"/>
      <c r="AO29" s="27"/>
      <c r="AP29" s="51"/>
      <c r="AQ29" s="51"/>
      <c r="AR29" s="52">
        <v>0.48448958333333331</v>
      </c>
      <c r="AS29" s="52">
        <v>1.8215365311190963E-2</v>
      </c>
      <c r="AT29" s="24">
        <v>0.48055208333333332</v>
      </c>
      <c r="AU29" s="24">
        <v>0.13875497441658549</v>
      </c>
      <c r="AV29" s="24">
        <v>0.48536458333333332</v>
      </c>
      <c r="AW29" s="24">
        <v>7.0206297880978763E-2</v>
      </c>
    </row>
    <row r="30" spans="1:49">
      <c r="A30" s="50">
        <f>A29+1</f>
        <v>44403</v>
      </c>
      <c r="B30" s="62">
        <v>0.68163119660690896</v>
      </c>
      <c r="C30" s="61">
        <v>22.925000000000001</v>
      </c>
      <c r="D30" s="24">
        <v>5.929369871760092</v>
      </c>
      <c r="E30" s="56">
        <v>12.1</v>
      </c>
      <c r="F30" s="56"/>
      <c r="G30" s="51"/>
      <c r="H30" s="49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4">
        <v>0.30774418604651144</v>
      </c>
      <c r="Z30" s="27"/>
      <c r="AA30" s="27"/>
      <c r="AB30" s="27"/>
      <c r="AC30" s="27"/>
      <c r="AD30" s="27"/>
      <c r="AE30" s="27"/>
      <c r="AF30" s="27"/>
      <c r="AG30" s="27"/>
      <c r="AH30" s="27"/>
      <c r="AI30" s="51"/>
      <c r="AJ30" s="51"/>
      <c r="AK30" s="51"/>
      <c r="AL30" s="27"/>
      <c r="AM30" s="27"/>
      <c r="AN30" s="27"/>
      <c r="AO30" s="27"/>
      <c r="AP30" s="51"/>
      <c r="AQ30" s="51"/>
      <c r="AR30" s="52">
        <v>0.51688257575757568</v>
      </c>
      <c r="AS30" s="52">
        <v>2.6248660816773309E-2</v>
      </c>
      <c r="AT30" s="24">
        <v>0.52901041666666659</v>
      </c>
      <c r="AU30" s="24">
        <v>0.12045858645338318</v>
      </c>
      <c r="AV30" s="24">
        <v>0.51418749999999991</v>
      </c>
      <c r="AW30" s="24">
        <v>8.1114381474214819E-2</v>
      </c>
    </row>
    <row r="31" spans="1:49">
      <c r="A31" s="50">
        <f>A30+1</f>
        <v>44404</v>
      </c>
      <c r="B31" s="62">
        <v>0.48239316164497614</v>
      </c>
      <c r="C31" s="61">
        <v>23.477083333333329</v>
      </c>
      <c r="D31" s="24">
        <v>6.0048552464352563</v>
      </c>
      <c r="E31" s="56">
        <v>4.8</v>
      </c>
      <c r="F31" s="56"/>
      <c r="G31" s="51"/>
      <c r="H31" s="49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4">
        <v>0.33281481481481479</v>
      </c>
      <c r="Z31" s="27"/>
      <c r="AA31" s="27"/>
      <c r="AB31" s="27"/>
      <c r="AC31" s="27"/>
      <c r="AD31" s="27"/>
      <c r="AE31" s="27"/>
      <c r="AF31" s="27"/>
      <c r="AG31" s="27"/>
      <c r="AH31" s="27"/>
      <c r="AI31" s="51"/>
      <c r="AJ31" s="51"/>
      <c r="AK31" s="51"/>
      <c r="AL31" s="27"/>
      <c r="AM31" s="27"/>
      <c r="AN31" s="27"/>
      <c r="AO31" s="27"/>
      <c r="AP31" s="51"/>
      <c r="AQ31" s="51"/>
      <c r="AR31" s="52">
        <v>0.53029071969696984</v>
      </c>
      <c r="AS31" s="52">
        <v>2.3987392256103971E-2</v>
      </c>
      <c r="AT31" s="24">
        <v>0.53945833333333326</v>
      </c>
      <c r="AU31" s="24">
        <v>0.11508162863811074</v>
      </c>
      <c r="AV31" s="24">
        <v>0.52825347222222241</v>
      </c>
      <c r="AW31" s="24">
        <v>7.5559502647870355E-2</v>
      </c>
    </row>
    <row r="32" spans="1:49">
      <c r="A32" s="50">
        <f>A31+1</f>
        <v>44405</v>
      </c>
      <c r="B32" s="62">
        <v>0.74776860978202919</v>
      </c>
      <c r="C32" s="61">
        <v>23.214583333333326</v>
      </c>
      <c r="D32" s="24">
        <v>5.4574089687215359</v>
      </c>
      <c r="E32" s="56">
        <v>9</v>
      </c>
      <c r="F32" s="56"/>
      <c r="G32" s="51"/>
      <c r="H32" s="49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4">
        <v>0.32536170212765964</v>
      </c>
      <c r="Z32" s="27"/>
      <c r="AA32" s="27"/>
      <c r="AB32" s="27"/>
      <c r="AC32" s="27"/>
      <c r="AD32" s="27"/>
      <c r="AE32" s="27"/>
      <c r="AF32" s="27"/>
      <c r="AG32" s="27"/>
      <c r="AH32" s="27"/>
      <c r="AI32" s="51"/>
      <c r="AJ32" s="51"/>
      <c r="AK32" s="51"/>
      <c r="AL32" s="27"/>
      <c r="AM32" s="27"/>
      <c r="AN32" s="27"/>
      <c r="AO32" s="27"/>
      <c r="AP32" s="51"/>
      <c r="AQ32" s="51"/>
      <c r="AR32" s="52">
        <v>0.53524053030303043</v>
      </c>
      <c r="AS32" s="52">
        <v>2.3487194561457717E-2</v>
      </c>
      <c r="AT32" s="24">
        <v>0.54322916666666665</v>
      </c>
      <c r="AU32" s="24">
        <v>0.11269514325160648</v>
      </c>
      <c r="AV32" s="24">
        <v>0.53346527777777797</v>
      </c>
      <c r="AW32" s="24">
        <v>7.4082748247908045E-2</v>
      </c>
    </row>
    <row r="33" spans="1:49">
      <c r="A33" s="50">
        <f>A32+1</f>
        <v>44406</v>
      </c>
      <c r="B33" s="62">
        <v>0.80767386415336073</v>
      </c>
      <c r="C33" s="61">
        <v>24.412500000000005</v>
      </c>
      <c r="D33" s="24">
        <v>5.9458073575370731</v>
      </c>
      <c r="E33" s="56">
        <v>14.099999999999996</v>
      </c>
      <c r="F33" s="56">
        <f>SUM(E32:E33)</f>
        <v>23.099999999999994</v>
      </c>
      <c r="G33" s="51">
        <v>-7.480917000098426</v>
      </c>
      <c r="H33" s="51">
        <v>-45.484597157317793</v>
      </c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4">
        <v>0.28904444444444449</v>
      </c>
      <c r="Z33" s="27"/>
      <c r="AA33" s="27"/>
      <c r="AB33" s="27"/>
      <c r="AC33" s="27"/>
      <c r="AD33" s="27"/>
      <c r="AE33" s="27"/>
      <c r="AF33" s="27"/>
      <c r="AG33" s="27"/>
      <c r="AH33" s="27"/>
      <c r="AI33" s="51"/>
      <c r="AJ33" s="51"/>
      <c r="AK33" s="51"/>
      <c r="AL33" s="27"/>
      <c r="AM33" s="27"/>
      <c r="AN33" s="27"/>
      <c r="AO33" s="27"/>
      <c r="AP33" s="51"/>
      <c r="AQ33" s="51"/>
      <c r="AR33" s="52">
        <v>0.51877178030303051</v>
      </c>
      <c r="AS33" s="52">
        <v>2.0921923653573607E-2</v>
      </c>
      <c r="AT33" s="24">
        <v>0.52079166666666687</v>
      </c>
      <c r="AU33" s="24">
        <v>0.12630694878944743</v>
      </c>
      <c r="AV33" s="24">
        <v>0.51832291666666686</v>
      </c>
      <c r="AW33" s="24">
        <v>7.1269905540584613E-2</v>
      </c>
    </row>
    <row r="34" spans="1:49">
      <c r="A34" s="60">
        <f>A33+1</f>
        <v>44407</v>
      </c>
      <c r="B34" s="59">
        <v>0.36061390843318558</v>
      </c>
      <c r="C34" s="58">
        <v>25.360416666666669</v>
      </c>
      <c r="D34" s="57">
        <v>6.1397225103512767</v>
      </c>
      <c r="E34" s="56">
        <v>0</v>
      </c>
      <c r="F34" s="56"/>
      <c r="G34" s="51"/>
      <c r="H34" s="49"/>
      <c r="I34" s="54">
        <v>-8.6844322000000016</v>
      </c>
      <c r="J34" s="54">
        <v>-8.8365002000000015</v>
      </c>
      <c r="K34" s="54">
        <f>AVERAGE(I34:J34)</f>
        <v>-8.7604662000000015</v>
      </c>
      <c r="L34" s="54">
        <f>STDEV(I34:J34)</f>
        <v>0.10752831400147582</v>
      </c>
      <c r="M34" s="24">
        <v>-8.8421835999999985</v>
      </c>
      <c r="N34" s="24">
        <v>-10.140704200000002</v>
      </c>
      <c r="O34" s="24">
        <v>-9.7355917000000005</v>
      </c>
      <c r="P34" s="24">
        <v>-9.2278507000000012</v>
      </c>
      <c r="Q34" s="51">
        <f>AVERAGE(M34:P34)</f>
        <v>-9.4865825500000014</v>
      </c>
      <c r="R34" s="51">
        <f>STDEV(M34:P34)</f>
        <v>0.56923131406835958</v>
      </c>
      <c r="S34" s="51">
        <v>-9.6837373000000007</v>
      </c>
      <c r="T34" s="51">
        <v>-9.2343325000000007</v>
      </c>
      <c r="U34" s="51">
        <v>-9.3888154000000021</v>
      </c>
      <c r="V34" s="51">
        <v>-9.8306581000000008</v>
      </c>
      <c r="W34" s="51">
        <f>AVERAGE(S34:V34)</f>
        <v>-9.5343858250000011</v>
      </c>
      <c r="X34" s="51">
        <f>STDEV(S34:V34)</f>
        <v>0.27160379875631779</v>
      </c>
      <c r="Y34" s="24">
        <v>0.27456249999999999</v>
      </c>
      <c r="Z34" s="24">
        <v>-9.9770322</v>
      </c>
      <c r="AA34" s="24">
        <v>-12.864140500000001</v>
      </c>
      <c r="AB34" s="24">
        <v>-11.679051400000002</v>
      </c>
      <c r="AC34" s="24">
        <v>-10.248734200000001</v>
      </c>
      <c r="AD34" s="24">
        <v>-10.324355199999999</v>
      </c>
      <c r="AE34" s="24">
        <v>-10.832096199999999</v>
      </c>
      <c r="AF34" s="24">
        <v>-9.7844298986651097</v>
      </c>
      <c r="AG34" s="24">
        <v>-9.5314150000000026</v>
      </c>
      <c r="AH34" s="51">
        <f>AVERAGE(Z34,AD34)</f>
        <v>-10.1506937</v>
      </c>
      <c r="AI34" s="51">
        <f>STDEV(Z34,AD34)</f>
        <v>0.24559444856205481</v>
      </c>
      <c r="AJ34" s="51">
        <f>AVERAGE(AA34:AC34,AE34:AG34)</f>
        <v>-10.823311199777521</v>
      </c>
      <c r="AK34" s="51">
        <f>STDEV(AA34:AC34,AE34:AG34)</f>
        <v>1.2629933948066339</v>
      </c>
      <c r="AL34" s="51">
        <v>-9.3931365999999983</v>
      </c>
      <c r="AM34" s="51">
        <v>-9.4536334000000011</v>
      </c>
      <c r="AN34" s="51">
        <v>-9.4914439000000002</v>
      </c>
      <c r="AO34" s="51">
        <v>-9.9246441999999995</v>
      </c>
      <c r="AP34" s="51">
        <f>AVERAGE(AL34:AO34)</f>
        <v>-9.5657145250000006</v>
      </c>
      <c r="AQ34" s="51">
        <f>STDEV(AL34:AO34)</f>
        <v>0.24268769788356082</v>
      </c>
      <c r="AR34" s="52">
        <v>0.50898768939393912</v>
      </c>
      <c r="AS34" s="52">
        <v>1.95960984388487E-2</v>
      </c>
      <c r="AT34" s="24">
        <v>0.50582291666666657</v>
      </c>
      <c r="AU34" s="24">
        <v>0.13421770590397147</v>
      </c>
      <c r="AV34" s="24">
        <v>0.50969097222222215</v>
      </c>
      <c r="AW34" s="24">
        <v>7.0260903187920554E-2</v>
      </c>
    </row>
    <row r="35" spans="1:49">
      <c r="A35" s="50">
        <f>A34+1</f>
        <v>44408</v>
      </c>
      <c r="B35" s="62">
        <v>1.2428157284528296</v>
      </c>
      <c r="C35" s="61">
        <v>22.406250000000004</v>
      </c>
      <c r="D35" s="24">
        <v>3.7682879764677386</v>
      </c>
      <c r="E35" s="56">
        <v>0</v>
      </c>
      <c r="F35" s="56"/>
      <c r="G35" s="51"/>
      <c r="H35" s="49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4">
        <v>0.25744827586206898</v>
      </c>
      <c r="Z35" s="27"/>
      <c r="AA35" s="27"/>
      <c r="AB35" s="27"/>
      <c r="AC35" s="27"/>
      <c r="AD35" s="27"/>
      <c r="AE35" s="27"/>
      <c r="AF35" s="27"/>
      <c r="AG35" s="27"/>
      <c r="AH35" s="27"/>
      <c r="AI35" s="51"/>
      <c r="AJ35" s="51"/>
      <c r="AK35" s="51"/>
      <c r="AL35" s="27"/>
      <c r="AM35" s="27"/>
      <c r="AN35" s="27"/>
      <c r="AO35" s="27"/>
      <c r="AP35" s="51"/>
      <c r="AQ35" s="51"/>
      <c r="AR35" s="52">
        <v>0.49859659090909075</v>
      </c>
      <c r="AS35" s="52">
        <v>1.8187911354724449E-2</v>
      </c>
      <c r="AT35" s="24">
        <v>0.4889374999999998</v>
      </c>
      <c r="AU35" s="24">
        <v>0.14239362806144115</v>
      </c>
      <c r="AV35" s="24">
        <v>0.50074305555555554</v>
      </c>
      <c r="AW35" s="24">
        <v>6.9159883787227427E-2</v>
      </c>
    </row>
    <row r="36" spans="1:49">
      <c r="A36" s="50">
        <f>A35+1</f>
        <v>44409</v>
      </c>
      <c r="B36" s="62">
        <v>1.1906514679283202</v>
      </c>
      <c r="C36" s="61">
        <v>25.087500000000006</v>
      </c>
      <c r="D36" s="24">
        <v>6.4786964249066799</v>
      </c>
      <c r="E36" s="56">
        <v>0</v>
      </c>
      <c r="F36" s="56"/>
      <c r="G36" s="51"/>
      <c r="H36" s="49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4">
        <v>0.22339285714285709</v>
      </c>
      <c r="Z36" s="27"/>
      <c r="AA36" s="27"/>
      <c r="AB36" s="27"/>
      <c r="AC36" s="27"/>
      <c r="AD36" s="27"/>
      <c r="AE36" s="27"/>
      <c r="AF36" s="27"/>
      <c r="AG36" s="27"/>
      <c r="AH36" s="27"/>
      <c r="AI36" s="51"/>
      <c r="AJ36" s="51"/>
      <c r="AK36" s="51"/>
      <c r="AL36" s="27"/>
      <c r="AM36" s="27"/>
      <c r="AN36" s="27"/>
      <c r="AO36" s="27"/>
      <c r="AP36" s="51"/>
      <c r="AQ36" s="51"/>
      <c r="AR36" s="52">
        <v>0.47535606060606067</v>
      </c>
      <c r="AS36" s="52">
        <v>1.5773302403059044E-2</v>
      </c>
      <c r="AT36" s="24">
        <v>0.45408333333333328</v>
      </c>
      <c r="AU36" s="24">
        <v>0.15945257915756628</v>
      </c>
      <c r="AV36" s="24">
        <v>0.48008333333333336</v>
      </c>
      <c r="AW36" s="24">
        <v>6.7503418123331813E-2</v>
      </c>
    </row>
    <row r="37" spans="1:49">
      <c r="A37" s="50">
        <f>A36+1</f>
        <v>44410</v>
      </c>
      <c r="B37" s="62">
        <v>1.2429253657469082</v>
      </c>
      <c r="C37" s="61">
        <v>25.343749999999996</v>
      </c>
      <c r="D37" s="24">
        <v>6.5219121044835413</v>
      </c>
      <c r="E37" s="56">
        <v>0</v>
      </c>
      <c r="F37" s="56"/>
      <c r="G37" s="51"/>
      <c r="H37" s="49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4">
        <v>0.18634999999999999</v>
      </c>
      <c r="Z37" s="27"/>
      <c r="AA37" s="27"/>
      <c r="AB37" s="27"/>
      <c r="AC37" s="27"/>
      <c r="AD37" s="27"/>
      <c r="AE37" s="27"/>
      <c r="AF37" s="27"/>
      <c r="AG37" s="27"/>
      <c r="AH37" s="27"/>
      <c r="AI37" s="51"/>
      <c r="AJ37" s="51"/>
      <c r="AK37" s="51"/>
      <c r="AL37" s="27"/>
      <c r="AM37" s="27"/>
      <c r="AN37" s="27"/>
      <c r="AO37" s="27"/>
      <c r="AP37" s="51"/>
      <c r="AQ37" s="51"/>
      <c r="AR37" s="52">
        <v>0.44958522727272732</v>
      </c>
      <c r="AS37" s="52">
        <v>1.4529169449039519E-2</v>
      </c>
      <c r="AT37" s="24">
        <v>0.42246874999999989</v>
      </c>
      <c r="AU37" s="24">
        <v>0.16509470201578388</v>
      </c>
      <c r="AV37" s="24">
        <v>0.45561111111111113</v>
      </c>
      <c r="AW37" s="24">
        <v>6.5739015594213954E-2</v>
      </c>
    </row>
    <row r="38" spans="1:49">
      <c r="A38" s="50">
        <f>A37+1</f>
        <v>44411</v>
      </c>
      <c r="B38" s="62">
        <v>1.2748251516316242</v>
      </c>
      <c r="C38" s="61">
        <v>25.597916666666674</v>
      </c>
      <c r="D38" s="24">
        <v>6.1340204802115812</v>
      </c>
      <c r="E38" s="56">
        <v>0</v>
      </c>
      <c r="F38" s="56"/>
      <c r="G38" s="51"/>
      <c r="H38" s="49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4">
        <v>0.16399999999999998</v>
      </c>
      <c r="Z38" s="27"/>
      <c r="AA38" s="27"/>
      <c r="AB38" s="27"/>
      <c r="AC38" s="27"/>
      <c r="AD38" s="27"/>
      <c r="AE38" s="27"/>
      <c r="AF38" s="27"/>
      <c r="AG38" s="27"/>
      <c r="AH38" s="27"/>
      <c r="AI38" s="51"/>
      <c r="AJ38" s="51"/>
      <c r="AK38" s="51"/>
      <c r="AL38" s="27"/>
      <c r="AM38" s="27"/>
      <c r="AN38" s="27"/>
      <c r="AO38" s="27"/>
      <c r="AP38" s="51"/>
      <c r="AQ38" s="51"/>
      <c r="AR38" s="52">
        <v>0.4233541666666667</v>
      </c>
      <c r="AS38" s="52">
        <v>1.3823401885241572E-2</v>
      </c>
      <c r="AT38" s="24">
        <v>0.39560416666666676</v>
      </c>
      <c r="AU38" s="24">
        <v>0.16242832019505984</v>
      </c>
      <c r="AV38" s="24">
        <v>0.42952083333333335</v>
      </c>
      <c r="AW38" s="24">
        <v>6.3611801457923167E-2</v>
      </c>
    </row>
    <row r="39" spans="1:49">
      <c r="A39" s="50">
        <f>A38+1</f>
        <v>44412</v>
      </c>
      <c r="B39" s="62">
        <v>1.3189600447859569</v>
      </c>
      <c r="C39" s="61">
        <v>25.997916666666665</v>
      </c>
      <c r="D39" s="24">
        <v>6.4976993405570243</v>
      </c>
      <c r="E39" s="56">
        <v>0</v>
      </c>
      <c r="F39" s="56"/>
      <c r="G39" s="51"/>
      <c r="H39" s="49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4">
        <v>0.15</v>
      </c>
      <c r="Z39" s="27"/>
      <c r="AA39" s="27"/>
      <c r="AB39" s="27"/>
      <c r="AC39" s="27"/>
      <c r="AD39" s="27"/>
      <c r="AE39" s="27"/>
      <c r="AF39" s="27"/>
      <c r="AG39" s="27"/>
      <c r="AH39" s="27"/>
      <c r="AI39" s="51"/>
      <c r="AJ39" s="51"/>
      <c r="AK39" s="51"/>
      <c r="AL39" s="27"/>
      <c r="AM39" s="27"/>
      <c r="AN39" s="27"/>
      <c r="AO39" s="27"/>
      <c r="AP39" s="51"/>
      <c r="AQ39" s="51"/>
      <c r="AR39" s="52">
        <v>0.40061174242424241</v>
      </c>
      <c r="AS39" s="52">
        <v>1.2585965018165092E-2</v>
      </c>
      <c r="AT39" s="24">
        <v>0.37517708333333333</v>
      </c>
      <c r="AU39" s="24">
        <v>0.15663888342409504</v>
      </c>
      <c r="AV39" s="24">
        <v>0.40626388888888898</v>
      </c>
      <c r="AW39" s="24">
        <v>6.0481588203138585E-2</v>
      </c>
    </row>
    <row r="40" spans="1:49">
      <c r="A40" s="50">
        <f>A39+1</f>
        <v>44413</v>
      </c>
      <c r="B40" s="62">
        <v>1.1660348370183631</v>
      </c>
      <c r="C40" s="61">
        <v>26.110416666666669</v>
      </c>
      <c r="D40" s="24">
        <v>6.5134120054578935</v>
      </c>
      <c r="E40" s="56">
        <v>0</v>
      </c>
      <c r="F40" s="56"/>
      <c r="G40" s="51"/>
      <c r="H40" s="49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4">
        <v>0.1399</v>
      </c>
      <c r="Z40" s="27"/>
      <c r="AA40" s="27"/>
      <c r="AB40" s="27"/>
      <c r="AC40" s="27"/>
      <c r="AD40" s="27"/>
      <c r="AE40" s="27"/>
      <c r="AF40" s="27"/>
      <c r="AG40" s="27"/>
      <c r="AH40" s="27"/>
      <c r="AI40" s="51"/>
      <c r="AJ40" s="51"/>
      <c r="AK40" s="51"/>
      <c r="AL40" s="27"/>
      <c r="AM40" s="27"/>
      <c r="AN40" s="27"/>
      <c r="AO40" s="27"/>
      <c r="AP40" s="51"/>
      <c r="AQ40" s="51"/>
      <c r="AR40" s="52">
        <v>0.38213162878787871</v>
      </c>
      <c r="AS40" s="52">
        <v>1.1145636716714044E-2</v>
      </c>
      <c r="AT40" s="24">
        <v>0.35980208333333319</v>
      </c>
      <c r="AU40" s="24">
        <v>0.14965620395987789</v>
      </c>
      <c r="AV40" s="24">
        <v>0.38709374999999985</v>
      </c>
      <c r="AW40" s="24">
        <v>5.7022430634673625E-2</v>
      </c>
    </row>
    <row r="41" spans="1:49">
      <c r="A41" s="60">
        <f>A40+1</f>
        <v>44414</v>
      </c>
      <c r="B41" s="59">
        <v>1.0070133103334029</v>
      </c>
      <c r="C41" s="58">
        <v>26.112500000000001</v>
      </c>
      <c r="D41" s="57">
        <v>6.3525010772259005</v>
      </c>
      <c r="E41" s="56">
        <v>0</v>
      </c>
      <c r="F41" s="56"/>
      <c r="G41" s="51"/>
      <c r="H41" s="49"/>
      <c r="I41" s="54">
        <v>-8.9777313999999997</v>
      </c>
      <c r="J41" s="27"/>
      <c r="K41" s="54">
        <f>AVERAGE(I41:J41)</f>
        <v>-8.9777313999999997</v>
      </c>
      <c r="L41" s="54">
        <v>0</v>
      </c>
      <c r="M41" s="24">
        <v>-9.4599790000000006</v>
      </c>
      <c r="N41" s="24">
        <v>-8.5149850000000011</v>
      </c>
      <c r="O41" s="24">
        <v>-8.7181044000000014</v>
      </c>
      <c r="P41" s="24">
        <v>-9.6239952000000013</v>
      </c>
      <c r="Q41" s="51">
        <f>AVERAGE(M41:P41)</f>
        <v>-9.0792659000000011</v>
      </c>
      <c r="R41" s="51">
        <f>STDEV(M41:P41)</f>
        <v>0.54483117812681503</v>
      </c>
      <c r="S41" s="51">
        <v>-8.6398980000000005</v>
      </c>
      <c r="T41" s="51">
        <v>-8.6496738000000004</v>
      </c>
      <c r="U41" s="51">
        <v>-9.1167398000000013</v>
      </c>
      <c r="V41" s="51">
        <v>-8.8842930000000013</v>
      </c>
      <c r="W41" s="51">
        <f>AVERAGE(S41:V41)</f>
        <v>-8.8226511500000004</v>
      </c>
      <c r="X41" s="51">
        <f>STDEV(S41:V41)</f>
        <v>0.22627986298548575</v>
      </c>
      <c r="Y41" s="24">
        <v>0.136125</v>
      </c>
      <c r="Z41" s="24">
        <v>-9.5946678000000016</v>
      </c>
      <c r="AA41" s="24">
        <v>-11.495016711206604</v>
      </c>
      <c r="AB41" s="24">
        <v>-10.240956800000001</v>
      </c>
      <c r="AC41" s="24">
        <v>-9.2908197000000001</v>
      </c>
      <c r="AD41" s="24">
        <v>-8.899499800000001</v>
      </c>
      <c r="AE41" s="24">
        <v>-10.521196400000001</v>
      </c>
      <c r="AF41" s="24">
        <v>-9.7470390214499307</v>
      </c>
      <c r="AG41" s="24">
        <v>-9.2905318000000019</v>
      </c>
      <c r="AH41" s="51">
        <f>AVERAGE(Z41,AD41)</f>
        <v>-9.2470838000000022</v>
      </c>
      <c r="AI41" s="51">
        <f>STDEV(Z41,AD41)</f>
        <v>0.49155800686389034</v>
      </c>
      <c r="AJ41" s="51">
        <f>AVERAGE(AA41:AC41,AE41:AG41)</f>
        <v>-10.097593405442757</v>
      </c>
      <c r="AK41" s="51">
        <f>STDEV(AA41:AC41,AE41:AG41)</f>
        <v>0.845920218259271</v>
      </c>
      <c r="AL41" s="51">
        <v>-8.652932400000001</v>
      </c>
      <c r="AM41" s="51">
        <v>-9.1536706000000017</v>
      </c>
      <c r="AN41" s="51">
        <v>-9.0895848000000008</v>
      </c>
      <c r="AO41" s="51">
        <v>-9.1753946000000024</v>
      </c>
      <c r="AP41" s="51">
        <f>AVERAGE(AL41:AO41)</f>
        <v>-9.017895600000001</v>
      </c>
      <c r="AQ41" s="51">
        <f>STDEV(AL41:AO41)</f>
        <v>0.24602050346592427</v>
      </c>
      <c r="AR41" s="52">
        <v>0.36931818181818182</v>
      </c>
      <c r="AS41" s="52">
        <v>9.9677950234307987E-3</v>
      </c>
      <c r="AT41" s="24">
        <v>0.34934374999999995</v>
      </c>
      <c r="AU41" s="24">
        <v>0.14411720084058346</v>
      </c>
      <c r="AV41" s="24">
        <v>0.37375694444444446</v>
      </c>
      <c r="AW41" s="24">
        <v>5.4145735806418814E-2</v>
      </c>
    </row>
    <row r="42" spans="1:49">
      <c r="A42" s="50">
        <f>A41+1</f>
        <v>44415</v>
      </c>
      <c r="B42" s="62">
        <v>0.80393698280569603</v>
      </c>
      <c r="C42" s="61">
        <v>26.381250000000005</v>
      </c>
      <c r="D42" s="24">
        <v>5.7561275037342829</v>
      </c>
      <c r="E42" s="56">
        <v>0</v>
      </c>
      <c r="F42" s="56"/>
      <c r="G42" s="51"/>
      <c r="H42" s="49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4">
        <v>0.13252380952380957</v>
      </c>
      <c r="Z42" s="27"/>
      <c r="AA42" s="27"/>
      <c r="AB42" s="27"/>
      <c r="AC42" s="27"/>
      <c r="AD42" s="27"/>
      <c r="AE42" s="27"/>
      <c r="AF42" s="27"/>
      <c r="AG42" s="27"/>
      <c r="AH42" s="27"/>
      <c r="AI42" s="51"/>
      <c r="AJ42" s="51"/>
      <c r="AK42" s="51"/>
      <c r="AL42" s="27"/>
      <c r="AM42" s="27"/>
      <c r="AN42" s="27"/>
      <c r="AO42" s="27"/>
      <c r="AP42" s="51"/>
      <c r="AQ42" s="51"/>
      <c r="AR42" s="52">
        <v>0.36002840909090916</v>
      </c>
      <c r="AS42" s="52">
        <v>9.1227488512172824E-3</v>
      </c>
      <c r="AT42" s="24">
        <v>0.34175000000000011</v>
      </c>
      <c r="AU42" s="24">
        <v>0.13918218476355207</v>
      </c>
      <c r="AV42" s="24">
        <v>0.36409027777777775</v>
      </c>
      <c r="AW42" s="24">
        <v>5.2350127790003122E-2</v>
      </c>
    </row>
    <row r="43" spans="1:49">
      <c r="A43" s="50">
        <f>A42+1</f>
        <v>44416</v>
      </c>
      <c r="B43" s="62">
        <v>0.37748627957429653</v>
      </c>
      <c r="C43" s="61">
        <v>25.797916666666655</v>
      </c>
      <c r="D43" s="24">
        <v>4.974413570319471</v>
      </c>
      <c r="E43" s="56">
        <v>0</v>
      </c>
      <c r="F43" s="56"/>
      <c r="G43" s="51"/>
      <c r="H43" s="49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4">
        <v>0.18499999999999997</v>
      </c>
      <c r="Z43" s="27"/>
      <c r="AA43" s="27"/>
      <c r="AB43" s="27"/>
      <c r="AC43" s="27"/>
      <c r="AD43" s="27"/>
      <c r="AE43" s="27"/>
      <c r="AF43" s="27"/>
      <c r="AG43" s="27"/>
      <c r="AH43" s="27"/>
      <c r="AI43" s="51"/>
      <c r="AJ43" s="51"/>
      <c r="AK43" s="51"/>
      <c r="AL43" s="27"/>
      <c r="AM43" s="27"/>
      <c r="AN43" s="27"/>
      <c r="AO43" s="27"/>
      <c r="AP43" s="51"/>
      <c r="AQ43" s="51"/>
      <c r="AR43" s="52">
        <v>0.35681723484848482</v>
      </c>
      <c r="AS43" s="52">
        <v>7.6556362019940408E-3</v>
      </c>
      <c r="AT43" s="24">
        <v>0.33866666666666678</v>
      </c>
      <c r="AU43" s="24">
        <v>0.13673677381194849</v>
      </c>
      <c r="AV43" s="24">
        <v>0.36085069444444434</v>
      </c>
      <c r="AW43" s="24">
        <v>5.0882364360291449E-2</v>
      </c>
    </row>
    <row r="44" spans="1:49">
      <c r="A44" s="50">
        <f>A43+1</f>
        <v>44417</v>
      </c>
      <c r="B44" s="62">
        <v>0.75015926574658331</v>
      </c>
      <c r="C44" s="61">
        <v>22.5625</v>
      </c>
      <c r="D44" s="24">
        <v>4.3170071300681192</v>
      </c>
      <c r="E44" s="56">
        <v>9.2999999999999989</v>
      </c>
      <c r="F44" s="56">
        <f>SUM(E44)</f>
        <v>9.2999999999999989</v>
      </c>
      <c r="G44" s="51">
        <v>-2.7995952679897003</v>
      </c>
      <c r="H44" s="51">
        <v>-25.077644111534742</v>
      </c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4">
        <v>0.17150000000000001</v>
      </c>
      <c r="Z44" s="27"/>
      <c r="AA44" s="27"/>
      <c r="AB44" s="27"/>
      <c r="AC44" s="27"/>
      <c r="AD44" s="27"/>
      <c r="AE44" s="27"/>
      <c r="AF44" s="27"/>
      <c r="AG44" s="27"/>
      <c r="AH44" s="27"/>
      <c r="AI44" s="51"/>
      <c r="AJ44" s="51"/>
      <c r="AK44" s="51"/>
      <c r="AL44" s="27"/>
      <c r="AM44" s="27"/>
      <c r="AN44" s="27"/>
      <c r="AO44" s="27"/>
      <c r="AP44" s="51"/>
      <c r="AQ44" s="51"/>
      <c r="AR44" s="52">
        <v>0.35436174242424245</v>
      </c>
      <c r="AS44" s="52">
        <v>8.1263711140908187E-3</v>
      </c>
      <c r="AT44" s="24">
        <v>0.33695833333333336</v>
      </c>
      <c r="AU44" s="24">
        <v>0.13493954407643269</v>
      </c>
      <c r="AV44" s="24">
        <v>0.35822916666666677</v>
      </c>
      <c r="AW44" s="24">
        <v>5.1162618596653678E-2</v>
      </c>
    </row>
    <row r="45" spans="1:49">
      <c r="A45" s="50">
        <f>A44+1</f>
        <v>44418</v>
      </c>
      <c r="B45" s="62">
        <v>0.22252885022285995</v>
      </c>
      <c r="C45" s="61">
        <v>24.664583333333336</v>
      </c>
      <c r="D45" s="24">
        <v>5.7562381875135795</v>
      </c>
      <c r="E45" s="56">
        <v>0</v>
      </c>
      <c r="F45" s="56"/>
      <c r="G45" s="51"/>
      <c r="H45" s="51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4">
        <v>0.29084782608695653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51"/>
      <c r="AJ45" s="51"/>
      <c r="AK45" s="51"/>
      <c r="AL45" s="27"/>
      <c r="AM45" s="27"/>
      <c r="AN45" s="27"/>
      <c r="AO45" s="27"/>
      <c r="AP45" s="51"/>
      <c r="AQ45" s="51"/>
      <c r="AR45" s="52">
        <v>0.38137689393939389</v>
      </c>
      <c r="AS45" s="52">
        <v>1.9102596831145655E-2</v>
      </c>
      <c r="AT45" s="24">
        <v>0.38379166666666664</v>
      </c>
      <c r="AU45" s="24">
        <v>9.0480205209328174E-2</v>
      </c>
      <c r="AV45" s="24">
        <v>0.38084027777777774</v>
      </c>
      <c r="AW45" s="24">
        <v>6.0691629574950057E-2</v>
      </c>
    </row>
    <row r="46" spans="1:49">
      <c r="A46" s="50">
        <f>A45+1</f>
        <v>44419</v>
      </c>
      <c r="B46" s="62">
        <v>0.44772252230613546</v>
      </c>
      <c r="C46" s="61">
        <v>21.856249999999999</v>
      </c>
      <c r="D46" s="24">
        <v>3.7456392143567991</v>
      </c>
      <c r="E46" s="56">
        <v>34.800000000000011</v>
      </c>
      <c r="F46" s="56">
        <f>SUM(E46:E48)</f>
        <v>61.300000000000011</v>
      </c>
      <c r="G46" s="51">
        <v>-8.0739660691002637</v>
      </c>
      <c r="H46" s="51">
        <v>-52.563450538417143</v>
      </c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4">
        <v>0.28708333333333336</v>
      </c>
      <c r="Z46" s="27"/>
      <c r="AA46" s="27"/>
      <c r="AB46" s="27"/>
      <c r="AC46" s="27"/>
      <c r="AD46" s="27"/>
      <c r="AE46" s="27"/>
      <c r="AF46" s="27"/>
      <c r="AG46" s="27"/>
      <c r="AH46" s="27"/>
      <c r="AI46" s="51"/>
      <c r="AJ46" s="51"/>
      <c r="AK46" s="51"/>
      <c r="AL46" s="27"/>
      <c r="AM46" s="27"/>
      <c r="AN46" s="27"/>
      <c r="AO46" s="27"/>
      <c r="AP46" s="51"/>
      <c r="AQ46" s="51"/>
      <c r="AR46" s="52">
        <v>0.38317803030303038</v>
      </c>
      <c r="AS46" s="52">
        <v>2.0439135784979336E-2</v>
      </c>
      <c r="AT46" s="24">
        <v>0.38254166666666684</v>
      </c>
      <c r="AU46" s="24">
        <v>0.10079217910163273</v>
      </c>
      <c r="AV46" s="24">
        <v>0.38331944444444449</v>
      </c>
      <c r="AW46" s="24">
        <v>6.3772223341415732E-2</v>
      </c>
    </row>
    <row r="47" spans="1:49">
      <c r="A47" s="50">
        <f>A46+1</f>
        <v>44420</v>
      </c>
      <c r="B47" s="62">
        <v>0.26891935664471672</v>
      </c>
      <c r="C47" s="61">
        <v>23.439583333333331</v>
      </c>
      <c r="D47" s="24">
        <v>4.5905914586092091</v>
      </c>
      <c r="E47" s="56">
        <v>13.8</v>
      </c>
      <c r="F47" s="56"/>
      <c r="G47" s="51"/>
      <c r="H47" s="49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4">
        <v>0.31580000000000008</v>
      </c>
      <c r="Z47" s="27"/>
      <c r="AA47" s="27"/>
      <c r="AB47" s="27"/>
      <c r="AC47" s="27"/>
      <c r="AD47" s="27"/>
      <c r="AE47" s="27"/>
      <c r="AF47" s="27"/>
      <c r="AG47" s="27"/>
      <c r="AH47" s="27"/>
      <c r="AI47" s="51"/>
      <c r="AJ47" s="51"/>
      <c r="AK47" s="51"/>
      <c r="AL47" s="27"/>
      <c r="AM47" s="27"/>
      <c r="AN47" s="27"/>
      <c r="AO47" s="27"/>
      <c r="AP47" s="51"/>
      <c r="AQ47" s="51"/>
      <c r="AR47" s="52">
        <v>0.44616287878787864</v>
      </c>
      <c r="AS47" s="52">
        <v>4.4522282084368862E-2</v>
      </c>
      <c r="AT47" s="24">
        <v>0.45264583333333341</v>
      </c>
      <c r="AU47" s="24">
        <v>9.5871894415876152E-2</v>
      </c>
      <c r="AV47" s="24">
        <v>0.44472222222222202</v>
      </c>
      <c r="AW47" s="24">
        <v>0.10609693440783681</v>
      </c>
    </row>
    <row r="48" spans="1:49">
      <c r="A48" s="60">
        <f>A47+1</f>
        <v>44421</v>
      </c>
      <c r="B48" s="59">
        <v>0.28285461135652545</v>
      </c>
      <c r="C48" s="58">
        <v>22.352083333333329</v>
      </c>
      <c r="D48" s="57">
        <v>3.9824411836385818</v>
      </c>
      <c r="E48" s="56">
        <v>12.7</v>
      </c>
      <c r="F48" s="56"/>
      <c r="G48" s="51"/>
      <c r="H48" s="49"/>
      <c r="I48" s="54">
        <v>-8.7715512999999987</v>
      </c>
      <c r="J48" s="27"/>
      <c r="K48" s="54">
        <f>AVERAGE(I48:J48)</f>
        <v>-8.7715512999999987</v>
      </c>
      <c r="L48" s="54">
        <v>0</v>
      </c>
      <c r="M48" s="24">
        <v>-9.4566365000000019</v>
      </c>
      <c r="N48" s="24">
        <v>-9.0224583000000003</v>
      </c>
      <c r="O48" s="24">
        <v>-8.5893709999999999</v>
      </c>
      <c r="P48" s="24">
        <v>-7.8584679999999993</v>
      </c>
      <c r="Q48" s="51">
        <f>AVERAGE(M48:P48)</f>
        <v>-8.7317334500000001</v>
      </c>
      <c r="R48" s="51">
        <f>STDEV(M48:P48)</f>
        <v>0.68138706172055985</v>
      </c>
      <c r="S48" s="51">
        <v>-8.2173741000000007</v>
      </c>
      <c r="T48" s="51">
        <v>-8.4606448000000007</v>
      </c>
      <c r="U48" s="51">
        <v>-8.1017387000000003</v>
      </c>
      <c r="V48" s="51">
        <v>-8.5784619999999983</v>
      </c>
      <c r="W48" s="51">
        <f>AVERAGE(S48:V48)</f>
        <v>-8.3395548999999995</v>
      </c>
      <c r="X48" s="51">
        <f>STDEV(S48:V48)</f>
        <v>0.21849794749874962</v>
      </c>
      <c r="Y48" s="24">
        <v>0.30053571428571429</v>
      </c>
      <c r="Z48" s="24">
        <v>-8.9908222000000002</v>
      </c>
      <c r="AA48" s="24">
        <v>-10.443970834719675</v>
      </c>
      <c r="AB48" s="24">
        <v>-10.079540399999999</v>
      </c>
      <c r="AC48" s="24">
        <v>-9.624635099999999</v>
      </c>
      <c r="AD48" s="24">
        <v>-8.6199161999999987</v>
      </c>
      <c r="AE48" s="24">
        <v>-9.4162731999999991</v>
      </c>
      <c r="AF48" s="24">
        <v>-10.075202385285595</v>
      </c>
      <c r="AG48" s="24">
        <v>-10.524627599999999</v>
      </c>
      <c r="AH48" s="51">
        <f>AVERAGE(Z48,AD48)</f>
        <v>-8.8053691999999995</v>
      </c>
      <c r="AI48" s="51">
        <f>STDEV(Z48,AD48)</f>
        <v>0.26227014778277868</v>
      </c>
      <c r="AJ48" s="51">
        <f>AVERAGE(AA48:AC48,AE48:AG48)</f>
        <v>-10.027374920000879</v>
      </c>
      <c r="AK48" s="51">
        <f>STDEV(AA48:AC48,AE48:AG48)</f>
        <v>0.43851243140147617</v>
      </c>
      <c r="AL48" s="51">
        <v>-8.2250103999999986</v>
      </c>
      <c r="AM48" s="51">
        <v>-8.103920500000001</v>
      </c>
      <c r="AN48" s="51">
        <v>-7.7395598999999997</v>
      </c>
      <c r="AO48" s="51">
        <v>-8.4704629000000011</v>
      </c>
      <c r="AP48" s="51">
        <f>AVERAGE(AL48:AO48)</f>
        <v>-8.1347384250000001</v>
      </c>
      <c r="AQ48" s="51">
        <f>STDEV(AL48:AO48)</f>
        <v>0.30439873176855176</v>
      </c>
      <c r="AR48" s="52">
        <v>0.45654734848484857</v>
      </c>
      <c r="AS48" s="52">
        <v>5.0063963638440866E-2</v>
      </c>
      <c r="AT48" s="24">
        <v>0.46319791666666665</v>
      </c>
      <c r="AU48" s="24">
        <v>9.0907415556295418E-2</v>
      </c>
      <c r="AV48" s="24">
        <v>0.45506944444444453</v>
      </c>
      <c r="AW48" s="24">
        <v>0.11622203193034671</v>
      </c>
    </row>
    <row r="49" spans="1:49">
      <c r="A49" s="50">
        <f>A48+1</f>
        <v>44422</v>
      </c>
      <c r="B49" s="62">
        <v>0.14461975147830916</v>
      </c>
      <c r="C49" s="61">
        <v>20.262499999999999</v>
      </c>
      <c r="D49" s="24">
        <v>2.8656434825670059</v>
      </c>
      <c r="E49" s="56">
        <v>0</v>
      </c>
      <c r="F49" s="56"/>
      <c r="G49" s="51"/>
      <c r="H49" s="49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4">
        <v>0.28791666666666665</v>
      </c>
      <c r="Z49" s="27"/>
      <c r="AA49" s="27"/>
      <c r="AB49" s="27"/>
      <c r="AC49" s="27"/>
      <c r="AD49" s="27"/>
      <c r="AE49" s="27"/>
      <c r="AF49" s="27"/>
      <c r="AG49" s="27"/>
      <c r="AH49" s="27"/>
      <c r="AI49" s="51"/>
      <c r="AJ49" s="51"/>
      <c r="AK49" s="51"/>
      <c r="AL49" s="27"/>
      <c r="AM49" s="27"/>
      <c r="AN49" s="27"/>
      <c r="AO49" s="27"/>
      <c r="AP49" s="51"/>
      <c r="AQ49" s="51"/>
      <c r="AR49" s="52">
        <v>0.45462784090909092</v>
      </c>
      <c r="AS49" s="52">
        <v>5.0428900376837157E-2</v>
      </c>
      <c r="AT49" s="24">
        <v>0.4644062499999998</v>
      </c>
      <c r="AU49" s="24">
        <v>8.6782625999374086E-2</v>
      </c>
      <c r="AV49" s="24">
        <v>0.45245486111111116</v>
      </c>
      <c r="AW49" s="24">
        <v>0.11565845193021333</v>
      </c>
    </row>
    <row r="50" spans="1:49">
      <c r="A50" s="50">
        <f>A49+1</f>
        <v>44423</v>
      </c>
      <c r="B50" s="62">
        <v>0.30852680819944917</v>
      </c>
      <c r="C50" s="61">
        <v>19.716666666666658</v>
      </c>
      <c r="D50" s="24">
        <v>2.5582479484337046</v>
      </c>
      <c r="E50" s="56">
        <v>8.3000000000000007</v>
      </c>
      <c r="F50" s="56"/>
      <c r="G50" s="51"/>
      <c r="H50" s="49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4">
        <v>0.30409999999999993</v>
      </c>
      <c r="Z50" s="27"/>
      <c r="AA50" s="27"/>
      <c r="AB50" s="27"/>
      <c r="AC50" s="27"/>
      <c r="AD50" s="27"/>
      <c r="AE50" s="27"/>
      <c r="AF50" s="27"/>
      <c r="AG50" s="27"/>
      <c r="AH50" s="27"/>
      <c r="AI50" s="51"/>
      <c r="AJ50" s="51"/>
      <c r="AK50" s="51"/>
      <c r="AL50" s="27"/>
      <c r="AM50" s="27"/>
      <c r="AN50" s="27"/>
      <c r="AO50" s="27"/>
      <c r="AP50" s="51"/>
      <c r="AQ50" s="51"/>
      <c r="AR50" s="52">
        <v>0.4760492424242424</v>
      </c>
      <c r="AS50" s="52">
        <v>5.7184582493684771E-2</v>
      </c>
      <c r="AT50" s="24">
        <v>0.49677083333333338</v>
      </c>
      <c r="AU50" s="24">
        <v>7.5247946631268367E-2</v>
      </c>
      <c r="AV50" s="24">
        <v>0.4714444444444445</v>
      </c>
      <c r="AW50" s="24">
        <v>0.12749032688433268</v>
      </c>
    </row>
    <row r="51" spans="1:49">
      <c r="A51" s="50">
        <f>A50+1</f>
        <v>44424</v>
      </c>
      <c r="B51" s="62">
        <v>0.4102184430895599</v>
      </c>
      <c r="C51" s="61">
        <v>21.793750000000006</v>
      </c>
      <c r="D51" s="24">
        <v>3.790090694868665</v>
      </c>
      <c r="E51" s="56">
        <v>3.7</v>
      </c>
      <c r="F51" s="56">
        <f>SUM(E50:E51)</f>
        <v>12</v>
      </c>
      <c r="G51" s="51">
        <v>-7.9290692161620555</v>
      </c>
      <c r="H51" s="51">
        <v>-63.236403114703172</v>
      </c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4">
        <v>0.28736363636363632</v>
      </c>
      <c r="Z51" s="27"/>
      <c r="AA51" s="27"/>
      <c r="AB51" s="27"/>
      <c r="AC51" s="27"/>
      <c r="AD51" s="27"/>
      <c r="AE51" s="27"/>
      <c r="AF51" s="27"/>
      <c r="AG51" s="27"/>
      <c r="AH51" s="27"/>
      <c r="AI51" s="51"/>
      <c r="AJ51" s="51"/>
      <c r="AK51" s="51"/>
      <c r="AL51" s="27"/>
      <c r="AM51" s="27"/>
      <c r="AN51" s="27"/>
      <c r="AO51" s="27"/>
      <c r="AP51" s="51"/>
      <c r="AQ51" s="51"/>
      <c r="AR51" s="52">
        <v>0.46774999999999994</v>
      </c>
      <c r="AS51" s="52">
        <v>5.2633921807184826E-2</v>
      </c>
      <c r="AT51" s="24">
        <v>0.48412500000000019</v>
      </c>
      <c r="AU51" s="24">
        <v>8.7651778084582702E-2</v>
      </c>
      <c r="AV51" s="24">
        <v>0.46411111111111092</v>
      </c>
      <c r="AW51" s="24">
        <v>0.12129369105910169</v>
      </c>
    </row>
    <row r="52" spans="1:49">
      <c r="A52" s="50">
        <f>A51+1</f>
        <v>44425</v>
      </c>
      <c r="B52" s="62">
        <v>0.46800702206195832</v>
      </c>
      <c r="C52" s="61">
        <v>22.572916666666671</v>
      </c>
      <c r="D52" s="24">
        <v>3.9999770852305114</v>
      </c>
      <c r="E52" s="56">
        <v>1.2</v>
      </c>
      <c r="F52" s="56"/>
      <c r="G52" s="51"/>
      <c r="H52" s="51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4">
        <v>0.32561538461538464</v>
      </c>
      <c r="Z52" s="27"/>
      <c r="AA52" s="27"/>
      <c r="AB52" s="27"/>
      <c r="AC52" s="27"/>
      <c r="AD52" s="27"/>
      <c r="AE52" s="27"/>
      <c r="AF52" s="27"/>
      <c r="AG52" s="27"/>
      <c r="AH52" s="27"/>
      <c r="AI52" s="51"/>
      <c r="AJ52" s="51"/>
      <c r="AK52" s="51"/>
      <c r="AL52" s="27"/>
      <c r="AM52" s="27"/>
      <c r="AN52" s="27"/>
      <c r="AO52" s="27"/>
      <c r="AP52" s="51"/>
      <c r="AQ52" s="51"/>
      <c r="AR52" s="52">
        <v>0.50795643939393942</v>
      </c>
      <c r="AS52" s="52">
        <v>4.0046617571631367E-2</v>
      </c>
      <c r="AT52" s="24">
        <v>0.52716666666666656</v>
      </c>
      <c r="AU52" s="24">
        <v>0.10639010778602527</v>
      </c>
      <c r="AV52" s="24">
        <v>0.50368749999999995</v>
      </c>
      <c r="AW52" s="24">
        <v>0.10214802372048142</v>
      </c>
    </row>
    <row r="53" spans="1:49">
      <c r="A53" s="50">
        <f>A52+1</f>
        <v>44426</v>
      </c>
      <c r="B53" s="62">
        <v>0.65877077834560704</v>
      </c>
      <c r="C53" s="61">
        <v>22.912499999999998</v>
      </c>
      <c r="D53" s="24">
        <v>4.3699620763149918</v>
      </c>
      <c r="E53" s="56">
        <v>29.299999999999997</v>
      </c>
      <c r="F53" s="56">
        <f>SUM(E53)</f>
        <v>29.299999999999997</v>
      </c>
      <c r="G53" s="51">
        <v>-16.267376679856529</v>
      </c>
      <c r="H53" s="51">
        <v>-120.69822894796624</v>
      </c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4">
        <v>0.2878</v>
      </c>
      <c r="Z53" s="27"/>
      <c r="AA53" s="27"/>
      <c r="AB53" s="27"/>
      <c r="AC53" s="27"/>
      <c r="AD53" s="27"/>
      <c r="AE53" s="27"/>
      <c r="AF53" s="27"/>
      <c r="AG53" s="27"/>
      <c r="AH53" s="27"/>
      <c r="AI53" s="51"/>
      <c r="AJ53" s="51"/>
      <c r="AK53" s="51"/>
      <c r="AL53" s="27"/>
      <c r="AM53" s="27"/>
      <c r="AN53" s="27"/>
      <c r="AO53" s="27"/>
      <c r="AP53" s="51"/>
      <c r="AQ53" s="51"/>
      <c r="AR53" s="52">
        <v>0.51173390151515141</v>
      </c>
      <c r="AS53" s="52">
        <v>2.4934218949851851E-2</v>
      </c>
      <c r="AT53" s="24">
        <v>0.51645833333333335</v>
      </c>
      <c r="AU53" s="24">
        <v>0.12716136948338103</v>
      </c>
      <c r="AV53" s="24">
        <v>0.51068402777777766</v>
      </c>
      <c r="AW53" s="24">
        <v>7.6826042921324639E-2</v>
      </c>
    </row>
    <row r="54" spans="1:49">
      <c r="A54" s="50">
        <f>A53+1</f>
        <v>44427</v>
      </c>
      <c r="B54" s="62">
        <v>0.65920919768322139</v>
      </c>
      <c r="C54" s="61">
        <v>23.966666666666665</v>
      </c>
      <c r="D54" s="24">
        <v>4.3696159208449803</v>
      </c>
      <c r="E54" s="56">
        <v>0</v>
      </c>
      <c r="F54" s="56"/>
      <c r="G54" s="51"/>
      <c r="H54" s="49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4">
        <v>0.26493333333333335</v>
      </c>
      <c r="Z54" s="27"/>
      <c r="AA54" s="27"/>
      <c r="AB54" s="27"/>
      <c r="AC54" s="27"/>
      <c r="AD54" s="27"/>
      <c r="AE54" s="27"/>
      <c r="AF54" s="27"/>
      <c r="AG54" s="27"/>
      <c r="AH54" s="27"/>
      <c r="AI54" s="51"/>
      <c r="AJ54" s="51"/>
      <c r="AK54" s="51"/>
      <c r="AL54" s="27"/>
      <c r="AM54" s="27"/>
      <c r="AN54" s="27"/>
      <c r="AO54" s="27"/>
      <c r="AP54" s="51"/>
      <c r="AQ54" s="51"/>
      <c r="AR54" s="52">
        <v>0.49985700757575763</v>
      </c>
      <c r="AS54" s="52">
        <v>2.242318634620645E-2</v>
      </c>
      <c r="AT54" s="24">
        <v>0.49747916666666681</v>
      </c>
      <c r="AU54" s="24">
        <v>0.13803313624412386</v>
      </c>
      <c r="AV54" s="24">
        <v>0.50038541666666669</v>
      </c>
      <c r="AW54" s="24">
        <v>7.4750799826174219E-2</v>
      </c>
    </row>
    <row r="55" spans="1:49">
      <c r="A55" s="60">
        <f>A54+1</f>
        <v>44428</v>
      </c>
      <c r="B55" s="59">
        <v>0.68056465612410033</v>
      </c>
      <c r="C55" s="58">
        <v>24.320833333333329</v>
      </c>
      <c r="D55" s="57">
        <v>4.409342271151746</v>
      </c>
      <c r="E55" s="56">
        <v>0</v>
      </c>
      <c r="F55" s="56"/>
      <c r="G55" s="51"/>
      <c r="H55" s="49"/>
      <c r="I55" s="24">
        <v>-8.1948027999999997</v>
      </c>
      <c r="J55" s="55">
        <v>-8.1056851999999999</v>
      </c>
      <c r="K55" s="54">
        <f>AVERAGE(I55:J55)</f>
        <v>-8.1502440000000007</v>
      </c>
      <c r="L55" s="54">
        <f>STDEV(I55:J55)</f>
        <v>6.3015659283070125E-2</v>
      </c>
      <c r="M55" s="24">
        <v>-11.202428599999999</v>
      </c>
      <c r="N55" s="24">
        <v>-12.934549899999999</v>
      </c>
      <c r="O55" s="24">
        <v>-13.124747599999997</v>
      </c>
      <c r="P55" s="24">
        <v>-13.051516399999999</v>
      </c>
      <c r="Q55" s="51">
        <f>AVERAGE(M55:P55)</f>
        <v>-12.578310624999999</v>
      </c>
      <c r="R55" s="51">
        <f>STDEV(M55:P55)</f>
        <v>0.92059307711770322</v>
      </c>
      <c r="S55" s="51">
        <v>-10.126336799999997</v>
      </c>
      <c r="T55" s="51">
        <v>-10.032763599999999</v>
      </c>
      <c r="U55" s="51">
        <v>-11.756748099999999</v>
      </c>
      <c r="V55" s="51">
        <v>-10.855597499999998</v>
      </c>
      <c r="W55" s="51">
        <f>AVERAGE(S55:V55)</f>
        <v>-10.692861499999999</v>
      </c>
      <c r="X55" s="51">
        <f>STDEV(S55:V55)</f>
        <v>0.7989612374097721</v>
      </c>
      <c r="Y55" s="24">
        <v>0.23459999999999998</v>
      </c>
      <c r="Z55" s="24">
        <v>-13.110508199999998</v>
      </c>
      <c r="AA55" s="24">
        <v>-10.464806471287028</v>
      </c>
      <c r="AB55" s="24">
        <v>-10.3389107</v>
      </c>
      <c r="AC55" s="24">
        <v>-9.8903695999999979</v>
      </c>
      <c r="AD55" s="24">
        <v>-12.273434899999998</v>
      </c>
      <c r="AE55" s="24">
        <v>-9.9432587999999988</v>
      </c>
      <c r="AF55" s="24">
        <v>-9.9495716493620741</v>
      </c>
      <c r="AG55" s="24">
        <v>-9.7530610999999983</v>
      </c>
      <c r="AH55" s="51">
        <f>AVERAGE(Z55,AD55)</f>
        <v>-12.691971549999998</v>
      </c>
      <c r="AI55" s="51">
        <f>STDEV(Z55,AD55)</f>
        <v>0.59190020678020128</v>
      </c>
      <c r="AJ55" s="51">
        <f>AVERAGE(AA55:AC55,AE55:AG55)</f>
        <v>-10.056663053441516</v>
      </c>
      <c r="AK55" s="51">
        <f>STDEV(AA55:AC55,AE55:AG55)</f>
        <v>0.2794285367802527</v>
      </c>
      <c r="AL55" s="51">
        <v>-11.358044899999998</v>
      </c>
      <c r="AM55" s="51">
        <v>-11.173949799999999</v>
      </c>
      <c r="AN55" s="51">
        <v>-11.585875299999998</v>
      </c>
      <c r="AO55" s="51">
        <v>-10.936965499999998</v>
      </c>
      <c r="AP55" s="51">
        <f>AVERAGE(AL55:AO55)</f>
        <v>-11.263708874999999</v>
      </c>
      <c r="AQ55" s="51">
        <f>STDEV(AL55:AO55)</f>
        <v>0.27538362070714334</v>
      </c>
      <c r="AR55" s="52">
        <v>0.48550000000000004</v>
      </c>
      <c r="AS55" s="52">
        <v>2.0715014567033233E-2</v>
      </c>
      <c r="AT55" s="24">
        <v>0.47593750000000001</v>
      </c>
      <c r="AU55" s="24">
        <v>0.14831564735387809</v>
      </c>
      <c r="AV55" s="24">
        <v>0.48762500000000003</v>
      </c>
      <c r="AW55" s="24">
        <v>7.3686159986873237E-2</v>
      </c>
    </row>
    <row r="56" spans="1:49">
      <c r="A56" s="50">
        <f>A55+1</f>
        <v>44429</v>
      </c>
      <c r="B56" s="62">
        <v>0.67612427235141004</v>
      </c>
      <c r="C56" s="61">
        <v>24.708333333333332</v>
      </c>
      <c r="D56" s="24">
        <v>4.4688143565563605</v>
      </c>
      <c r="E56" s="56">
        <v>0</v>
      </c>
      <c r="F56" s="56"/>
      <c r="G56" s="51"/>
      <c r="H56" s="49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4">
        <v>0.20431578947368423</v>
      </c>
      <c r="Z56" s="27"/>
      <c r="AA56" s="27"/>
      <c r="AB56" s="27"/>
      <c r="AC56" s="27"/>
      <c r="AD56" s="27"/>
      <c r="AE56" s="27"/>
      <c r="AF56" s="27"/>
      <c r="AG56" s="27"/>
      <c r="AH56" s="27"/>
      <c r="AI56" s="51"/>
      <c r="AJ56" s="51"/>
      <c r="AK56" s="51"/>
      <c r="AL56" s="27"/>
      <c r="AM56" s="27"/>
      <c r="AN56" s="27"/>
      <c r="AO56" s="27"/>
      <c r="AP56" s="51"/>
      <c r="AQ56" s="51"/>
      <c r="AR56" s="52">
        <v>0.46627367424242416</v>
      </c>
      <c r="AS56" s="52">
        <v>1.8721589484085827E-2</v>
      </c>
      <c r="AT56" s="24">
        <v>0.44820833333333326</v>
      </c>
      <c r="AU56" s="24">
        <v>0.15868654681128075</v>
      </c>
      <c r="AV56" s="24">
        <v>0.47028819444444436</v>
      </c>
      <c r="AW56" s="24">
        <v>7.2050183148847077E-2</v>
      </c>
    </row>
    <row r="57" spans="1:49">
      <c r="A57" s="50">
        <f>A56+1</f>
        <v>44430</v>
      </c>
      <c r="B57" s="62">
        <v>0.60689816308951761</v>
      </c>
      <c r="C57" s="61">
        <v>24.7</v>
      </c>
      <c r="D57" s="24">
        <v>3.9628892047469408</v>
      </c>
      <c r="E57" s="56">
        <v>0</v>
      </c>
      <c r="F57" s="56"/>
      <c r="G57" s="51"/>
      <c r="H57" s="49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4">
        <v>0.18272000000000002</v>
      </c>
      <c r="Z57" s="27"/>
      <c r="AA57" s="27"/>
      <c r="AB57" s="27"/>
      <c r="AC57" s="27"/>
      <c r="AD57" s="27"/>
      <c r="AE57" s="27"/>
      <c r="AF57" s="27"/>
      <c r="AG57" s="27"/>
      <c r="AH57" s="27"/>
      <c r="AI57" s="51"/>
      <c r="AJ57" s="51"/>
      <c r="AK57" s="51"/>
      <c r="AL57" s="27"/>
      <c r="AM57" s="27"/>
      <c r="AN57" s="27"/>
      <c r="AO57" s="27"/>
      <c r="AP57" s="51"/>
      <c r="AQ57" s="51"/>
      <c r="AR57" s="52">
        <v>0.44666098484848493</v>
      </c>
      <c r="AS57" s="52">
        <v>1.7075021704788883E-2</v>
      </c>
      <c r="AT57" s="24">
        <v>0.42335416666666659</v>
      </c>
      <c r="AU57" s="24">
        <v>0.16289972471585062</v>
      </c>
      <c r="AV57" s="24">
        <v>0.45184027777777791</v>
      </c>
      <c r="AW57" s="24">
        <v>6.9849444574795694E-2</v>
      </c>
    </row>
    <row r="58" spans="1:49">
      <c r="A58" s="50">
        <f>A57+1</f>
        <v>44431</v>
      </c>
      <c r="B58" s="62">
        <v>0.27182000674144152</v>
      </c>
      <c r="C58" s="61">
        <v>24.466666666666665</v>
      </c>
      <c r="D58" s="24">
        <v>4.6220359542410385</v>
      </c>
      <c r="E58" s="56">
        <v>12.4</v>
      </c>
      <c r="F58" s="56"/>
      <c r="G58" s="51"/>
      <c r="H58" s="49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4">
        <v>0.30941176470588244</v>
      </c>
      <c r="Z58" s="27"/>
      <c r="AA58" s="27"/>
      <c r="AB58" s="27"/>
      <c r="AC58" s="27"/>
      <c r="AD58" s="27"/>
      <c r="AE58" s="27"/>
      <c r="AF58" s="27"/>
      <c r="AG58" s="27"/>
      <c r="AH58" s="27"/>
      <c r="AI58" s="51"/>
      <c r="AJ58" s="51"/>
      <c r="AK58" s="51"/>
      <c r="AL58" s="27"/>
      <c r="AM58" s="27"/>
      <c r="AN58" s="27"/>
      <c r="AO58" s="27"/>
      <c r="AP58" s="51"/>
      <c r="AQ58" s="51"/>
      <c r="AR58" s="52">
        <v>0.44241571969696969</v>
      </c>
      <c r="AS58" s="52">
        <v>1.889568774460532E-2</v>
      </c>
      <c r="AT58" s="24">
        <v>0.4312083333333333</v>
      </c>
      <c r="AU58" s="24">
        <v>0.14908167970016403</v>
      </c>
      <c r="AV58" s="24">
        <v>0.44490624999999989</v>
      </c>
      <c r="AW58" s="24">
        <v>6.9087348785091027E-2</v>
      </c>
    </row>
    <row r="59" spans="1:49">
      <c r="A59" s="50">
        <f>A58+1</f>
        <v>44432</v>
      </c>
      <c r="B59" s="62">
        <v>0.36413263507644117</v>
      </c>
      <c r="C59" s="61">
        <v>21.341666666666665</v>
      </c>
      <c r="D59" s="24">
        <v>3.9346927145155401</v>
      </c>
      <c r="E59" s="56">
        <v>11.2</v>
      </c>
      <c r="F59" s="56">
        <f>SUM(E58:E59)</f>
        <v>23.6</v>
      </c>
      <c r="G59" s="51">
        <v>-6.14898609738602</v>
      </c>
      <c r="H59" s="51">
        <v>-37.599369754702451</v>
      </c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4">
        <v>0.30499999999999999</v>
      </c>
      <c r="Z59" s="27"/>
      <c r="AA59" s="27"/>
      <c r="AB59" s="27"/>
      <c r="AC59" s="27"/>
      <c r="AD59" s="27"/>
      <c r="AE59" s="27"/>
      <c r="AF59" s="27"/>
      <c r="AG59" s="27"/>
      <c r="AH59" s="27"/>
      <c r="AI59" s="51"/>
      <c r="AJ59" s="51"/>
      <c r="AK59" s="51"/>
      <c r="AL59" s="27"/>
      <c r="AM59" s="27"/>
      <c r="AN59" s="27"/>
      <c r="AO59" s="27"/>
      <c r="AP59" s="51"/>
      <c r="AQ59" s="51"/>
      <c r="AR59" s="52">
        <v>0.44058238636363634</v>
      </c>
      <c r="AS59" s="52">
        <v>1.8874260266387496E-2</v>
      </c>
      <c r="AT59" s="24">
        <v>0.4285000000000001</v>
      </c>
      <c r="AU59" s="24">
        <v>0.15037804213233874</v>
      </c>
      <c r="AV59" s="24">
        <v>0.44326736111111109</v>
      </c>
      <c r="AW59" s="24">
        <v>6.918047103292875E-2</v>
      </c>
    </row>
    <row r="60" spans="1:49">
      <c r="A60" s="50">
        <f>A59+1</f>
        <v>44433</v>
      </c>
      <c r="B60" s="62">
        <v>0.49167302714397509</v>
      </c>
      <c r="C60" s="61">
        <v>21.910416666666674</v>
      </c>
      <c r="D60" s="24">
        <v>4.0448217159439332</v>
      </c>
      <c r="E60" s="56">
        <v>0.2</v>
      </c>
      <c r="F60" s="56"/>
      <c r="G60" s="51"/>
      <c r="H60" s="49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4">
        <v>0.27324999999999999</v>
      </c>
      <c r="Z60" s="27"/>
      <c r="AA60" s="27"/>
      <c r="AB60" s="27"/>
      <c r="AC60" s="27"/>
      <c r="AD60" s="27"/>
      <c r="AE60" s="27"/>
      <c r="AF60" s="27"/>
      <c r="AG60" s="27"/>
      <c r="AH60" s="27"/>
      <c r="AI60" s="51"/>
      <c r="AJ60" s="51"/>
      <c r="AK60" s="51"/>
      <c r="AL60" s="27"/>
      <c r="AM60" s="27"/>
      <c r="AN60" s="27"/>
      <c r="AO60" s="27"/>
      <c r="AP60" s="51"/>
      <c r="AQ60" s="51"/>
      <c r="AR60" s="52">
        <v>0.43434185606060594</v>
      </c>
      <c r="AS60" s="52">
        <v>1.8385445919544611E-2</v>
      </c>
      <c r="AT60" s="24">
        <v>0.41802083333333317</v>
      </c>
      <c r="AU60" s="24">
        <v>0.14987717482899843</v>
      </c>
      <c r="AV60" s="24">
        <v>0.43796874999999996</v>
      </c>
      <c r="AW60" s="24">
        <v>6.8373505404647664E-2</v>
      </c>
    </row>
    <row r="61" spans="1:49">
      <c r="A61" s="50">
        <f>A60+1</f>
        <v>44434</v>
      </c>
      <c r="B61" s="62">
        <v>0.31524222487451653</v>
      </c>
      <c r="C61" s="61">
        <v>22.035416666666666</v>
      </c>
      <c r="D61" s="24">
        <v>4.3927248069362754</v>
      </c>
      <c r="E61" s="56">
        <v>1.8</v>
      </c>
      <c r="F61" s="56"/>
      <c r="G61" s="49"/>
      <c r="H61" s="49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4">
        <v>0.2597272727272727</v>
      </c>
      <c r="Z61" s="27"/>
      <c r="AA61" s="27"/>
      <c r="AB61" s="27"/>
      <c r="AC61" s="27"/>
      <c r="AD61" s="27"/>
      <c r="AE61" s="27"/>
      <c r="AF61" s="27"/>
      <c r="AG61" s="27"/>
      <c r="AH61" s="27"/>
      <c r="AI61" s="51"/>
      <c r="AJ61" s="51"/>
      <c r="AK61" s="51"/>
      <c r="AL61" s="27"/>
      <c r="AM61" s="27"/>
      <c r="AN61" s="27"/>
      <c r="AO61" s="27"/>
      <c r="AP61" s="51"/>
      <c r="AQ61" s="51"/>
      <c r="AR61" s="52">
        <v>0.42786647727272725</v>
      </c>
      <c r="AS61" s="52">
        <v>1.7868508007540741E-2</v>
      </c>
      <c r="AT61" s="24">
        <v>0.40728124999999993</v>
      </c>
      <c r="AU61" s="24">
        <v>0.14747595805121952</v>
      </c>
      <c r="AV61" s="24">
        <v>0.43244097222222216</v>
      </c>
      <c r="AW61" s="24">
        <v>6.7312447019305791E-2</v>
      </c>
    </row>
    <row r="62" spans="1:49">
      <c r="A62" s="50">
        <f>A61+1</f>
        <v>44435</v>
      </c>
      <c r="B62" s="62">
        <v>0.60415036549460588</v>
      </c>
      <c r="C62" s="61">
        <v>19.270833333333336</v>
      </c>
      <c r="D62" s="24">
        <v>3.8058877782400278</v>
      </c>
      <c r="E62" s="56">
        <v>0.7</v>
      </c>
      <c r="F62" s="56"/>
      <c r="G62" s="51"/>
      <c r="H62" s="49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4">
        <v>0.24835714285714286</v>
      </c>
      <c r="Z62" s="27"/>
      <c r="AA62" s="27"/>
      <c r="AB62" s="27"/>
      <c r="AC62" s="27"/>
      <c r="AD62" s="27"/>
      <c r="AE62" s="27"/>
      <c r="AF62" s="27"/>
      <c r="AG62" s="27"/>
      <c r="AH62" s="27"/>
      <c r="AI62" s="51"/>
      <c r="AJ62" s="51"/>
      <c r="AK62" s="51"/>
      <c r="AL62" s="27"/>
      <c r="AM62" s="27"/>
      <c r="AN62" s="27"/>
      <c r="AO62" s="27"/>
      <c r="AP62" s="51"/>
      <c r="AQ62" s="51"/>
      <c r="AR62" s="52">
        <v>0.41971212121212131</v>
      </c>
      <c r="AS62" s="52">
        <v>1.6661203531708055E-2</v>
      </c>
      <c r="AT62" s="24">
        <v>0.39679166666666676</v>
      </c>
      <c r="AU62" s="24">
        <v>0.14849242404917484</v>
      </c>
      <c r="AV62" s="24">
        <v>0.42480555555555566</v>
      </c>
      <c r="AW62" s="24">
        <v>6.5723470654762584E-2</v>
      </c>
    </row>
    <row r="63" spans="1:49">
      <c r="A63" s="50">
        <f>A62+1</f>
        <v>44436</v>
      </c>
      <c r="B63" s="62">
        <v>0.49799996863743634</v>
      </c>
      <c r="C63" s="61">
        <v>22.045833333333334</v>
      </c>
      <c r="D63" s="24">
        <v>3.9768882751893986</v>
      </c>
      <c r="E63" s="56">
        <v>1</v>
      </c>
      <c r="F63" s="56"/>
      <c r="G63" s="51"/>
      <c r="H63" s="49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4">
        <v>0.21958333333333335</v>
      </c>
      <c r="Z63" s="27"/>
      <c r="AA63" s="27"/>
      <c r="AB63" s="27"/>
      <c r="AC63" s="27"/>
      <c r="AD63" s="27"/>
      <c r="AE63" s="27"/>
      <c r="AF63" s="27"/>
      <c r="AG63" s="27"/>
      <c r="AH63" s="27"/>
      <c r="AI63" s="51"/>
      <c r="AJ63" s="51"/>
      <c r="AK63" s="51"/>
      <c r="AL63" s="27"/>
      <c r="AM63" s="27"/>
      <c r="AN63" s="27"/>
      <c r="AO63" s="27"/>
      <c r="AP63" s="51"/>
      <c r="AQ63" s="51"/>
      <c r="AR63" s="52">
        <v>0.40751231060606058</v>
      </c>
      <c r="AS63" s="52">
        <v>1.5099006447893458E-2</v>
      </c>
      <c r="AT63" s="24">
        <v>0.38258333333333339</v>
      </c>
      <c r="AU63" s="24">
        <v>0.14890490300486739</v>
      </c>
      <c r="AV63" s="24">
        <v>0.41305208333333338</v>
      </c>
      <c r="AW63" s="24">
        <v>6.360811928159478E-2</v>
      </c>
    </row>
    <row r="64" spans="1:49">
      <c r="A64" s="60">
        <f>A63+1</f>
        <v>44437</v>
      </c>
      <c r="B64" s="59">
        <v>0.53987922612846562</v>
      </c>
      <c r="C64" s="58">
        <v>21.412499999999998</v>
      </c>
      <c r="D64" s="57">
        <v>4.2580308413483303</v>
      </c>
      <c r="E64" s="56">
        <v>1.4</v>
      </c>
      <c r="F64" s="56"/>
      <c r="G64" s="51"/>
      <c r="H64" s="49"/>
      <c r="I64" s="24">
        <v>-8.3371735999999999</v>
      </c>
      <c r="J64" s="27"/>
      <c r="K64" s="54">
        <f>AVERAGE(I64:J64)</f>
        <v>-8.3371735999999999</v>
      </c>
      <c r="L64" s="54">
        <v>0</v>
      </c>
      <c r="M64" s="24">
        <v>-10.527595200000002</v>
      </c>
      <c r="N64" s="24">
        <v>-10.952281500000002</v>
      </c>
      <c r="O64" s="24">
        <v>-11.754122300000001</v>
      </c>
      <c r="P64" s="24">
        <v>-10.731155300000001</v>
      </c>
      <c r="Q64" s="51">
        <f>AVERAGE(M64:P64)</f>
        <v>-10.991288575000002</v>
      </c>
      <c r="R64" s="51">
        <f>STDEV(M64:P64)</f>
        <v>0.53731359889687813</v>
      </c>
      <c r="S64" s="51">
        <v>-10.469099499999999</v>
      </c>
      <c r="T64" s="51">
        <v>-9.988011199999999</v>
      </c>
      <c r="U64" s="51">
        <v>-10.3612869</v>
      </c>
      <c r="V64" s="51">
        <v>-10.598892900000001</v>
      </c>
      <c r="W64" s="51">
        <f>AVERAGE(S64:V64)</f>
        <v>-10.354322625</v>
      </c>
      <c r="X64" s="51">
        <f>STDEV(S64:V64)</f>
        <v>0.26281863940757599</v>
      </c>
      <c r="Y64" s="24">
        <v>0.19400000000000001</v>
      </c>
      <c r="Z64" s="24">
        <v>-12.179841900000001</v>
      </c>
      <c r="AA64" s="24">
        <v>-11.155711450200371</v>
      </c>
      <c r="AB64" s="24">
        <v>-10.660890900000002</v>
      </c>
      <c r="AC64" s="24">
        <v>-10.047110700000001</v>
      </c>
      <c r="AD64" s="24">
        <v>-11.484431000000002</v>
      </c>
      <c r="AE64" s="24">
        <v>-12.219107300000003</v>
      </c>
      <c r="AF64" s="24">
        <v>-9.8349751211157326</v>
      </c>
      <c r="AG64" s="24">
        <v>-9.8094517000000003</v>
      </c>
      <c r="AH64" s="51">
        <f>AVERAGE(Z64,AD64)</f>
        <v>-11.832136450000002</v>
      </c>
      <c r="AI64" s="51">
        <f>STDEV(Z64,AD64)</f>
        <v>0.49172976310103922</v>
      </c>
      <c r="AJ64" s="51">
        <f>AVERAGE(AA64:AC64,AE64:AG64)</f>
        <v>-10.621207861886019</v>
      </c>
      <c r="AK64" s="51">
        <f>STDEV(AA64:AC64,AE64:AG64)</f>
        <v>0.94310646101747353</v>
      </c>
      <c r="AL64" s="51">
        <v>-10.084309500000002</v>
      </c>
      <c r="AM64" s="51">
        <v>-9.9303478000000016</v>
      </c>
      <c r="AN64" s="51">
        <v>-10.631958500000001</v>
      </c>
      <c r="AO64" s="51">
        <v>-10.135974500000001</v>
      </c>
      <c r="AP64" s="51">
        <f>AVERAGE(AL64:AO64)</f>
        <v>-10.195647575000002</v>
      </c>
      <c r="AQ64" s="51">
        <f>STDEV(AL64:AO64)</f>
        <v>0.30370393297533887</v>
      </c>
      <c r="AR64" s="52">
        <v>0.3971723484848485</v>
      </c>
      <c r="AS64" s="52">
        <v>1.3791260667914931E-2</v>
      </c>
      <c r="AT64" s="24">
        <v>0.37222916666666661</v>
      </c>
      <c r="AU64" s="24">
        <v>0.14696035935660395</v>
      </c>
      <c r="AV64" s="24">
        <v>0.40271527777777777</v>
      </c>
      <c r="AW64" s="24">
        <v>6.1573841547876332E-2</v>
      </c>
    </row>
    <row r="65" spans="1:49">
      <c r="A65" s="50">
        <f>A64+1</f>
        <v>44438</v>
      </c>
      <c r="B65" s="62">
        <v>0.61872504115739979</v>
      </c>
      <c r="C65" s="61">
        <v>21.947916666666661</v>
      </c>
      <c r="D65" s="24">
        <v>3.7993868231680765</v>
      </c>
      <c r="E65" s="56">
        <v>0</v>
      </c>
      <c r="F65" s="56"/>
      <c r="G65" s="51"/>
      <c r="H65" s="49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4">
        <v>0.17666666666666664</v>
      </c>
      <c r="Z65" s="27"/>
      <c r="AA65" s="27"/>
      <c r="AB65" s="27"/>
      <c r="AC65" s="27"/>
      <c r="AD65" s="27"/>
      <c r="AE65" s="27"/>
      <c r="AF65" s="27"/>
      <c r="AG65" s="27"/>
      <c r="AH65" s="27"/>
      <c r="AI65" s="51"/>
      <c r="AJ65" s="51"/>
      <c r="AK65" s="51"/>
      <c r="AL65" s="27"/>
      <c r="AM65" s="27"/>
      <c r="AN65" s="27"/>
      <c r="AO65" s="27"/>
      <c r="AP65" s="51"/>
      <c r="AQ65" s="51"/>
      <c r="AR65" s="52">
        <v>0.38574526515151508</v>
      </c>
      <c r="AS65" s="52">
        <v>1.2187547845053324E-2</v>
      </c>
      <c r="AT65" s="24">
        <v>0.36270833333333324</v>
      </c>
      <c r="AU65" s="24">
        <v>0.1446917251002971</v>
      </c>
      <c r="AV65" s="24">
        <v>0.39086458333333329</v>
      </c>
      <c r="AW65" s="24">
        <v>5.908974863795962E-2</v>
      </c>
    </row>
    <row r="66" spans="1:49">
      <c r="A66" s="50">
        <f>A65+1</f>
        <v>44439</v>
      </c>
      <c r="B66" s="62">
        <v>0.75151568205956576</v>
      </c>
      <c r="C66" s="61">
        <v>22.804166666666671</v>
      </c>
      <c r="D66" s="24">
        <v>4.0125858255950622</v>
      </c>
      <c r="E66" s="56">
        <v>0</v>
      </c>
      <c r="F66" s="56"/>
      <c r="G66" s="51"/>
      <c r="H66" s="49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4">
        <v>0.16264705882352942</v>
      </c>
      <c r="Z66" s="27"/>
      <c r="AA66" s="27"/>
      <c r="AB66" s="27"/>
      <c r="AC66" s="27"/>
      <c r="AD66" s="27"/>
      <c r="AE66" s="27"/>
      <c r="AF66" s="27"/>
      <c r="AG66" s="27"/>
      <c r="AH66" s="27"/>
      <c r="AI66" s="51"/>
      <c r="AJ66" s="51"/>
      <c r="AK66" s="51"/>
      <c r="AL66" s="27"/>
      <c r="AM66" s="27"/>
      <c r="AN66" s="27"/>
      <c r="AO66" s="27"/>
      <c r="AP66" s="51"/>
      <c r="AQ66" s="51"/>
      <c r="AR66" s="52">
        <v>0.3750767045454545</v>
      </c>
      <c r="AS66" s="52">
        <v>1.0838955934722228E-2</v>
      </c>
      <c r="AT66" s="24">
        <v>0.35443750000000002</v>
      </c>
      <c r="AU66" s="24">
        <v>0.14251147919163876</v>
      </c>
      <c r="AV66" s="24">
        <v>0.37966319444444441</v>
      </c>
      <c r="AW66" s="24">
        <v>5.6793817849736888E-2</v>
      </c>
    </row>
    <row r="67" spans="1:49">
      <c r="A67" s="50">
        <f>A66+1</f>
        <v>44440</v>
      </c>
      <c r="B67" s="62">
        <v>0.72828064749509946</v>
      </c>
      <c r="C67" s="61">
        <v>23.731249999999999</v>
      </c>
      <c r="D67" s="24">
        <v>4.6138418443977063</v>
      </c>
      <c r="E67" s="56">
        <v>0</v>
      </c>
      <c r="F67" s="56"/>
      <c r="G67" s="51"/>
      <c r="H67" s="49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4">
        <v>0.15229999999999999</v>
      </c>
      <c r="Z67" s="27"/>
      <c r="AA67" s="27"/>
      <c r="AB67" s="27"/>
      <c r="AC67" s="27"/>
      <c r="AD67" s="27"/>
      <c r="AE67" s="27"/>
      <c r="AF67" s="27"/>
      <c r="AG67" s="27"/>
      <c r="AH67" s="27"/>
      <c r="AI67" s="51"/>
      <c r="AJ67" s="51"/>
      <c r="AK67" s="51"/>
      <c r="AL67" s="27"/>
      <c r="AM67" s="27"/>
      <c r="AN67" s="27"/>
      <c r="AO67" s="27"/>
      <c r="AP67" s="51"/>
      <c r="AQ67" s="51"/>
      <c r="AR67" s="52">
        <v>0.36515719696969701</v>
      </c>
      <c r="AS67" s="52">
        <v>9.6771848501023203E-3</v>
      </c>
      <c r="AT67" s="24">
        <v>0.34614583333333321</v>
      </c>
      <c r="AU67" s="24">
        <v>0.1398892915447387</v>
      </c>
      <c r="AV67" s="24">
        <v>0.36938194444444444</v>
      </c>
      <c r="AW67" s="24">
        <v>5.4460387404941447E-2</v>
      </c>
    </row>
    <row r="68" spans="1:49">
      <c r="A68" s="50">
        <f>A67+1</f>
        <v>44441</v>
      </c>
      <c r="B68" s="62">
        <v>0.62287977460016963</v>
      </c>
      <c r="C68" s="61">
        <v>23.477083333333326</v>
      </c>
      <c r="D68" s="24">
        <v>4.6203974516576976</v>
      </c>
      <c r="E68" s="56">
        <v>0</v>
      </c>
      <c r="F68" s="56"/>
      <c r="G68" s="51"/>
      <c r="H68" s="49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4">
        <v>0.14307692307692307</v>
      </c>
      <c r="Z68" s="27"/>
      <c r="AA68" s="27"/>
      <c r="AB68" s="27"/>
      <c r="AC68" s="27"/>
      <c r="AD68" s="27"/>
      <c r="AE68" s="27"/>
      <c r="AF68" s="27"/>
      <c r="AG68" s="27"/>
      <c r="AH68" s="27"/>
      <c r="AI68" s="51"/>
      <c r="AJ68" s="51"/>
      <c r="AK68" s="51"/>
      <c r="AL68" s="27"/>
      <c r="AM68" s="27"/>
      <c r="AN68" s="27"/>
      <c r="AO68" s="27"/>
      <c r="AP68" s="51"/>
      <c r="AQ68" s="51"/>
      <c r="AR68" s="52">
        <v>0.35749337121212121</v>
      </c>
      <c r="AS68" s="52">
        <v>8.6854943738358253E-3</v>
      </c>
      <c r="AT68" s="24">
        <v>0.33941666666666676</v>
      </c>
      <c r="AU68" s="24">
        <v>0.13738495502803647</v>
      </c>
      <c r="AV68" s="24">
        <v>0.36151041666666672</v>
      </c>
      <c r="AW68" s="24">
        <v>5.2579554060569161E-2</v>
      </c>
    </row>
    <row r="69" spans="1:49">
      <c r="A69" s="50">
        <f>A68+1</f>
        <v>44442</v>
      </c>
      <c r="B69" s="62">
        <v>0.63930404649074513</v>
      </c>
      <c r="C69" s="61">
        <v>23.018750000000001</v>
      </c>
      <c r="D69" s="24">
        <v>4.0491728093340766</v>
      </c>
      <c r="E69" s="56">
        <v>0</v>
      </c>
      <c r="F69" s="56"/>
      <c r="G69" s="51"/>
      <c r="H69" s="49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4">
        <v>0.13800000000000001</v>
      </c>
      <c r="Z69" s="27"/>
      <c r="AA69" s="27"/>
      <c r="AB69" s="27"/>
      <c r="AC69" s="27"/>
      <c r="AD69" s="27"/>
      <c r="AE69" s="27"/>
      <c r="AF69" s="27"/>
      <c r="AG69" s="27"/>
      <c r="AH69" s="27"/>
      <c r="AI69" s="51"/>
      <c r="AJ69" s="51"/>
      <c r="AK69" s="51"/>
      <c r="AL69" s="27"/>
      <c r="AM69" s="27"/>
      <c r="AN69" s="27"/>
      <c r="AO69" s="27"/>
      <c r="AP69" s="51"/>
      <c r="AQ69" s="51"/>
      <c r="AR69" s="52">
        <v>0.35133617424242425</v>
      </c>
      <c r="AS69" s="52">
        <v>8.0748112446292746E-3</v>
      </c>
      <c r="AT69" s="24">
        <v>0.33414583333333342</v>
      </c>
      <c r="AU69" s="24">
        <v>0.13535202303212521</v>
      </c>
      <c r="AV69" s="24">
        <v>0.35515625000000001</v>
      </c>
      <c r="AW69" s="24">
        <v>5.138221892712537E-2</v>
      </c>
    </row>
    <row r="70" spans="1:49">
      <c r="A70" s="50">
        <f>A69+1</f>
        <v>44443</v>
      </c>
      <c r="B70" s="62">
        <v>0.64863556870670258</v>
      </c>
      <c r="C70" s="61">
        <v>23.229166666666661</v>
      </c>
      <c r="D70" s="24">
        <v>3.9344985035312812</v>
      </c>
      <c r="E70" s="56">
        <v>0</v>
      </c>
      <c r="F70" s="56"/>
      <c r="G70" s="51"/>
      <c r="H70" s="49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4">
        <v>0.17933333333333334</v>
      </c>
      <c r="Z70" s="27"/>
      <c r="AA70" s="27"/>
      <c r="AB70" s="27"/>
      <c r="AC70" s="27"/>
      <c r="AD70" s="27"/>
      <c r="AE70" s="27"/>
      <c r="AF70" s="27"/>
      <c r="AG70" s="27"/>
      <c r="AH70" s="27"/>
      <c r="AI70" s="51"/>
      <c r="AJ70" s="51"/>
      <c r="AK70" s="51"/>
      <c r="AL70" s="27"/>
      <c r="AM70" s="27"/>
      <c r="AN70" s="27"/>
      <c r="AO70" s="27"/>
      <c r="AP70" s="51"/>
      <c r="AQ70" s="51"/>
      <c r="AR70" s="52">
        <v>0.34773579545454547</v>
      </c>
      <c r="AS70" s="52">
        <v>8.1029348097902271E-3</v>
      </c>
      <c r="AT70" s="24">
        <v>0.331125</v>
      </c>
      <c r="AU70" s="24">
        <v>0.13314231434091678</v>
      </c>
      <c r="AV70" s="24">
        <v>0.35142708333333333</v>
      </c>
      <c r="AW70" s="24">
        <v>5.0995322072361585E-2</v>
      </c>
    </row>
    <row r="71" spans="1:49">
      <c r="A71" s="50">
        <f>A70+1</f>
        <v>44444</v>
      </c>
      <c r="B71" s="62">
        <v>0.59986442047816524</v>
      </c>
      <c r="C71" s="61">
        <v>23.135416666666661</v>
      </c>
      <c r="D71" s="24">
        <v>4.3484025732317315</v>
      </c>
      <c r="E71" s="56">
        <v>8.5</v>
      </c>
      <c r="F71" s="56">
        <f>E71</f>
        <v>8.5</v>
      </c>
      <c r="G71" s="51">
        <v>-10.304</v>
      </c>
      <c r="H71" s="51">
        <v>-65.900000000000006</v>
      </c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4">
        <v>0.21162499999999998</v>
      </c>
      <c r="Z71" s="27"/>
      <c r="AA71" s="27"/>
      <c r="AB71" s="27"/>
      <c r="AC71" s="27"/>
      <c r="AD71" s="27"/>
      <c r="AE71" s="27"/>
      <c r="AF71" s="27"/>
      <c r="AG71" s="27"/>
      <c r="AH71" s="27"/>
      <c r="AI71" s="51"/>
      <c r="AJ71" s="51"/>
      <c r="AK71" s="51"/>
      <c r="AL71" s="27"/>
      <c r="AM71" s="27"/>
      <c r="AN71" s="27"/>
      <c r="AO71" s="27"/>
      <c r="AP71" s="51"/>
      <c r="AQ71" s="51"/>
      <c r="AR71" s="52">
        <v>0.34597443181818194</v>
      </c>
      <c r="AS71" s="52">
        <v>8.2087329834903983E-3</v>
      </c>
      <c r="AT71" s="24">
        <v>0.32981250000000017</v>
      </c>
      <c r="AU71" s="24">
        <v>0.13096206843225858</v>
      </c>
      <c r="AV71" s="24">
        <v>0.34956597222222224</v>
      </c>
      <c r="AW71" s="24">
        <v>5.1200042413764746E-2</v>
      </c>
    </row>
    <row r="72" spans="1:49">
      <c r="A72" s="60">
        <f>A71+1</f>
        <v>44445</v>
      </c>
      <c r="B72" s="59">
        <v>0.59043666973273157</v>
      </c>
      <c r="C72" s="58">
        <v>22.070833333333329</v>
      </c>
      <c r="D72" s="57">
        <v>5.3307414205641965</v>
      </c>
      <c r="E72" s="56">
        <v>9.8999999999999986</v>
      </c>
      <c r="F72" s="56">
        <f>E72</f>
        <v>9.8999999999999986</v>
      </c>
      <c r="G72" s="51">
        <v>-11.167</v>
      </c>
      <c r="H72" s="51">
        <v>-81.165000000000006</v>
      </c>
      <c r="I72" s="24">
        <v>-8.0220015999999994</v>
      </c>
      <c r="J72" s="27"/>
      <c r="K72" s="54">
        <f>AVERAGE(I72:J72)</f>
        <v>-8.0220015999999994</v>
      </c>
      <c r="L72" s="54">
        <v>0</v>
      </c>
      <c r="M72" s="24">
        <v>-10.4126718</v>
      </c>
      <c r="N72" s="24">
        <v>-9.9249221999999993</v>
      </c>
      <c r="O72" s="24">
        <v>-10.129193399999998</v>
      </c>
      <c r="P72" s="24">
        <v>-8.4648000000000003</v>
      </c>
      <c r="Q72" s="51">
        <f>AVERAGE(M72:P72)</f>
        <v>-9.7328968499999995</v>
      </c>
      <c r="R72" s="51">
        <f>STDEV(M72:P72)</f>
        <v>0.86873246633854373</v>
      </c>
      <c r="S72" s="51">
        <v>-9.1646725000000018</v>
      </c>
      <c r="T72" s="51">
        <v>-9.5325272999999999</v>
      </c>
      <c r="U72" s="51">
        <v>-9.6089915000000019</v>
      </c>
      <c r="V72" s="51">
        <v>-9.7939521999999997</v>
      </c>
      <c r="W72" s="51">
        <f>AVERAGE(S72:V72)</f>
        <v>-9.5250358750000004</v>
      </c>
      <c r="X72" s="51">
        <f>STDEV(S72:V72)</f>
        <v>0.26412271157586731</v>
      </c>
      <c r="Y72" s="24">
        <v>0.21622727272727274</v>
      </c>
      <c r="Z72" s="24">
        <v>-10.907716799999999</v>
      </c>
      <c r="AA72" s="24">
        <v>-11.396508600000001</v>
      </c>
      <c r="AB72" s="24">
        <v>-10.9994304</v>
      </c>
      <c r="AC72" s="24">
        <v>-10.7638932</v>
      </c>
      <c r="AD72" s="24">
        <v>-10.9098012</v>
      </c>
      <c r="AE72" s="24">
        <v>-10.86628722803429</v>
      </c>
      <c r="AF72" s="24">
        <v>-10.6857282</v>
      </c>
      <c r="AG72" s="24">
        <v>-10.783695</v>
      </c>
      <c r="AH72" s="51">
        <f>AVERAGE(Z72,AD72)</f>
        <v>-10.908759</v>
      </c>
      <c r="AI72" s="51">
        <f>STDEV(Z72,AD72)</f>
        <v>1.4738933747060149E-3</v>
      </c>
      <c r="AJ72" s="51">
        <f>AVERAGE(AA72:AC72,AE72:AG72)</f>
        <v>-10.915923771339047</v>
      </c>
      <c r="AK72" s="51">
        <f>STDEV(AA72:AC72,AE72:AG72)</f>
        <v>0.25845180001550111</v>
      </c>
      <c r="AL72" s="51">
        <v>-9.1791387000000011</v>
      </c>
      <c r="AM72" s="51">
        <v>-9.5614597000000003</v>
      </c>
      <c r="AN72" s="51">
        <v>-9.4027799999999999</v>
      </c>
      <c r="AO72" s="51">
        <v>-9.2808425999999997</v>
      </c>
      <c r="AP72" s="51">
        <f>AVERAGE(AL72:AO72)</f>
        <v>-9.3560552500000007</v>
      </c>
      <c r="AQ72" s="51">
        <f>STDEV(AL72:AO72)</f>
        <v>0.16465175242137547</v>
      </c>
      <c r="AR72" s="52">
        <v>0.34428693181818182</v>
      </c>
      <c r="AS72" s="52">
        <v>8.3948842005073469E-3</v>
      </c>
      <c r="AT72" s="24">
        <v>0.32693750000000021</v>
      </c>
      <c r="AU72" s="24">
        <v>0.12683727887533688</v>
      </c>
      <c r="AV72" s="24">
        <v>0.34814236111111102</v>
      </c>
      <c r="AW72" s="24">
        <v>5.1467919850396573E-2</v>
      </c>
    </row>
    <row r="73" spans="1:49">
      <c r="A73" s="50">
        <f>A72+1</f>
        <v>44446</v>
      </c>
      <c r="B73" s="62">
        <v>0.66275833731216927</v>
      </c>
      <c r="C73" s="61">
        <v>19.86666666666666</v>
      </c>
      <c r="D73" s="24">
        <v>4.4626669144928357</v>
      </c>
      <c r="E73" s="56">
        <v>0</v>
      </c>
      <c r="F73" s="56"/>
      <c r="G73" s="51"/>
      <c r="H73" s="49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4">
        <v>0.19541666666666671</v>
      </c>
      <c r="Z73" s="27"/>
      <c r="AA73" s="27"/>
      <c r="AB73" s="27"/>
      <c r="AC73" s="27"/>
      <c r="AD73" s="27"/>
      <c r="AE73" s="27"/>
      <c r="AF73" s="27"/>
      <c r="AG73" s="27"/>
      <c r="AH73" s="27"/>
      <c r="AI73" s="51"/>
      <c r="AJ73" s="51"/>
      <c r="AK73" s="51"/>
      <c r="AL73" s="27"/>
      <c r="AM73" s="27"/>
      <c r="AN73" s="27"/>
      <c r="AO73" s="27"/>
      <c r="AP73" s="51"/>
      <c r="AQ73" s="51"/>
      <c r="AR73" s="52">
        <v>0.34259848484848487</v>
      </c>
      <c r="AS73" s="52">
        <v>8.3593949397092228E-3</v>
      </c>
      <c r="AT73" s="24">
        <v>0.3252604166666665</v>
      </c>
      <c r="AU73" s="24">
        <v>0.12711717530955677</v>
      </c>
      <c r="AV73" s="24">
        <v>0.34645138888888893</v>
      </c>
      <c r="AW73" s="24">
        <v>5.1369724091537637E-2</v>
      </c>
    </row>
    <row r="74" spans="1:49">
      <c r="A74" s="50">
        <f>A73+1</f>
        <v>44447</v>
      </c>
      <c r="B74" s="62">
        <v>0.6918632154290022</v>
      </c>
      <c r="C74" s="61">
        <v>20.818750000000005</v>
      </c>
      <c r="D74" s="24">
        <v>4.8693454612398597</v>
      </c>
      <c r="E74" s="56">
        <v>0</v>
      </c>
      <c r="F74" s="56"/>
      <c r="G74" s="51"/>
      <c r="H74" s="49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4">
        <v>0.16269999999999993</v>
      </c>
      <c r="Z74" s="27"/>
      <c r="AA74" s="27"/>
      <c r="AB74" s="27"/>
      <c r="AC74" s="27"/>
      <c r="AD74" s="27"/>
      <c r="AE74" s="27"/>
      <c r="AF74" s="27"/>
      <c r="AG74" s="27"/>
      <c r="AH74" s="27"/>
      <c r="AI74" s="51"/>
      <c r="AJ74" s="51"/>
      <c r="AK74" s="51"/>
      <c r="AL74" s="27"/>
      <c r="AM74" s="27"/>
      <c r="AN74" s="27"/>
      <c r="AO74" s="27"/>
      <c r="AP74" s="51"/>
      <c r="AQ74" s="51"/>
      <c r="AR74" s="52">
        <v>0.34072537878787873</v>
      </c>
      <c r="AS74" s="52">
        <v>8.3433243310459225E-3</v>
      </c>
      <c r="AT74" s="24">
        <v>0.32452083333333315</v>
      </c>
      <c r="AU74" s="24">
        <v>0.12804525295986377</v>
      </c>
      <c r="AV74" s="24">
        <v>0.34432638888888883</v>
      </c>
      <c r="AW74" s="24">
        <v>5.143391402152956E-2</v>
      </c>
    </row>
    <row r="75" spans="1:49">
      <c r="A75" s="50">
        <f>A74+1</f>
        <v>44448</v>
      </c>
      <c r="B75" s="62">
        <v>0.85322279720821281</v>
      </c>
      <c r="C75" s="61">
        <v>22.574999999999992</v>
      </c>
      <c r="D75" s="24">
        <v>4.7925810302434728</v>
      </c>
      <c r="E75" s="56">
        <v>0</v>
      </c>
      <c r="F75" s="56"/>
      <c r="G75" s="51"/>
      <c r="H75" s="49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4">
        <v>0.14829999999999993</v>
      </c>
      <c r="Z75" s="27"/>
      <c r="AA75" s="27"/>
      <c r="AB75" s="27"/>
      <c r="AC75" s="27"/>
      <c r="AD75" s="27"/>
      <c r="AE75" s="27"/>
      <c r="AF75" s="27"/>
      <c r="AG75" s="27"/>
      <c r="AH75" s="27"/>
      <c r="AI75" s="51"/>
      <c r="AJ75" s="51"/>
      <c r="AK75" s="51"/>
      <c r="AL75" s="27"/>
      <c r="AM75" s="27"/>
      <c r="AN75" s="27"/>
      <c r="AO75" s="27"/>
      <c r="AP75" s="51"/>
      <c r="AQ75" s="51"/>
      <c r="AR75" s="52">
        <v>0.3384337121212122</v>
      </c>
      <c r="AS75" s="52">
        <v>8.3111831137191242E-3</v>
      </c>
      <c r="AT75" s="24">
        <v>0.32276041666666677</v>
      </c>
      <c r="AU75" s="24">
        <v>0.12826622382898478</v>
      </c>
      <c r="AV75" s="24">
        <v>0.3419166666666667</v>
      </c>
      <c r="AW75" s="24">
        <v>5.1537474566787547E-2</v>
      </c>
    </row>
    <row r="76" spans="1:49">
      <c r="A76" s="50">
        <f>A75+1</f>
        <v>44449</v>
      </c>
      <c r="B76" s="62">
        <v>1.0168219396142339</v>
      </c>
      <c r="C76" s="61">
        <v>23.375</v>
      </c>
      <c r="D76" s="24">
        <v>5.2330334227082789</v>
      </c>
      <c r="E76" s="56">
        <v>0</v>
      </c>
      <c r="F76" s="56"/>
      <c r="G76" s="51"/>
      <c r="H76" s="49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4">
        <v>0.13704000000000002</v>
      </c>
      <c r="Z76" s="27"/>
      <c r="AA76" s="27"/>
      <c r="AB76" s="27"/>
      <c r="AC76" s="27"/>
      <c r="AD76" s="27"/>
      <c r="AE76" s="27"/>
      <c r="AF76" s="27"/>
      <c r="AG76" s="27"/>
      <c r="AH76" s="27"/>
      <c r="AI76" s="51"/>
      <c r="AJ76" s="51"/>
      <c r="AK76" s="51"/>
      <c r="AL76" s="27"/>
      <c r="AM76" s="27"/>
      <c r="AN76" s="27"/>
      <c r="AO76" s="27"/>
      <c r="AP76" s="51"/>
      <c r="AQ76" s="51"/>
      <c r="AR76" s="52">
        <v>0.33532954545454546</v>
      </c>
      <c r="AS76" s="52">
        <v>8.2147594617391264E-3</v>
      </c>
      <c r="AT76" s="24">
        <v>0.32018749999999996</v>
      </c>
      <c r="AU76" s="24">
        <v>0.12831041800280912</v>
      </c>
      <c r="AV76" s="24">
        <v>0.33869444444444446</v>
      </c>
      <c r="AW76" s="24">
        <v>5.1394735778488777E-2</v>
      </c>
    </row>
    <row r="77" spans="1:49">
      <c r="A77" s="50">
        <f>A76+1</f>
        <v>44450</v>
      </c>
      <c r="B77" s="62">
        <v>0.99364804801400775</v>
      </c>
      <c r="C77" s="61">
        <v>24.264583333333334</v>
      </c>
      <c r="D77" s="24">
        <v>5.0869428691821303</v>
      </c>
      <c r="E77" s="56">
        <v>0</v>
      </c>
      <c r="F77" s="56"/>
      <c r="G77" s="51"/>
      <c r="H77" s="49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4">
        <v>0.12934782608695655</v>
      </c>
      <c r="Z77" s="27"/>
      <c r="AA77" s="27"/>
      <c r="AB77" s="27"/>
      <c r="AC77" s="27"/>
      <c r="AD77" s="27"/>
      <c r="AE77" s="27"/>
      <c r="AF77" s="27"/>
      <c r="AG77" s="27"/>
      <c r="AH77" s="27"/>
      <c r="AI77" s="51"/>
      <c r="AJ77" s="51"/>
      <c r="AK77" s="51"/>
      <c r="AL77" s="27"/>
      <c r="AM77" s="27"/>
      <c r="AN77" s="27"/>
      <c r="AO77" s="27"/>
      <c r="AP77" s="51"/>
      <c r="AQ77" s="51"/>
      <c r="AR77" s="52">
        <v>0.33225284090909102</v>
      </c>
      <c r="AS77" s="52">
        <v>8.2248035921538166E-3</v>
      </c>
      <c r="AT77" s="24">
        <v>0.31778125000000007</v>
      </c>
      <c r="AU77" s="24">
        <v>0.12835461217663297</v>
      </c>
      <c r="AV77" s="24">
        <v>0.33546875000000015</v>
      </c>
      <c r="AW77" s="24">
        <v>5.1328474387868486E-2</v>
      </c>
    </row>
    <row r="78" spans="1:49">
      <c r="A78" s="50">
        <f>A77+1</f>
        <v>44451</v>
      </c>
      <c r="B78" s="62">
        <v>0.3940462378737502</v>
      </c>
      <c r="C78" s="61">
        <v>24.572916666666661</v>
      </c>
      <c r="D78" s="24">
        <v>5.7325411286350274</v>
      </c>
      <c r="E78" s="56">
        <v>1</v>
      </c>
      <c r="F78" s="56"/>
      <c r="G78" s="51"/>
      <c r="H78" s="49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4">
        <v>0.28871428571428576</v>
      </c>
      <c r="Z78" s="27"/>
      <c r="AA78" s="27"/>
      <c r="AB78" s="27"/>
      <c r="AC78" s="27"/>
      <c r="AD78" s="27"/>
      <c r="AE78" s="27"/>
      <c r="AF78" s="27"/>
      <c r="AG78" s="27"/>
      <c r="AH78" s="27"/>
      <c r="AI78" s="51"/>
      <c r="AJ78" s="51"/>
      <c r="AK78" s="51"/>
      <c r="AL78" s="27"/>
      <c r="AM78" s="27"/>
      <c r="AN78" s="27"/>
      <c r="AO78" s="27"/>
      <c r="AP78" s="51"/>
      <c r="AQ78" s="51"/>
      <c r="AR78" s="52">
        <v>0.45423863636363637</v>
      </c>
      <c r="AS78" s="52">
        <v>6.2896344656109993E-2</v>
      </c>
      <c r="AT78" s="24">
        <v>0.44159375000000012</v>
      </c>
      <c r="AU78" s="24">
        <v>4.6801630079784932E-2</v>
      </c>
      <c r="AV78" s="24">
        <v>0.457048611111111</v>
      </c>
      <c r="AW78" s="24">
        <v>0.1325187504203198</v>
      </c>
    </row>
    <row r="79" spans="1:49">
      <c r="A79" s="50">
        <f>A78+1</f>
        <v>44452</v>
      </c>
      <c r="B79" s="62">
        <v>0.54425011648052057</v>
      </c>
      <c r="C79" s="61">
        <v>21.404166666666672</v>
      </c>
      <c r="D79" s="24">
        <v>4.1399293616475532</v>
      </c>
      <c r="E79" s="56">
        <v>64.5</v>
      </c>
      <c r="F79" s="56">
        <f>SUM(E79)</f>
        <v>64.5</v>
      </c>
      <c r="G79" s="51">
        <v>-7.3201000000000001</v>
      </c>
      <c r="H79" s="51">
        <v>-40.920999999999999</v>
      </c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4">
        <v>0.28265384615384614</v>
      </c>
      <c r="Z79" s="27"/>
      <c r="AA79" s="27"/>
      <c r="AB79" s="27"/>
      <c r="AC79" s="27"/>
      <c r="AD79" s="27"/>
      <c r="AE79" s="27"/>
      <c r="AF79" s="27"/>
      <c r="AG79" s="27"/>
      <c r="AH79" s="27"/>
      <c r="AI79" s="51"/>
      <c r="AJ79" s="51"/>
      <c r="AK79" s="51"/>
      <c r="AL79" s="27"/>
      <c r="AM79" s="27"/>
      <c r="AN79" s="27"/>
      <c r="AO79" s="27"/>
      <c r="AP79" s="51"/>
      <c r="AQ79" s="51"/>
      <c r="AR79" s="52">
        <v>0.44645265151515151</v>
      </c>
      <c r="AS79" s="52">
        <v>5.8926904316267556E-2</v>
      </c>
      <c r="AT79" s="24">
        <v>0.43314583333333329</v>
      </c>
      <c r="AU79" s="24">
        <v>5.5773047366088797E-2</v>
      </c>
      <c r="AV79" s="24">
        <v>0.4494097222222222</v>
      </c>
      <c r="AW79" s="24">
        <v>0.12633219523637165</v>
      </c>
    </row>
    <row r="80" spans="1:49">
      <c r="A80" s="50">
        <f>A79+1</f>
        <v>44453</v>
      </c>
      <c r="B80" s="62">
        <v>0.59185390682457051</v>
      </c>
      <c r="C80" s="61">
        <v>22.362500000000001</v>
      </c>
      <c r="D80" s="24">
        <v>4.1940195427896487</v>
      </c>
      <c r="E80" s="56">
        <v>5</v>
      </c>
      <c r="F80" s="56"/>
      <c r="G80" s="51"/>
      <c r="H80" s="49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4">
        <v>0.25600000000000006</v>
      </c>
      <c r="Z80" s="27"/>
      <c r="AA80" s="27"/>
      <c r="AB80" s="27"/>
      <c r="AC80" s="27"/>
      <c r="AD80" s="27"/>
      <c r="AE80" s="27"/>
      <c r="AF80" s="27"/>
      <c r="AG80" s="27"/>
      <c r="AH80" s="27"/>
      <c r="AI80" s="51"/>
      <c r="AJ80" s="51"/>
      <c r="AK80" s="51"/>
      <c r="AL80" s="27"/>
      <c r="AM80" s="27"/>
      <c r="AN80" s="27"/>
      <c r="AO80" s="27"/>
      <c r="AP80" s="51"/>
      <c r="AQ80" s="51"/>
      <c r="AR80" s="52">
        <v>0.43903124999999982</v>
      </c>
      <c r="AS80" s="52">
        <v>5.6133966452319523E-2</v>
      </c>
      <c r="AT80" s="24">
        <v>0.42084374999999985</v>
      </c>
      <c r="AU80" s="24">
        <v>6.4420374044349762E-2</v>
      </c>
      <c r="AV80" s="24">
        <v>0.44307291666666648</v>
      </c>
      <c r="AW80" s="24">
        <v>0.12234170522982629</v>
      </c>
    </row>
    <row r="81" spans="1:49">
      <c r="A81" s="60">
        <f>A80+1</f>
        <v>44454</v>
      </c>
      <c r="B81" s="59">
        <v>0.42651585903287459</v>
      </c>
      <c r="C81" s="58">
        <v>22.602083333333336</v>
      </c>
      <c r="D81" s="57">
        <v>4.1954648606642273</v>
      </c>
      <c r="E81" s="56">
        <v>0</v>
      </c>
      <c r="F81" s="56"/>
      <c r="G81" s="51"/>
      <c r="H81" s="49"/>
      <c r="I81" s="24">
        <v>-7.9926580000000005</v>
      </c>
      <c r="J81" s="27"/>
      <c r="K81" s="54">
        <f>AVERAGE(I81:J81)</f>
        <v>-7.9926580000000005</v>
      </c>
      <c r="L81" s="54">
        <v>0</v>
      </c>
      <c r="M81" s="24">
        <v>-8.9702669999999998</v>
      </c>
      <c r="N81" s="24">
        <v>-7.3777854000000005</v>
      </c>
      <c r="O81" s="24">
        <v>-8.1865325999999996</v>
      </c>
      <c r="P81" s="24">
        <v>-6.4272989999999997</v>
      </c>
      <c r="Q81" s="51">
        <f>AVERAGE(M81:P81)</f>
        <v>-7.7404709999999994</v>
      </c>
      <c r="R81" s="51">
        <f>STDEV(M81:P81)</f>
        <v>1.0904633111116833</v>
      </c>
      <c r="S81" s="51">
        <v>-8.9306634000000003</v>
      </c>
      <c r="T81" s="51">
        <v>-9.184960199999999</v>
      </c>
      <c r="U81" s="51">
        <v>-8.6899151999999997</v>
      </c>
      <c r="V81" s="51">
        <v>-9.3141929999999995</v>
      </c>
      <c r="W81" s="51">
        <f>AVERAGE(S81:V81)</f>
        <v>-9.0299329499999992</v>
      </c>
      <c r="X81" s="51">
        <f>STDEV(S81:V81)</f>
        <v>0.27707023065210351</v>
      </c>
      <c r="Y81" s="24">
        <v>0.24475999999999998</v>
      </c>
      <c r="Z81" s="24">
        <v>-8.1958895999999992</v>
      </c>
      <c r="AA81" s="24">
        <v>-8.8206673167944132</v>
      </c>
      <c r="AB81" s="24">
        <v>-8.8023239999999987</v>
      </c>
      <c r="AC81" s="24">
        <v>-9.171835999999999</v>
      </c>
      <c r="AD81" s="24">
        <v>-7.5841410000000007</v>
      </c>
      <c r="AE81" s="24">
        <v>-9.1839180000000002</v>
      </c>
      <c r="AF81" s="24">
        <v>-8.9881773578197066</v>
      </c>
      <c r="AG81" s="24">
        <v>-9.503309999999999</v>
      </c>
      <c r="AH81" s="51">
        <f>AVERAGE(Z81,AD81)</f>
        <v>-7.8900153</v>
      </c>
      <c r="AI81" s="51">
        <f>STDEV(Z81,AD81)</f>
        <v>0.43257158344137575</v>
      </c>
      <c r="AJ81" s="51">
        <f>AVERAGE(AA81:AC81,AE81:AG81)</f>
        <v>-9.0783721124356855</v>
      </c>
      <c r="AK81" s="51">
        <f>STDEV(AA81:AC81,AE81:AG81)</f>
        <v>0.26502718984438062</v>
      </c>
      <c r="AL81" s="51">
        <v>-8.7805865999999995</v>
      </c>
      <c r="AM81" s="51">
        <v>-9.3913157999999992</v>
      </c>
      <c r="AN81" s="51">
        <v>-8.4371592</v>
      </c>
      <c r="AO81" s="51">
        <v>-8.4491139999999998</v>
      </c>
      <c r="AP81" s="51">
        <f>AVERAGE(AL81:AO81)</f>
        <v>-8.7645438999999996</v>
      </c>
      <c r="AQ81" s="51">
        <f>STDEV(AL81:AO81)</f>
        <v>0.44713053517624995</v>
      </c>
      <c r="AR81" s="52">
        <v>0.4304223484848485</v>
      </c>
      <c r="AS81" s="52">
        <v>5.2686151285340883E-2</v>
      </c>
      <c r="AT81" s="24">
        <v>0.40641666666666665</v>
      </c>
      <c r="AU81" s="24">
        <v>7.5807739499707372E-2</v>
      </c>
      <c r="AV81" s="24">
        <v>0.43575694444444441</v>
      </c>
      <c r="AW81" s="24">
        <v>0.11790462222546527</v>
      </c>
    </row>
    <row r="82" spans="1:49">
      <c r="A82" s="50">
        <f>A81+1</f>
        <v>44455</v>
      </c>
      <c r="B82" s="62">
        <v>0.3974607175158576</v>
      </c>
      <c r="C82" s="61">
        <v>21.552083333333329</v>
      </c>
      <c r="D82" s="24">
        <v>3.7801989417431012</v>
      </c>
      <c r="E82" s="56">
        <v>15.600000000000001</v>
      </c>
      <c r="F82" s="56">
        <f>SUM(E82)</f>
        <v>15.600000000000001</v>
      </c>
      <c r="G82" s="51">
        <v>-13.488</v>
      </c>
      <c r="H82" s="51">
        <v>-94.721000000000004</v>
      </c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4">
        <v>0.33996428571428561</v>
      </c>
      <c r="Z82" s="27"/>
      <c r="AA82" s="27"/>
      <c r="AB82" s="27"/>
      <c r="AC82" s="27"/>
      <c r="AD82" s="27"/>
      <c r="AE82" s="27"/>
      <c r="AF82" s="27"/>
      <c r="AG82" s="27"/>
      <c r="AH82" s="27"/>
      <c r="AI82" s="51"/>
      <c r="AJ82" s="51"/>
      <c r="AK82" s="51"/>
      <c r="AL82" s="27"/>
      <c r="AM82" s="27"/>
      <c r="AN82" s="27"/>
      <c r="AO82" s="27"/>
      <c r="AP82" s="51"/>
      <c r="AQ82" s="51"/>
      <c r="AR82" s="52">
        <v>0.46523674242424251</v>
      </c>
      <c r="AS82" s="52">
        <v>6.1092418833651428E-2</v>
      </c>
      <c r="AT82" s="24">
        <v>0.4486770833333335</v>
      </c>
      <c r="AU82" s="24">
        <v>4.9011338770992813E-2</v>
      </c>
      <c r="AV82" s="24">
        <v>0.4689166666666667</v>
      </c>
      <c r="AW82" s="24">
        <v>0.1283527880275469</v>
      </c>
    </row>
    <row r="83" spans="1:49">
      <c r="A83" s="50">
        <f>A82+1</f>
        <v>44456</v>
      </c>
      <c r="B83" s="62">
        <v>0.51660529275050193</v>
      </c>
      <c r="C83" s="61">
        <v>21.300000000000004</v>
      </c>
      <c r="D83" s="24">
        <v>4.5098032773799117</v>
      </c>
      <c r="E83" s="56">
        <v>19.799999999999997</v>
      </c>
      <c r="F83" s="56">
        <f>SUM(E83)</f>
        <v>19.799999999999997</v>
      </c>
      <c r="G83" s="51">
        <v>-13.108000000000001</v>
      </c>
      <c r="H83" s="51">
        <v>-90.804000000000002</v>
      </c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4">
        <v>0.31185714285714283</v>
      </c>
      <c r="Z83" s="27"/>
      <c r="AA83" s="27"/>
      <c r="AB83" s="27"/>
      <c r="AC83" s="27"/>
      <c r="AD83" s="27"/>
      <c r="AE83" s="27"/>
      <c r="AF83" s="27"/>
      <c r="AG83" s="27"/>
      <c r="AH83" s="27"/>
      <c r="AI83" s="51"/>
      <c r="AJ83" s="51"/>
      <c r="AK83" s="51"/>
      <c r="AL83" s="27"/>
      <c r="AM83" s="27"/>
      <c r="AN83" s="27"/>
      <c r="AO83" s="27"/>
      <c r="AP83" s="51"/>
      <c r="AQ83" s="51"/>
      <c r="AR83" s="52">
        <v>0.47227083333333342</v>
      </c>
      <c r="AS83" s="52">
        <v>5.7298415971716865E-2</v>
      </c>
      <c r="AT83" s="24">
        <v>0.45642708333333332</v>
      </c>
      <c r="AU83" s="24">
        <v>4.6330225558993368E-2</v>
      </c>
      <c r="AV83" s="24">
        <v>0.47579166666666667</v>
      </c>
      <c r="AW83" s="24">
        <v>0.1206236744314042</v>
      </c>
    </row>
    <row r="84" spans="1:49">
      <c r="A84" s="50">
        <f>A83+1</f>
        <v>44457</v>
      </c>
      <c r="B84" s="62">
        <v>0.23431647646704559</v>
      </c>
      <c r="C84" s="61">
        <v>22.568749999999998</v>
      </c>
      <c r="D84" s="24">
        <v>4.0430941724361036</v>
      </c>
      <c r="E84" s="56">
        <v>7.4</v>
      </c>
      <c r="F84" s="56">
        <f>E84</f>
        <v>7.4</v>
      </c>
      <c r="G84" s="51">
        <v>-13.162000000000001</v>
      </c>
      <c r="H84" s="51">
        <v>-86.697000000000003</v>
      </c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4">
        <v>0.31325000000000003</v>
      </c>
      <c r="Z84" s="27"/>
      <c r="AA84" s="27"/>
      <c r="AB84" s="27"/>
      <c r="AC84" s="27"/>
      <c r="AD84" s="27"/>
      <c r="AE84" s="27"/>
      <c r="AF84" s="27"/>
      <c r="AG84" s="27"/>
      <c r="AH84" s="27"/>
      <c r="AI84" s="51"/>
      <c r="AJ84" s="51"/>
      <c r="AK84" s="51"/>
      <c r="AL84" s="27"/>
      <c r="AM84" s="27"/>
      <c r="AN84" s="27"/>
      <c r="AO84" s="27"/>
      <c r="AP84" s="51"/>
      <c r="AQ84" s="51"/>
      <c r="AR84" s="52">
        <v>0.47188352272727263</v>
      </c>
      <c r="AS84" s="52">
        <v>4.9902587943113148E-2</v>
      </c>
      <c r="AT84" s="24">
        <v>0.45009374999999974</v>
      </c>
      <c r="AU84" s="24">
        <v>5.3636995631254375E-2</v>
      </c>
      <c r="AV84" s="24">
        <v>0.47672569444444429</v>
      </c>
      <c r="AW84" s="24">
        <v>0.10679317808192637</v>
      </c>
    </row>
    <row r="85" spans="1:49">
      <c r="A85" s="50">
        <f>A84+1</f>
        <v>44458</v>
      </c>
      <c r="B85" s="62">
        <v>0.80904150398719299</v>
      </c>
      <c r="C85" s="61">
        <v>18.985416666666662</v>
      </c>
      <c r="D85" s="24">
        <v>2.6179599701743594</v>
      </c>
      <c r="E85" s="56">
        <v>5.7000000000000011</v>
      </c>
      <c r="F85" s="56">
        <f>E85</f>
        <v>5.7000000000000011</v>
      </c>
      <c r="G85" s="51">
        <v>-17.859000000000002</v>
      </c>
      <c r="H85" s="51">
        <v>-128.16999999999999</v>
      </c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4">
        <v>0.28123529411764703</v>
      </c>
      <c r="Z85" s="27"/>
      <c r="AA85" s="27"/>
      <c r="AB85" s="27"/>
      <c r="AC85" s="27"/>
      <c r="AD85" s="27"/>
      <c r="AE85" s="27"/>
      <c r="AF85" s="27"/>
      <c r="AG85" s="27"/>
      <c r="AH85" s="27"/>
      <c r="AI85" s="51"/>
      <c r="AJ85" s="51"/>
      <c r="AK85" s="51"/>
      <c r="AL85" s="27"/>
      <c r="AM85" s="27"/>
      <c r="AN85" s="27"/>
      <c r="AO85" s="27"/>
      <c r="AP85" s="51"/>
      <c r="AQ85" s="51"/>
      <c r="AR85" s="52">
        <v>0.47065909090909108</v>
      </c>
      <c r="AS85" s="52">
        <v>4.6369062863263255E-2</v>
      </c>
      <c r="AT85" s="24">
        <v>0.44593750000000021</v>
      </c>
      <c r="AU85" s="24">
        <v>5.7747053796901496E-2</v>
      </c>
      <c r="AV85" s="24">
        <v>0.47615277777777787</v>
      </c>
      <c r="AW85" s="24">
        <v>0.10069109256873369</v>
      </c>
    </row>
    <row r="86" spans="1:49">
      <c r="A86" s="50">
        <f>A85+1</f>
        <v>44459</v>
      </c>
      <c r="B86" s="62">
        <v>0.78409174008427251</v>
      </c>
      <c r="C86" s="61">
        <v>20.418750000000003</v>
      </c>
      <c r="D86" s="24">
        <v>4.8710890711592425</v>
      </c>
      <c r="E86" s="56">
        <v>0</v>
      </c>
      <c r="F86" s="56"/>
      <c r="G86" s="51"/>
      <c r="H86" s="49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4">
        <v>0.26496296296296296</v>
      </c>
      <c r="Z86" s="27"/>
      <c r="AA86" s="27"/>
      <c r="AB86" s="27"/>
      <c r="AC86" s="27"/>
      <c r="AD86" s="27"/>
      <c r="AE86" s="27"/>
      <c r="AF86" s="27"/>
      <c r="AG86" s="27"/>
      <c r="AH86" s="27"/>
      <c r="AI86" s="51"/>
      <c r="AJ86" s="51"/>
      <c r="AK86" s="51"/>
      <c r="AL86" s="27"/>
      <c r="AM86" s="27"/>
      <c r="AN86" s="27"/>
      <c r="AO86" s="27"/>
      <c r="AP86" s="51"/>
      <c r="AQ86" s="51"/>
      <c r="AR86" s="52">
        <v>0.4622537878787879</v>
      </c>
      <c r="AS86" s="52">
        <v>4.2339357740933066E-2</v>
      </c>
      <c r="AT86" s="24">
        <v>0.43277083333333355</v>
      </c>
      <c r="AU86" s="24">
        <v>7.1005305944149694E-2</v>
      </c>
      <c r="AV86" s="24">
        <v>0.46880555555555548</v>
      </c>
      <c r="AW86" s="24">
        <v>9.6133554801621515E-2</v>
      </c>
    </row>
    <row r="87" spans="1:49">
      <c r="A87" s="50">
        <f>A86+1</f>
        <v>44460</v>
      </c>
      <c r="B87" s="62">
        <v>0.71647136452995452</v>
      </c>
      <c r="C87" s="61">
        <v>21.810416666666669</v>
      </c>
      <c r="D87" s="24">
        <v>4.594376664961076</v>
      </c>
      <c r="E87" s="56">
        <v>0</v>
      </c>
      <c r="F87" s="56"/>
      <c r="G87" s="51"/>
      <c r="H87" s="49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4">
        <v>0.22927272727272729</v>
      </c>
      <c r="Z87" s="27"/>
      <c r="AA87" s="27"/>
      <c r="AB87" s="27"/>
      <c r="AC87" s="27"/>
      <c r="AD87" s="27"/>
      <c r="AE87" s="27"/>
      <c r="AF87" s="27"/>
      <c r="AG87" s="27"/>
      <c r="AH87" s="27"/>
      <c r="AI87" s="51"/>
      <c r="AJ87" s="51"/>
      <c r="AK87" s="51"/>
      <c r="AL87" s="27"/>
      <c r="AM87" s="27"/>
      <c r="AN87" s="27"/>
      <c r="AO87" s="27"/>
      <c r="AP87" s="51"/>
      <c r="AQ87" s="51"/>
      <c r="AR87" s="52">
        <v>0.4513475378787879</v>
      </c>
      <c r="AS87" s="52">
        <v>3.9050909443199146E-2</v>
      </c>
      <c r="AT87" s="24">
        <v>0.41595833333333332</v>
      </c>
      <c r="AU87" s="24">
        <v>8.3644839657858516E-2</v>
      </c>
      <c r="AV87" s="24">
        <v>0.45921180555555557</v>
      </c>
      <c r="AW87" s="24">
        <v>9.2932124477158165E-2</v>
      </c>
    </row>
    <row r="88" spans="1:49">
      <c r="A88" s="60">
        <f>A87+1</f>
        <v>44461</v>
      </c>
      <c r="B88" s="59">
        <v>0.63005966000585178</v>
      </c>
      <c r="C88" s="58">
        <v>22.581250000000008</v>
      </c>
      <c r="D88" s="57">
        <v>4.0833057393161987</v>
      </c>
      <c r="E88" s="56">
        <v>0</v>
      </c>
      <c r="F88" s="56"/>
      <c r="G88" s="51"/>
      <c r="H88" s="49"/>
      <c r="I88" s="24">
        <v>-8.973805500000001</v>
      </c>
      <c r="J88" s="27"/>
      <c r="K88" s="54">
        <f>AVERAGE(I88:J88)</f>
        <v>-8.973805500000001</v>
      </c>
      <c r="L88" s="54">
        <v>0</v>
      </c>
      <c r="M88" s="24">
        <v>-9.6489411999999994</v>
      </c>
      <c r="N88" s="24">
        <v>-10.3987485</v>
      </c>
      <c r="O88" s="24">
        <v>-11.451338999999999</v>
      </c>
      <c r="P88" s="24">
        <v>-10.960056</v>
      </c>
      <c r="Q88" s="51">
        <f>AVERAGE(M88:P88)</f>
        <v>-10.614771175</v>
      </c>
      <c r="R88" s="51">
        <f>STDEV(M88:P88)</f>
        <v>0.77428691342920319</v>
      </c>
      <c r="S88" s="51">
        <v>-9.1392319999999998</v>
      </c>
      <c r="T88" s="51">
        <v>-8.855577199999999</v>
      </c>
      <c r="U88" s="51">
        <v>-10.031494799999999</v>
      </c>
      <c r="V88" s="51">
        <v>-10.1488692</v>
      </c>
      <c r="W88" s="51">
        <f>AVERAGE(S88:V88)</f>
        <v>-9.543793299999999</v>
      </c>
      <c r="X88" s="51">
        <f>STDEV(S88:V88)</f>
        <v>0.64324200827266675</v>
      </c>
      <c r="Y88" s="24">
        <v>0.20795454545454548</v>
      </c>
      <c r="Z88" s="24">
        <v>-11.900385</v>
      </c>
      <c r="AA88" s="24">
        <v>-10.2364695</v>
      </c>
      <c r="AB88" s="24">
        <v>-10.539909</v>
      </c>
      <c r="AC88" s="24">
        <v>-9.7974270000000008</v>
      </c>
      <c r="AD88" s="24">
        <v>-10.335393</v>
      </c>
      <c r="AE88" s="24">
        <v>-9.9728291375843998</v>
      </c>
      <c r="AF88" s="24">
        <v>-10.141825348838138</v>
      </c>
      <c r="AG88" s="24">
        <v>-10.2564765</v>
      </c>
      <c r="AH88" s="51">
        <f>AVERAGE(Z88,AD88)</f>
        <v>-11.117889</v>
      </c>
      <c r="AI88" s="51">
        <f>STDEV(Z88,AD88)</f>
        <v>1.1066164557026974</v>
      </c>
      <c r="AJ88" s="51">
        <f>AVERAGE(AA88:AC88,AE88:AG88)</f>
        <v>-10.157489414403756</v>
      </c>
      <c r="AK88" s="51">
        <f>STDEV(AA88:AC88,AE88:AG88)</f>
        <v>0.25544892230523802</v>
      </c>
      <c r="AL88" s="51">
        <v>-10.0097588</v>
      </c>
      <c r="AM88" s="51">
        <v>-9.4989627999999993</v>
      </c>
      <c r="AN88" s="51">
        <v>-9.8065271999999997</v>
      </c>
      <c r="AO88" s="51">
        <v>-9.8608671999999995</v>
      </c>
      <c r="AP88" s="51">
        <f>AVERAGE(AL88:AO88)</f>
        <v>-9.7940290000000001</v>
      </c>
      <c r="AQ88" s="51">
        <f>STDEV(AL88:AO88)</f>
        <v>0.21465240038487066</v>
      </c>
      <c r="AR88" s="52">
        <v>0.43843371212121207</v>
      </c>
      <c r="AS88" s="52">
        <v>3.533391158110958E-2</v>
      </c>
      <c r="AT88" s="24">
        <v>0.39716666666666656</v>
      </c>
      <c r="AU88" s="24">
        <v>9.5518341025282186E-2</v>
      </c>
      <c r="AV88" s="24">
        <v>0.44760416666666658</v>
      </c>
      <c r="AW88" s="24">
        <v>8.8942065257234665E-2</v>
      </c>
    </row>
    <row r="89" spans="1:49">
      <c r="A89" s="50">
        <f>A88+1</f>
        <v>44462</v>
      </c>
      <c r="B89" s="62">
        <v>0.6463845860666072</v>
      </c>
      <c r="C89" s="58">
        <v>22.022916666666664</v>
      </c>
      <c r="D89" s="57">
        <v>3.6293215139989972</v>
      </c>
      <c r="E89" s="56">
        <v>0</v>
      </c>
      <c r="F89" s="56"/>
      <c r="G89" s="51"/>
      <c r="H89" s="49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4">
        <v>0.19619999999999999</v>
      </c>
      <c r="Z89" s="27"/>
      <c r="AA89" s="27"/>
      <c r="AB89" s="27"/>
      <c r="AC89" s="27"/>
      <c r="AD89" s="27"/>
      <c r="AE89" s="27"/>
      <c r="AF89" s="27"/>
      <c r="AG89" s="27"/>
      <c r="AH89" s="27"/>
      <c r="AI89" s="51"/>
      <c r="AJ89" s="51"/>
      <c r="AK89" s="51"/>
      <c r="AL89" s="27"/>
      <c r="AM89" s="27"/>
      <c r="AN89" s="27"/>
      <c r="AO89" s="27"/>
      <c r="AP89" s="51"/>
      <c r="AQ89" s="51"/>
      <c r="AR89" s="52">
        <v>0.42470075757575765</v>
      </c>
      <c r="AS89" s="52">
        <v>3.0950653068186198E-2</v>
      </c>
      <c r="AT89" s="24">
        <v>0.38022916666666678</v>
      </c>
      <c r="AU89" s="24">
        <v>0.10656688448132264</v>
      </c>
      <c r="AV89" s="24">
        <v>0.43458333333333332</v>
      </c>
      <c r="AW89" s="24">
        <v>8.3600998257928966E-2</v>
      </c>
    </row>
    <row r="90" spans="1:49">
      <c r="A90" s="50">
        <f>A89+1</f>
        <v>44463</v>
      </c>
      <c r="B90" s="62">
        <v>0.69565695176932918</v>
      </c>
      <c r="C90" s="58">
        <v>21.920833333333338</v>
      </c>
      <c r="D90" s="57">
        <v>3.6861871772728092</v>
      </c>
      <c r="E90" s="56">
        <v>0.2</v>
      </c>
      <c r="F90" s="56"/>
      <c r="G90" s="51"/>
      <c r="H90" s="49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4">
        <v>0.16666666666666666</v>
      </c>
      <c r="Z90" s="27"/>
      <c r="AA90" s="27"/>
      <c r="AB90" s="27"/>
      <c r="AC90" s="27"/>
      <c r="AD90" s="27"/>
      <c r="AE90" s="27"/>
      <c r="AF90" s="27"/>
      <c r="AG90" s="27"/>
      <c r="AH90" s="27"/>
      <c r="AI90" s="51"/>
      <c r="AJ90" s="51"/>
      <c r="AK90" s="51"/>
      <c r="AL90" s="27"/>
      <c r="AM90" s="27"/>
      <c r="AN90" s="27"/>
      <c r="AO90" s="27"/>
      <c r="AP90" s="51"/>
      <c r="AQ90" s="51"/>
      <c r="AR90" s="52">
        <v>0.40984753787878792</v>
      </c>
      <c r="AS90" s="52">
        <v>2.618638720820303E-2</v>
      </c>
      <c r="AT90" s="24">
        <v>0.36489583333333331</v>
      </c>
      <c r="AU90" s="24">
        <v>0.11572980985419838</v>
      </c>
      <c r="AV90" s="24">
        <v>0.41983680555555564</v>
      </c>
      <c r="AW90" s="24">
        <v>7.7249257701245549E-2</v>
      </c>
    </row>
    <row r="91" spans="1:49">
      <c r="A91" s="50">
        <f>A90+1</f>
        <v>44464</v>
      </c>
      <c r="B91" s="62">
        <v>0.7684428053186676</v>
      </c>
      <c r="C91" s="58">
        <v>22.322916666666668</v>
      </c>
      <c r="D91" s="57">
        <v>3.6536784236672792</v>
      </c>
      <c r="E91" s="56">
        <v>0</v>
      </c>
      <c r="F91" s="56"/>
      <c r="G91" s="51"/>
      <c r="H91" s="49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4">
        <v>0.15049999999999997</v>
      </c>
      <c r="Z91" s="27"/>
      <c r="AA91" s="27"/>
      <c r="AB91" s="27"/>
      <c r="AC91" s="27"/>
      <c r="AD91" s="27"/>
      <c r="AE91" s="27"/>
      <c r="AF91" s="27"/>
      <c r="AG91" s="27"/>
      <c r="AH91" s="27"/>
      <c r="AI91" s="51"/>
      <c r="AJ91" s="51"/>
      <c r="AK91" s="51"/>
      <c r="AL91" s="27"/>
      <c r="AM91" s="27"/>
      <c r="AN91" s="27"/>
      <c r="AO91" s="27"/>
      <c r="AP91" s="51"/>
      <c r="AQ91" s="51"/>
      <c r="AR91" s="52">
        <v>0.3955909090909091</v>
      </c>
      <c r="AS91" s="52">
        <v>2.1604254913070726E-2</v>
      </c>
      <c r="AT91" s="24">
        <v>0.3530937500000001</v>
      </c>
      <c r="AU91" s="24">
        <v>0.12143085827751501</v>
      </c>
      <c r="AV91" s="24">
        <v>0.40503472222222214</v>
      </c>
      <c r="AW91" s="24">
        <v>7.0804836996703396E-2</v>
      </c>
    </row>
    <row r="92" spans="1:49">
      <c r="A92" s="50">
        <f>A91+1</f>
        <v>44465</v>
      </c>
      <c r="B92" s="62">
        <v>0.87158836159411512</v>
      </c>
      <c r="C92" s="58">
        <v>22.545833333333334</v>
      </c>
      <c r="D92" s="57">
        <v>3.8512813507565022</v>
      </c>
      <c r="E92" s="56">
        <v>0</v>
      </c>
      <c r="F92" s="56"/>
      <c r="G92" s="51"/>
      <c r="H92" s="49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4">
        <v>0.14405000000000001</v>
      </c>
      <c r="Z92" s="27"/>
      <c r="AA92" s="27"/>
      <c r="AB92" s="27"/>
      <c r="AC92" s="27"/>
      <c r="AD92" s="27"/>
      <c r="AE92" s="27"/>
      <c r="AF92" s="27"/>
      <c r="AG92" s="27"/>
      <c r="AH92" s="27"/>
      <c r="AI92" s="51"/>
      <c r="AJ92" s="51"/>
      <c r="AK92" s="51"/>
      <c r="AL92" s="27"/>
      <c r="AM92" s="27"/>
      <c r="AN92" s="27"/>
      <c r="AO92" s="27"/>
      <c r="AP92" s="51"/>
      <c r="AQ92" s="51"/>
      <c r="AR92" s="52">
        <v>0.38164678030303034</v>
      </c>
      <c r="AS92" s="52">
        <v>1.7192203226292266E-2</v>
      </c>
      <c r="AT92" s="24">
        <v>0.34394791666666669</v>
      </c>
      <c r="AU92" s="24">
        <v>0.12587973844247996</v>
      </c>
      <c r="AV92" s="24">
        <v>0.39002430555555562</v>
      </c>
      <c r="AW92" s="24">
        <v>6.4517667445558494E-2</v>
      </c>
    </row>
    <row r="93" spans="1:49">
      <c r="A93" s="50">
        <f>A92+1</f>
        <v>44466</v>
      </c>
      <c r="B93" s="62">
        <v>0.76738611977222071</v>
      </c>
      <c r="C93" s="58">
        <v>22.822916666666668</v>
      </c>
      <c r="D93" s="57">
        <v>4.3697537673686453</v>
      </c>
      <c r="E93" s="56">
        <v>0</v>
      </c>
      <c r="F93" s="56"/>
      <c r="G93" s="51"/>
      <c r="H93" s="49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4">
        <v>0.13592307692307692</v>
      </c>
      <c r="Z93" s="27"/>
      <c r="AA93" s="27"/>
      <c r="AB93" s="27"/>
      <c r="AC93" s="27"/>
      <c r="AD93" s="27"/>
      <c r="AE93" s="27"/>
      <c r="AF93" s="27"/>
      <c r="AG93" s="27"/>
      <c r="AH93" s="27"/>
      <c r="AI93" s="51"/>
      <c r="AJ93" s="51"/>
      <c r="AK93" s="51"/>
      <c r="AL93" s="27"/>
      <c r="AM93" s="27"/>
      <c r="AN93" s="27"/>
      <c r="AO93" s="27"/>
      <c r="AP93" s="51"/>
      <c r="AQ93" s="51"/>
      <c r="AR93" s="52">
        <v>0.36907954545454541</v>
      </c>
      <c r="AS93" s="52">
        <v>1.3538148581467461E-2</v>
      </c>
      <c r="AT93" s="24">
        <v>0.33550000000000002</v>
      </c>
      <c r="AU93" s="24">
        <v>0.12778008791691844</v>
      </c>
      <c r="AV93" s="24">
        <v>0.37654166666666661</v>
      </c>
      <c r="AW93" s="24">
        <v>5.8995048933034512E-2</v>
      </c>
    </row>
    <row r="94" spans="1:49">
      <c r="A94" s="60">
        <f>A93+1</f>
        <v>44467</v>
      </c>
      <c r="B94" s="59">
        <v>1.210576295633232</v>
      </c>
      <c r="C94" s="58">
        <v>22.366666666666671</v>
      </c>
      <c r="D94" s="57">
        <v>4.8322828089447922</v>
      </c>
      <c r="E94" s="56">
        <v>1.0999999999999999</v>
      </c>
      <c r="F94" s="56"/>
      <c r="G94" s="51"/>
      <c r="H94" s="49"/>
      <c r="I94" s="55">
        <v>-8.7883579999999988</v>
      </c>
      <c r="J94" s="27"/>
      <c r="K94" s="54">
        <f>AVERAGE(I94:J94)</f>
        <v>-8.7883579999999988</v>
      </c>
      <c r="L94" s="54">
        <v>0</v>
      </c>
      <c r="M94" s="24">
        <v>-10.188675</v>
      </c>
      <c r="N94" s="24">
        <v>-9.5440050000000003</v>
      </c>
      <c r="O94" s="24">
        <v>-9.5595660000000002</v>
      </c>
      <c r="P94" s="24">
        <v>-9.1238580000000002</v>
      </c>
      <c r="Q94" s="51">
        <f>AVERAGE(M94:P94)</f>
        <v>-9.6040260000000011</v>
      </c>
      <c r="R94" s="51">
        <f>STDEV(M94:P94)</f>
        <v>0.43892101547089302</v>
      </c>
      <c r="S94" s="51">
        <v>-9.057167999999999</v>
      </c>
      <c r="T94" s="51">
        <v>-8.5545160000000013</v>
      </c>
      <c r="U94" s="51">
        <v>-8.5622615</v>
      </c>
      <c r="V94" s="51">
        <v>-9.6023715000000003</v>
      </c>
      <c r="W94" s="51">
        <f>AVERAGE(S94:V94)</f>
        <v>-8.9440792500000015</v>
      </c>
      <c r="X94" s="51">
        <f>STDEV(S94:V94)</f>
        <v>0.49788957000264267</v>
      </c>
      <c r="Y94" s="24">
        <v>0.13130000000000003</v>
      </c>
      <c r="Z94" s="24">
        <v>-10.329342</v>
      </c>
      <c r="AA94" s="24">
        <v>-10.195359942961771</v>
      </c>
      <c r="AB94" s="24">
        <v>-10.257419500000001</v>
      </c>
      <c r="AC94" s="24">
        <v>-9.8269910000000014</v>
      </c>
      <c r="AD94" s="24">
        <v>-10.948941</v>
      </c>
      <c r="AE94" s="24">
        <v>-10.516567500000001</v>
      </c>
      <c r="AF94" s="24">
        <v>-9.9950509758936281</v>
      </c>
      <c r="AG94" s="24">
        <v>-9.9221500000000002</v>
      </c>
      <c r="AH94" s="51">
        <f>AVERAGE(Z94,AD94)</f>
        <v>-10.639141500000001</v>
      </c>
      <c r="AI94" s="51">
        <f>STDEV(Z94,AD94)</f>
        <v>0.43812265451640303</v>
      </c>
      <c r="AJ94" s="51">
        <f>AVERAGE(AA94:AC94,AE94:AG94)</f>
        <v>-10.118923153142566</v>
      </c>
      <c r="AK94" s="51">
        <f>STDEV(AA94:AC94,AE94:AG94)</f>
        <v>0.25394220588587074</v>
      </c>
      <c r="AL94" s="51">
        <v>-9.3511959999999998</v>
      </c>
      <c r="AM94" s="51">
        <v>-9.0070744999999999</v>
      </c>
      <c r="AN94" s="51">
        <v>-9.3633675000000007</v>
      </c>
      <c r="AO94" s="51">
        <v>-9.6665484999999993</v>
      </c>
      <c r="AP94" s="51">
        <f>AVERAGE(AL94:AO94)</f>
        <v>-9.3470466249999991</v>
      </c>
      <c r="AQ94" s="51">
        <f>STDEV(AL94:AO94)</f>
        <v>0.26953421686258883</v>
      </c>
      <c r="AR94" s="52">
        <v>0.36002272727272733</v>
      </c>
      <c r="AS94" s="52">
        <v>1.1177108325346402E-2</v>
      </c>
      <c r="AT94" s="24">
        <v>0.32984375000000016</v>
      </c>
      <c r="AU94" s="24">
        <v>0.1282956866115342</v>
      </c>
      <c r="AV94" s="24">
        <v>0.36672916666666672</v>
      </c>
      <c r="AW94" s="24">
        <v>5.513881472147273E-2</v>
      </c>
    </row>
    <row r="95" spans="1:49">
      <c r="A95" s="50">
        <f>A94+1</f>
        <v>44468</v>
      </c>
      <c r="B95" s="62">
        <v>1.1234496868251027</v>
      </c>
      <c r="C95" s="58">
        <v>22.600000000000005</v>
      </c>
      <c r="D95" s="57">
        <v>5.2530976003040832</v>
      </c>
      <c r="E95" s="56">
        <v>0.2</v>
      </c>
      <c r="F95" s="56"/>
      <c r="G95" s="51"/>
      <c r="H95" s="49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4">
        <v>0.126</v>
      </c>
      <c r="Z95" s="27"/>
      <c r="AA95" s="27"/>
      <c r="AB95" s="27"/>
      <c r="AC95" s="27"/>
      <c r="AD95" s="27"/>
      <c r="AE95" s="27"/>
      <c r="AF95" s="27"/>
      <c r="AG95" s="27"/>
      <c r="AH95" s="27"/>
      <c r="AI95" s="51"/>
      <c r="AJ95" s="51"/>
      <c r="AK95" s="51"/>
      <c r="AL95" s="27"/>
      <c r="AM95" s="27"/>
      <c r="AN95" s="27"/>
      <c r="AO95" s="27"/>
      <c r="AP95" s="51"/>
      <c r="AQ95" s="51"/>
      <c r="AR95" s="52">
        <v>0.35082670454545462</v>
      </c>
      <c r="AS95" s="52">
        <v>8.9118221125111807E-3</v>
      </c>
      <c r="AT95" s="24">
        <v>0.32487499999999997</v>
      </c>
      <c r="AU95" s="24">
        <v>0.12831041800280879</v>
      </c>
      <c r="AV95" s="24">
        <v>0.35659374999999999</v>
      </c>
      <c r="AW95" s="24">
        <v>5.1477875422225539E-2</v>
      </c>
    </row>
    <row r="96" spans="1:49">
      <c r="A96" s="50">
        <f>A95+1</f>
        <v>44469</v>
      </c>
      <c r="B96" s="62">
        <v>0.92083704684426293</v>
      </c>
      <c r="C96" s="58">
        <v>22.814583333333331</v>
      </c>
      <c r="D96" s="57">
        <v>5.0240969648381197</v>
      </c>
      <c r="E96" s="56">
        <v>0</v>
      </c>
      <c r="F96" s="56"/>
      <c r="G96" s="51"/>
      <c r="H96" s="49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4">
        <v>0.12252777777777782</v>
      </c>
      <c r="Z96" s="27"/>
      <c r="AA96" s="27"/>
      <c r="AB96" s="27"/>
      <c r="AC96" s="27"/>
      <c r="AD96" s="27"/>
      <c r="AE96" s="27"/>
      <c r="AF96" s="27"/>
      <c r="AG96" s="27"/>
      <c r="AH96" s="27"/>
      <c r="AI96" s="51"/>
      <c r="AJ96" s="51"/>
      <c r="AK96" s="51"/>
      <c r="AL96" s="27"/>
      <c r="AM96" s="27"/>
      <c r="AN96" s="27"/>
      <c r="AO96" s="27"/>
      <c r="AP96" s="51"/>
      <c r="AQ96" s="51"/>
      <c r="AR96" s="52">
        <v>0.34444507575757566</v>
      </c>
      <c r="AS96" s="52">
        <v>7.5384546804905771E-3</v>
      </c>
      <c r="AT96" s="24">
        <v>0.32182291666666668</v>
      </c>
      <c r="AU96" s="24">
        <v>0.12823676104643517</v>
      </c>
      <c r="AV96" s="24">
        <v>0.34947222222222218</v>
      </c>
      <c r="AW96" s="24">
        <v>4.9520167515273154E-2</v>
      </c>
    </row>
    <row r="97" spans="1:49">
      <c r="A97" s="50">
        <f>A96+1</f>
        <v>44470</v>
      </c>
      <c r="B97" s="62">
        <v>0.82914898722517083</v>
      </c>
      <c r="C97" s="58">
        <v>23.333333333333332</v>
      </c>
      <c r="D97" s="57">
        <v>4.6995136114931562</v>
      </c>
      <c r="E97" s="56">
        <v>0</v>
      </c>
      <c r="F97" s="56"/>
      <c r="G97" s="51"/>
      <c r="H97" s="49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4">
        <v>0.12151428571428571</v>
      </c>
      <c r="Z97" s="27"/>
      <c r="AA97" s="27"/>
      <c r="AB97" s="27"/>
      <c r="AC97" s="27"/>
      <c r="AD97" s="27"/>
      <c r="AE97" s="27"/>
      <c r="AF97" s="27"/>
      <c r="AG97" s="27"/>
      <c r="AH97" s="27"/>
      <c r="AI97" s="51"/>
      <c r="AJ97" s="51"/>
      <c r="AK97" s="51"/>
      <c r="AL97" s="27"/>
      <c r="AM97" s="27"/>
      <c r="AN97" s="27"/>
      <c r="AO97" s="27"/>
      <c r="AP97" s="51"/>
      <c r="AQ97" s="51"/>
      <c r="AR97" s="52">
        <v>0.33968276515151513</v>
      </c>
      <c r="AS97" s="52">
        <v>6.8721940296567969E-3</v>
      </c>
      <c r="AT97" s="24">
        <v>0.31917708333333328</v>
      </c>
      <c r="AU97" s="24">
        <v>0.12767696817799623</v>
      </c>
      <c r="AV97" s="24">
        <v>0.34423958333333338</v>
      </c>
      <c r="AW97" s="24">
        <v>4.8792119891859796E-2</v>
      </c>
    </row>
    <row r="98" spans="1:49">
      <c r="A98" s="50">
        <f>A97+1</f>
        <v>44471</v>
      </c>
      <c r="B98" s="62">
        <v>0.69231985283720154</v>
      </c>
      <c r="C98" s="58">
        <v>23.633333333333336</v>
      </c>
      <c r="D98" s="57">
        <v>3.9689013287617056</v>
      </c>
      <c r="E98" s="56">
        <v>0</v>
      </c>
      <c r="F98" s="56"/>
      <c r="G98" s="51"/>
      <c r="H98" s="49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4">
        <v>0.11811111111111111</v>
      </c>
      <c r="Z98" s="27"/>
      <c r="AA98" s="27"/>
      <c r="AB98" s="27"/>
      <c r="AC98" s="27"/>
      <c r="AD98" s="27"/>
      <c r="AE98" s="27"/>
      <c r="AF98" s="27"/>
      <c r="AG98" s="27"/>
      <c r="AH98" s="27"/>
      <c r="AI98" s="51"/>
      <c r="AJ98" s="51"/>
      <c r="AK98" s="51"/>
      <c r="AL98" s="27"/>
      <c r="AM98" s="27"/>
      <c r="AN98" s="27"/>
      <c r="AO98" s="27"/>
      <c r="AP98" s="51"/>
      <c r="AQ98" s="51"/>
      <c r="AR98" s="52">
        <v>0.33544034090909086</v>
      </c>
      <c r="AS98" s="52">
        <v>6.6512231605360059E-3</v>
      </c>
      <c r="AT98" s="24">
        <v>0.31581250000000016</v>
      </c>
      <c r="AU98" s="24">
        <v>0.12639533713709522</v>
      </c>
      <c r="AV98" s="24">
        <v>0.33980208333333328</v>
      </c>
      <c r="AW98" s="24">
        <v>4.8566886778127372E-2</v>
      </c>
    </row>
    <row r="99" spans="1:49">
      <c r="A99" s="50">
        <f>A98+1</f>
        <v>44472</v>
      </c>
      <c r="B99" s="62">
        <v>0.6406294546545942</v>
      </c>
      <c r="C99" s="58">
        <v>22.258333333333336</v>
      </c>
      <c r="D99" s="57">
        <v>3.6768013507196673</v>
      </c>
      <c r="E99" s="56">
        <v>0</v>
      </c>
      <c r="F99" s="56"/>
      <c r="G99" s="51"/>
      <c r="H99" s="49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53" t="e">
        <f>0.6108*#REF!-0.0023</f>
        <v>#REF!</v>
      </c>
      <c r="Z99" s="27"/>
      <c r="AA99" s="27"/>
      <c r="AB99" s="27"/>
      <c r="AC99" s="27"/>
      <c r="AD99" s="27"/>
      <c r="AE99" s="27"/>
      <c r="AF99" s="27"/>
      <c r="AG99" s="27"/>
      <c r="AH99" s="27"/>
      <c r="AI99" s="51"/>
      <c r="AJ99" s="51"/>
      <c r="AK99" s="51"/>
      <c r="AL99" s="27"/>
      <c r="AM99" s="27"/>
      <c r="AN99" s="27"/>
      <c r="AO99" s="27"/>
      <c r="AP99" s="51"/>
      <c r="AQ99" s="51"/>
      <c r="AR99" s="52">
        <v>0.33193465909090902</v>
      </c>
      <c r="AS99" s="52">
        <v>6.7369330734070717E-3</v>
      </c>
      <c r="AT99" s="24">
        <v>0.31278125000000001</v>
      </c>
      <c r="AU99" s="24">
        <v>0.12496639218344731</v>
      </c>
      <c r="AV99" s="24">
        <v>0.33619097222222211</v>
      </c>
      <c r="AW99" s="24">
        <v>4.8668276258818498E-2</v>
      </c>
    </row>
    <row r="100" spans="1:49">
      <c r="A100" s="50">
        <f>A99+1</f>
        <v>44473</v>
      </c>
      <c r="B100" s="62">
        <v>0.96966430727233044</v>
      </c>
      <c r="C100" s="58">
        <v>21.881249999999998</v>
      </c>
      <c r="D100" s="57">
        <v>2.9777642773972448</v>
      </c>
      <c r="E100" s="56">
        <v>0</v>
      </c>
      <c r="F100" s="56"/>
      <c r="G100" s="51"/>
      <c r="H100" s="49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53" t="e">
        <f>0.6108*#REF!-0.0023</f>
        <v>#REF!</v>
      </c>
      <c r="Z100" s="27"/>
      <c r="AA100" s="27"/>
      <c r="AB100" s="27"/>
      <c r="AC100" s="27"/>
      <c r="AD100" s="27"/>
      <c r="AE100" s="27"/>
      <c r="AF100" s="27"/>
      <c r="AG100" s="27"/>
      <c r="AH100" s="27"/>
      <c r="AI100" s="51"/>
      <c r="AJ100" s="51"/>
      <c r="AK100" s="51"/>
      <c r="AL100" s="27"/>
      <c r="AM100" s="27"/>
      <c r="AN100" s="27"/>
      <c r="AO100" s="27"/>
      <c r="AP100" s="51"/>
      <c r="AQ100" s="51"/>
      <c r="AR100" s="52">
        <v>0.32874715909090912</v>
      </c>
      <c r="AS100" s="52">
        <v>6.7985370732831472E-3</v>
      </c>
      <c r="AT100" s="24">
        <v>0.311</v>
      </c>
      <c r="AU100" s="24">
        <v>0.12477488409687591</v>
      </c>
      <c r="AV100" s="24">
        <v>0.33269097222222233</v>
      </c>
      <c r="AW100" s="24">
        <v>4.887232945365725E-2</v>
      </c>
    </row>
    <row r="101" spans="1:49">
      <c r="A101" s="50">
        <f>A100+1</f>
        <v>44474</v>
      </c>
      <c r="B101" s="62">
        <v>0.85812654559213897</v>
      </c>
      <c r="C101" s="58">
        <v>23.047916666666662</v>
      </c>
      <c r="D101" s="57">
        <v>4.039407349516833</v>
      </c>
      <c r="E101" s="56">
        <v>0</v>
      </c>
      <c r="F101" s="56"/>
      <c r="G101" s="51"/>
      <c r="H101" s="49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4">
        <v>0.1096</v>
      </c>
      <c r="Z101" s="27"/>
      <c r="AA101" s="27"/>
      <c r="AB101" s="27"/>
      <c r="AC101" s="27"/>
      <c r="AD101" s="27"/>
      <c r="AE101" s="27"/>
      <c r="AF101" s="27"/>
      <c r="AG101" s="27"/>
      <c r="AH101" s="27"/>
      <c r="AI101" s="51"/>
      <c r="AJ101" s="51"/>
      <c r="AK101" s="51"/>
      <c r="AL101" s="27"/>
      <c r="AM101" s="27"/>
      <c r="AN101" s="27"/>
      <c r="AO101" s="27"/>
      <c r="AP101" s="51"/>
      <c r="AQ101" s="51"/>
      <c r="AR101" s="52">
        <v>0.32596875000000003</v>
      </c>
      <c r="AS101" s="52">
        <v>6.9056744643720379E-3</v>
      </c>
      <c r="AT101" s="24">
        <v>0.3089062500000001</v>
      </c>
      <c r="AU101" s="24">
        <v>0.12408250870696445</v>
      </c>
      <c r="AV101" s="24">
        <v>0.32976041666666672</v>
      </c>
      <c r="AW101" s="24">
        <v>4.8948713150574454E-2</v>
      </c>
    </row>
    <row r="102" spans="1:49">
      <c r="A102" s="50">
        <f>A101+1</f>
        <v>44475</v>
      </c>
      <c r="B102" s="62">
        <v>0.66044896499588523</v>
      </c>
      <c r="C102" s="58">
        <v>22.900000000000002</v>
      </c>
      <c r="D102" s="57">
        <v>3.5381836941664382</v>
      </c>
      <c r="E102" s="56">
        <v>0</v>
      </c>
      <c r="F102" s="56"/>
      <c r="G102" s="51"/>
      <c r="H102" s="49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4">
        <v>0.108</v>
      </c>
      <c r="Z102" s="27"/>
      <c r="AA102" s="27"/>
      <c r="AB102" s="27"/>
      <c r="AC102" s="27"/>
      <c r="AD102" s="27"/>
      <c r="AE102" s="27"/>
      <c r="AF102" s="27"/>
      <c r="AG102" s="27"/>
      <c r="AH102" s="27"/>
      <c r="AI102" s="51"/>
      <c r="AJ102" s="51"/>
      <c r="AK102" s="51"/>
      <c r="AL102" s="27"/>
      <c r="AM102" s="27"/>
      <c r="AN102" s="27"/>
      <c r="AO102" s="27"/>
      <c r="AP102" s="51"/>
      <c r="AQ102" s="51"/>
      <c r="AR102" s="52">
        <v>0.32354356060606049</v>
      </c>
      <c r="AS102" s="52">
        <v>7.2532013767165849E-3</v>
      </c>
      <c r="AT102" s="24">
        <v>0.30642708333333352</v>
      </c>
      <c r="AU102" s="24">
        <v>0.12266829514459132</v>
      </c>
      <c r="AV102" s="24">
        <v>0.32734722222222207</v>
      </c>
      <c r="AW102" s="24">
        <v>4.9229010027023096E-2</v>
      </c>
    </row>
    <row r="103" spans="1:49">
      <c r="A103" s="50">
        <f>A102+1</f>
        <v>44476</v>
      </c>
      <c r="B103" s="62">
        <v>0.73644561989090762</v>
      </c>
      <c r="C103" s="58">
        <v>21.589583333333326</v>
      </c>
      <c r="D103" s="57">
        <v>3.9033531984898073</v>
      </c>
      <c r="E103" s="56">
        <v>0</v>
      </c>
      <c r="F103" s="56"/>
      <c r="G103" s="51"/>
      <c r="H103" s="49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4">
        <v>0.10627777777777779</v>
      </c>
      <c r="Z103" s="27"/>
      <c r="AA103" s="27"/>
      <c r="AB103" s="27"/>
      <c r="AC103" s="27"/>
      <c r="AD103" s="27"/>
      <c r="AE103" s="27"/>
      <c r="AF103" s="27"/>
      <c r="AG103" s="27"/>
      <c r="AH103" s="27"/>
      <c r="AI103" s="51"/>
      <c r="AJ103" s="51"/>
      <c r="AK103" s="51"/>
      <c r="AL103" s="27"/>
      <c r="AM103" s="27"/>
      <c r="AN103" s="27"/>
      <c r="AO103" s="27"/>
      <c r="AP103" s="51"/>
      <c r="AQ103" s="51"/>
      <c r="AR103" s="52">
        <v>0.32138257575757567</v>
      </c>
      <c r="AS103" s="52">
        <v>7.4728330284487745E-3</v>
      </c>
      <c r="AT103" s="24">
        <v>0.30441666666666656</v>
      </c>
      <c r="AU103" s="24">
        <v>0.12197591975467953</v>
      </c>
      <c r="AV103" s="24">
        <v>0.32515277777777779</v>
      </c>
      <c r="AW103" s="24">
        <v>4.9515227502553209E-2</v>
      </c>
    </row>
    <row r="104" spans="1:49">
      <c r="A104" s="50">
        <f>A103+1</f>
        <v>44477</v>
      </c>
      <c r="B104" s="62">
        <v>0.43639121965116173</v>
      </c>
      <c r="C104" s="58">
        <v>19.837499999999999</v>
      </c>
      <c r="D104" s="57">
        <v>4.1451951227429573</v>
      </c>
      <c r="E104" s="56">
        <v>0.89999999999999991</v>
      </c>
      <c r="F104" s="56"/>
      <c r="G104" s="51"/>
      <c r="H104" s="49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4">
        <v>0.10356521739130439</v>
      </c>
      <c r="Z104" s="27"/>
      <c r="AA104" s="27"/>
      <c r="AB104" s="27"/>
      <c r="AC104" s="27"/>
      <c r="AD104" s="27"/>
      <c r="AE104" s="27"/>
      <c r="AF104" s="27"/>
      <c r="AG104" s="27"/>
      <c r="AH104" s="27"/>
      <c r="AI104" s="51"/>
      <c r="AJ104" s="51"/>
      <c r="AK104" s="51"/>
      <c r="AL104" s="27"/>
      <c r="AM104" s="27"/>
      <c r="AN104" s="27"/>
      <c r="AO104" s="27"/>
      <c r="AP104" s="51"/>
      <c r="AQ104" s="51"/>
      <c r="AR104" s="52">
        <v>0.31903787878787881</v>
      </c>
      <c r="AS104" s="52">
        <v>7.6978215497352925E-3</v>
      </c>
      <c r="AT104" s="24">
        <v>0.30136458333333338</v>
      </c>
      <c r="AU104" s="24">
        <v>0.12007557028024078</v>
      </c>
      <c r="AV104" s="24">
        <v>0.32296527777777784</v>
      </c>
      <c r="AW104" s="24">
        <v>4.9690802068242168E-2</v>
      </c>
    </row>
    <row r="105" spans="1:49">
      <c r="A105" s="60">
        <f>A104+1</f>
        <v>44478</v>
      </c>
      <c r="B105" s="59">
        <v>8.8088862599063941E-2</v>
      </c>
      <c r="C105" s="58">
        <v>18.279166666666665</v>
      </c>
      <c r="D105" s="57">
        <v>3.6025703965147051</v>
      </c>
      <c r="E105" s="56">
        <v>1.2</v>
      </c>
      <c r="F105" s="56"/>
      <c r="G105" s="51"/>
      <c r="H105" s="49"/>
      <c r="I105" s="55">
        <v>-8.6834299999999995</v>
      </c>
      <c r="J105" s="27"/>
      <c r="K105" s="54">
        <f>AVERAGE(I105:J105)</f>
        <v>-8.6834299999999995</v>
      </c>
      <c r="L105" s="54">
        <v>0</v>
      </c>
      <c r="M105" s="24">
        <v>-6.2673805000000007</v>
      </c>
      <c r="N105" s="24">
        <v>-6.4831479999999999</v>
      </c>
      <c r="O105" s="24">
        <v>-5.1741584999999999</v>
      </c>
      <c r="P105" s="24">
        <v>-4.5213235000000003</v>
      </c>
      <c r="Q105" s="51">
        <f>AVERAGE(M105:P105)</f>
        <v>-5.6115026250000009</v>
      </c>
      <c r="R105" s="51">
        <f>STDEV(M105:P105)</f>
        <v>0.92550920307528362</v>
      </c>
      <c r="S105" s="51">
        <v>-9.057167999999999</v>
      </c>
      <c r="T105" s="51">
        <v>-7.8634170000000001</v>
      </c>
      <c r="U105" s="51">
        <v>-8.8148610000000005</v>
      </c>
      <c r="V105" s="51">
        <v>-9.2216699999999996</v>
      </c>
      <c r="W105" s="51">
        <f>AVERAGE(S105:V105)</f>
        <v>-8.7392789999999998</v>
      </c>
      <c r="X105" s="51">
        <f>STDEV(S105:V105)</f>
        <v>0.60734432160842633</v>
      </c>
      <c r="Y105" s="24">
        <v>0.17321875</v>
      </c>
      <c r="Z105" s="24">
        <v>-8.9971160000000019</v>
      </c>
      <c r="AA105" s="24">
        <v>-9.7493310340428927</v>
      </c>
      <c r="AB105" s="24">
        <v>-9.6444185000000004</v>
      </c>
      <c r="AC105" s="24">
        <v>-9.6576965000000001</v>
      </c>
      <c r="AD105" s="24">
        <v>-8.4560375000000008</v>
      </c>
      <c r="AE105" s="24">
        <v>-9.8092870000000012</v>
      </c>
      <c r="AF105" s="24">
        <v>-9.8786462245010735</v>
      </c>
      <c r="AG105" s="24">
        <v>-10.229756999999999</v>
      </c>
      <c r="AH105" s="51">
        <f>AVERAGE(Z105,AD105)</f>
        <v>-8.7265767500000013</v>
      </c>
      <c r="AI105" s="51">
        <f>STDEV(Z105,AD105)</f>
        <v>0.38260027650424616</v>
      </c>
      <c r="AJ105" s="51">
        <f>AVERAGE(AA105:AC105,AE105:AG105)</f>
        <v>-9.8281893764239943</v>
      </c>
      <c r="AK105" s="51">
        <f>STDEV(AA105:AC105,AE105:AG105)</f>
        <v>0.21597126834507088</v>
      </c>
      <c r="AL105" s="51">
        <v>-8.5836690000000004</v>
      </c>
      <c r="AM105" s="51">
        <v>-8.9160074999999992</v>
      </c>
      <c r="AN105" s="51">
        <v>-8.4469545000000004</v>
      </c>
      <c r="AO105" s="51">
        <v>-8.8604324999999999</v>
      </c>
      <c r="AP105" s="51">
        <f>AVERAGE(AL105:AO105)</f>
        <v>-8.7017658749999995</v>
      </c>
      <c r="AQ105" s="51">
        <f>STDEV(AL105:AO105)</f>
        <v>0.22356973594062832</v>
      </c>
      <c r="AR105" s="52">
        <v>0.31761837121212128</v>
      </c>
      <c r="AS105" s="52">
        <v>8.0105288099760353E-3</v>
      </c>
      <c r="AT105" s="24">
        <v>0.30310416666666662</v>
      </c>
      <c r="AU105" s="24">
        <v>0.12359637279489888</v>
      </c>
      <c r="AV105" s="24">
        <v>0.32084375000000009</v>
      </c>
      <c r="AW105" s="24">
        <v>5.0552876865466181E-2</v>
      </c>
    </row>
    <row r="106" spans="1:49">
      <c r="A106" s="50">
        <f>A105+1</f>
        <v>44479</v>
      </c>
      <c r="B106" s="62">
        <v>0.10788223566266177</v>
      </c>
      <c r="C106" s="61">
        <v>15.652083333333335</v>
      </c>
      <c r="D106" s="24">
        <v>1.4067352087146943</v>
      </c>
      <c r="E106" s="56">
        <v>21.599999999999994</v>
      </c>
      <c r="F106" s="56">
        <f>E106</f>
        <v>21.599999999999994</v>
      </c>
      <c r="G106" s="51">
        <v>-8.6042097241940017</v>
      </c>
      <c r="H106" s="51">
        <v>-60.339670997924273</v>
      </c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4">
        <v>0.2479166666666667</v>
      </c>
      <c r="Z106" s="27"/>
      <c r="AA106" s="27"/>
      <c r="AB106" s="27"/>
      <c r="AC106" s="27"/>
      <c r="AD106" s="27"/>
      <c r="AE106" s="27"/>
      <c r="AF106" s="27"/>
      <c r="AG106" s="27"/>
      <c r="AH106" s="27"/>
      <c r="AI106" s="51"/>
      <c r="AJ106" s="51"/>
      <c r="AK106" s="51"/>
      <c r="AL106" s="27"/>
      <c r="AM106" s="27"/>
      <c r="AN106" s="27"/>
      <c r="AO106" s="27"/>
      <c r="AP106" s="51"/>
      <c r="AQ106" s="51"/>
      <c r="AR106" s="52">
        <v>0.31992329545454551</v>
      </c>
      <c r="AS106" s="52">
        <v>6.1610695963044033E-3</v>
      </c>
      <c r="AT106" s="24">
        <v>0.31925000000000003</v>
      </c>
      <c r="AU106" s="24">
        <v>0.14601755031502214</v>
      </c>
      <c r="AV106" s="24">
        <v>0.32007291666666671</v>
      </c>
      <c r="AW106" s="24">
        <v>5.0936621072853683E-2</v>
      </c>
    </row>
    <row r="107" spans="1:49">
      <c r="A107" s="50">
        <f>A106+1</f>
        <v>44480</v>
      </c>
      <c r="B107" s="62">
        <v>0.2178841865181016</v>
      </c>
      <c r="C107" s="61">
        <v>13.643749999999999</v>
      </c>
      <c r="D107" s="24">
        <v>1.4305476062327676</v>
      </c>
      <c r="E107" s="56">
        <v>2.3000000000000003</v>
      </c>
      <c r="F107" s="56"/>
      <c r="G107" s="49"/>
      <c r="H107" s="49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4">
        <v>0.22733333333333336</v>
      </c>
      <c r="Z107" s="27"/>
      <c r="AA107" s="27"/>
      <c r="AB107" s="27"/>
      <c r="AC107" s="27"/>
      <c r="AD107" s="27"/>
      <c r="AE107" s="27"/>
      <c r="AF107" s="27"/>
      <c r="AG107" s="27"/>
      <c r="AH107" s="27"/>
      <c r="AI107" s="51"/>
      <c r="AJ107" s="51"/>
      <c r="AK107" s="51"/>
      <c r="AL107" s="27"/>
      <c r="AM107" s="27"/>
      <c r="AN107" s="27"/>
      <c r="AO107" s="27"/>
      <c r="AP107" s="51"/>
      <c r="AQ107" s="51"/>
      <c r="AR107" s="52">
        <v>0.31838636363636363</v>
      </c>
      <c r="AS107" s="52">
        <v>6.7068006821633143E-3</v>
      </c>
      <c r="AT107" s="24">
        <v>0.3148437500000002</v>
      </c>
      <c r="AU107" s="24">
        <v>0.13910852780717853</v>
      </c>
      <c r="AV107" s="24">
        <v>0.31917361111111103</v>
      </c>
      <c r="AW107" s="24">
        <v>5.0698529706016335E-2</v>
      </c>
    </row>
    <row r="108" spans="1:49">
      <c r="A108" s="50">
        <f>A107+1</f>
        <v>44481</v>
      </c>
      <c r="B108" s="62">
        <v>0.19316117406423305</v>
      </c>
      <c r="C108" s="61">
        <v>14.514583333333334</v>
      </c>
      <c r="D108" s="24">
        <v>2.3862493564633671</v>
      </c>
      <c r="E108" s="56">
        <v>0.2</v>
      </c>
      <c r="F108" s="56"/>
      <c r="G108" s="49"/>
      <c r="H108" s="49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4">
        <v>0.20938461538461542</v>
      </c>
      <c r="Z108" s="27"/>
      <c r="AA108" s="27"/>
      <c r="AB108" s="27"/>
      <c r="AC108" s="27"/>
      <c r="AD108" s="27"/>
      <c r="AE108" s="27"/>
      <c r="AF108" s="27"/>
      <c r="AG108" s="27"/>
      <c r="AH108" s="27"/>
      <c r="AI108" s="51"/>
      <c r="AJ108" s="51"/>
      <c r="AK108" s="51"/>
      <c r="AL108" s="27"/>
      <c r="AM108" s="27"/>
      <c r="AN108" s="27"/>
      <c r="AO108" s="27"/>
      <c r="AP108" s="51"/>
      <c r="AQ108" s="51"/>
      <c r="AR108" s="52">
        <v>0.31743276515151519</v>
      </c>
      <c r="AS108" s="52">
        <v>7.1346806378244408E-3</v>
      </c>
      <c r="AT108" s="24">
        <v>0.31192708333333341</v>
      </c>
      <c r="AU108" s="24">
        <v>0.13398200364357629</v>
      </c>
      <c r="AV108" s="24">
        <v>0.31865625000000003</v>
      </c>
      <c r="AW108" s="24">
        <v>5.0618461083191388E-2</v>
      </c>
    </row>
    <row r="109" spans="1:49">
      <c r="A109" s="50">
        <f>A108+1</f>
        <v>44482</v>
      </c>
      <c r="B109" s="62">
        <v>0.13917713859079131</v>
      </c>
      <c r="C109" s="61">
        <v>14.283333333333337</v>
      </c>
      <c r="D109" s="24">
        <v>1.6736698269045347</v>
      </c>
      <c r="E109" s="56">
        <v>0</v>
      </c>
      <c r="F109" s="56"/>
      <c r="G109" s="49"/>
      <c r="H109" s="49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4">
        <v>0.20688571428571431</v>
      </c>
      <c r="Z109" s="27"/>
      <c r="AA109" s="27"/>
      <c r="AB109" s="27"/>
      <c r="AC109" s="27"/>
      <c r="AD109" s="27"/>
      <c r="AE109" s="27"/>
      <c r="AF109" s="27"/>
      <c r="AG109" s="27"/>
      <c r="AH109" s="27"/>
      <c r="AI109" s="51"/>
      <c r="AJ109" s="51"/>
      <c r="AK109" s="51"/>
      <c r="AL109" s="27"/>
      <c r="AM109" s="27"/>
      <c r="AN109" s="27"/>
      <c r="AO109" s="27"/>
      <c r="AP109" s="51"/>
      <c r="AQ109" s="51"/>
      <c r="AR109" s="52">
        <v>0.31647537878787879</v>
      </c>
      <c r="AS109" s="52">
        <v>7.3898015503549123E-3</v>
      </c>
      <c r="AT109" s="24">
        <v>0.30998958333333332</v>
      </c>
      <c r="AU109" s="24">
        <v>0.13097679982353319</v>
      </c>
      <c r="AV109" s="24">
        <v>0.31791666666666668</v>
      </c>
      <c r="AW109" s="24">
        <v>5.0663228022019204E-2</v>
      </c>
    </row>
    <row r="110" spans="1:49">
      <c r="A110" s="50">
        <f>A109+1</f>
        <v>44483</v>
      </c>
      <c r="B110" s="62">
        <v>0.16260612155931461</v>
      </c>
      <c r="C110" s="61">
        <v>14.837499999999999</v>
      </c>
      <c r="D110" s="24">
        <v>1.5175610536193072</v>
      </c>
      <c r="E110" s="56">
        <v>2.2000000000000002</v>
      </c>
      <c r="F110" s="56"/>
      <c r="G110" s="51"/>
      <c r="H110" s="49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4">
        <v>0.21226470588235297</v>
      </c>
      <c r="Z110" s="27"/>
      <c r="AA110" s="27"/>
      <c r="AB110" s="27"/>
      <c r="AC110" s="27"/>
      <c r="AD110" s="27"/>
      <c r="AE110" s="27"/>
      <c r="AF110" s="27"/>
      <c r="AG110" s="27"/>
      <c r="AH110" s="27"/>
      <c r="AI110" s="51"/>
      <c r="AJ110" s="51"/>
      <c r="AK110" s="51"/>
      <c r="AL110" s="27"/>
      <c r="AM110" s="27"/>
      <c r="AN110" s="27"/>
      <c r="AO110" s="27"/>
      <c r="AP110" s="51"/>
      <c r="AQ110" s="51"/>
      <c r="AR110" s="52">
        <v>0.31611931818181815</v>
      </c>
      <c r="AS110" s="52">
        <v>7.5451507674337429E-3</v>
      </c>
      <c r="AT110" s="24">
        <v>0.30900000000000011</v>
      </c>
      <c r="AU110" s="24">
        <v>0.12869343417595172</v>
      </c>
      <c r="AV110" s="24">
        <v>0.31770138888888888</v>
      </c>
      <c r="AW110" s="24">
        <v>5.0655688000972837E-2</v>
      </c>
    </row>
    <row r="111" spans="1:49">
      <c r="A111" s="50">
        <f>A110+1</f>
        <v>44484</v>
      </c>
      <c r="B111" s="62">
        <v>0.21130365239483226</v>
      </c>
      <c r="C111" s="61">
        <v>14.068749999999996</v>
      </c>
      <c r="D111" s="24">
        <v>1.767332465198602</v>
      </c>
      <c r="E111" s="56">
        <v>1.4</v>
      </c>
      <c r="F111" s="56"/>
      <c r="G111" s="51"/>
      <c r="H111" s="49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4">
        <v>0.20600000000000002</v>
      </c>
      <c r="Z111" s="27"/>
      <c r="AA111" s="27"/>
      <c r="AB111" s="27"/>
      <c r="AC111" s="27"/>
      <c r="AD111" s="27"/>
      <c r="AE111" s="27"/>
      <c r="AF111" s="27"/>
      <c r="AG111" s="27"/>
      <c r="AH111" s="27"/>
      <c r="AI111" s="51"/>
      <c r="AJ111" s="51"/>
      <c r="AK111" s="51"/>
      <c r="AL111" s="27"/>
      <c r="AM111" s="27"/>
      <c r="AN111" s="27"/>
      <c r="AO111" s="27"/>
      <c r="AP111" s="51"/>
      <c r="AQ111" s="51"/>
      <c r="AR111" s="52">
        <v>0.31498958333333327</v>
      </c>
      <c r="AS111" s="52">
        <v>7.6368871585535368E-3</v>
      </c>
      <c r="AT111" s="24">
        <v>0.30558333333333326</v>
      </c>
      <c r="AU111" s="24">
        <v>0.12562930479081003</v>
      </c>
      <c r="AV111" s="24">
        <v>0.31707986111111103</v>
      </c>
      <c r="AW111" s="24">
        <v>5.0506069864634275E-2</v>
      </c>
    </row>
    <row r="112" spans="1:49">
      <c r="A112" s="50">
        <f>A111+1</f>
        <v>44485</v>
      </c>
      <c r="B112" s="62">
        <v>0.23138127693421309</v>
      </c>
      <c r="C112" s="61">
        <v>11.516666666666667</v>
      </c>
      <c r="D112" s="24">
        <v>1.4431523095200369</v>
      </c>
      <c r="E112" s="56">
        <v>0.2</v>
      </c>
      <c r="F112" s="56"/>
      <c r="G112" s="51"/>
      <c r="H112" s="49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53" t="e">
        <f>0.6108*#REF!-0.0023</f>
        <v>#REF!</v>
      </c>
      <c r="Z112" s="27"/>
      <c r="AA112" s="27"/>
      <c r="AB112" s="27"/>
      <c r="AC112" s="27"/>
      <c r="AD112" s="27"/>
      <c r="AE112" s="27"/>
      <c r="AF112" s="27"/>
      <c r="AG112" s="27"/>
      <c r="AH112" s="27"/>
      <c r="AI112" s="51"/>
      <c r="AJ112" s="51"/>
      <c r="AK112" s="51"/>
      <c r="AL112" s="27"/>
      <c r="AM112" s="27"/>
      <c r="AN112" s="27"/>
      <c r="AO112" s="27"/>
      <c r="AP112" s="51"/>
      <c r="AQ112" s="51"/>
      <c r="AR112" s="52">
        <v>0.31298390151515149</v>
      </c>
      <c r="AS112" s="52">
        <v>7.4949301153608809E-3</v>
      </c>
      <c r="AT112" s="24">
        <v>0.30180208333333347</v>
      </c>
      <c r="AU112" s="24">
        <v>0.12299238575263494</v>
      </c>
      <c r="AV112" s="24">
        <v>0.31546874999999996</v>
      </c>
      <c r="AW112" s="24">
        <v>4.9909191409526488E-2</v>
      </c>
    </row>
    <row r="113" spans="1:49">
      <c r="A113" s="60">
        <f>A112+1</f>
        <v>44486</v>
      </c>
      <c r="B113" s="59">
        <v>0.33493215851641162</v>
      </c>
      <c r="C113" s="58">
        <v>11.2875</v>
      </c>
      <c r="D113" s="57">
        <v>2.154072881938387</v>
      </c>
      <c r="E113" s="56">
        <v>0</v>
      </c>
      <c r="F113" s="56"/>
      <c r="G113" s="51"/>
      <c r="H113" s="49"/>
      <c r="I113" s="55">
        <v>-8.4287609999999979</v>
      </c>
      <c r="J113" s="27"/>
      <c r="K113" s="54">
        <f>AVERAGE(I113:J113)</f>
        <v>-8.4287609999999979</v>
      </c>
      <c r="L113" s="54"/>
      <c r="M113" s="24">
        <v>-6.8690499999999988</v>
      </c>
      <c r="N113" s="24">
        <v>-7.345597999999999</v>
      </c>
      <c r="O113" s="24">
        <v>-8.3806689999999993</v>
      </c>
      <c r="P113" s="24">
        <v>-8.1074189999999984</v>
      </c>
      <c r="Q113" s="51">
        <f>AVERAGE(M113:P113)</f>
        <v>-7.6756839999999986</v>
      </c>
      <c r="R113" s="51">
        <f>STDEV(M113:P113)</f>
        <v>0.69354503285703573</v>
      </c>
      <c r="S113" s="51">
        <v>-7.9795379999999998</v>
      </c>
      <c r="T113" s="51">
        <v>-8.2134400000000003</v>
      </c>
      <c r="U113" s="51">
        <v>-8.1566039999999997</v>
      </c>
      <c r="V113" s="51">
        <v>-8.3784829999999992</v>
      </c>
      <c r="W113" s="51">
        <f>AVERAGE(S113:V113)</f>
        <v>-8.1820162500000002</v>
      </c>
      <c r="X113" s="51">
        <f>STDEV(S113:V113)</f>
        <v>0.16454974941006931</v>
      </c>
      <c r="Y113" s="53" t="e">
        <f>0.6108*#REF!-0.0023</f>
        <v>#REF!</v>
      </c>
      <c r="Z113" s="24">
        <v>-8.0833729999999999</v>
      </c>
      <c r="AA113" s="24">
        <v>-9.4879535793959153</v>
      </c>
      <c r="AB113" s="24">
        <v>-10.049679999999999</v>
      </c>
      <c r="AC113" s="24">
        <v>-9.5840619999999994</v>
      </c>
      <c r="AD113" s="24">
        <v>-8.449527999999999</v>
      </c>
      <c r="AE113" s="24">
        <v>-9.8868229999999997</v>
      </c>
      <c r="AF113" s="24">
        <v>-9.8469528596492903</v>
      </c>
      <c r="AG113" s="24">
        <v>-10.326208999999999</v>
      </c>
      <c r="AH113" s="51">
        <f>AVERAGE(Z113,AD113)</f>
        <v>-8.2664504999999995</v>
      </c>
      <c r="AI113" s="51">
        <f>STDEV(Z113,AD113)</f>
        <v>0.25891068346535967</v>
      </c>
      <c r="AJ113" s="51">
        <f>AVERAGE(AA113:AC113,AE113:AG113)</f>
        <v>-9.8636134065075343</v>
      </c>
      <c r="AK113" s="51">
        <f>STDEV(AA113:AC113,AE113:AG113)</f>
        <v>0.30617021865952576</v>
      </c>
      <c r="AL113" s="51">
        <v>-8.9380989999999994</v>
      </c>
      <c r="AM113" s="51">
        <v>-8.8921930000000007</v>
      </c>
      <c r="AN113" s="51">
        <v>-8.4593649999999982</v>
      </c>
      <c r="AO113" s="51">
        <v>-8.7828929999999996</v>
      </c>
      <c r="AP113" s="51">
        <f>AVERAGE(AL113:AO113)</f>
        <v>-8.7681374999999999</v>
      </c>
      <c r="AQ113" s="51">
        <f>STDEV(AL113:AO113)</f>
        <v>0.21589724415332479</v>
      </c>
      <c r="AR113" s="52">
        <v>0.31200568181818178</v>
      </c>
      <c r="AS113" s="52">
        <v>7.4179251155157468E-3</v>
      </c>
      <c r="AT113" s="24">
        <v>0.30056250000000007</v>
      </c>
      <c r="AU113" s="24">
        <v>0.1217402174942839</v>
      </c>
      <c r="AV113" s="24">
        <v>0.3145486111111111</v>
      </c>
      <c r="AW113" s="24">
        <v>4.961623849794717E-2</v>
      </c>
    </row>
    <row r="114" spans="1:49">
      <c r="A114" s="50"/>
      <c r="B114" s="50"/>
      <c r="C114" s="50"/>
      <c r="D114" s="50"/>
      <c r="E114" s="49"/>
      <c r="F114" s="49" t="s">
        <v>24</v>
      </c>
      <c r="G114" s="51">
        <f>MAX(G12:G113)</f>
        <v>-2.7995952679897003</v>
      </c>
      <c r="H114" s="51"/>
      <c r="I114" s="51">
        <f>MAX(I12:I113)</f>
        <v>-7.9926580000000005</v>
      </c>
      <c r="J114" s="51"/>
      <c r="K114" s="51">
        <f>MAX(K12:K113)</f>
        <v>-7.9926580000000005</v>
      </c>
      <c r="L114" s="51"/>
      <c r="M114" s="51"/>
      <c r="N114" s="51"/>
      <c r="O114" s="51">
        <f>MAX(O12:O113)</f>
        <v>-5.1741584999999999</v>
      </c>
      <c r="P114" s="51">
        <f>MAX(P12:P113)</f>
        <v>-4.5213235000000003</v>
      </c>
      <c r="Q114" s="51">
        <f>MAX(Q12:Q113)</f>
        <v>-5.6115026250000009</v>
      </c>
      <c r="R114" s="51"/>
      <c r="S114" s="51"/>
      <c r="T114" s="51"/>
      <c r="U114" s="51">
        <f>MAX(U12:U113)</f>
        <v>-8.0879357999999986</v>
      </c>
      <c r="V114" s="51">
        <f>MAX(V12:V113)</f>
        <v>-8.3784829999999992</v>
      </c>
      <c r="W114" s="51">
        <f>MAX(W12:W113)</f>
        <v>-8.1820162500000002</v>
      </c>
      <c r="X114" s="51"/>
      <c r="Y114" s="51" t="e">
        <f>MAX(Y12:Y113)</f>
        <v>#REF!</v>
      </c>
      <c r="Z114" s="51"/>
      <c r="AA114" s="51"/>
      <c r="AB114" s="51"/>
      <c r="AC114" s="51"/>
      <c r="AD114" s="51"/>
      <c r="AE114" s="51"/>
      <c r="AF114" s="51"/>
      <c r="AG114" s="51"/>
      <c r="AH114" s="51">
        <f>MAX(AH12:AH113)</f>
        <v>-7.8900153</v>
      </c>
      <c r="AI114" s="51"/>
      <c r="AJ114" s="51">
        <f>MAX(AJ12:AJ113)</f>
        <v>-9.0783721124356855</v>
      </c>
      <c r="AK114" s="51"/>
      <c r="AL114" s="51"/>
      <c r="AM114" s="51"/>
      <c r="AN114" s="51"/>
      <c r="AO114" s="51"/>
      <c r="AP114" s="51">
        <f>MAX(AP12:AP113)</f>
        <v>-8.1347384250000001</v>
      </c>
      <c r="AQ114" s="51"/>
      <c r="AR114" s="51">
        <f>MAX(AR12:AR113)</f>
        <v>0.53524053030303043</v>
      </c>
      <c r="AS114" s="51">
        <f>MAX(AS12:AS113)</f>
        <v>6.2896344656109993E-2</v>
      </c>
      <c r="AT114" s="51">
        <f>MAX(AT12:AT113)</f>
        <v>0.54322916666666665</v>
      </c>
      <c r="AU114" s="51">
        <f>MAX(AU12:AU113)</f>
        <v>0.16509470201578388</v>
      </c>
      <c r="AV114" s="51">
        <f>MAX(AV12:AV113)</f>
        <v>0.53346527777777797</v>
      </c>
      <c r="AW114" s="51">
        <f>MAX(AW12:AW113)</f>
        <v>0.1325187504203198</v>
      </c>
    </row>
    <row r="115" spans="1:49">
      <c r="A115" s="50"/>
      <c r="B115" s="50"/>
      <c r="C115" s="50"/>
      <c r="D115" s="50"/>
      <c r="E115" s="49"/>
      <c r="F115" s="49" t="s">
        <v>23</v>
      </c>
      <c r="G115" s="51">
        <f>MIN(G12:G113)</f>
        <v>-17.859000000000002</v>
      </c>
      <c r="H115" s="51"/>
      <c r="I115" s="51">
        <f>MIN(I12:I113)</f>
        <v>-9.0204331000000018</v>
      </c>
      <c r="J115" s="51"/>
      <c r="K115" s="51">
        <f>MIN(K12:K113)</f>
        <v>-8.9777313999999997</v>
      </c>
      <c r="L115" s="51"/>
      <c r="M115" s="51"/>
      <c r="N115" s="51"/>
      <c r="O115" s="51">
        <f>MIN(O12:O113)</f>
        <v>-13.124747599999997</v>
      </c>
      <c r="P115" s="51">
        <f>MIN(P12:P113)</f>
        <v>-13.051516399999999</v>
      </c>
      <c r="Q115" s="51">
        <f>MIN(Q12:Q113)</f>
        <v>-12.578310624999999</v>
      </c>
      <c r="R115" s="51"/>
      <c r="S115" s="51"/>
      <c r="T115" s="51"/>
      <c r="U115" s="51">
        <f>MIN(U12:U113)</f>
        <v>-11.756748099999999</v>
      </c>
      <c r="V115" s="51">
        <f>MIN(V12:V113)</f>
        <v>-10.855597499999998</v>
      </c>
      <c r="W115" s="51">
        <f>MIN(W12:W113)</f>
        <v>-10.692861499999999</v>
      </c>
      <c r="X115" s="51"/>
      <c r="Y115" s="51" t="e">
        <f>MIN(Y12:Y113)</f>
        <v>#REF!</v>
      </c>
      <c r="Z115" s="51"/>
      <c r="AA115" s="51"/>
      <c r="AB115" s="51"/>
      <c r="AC115" s="51"/>
      <c r="AD115" s="51"/>
      <c r="AE115" s="51"/>
      <c r="AF115" s="51"/>
      <c r="AG115" s="51"/>
      <c r="AH115" s="51">
        <f>MIN(AH12:AH113)</f>
        <v>-12.815763199999999</v>
      </c>
      <c r="AI115" s="51"/>
      <c r="AJ115" s="51">
        <f>MIN(AJ12:AJ113)</f>
        <v>-10.915923771339047</v>
      </c>
      <c r="AK115" s="51"/>
      <c r="AL115" s="51"/>
      <c r="AM115" s="51"/>
      <c r="AN115" s="51"/>
      <c r="AO115" s="51"/>
      <c r="AP115" s="51">
        <f>MIN(AP12:AP113)</f>
        <v>-11.263708874999999</v>
      </c>
      <c r="AQ115" s="51"/>
      <c r="AR115" s="51">
        <f>MIN(AR12:AR113)</f>
        <v>0.31200568181818178</v>
      </c>
      <c r="AS115" s="51">
        <f>MIN(AS12:AS113)</f>
        <v>6.1610695963044033E-3</v>
      </c>
      <c r="AT115" s="51">
        <f>MIN(AT12:AT113)</f>
        <v>0.30056250000000007</v>
      </c>
      <c r="AU115" s="51">
        <f>MIN(AU12:AU113)</f>
        <v>4.6330225558993368E-2</v>
      </c>
      <c r="AV115" s="51">
        <f>MIN(AV12:AV113)</f>
        <v>0.3145486111111111</v>
      </c>
      <c r="AW115" s="51">
        <f>MIN(AW12:AW113)</f>
        <v>4.8566886778127372E-2</v>
      </c>
    </row>
    <row r="116" spans="1:49">
      <c r="A116" s="50"/>
      <c r="B116" s="50"/>
      <c r="C116" s="50"/>
      <c r="D116" s="50"/>
      <c r="E116" s="49"/>
      <c r="F116" s="49" t="s">
        <v>22</v>
      </c>
      <c r="G116" s="51">
        <f>AVERAGE(G12:G113)</f>
        <v>-10.591782152992153</v>
      </c>
      <c r="H116" s="51"/>
      <c r="I116" s="51">
        <f>AVERAGE(I12:I113)</f>
        <v>-8.6050727642857137</v>
      </c>
      <c r="J116" s="51"/>
      <c r="K116" s="51">
        <f>AVERAGE(K12:K113)</f>
        <v>-8.6109135142857145</v>
      </c>
      <c r="L116" s="51"/>
      <c r="M116" s="51"/>
      <c r="N116" s="51"/>
      <c r="O116" s="51">
        <f>AVERAGE(O12:O113)</f>
        <v>-9.5297160071428575</v>
      </c>
      <c r="P116" s="51">
        <f>AVERAGE(P12:P113)</f>
        <v>-8.8850731714285711</v>
      </c>
      <c r="Q116" s="51">
        <f>AVERAGE(Q12:Q113)</f>
        <v>-9.2907504339285705</v>
      </c>
      <c r="R116" s="51"/>
      <c r="S116" s="51"/>
      <c r="T116" s="51"/>
      <c r="U116" s="51">
        <f>AVERAGE(U12:U113)</f>
        <v>-9.2764889071428573</v>
      </c>
      <c r="V116" s="51">
        <f>AVERAGE(V12:V113)</f>
        <v>-9.5204279428571432</v>
      </c>
      <c r="W116" s="51">
        <f>AVERAGE(W12:W113)</f>
        <v>-9.2453239982142854</v>
      </c>
      <c r="X116" s="51"/>
      <c r="Y116" s="51" t="e">
        <f>AVERAGE(Y12:Y113)</f>
        <v>#REF!</v>
      </c>
      <c r="Z116" s="51"/>
      <c r="AA116" s="51"/>
      <c r="AB116" s="51"/>
      <c r="AC116" s="51"/>
      <c r="AD116" s="51"/>
      <c r="AE116" s="51"/>
      <c r="AF116" s="51"/>
      <c r="AG116" s="51"/>
      <c r="AH116" s="51">
        <f>AVERAGE(AH12:AH113)</f>
        <v>-10.108009725000001</v>
      </c>
      <c r="AI116" s="51"/>
      <c r="AJ116" s="51">
        <f>AVERAGE(AJ12:AJ113)</f>
        <v>-10.067553139756109</v>
      </c>
      <c r="AK116" s="51"/>
      <c r="AL116" s="51"/>
      <c r="AM116" s="51"/>
      <c r="AN116" s="51"/>
      <c r="AO116" s="51"/>
      <c r="AP116" s="51">
        <f>AVERAGE(AP12:AP113)</f>
        <v>-9.349733474999999</v>
      </c>
      <c r="AQ116" s="51"/>
      <c r="AR116" s="51">
        <f>AVERAGE(AR12:AR113)</f>
        <v>0.41229973447712426</v>
      </c>
      <c r="AS116" s="51">
        <f>AVERAGE(AS12:AS113)</f>
        <v>2.0121629662429506E-2</v>
      </c>
      <c r="AT116" s="51">
        <f>AVERAGE(AT12:AT113)</f>
        <v>0.39778073937908492</v>
      </c>
      <c r="AU116" s="51">
        <f>AVERAGE(AU12:AU113)</f>
        <v>0.12291020769738688</v>
      </c>
      <c r="AV116" s="51">
        <f>AVERAGE(AV12:AV113)</f>
        <v>0.41552617783224399</v>
      </c>
      <c r="AW116" s="51">
        <f>AVERAGE(AW12:AW113)</f>
        <v>6.9563772867670848E-2</v>
      </c>
    </row>
  </sheetData>
  <mergeCells count="14">
    <mergeCell ref="AR3:AS3"/>
    <mergeCell ref="AT3:AU3"/>
    <mergeCell ref="AV3:AW3"/>
    <mergeCell ref="E3:H3"/>
    <mergeCell ref="M3:P3"/>
    <mergeCell ref="S3:V3"/>
    <mergeCell ref="Z3:AG3"/>
    <mergeCell ref="AL3:AO3"/>
    <mergeCell ref="A1:A2"/>
    <mergeCell ref="I1:J2"/>
    <mergeCell ref="M1:V1"/>
    <mergeCell ref="Z1:AO1"/>
    <mergeCell ref="M2:V2"/>
    <mergeCell ref="AL2:AO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800"/>
  <sheetViews>
    <sheetView workbookViewId="0">
      <pane xSplit="1" ySplit="2" topLeftCell="B183" activePane="bottomRight" state="frozen"/>
      <selection pane="topRight" activeCell="B1" sqref="B1"/>
      <selection pane="bottomLeft" activeCell="A5" sqref="A5"/>
      <selection pane="bottomRight" activeCell="H20" sqref="H20"/>
    </sheetView>
  </sheetViews>
  <sheetFormatPr defaultRowHeight="13.8"/>
  <cols>
    <col min="1" max="1" width="16.5546875" style="7" customWidth="1"/>
  </cols>
  <sheetData>
    <row r="1" spans="1:6" ht="16.8">
      <c r="A1" s="1" t="s">
        <v>0</v>
      </c>
      <c r="B1" s="27" t="s">
        <v>70</v>
      </c>
      <c r="C1" s="41" t="s">
        <v>69</v>
      </c>
      <c r="D1" s="41"/>
      <c r="E1" s="41"/>
      <c r="F1" s="41"/>
    </row>
    <row r="2" spans="1:6">
      <c r="A2" s="1" t="s">
        <v>71</v>
      </c>
      <c r="B2" s="5">
        <v>3</v>
      </c>
      <c r="C2" s="5">
        <v>7</v>
      </c>
      <c r="D2" s="5">
        <v>8</v>
      </c>
      <c r="E2" s="5">
        <v>5</v>
      </c>
      <c r="F2" s="5">
        <v>6</v>
      </c>
    </row>
    <row r="3" spans="1:6">
      <c r="A3" s="9">
        <v>43713</v>
      </c>
      <c r="B3" s="3">
        <v>156.67399639690964</v>
      </c>
      <c r="C3" s="3">
        <v>162.82053118589448</v>
      </c>
      <c r="D3" s="3">
        <v>238.22503262457087</v>
      </c>
      <c r="E3" s="3">
        <v>255.22930799751802</v>
      </c>
      <c r="F3" s="3">
        <v>170.0535629535508</v>
      </c>
    </row>
    <row r="4" spans="1:6">
      <c r="A4" s="9">
        <v>43714</v>
      </c>
      <c r="B4" s="3">
        <v>139.86930031306602</v>
      </c>
      <c r="C4" s="3">
        <v>99.771387173991926</v>
      </c>
      <c r="D4" s="3">
        <v>152.23788136461275</v>
      </c>
      <c r="E4" s="3">
        <v>172.95997856254013</v>
      </c>
      <c r="F4" s="3">
        <v>110.17258839902671</v>
      </c>
    </row>
    <row r="5" spans="1:6">
      <c r="A5" s="9">
        <v>43715</v>
      </c>
      <c r="B5" s="3">
        <v>154.15180629326869</v>
      </c>
      <c r="C5" s="3">
        <v>129.30236246327354</v>
      </c>
      <c r="D5" s="3">
        <v>157.94738533489172</v>
      </c>
      <c r="E5" s="3">
        <v>178.60610113283565</v>
      </c>
      <c r="F5" s="3">
        <v>86.980453573685168</v>
      </c>
    </row>
    <row r="6" spans="1:6">
      <c r="A6" s="9">
        <v>43716</v>
      </c>
      <c r="B6" s="3">
        <v>59.350857126859921</v>
      </c>
      <c r="C6" s="3">
        <v>29.589802536156409</v>
      </c>
      <c r="D6" s="3">
        <v>24.14487707050802</v>
      </c>
      <c r="E6" s="3">
        <v>52.998638122448696</v>
      </c>
      <c r="F6" s="3">
        <v>63.133772128052016</v>
      </c>
    </row>
    <row r="7" spans="1:6">
      <c r="A7" s="9">
        <v>43717</v>
      </c>
      <c r="B7" s="3">
        <v>166.02280909588148</v>
      </c>
      <c r="C7" s="3">
        <v>77.0236581710314</v>
      </c>
      <c r="D7" s="3">
        <v>114.93427161047288</v>
      </c>
      <c r="E7" s="3">
        <v>80.166788937585537</v>
      </c>
      <c r="F7" s="3">
        <v>231.48488882658131</v>
      </c>
    </row>
    <row r="8" spans="1:6">
      <c r="A8" s="9">
        <v>43718</v>
      </c>
      <c r="B8" s="3">
        <v>135.31668242994456</v>
      </c>
      <c r="C8" s="3">
        <v>94.043411242799664</v>
      </c>
      <c r="D8" s="3">
        <v>131.53532069034236</v>
      </c>
      <c r="E8" s="3">
        <v>143.61073756381194</v>
      </c>
      <c r="F8" s="3">
        <v>138.30128216842445</v>
      </c>
    </row>
    <row r="9" spans="1:6">
      <c r="A9" s="9">
        <v>43719</v>
      </c>
      <c r="B9" s="3">
        <v>237.718340488889</v>
      </c>
      <c r="C9" s="3">
        <v>164.65576475375178</v>
      </c>
      <c r="D9" s="3">
        <v>153.77778541664404</v>
      </c>
      <c r="E9" s="3">
        <v>205.57406224994412</v>
      </c>
      <c r="F9" s="3">
        <v>246.2068972360774</v>
      </c>
    </row>
    <row r="10" spans="1:6">
      <c r="A10" s="9">
        <v>43720</v>
      </c>
      <c r="B10" s="3">
        <v>307.72947586805134</v>
      </c>
      <c r="C10" s="3">
        <v>239.55295354813643</v>
      </c>
      <c r="D10" s="3">
        <v>275.9314528535478</v>
      </c>
      <c r="E10" s="3">
        <v>274.9470584328954</v>
      </c>
      <c r="F10" s="3">
        <v>301.44130226650617</v>
      </c>
    </row>
    <row r="11" spans="1:6">
      <c r="A11" s="9">
        <v>43721</v>
      </c>
      <c r="B11" s="3">
        <v>293.5437430227397</v>
      </c>
      <c r="C11" s="3">
        <v>240.36657705219636</v>
      </c>
      <c r="D11" s="3">
        <v>211.59130188041902</v>
      </c>
      <c r="E11" s="3">
        <v>274.28932263308616</v>
      </c>
      <c r="F11" s="3">
        <v>251.57666941552969</v>
      </c>
    </row>
    <row r="12" spans="1:6">
      <c r="A12" s="9">
        <v>43722</v>
      </c>
      <c r="B12" s="3">
        <v>299.63574030042253</v>
      </c>
      <c r="C12" s="3">
        <v>227.91059172019396</v>
      </c>
      <c r="D12" s="3">
        <v>316.42473698023502</v>
      </c>
      <c r="E12" s="3">
        <v>261.53114871650365</v>
      </c>
      <c r="F12" s="3">
        <v>205.79994106071092</v>
      </c>
    </row>
    <row r="13" spans="1:6">
      <c r="A13" s="9">
        <v>43723</v>
      </c>
      <c r="B13" s="3">
        <v>291.37729771799826</v>
      </c>
      <c r="C13" s="3">
        <v>174.3469938596221</v>
      </c>
      <c r="D13" s="3">
        <v>336.07711949499702</v>
      </c>
      <c r="E13" s="3">
        <v>175.59573456818052</v>
      </c>
      <c r="F13" s="3">
        <v>157.95194725617517</v>
      </c>
    </row>
    <row r="14" spans="1:6">
      <c r="A14" s="9">
        <v>43724</v>
      </c>
      <c r="B14" s="3">
        <v>140.86474893769213</v>
      </c>
      <c r="C14" s="3">
        <v>168.75116748101016</v>
      </c>
      <c r="D14" s="3">
        <v>253.59845831364268</v>
      </c>
      <c r="E14" s="3">
        <v>194.60186741355625</v>
      </c>
      <c r="F14" s="3">
        <v>248.53427387773965</v>
      </c>
    </row>
    <row r="15" spans="1:6">
      <c r="A15" s="9">
        <v>43725</v>
      </c>
      <c r="B15" s="3">
        <v>188.73205703920837</v>
      </c>
      <c r="C15" s="3">
        <v>237.93485771682657</v>
      </c>
      <c r="D15" s="3">
        <v>250.9228528407875</v>
      </c>
      <c r="E15" s="3">
        <v>206.81993403700309</v>
      </c>
      <c r="F15" s="3">
        <v>221.10658318633483</v>
      </c>
    </row>
    <row r="16" spans="1:6">
      <c r="A16" s="9">
        <v>43726</v>
      </c>
      <c r="B16" s="3">
        <v>37.065139482546307</v>
      </c>
      <c r="C16" s="3">
        <v>62.406619121085946</v>
      </c>
      <c r="D16" s="3">
        <v>156.70997916363171</v>
      </c>
      <c r="E16" s="3">
        <v>83.173440504841253</v>
      </c>
      <c r="F16" s="3">
        <v>173.15426922305301</v>
      </c>
    </row>
    <row r="17" spans="1:6">
      <c r="A17" s="9">
        <v>43727</v>
      </c>
      <c r="B17" s="3">
        <v>5.5786368209173345</v>
      </c>
      <c r="C17" s="3">
        <v>76.245148565122875</v>
      </c>
      <c r="D17" s="3">
        <v>38.996534918107031</v>
      </c>
      <c r="E17" s="3">
        <v>75.507148279192236</v>
      </c>
      <c r="F17" s="3">
        <v>107.88446692154209</v>
      </c>
    </row>
    <row r="18" spans="1:6">
      <c r="A18" s="9">
        <v>43728</v>
      </c>
      <c r="B18" s="3">
        <v>102.2269956389337</v>
      </c>
      <c r="C18" s="3">
        <v>306.95241922178735</v>
      </c>
      <c r="D18" s="3">
        <v>59.477474916043619</v>
      </c>
      <c r="E18" s="3">
        <v>126.09550117085816</v>
      </c>
      <c r="F18" s="3">
        <v>121.34787925496128</v>
      </c>
    </row>
    <row r="19" spans="1:6">
      <c r="A19" s="9">
        <v>43729</v>
      </c>
      <c r="B19" s="3">
        <v>314.60788932808975</v>
      </c>
      <c r="C19" s="3">
        <v>463.26285357682951</v>
      </c>
      <c r="D19" s="3">
        <v>172.28894282045817</v>
      </c>
      <c r="E19" s="3">
        <v>276.4953538745475</v>
      </c>
      <c r="F19" s="3">
        <v>161.19613700031096</v>
      </c>
    </row>
    <row r="20" spans="1:6">
      <c r="A20" s="9">
        <v>43730</v>
      </c>
      <c r="B20" s="3">
        <v>315.27433550875509</v>
      </c>
      <c r="C20" s="3">
        <v>225.86725278495049</v>
      </c>
      <c r="D20" s="3">
        <v>182.7344861584653</v>
      </c>
      <c r="E20" s="3">
        <v>194.2906439075031</v>
      </c>
      <c r="F20" s="3">
        <v>170.39837601385011</v>
      </c>
    </row>
    <row r="21" spans="1:6">
      <c r="A21" s="9">
        <v>43731</v>
      </c>
      <c r="B21" s="3">
        <v>330.89819799347612</v>
      </c>
      <c r="C21" s="3">
        <v>247.81604519295962</v>
      </c>
      <c r="D21" s="3">
        <v>216.16551984329863</v>
      </c>
      <c r="E21" s="3">
        <v>183.84298052976436</v>
      </c>
      <c r="F21" s="3">
        <v>203.58479402639648</v>
      </c>
    </row>
    <row r="22" spans="1:6">
      <c r="A22" s="9">
        <v>43732</v>
      </c>
      <c r="B22" s="3">
        <v>283.64765477668129</v>
      </c>
      <c r="C22" s="3">
        <v>200.83854275082552</v>
      </c>
      <c r="D22" s="3">
        <v>241.9870538635046</v>
      </c>
      <c r="E22" s="3">
        <v>154.68600203133852</v>
      </c>
      <c r="F22" s="3">
        <v>189.87013782781722</v>
      </c>
    </row>
    <row r="23" spans="1:6">
      <c r="A23" s="9">
        <v>43733</v>
      </c>
      <c r="B23" s="3">
        <v>123.87336868697716</v>
      </c>
      <c r="C23" s="3">
        <v>153.79172314664635</v>
      </c>
      <c r="D23" s="3">
        <v>208.88202929273925</v>
      </c>
      <c r="E23" s="3">
        <v>100.59301573372758</v>
      </c>
      <c r="F23" s="3">
        <v>248.61086684250694</v>
      </c>
    </row>
    <row r="24" spans="1:6">
      <c r="A24" s="9">
        <v>43734</v>
      </c>
      <c r="B24" s="3">
        <v>195.80393189735526</v>
      </c>
      <c r="C24" s="3">
        <v>270.64989681735727</v>
      </c>
      <c r="D24" s="3">
        <v>250.08237536703703</v>
      </c>
      <c r="E24" s="3">
        <v>187.12407463412495</v>
      </c>
      <c r="F24" s="3">
        <v>289.4738482291217</v>
      </c>
    </row>
    <row r="25" spans="1:6">
      <c r="A25" s="9">
        <v>43735</v>
      </c>
      <c r="B25" s="3">
        <v>221.37754286428228</v>
      </c>
      <c r="C25" s="3">
        <v>331.27302053209797</v>
      </c>
      <c r="D25" s="3">
        <v>313.26592657850694</v>
      </c>
      <c r="E25" s="3">
        <v>272.35274129648491</v>
      </c>
      <c r="F25" s="3">
        <v>244.73789150460368</v>
      </c>
    </row>
    <row r="26" spans="1:6">
      <c r="A26" s="9">
        <v>43736</v>
      </c>
      <c r="B26" s="3">
        <v>248.85434297205077</v>
      </c>
      <c r="C26" s="3">
        <v>363.10057104686075</v>
      </c>
      <c r="D26" s="3">
        <v>334.58074710157621</v>
      </c>
      <c r="E26" s="3">
        <v>323.51593698708393</v>
      </c>
      <c r="F26" s="3">
        <v>298.70697951547021</v>
      </c>
    </row>
    <row r="27" spans="1:6">
      <c r="A27" s="9">
        <v>43737</v>
      </c>
      <c r="B27" s="3">
        <v>241.7034519127011</v>
      </c>
      <c r="C27" s="3">
        <v>329.40098061757413</v>
      </c>
      <c r="D27" s="3">
        <v>281.8688208453965</v>
      </c>
      <c r="E27" s="3">
        <v>267.71089971132898</v>
      </c>
      <c r="F27" s="3">
        <v>270.57007460082315</v>
      </c>
    </row>
    <row r="28" spans="1:6">
      <c r="A28" s="9">
        <v>43738</v>
      </c>
      <c r="B28" s="3">
        <v>246.65322255858575</v>
      </c>
      <c r="C28" s="3">
        <v>282.27203397865247</v>
      </c>
      <c r="D28" s="3">
        <v>211.95163398299439</v>
      </c>
      <c r="E28" s="3">
        <v>162.21638693098615</v>
      </c>
      <c r="F28" s="3">
        <v>165.37448299613479</v>
      </c>
    </row>
    <row r="29" spans="1:6">
      <c r="A29" s="9">
        <v>43739</v>
      </c>
      <c r="B29" s="3">
        <v>245.06966910845242</v>
      </c>
      <c r="C29" s="3">
        <v>282.67373245099168</v>
      </c>
      <c r="D29" s="3">
        <v>210.21229714609871</v>
      </c>
      <c r="E29" s="3">
        <v>158.8229213169746</v>
      </c>
      <c r="F29" s="3">
        <v>138.39198851743296</v>
      </c>
    </row>
    <row r="30" spans="1:6">
      <c r="A30" s="9">
        <v>43740</v>
      </c>
      <c r="B30" s="3">
        <v>128.28790052778095</v>
      </c>
      <c r="C30" s="3">
        <v>178.38261400911861</v>
      </c>
      <c r="D30" s="3">
        <v>187.92790025741817</v>
      </c>
      <c r="E30" s="3">
        <v>160.95207523497788</v>
      </c>
      <c r="F30" s="3">
        <v>120.72196497856042</v>
      </c>
    </row>
    <row r="31" spans="1:6">
      <c r="A31" s="9">
        <v>43741</v>
      </c>
      <c r="B31" s="3">
        <v>129.01662053688048</v>
      </c>
      <c r="C31" s="3">
        <v>165.73099699950751</v>
      </c>
      <c r="D31" s="3">
        <v>178.06901438330954</v>
      </c>
      <c r="E31" s="3">
        <v>165.12227363112177</v>
      </c>
      <c r="F31" s="3">
        <v>151.48180047870071</v>
      </c>
    </row>
    <row r="32" spans="1:6">
      <c r="A32" s="9">
        <v>43742</v>
      </c>
      <c r="B32" s="3">
        <v>47.583408768369225</v>
      </c>
      <c r="C32" s="3">
        <v>170.64195671378528</v>
      </c>
      <c r="D32" s="3">
        <v>198.21516360840198</v>
      </c>
      <c r="E32" s="3">
        <v>187.63591541247868</v>
      </c>
      <c r="F32" s="3">
        <v>180.2810670342603</v>
      </c>
    </row>
    <row r="33" spans="1:6">
      <c r="A33" s="9">
        <v>43743</v>
      </c>
      <c r="B33" s="3">
        <v>88.564447479861116</v>
      </c>
      <c r="C33" s="3">
        <v>146.63296273576307</v>
      </c>
      <c r="D33" s="3">
        <v>193.26062726957053</v>
      </c>
      <c r="E33" s="3">
        <v>160.641430901223</v>
      </c>
      <c r="F33" s="3">
        <v>195.28588778395778</v>
      </c>
    </row>
    <row r="34" spans="1:6">
      <c r="A34" s="9">
        <v>43744</v>
      </c>
      <c r="B34" s="3">
        <v>295.89242744147504</v>
      </c>
      <c r="C34" s="3">
        <v>359.44224492077694</v>
      </c>
      <c r="D34" s="3">
        <v>587.49103411017074</v>
      </c>
      <c r="E34" s="3">
        <v>253.564277430766</v>
      </c>
      <c r="F34" s="3">
        <v>420.10939472128064</v>
      </c>
    </row>
    <row r="35" spans="1:6">
      <c r="A35" s="9">
        <v>43745</v>
      </c>
      <c r="B35" s="3">
        <v>229.51275450087246</v>
      </c>
      <c r="C35" s="3">
        <v>611.82137934127707</v>
      </c>
      <c r="D35" s="3">
        <v>444.09559796568476</v>
      </c>
      <c r="E35" s="3">
        <v>237.64819853389102</v>
      </c>
      <c r="F35" s="3">
        <v>500.37894083479426</v>
      </c>
    </row>
    <row r="36" spans="1:6">
      <c r="A36" s="9">
        <v>43746</v>
      </c>
      <c r="B36" s="3">
        <v>156.59848697340888</v>
      </c>
      <c r="C36" s="3">
        <v>133.62915369432017</v>
      </c>
      <c r="D36" s="3">
        <v>70.270413388852347</v>
      </c>
      <c r="E36" s="3">
        <v>150.85344733330658</v>
      </c>
      <c r="F36" s="3">
        <v>177.48450876875424</v>
      </c>
    </row>
    <row r="37" spans="1:6">
      <c r="A37" s="9">
        <v>43747</v>
      </c>
      <c r="B37" s="3">
        <v>298.57482507511537</v>
      </c>
      <c r="C37" s="3">
        <v>250.51606423282797</v>
      </c>
      <c r="D37" s="3">
        <v>279.39893729257983</v>
      </c>
      <c r="E37" s="3">
        <v>252.63338876966378</v>
      </c>
      <c r="F37" s="3">
        <v>327.60615046149513</v>
      </c>
    </row>
    <row r="38" spans="1:6">
      <c r="A38" s="9">
        <v>43748</v>
      </c>
      <c r="B38" s="3">
        <v>171.55225574248968</v>
      </c>
      <c r="C38" s="3">
        <v>279.89822118020044</v>
      </c>
      <c r="D38" s="3">
        <v>248.44891704920772</v>
      </c>
      <c r="E38" s="3">
        <v>213.87161510873966</v>
      </c>
      <c r="F38" s="3">
        <v>298.38745623261156</v>
      </c>
    </row>
    <row r="39" spans="1:6">
      <c r="A39" s="9">
        <v>43749</v>
      </c>
      <c r="B39" s="3">
        <v>18.159307395610483</v>
      </c>
      <c r="C39" s="3">
        <v>35.240800053760367</v>
      </c>
      <c r="D39" s="3">
        <v>12.922902235922285</v>
      </c>
      <c r="E39" s="3">
        <v>26.807039418026509</v>
      </c>
      <c r="F39" s="3">
        <v>40.338214176444069</v>
      </c>
    </row>
    <row r="40" spans="1:6">
      <c r="A40" s="9">
        <v>43750</v>
      </c>
      <c r="B40" s="3">
        <v>243.45432359517451</v>
      </c>
      <c r="C40" s="3">
        <v>166.40127624557979</v>
      </c>
      <c r="D40" s="3">
        <v>116.88585205606768</v>
      </c>
      <c r="E40" s="3">
        <v>131.59154338558901</v>
      </c>
      <c r="F40" s="3">
        <v>158.40569559366591</v>
      </c>
    </row>
    <row r="41" spans="1:6">
      <c r="A41" s="9">
        <v>43751</v>
      </c>
      <c r="B41" s="3">
        <v>16.790839037219268</v>
      </c>
      <c r="C41" s="3">
        <v>47.034767930302486</v>
      </c>
      <c r="D41" s="3">
        <v>25.640546930461468</v>
      </c>
      <c r="E41" s="3">
        <v>45.370689059516096</v>
      </c>
      <c r="F41" s="3">
        <v>74.114035897413473</v>
      </c>
    </row>
    <row r="42" spans="1:6">
      <c r="A42" s="9">
        <v>43752</v>
      </c>
      <c r="B42" s="3">
        <v>14.050644681277095</v>
      </c>
      <c r="C42" s="3">
        <v>35.17108799068788</v>
      </c>
      <c r="D42" s="3">
        <v>13.598664827884205</v>
      </c>
      <c r="E42" s="3">
        <v>34.82338122413082</v>
      </c>
      <c r="F42" s="3">
        <v>63.767199877271445</v>
      </c>
    </row>
    <row r="43" spans="1:6">
      <c r="A43" s="9">
        <v>43753</v>
      </c>
      <c r="B43" s="3">
        <v>1.8163873103864163</v>
      </c>
      <c r="C43" s="3">
        <v>21.513611748913313</v>
      </c>
      <c r="D43" s="3">
        <v>17.328854858128402</v>
      </c>
      <c r="E43" s="3">
        <v>46.565762394118764</v>
      </c>
      <c r="F43" s="3">
        <v>73.030444377481032</v>
      </c>
    </row>
    <row r="44" spans="1:6">
      <c r="A44" s="9">
        <v>43754</v>
      </c>
      <c r="B44" s="3">
        <v>3.3897790243817627</v>
      </c>
      <c r="C44" s="3">
        <v>16.228839751512027</v>
      </c>
      <c r="D44" s="3">
        <v>4.9839115911953487</v>
      </c>
      <c r="E44" s="3">
        <v>14.62029988019574</v>
      </c>
      <c r="F44" s="3">
        <v>39.290600108043918</v>
      </c>
    </row>
    <row r="45" spans="1:6">
      <c r="A45" s="9">
        <v>43755</v>
      </c>
      <c r="B45" s="3">
        <v>9.0203091242461328E-2</v>
      </c>
      <c r="C45" s="3">
        <v>14.121419479334598</v>
      </c>
      <c r="D45" s="3">
        <v>5.1413881739975835</v>
      </c>
      <c r="E45" s="3">
        <v>35.164560561613719</v>
      </c>
      <c r="F45" s="3">
        <v>45.392059618776592</v>
      </c>
    </row>
    <row r="46" spans="1:6">
      <c r="A46" s="9">
        <v>43756</v>
      </c>
      <c r="B46" s="3">
        <v>310.47128798623669</v>
      </c>
      <c r="C46" s="3">
        <v>216.96232493434846</v>
      </c>
      <c r="D46" s="3">
        <v>271.72212992904917</v>
      </c>
      <c r="E46" s="3">
        <v>320.7677490414834</v>
      </c>
      <c r="F46" s="3">
        <v>235.24818396996642</v>
      </c>
    </row>
    <row r="47" spans="1:6">
      <c r="A47" s="9">
        <v>43757</v>
      </c>
      <c r="B47" s="3">
        <v>211.53582837916056</v>
      </c>
      <c r="C47" s="3">
        <v>169.87845358507647</v>
      </c>
      <c r="D47" s="3">
        <v>209.95845974033975</v>
      </c>
      <c r="E47" s="3">
        <v>227.94428336618546</v>
      </c>
      <c r="F47" s="3">
        <v>196.59378098186662</v>
      </c>
    </row>
    <row r="48" spans="1:6">
      <c r="A48" s="9">
        <v>43758</v>
      </c>
      <c r="B48" s="3">
        <v>0.98050493955777362</v>
      </c>
      <c r="C48" s="3">
        <v>5.6467555167578309</v>
      </c>
      <c r="D48" s="3">
        <v>1.2176813541634313</v>
      </c>
      <c r="E48" s="3">
        <v>1.9569343250649907</v>
      </c>
      <c r="F48" s="3">
        <v>3.8072371719417077</v>
      </c>
    </row>
    <row r="49" spans="1:6">
      <c r="A49" s="9">
        <v>43759</v>
      </c>
      <c r="B49" s="3">
        <v>49.953246275515681</v>
      </c>
      <c r="C49" s="3">
        <v>83.476488611120345</v>
      </c>
      <c r="D49" s="3">
        <v>63.383868601197683</v>
      </c>
      <c r="E49" s="3">
        <v>110.09626705166498</v>
      </c>
      <c r="F49" s="3">
        <v>123.27643939830678</v>
      </c>
    </row>
    <row r="50" spans="1:6">
      <c r="A50" s="9">
        <v>43760</v>
      </c>
      <c r="B50" s="3">
        <v>49.522771664347069</v>
      </c>
      <c r="C50" s="3">
        <v>95.05007701276341</v>
      </c>
      <c r="D50" s="3">
        <v>70.78962361636539</v>
      </c>
      <c r="E50" s="3">
        <v>135.05855957997409</v>
      </c>
      <c r="F50" s="3">
        <v>159.14216045839595</v>
      </c>
    </row>
    <row r="51" spans="1:6">
      <c r="A51" s="9">
        <v>43761</v>
      </c>
      <c r="B51" s="3">
        <v>134.98320023551153</v>
      </c>
      <c r="C51" s="3">
        <v>136.52614696143786</v>
      </c>
      <c r="D51" s="3">
        <v>123.69488099707496</v>
      </c>
      <c r="E51" s="3">
        <v>150.78429130711956</v>
      </c>
      <c r="F51" s="3">
        <v>172.71643713183423</v>
      </c>
    </row>
    <row r="52" spans="1:6">
      <c r="A52" s="9">
        <v>43762</v>
      </c>
      <c r="B52" s="3">
        <v>82.344466905429783</v>
      </c>
      <c r="C52" s="3">
        <v>55.873084992683587</v>
      </c>
      <c r="D52" s="3">
        <v>57.328952263624082</v>
      </c>
      <c r="E52" s="3">
        <v>74.603510038695688</v>
      </c>
      <c r="F52" s="3">
        <v>97.711271973367687</v>
      </c>
    </row>
    <row r="53" spans="1:6">
      <c r="A53" s="9">
        <v>43763</v>
      </c>
      <c r="B53" s="3">
        <v>17.208880298202619</v>
      </c>
      <c r="C53" s="3">
        <v>0.17088534165619543</v>
      </c>
      <c r="D53" s="3">
        <v>2.6101799949557876</v>
      </c>
      <c r="E53" s="3">
        <v>1.1691303204187748</v>
      </c>
      <c r="F53" s="3">
        <v>1.8716798572161488</v>
      </c>
    </row>
    <row r="54" spans="1:6">
      <c r="A54" s="9">
        <v>43764</v>
      </c>
      <c r="B54" s="3">
        <v>11.65826862052843</v>
      </c>
      <c r="C54" s="3">
        <v>5.901280419399753</v>
      </c>
      <c r="D54" s="3">
        <v>3.8111190290983652</v>
      </c>
      <c r="E54" s="3">
        <v>25.053980950003897</v>
      </c>
      <c r="F54" s="3">
        <v>42.360155752809817</v>
      </c>
    </row>
    <row r="55" spans="1:6">
      <c r="A55" s="9">
        <v>43765</v>
      </c>
      <c r="B55" s="3">
        <v>29.475131493694601</v>
      </c>
      <c r="C55" s="3">
        <v>25.04916282317738</v>
      </c>
      <c r="D55" s="3">
        <v>19.112542681807348</v>
      </c>
      <c r="E55" s="3">
        <v>40.847799629537427</v>
      </c>
      <c r="F55" s="3">
        <v>60.130652477015524</v>
      </c>
    </row>
    <row r="56" spans="1:6">
      <c r="A56" s="9">
        <v>43766</v>
      </c>
      <c r="B56" s="3">
        <v>389.22491221110516</v>
      </c>
      <c r="C56" s="3">
        <v>319.46816075647217</v>
      </c>
      <c r="D56" s="3">
        <v>314.38944769175976</v>
      </c>
      <c r="E56" s="3">
        <v>335.26258651912008</v>
      </c>
      <c r="F56" s="3">
        <v>320.38075973784157</v>
      </c>
    </row>
    <row r="57" spans="1:6">
      <c r="A57" s="9">
        <v>43767</v>
      </c>
      <c r="B57" s="3">
        <v>427.40998232103942</v>
      </c>
      <c r="C57" s="3">
        <v>557.32663745618856</v>
      </c>
      <c r="D57" s="3">
        <v>534.26462486128401</v>
      </c>
      <c r="E57" s="3">
        <v>558.28927584788653</v>
      </c>
      <c r="F57" s="3">
        <v>506.80721394733035</v>
      </c>
    </row>
    <row r="58" spans="1:6">
      <c r="A58" s="9">
        <v>43768</v>
      </c>
      <c r="B58" s="3">
        <v>504.96649333315372</v>
      </c>
      <c r="C58" s="3">
        <v>501.92140633110239</v>
      </c>
      <c r="D58" s="3">
        <v>492.55972021633983</v>
      </c>
      <c r="E58" s="3">
        <v>542.60585733874996</v>
      </c>
      <c r="F58" s="3">
        <v>503.50648136563171</v>
      </c>
    </row>
    <row r="59" spans="1:6">
      <c r="A59" s="9">
        <v>43769</v>
      </c>
      <c r="B59" s="3">
        <v>505.09163594523153</v>
      </c>
      <c r="C59" s="3">
        <v>568.00185532533703</v>
      </c>
      <c r="D59" s="3">
        <v>484.53669746497741</v>
      </c>
      <c r="E59" s="3">
        <v>557.34606883005779</v>
      </c>
      <c r="F59" s="3">
        <v>507.4226302480144</v>
      </c>
    </row>
    <row r="60" spans="1:6">
      <c r="A60" s="9">
        <v>43770</v>
      </c>
      <c r="B60" s="3">
        <v>578.87107435006158</v>
      </c>
      <c r="C60" s="3">
        <v>533.37236444885184</v>
      </c>
      <c r="D60" s="3">
        <v>478.56697002759671</v>
      </c>
      <c r="E60" s="3">
        <v>483.32662448116707</v>
      </c>
      <c r="F60" s="3">
        <v>441.45536985606554</v>
      </c>
    </row>
    <row r="61" spans="1:6">
      <c r="A61" s="9">
        <v>43771</v>
      </c>
      <c r="B61" s="3">
        <v>57.617834387070722</v>
      </c>
      <c r="C61" s="3">
        <v>45.191003831659479</v>
      </c>
      <c r="D61" s="3">
        <v>20.470325056100158</v>
      </c>
      <c r="E61" s="3">
        <v>51.5364950189091</v>
      </c>
      <c r="F61" s="3">
        <v>45.289174401010733</v>
      </c>
    </row>
    <row r="62" spans="1:6">
      <c r="A62" s="9">
        <v>43772</v>
      </c>
      <c r="B62" s="3">
        <v>416.57601891074103</v>
      </c>
      <c r="C62" s="3">
        <v>215.3486877068336</v>
      </c>
      <c r="D62" s="3">
        <v>173.11446533119204</v>
      </c>
      <c r="E62" s="3">
        <v>198.62035184764605</v>
      </c>
      <c r="F62" s="3">
        <v>134.54895740919443</v>
      </c>
    </row>
    <row r="63" spans="1:6">
      <c r="A63" s="9">
        <v>43773</v>
      </c>
      <c r="B63" s="3">
        <v>515.77887506978834</v>
      </c>
      <c r="C63" s="3">
        <v>491.03257893872052</v>
      </c>
      <c r="D63" s="3">
        <v>390.8691795392777</v>
      </c>
      <c r="E63" s="3">
        <v>386.2535010608587</v>
      </c>
      <c r="F63" s="3">
        <v>175.29316277340092</v>
      </c>
    </row>
    <row r="64" spans="1:6">
      <c r="A64" s="9">
        <v>43774</v>
      </c>
      <c r="B64" s="3">
        <v>342.26160594600452</v>
      </c>
      <c r="C64" s="3">
        <v>225.21850060863386</v>
      </c>
      <c r="D64" s="3">
        <v>147.33687765260257</v>
      </c>
      <c r="E64" s="3">
        <v>195.91068166577617</v>
      </c>
      <c r="F64" s="3">
        <v>95.850002389185008</v>
      </c>
    </row>
    <row r="65" spans="1:6">
      <c r="A65" s="9">
        <v>43775</v>
      </c>
      <c r="B65" s="3">
        <v>0.7485873758600482</v>
      </c>
      <c r="C65" s="3">
        <v>9.7558319647451448</v>
      </c>
      <c r="D65" s="3">
        <v>0.29767530741216713</v>
      </c>
      <c r="E65" s="3">
        <v>11.896534646498701</v>
      </c>
      <c r="F65" s="3">
        <v>21.714011389089254</v>
      </c>
    </row>
    <row r="66" spans="1:6">
      <c r="A66" s="9">
        <v>43776</v>
      </c>
      <c r="B66" s="3">
        <v>414.36003576641514</v>
      </c>
      <c r="C66" s="3">
        <v>227.75432671129818</v>
      </c>
      <c r="D66" s="3">
        <v>169.35942480315677</v>
      </c>
      <c r="E66" s="3">
        <v>208.3629406946431</v>
      </c>
      <c r="F66" s="3">
        <v>196.44241108505722</v>
      </c>
    </row>
    <row r="67" spans="1:6">
      <c r="A67" s="9">
        <v>43777</v>
      </c>
      <c r="B67" s="3">
        <v>345.94241982309711</v>
      </c>
      <c r="C67" s="3">
        <v>161.24984608441935</v>
      </c>
      <c r="D67" s="3">
        <v>105.80866726861919</v>
      </c>
      <c r="E67" s="3">
        <v>156.20321059564549</v>
      </c>
      <c r="F67" s="3">
        <v>155.96954633808653</v>
      </c>
    </row>
    <row r="68" spans="1:6">
      <c r="A68" s="9">
        <v>43778</v>
      </c>
      <c r="B68" s="3">
        <v>211.27101638918583</v>
      </c>
      <c r="C68" s="3">
        <v>87.307430100906032</v>
      </c>
      <c r="D68" s="3">
        <v>49.474828263702577</v>
      </c>
      <c r="E68" s="3">
        <v>98.867473432006818</v>
      </c>
      <c r="F68" s="3">
        <v>94.465596470726794</v>
      </c>
    </row>
    <row r="69" spans="1:6">
      <c r="A69" s="9">
        <v>43779</v>
      </c>
      <c r="B69" s="3">
        <v>61.636906003394984</v>
      </c>
      <c r="C69" s="3">
        <v>40.177258446559051</v>
      </c>
      <c r="D69" s="3">
        <v>35.665834242402816</v>
      </c>
      <c r="E69" s="3">
        <v>92.562690701674683</v>
      </c>
      <c r="F69" s="3">
        <v>71.590222774431894</v>
      </c>
    </row>
    <row r="70" spans="1:6">
      <c r="A70" s="9">
        <v>43780</v>
      </c>
      <c r="B70" s="3">
        <v>387.7477775749835</v>
      </c>
      <c r="C70" s="3">
        <v>208.9842240521757</v>
      </c>
      <c r="D70" s="3">
        <v>199.6846086224906</v>
      </c>
      <c r="E70" s="3">
        <v>241.3124516566954</v>
      </c>
      <c r="F70" s="3">
        <v>223.04475470269452</v>
      </c>
    </row>
    <row r="71" spans="1:6">
      <c r="A71" s="9">
        <v>43781</v>
      </c>
      <c r="B71" s="3">
        <v>181.37586065781159</v>
      </c>
      <c r="C71" s="3">
        <v>76.207011809841106</v>
      </c>
      <c r="D71" s="3">
        <v>92.212154041635003</v>
      </c>
      <c r="E71" s="3">
        <v>130.28924004945918</v>
      </c>
      <c r="F71" s="3">
        <v>117.62845573372363</v>
      </c>
    </row>
    <row r="72" spans="1:6">
      <c r="A72" s="9">
        <v>43782</v>
      </c>
      <c r="B72" s="3">
        <v>224.10426399096625</v>
      </c>
      <c r="C72" s="3">
        <v>56.807329015481791</v>
      </c>
      <c r="D72" s="3">
        <v>72.305047681252617</v>
      </c>
      <c r="E72" s="3">
        <v>115.03249377211269</v>
      </c>
      <c r="F72" s="3">
        <v>96.025459995375527</v>
      </c>
    </row>
    <row r="73" spans="1:6">
      <c r="A73" s="9">
        <v>43783</v>
      </c>
      <c r="B73" s="3">
        <v>597.22856317338642</v>
      </c>
      <c r="C73" s="3">
        <v>423.90133291410473</v>
      </c>
      <c r="D73" s="3">
        <v>391.6318773805454</v>
      </c>
      <c r="E73" s="3">
        <v>403.09875184951511</v>
      </c>
      <c r="F73" s="3">
        <v>384.01433444554999</v>
      </c>
    </row>
    <row r="74" spans="1:6">
      <c r="A74" s="9">
        <v>43784</v>
      </c>
      <c r="B74" s="3">
        <v>478.80150892126227</v>
      </c>
      <c r="C74" s="3">
        <v>358.68642682353357</v>
      </c>
      <c r="D74" s="3">
        <v>311.22038943396842</v>
      </c>
      <c r="E74" s="3">
        <v>324.71190504485281</v>
      </c>
      <c r="F74" s="3">
        <v>361.11561931742983</v>
      </c>
    </row>
    <row r="75" spans="1:6">
      <c r="A75" s="9">
        <v>43785</v>
      </c>
      <c r="B75" s="3"/>
      <c r="C75" s="3"/>
      <c r="D75" s="3"/>
      <c r="E75" s="3"/>
      <c r="F75" s="3"/>
    </row>
    <row r="76" spans="1:6">
      <c r="A76" s="9">
        <v>43786</v>
      </c>
      <c r="B76" s="3"/>
      <c r="C76" s="3"/>
      <c r="D76" s="3"/>
      <c r="E76" s="3"/>
      <c r="F76" s="3"/>
    </row>
    <row r="77" spans="1:6">
      <c r="A77" s="9">
        <v>43787</v>
      </c>
      <c r="B77" s="3"/>
      <c r="C77" s="3"/>
      <c r="D77" s="3"/>
      <c r="E77" s="3"/>
      <c r="F77" s="3"/>
    </row>
    <row r="78" spans="1:6">
      <c r="A78" s="9">
        <v>43788</v>
      </c>
      <c r="B78" s="3"/>
      <c r="C78" s="3"/>
      <c r="D78" s="3"/>
      <c r="E78" s="3"/>
      <c r="F78" s="3"/>
    </row>
    <row r="79" spans="1:6">
      <c r="A79" s="9">
        <v>43789</v>
      </c>
      <c r="B79" s="3"/>
      <c r="C79" s="3"/>
      <c r="D79" s="3"/>
      <c r="E79" s="3"/>
      <c r="F79" s="3"/>
    </row>
    <row r="80" spans="1:6">
      <c r="A80" s="9">
        <v>43790</v>
      </c>
      <c r="B80" s="3"/>
      <c r="C80" s="3"/>
      <c r="D80" s="3"/>
      <c r="E80" s="3"/>
      <c r="F80" s="3"/>
    </row>
    <row r="81" spans="1:6">
      <c r="A81" s="9">
        <v>43791</v>
      </c>
      <c r="B81" s="3"/>
      <c r="C81" s="3"/>
      <c r="D81" s="3"/>
      <c r="E81" s="3"/>
      <c r="F81" s="3"/>
    </row>
    <row r="82" spans="1:6">
      <c r="A82" s="9">
        <v>43792</v>
      </c>
      <c r="B82" s="3"/>
      <c r="C82" s="3"/>
      <c r="D82" s="3"/>
      <c r="E82" s="3"/>
      <c r="F82" s="3"/>
    </row>
    <row r="83" spans="1:6">
      <c r="A83" s="9">
        <v>43793</v>
      </c>
      <c r="B83" s="3"/>
      <c r="C83" s="3"/>
      <c r="D83" s="3"/>
      <c r="E83" s="3"/>
      <c r="F83" s="3"/>
    </row>
    <row r="84" spans="1:6">
      <c r="A84" s="9">
        <v>43794</v>
      </c>
      <c r="B84" s="3"/>
      <c r="C84" s="3"/>
      <c r="D84" s="3"/>
      <c r="E84" s="3"/>
      <c r="F84" s="3"/>
    </row>
    <row r="85" spans="1:6">
      <c r="A85" s="9">
        <v>43795</v>
      </c>
      <c r="B85" s="3"/>
      <c r="C85" s="3"/>
      <c r="D85" s="3"/>
      <c r="E85" s="3"/>
      <c r="F85" s="3"/>
    </row>
    <row r="86" spans="1:6">
      <c r="A86" s="9">
        <v>43796</v>
      </c>
      <c r="B86" s="3"/>
      <c r="C86" s="3"/>
      <c r="D86" s="3"/>
      <c r="E86" s="3"/>
      <c r="F86" s="3"/>
    </row>
    <row r="87" spans="1:6">
      <c r="A87" s="9">
        <v>43797</v>
      </c>
      <c r="B87" s="3"/>
      <c r="C87" s="3"/>
      <c r="D87" s="3"/>
      <c r="E87" s="3"/>
      <c r="F87" s="3"/>
    </row>
    <row r="88" spans="1:6">
      <c r="A88" s="9">
        <v>43798</v>
      </c>
      <c r="B88" s="3"/>
      <c r="C88" s="3"/>
      <c r="D88" s="3"/>
      <c r="E88" s="3"/>
      <c r="F88" s="3"/>
    </row>
    <row r="89" spans="1:6">
      <c r="A89" s="9">
        <v>43799</v>
      </c>
      <c r="B89" s="3"/>
      <c r="C89" s="3"/>
      <c r="D89" s="3"/>
      <c r="E89" s="3"/>
      <c r="F89" s="3"/>
    </row>
    <row r="90" spans="1:6">
      <c r="A90" s="9">
        <v>43800</v>
      </c>
      <c r="B90" s="3"/>
      <c r="C90" s="3"/>
      <c r="D90" s="3"/>
      <c r="E90" s="3"/>
      <c r="F90" s="3"/>
    </row>
    <row r="91" spans="1:6">
      <c r="A91" s="9">
        <v>43801</v>
      </c>
      <c r="B91" s="3"/>
      <c r="C91" s="3"/>
      <c r="D91" s="3"/>
      <c r="E91" s="3"/>
      <c r="F91" s="3"/>
    </row>
    <row r="92" spans="1:6">
      <c r="A92" s="9">
        <v>43802</v>
      </c>
      <c r="B92" s="3"/>
      <c r="C92" s="3"/>
      <c r="D92" s="3"/>
      <c r="E92" s="3"/>
      <c r="F92" s="3"/>
    </row>
    <row r="93" spans="1:6">
      <c r="A93" s="9">
        <v>43803</v>
      </c>
      <c r="B93" s="3"/>
      <c r="C93" s="3"/>
      <c r="D93" s="3"/>
      <c r="E93" s="3"/>
      <c r="F93" s="3"/>
    </row>
    <row r="94" spans="1:6">
      <c r="A94" s="9">
        <v>43804</v>
      </c>
      <c r="B94" s="3"/>
      <c r="C94" s="3"/>
      <c r="D94" s="3"/>
      <c r="E94" s="3"/>
      <c r="F94" s="3"/>
    </row>
    <row r="95" spans="1:6">
      <c r="A95" s="9">
        <v>43805</v>
      </c>
      <c r="B95" s="3"/>
      <c r="C95" s="3"/>
      <c r="D95" s="3"/>
      <c r="E95" s="3"/>
      <c r="F95" s="3"/>
    </row>
    <row r="96" spans="1:6">
      <c r="A96" s="9">
        <v>43806</v>
      </c>
      <c r="B96" s="3"/>
      <c r="C96" s="3"/>
      <c r="D96" s="3"/>
      <c r="E96" s="3"/>
      <c r="F96" s="3"/>
    </row>
    <row r="97" spans="1:6">
      <c r="A97" s="9">
        <v>43807</v>
      </c>
      <c r="B97" s="3"/>
      <c r="C97" s="3"/>
      <c r="D97" s="3"/>
      <c r="E97" s="3"/>
      <c r="F97" s="3"/>
    </row>
    <row r="98" spans="1:6">
      <c r="A98" s="9">
        <v>43808</v>
      </c>
      <c r="B98" s="3"/>
      <c r="C98" s="3"/>
      <c r="D98" s="3"/>
      <c r="E98" s="3"/>
      <c r="F98" s="3"/>
    </row>
    <row r="99" spans="1:6">
      <c r="A99" s="9">
        <v>43809</v>
      </c>
      <c r="B99" s="3"/>
      <c r="C99" s="3"/>
      <c r="D99" s="3"/>
      <c r="E99" s="3"/>
      <c r="F99" s="3"/>
    </row>
    <row r="100" spans="1:6">
      <c r="A100" s="9">
        <v>43810</v>
      </c>
      <c r="B100" s="3"/>
      <c r="C100" s="3"/>
      <c r="D100" s="3"/>
      <c r="E100" s="3"/>
      <c r="F100" s="3"/>
    </row>
    <row r="101" spans="1:6">
      <c r="A101" s="9">
        <v>43811</v>
      </c>
      <c r="B101" s="3"/>
      <c r="C101" s="3"/>
      <c r="D101" s="3"/>
      <c r="E101" s="3"/>
      <c r="F101" s="3"/>
    </row>
    <row r="102" spans="1:6">
      <c r="A102" s="9">
        <v>43812</v>
      </c>
      <c r="B102" s="3"/>
      <c r="C102" s="3"/>
      <c r="D102" s="3"/>
      <c r="E102" s="3"/>
      <c r="F102" s="3"/>
    </row>
    <row r="103" spans="1:6">
      <c r="A103" s="9">
        <v>43813</v>
      </c>
      <c r="B103" s="3"/>
      <c r="C103" s="3"/>
      <c r="D103" s="3"/>
      <c r="E103" s="3"/>
      <c r="F103" s="3"/>
    </row>
    <row r="104" spans="1:6">
      <c r="A104" s="9">
        <v>43814</v>
      </c>
      <c r="B104" s="3"/>
      <c r="C104" s="3"/>
      <c r="D104" s="3"/>
      <c r="E104" s="3"/>
      <c r="F104" s="3"/>
    </row>
    <row r="105" spans="1:6">
      <c r="A105" s="9">
        <v>43815</v>
      </c>
      <c r="B105" s="3"/>
      <c r="C105" s="3"/>
      <c r="D105" s="3"/>
      <c r="E105" s="3"/>
      <c r="F105" s="3"/>
    </row>
    <row r="106" spans="1:6">
      <c r="A106" s="9">
        <v>43816</v>
      </c>
      <c r="B106" s="3"/>
      <c r="C106" s="3"/>
      <c r="D106" s="3"/>
      <c r="E106" s="3"/>
      <c r="F106" s="3"/>
    </row>
    <row r="107" spans="1:6">
      <c r="A107" s="9">
        <v>43817</v>
      </c>
      <c r="B107" s="3"/>
      <c r="C107" s="3"/>
      <c r="D107" s="3"/>
      <c r="E107" s="3"/>
      <c r="F107" s="3"/>
    </row>
    <row r="108" spans="1:6">
      <c r="A108" s="9">
        <v>43818</v>
      </c>
      <c r="B108" s="3"/>
      <c r="C108" s="3"/>
      <c r="D108" s="3"/>
      <c r="E108" s="3"/>
      <c r="F108" s="3"/>
    </row>
    <row r="109" spans="1:6">
      <c r="A109" s="9">
        <v>43819</v>
      </c>
      <c r="B109" s="3"/>
      <c r="C109" s="3"/>
      <c r="D109" s="3"/>
      <c r="E109" s="3"/>
      <c r="F109" s="3"/>
    </row>
    <row r="110" spans="1:6">
      <c r="A110" s="9">
        <v>43820</v>
      </c>
      <c r="B110" s="3"/>
      <c r="C110" s="3"/>
      <c r="D110" s="3"/>
      <c r="E110" s="3"/>
      <c r="F110" s="3"/>
    </row>
    <row r="111" spans="1:6">
      <c r="A111" s="9">
        <v>43821</v>
      </c>
      <c r="B111" s="3"/>
      <c r="C111" s="3"/>
      <c r="D111" s="3"/>
      <c r="E111" s="3"/>
      <c r="F111" s="3"/>
    </row>
    <row r="112" spans="1:6">
      <c r="A112" s="9">
        <v>43822</v>
      </c>
      <c r="B112" s="3"/>
      <c r="C112" s="3"/>
      <c r="D112" s="3"/>
      <c r="E112" s="3"/>
      <c r="F112" s="3"/>
    </row>
    <row r="113" spans="1:6">
      <c r="A113" s="9">
        <v>43823</v>
      </c>
      <c r="B113" s="3"/>
      <c r="C113" s="3"/>
      <c r="D113" s="3"/>
      <c r="E113" s="3"/>
      <c r="F113" s="3"/>
    </row>
    <row r="114" spans="1:6">
      <c r="A114" s="9">
        <v>43824</v>
      </c>
      <c r="B114" s="3"/>
      <c r="C114" s="3"/>
      <c r="D114" s="3"/>
      <c r="E114" s="3"/>
      <c r="F114" s="3"/>
    </row>
    <row r="115" spans="1:6">
      <c r="A115" s="9">
        <v>43825</v>
      </c>
      <c r="B115" s="3"/>
      <c r="C115" s="3"/>
      <c r="D115" s="3"/>
      <c r="E115" s="3"/>
      <c r="F115" s="3"/>
    </row>
    <row r="116" spans="1:6">
      <c r="A116" s="9">
        <v>43826</v>
      </c>
      <c r="B116" s="3"/>
      <c r="C116" s="3"/>
      <c r="D116" s="3"/>
      <c r="E116" s="3"/>
      <c r="F116" s="3"/>
    </row>
    <row r="117" spans="1:6">
      <c r="A117" s="9">
        <v>43827</v>
      </c>
      <c r="B117" s="3"/>
      <c r="C117" s="3"/>
      <c r="D117" s="3"/>
      <c r="E117" s="3"/>
      <c r="F117" s="3"/>
    </row>
    <row r="118" spans="1:6">
      <c r="A118" s="9">
        <v>43828</v>
      </c>
      <c r="B118" s="3"/>
      <c r="C118" s="3"/>
      <c r="D118" s="3"/>
      <c r="E118" s="3"/>
      <c r="F118" s="3"/>
    </row>
    <row r="119" spans="1:6">
      <c r="A119" s="9">
        <v>43829</v>
      </c>
      <c r="B119" s="3"/>
      <c r="C119" s="3"/>
      <c r="D119" s="3"/>
      <c r="E119" s="3"/>
      <c r="F119" s="3"/>
    </row>
    <row r="120" spans="1:6">
      <c r="A120" s="9">
        <v>43830</v>
      </c>
      <c r="B120" s="3"/>
      <c r="C120" s="3"/>
      <c r="D120" s="3"/>
      <c r="E120" s="3"/>
      <c r="F120" s="3"/>
    </row>
    <row r="121" spans="1:6">
      <c r="A121" s="9">
        <v>43831</v>
      </c>
      <c r="B121" s="3"/>
      <c r="C121" s="3"/>
      <c r="D121" s="3"/>
      <c r="E121" s="3"/>
      <c r="F121" s="3"/>
    </row>
    <row r="122" spans="1:6">
      <c r="A122" s="9">
        <v>43832</v>
      </c>
      <c r="B122" s="3"/>
      <c r="C122" s="3"/>
      <c r="D122" s="3"/>
      <c r="E122" s="3"/>
      <c r="F122" s="3"/>
    </row>
    <row r="123" spans="1:6">
      <c r="A123" s="9">
        <v>43833</v>
      </c>
      <c r="B123" s="3"/>
      <c r="C123" s="3"/>
      <c r="D123" s="3"/>
      <c r="E123" s="3"/>
      <c r="F123" s="3"/>
    </row>
    <row r="124" spans="1:6">
      <c r="A124" s="9">
        <v>43834</v>
      </c>
      <c r="B124" s="3"/>
      <c r="C124" s="3"/>
      <c r="D124" s="3"/>
      <c r="E124" s="3"/>
      <c r="F124" s="3"/>
    </row>
    <row r="125" spans="1:6">
      <c r="A125" s="9">
        <v>43835</v>
      </c>
      <c r="B125" s="3"/>
      <c r="C125" s="3"/>
      <c r="D125" s="3"/>
      <c r="E125" s="3"/>
      <c r="F125" s="3"/>
    </row>
    <row r="126" spans="1:6">
      <c r="A126" s="9">
        <v>43836</v>
      </c>
      <c r="B126" s="3"/>
      <c r="C126" s="3"/>
      <c r="D126" s="3"/>
      <c r="E126" s="3"/>
      <c r="F126" s="3"/>
    </row>
    <row r="127" spans="1:6">
      <c r="A127" s="9">
        <v>43837</v>
      </c>
      <c r="B127" s="3"/>
      <c r="C127" s="3"/>
      <c r="D127" s="3"/>
      <c r="E127" s="3"/>
      <c r="F127" s="3"/>
    </row>
    <row r="128" spans="1:6">
      <c r="A128" s="9">
        <v>43838</v>
      </c>
      <c r="B128" s="3"/>
      <c r="C128" s="3"/>
      <c r="D128" s="3"/>
      <c r="E128" s="3"/>
      <c r="F128" s="3"/>
    </row>
    <row r="129" spans="1:6">
      <c r="A129" s="9">
        <v>43839</v>
      </c>
      <c r="B129" s="3"/>
      <c r="C129" s="3"/>
      <c r="D129" s="3"/>
      <c r="E129" s="3"/>
      <c r="F129" s="3"/>
    </row>
    <row r="130" spans="1:6">
      <c r="A130" s="9">
        <v>43840</v>
      </c>
      <c r="B130" s="3"/>
      <c r="C130" s="3"/>
      <c r="D130" s="3"/>
      <c r="E130" s="3"/>
      <c r="F130" s="3"/>
    </row>
    <row r="131" spans="1:6">
      <c r="A131" s="9">
        <v>43841</v>
      </c>
      <c r="B131" s="3"/>
      <c r="C131" s="3"/>
      <c r="D131" s="3"/>
      <c r="E131" s="3"/>
      <c r="F131" s="3"/>
    </row>
    <row r="132" spans="1:6">
      <c r="A132" s="9">
        <v>43842</v>
      </c>
      <c r="B132" s="3"/>
      <c r="C132" s="3"/>
      <c r="D132" s="3"/>
      <c r="E132" s="3"/>
      <c r="F132" s="3"/>
    </row>
    <row r="133" spans="1:6">
      <c r="A133" s="9">
        <v>43843</v>
      </c>
      <c r="B133" s="3"/>
      <c r="C133" s="3"/>
      <c r="D133" s="3"/>
      <c r="E133" s="3"/>
      <c r="F133" s="3"/>
    </row>
    <row r="134" spans="1:6">
      <c r="A134" s="9">
        <v>43844</v>
      </c>
      <c r="B134" s="3"/>
      <c r="C134" s="3"/>
      <c r="D134" s="3"/>
      <c r="E134" s="3"/>
      <c r="F134" s="3"/>
    </row>
    <row r="135" spans="1:6">
      <c r="A135" s="9">
        <v>43845</v>
      </c>
      <c r="B135" s="3"/>
      <c r="C135" s="3"/>
      <c r="D135" s="3"/>
      <c r="E135" s="3"/>
      <c r="F135" s="3"/>
    </row>
    <row r="136" spans="1:6">
      <c r="A136" s="9">
        <v>43846</v>
      </c>
      <c r="B136" s="3"/>
      <c r="C136" s="3"/>
      <c r="D136" s="3"/>
      <c r="E136" s="3"/>
      <c r="F136" s="3"/>
    </row>
    <row r="137" spans="1:6">
      <c r="A137" s="9">
        <v>43847</v>
      </c>
      <c r="B137" s="3"/>
      <c r="C137" s="3"/>
      <c r="D137" s="3"/>
      <c r="E137" s="3"/>
      <c r="F137" s="3"/>
    </row>
    <row r="138" spans="1:6">
      <c r="A138" s="9">
        <v>43848</v>
      </c>
      <c r="B138" s="3"/>
      <c r="C138" s="3"/>
      <c r="D138" s="3"/>
      <c r="E138" s="3"/>
      <c r="F138" s="3"/>
    </row>
    <row r="139" spans="1:6">
      <c r="A139" s="9">
        <v>43849</v>
      </c>
      <c r="B139" s="3"/>
      <c r="C139" s="3"/>
      <c r="D139" s="3"/>
      <c r="E139" s="3"/>
      <c r="F139" s="3"/>
    </row>
    <row r="140" spans="1:6">
      <c r="A140" s="9">
        <v>43850</v>
      </c>
      <c r="B140" s="3"/>
      <c r="C140" s="3"/>
      <c r="D140" s="3"/>
      <c r="E140" s="3"/>
      <c r="F140" s="3"/>
    </row>
    <row r="141" spans="1:6">
      <c r="A141" s="9">
        <v>43851</v>
      </c>
      <c r="B141" s="3"/>
      <c r="C141" s="3"/>
      <c r="D141" s="3"/>
      <c r="E141" s="3"/>
      <c r="F141" s="3"/>
    </row>
    <row r="142" spans="1:6">
      <c r="A142" s="9">
        <v>43852</v>
      </c>
      <c r="B142" s="3"/>
      <c r="C142" s="3"/>
      <c r="D142" s="3"/>
      <c r="E142" s="3"/>
      <c r="F142" s="3"/>
    </row>
    <row r="143" spans="1:6">
      <c r="A143" s="9">
        <v>43853</v>
      </c>
      <c r="B143" s="3"/>
      <c r="C143" s="3"/>
      <c r="D143" s="3"/>
      <c r="E143" s="3"/>
      <c r="F143" s="3"/>
    </row>
    <row r="144" spans="1:6">
      <c r="A144" s="9">
        <v>43854</v>
      </c>
      <c r="B144" s="3"/>
      <c r="C144" s="3"/>
      <c r="D144" s="3"/>
      <c r="E144" s="3"/>
      <c r="F144" s="3"/>
    </row>
    <row r="145" spans="1:6">
      <c r="A145" s="9">
        <v>43855</v>
      </c>
      <c r="B145" s="3"/>
      <c r="C145" s="3"/>
      <c r="D145" s="3"/>
      <c r="E145" s="3"/>
      <c r="F145" s="3"/>
    </row>
    <row r="146" spans="1:6">
      <c r="A146" s="9">
        <v>43856</v>
      </c>
      <c r="B146" s="3"/>
      <c r="C146" s="3"/>
      <c r="D146" s="3"/>
      <c r="E146" s="3"/>
      <c r="F146" s="3"/>
    </row>
    <row r="147" spans="1:6">
      <c r="A147" s="9">
        <v>43857</v>
      </c>
      <c r="B147" s="3"/>
      <c r="C147" s="3"/>
      <c r="D147" s="3"/>
      <c r="E147" s="3"/>
      <c r="F147" s="3"/>
    </row>
    <row r="148" spans="1:6">
      <c r="A148" s="9">
        <v>43858</v>
      </c>
      <c r="B148" s="3"/>
      <c r="C148" s="3"/>
      <c r="D148" s="3"/>
      <c r="E148" s="3"/>
      <c r="F148" s="3"/>
    </row>
    <row r="149" spans="1:6">
      <c r="A149" s="9">
        <v>43859</v>
      </c>
      <c r="B149" s="3"/>
      <c r="C149" s="3"/>
      <c r="D149" s="3"/>
      <c r="E149" s="3"/>
      <c r="F149" s="3"/>
    </row>
    <row r="150" spans="1:6">
      <c r="A150" s="9">
        <v>43860</v>
      </c>
      <c r="B150" s="3"/>
      <c r="C150" s="3"/>
      <c r="D150" s="3"/>
      <c r="E150" s="3"/>
      <c r="F150" s="3"/>
    </row>
    <row r="151" spans="1:6">
      <c r="A151" s="9">
        <v>43861</v>
      </c>
      <c r="B151" s="3"/>
      <c r="C151" s="3"/>
      <c r="D151" s="3"/>
      <c r="E151" s="3"/>
      <c r="F151" s="3"/>
    </row>
    <row r="152" spans="1:6">
      <c r="A152" s="9">
        <v>43862</v>
      </c>
      <c r="B152" s="3"/>
      <c r="C152" s="3"/>
      <c r="D152" s="3"/>
      <c r="E152" s="3"/>
      <c r="F152" s="3"/>
    </row>
    <row r="153" spans="1:6">
      <c r="A153" s="9">
        <v>43863</v>
      </c>
      <c r="B153" s="3"/>
      <c r="C153" s="3"/>
      <c r="D153" s="3"/>
      <c r="E153" s="3"/>
      <c r="F153" s="3"/>
    </row>
    <row r="154" spans="1:6">
      <c r="A154" s="9">
        <v>43864</v>
      </c>
      <c r="B154" s="3"/>
      <c r="C154" s="3"/>
      <c r="D154" s="3"/>
      <c r="E154" s="3"/>
      <c r="F154" s="3"/>
    </row>
    <row r="155" spans="1:6">
      <c r="A155" s="9">
        <v>43865</v>
      </c>
      <c r="B155" s="3"/>
      <c r="C155" s="3"/>
      <c r="D155" s="3"/>
      <c r="E155" s="3"/>
      <c r="F155" s="3"/>
    </row>
    <row r="156" spans="1:6">
      <c r="A156" s="9">
        <v>43866</v>
      </c>
      <c r="B156" s="3"/>
      <c r="C156" s="3"/>
      <c r="D156" s="3"/>
      <c r="E156" s="3"/>
      <c r="F156" s="3"/>
    </row>
    <row r="157" spans="1:6">
      <c r="A157" s="9">
        <v>43867</v>
      </c>
      <c r="B157" s="3"/>
      <c r="C157" s="3"/>
      <c r="D157" s="3"/>
      <c r="E157" s="3"/>
      <c r="F157" s="3"/>
    </row>
    <row r="158" spans="1:6">
      <c r="A158" s="9">
        <v>43868</v>
      </c>
      <c r="B158" s="3"/>
      <c r="C158" s="3"/>
      <c r="D158" s="3"/>
      <c r="E158" s="3"/>
      <c r="F158" s="3"/>
    </row>
    <row r="159" spans="1:6">
      <c r="A159" s="9">
        <v>43869</v>
      </c>
      <c r="B159" s="3"/>
      <c r="C159" s="3"/>
      <c r="D159" s="3"/>
      <c r="E159" s="3"/>
      <c r="F159" s="3"/>
    </row>
    <row r="160" spans="1:6">
      <c r="A160" s="9">
        <v>43870</v>
      </c>
      <c r="B160" s="3"/>
      <c r="C160" s="3"/>
      <c r="D160" s="3"/>
      <c r="E160" s="3"/>
      <c r="F160" s="3"/>
    </row>
    <row r="161" spans="1:6">
      <c r="A161" s="9">
        <v>43871</v>
      </c>
      <c r="B161" s="3"/>
      <c r="C161" s="3"/>
      <c r="D161" s="3"/>
      <c r="E161" s="3"/>
      <c r="F161" s="3"/>
    </row>
    <row r="162" spans="1:6">
      <c r="A162" s="9">
        <v>43872</v>
      </c>
      <c r="B162" s="3"/>
      <c r="C162" s="3"/>
      <c r="D162" s="3"/>
      <c r="E162" s="3"/>
      <c r="F162" s="3"/>
    </row>
    <row r="163" spans="1:6">
      <c r="A163" s="9">
        <v>43873</v>
      </c>
      <c r="B163" s="3"/>
      <c r="C163" s="3"/>
      <c r="D163" s="3"/>
      <c r="E163" s="3"/>
      <c r="F163" s="3"/>
    </row>
    <row r="164" spans="1:6">
      <c r="A164" s="9">
        <v>43874</v>
      </c>
      <c r="B164" s="3"/>
      <c r="C164" s="3"/>
      <c r="D164" s="3"/>
      <c r="E164" s="3"/>
      <c r="F164" s="3"/>
    </row>
    <row r="165" spans="1:6">
      <c r="A165" s="9">
        <v>43875</v>
      </c>
      <c r="B165" s="3"/>
      <c r="C165" s="3"/>
      <c r="D165" s="3"/>
      <c r="E165" s="3"/>
      <c r="F165" s="3"/>
    </row>
    <row r="166" spans="1:6">
      <c r="A166" s="9">
        <v>43876</v>
      </c>
      <c r="B166" s="3"/>
      <c r="C166" s="3"/>
      <c r="D166" s="3"/>
      <c r="E166" s="3"/>
      <c r="F166" s="3"/>
    </row>
    <row r="167" spans="1:6">
      <c r="A167" s="9">
        <v>43877</v>
      </c>
      <c r="B167" s="3"/>
      <c r="C167" s="3"/>
      <c r="D167" s="3"/>
      <c r="E167" s="3"/>
      <c r="F167" s="3"/>
    </row>
    <row r="168" spans="1:6">
      <c r="A168" s="9">
        <v>43878</v>
      </c>
      <c r="B168" s="3"/>
      <c r="C168" s="3"/>
      <c r="D168" s="3"/>
      <c r="E168" s="3"/>
      <c r="F168" s="3"/>
    </row>
    <row r="169" spans="1:6">
      <c r="A169" s="9">
        <v>43879</v>
      </c>
      <c r="B169" s="3"/>
      <c r="C169" s="3"/>
      <c r="D169" s="3"/>
      <c r="E169" s="3"/>
      <c r="F169" s="3"/>
    </row>
    <row r="170" spans="1:6">
      <c r="A170" s="9">
        <v>43880</v>
      </c>
      <c r="B170" s="3"/>
      <c r="C170" s="3"/>
      <c r="D170" s="3"/>
      <c r="E170" s="3"/>
      <c r="F170" s="3"/>
    </row>
    <row r="171" spans="1:6">
      <c r="A171" s="9">
        <v>43881</v>
      </c>
      <c r="B171" s="3"/>
      <c r="C171" s="3"/>
      <c r="D171" s="3"/>
      <c r="E171" s="3"/>
      <c r="F171" s="3"/>
    </row>
    <row r="172" spans="1:6">
      <c r="A172" s="9">
        <v>43882</v>
      </c>
      <c r="B172" s="3"/>
      <c r="C172" s="3"/>
      <c r="D172" s="3"/>
      <c r="E172" s="3"/>
      <c r="F172" s="3"/>
    </row>
    <row r="173" spans="1:6">
      <c r="A173" s="9">
        <v>43883</v>
      </c>
      <c r="B173" s="3"/>
      <c r="C173" s="3"/>
      <c r="D173" s="3"/>
      <c r="E173" s="3"/>
      <c r="F173" s="3"/>
    </row>
    <row r="174" spans="1:6">
      <c r="A174" s="9">
        <v>43884</v>
      </c>
      <c r="B174" s="3"/>
      <c r="C174" s="3"/>
      <c r="D174" s="3"/>
      <c r="E174" s="3"/>
      <c r="F174" s="3"/>
    </row>
    <row r="175" spans="1:6">
      <c r="A175" s="9">
        <v>43885</v>
      </c>
      <c r="B175" s="3"/>
      <c r="C175" s="3"/>
      <c r="D175" s="3"/>
      <c r="E175" s="3"/>
      <c r="F175" s="3"/>
    </row>
    <row r="176" spans="1:6">
      <c r="A176" s="9">
        <v>43886</v>
      </c>
      <c r="B176" s="3"/>
      <c r="C176" s="3"/>
      <c r="D176" s="3"/>
      <c r="E176" s="3"/>
      <c r="F176" s="3"/>
    </row>
    <row r="177" spans="1:6">
      <c r="A177" s="9">
        <v>43887</v>
      </c>
      <c r="B177" s="3"/>
      <c r="C177" s="3"/>
      <c r="D177" s="3"/>
      <c r="E177" s="3"/>
      <c r="F177" s="3"/>
    </row>
    <row r="178" spans="1:6">
      <c r="A178" s="9">
        <v>43888</v>
      </c>
      <c r="B178" s="3"/>
      <c r="C178" s="3"/>
      <c r="D178" s="3"/>
      <c r="E178" s="3"/>
      <c r="F178" s="3"/>
    </row>
    <row r="179" spans="1:6">
      <c r="A179" s="9">
        <v>43889</v>
      </c>
      <c r="B179" s="3"/>
      <c r="C179" s="3"/>
      <c r="D179" s="3"/>
      <c r="E179" s="3"/>
      <c r="F179" s="3"/>
    </row>
    <row r="180" spans="1:6">
      <c r="A180" s="9">
        <v>43890</v>
      </c>
      <c r="B180" s="3"/>
      <c r="C180" s="3"/>
      <c r="D180" s="3"/>
      <c r="E180" s="3"/>
      <c r="F180" s="3"/>
    </row>
    <row r="181" spans="1:6">
      <c r="A181" s="9">
        <v>43891</v>
      </c>
      <c r="B181" s="3"/>
      <c r="C181" s="3"/>
      <c r="D181" s="3"/>
      <c r="E181" s="3"/>
      <c r="F181" s="3"/>
    </row>
    <row r="182" spans="1:6">
      <c r="A182" s="9">
        <v>43892</v>
      </c>
      <c r="B182" s="3"/>
      <c r="C182" s="3"/>
      <c r="D182" s="3"/>
      <c r="E182" s="3"/>
      <c r="F182" s="3"/>
    </row>
    <row r="183" spans="1:6">
      <c r="A183" s="9">
        <v>43893</v>
      </c>
      <c r="B183" s="3"/>
      <c r="C183" s="3"/>
      <c r="D183" s="3"/>
      <c r="E183" s="3"/>
      <c r="F183" s="3"/>
    </row>
    <row r="184" spans="1:6">
      <c r="A184" s="9">
        <v>43894</v>
      </c>
      <c r="B184" s="3"/>
      <c r="C184" s="3"/>
      <c r="D184" s="3"/>
      <c r="E184" s="3"/>
      <c r="F184" s="3"/>
    </row>
    <row r="185" spans="1:6">
      <c r="A185" s="9">
        <v>43895</v>
      </c>
      <c r="B185" s="3"/>
      <c r="C185" s="3"/>
      <c r="D185" s="3"/>
      <c r="E185" s="3"/>
      <c r="F185" s="3"/>
    </row>
    <row r="186" spans="1:6">
      <c r="A186" s="9">
        <v>43896</v>
      </c>
      <c r="B186" s="3"/>
      <c r="C186" s="3"/>
      <c r="D186" s="3"/>
      <c r="E186" s="3"/>
      <c r="F186" s="3"/>
    </row>
    <row r="187" spans="1:6">
      <c r="A187" s="9">
        <v>43897</v>
      </c>
      <c r="B187" s="3"/>
      <c r="C187" s="3"/>
      <c r="D187" s="3"/>
      <c r="E187" s="3"/>
      <c r="F187" s="3"/>
    </row>
    <row r="188" spans="1:6">
      <c r="A188" s="9">
        <v>43898</v>
      </c>
      <c r="B188" s="3"/>
      <c r="C188" s="3"/>
      <c r="D188" s="3"/>
      <c r="E188" s="3"/>
      <c r="F188" s="3"/>
    </row>
    <row r="189" spans="1:6">
      <c r="A189" s="9">
        <v>43899</v>
      </c>
      <c r="B189" s="3"/>
      <c r="C189" s="3"/>
      <c r="D189" s="3"/>
      <c r="E189" s="3"/>
      <c r="F189" s="3"/>
    </row>
    <row r="190" spans="1:6">
      <c r="A190" s="9">
        <v>43900</v>
      </c>
      <c r="B190" s="3"/>
      <c r="C190" s="3"/>
      <c r="D190" s="3"/>
      <c r="E190" s="3"/>
      <c r="F190" s="3"/>
    </row>
    <row r="191" spans="1:6">
      <c r="A191" s="9">
        <v>43901</v>
      </c>
      <c r="B191" s="3"/>
      <c r="C191" s="3"/>
      <c r="D191" s="3"/>
      <c r="E191" s="3"/>
      <c r="F191" s="3"/>
    </row>
    <row r="192" spans="1:6">
      <c r="A192" s="9">
        <v>43902</v>
      </c>
      <c r="B192" s="3"/>
      <c r="C192" s="3"/>
      <c r="D192" s="3"/>
      <c r="E192" s="3"/>
      <c r="F192" s="3"/>
    </row>
    <row r="193" spans="1:6">
      <c r="A193" s="9">
        <v>43903</v>
      </c>
      <c r="B193" s="3"/>
      <c r="C193" s="3"/>
      <c r="D193" s="3"/>
      <c r="E193" s="3"/>
      <c r="F193" s="3"/>
    </row>
    <row r="194" spans="1:6">
      <c r="A194" s="9">
        <v>43904</v>
      </c>
      <c r="B194" s="3"/>
      <c r="C194" s="3"/>
      <c r="D194" s="3"/>
      <c r="E194" s="3"/>
      <c r="F194" s="3"/>
    </row>
    <row r="195" spans="1:6">
      <c r="A195" s="9">
        <v>43905</v>
      </c>
      <c r="B195" s="3"/>
      <c r="C195" s="3"/>
      <c r="D195" s="3"/>
      <c r="E195" s="3"/>
      <c r="F195" s="3"/>
    </row>
    <row r="196" spans="1:6">
      <c r="A196" s="9">
        <v>43906</v>
      </c>
      <c r="B196" s="3"/>
      <c r="C196" s="3"/>
      <c r="D196" s="3"/>
      <c r="E196" s="3"/>
      <c r="F196" s="3"/>
    </row>
    <row r="197" spans="1:6">
      <c r="A197" s="9">
        <v>43907</v>
      </c>
      <c r="B197" s="3"/>
      <c r="C197" s="3"/>
      <c r="D197" s="3"/>
      <c r="E197" s="3"/>
      <c r="F197" s="3"/>
    </row>
    <row r="198" spans="1:6">
      <c r="A198" s="9">
        <v>43908</v>
      </c>
      <c r="B198" s="3"/>
      <c r="C198" s="3"/>
      <c r="D198" s="3"/>
      <c r="E198" s="3"/>
      <c r="F198" s="3"/>
    </row>
    <row r="199" spans="1:6">
      <c r="A199" s="9">
        <v>43909</v>
      </c>
      <c r="B199" s="3"/>
      <c r="C199" s="3"/>
      <c r="D199" s="3"/>
      <c r="E199" s="3"/>
      <c r="F199" s="3"/>
    </row>
    <row r="200" spans="1:6">
      <c r="A200" s="9">
        <v>43910</v>
      </c>
      <c r="B200" s="3"/>
      <c r="C200" s="3"/>
      <c r="D200" s="3"/>
      <c r="E200" s="3"/>
      <c r="F200" s="3"/>
    </row>
    <row r="201" spans="1:6">
      <c r="A201" s="9">
        <v>43911</v>
      </c>
      <c r="B201" s="3"/>
      <c r="C201" s="3"/>
      <c r="D201" s="3"/>
      <c r="E201" s="3"/>
      <c r="F201" s="3"/>
    </row>
    <row r="202" spans="1:6">
      <c r="A202" s="9">
        <v>43912</v>
      </c>
      <c r="B202" s="3"/>
      <c r="C202" s="3"/>
      <c r="D202" s="3"/>
      <c r="E202" s="3"/>
      <c r="F202" s="3"/>
    </row>
    <row r="203" spans="1:6">
      <c r="A203" s="9">
        <v>43913</v>
      </c>
      <c r="B203" s="3"/>
      <c r="C203" s="3"/>
      <c r="D203" s="3"/>
      <c r="E203" s="3"/>
      <c r="F203" s="3"/>
    </row>
    <row r="204" spans="1:6">
      <c r="A204" s="9">
        <v>43914</v>
      </c>
      <c r="B204" s="3"/>
      <c r="C204" s="3"/>
      <c r="D204" s="3"/>
      <c r="E204" s="3"/>
      <c r="F204" s="3"/>
    </row>
    <row r="205" spans="1:6">
      <c r="A205" s="9">
        <v>43915</v>
      </c>
      <c r="B205" s="3"/>
      <c r="C205" s="3"/>
      <c r="D205" s="3"/>
      <c r="E205" s="3"/>
      <c r="F205" s="3"/>
    </row>
    <row r="206" spans="1:6">
      <c r="A206" s="9">
        <v>43916</v>
      </c>
      <c r="B206" s="3"/>
      <c r="C206" s="3"/>
      <c r="D206" s="3"/>
      <c r="E206" s="3"/>
      <c r="F206" s="3"/>
    </row>
    <row r="207" spans="1:6">
      <c r="A207" s="9">
        <v>43917</v>
      </c>
      <c r="B207" s="3"/>
      <c r="C207" s="3"/>
      <c r="D207" s="3"/>
      <c r="E207" s="3"/>
      <c r="F207" s="3"/>
    </row>
    <row r="208" spans="1:6">
      <c r="A208" s="9">
        <v>43918</v>
      </c>
      <c r="B208" s="3"/>
      <c r="C208" s="3"/>
      <c r="D208" s="3"/>
      <c r="E208" s="3"/>
      <c r="F208" s="3"/>
    </row>
    <row r="209" spans="1:6">
      <c r="A209" s="9">
        <v>43919</v>
      </c>
      <c r="B209" s="3"/>
      <c r="C209" s="3"/>
      <c r="D209" s="3"/>
      <c r="E209" s="3"/>
      <c r="F209" s="3"/>
    </row>
    <row r="210" spans="1:6">
      <c r="A210" s="9">
        <v>43920</v>
      </c>
      <c r="B210" s="3"/>
      <c r="C210" s="3"/>
      <c r="D210" s="3"/>
      <c r="E210" s="3"/>
      <c r="F210" s="3"/>
    </row>
    <row r="211" spans="1:6">
      <c r="A211" s="9">
        <v>43921</v>
      </c>
      <c r="B211" s="3"/>
      <c r="C211" s="3"/>
      <c r="D211" s="3"/>
      <c r="E211" s="3"/>
      <c r="F211" s="3"/>
    </row>
    <row r="212" spans="1:6">
      <c r="A212" s="9">
        <v>43922</v>
      </c>
      <c r="B212" s="3"/>
      <c r="C212" s="3"/>
      <c r="D212" s="3"/>
      <c r="E212" s="3"/>
      <c r="F212" s="3"/>
    </row>
    <row r="213" spans="1:6">
      <c r="A213" s="9">
        <v>43923</v>
      </c>
      <c r="B213" s="3"/>
      <c r="C213" s="3"/>
      <c r="D213" s="3"/>
      <c r="E213" s="3"/>
      <c r="F213" s="3"/>
    </row>
    <row r="214" spans="1:6">
      <c r="A214" s="9">
        <v>43924</v>
      </c>
      <c r="B214" s="3"/>
      <c r="C214" s="3"/>
      <c r="D214" s="3"/>
      <c r="E214" s="3"/>
      <c r="F214" s="3"/>
    </row>
    <row r="215" spans="1:6">
      <c r="A215" s="9">
        <v>43925</v>
      </c>
      <c r="B215" s="3"/>
      <c r="C215" s="3"/>
      <c r="D215" s="3"/>
      <c r="E215" s="3"/>
      <c r="F215" s="3"/>
    </row>
    <row r="216" spans="1:6">
      <c r="A216" s="9">
        <v>43926</v>
      </c>
      <c r="B216" s="3"/>
      <c r="C216" s="3"/>
      <c r="D216" s="3"/>
      <c r="E216" s="3"/>
      <c r="F216" s="3"/>
    </row>
    <row r="217" spans="1:6">
      <c r="A217" s="9">
        <v>43927</v>
      </c>
      <c r="B217" s="3"/>
      <c r="C217" s="3"/>
      <c r="D217" s="3"/>
      <c r="E217" s="3"/>
      <c r="F217" s="3"/>
    </row>
    <row r="218" spans="1:6">
      <c r="A218" s="9">
        <v>43928</v>
      </c>
      <c r="B218" s="3"/>
      <c r="C218" s="3"/>
      <c r="D218" s="3"/>
      <c r="E218" s="3"/>
      <c r="F218" s="3"/>
    </row>
    <row r="219" spans="1:6">
      <c r="A219" s="9">
        <v>43929</v>
      </c>
      <c r="B219" s="3"/>
      <c r="C219" s="3"/>
      <c r="D219" s="3"/>
      <c r="E219" s="3"/>
      <c r="F219" s="3"/>
    </row>
    <row r="220" spans="1:6">
      <c r="A220" s="9">
        <v>43930</v>
      </c>
      <c r="B220" s="3"/>
      <c r="C220" s="3"/>
      <c r="D220" s="3"/>
      <c r="E220" s="3"/>
      <c r="F220" s="3"/>
    </row>
    <row r="221" spans="1:6">
      <c r="A221" s="9">
        <v>43931</v>
      </c>
      <c r="B221" s="3"/>
      <c r="C221" s="3"/>
      <c r="D221" s="3"/>
      <c r="E221" s="3"/>
      <c r="F221" s="3"/>
    </row>
    <row r="222" spans="1:6">
      <c r="A222" s="9">
        <v>43932</v>
      </c>
      <c r="B222" s="3"/>
      <c r="C222" s="3"/>
      <c r="D222" s="3"/>
      <c r="E222" s="3"/>
      <c r="F222" s="3"/>
    </row>
    <row r="223" spans="1:6">
      <c r="A223" s="9">
        <v>43933</v>
      </c>
      <c r="B223" s="3"/>
      <c r="C223" s="3"/>
      <c r="D223" s="3"/>
      <c r="E223" s="3"/>
      <c r="F223" s="3"/>
    </row>
    <row r="224" spans="1:6">
      <c r="A224" s="9">
        <v>43934</v>
      </c>
      <c r="B224" s="3"/>
      <c r="C224" s="3"/>
      <c r="D224" s="3"/>
      <c r="E224" s="3"/>
      <c r="F224" s="3"/>
    </row>
    <row r="225" spans="1:6">
      <c r="A225" s="9">
        <v>43935</v>
      </c>
      <c r="B225" s="3"/>
      <c r="C225" s="3"/>
      <c r="D225" s="3"/>
      <c r="E225" s="3"/>
      <c r="F225" s="3"/>
    </row>
    <row r="226" spans="1:6">
      <c r="A226" s="9">
        <v>43936</v>
      </c>
      <c r="B226" s="3">
        <v>612.53847328530458</v>
      </c>
      <c r="C226" s="3">
        <v>431.87524599052591</v>
      </c>
      <c r="D226" s="3">
        <v>443.9550870406419</v>
      </c>
      <c r="E226" s="3">
        <v>419.11531616125529</v>
      </c>
      <c r="F226" s="3">
        <v>323.27802858769661</v>
      </c>
    </row>
    <row r="227" spans="1:6">
      <c r="A227" s="9">
        <v>43937</v>
      </c>
      <c r="B227" s="3">
        <v>572.83331022587822</v>
      </c>
      <c r="C227" s="3">
        <v>398.9527666231055</v>
      </c>
      <c r="D227" s="3">
        <v>381.22715528770561</v>
      </c>
      <c r="E227" s="3">
        <v>390.47930023008115</v>
      </c>
      <c r="F227" s="3">
        <v>308.38890143435032</v>
      </c>
    </row>
    <row r="228" spans="1:6">
      <c r="A228" s="9">
        <v>43938</v>
      </c>
      <c r="B228" s="3">
        <v>593.1147477214646</v>
      </c>
      <c r="C228" s="3">
        <v>390.18286957028607</v>
      </c>
      <c r="D228" s="3">
        <v>370.38872073828151</v>
      </c>
      <c r="E228" s="3">
        <v>374.26661810917227</v>
      </c>
      <c r="F228" s="3">
        <v>308.05133683454977</v>
      </c>
    </row>
    <row r="229" spans="1:6">
      <c r="A229" s="9">
        <v>43939</v>
      </c>
      <c r="B229" s="3">
        <v>622.59204437719131</v>
      </c>
      <c r="C229" s="3">
        <v>391.68837017498538</v>
      </c>
      <c r="D229" s="3">
        <v>404.48915176377409</v>
      </c>
      <c r="E229" s="3">
        <v>376.41540402354769</v>
      </c>
      <c r="F229" s="3">
        <v>300.87959820101031</v>
      </c>
    </row>
    <row r="230" spans="1:6">
      <c r="A230" s="9">
        <v>43940</v>
      </c>
      <c r="B230" s="3">
        <v>310.50103678402991</v>
      </c>
      <c r="C230" s="3">
        <v>209.08722764642488</v>
      </c>
      <c r="D230" s="3">
        <v>166.33068343764171</v>
      </c>
      <c r="E230" s="3">
        <v>209.61656172076124</v>
      </c>
      <c r="F230" s="3">
        <v>185.93753713985538</v>
      </c>
    </row>
    <row r="231" spans="1:6">
      <c r="A231" s="9">
        <v>43941</v>
      </c>
      <c r="B231" s="3">
        <v>444.46648708860164</v>
      </c>
      <c r="C231" s="3">
        <v>315.83614490042419</v>
      </c>
      <c r="D231" s="3">
        <v>364.16068931733849</v>
      </c>
      <c r="E231" s="3">
        <v>332.26541817833026</v>
      </c>
      <c r="F231" s="3">
        <v>255.89754219276637</v>
      </c>
    </row>
    <row r="232" spans="1:6">
      <c r="A232" s="9">
        <v>43942</v>
      </c>
      <c r="B232" s="3">
        <v>211.99938619035203</v>
      </c>
      <c r="C232" s="3">
        <v>124.68128564826797</v>
      </c>
      <c r="D232" s="3">
        <v>98.203342450105183</v>
      </c>
      <c r="E232" s="3">
        <v>137.74637063348021</v>
      </c>
      <c r="F232" s="3">
        <v>116.8187887570359</v>
      </c>
    </row>
    <row r="233" spans="1:6">
      <c r="A233" s="9">
        <v>43943</v>
      </c>
      <c r="B233" s="3">
        <v>177.76268344712946</v>
      </c>
      <c r="C233" s="3">
        <v>100.89533705225274</v>
      </c>
      <c r="D233" s="3">
        <v>79.649461637058053</v>
      </c>
      <c r="E233" s="3">
        <v>120.31242296281324</v>
      </c>
      <c r="F233" s="3">
        <v>100.11404323051211</v>
      </c>
    </row>
    <row r="234" spans="1:6">
      <c r="A234" s="9">
        <v>43944</v>
      </c>
      <c r="B234" s="3">
        <v>45.087348702554308</v>
      </c>
      <c r="C234" s="3">
        <v>45.001841982004642</v>
      </c>
      <c r="D234" s="3">
        <v>19.167921109751198</v>
      </c>
      <c r="E234" s="3">
        <v>64.955745765605357</v>
      </c>
      <c r="F234" s="3">
        <v>51.17046712865006</v>
      </c>
    </row>
    <row r="235" spans="1:6">
      <c r="A235" s="9">
        <v>43945</v>
      </c>
      <c r="B235" s="3">
        <v>286.22007612374983</v>
      </c>
      <c r="C235" s="3">
        <v>187.11559899725185</v>
      </c>
      <c r="D235" s="3">
        <v>170.58288995787964</v>
      </c>
      <c r="E235" s="3">
        <v>220.47601862732952</v>
      </c>
      <c r="F235" s="3">
        <v>170.20158038617063</v>
      </c>
    </row>
    <row r="236" spans="1:6">
      <c r="A236" s="9">
        <v>43946</v>
      </c>
      <c r="B236" s="3">
        <v>113.1450781279828</v>
      </c>
      <c r="C236" s="3">
        <v>85.570069307239734</v>
      </c>
      <c r="D236" s="3">
        <v>66.73564298020689</v>
      </c>
      <c r="E236" s="3">
        <v>100.20479065398273</v>
      </c>
      <c r="F236" s="3">
        <v>69.40585293183959</v>
      </c>
    </row>
    <row r="237" spans="1:6">
      <c r="A237" s="9">
        <v>43947</v>
      </c>
      <c r="B237" s="3">
        <v>432.34753385434129</v>
      </c>
      <c r="C237" s="3">
        <v>246.99108245266922</v>
      </c>
      <c r="D237" s="3">
        <v>290.40695205716332</v>
      </c>
      <c r="E237" s="3">
        <v>277.77879514850883</v>
      </c>
      <c r="F237" s="3">
        <v>195.96297982472589</v>
      </c>
    </row>
    <row r="238" spans="1:6">
      <c r="A238" s="9">
        <v>43948</v>
      </c>
      <c r="B238" s="3">
        <v>497.46995770254739</v>
      </c>
      <c r="C238" s="3">
        <v>329.18749184754233</v>
      </c>
      <c r="D238" s="3">
        <v>388.28801082788931</v>
      </c>
      <c r="E238" s="3">
        <v>325.08797934002246</v>
      </c>
      <c r="F238" s="3">
        <v>222.34460868249639</v>
      </c>
    </row>
    <row r="239" spans="1:6">
      <c r="A239" s="9">
        <v>43949</v>
      </c>
      <c r="B239" s="3">
        <v>562.36552366240267</v>
      </c>
      <c r="C239" s="3">
        <v>341.71020830797499</v>
      </c>
      <c r="D239" s="3">
        <v>360.7328221891774</v>
      </c>
      <c r="E239" s="3">
        <v>312.75717647303952</v>
      </c>
      <c r="F239" s="3">
        <v>232.26306308675129</v>
      </c>
    </row>
    <row r="240" spans="1:6">
      <c r="A240" s="9">
        <v>43950</v>
      </c>
      <c r="B240" s="3">
        <v>370.48270127761992</v>
      </c>
      <c r="C240" s="3">
        <v>254.30204863590609</v>
      </c>
      <c r="D240" s="3">
        <v>230.16066085227715</v>
      </c>
      <c r="E240" s="3">
        <v>233.87484013561132</v>
      </c>
      <c r="F240" s="3">
        <v>179.49166617971505</v>
      </c>
    </row>
    <row r="241" spans="1:6">
      <c r="A241" s="9">
        <v>43951</v>
      </c>
      <c r="B241" s="3">
        <v>312.67476925065426</v>
      </c>
      <c r="C241" s="3">
        <v>241.4992270033874</v>
      </c>
      <c r="D241" s="3">
        <v>213.87045648824059</v>
      </c>
      <c r="E241" s="3">
        <v>231.35302931686692</v>
      </c>
      <c r="F241" s="3">
        <v>177.9711675080944</v>
      </c>
    </row>
    <row r="242" spans="1:6">
      <c r="A242" s="9">
        <v>43952</v>
      </c>
      <c r="B242" s="3">
        <v>322.17125086981554</v>
      </c>
      <c r="C242" s="3">
        <v>237.07039271520915</v>
      </c>
      <c r="D242" s="3">
        <v>229.1619322622619</v>
      </c>
      <c r="E242" s="3">
        <v>236.87699561158252</v>
      </c>
      <c r="F242" s="3">
        <v>180.30317434317502</v>
      </c>
    </row>
    <row r="243" spans="1:6">
      <c r="A243" s="9">
        <v>43953</v>
      </c>
      <c r="B243" s="3">
        <v>329.57353544663317</v>
      </c>
      <c r="C243" s="3">
        <v>258.67338335244489</v>
      </c>
      <c r="D243" s="3">
        <v>232.00369436788515</v>
      </c>
      <c r="E243" s="3">
        <v>239.16215656348345</v>
      </c>
      <c r="F243" s="3">
        <v>185.74289989860227</v>
      </c>
    </row>
    <row r="244" spans="1:6">
      <c r="A244" s="9">
        <v>43954</v>
      </c>
      <c r="B244" s="3">
        <v>443.20998136027168</v>
      </c>
      <c r="C244" s="3">
        <v>370.25110130398764</v>
      </c>
      <c r="D244" s="3">
        <v>409.60090559359054</v>
      </c>
      <c r="E244" s="3">
        <v>330.95124291748385</v>
      </c>
      <c r="F244" s="3">
        <v>260.74732241590851</v>
      </c>
    </row>
    <row r="245" spans="1:6">
      <c r="A245" s="9">
        <v>43955</v>
      </c>
      <c r="B245" s="3">
        <v>673.05128481625616</v>
      </c>
      <c r="C245" s="3">
        <v>470.94479402571932</v>
      </c>
      <c r="D245" s="3">
        <v>570.33182825266397</v>
      </c>
      <c r="E245" s="3">
        <v>387.09331966492488</v>
      </c>
      <c r="F245" s="3">
        <v>316.86634343807395</v>
      </c>
    </row>
    <row r="246" spans="1:6">
      <c r="A246" s="9">
        <v>43956</v>
      </c>
      <c r="B246" s="3">
        <v>745.2795908031967</v>
      </c>
      <c r="C246" s="3">
        <v>453.89182748014639</v>
      </c>
      <c r="D246" s="3">
        <v>537.57539200386873</v>
      </c>
      <c r="E246" s="3">
        <v>376.79557732736896</v>
      </c>
      <c r="F246" s="3">
        <v>311.0694315172322</v>
      </c>
    </row>
    <row r="247" spans="1:6">
      <c r="A247" s="9">
        <v>43957</v>
      </c>
      <c r="B247" s="3">
        <v>797.92540149240267</v>
      </c>
      <c r="C247" s="3">
        <v>499.63421819351333</v>
      </c>
      <c r="D247" s="3">
        <v>572.20443608301252</v>
      </c>
      <c r="E247" s="3">
        <v>416.78710839320485</v>
      </c>
      <c r="F247" s="3">
        <v>329.71088860476772</v>
      </c>
    </row>
    <row r="248" spans="1:6">
      <c r="A248" s="9">
        <v>43958</v>
      </c>
      <c r="B248" s="3">
        <v>822.1247467631996</v>
      </c>
      <c r="C248" s="3">
        <v>499.11025477988323</v>
      </c>
      <c r="D248" s="3">
        <v>549.11156426544983</v>
      </c>
      <c r="E248" s="3">
        <v>455.44653804035067</v>
      </c>
      <c r="F248" s="3">
        <v>346.73107467043593</v>
      </c>
    </row>
    <row r="249" spans="1:6">
      <c r="A249" s="9">
        <v>43959</v>
      </c>
      <c r="B249" s="3">
        <v>739.46418076210182</v>
      </c>
      <c r="C249" s="3">
        <v>444.15746175492609</v>
      </c>
      <c r="D249" s="3">
        <v>462.92371652927301</v>
      </c>
      <c r="E249" s="3">
        <v>405.53485289375556</v>
      </c>
      <c r="F249" s="3">
        <v>354.30584413673557</v>
      </c>
    </row>
    <row r="250" spans="1:6">
      <c r="A250" s="9">
        <v>43960</v>
      </c>
      <c r="B250" s="3">
        <v>571.25068718222099</v>
      </c>
      <c r="C250" s="3">
        <v>427.12687869262282</v>
      </c>
      <c r="D250" s="3">
        <v>449.2320250576538</v>
      </c>
      <c r="E250" s="3">
        <v>377.18271246213556</v>
      </c>
      <c r="F250" s="3">
        <v>334.89613557517515</v>
      </c>
    </row>
    <row r="251" spans="1:6">
      <c r="A251" s="9">
        <v>43961</v>
      </c>
      <c r="B251" s="3">
        <v>516.81694333406324</v>
      </c>
      <c r="C251" s="3">
        <v>360.09959034164331</v>
      </c>
      <c r="D251" s="3">
        <v>339.27311986180172</v>
      </c>
      <c r="E251" s="3">
        <v>305.63038641644619</v>
      </c>
      <c r="F251" s="3">
        <v>276.46450482639432</v>
      </c>
    </row>
    <row r="252" spans="1:6">
      <c r="A252" s="9">
        <v>43962</v>
      </c>
      <c r="B252" s="3">
        <v>452.31820806271736</v>
      </c>
      <c r="C252" s="3">
        <v>228.31584162907484</v>
      </c>
      <c r="D252" s="3">
        <v>246.62001355482326</v>
      </c>
      <c r="E252" s="3">
        <v>215.38186925594329</v>
      </c>
      <c r="F252" s="3">
        <v>185.22577082090245</v>
      </c>
    </row>
    <row r="253" spans="1:6">
      <c r="A253" s="9">
        <v>43963</v>
      </c>
      <c r="B253" s="3">
        <v>456.61121654042262</v>
      </c>
      <c r="C253" s="3">
        <v>278.66210144427555</v>
      </c>
      <c r="D253" s="3">
        <v>230.43972110725022</v>
      </c>
      <c r="E253" s="3">
        <v>214.88713665027271</v>
      </c>
      <c r="F253" s="3">
        <v>212.86974753284244</v>
      </c>
    </row>
    <row r="254" spans="1:6">
      <c r="A254" s="9">
        <v>43964</v>
      </c>
      <c r="B254" s="3">
        <v>651.41308107922896</v>
      </c>
      <c r="C254" s="3">
        <v>401.09389554328902</v>
      </c>
      <c r="D254" s="3">
        <v>368.59771623562449</v>
      </c>
      <c r="E254" s="3">
        <v>308.52277186191515</v>
      </c>
      <c r="F254" s="3">
        <v>314.93577352703193</v>
      </c>
    </row>
    <row r="255" spans="1:6">
      <c r="A255" s="9">
        <v>43965</v>
      </c>
      <c r="B255" s="3">
        <v>638.04770415704809</v>
      </c>
      <c r="C255" s="3">
        <v>402.06313958625918</v>
      </c>
      <c r="D255" s="3">
        <v>367.14289784841588</v>
      </c>
      <c r="E255" s="3">
        <v>304.89818308354796</v>
      </c>
      <c r="F255" s="3">
        <v>332.17486573185732</v>
      </c>
    </row>
    <row r="256" spans="1:6">
      <c r="A256" s="9">
        <v>43966</v>
      </c>
      <c r="B256" s="3">
        <v>562.4644680318595</v>
      </c>
      <c r="C256" s="3">
        <v>272.39138700531754</v>
      </c>
      <c r="D256" s="3">
        <v>284.4319212033264</v>
      </c>
      <c r="E256" s="3">
        <v>266.86346738830474</v>
      </c>
      <c r="F256" s="3">
        <v>270.94808334787064</v>
      </c>
    </row>
    <row r="257" spans="1:6">
      <c r="A257" s="9">
        <v>43967</v>
      </c>
      <c r="B257" s="3">
        <v>643.0482498263375</v>
      </c>
      <c r="C257" s="3">
        <v>310.95972854264909</v>
      </c>
      <c r="D257" s="3">
        <v>320.53969564127163</v>
      </c>
      <c r="E257" s="3">
        <v>278.98655994133276</v>
      </c>
      <c r="F257" s="3">
        <v>251.28832673419231</v>
      </c>
    </row>
    <row r="258" spans="1:6">
      <c r="A258" s="9">
        <v>43968</v>
      </c>
      <c r="B258" s="3">
        <v>178.74479678134367</v>
      </c>
      <c r="C258" s="3">
        <v>88.136477300571215</v>
      </c>
      <c r="D258" s="3">
        <v>84.513411519424423</v>
      </c>
      <c r="E258" s="3">
        <v>96.176030666314858</v>
      </c>
      <c r="F258" s="3">
        <v>86.406194239018006</v>
      </c>
    </row>
    <row r="259" spans="1:6">
      <c r="A259" s="9">
        <v>43969</v>
      </c>
      <c r="B259" s="3">
        <v>647.11171438269457</v>
      </c>
      <c r="C259" s="3">
        <v>292.93399192293958</v>
      </c>
      <c r="D259" s="3">
        <v>340.37708242325846</v>
      </c>
      <c r="E259" s="3">
        <v>306.67099111588658</v>
      </c>
      <c r="F259" s="3">
        <v>272.10617525550248</v>
      </c>
    </row>
    <row r="260" spans="1:6">
      <c r="A260" s="9">
        <v>43970</v>
      </c>
      <c r="B260" s="3">
        <v>560.70997344779175</v>
      </c>
      <c r="C260" s="3">
        <v>253.98390795427531</v>
      </c>
      <c r="D260" s="3">
        <v>246.7960796785531</v>
      </c>
      <c r="E260" s="3">
        <v>244.55477991830452</v>
      </c>
      <c r="F260" s="3">
        <v>302.95439344288366</v>
      </c>
    </row>
    <row r="261" spans="1:6">
      <c r="A261" s="9">
        <v>43971</v>
      </c>
      <c r="B261" s="3">
        <v>584.03680638463322</v>
      </c>
      <c r="C261" s="3">
        <v>296.31259123383842</v>
      </c>
      <c r="D261" s="3">
        <v>314.42209102767163</v>
      </c>
      <c r="E261" s="3">
        <v>293.3668220735608</v>
      </c>
      <c r="F261" s="3">
        <v>302.68153401510773</v>
      </c>
    </row>
    <row r="262" spans="1:6">
      <c r="A262" s="9">
        <v>43972</v>
      </c>
      <c r="B262" s="3">
        <v>332.22280288736357</v>
      </c>
      <c r="C262" s="3">
        <v>209.00609310400054</v>
      </c>
      <c r="D262" s="3">
        <v>157.67557860960073</v>
      </c>
      <c r="E262" s="3">
        <v>181.11943180434088</v>
      </c>
      <c r="F262" s="3">
        <v>179.20262790287856</v>
      </c>
    </row>
    <row r="263" spans="1:6">
      <c r="A263" s="9">
        <v>43973</v>
      </c>
      <c r="B263" s="3">
        <v>537.81895680985906</v>
      </c>
      <c r="C263" s="3">
        <v>300.38125110856413</v>
      </c>
      <c r="D263" s="3">
        <v>262.13295074464628</v>
      </c>
      <c r="E263" s="3">
        <v>236.51800096992363</v>
      </c>
      <c r="F263" s="3">
        <v>217.29184445598835</v>
      </c>
    </row>
    <row r="264" spans="1:6">
      <c r="A264" s="9">
        <v>43974</v>
      </c>
      <c r="B264" s="3">
        <v>376.79702214538713</v>
      </c>
      <c r="C264" s="3">
        <v>200.71965564622917</v>
      </c>
      <c r="D264" s="3">
        <v>137.7489629151477</v>
      </c>
      <c r="E264" s="3">
        <v>145.89842952111587</v>
      </c>
      <c r="F264" s="3">
        <v>136.06641890011252</v>
      </c>
    </row>
    <row r="265" spans="1:6">
      <c r="A265" s="9">
        <v>43975</v>
      </c>
      <c r="B265" s="3">
        <v>24.542270169966262</v>
      </c>
      <c r="C265" s="3">
        <v>4.1928251502278195</v>
      </c>
      <c r="D265" s="3">
        <v>1.1670253499741889</v>
      </c>
      <c r="E265" s="3">
        <v>6.3049476465571769E-2</v>
      </c>
      <c r="F265" s="3">
        <v>0</v>
      </c>
    </row>
    <row r="266" spans="1:6">
      <c r="A266" s="9">
        <v>43976</v>
      </c>
      <c r="B266" s="3">
        <v>334.75968850128555</v>
      </c>
      <c r="C266" s="3">
        <v>117.30579449981634</v>
      </c>
      <c r="D266" s="3">
        <v>179.33252283691544</v>
      </c>
      <c r="E266" s="3">
        <v>153.62458802744632</v>
      </c>
      <c r="F266" s="3">
        <v>119.59616962965899</v>
      </c>
    </row>
    <row r="267" spans="1:6">
      <c r="A267" s="9">
        <v>43977</v>
      </c>
      <c r="B267" s="3">
        <v>493.47583472833236</v>
      </c>
      <c r="C267" s="3">
        <v>196.6709111432838</v>
      </c>
      <c r="D267" s="3">
        <v>259.07576846884882</v>
      </c>
      <c r="E267" s="3">
        <v>198.95120174641838</v>
      </c>
      <c r="F267" s="3">
        <v>174.16233289521094</v>
      </c>
    </row>
    <row r="268" spans="1:6">
      <c r="A268" s="9">
        <v>43978</v>
      </c>
      <c r="B268" s="3">
        <v>300.75032433422558</v>
      </c>
      <c r="C268" s="3">
        <v>121.93546506834822</v>
      </c>
      <c r="D268" s="3">
        <v>152.61686057341842</v>
      </c>
      <c r="E268" s="3">
        <v>126.59000618830727</v>
      </c>
      <c r="F268" s="3">
        <v>110.09423389293819</v>
      </c>
    </row>
    <row r="269" spans="1:6">
      <c r="A269" s="9">
        <v>43979</v>
      </c>
      <c r="B269" s="3">
        <v>83.723102193682109</v>
      </c>
      <c r="C269" s="3">
        <v>47.535539775264645</v>
      </c>
      <c r="D269" s="3">
        <v>47.540200947494021</v>
      </c>
      <c r="E269" s="3">
        <v>47.482068345448688</v>
      </c>
      <c r="F269" s="3">
        <v>43.733522881455116</v>
      </c>
    </row>
    <row r="270" spans="1:6">
      <c r="A270" s="9">
        <v>43980</v>
      </c>
      <c r="B270" s="3">
        <v>415.84831253303076</v>
      </c>
      <c r="C270" s="3">
        <v>248.53500603878447</v>
      </c>
      <c r="D270" s="3">
        <v>191.5286300938555</v>
      </c>
      <c r="E270" s="3">
        <v>220.18450467925862</v>
      </c>
      <c r="F270" s="3">
        <v>150.63515192950149</v>
      </c>
    </row>
    <row r="271" spans="1:6">
      <c r="A271" s="9">
        <v>43981</v>
      </c>
      <c r="B271" s="3">
        <v>648.18478940289765</v>
      </c>
      <c r="C271" s="3">
        <v>361.0839279213539</v>
      </c>
      <c r="D271" s="3">
        <v>358.45517444137454</v>
      </c>
      <c r="E271" s="3">
        <v>304.43787914484011</v>
      </c>
      <c r="F271" s="3">
        <v>227.47325507753439</v>
      </c>
    </row>
    <row r="272" spans="1:6">
      <c r="A272" s="9">
        <v>43982</v>
      </c>
      <c r="B272" s="3">
        <v>502.36770329573557</v>
      </c>
      <c r="C272" s="3">
        <v>271.73490621716576</v>
      </c>
      <c r="D272" s="3">
        <v>265.26330338094397</v>
      </c>
      <c r="E272" s="3">
        <v>215.34397508922322</v>
      </c>
      <c r="F272" s="3">
        <v>192.963988910263</v>
      </c>
    </row>
    <row r="273" spans="1:6">
      <c r="A273" s="9">
        <v>43983</v>
      </c>
      <c r="B273" s="3">
        <v>429.70953108973634</v>
      </c>
      <c r="C273" s="3">
        <v>264.8744704396056</v>
      </c>
      <c r="D273" s="3">
        <v>236.63606209511104</v>
      </c>
      <c r="E273" s="3">
        <v>225.08509076919546</v>
      </c>
      <c r="F273" s="3">
        <v>203.84295599011125</v>
      </c>
    </row>
    <row r="274" spans="1:6">
      <c r="A274" s="9">
        <v>43984</v>
      </c>
      <c r="B274" s="3">
        <v>383.27503957097764</v>
      </c>
      <c r="C274" s="3">
        <v>191.36128712290505</v>
      </c>
      <c r="D274" s="3">
        <v>253.50628970669658</v>
      </c>
      <c r="E274" s="3">
        <v>198.96974509918107</v>
      </c>
      <c r="F274" s="3">
        <v>168.59810190489205</v>
      </c>
    </row>
    <row r="275" spans="1:6">
      <c r="A275" s="9">
        <v>43985</v>
      </c>
      <c r="B275" s="3">
        <v>667.23231924498873</v>
      </c>
      <c r="C275" s="3">
        <v>273.37893445538299</v>
      </c>
      <c r="D275" s="3">
        <v>352.13830748693141</v>
      </c>
      <c r="E275" s="3">
        <v>291.79649409696941</v>
      </c>
      <c r="F275" s="3">
        <v>213.95124216317564</v>
      </c>
    </row>
    <row r="276" spans="1:6">
      <c r="A276" s="9">
        <v>43986</v>
      </c>
      <c r="B276" s="3">
        <v>284.83403137148201</v>
      </c>
      <c r="C276" s="3">
        <v>215.36529332617803</v>
      </c>
      <c r="D276" s="3">
        <v>166.01556657329709</v>
      </c>
      <c r="E276" s="3">
        <v>177.71564748660637</v>
      </c>
      <c r="F276" s="3">
        <v>135.77790109189527</v>
      </c>
    </row>
    <row r="277" spans="1:6">
      <c r="A277" s="9">
        <v>43987</v>
      </c>
      <c r="B277" s="3">
        <v>649.9419531362563</v>
      </c>
      <c r="C277" s="3">
        <v>319.58564854890034</v>
      </c>
      <c r="D277" s="3">
        <v>308.11014119116737</v>
      </c>
      <c r="E277" s="3">
        <v>330.80265623877699</v>
      </c>
      <c r="F277" s="3">
        <v>255.83588795980756</v>
      </c>
    </row>
    <row r="278" spans="1:6">
      <c r="A278" s="9">
        <v>43988</v>
      </c>
      <c r="B278" s="3">
        <v>422.01312712780719</v>
      </c>
      <c r="C278" s="3">
        <v>274.00813228236586</v>
      </c>
      <c r="D278" s="3">
        <v>239.72523570870584</v>
      </c>
      <c r="E278" s="3">
        <v>223.45242620206736</v>
      </c>
      <c r="F278" s="3">
        <v>198.15399390620328</v>
      </c>
    </row>
    <row r="279" spans="1:6">
      <c r="A279" s="9">
        <v>43989</v>
      </c>
      <c r="B279" s="3">
        <v>344.87667549387902</v>
      </c>
      <c r="C279" s="3">
        <v>290.56193092277061</v>
      </c>
      <c r="D279" s="3">
        <v>200.66531059203112</v>
      </c>
      <c r="E279" s="3">
        <v>186.73608773000359</v>
      </c>
      <c r="F279" s="3">
        <v>183.63992728442315</v>
      </c>
    </row>
    <row r="280" spans="1:6">
      <c r="A280" s="9">
        <v>43990</v>
      </c>
      <c r="B280" s="3">
        <v>202.46896233763471</v>
      </c>
      <c r="C280" s="3">
        <v>136.24654150783547</v>
      </c>
      <c r="D280" s="3">
        <v>108.60726769615955</v>
      </c>
      <c r="E280" s="3">
        <v>121.27265967314678</v>
      </c>
      <c r="F280" s="3">
        <v>106.89057537809033</v>
      </c>
    </row>
    <row r="281" spans="1:6">
      <c r="A281" s="9">
        <v>43991</v>
      </c>
      <c r="B281" s="3">
        <v>286.31863959512043</v>
      </c>
      <c r="C281" s="3">
        <v>268.61284004456439</v>
      </c>
      <c r="D281" s="3">
        <v>207.17417499480783</v>
      </c>
      <c r="E281" s="3">
        <v>154.05109840132837</v>
      </c>
      <c r="F281" s="3">
        <v>183.87621214396307</v>
      </c>
    </row>
    <row r="282" spans="1:6">
      <c r="A282" s="9">
        <v>43992</v>
      </c>
      <c r="B282" s="3">
        <v>195.7039812682211</v>
      </c>
      <c r="C282" s="3">
        <v>161.08862478671</v>
      </c>
      <c r="D282" s="3">
        <v>104.40587286585536</v>
      </c>
      <c r="E282" s="3">
        <v>93.003901497930414</v>
      </c>
      <c r="F282" s="3">
        <v>116.75396433690884</v>
      </c>
    </row>
    <row r="283" spans="1:6">
      <c r="A283" s="9">
        <v>43993</v>
      </c>
      <c r="B283" s="3">
        <v>536.5174614821434</v>
      </c>
      <c r="C283" s="3">
        <v>491.74184327720508</v>
      </c>
      <c r="D283" s="3">
        <v>363.45177650216056</v>
      </c>
      <c r="E283" s="3">
        <v>222.4425446212575</v>
      </c>
      <c r="F283" s="3">
        <v>302.47682555849991</v>
      </c>
    </row>
    <row r="284" spans="1:6">
      <c r="A284" s="9">
        <v>43994</v>
      </c>
      <c r="B284" s="3">
        <v>604.54785236330019</v>
      </c>
      <c r="C284" s="3">
        <v>476.07815792707953</v>
      </c>
      <c r="D284" s="3">
        <v>360.02326207344743</v>
      </c>
      <c r="E284" s="3">
        <v>217.88511954122043</v>
      </c>
      <c r="F284" s="3">
        <v>329.04617522698032</v>
      </c>
    </row>
    <row r="285" spans="1:6">
      <c r="A285" s="9">
        <v>43995</v>
      </c>
      <c r="B285" s="3">
        <v>299.93937758740537</v>
      </c>
      <c r="C285" s="3">
        <v>208.27871277966761</v>
      </c>
      <c r="D285" s="3">
        <v>122.00508674237818</v>
      </c>
      <c r="E285" s="3">
        <v>103.95085633083718</v>
      </c>
      <c r="F285" s="3">
        <v>86.712558742308573</v>
      </c>
    </row>
    <row r="286" spans="1:6">
      <c r="A286" s="9">
        <v>43996</v>
      </c>
      <c r="B286" s="3">
        <v>383.73017025658532</v>
      </c>
      <c r="C286" s="3">
        <v>185.49693809639615</v>
      </c>
      <c r="D286" s="3">
        <v>124.90775367799056</v>
      </c>
      <c r="E286" s="3">
        <v>110.98679824997889</v>
      </c>
      <c r="F286" s="3">
        <v>88.941232873587992</v>
      </c>
    </row>
    <row r="287" spans="1:6">
      <c r="A287" s="9">
        <v>43997</v>
      </c>
      <c r="B287" s="3">
        <v>591.15190276062037</v>
      </c>
      <c r="C287" s="3">
        <v>369.79004645491597</v>
      </c>
      <c r="D287" s="3">
        <v>297.65149027097345</v>
      </c>
      <c r="E287" s="3">
        <v>212.42216661665273</v>
      </c>
      <c r="F287" s="3">
        <v>227.09793185418243</v>
      </c>
    </row>
    <row r="288" spans="1:6">
      <c r="A288" s="9">
        <v>43998</v>
      </c>
      <c r="B288" s="3">
        <v>539.76307550088563</v>
      </c>
      <c r="C288" s="3">
        <v>416.3241731179474</v>
      </c>
      <c r="D288" s="3">
        <v>324.68615035777248</v>
      </c>
      <c r="E288" s="3">
        <v>209.93250893001738</v>
      </c>
      <c r="F288" s="3">
        <v>238.28873834778173</v>
      </c>
    </row>
    <row r="289" spans="1:6">
      <c r="A289" s="9">
        <v>43999</v>
      </c>
      <c r="B289" s="3">
        <v>615.32068335315546</v>
      </c>
      <c r="C289" s="3">
        <v>490.86575258887967</v>
      </c>
      <c r="D289" s="3">
        <v>382.84017224497205</v>
      </c>
      <c r="E289" s="3">
        <v>229.5819526863381</v>
      </c>
      <c r="F289" s="3">
        <v>275.89885771087307</v>
      </c>
    </row>
    <row r="290" spans="1:6">
      <c r="A290" s="9">
        <v>44000</v>
      </c>
      <c r="B290" s="3">
        <v>167.96763528308878</v>
      </c>
      <c r="C290" s="3">
        <v>126.89299038813175</v>
      </c>
      <c r="D290" s="3">
        <v>83.055293789023395</v>
      </c>
      <c r="E290" s="3">
        <v>69.141695594015474</v>
      </c>
      <c r="F290" s="3">
        <v>96.863648439232648</v>
      </c>
    </row>
    <row r="291" spans="1:6">
      <c r="A291" s="9">
        <v>44001</v>
      </c>
      <c r="B291" s="3">
        <v>497.7802537281998</v>
      </c>
      <c r="C291" s="3">
        <v>419.44084617256993</v>
      </c>
      <c r="D291" s="3">
        <v>338.89324105411339</v>
      </c>
      <c r="E291" s="3">
        <v>181.52623363844734</v>
      </c>
      <c r="F291" s="3">
        <v>230.96835809319603</v>
      </c>
    </row>
    <row r="292" spans="1:6">
      <c r="A292" s="9">
        <v>44002</v>
      </c>
      <c r="B292" s="3">
        <v>738.40535612373662</v>
      </c>
      <c r="C292" s="3">
        <v>593.71180230882862</v>
      </c>
      <c r="D292" s="3">
        <v>498.33270325135959</v>
      </c>
      <c r="E292" s="3">
        <v>262.30423731823839</v>
      </c>
      <c r="F292" s="3">
        <v>315.1258116696153</v>
      </c>
    </row>
    <row r="293" spans="1:6">
      <c r="A293" s="9">
        <v>44003</v>
      </c>
      <c r="B293" s="3">
        <v>622.38821152557955</v>
      </c>
      <c r="C293" s="3">
        <v>450.03547332349092</v>
      </c>
      <c r="D293" s="3">
        <v>414.09191756996745</v>
      </c>
      <c r="E293" s="3">
        <v>212.08387074304534</v>
      </c>
      <c r="F293" s="3">
        <v>217.51532529440695</v>
      </c>
    </row>
    <row r="294" spans="1:6">
      <c r="A294" s="9">
        <v>44004</v>
      </c>
      <c r="B294" s="3">
        <v>525.29660077784797</v>
      </c>
      <c r="C294" s="3">
        <v>385.08095717914932</v>
      </c>
      <c r="D294" s="3">
        <v>339.26966726712254</v>
      </c>
      <c r="E294" s="3">
        <v>183.54963461108534</v>
      </c>
      <c r="F294" s="3">
        <v>187.27211294375465</v>
      </c>
    </row>
    <row r="295" spans="1:6">
      <c r="A295" s="9">
        <v>44005</v>
      </c>
      <c r="B295" s="3">
        <v>166.67529691502722</v>
      </c>
      <c r="C295" s="3">
        <v>112.09181013284774</v>
      </c>
      <c r="D295" s="3">
        <v>75.341535493042343</v>
      </c>
      <c r="E295" s="3">
        <v>65.946309681815279</v>
      </c>
      <c r="F295" s="3">
        <v>87.15819709446626</v>
      </c>
    </row>
    <row r="296" spans="1:6">
      <c r="A296" s="9">
        <v>44006</v>
      </c>
      <c r="B296" s="3">
        <v>42.131581392688553</v>
      </c>
      <c r="C296" s="3">
        <v>10.492724019927525</v>
      </c>
      <c r="D296" s="3">
        <v>4.0415606233610655</v>
      </c>
      <c r="E296" s="3">
        <v>8.024568247642911</v>
      </c>
      <c r="F296" s="3">
        <v>25.682174411568262</v>
      </c>
    </row>
    <row r="297" spans="1:6">
      <c r="A297" s="9">
        <v>44007</v>
      </c>
      <c r="B297" s="3">
        <v>644.28476387256592</v>
      </c>
      <c r="C297" s="3">
        <v>403.99035960753321</v>
      </c>
      <c r="D297" s="3">
        <v>402.79515682006269</v>
      </c>
      <c r="E297" s="3">
        <v>243.51174079578482</v>
      </c>
      <c r="F297" s="3">
        <v>277.87133443143432</v>
      </c>
    </row>
    <row r="298" spans="1:6">
      <c r="A298" s="9">
        <v>44008</v>
      </c>
      <c r="B298" s="3">
        <v>660.69679006225192</v>
      </c>
      <c r="C298" s="3">
        <v>451.85330387349978</v>
      </c>
      <c r="D298" s="3">
        <v>401.07320404561995</v>
      </c>
      <c r="E298" s="3">
        <v>250.12224661482713</v>
      </c>
      <c r="F298" s="3">
        <v>269.97027814421222</v>
      </c>
    </row>
    <row r="299" spans="1:6">
      <c r="A299" s="9">
        <v>44009</v>
      </c>
      <c r="B299" s="3">
        <v>645.36867202967233</v>
      </c>
      <c r="C299" s="3">
        <v>416.89835809565454</v>
      </c>
      <c r="D299" s="3">
        <v>378.6381557173076</v>
      </c>
      <c r="E299" s="3">
        <v>253.57019290358917</v>
      </c>
      <c r="F299" s="3">
        <v>330.29510535819651</v>
      </c>
    </row>
    <row r="300" spans="1:6">
      <c r="A300" s="9">
        <v>44010</v>
      </c>
      <c r="B300" s="3">
        <v>731.24791014036339</v>
      </c>
      <c r="C300" s="3">
        <v>467.65319172774326</v>
      </c>
      <c r="D300" s="3">
        <v>378.86695701022126</v>
      </c>
      <c r="E300" s="3">
        <v>259.48134160433756</v>
      </c>
      <c r="F300" s="3">
        <v>365.92296804178176</v>
      </c>
    </row>
    <row r="301" spans="1:6">
      <c r="A301" s="9">
        <v>44011</v>
      </c>
      <c r="B301" s="3">
        <v>814.9754650840664</v>
      </c>
      <c r="C301" s="3">
        <v>398.45306816146842</v>
      </c>
      <c r="D301" s="3">
        <v>374.77980273759908</v>
      </c>
      <c r="E301" s="3">
        <v>268.45990789511291</v>
      </c>
      <c r="F301" s="3">
        <v>333.59698278805877</v>
      </c>
    </row>
    <row r="302" spans="1:6">
      <c r="A302" s="9">
        <v>44012</v>
      </c>
      <c r="B302" s="3">
        <v>337.26767463480962</v>
      </c>
      <c r="C302" s="3">
        <v>79.375680749270856</v>
      </c>
      <c r="D302" s="3">
        <v>217.34675818552273</v>
      </c>
      <c r="E302" s="3">
        <v>181.54174026291784</v>
      </c>
      <c r="F302" s="3">
        <v>112.97566827514481</v>
      </c>
    </row>
    <row r="303" spans="1:6">
      <c r="A303" s="9">
        <v>44013</v>
      </c>
      <c r="B303" s="3">
        <v>288.36615687690397</v>
      </c>
      <c r="C303" s="3">
        <v>180.72255608008413</v>
      </c>
      <c r="D303" s="3">
        <v>163.02781825714902</v>
      </c>
      <c r="E303" s="3">
        <v>162.12128765931109</v>
      </c>
      <c r="F303" s="3">
        <v>143.05983525268596</v>
      </c>
    </row>
    <row r="304" spans="1:6">
      <c r="A304" s="9">
        <v>44014</v>
      </c>
      <c r="B304" s="3">
        <v>186.77519015367355</v>
      </c>
      <c r="C304" s="3">
        <v>139.40792347552792</v>
      </c>
      <c r="D304" s="3">
        <v>85.270361005371328</v>
      </c>
      <c r="E304" s="3">
        <v>148.27491340932968</v>
      </c>
      <c r="F304" s="3">
        <v>146.94059670733674</v>
      </c>
    </row>
    <row r="305" spans="1:6">
      <c r="A305" s="9">
        <v>44015</v>
      </c>
      <c r="B305" s="3">
        <v>602.76139563028596</v>
      </c>
      <c r="C305" s="3">
        <v>509.89334067160513</v>
      </c>
      <c r="D305" s="3">
        <v>359.95482645092272</v>
      </c>
      <c r="E305" s="3">
        <v>346.08663800412762</v>
      </c>
      <c r="F305" s="3">
        <v>390.33140597224138</v>
      </c>
    </row>
    <row r="306" spans="1:6">
      <c r="A306" s="9">
        <v>44016</v>
      </c>
      <c r="B306" s="3">
        <v>730.89654982685738</v>
      </c>
      <c r="C306" s="3">
        <v>554.31890270988333</v>
      </c>
      <c r="D306" s="3">
        <v>407.87288505299966</v>
      </c>
      <c r="E306" s="3">
        <v>358.37768495265294</v>
      </c>
      <c r="F306" s="3">
        <v>405.56284721270941</v>
      </c>
    </row>
    <row r="307" spans="1:6">
      <c r="A307" s="9">
        <v>44017</v>
      </c>
      <c r="B307" s="3">
        <v>716.49324952315169</v>
      </c>
      <c r="C307" s="3">
        <v>470.04724684007823</v>
      </c>
      <c r="D307" s="3">
        <v>427.53928310318173</v>
      </c>
      <c r="E307" s="3">
        <v>341.3398036187549</v>
      </c>
      <c r="F307" s="3">
        <v>393.23291072928237</v>
      </c>
    </row>
    <row r="308" spans="1:6">
      <c r="A308" s="9">
        <v>44018</v>
      </c>
      <c r="B308" s="3">
        <v>745.76936530437729</v>
      </c>
      <c r="C308" s="3">
        <v>426.15620411446434</v>
      </c>
      <c r="D308" s="3">
        <v>439.21765148789171</v>
      </c>
      <c r="E308" s="3">
        <v>353.88302046369722</v>
      </c>
      <c r="F308" s="3">
        <v>389.71154114170633</v>
      </c>
    </row>
    <row r="309" spans="1:6">
      <c r="A309" s="9">
        <v>44019</v>
      </c>
      <c r="B309" s="3">
        <v>699.42877018698243</v>
      </c>
      <c r="C309" s="3">
        <v>387.78183093215785</v>
      </c>
      <c r="D309" s="3">
        <v>406.25600597580342</v>
      </c>
      <c r="E309" s="3">
        <v>308.32942672587126</v>
      </c>
      <c r="F309" s="3">
        <v>350.99401291896322</v>
      </c>
    </row>
    <row r="310" spans="1:6">
      <c r="A310" s="9">
        <v>44020</v>
      </c>
      <c r="B310" s="3">
        <v>412.74813881830443</v>
      </c>
      <c r="C310" s="3">
        <v>234.9485451642656</v>
      </c>
      <c r="D310" s="3">
        <v>242.99510784775754</v>
      </c>
      <c r="E310" s="3">
        <v>197.05884457505277</v>
      </c>
      <c r="F310" s="3">
        <v>224.51516614443258</v>
      </c>
    </row>
    <row r="311" spans="1:6">
      <c r="A311" s="9">
        <v>44021</v>
      </c>
      <c r="B311" s="3">
        <v>369.70981052313061</v>
      </c>
      <c r="C311" s="3">
        <v>189.68011986617879</v>
      </c>
      <c r="D311" s="3">
        <v>146.75532343340339</v>
      </c>
      <c r="E311" s="3">
        <v>146.95947031509411</v>
      </c>
      <c r="F311" s="3">
        <v>150.6484222175032</v>
      </c>
    </row>
    <row r="312" spans="1:6">
      <c r="A312" s="9">
        <v>44022</v>
      </c>
      <c r="B312" s="3">
        <v>188.91457609217511</v>
      </c>
      <c r="C312" s="3">
        <v>181.11824922685238</v>
      </c>
      <c r="D312" s="3">
        <v>114.35746152793443</v>
      </c>
      <c r="E312" s="3">
        <v>139.00066001551284</v>
      </c>
      <c r="F312" s="3">
        <v>177.10061400623792</v>
      </c>
    </row>
    <row r="313" spans="1:6">
      <c r="A313" s="9">
        <v>44023</v>
      </c>
      <c r="B313" s="3">
        <v>482.17688252706392</v>
      </c>
      <c r="C313" s="3">
        <v>373.78482946613076</v>
      </c>
      <c r="D313" s="3">
        <v>259.36467093541631</v>
      </c>
      <c r="E313" s="3">
        <v>231.51862455223431</v>
      </c>
      <c r="F313" s="3">
        <v>305.00424622518165</v>
      </c>
    </row>
    <row r="314" spans="1:6">
      <c r="A314" s="9">
        <v>44024</v>
      </c>
      <c r="B314" s="3">
        <v>0.70723436448018795</v>
      </c>
      <c r="C314" s="3">
        <v>27.154135649735768</v>
      </c>
      <c r="D314" s="3">
        <v>1.9845536699587787</v>
      </c>
      <c r="E314" s="3">
        <v>12.207699019107118</v>
      </c>
      <c r="F314" s="3">
        <v>37.159990747673675</v>
      </c>
    </row>
    <row r="315" spans="1:6">
      <c r="A315" s="9">
        <v>44025</v>
      </c>
      <c r="B315" s="3">
        <v>124.69518235736024</v>
      </c>
      <c r="C315" s="3">
        <v>110.7392058761356</v>
      </c>
      <c r="D315" s="3">
        <v>82.661093190808316</v>
      </c>
      <c r="E315" s="3">
        <v>112.47508151170058</v>
      </c>
      <c r="F315" s="3">
        <v>173.15766649447323</v>
      </c>
    </row>
    <row r="316" spans="1:6">
      <c r="A316" s="9">
        <v>44026</v>
      </c>
      <c r="B316" s="3">
        <v>804.11076354215515</v>
      </c>
      <c r="C316" s="3">
        <v>427.84154364324701</v>
      </c>
      <c r="D316" s="3">
        <v>435.4372883289351</v>
      </c>
      <c r="E316" s="3">
        <v>334.9969668639356</v>
      </c>
      <c r="F316" s="3">
        <v>447.7036885817717</v>
      </c>
    </row>
    <row r="317" spans="1:6">
      <c r="A317" s="9">
        <v>44027</v>
      </c>
      <c r="B317" s="3">
        <v>704.95115951700564</v>
      </c>
      <c r="C317" s="3">
        <v>430.67413896374978</v>
      </c>
      <c r="D317" s="3">
        <v>427.49470414575131</v>
      </c>
      <c r="E317" s="3">
        <v>330.79823051139186</v>
      </c>
      <c r="F317" s="3">
        <v>414.26812884118181</v>
      </c>
    </row>
    <row r="318" spans="1:6">
      <c r="A318" s="9">
        <v>44028</v>
      </c>
      <c r="B318" s="3">
        <v>652.67090805847238</v>
      </c>
      <c r="C318" s="3">
        <v>400.22490606968353</v>
      </c>
      <c r="D318" s="3">
        <v>371.50338638737543</v>
      </c>
      <c r="E318" s="3">
        <v>280.2967691446637</v>
      </c>
      <c r="F318" s="3">
        <v>376.37743345602524</v>
      </c>
    </row>
    <row r="319" spans="1:6">
      <c r="A319" s="9">
        <v>44029</v>
      </c>
      <c r="B319" s="3">
        <v>545.98886173230323</v>
      </c>
      <c r="C319" s="3">
        <v>252.03347514359726</v>
      </c>
      <c r="D319" s="3">
        <v>272.88590424623169</v>
      </c>
      <c r="E319" s="3">
        <v>231.03799879385843</v>
      </c>
      <c r="F319" s="3">
        <v>274.76501583561054</v>
      </c>
    </row>
    <row r="320" spans="1:6">
      <c r="A320" s="9">
        <v>44030</v>
      </c>
      <c r="B320" s="3">
        <v>554.30380821701397</v>
      </c>
      <c r="C320" s="3">
        <v>256.74189757543644</v>
      </c>
      <c r="D320" s="3">
        <v>271.64677536858085</v>
      </c>
      <c r="E320" s="3">
        <v>305.26756702805915</v>
      </c>
      <c r="F320" s="3">
        <v>276.96719020345671</v>
      </c>
    </row>
    <row r="321" spans="1:6">
      <c r="A321" s="9">
        <v>44031</v>
      </c>
      <c r="B321" s="3">
        <v>360.50084478401646</v>
      </c>
      <c r="C321" s="3">
        <v>215.74183819842852</v>
      </c>
      <c r="D321" s="3">
        <v>253.07033532699538</v>
      </c>
      <c r="E321" s="3">
        <v>195.51962313925605</v>
      </c>
      <c r="F321" s="3">
        <v>187.28069519356356</v>
      </c>
    </row>
    <row r="322" spans="1:6">
      <c r="A322" s="9">
        <v>44032</v>
      </c>
      <c r="B322" s="3">
        <v>60.648795493582</v>
      </c>
      <c r="C322" s="3">
        <v>29.903361679292356</v>
      </c>
      <c r="D322" s="3">
        <v>53.647993468475484</v>
      </c>
      <c r="E322" s="3">
        <v>31.471289825841271</v>
      </c>
      <c r="F322" s="3">
        <v>41.754285288733421</v>
      </c>
    </row>
    <row r="323" spans="1:6">
      <c r="A323" s="9">
        <v>44033</v>
      </c>
      <c r="B323" s="3">
        <v>454.29229475281761</v>
      </c>
      <c r="C323" s="3">
        <v>213.08490399687963</v>
      </c>
      <c r="D323" s="3">
        <v>299.22300182453574</v>
      </c>
      <c r="E323" s="3">
        <v>236.69116778092985</v>
      </c>
      <c r="F323" s="3">
        <v>252.45289530568675</v>
      </c>
    </row>
    <row r="324" spans="1:6">
      <c r="A324" s="9">
        <v>44034</v>
      </c>
      <c r="B324" s="3">
        <v>702.27783565280322</v>
      </c>
      <c r="C324" s="3">
        <v>293.00340544039301</v>
      </c>
      <c r="D324" s="3">
        <v>428.9789408469303</v>
      </c>
      <c r="E324" s="3">
        <v>275.9632592221821</v>
      </c>
      <c r="F324" s="3">
        <v>364.09352579054712</v>
      </c>
    </row>
    <row r="325" spans="1:6">
      <c r="A325" s="9">
        <v>44035</v>
      </c>
      <c r="B325" s="3">
        <v>888.58749752899848</v>
      </c>
      <c r="C325" s="3">
        <v>417.62997154237399</v>
      </c>
      <c r="D325" s="3">
        <v>570.73992876035663</v>
      </c>
      <c r="E325" s="3">
        <v>318.77275101318389</v>
      </c>
      <c r="F325" s="3">
        <v>477.05836783841067</v>
      </c>
    </row>
    <row r="326" spans="1:6">
      <c r="A326" s="9">
        <v>44036</v>
      </c>
      <c r="B326" s="3">
        <v>856.61768955996365</v>
      </c>
      <c r="C326" s="3">
        <v>408.89226343539036</v>
      </c>
      <c r="D326" s="3">
        <v>485.65135785721787</v>
      </c>
      <c r="E326" s="3">
        <v>320.88457679325944</v>
      </c>
      <c r="F326" s="3">
        <v>426.49261939186721</v>
      </c>
    </row>
    <row r="327" spans="1:6">
      <c r="A327" s="9">
        <v>44037</v>
      </c>
      <c r="B327" s="3">
        <v>743.97952249720322</v>
      </c>
      <c r="C327" s="3">
        <v>293.91697450477386</v>
      </c>
      <c r="D327" s="3">
        <v>356.15809503094647</v>
      </c>
      <c r="E327" s="3">
        <v>302.99943618469274</v>
      </c>
      <c r="F327" s="3">
        <v>366.76405934830245</v>
      </c>
    </row>
    <row r="328" spans="1:6">
      <c r="A328" s="9">
        <v>44038</v>
      </c>
      <c r="B328" s="3">
        <v>116.55407339931818</v>
      </c>
      <c r="C328" s="3">
        <v>40.940346148075164</v>
      </c>
      <c r="D328" s="3">
        <v>55.085868970790052</v>
      </c>
      <c r="E328" s="3">
        <v>64.145048882833677</v>
      </c>
      <c r="F328" s="3">
        <v>139.32084206951319</v>
      </c>
    </row>
    <row r="329" spans="1:6">
      <c r="A329" s="9">
        <v>44039</v>
      </c>
      <c r="B329" s="3">
        <v>779.75839480063769</v>
      </c>
      <c r="C329" s="3">
        <v>523.07829429143032</v>
      </c>
      <c r="D329" s="3">
        <v>592.75022607206438</v>
      </c>
      <c r="E329" s="3">
        <v>352.81035419614574</v>
      </c>
      <c r="F329" s="3">
        <v>432.82765577199973</v>
      </c>
    </row>
    <row r="330" spans="1:6">
      <c r="A330" s="9">
        <v>44040</v>
      </c>
      <c r="B330" s="3">
        <v>836.15506082313743</v>
      </c>
      <c r="C330" s="3">
        <v>404.85203558394488</v>
      </c>
      <c r="D330" s="3">
        <v>600.95322848669468</v>
      </c>
      <c r="E330" s="3">
        <v>372.74676694484378</v>
      </c>
      <c r="F330" s="3">
        <v>384.6535803433589</v>
      </c>
    </row>
    <row r="331" spans="1:6">
      <c r="A331" s="9">
        <v>44041</v>
      </c>
      <c r="B331" s="3">
        <v>816.12395340107423</v>
      </c>
      <c r="C331" s="3">
        <v>421.59848984340607</v>
      </c>
      <c r="D331" s="3">
        <v>530.24786180437866</v>
      </c>
      <c r="E331" s="3">
        <v>388.00052261243087</v>
      </c>
      <c r="F331" s="3">
        <v>344.38991758173449</v>
      </c>
    </row>
    <row r="332" spans="1:6">
      <c r="A332" s="9">
        <v>44042</v>
      </c>
      <c r="B332" s="3">
        <v>785.61257919988236</v>
      </c>
      <c r="C332" s="3">
        <v>422.65420820298408</v>
      </c>
      <c r="D332" s="3">
        <v>500.41593502753193</v>
      </c>
      <c r="E332" s="3">
        <v>391.98893022435777</v>
      </c>
      <c r="F332" s="3">
        <v>266.52455640036612</v>
      </c>
    </row>
    <row r="333" spans="1:6">
      <c r="A333" s="9">
        <v>44043</v>
      </c>
      <c r="B333" s="3">
        <v>706.20491742749005</v>
      </c>
      <c r="C333" s="3">
        <v>435.97569370127894</v>
      </c>
      <c r="D333" s="3">
        <v>440.27000597063807</v>
      </c>
      <c r="E333" s="3">
        <v>376.50882315255154</v>
      </c>
      <c r="F333" s="3">
        <v>243.24186202052363</v>
      </c>
    </row>
    <row r="334" spans="1:6">
      <c r="A334" s="9">
        <v>44044</v>
      </c>
      <c r="B334" s="3">
        <v>558.89835501970686</v>
      </c>
      <c r="C334" s="3">
        <v>380.61889229151166</v>
      </c>
      <c r="D334" s="3">
        <v>340.05819551223328</v>
      </c>
      <c r="E334" s="3">
        <v>306.8079682882402</v>
      </c>
      <c r="F334" s="3">
        <v>201.05138795898864</v>
      </c>
    </row>
    <row r="335" spans="1:6">
      <c r="A335" s="9">
        <v>44045</v>
      </c>
      <c r="B335" s="3">
        <v>338.90397380406517</v>
      </c>
      <c r="C335" s="3">
        <v>198.10146010604086</v>
      </c>
      <c r="D335" s="3">
        <v>185.32579237571107</v>
      </c>
      <c r="E335" s="3">
        <v>211.78420395748344</v>
      </c>
      <c r="F335" s="3">
        <v>181.4089754676794</v>
      </c>
    </row>
    <row r="336" spans="1:6">
      <c r="A336" s="9">
        <v>44046</v>
      </c>
      <c r="B336" s="3">
        <v>99.136390392041449</v>
      </c>
      <c r="C336" s="3">
        <v>70.628541196155183</v>
      </c>
      <c r="D336" s="3">
        <v>57.236407644428922</v>
      </c>
      <c r="E336" s="3">
        <v>96.176693853725268</v>
      </c>
      <c r="F336" s="3">
        <v>93.20995314746088</v>
      </c>
    </row>
    <row r="337" spans="1:6">
      <c r="A337" s="9">
        <v>44047</v>
      </c>
      <c r="B337" s="3">
        <v>406.58979231171094</v>
      </c>
      <c r="C337" s="3">
        <v>355.71545800447262</v>
      </c>
      <c r="D337" s="3">
        <v>217.42269153525766</v>
      </c>
      <c r="E337" s="3">
        <v>295.6019889298783</v>
      </c>
      <c r="F337" s="3">
        <v>271.6489643962704</v>
      </c>
    </row>
    <row r="338" spans="1:6">
      <c r="A338" s="9">
        <v>44048</v>
      </c>
      <c r="B338" s="3">
        <v>680.72698960521211</v>
      </c>
      <c r="C338" s="3">
        <v>481.19771937798254</v>
      </c>
      <c r="D338" s="3">
        <v>465.14744886978315</v>
      </c>
      <c r="E338" s="3">
        <v>394.72432519864003</v>
      </c>
      <c r="F338" s="3">
        <v>356.49521224820603</v>
      </c>
    </row>
    <row r="339" spans="1:6">
      <c r="A339" s="9">
        <v>44049</v>
      </c>
      <c r="B339" s="3">
        <v>456.30031913865525</v>
      </c>
      <c r="C339" s="3">
        <v>298.54137515393285</v>
      </c>
      <c r="D339" s="3">
        <v>251.95360495936288</v>
      </c>
      <c r="E339" s="3">
        <v>271.38024711742202</v>
      </c>
      <c r="F339" s="3">
        <v>270.85973978297676</v>
      </c>
    </row>
    <row r="340" spans="1:6">
      <c r="A340" s="9">
        <v>44050</v>
      </c>
      <c r="B340" s="3">
        <v>528.25066369359467</v>
      </c>
      <c r="C340" s="3">
        <v>269.05459146014562</v>
      </c>
      <c r="D340" s="3">
        <v>196.40735746575086</v>
      </c>
      <c r="E340" s="3">
        <v>278.5116418531104</v>
      </c>
      <c r="F340" s="3">
        <v>203.96269445001525</v>
      </c>
    </row>
    <row r="341" spans="1:6">
      <c r="A341" s="9">
        <v>44051</v>
      </c>
      <c r="B341" s="3">
        <v>573.15710172144054</v>
      </c>
      <c r="C341" s="3">
        <v>235.82744449280904</v>
      </c>
      <c r="D341" s="3">
        <v>184.30079297554337</v>
      </c>
      <c r="E341" s="3">
        <v>282.68341176423939</v>
      </c>
      <c r="F341" s="3">
        <v>116.86693096849154</v>
      </c>
    </row>
    <row r="342" spans="1:6">
      <c r="A342" s="9">
        <v>44052</v>
      </c>
      <c r="B342" s="3">
        <v>325.96463321758188</v>
      </c>
      <c r="C342" s="3">
        <v>76.186499533154958</v>
      </c>
      <c r="D342" s="3">
        <v>124.98770227439026</v>
      </c>
      <c r="E342" s="3">
        <v>162.81255332580238</v>
      </c>
      <c r="F342" s="3">
        <v>197.08525520649638</v>
      </c>
    </row>
    <row r="343" spans="1:6">
      <c r="A343" s="9">
        <v>44053</v>
      </c>
      <c r="B343" s="3">
        <v>613.31618902564048</v>
      </c>
      <c r="C343" s="3">
        <v>320.06657797655504</v>
      </c>
      <c r="D343" s="3">
        <v>433.52597543170884</v>
      </c>
      <c r="E343" s="3">
        <v>359.64541959516811</v>
      </c>
      <c r="F343" s="3">
        <v>437.90384436009867</v>
      </c>
    </row>
    <row r="344" spans="1:6">
      <c r="A344" s="9">
        <v>44054</v>
      </c>
      <c r="B344" s="3">
        <v>521.85057308467651</v>
      </c>
      <c r="C344" s="3">
        <v>253.60867575057233</v>
      </c>
      <c r="D344" s="3">
        <v>386.01381429902278</v>
      </c>
      <c r="E344" s="3">
        <v>304.12747838966641</v>
      </c>
      <c r="F344" s="3">
        <v>412.64287384499318</v>
      </c>
    </row>
    <row r="345" spans="1:6">
      <c r="A345" s="9">
        <v>44055</v>
      </c>
      <c r="B345" s="3">
        <v>296.08062403636302</v>
      </c>
      <c r="C345" s="3">
        <v>148.27802539405201</v>
      </c>
      <c r="D345" s="3">
        <v>230.27552852302608</v>
      </c>
      <c r="E345" s="3">
        <v>229.79619879981652</v>
      </c>
      <c r="F345" s="3">
        <v>346.3757760716307</v>
      </c>
    </row>
    <row r="346" spans="1:6">
      <c r="A346" s="9">
        <v>44056</v>
      </c>
      <c r="B346" s="3">
        <v>356.11944963799311</v>
      </c>
      <c r="C346" s="3">
        <v>159.02410936389987</v>
      </c>
      <c r="D346" s="3">
        <v>284.22488266432231</v>
      </c>
      <c r="E346" s="3">
        <v>267.12139682855383</v>
      </c>
      <c r="F346" s="3">
        <v>399.36205778212667</v>
      </c>
    </row>
    <row r="347" spans="1:6">
      <c r="A347" s="9">
        <v>44057</v>
      </c>
      <c r="B347" s="3">
        <v>622.84470797059566</v>
      </c>
      <c r="C347" s="3">
        <v>352.85298673735707</v>
      </c>
      <c r="D347" s="3">
        <v>469.42805964306609</v>
      </c>
      <c r="E347" s="3">
        <v>386.18680442326308</v>
      </c>
      <c r="F347" s="3">
        <v>484.0430754041397</v>
      </c>
    </row>
    <row r="348" spans="1:6">
      <c r="A348" s="9">
        <v>44058</v>
      </c>
      <c r="B348" s="3">
        <v>498.63011507891406</v>
      </c>
      <c r="C348" s="3">
        <v>329.47750497027107</v>
      </c>
      <c r="D348" s="3">
        <v>350.18821008231873</v>
      </c>
      <c r="E348" s="3">
        <v>301.97018572699704</v>
      </c>
      <c r="F348" s="3">
        <v>415.6897544661594</v>
      </c>
    </row>
    <row r="349" spans="1:6">
      <c r="A349" s="9">
        <v>44059</v>
      </c>
      <c r="B349" s="3">
        <v>457.83347480920247</v>
      </c>
      <c r="C349" s="3">
        <v>247.90642715647871</v>
      </c>
      <c r="D349" s="3">
        <v>292.80739516575858</v>
      </c>
      <c r="E349" s="3">
        <v>261.78417909986103</v>
      </c>
      <c r="F349" s="3">
        <v>348.63981811879705</v>
      </c>
    </row>
    <row r="350" spans="1:6">
      <c r="A350" s="9">
        <v>44060</v>
      </c>
      <c r="B350" s="3">
        <v>169.87637321403329</v>
      </c>
      <c r="C350" s="3">
        <v>130.52083921064298</v>
      </c>
      <c r="D350" s="3">
        <v>115.21676622819191</v>
      </c>
      <c r="E350" s="3">
        <v>136.34838924297648</v>
      </c>
      <c r="F350" s="3">
        <v>181.92280836239024</v>
      </c>
    </row>
    <row r="351" spans="1:6">
      <c r="A351" s="9">
        <v>44061</v>
      </c>
      <c r="B351" s="3">
        <v>265.16559750237576</v>
      </c>
      <c r="C351" s="3">
        <v>244.84418027897181</v>
      </c>
      <c r="D351" s="3">
        <v>178.0390783766322</v>
      </c>
      <c r="E351" s="3">
        <v>248.73817977213699</v>
      </c>
      <c r="F351" s="3">
        <v>231.4425881386814</v>
      </c>
    </row>
    <row r="352" spans="1:6">
      <c r="A352" s="9">
        <v>44062</v>
      </c>
      <c r="B352" s="3">
        <v>521.04321618565905</v>
      </c>
      <c r="C352" s="3">
        <v>414.76017756554637</v>
      </c>
      <c r="D352" s="3">
        <v>331.98573422180669</v>
      </c>
      <c r="E352" s="3">
        <v>373.66001617211089</v>
      </c>
      <c r="F352" s="3">
        <v>338.2720674573564</v>
      </c>
    </row>
    <row r="353" spans="1:6">
      <c r="A353" s="9">
        <v>44063</v>
      </c>
      <c r="B353" s="3">
        <v>654.41526053046607</v>
      </c>
      <c r="C353" s="3">
        <v>493.0104608251479</v>
      </c>
      <c r="D353" s="3">
        <v>487.29194525938647</v>
      </c>
      <c r="E353" s="3">
        <v>387.98313587188204</v>
      </c>
      <c r="F353" s="3">
        <v>505.88465264490446</v>
      </c>
    </row>
    <row r="354" spans="1:6">
      <c r="A354" s="9">
        <v>44064</v>
      </c>
      <c r="B354" s="3">
        <v>497.70062228930914</v>
      </c>
      <c r="C354" s="3">
        <v>374.9838701464696</v>
      </c>
      <c r="D354" s="3">
        <v>445.60611622534259</v>
      </c>
      <c r="E354" s="3">
        <v>335.32693346953903</v>
      </c>
      <c r="F354" s="3">
        <v>351.48339654025284</v>
      </c>
    </row>
    <row r="355" spans="1:6">
      <c r="A355" s="9">
        <v>44065</v>
      </c>
      <c r="B355" s="3">
        <v>569.43367309603855</v>
      </c>
      <c r="C355" s="3">
        <v>408.74041516531292</v>
      </c>
      <c r="D355" s="3">
        <v>674.90945506157868</v>
      </c>
      <c r="E355" s="3">
        <v>402.67482164517645</v>
      </c>
      <c r="F355" s="3">
        <v>402.51849348958336</v>
      </c>
    </row>
    <row r="356" spans="1:6">
      <c r="A356" s="9">
        <v>44066</v>
      </c>
      <c r="B356" s="3">
        <v>589.95212734153279</v>
      </c>
      <c r="C356" s="3">
        <v>429.90311964065421</v>
      </c>
      <c r="D356" s="3">
        <v>818.13809379997247</v>
      </c>
      <c r="E356" s="3">
        <v>422.03528304364937</v>
      </c>
      <c r="F356" s="3">
        <v>509.57129208696836</v>
      </c>
    </row>
    <row r="357" spans="1:6">
      <c r="A357" s="9">
        <v>44067</v>
      </c>
      <c r="B357" s="3">
        <v>341.53149885971732</v>
      </c>
      <c r="C357" s="3">
        <v>195.7763317652286</v>
      </c>
      <c r="D357" s="3">
        <v>583.07691419858577</v>
      </c>
      <c r="E357" s="3">
        <v>243.43302339906919</v>
      </c>
      <c r="F357" s="3">
        <v>387.52846053931768</v>
      </c>
    </row>
    <row r="358" spans="1:6">
      <c r="A358" s="9">
        <v>44068</v>
      </c>
      <c r="B358" s="3">
        <v>655.09419565650205</v>
      </c>
      <c r="C358" s="3">
        <v>374.32185753922482</v>
      </c>
      <c r="D358" s="3">
        <v>913.19362992461549</v>
      </c>
      <c r="E358" s="3">
        <v>449.73803515435873</v>
      </c>
      <c r="F358" s="3">
        <v>622.69704243245508</v>
      </c>
    </row>
    <row r="359" spans="1:6">
      <c r="A359" s="9">
        <v>44069</v>
      </c>
      <c r="B359" s="3">
        <v>623.8179109381208</v>
      </c>
      <c r="C359" s="3">
        <v>390.59319212709067</v>
      </c>
      <c r="D359" s="3">
        <v>686.4645662952596</v>
      </c>
      <c r="E359" s="3">
        <v>451.34756525103217</v>
      </c>
      <c r="F359" s="3">
        <v>430.19564554990097</v>
      </c>
    </row>
    <row r="360" spans="1:6">
      <c r="A360" s="9">
        <v>44070</v>
      </c>
      <c r="B360" s="3">
        <v>611.3424620208059</v>
      </c>
      <c r="C360" s="3">
        <v>385.43295966769307</v>
      </c>
      <c r="D360" s="3">
        <v>537.94311767972283</v>
      </c>
      <c r="E360" s="3">
        <v>431.47778696947</v>
      </c>
      <c r="F360" s="3">
        <v>284.92900595759431</v>
      </c>
    </row>
    <row r="361" spans="1:6">
      <c r="A361" s="9">
        <v>44071</v>
      </c>
      <c r="B361" s="3">
        <v>456.81291316740061</v>
      </c>
      <c r="C361" s="3">
        <v>282.67990943737129</v>
      </c>
      <c r="D361" s="3">
        <v>418.46828304972308</v>
      </c>
      <c r="E361" s="3">
        <v>362.15327871311945</v>
      </c>
      <c r="F361" s="3">
        <v>268.49350582421067</v>
      </c>
    </row>
    <row r="362" spans="1:6">
      <c r="A362" s="9">
        <v>44072</v>
      </c>
      <c r="B362" s="3">
        <v>336.21771621963364</v>
      </c>
      <c r="C362" s="3">
        <v>246.07439556362041</v>
      </c>
      <c r="D362" s="3">
        <v>380.38335636595264</v>
      </c>
      <c r="E362" s="3">
        <v>298.18171464417986</v>
      </c>
      <c r="F362" s="3">
        <v>397.97839189830972</v>
      </c>
    </row>
    <row r="363" spans="1:6">
      <c r="A363" s="9">
        <v>44073</v>
      </c>
      <c r="B363" s="3">
        <v>443.74240170601331</v>
      </c>
      <c r="C363" s="3">
        <v>298.43649201606877</v>
      </c>
      <c r="D363" s="3">
        <v>470.68789029889558</v>
      </c>
      <c r="E363" s="3">
        <v>338.42439922235536</v>
      </c>
      <c r="F363" s="3">
        <v>461.37199388963199</v>
      </c>
    </row>
    <row r="364" spans="1:6">
      <c r="A364" s="9">
        <v>44074</v>
      </c>
      <c r="B364" s="3">
        <v>466.73836505825693</v>
      </c>
      <c r="C364" s="3">
        <v>387.08696420797389</v>
      </c>
      <c r="D364" s="3">
        <v>505.1719509976225</v>
      </c>
      <c r="E364" s="3">
        <v>375.02709107889592</v>
      </c>
      <c r="F364" s="3">
        <v>490.28778280761605</v>
      </c>
    </row>
    <row r="365" spans="1:6">
      <c r="A365" s="9">
        <v>44075</v>
      </c>
      <c r="B365" s="3">
        <v>405.21276794495941</v>
      </c>
      <c r="C365" s="3">
        <v>391.65351122318992</v>
      </c>
      <c r="D365" s="3">
        <v>470.09701746958928</v>
      </c>
      <c r="E365" s="3">
        <v>418.95748784722235</v>
      </c>
      <c r="F365" s="3">
        <v>450.41678540356173</v>
      </c>
    </row>
    <row r="366" spans="1:6">
      <c r="A366" s="9">
        <v>44076</v>
      </c>
      <c r="B366" s="3">
        <v>334.81286586864769</v>
      </c>
      <c r="C366" s="3">
        <v>353.90957499762055</v>
      </c>
      <c r="D366" s="3">
        <v>478.81072010553498</v>
      </c>
      <c r="E366" s="3">
        <v>446.06160325384184</v>
      </c>
      <c r="F366" s="3">
        <v>420.06591634321393</v>
      </c>
    </row>
    <row r="367" spans="1:6">
      <c r="A367" s="9">
        <v>44077</v>
      </c>
      <c r="B367" s="3">
        <v>164.10447185281456</v>
      </c>
      <c r="C367" s="3">
        <v>170.4072437629307</v>
      </c>
      <c r="D367" s="3">
        <v>216.37226673633737</v>
      </c>
      <c r="E367" s="3">
        <v>274.35878875938073</v>
      </c>
      <c r="F367" s="3">
        <v>243.91455378900696</v>
      </c>
    </row>
    <row r="368" spans="1:6">
      <c r="A368" s="9">
        <v>44078</v>
      </c>
      <c r="B368" s="3">
        <v>304.35771082005743</v>
      </c>
      <c r="C368" s="3">
        <v>347.87841244801416</v>
      </c>
      <c r="D368" s="3">
        <v>358.62687689419732</v>
      </c>
      <c r="E368" s="3">
        <v>439.80413688764435</v>
      </c>
      <c r="F368" s="3">
        <v>397.82413054995652</v>
      </c>
    </row>
    <row r="369" spans="1:6">
      <c r="A369" s="9">
        <v>44079</v>
      </c>
      <c r="B369" s="3">
        <v>194.20297578875039</v>
      </c>
      <c r="C369" s="3">
        <v>174.32068824186945</v>
      </c>
      <c r="D369" s="3">
        <v>136.15598668991032</v>
      </c>
      <c r="E369" s="3">
        <v>222.33029121234324</v>
      </c>
      <c r="F369" s="3">
        <v>168.9092988506705</v>
      </c>
    </row>
    <row r="370" spans="1:6">
      <c r="A370" s="9">
        <v>44080</v>
      </c>
      <c r="B370" s="3">
        <v>46.927709894689848</v>
      </c>
      <c r="C370" s="3">
        <v>53.626999841588642</v>
      </c>
      <c r="D370" s="3">
        <v>54.317732174244057</v>
      </c>
      <c r="E370" s="3">
        <v>178.16884116394883</v>
      </c>
      <c r="F370" s="3">
        <v>99.052755655438787</v>
      </c>
    </row>
    <row r="371" spans="1:6">
      <c r="A371" s="9">
        <v>44081</v>
      </c>
      <c r="B371" s="3">
        <v>246.14827995906052</v>
      </c>
      <c r="C371" s="3">
        <v>212.78471358619092</v>
      </c>
      <c r="D371" s="3">
        <v>269.89565623619535</v>
      </c>
      <c r="E371" s="3">
        <v>263.16198143759283</v>
      </c>
      <c r="F371" s="3">
        <v>172.17959012250847</v>
      </c>
    </row>
    <row r="372" spans="1:6">
      <c r="A372" s="9">
        <v>44082</v>
      </c>
      <c r="B372" s="3">
        <v>234.15086405198545</v>
      </c>
      <c r="C372" s="3">
        <v>190.69429820235266</v>
      </c>
      <c r="D372" s="3">
        <v>251.8348069892246</v>
      </c>
      <c r="E372" s="3">
        <v>188.28303997246351</v>
      </c>
      <c r="F372" s="3">
        <v>223.10252071376331</v>
      </c>
    </row>
    <row r="373" spans="1:6">
      <c r="A373" s="9">
        <v>44083</v>
      </c>
      <c r="B373" s="3">
        <v>328.79834336209285</v>
      </c>
      <c r="C373" s="3">
        <v>327.95700333592788</v>
      </c>
      <c r="D373" s="3">
        <v>332.89531933738198</v>
      </c>
      <c r="E373" s="3">
        <v>335.70882203777057</v>
      </c>
      <c r="F373" s="3">
        <v>303.54580068490804</v>
      </c>
    </row>
    <row r="374" spans="1:6">
      <c r="A374" s="9">
        <v>44084</v>
      </c>
      <c r="B374" s="3">
        <v>11.53159826625126</v>
      </c>
      <c r="C374" s="3">
        <v>4.4104698626164556</v>
      </c>
      <c r="D374" s="3">
        <v>0.39482510707073881</v>
      </c>
      <c r="E374" s="3">
        <v>5.4977500740572864</v>
      </c>
      <c r="F374" s="3">
        <v>4.5044646849428807</v>
      </c>
    </row>
    <row r="375" spans="1:6">
      <c r="A375" s="9">
        <v>44085</v>
      </c>
      <c r="B375" s="3">
        <v>62.138171960150565</v>
      </c>
      <c r="C375" s="3">
        <v>164.81417361465327</v>
      </c>
      <c r="D375" s="3">
        <v>124.81222298373844</v>
      </c>
      <c r="E375" s="3">
        <v>198.72219603509802</v>
      </c>
      <c r="F375" s="3">
        <v>182.98470224218033</v>
      </c>
    </row>
    <row r="376" spans="1:6">
      <c r="A376" s="9">
        <v>44086</v>
      </c>
      <c r="B376" s="3">
        <v>3.8432451468160522</v>
      </c>
      <c r="C376" s="3">
        <v>11.674251689819503</v>
      </c>
      <c r="D376" s="3">
        <v>1.4275282413389436</v>
      </c>
      <c r="E376" s="3">
        <v>34.994421425617524</v>
      </c>
      <c r="F376" s="3">
        <v>19.708359913231547</v>
      </c>
    </row>
    <row r="377" spans="1:6">
      <c r="A377" s="9">
        <v>44087</v>
      </c>
      <c r="B377" s="3">
        <v>3.2317529698242109</v>
      </c>
      <c r="C377" s="3">
        <v>3.7775841245162637E-3</v>
      </c>
      <c r="D377" s="3">
        <v>0.24109640895470455</v>
      </c>
      <c r="E377" s="3">
        <v>26.990110986395518</v>
      </c>
      <c r="F377" s="3">
        <v>17.236927878751906</v>
      </c>
    </row>
    <row r="378" spans="1:6">
      <c r="A378" s="9">
        <v>44088</v>
      </c>
      <c r="B378" s="3">
        <v>7.9219345754469233</v>
      </c>
      <c r="C378" s="3">
        <v>0.20713035898104695</v>
      </c>
      <c r="D378" s="3">
        <v>0.8038685918569094</v>
      </c>
      <c r="E378" s="3">
        <v>15.296596807026067</v>
      </c>
      <c r="F378" s="3">
        <v>2.8286900337095342</v>
      </c>
    </row>
    <row r="379" spans="1:6">
      <c r="A379" s="9">
        <v>44089</v>
      </c>
      <c r="B379" s="3">
        <v>6.4327104311299754</v>
      </c>
      <c r="C379" s="3">
        <v>0</v>
      </c>
      <c r="D379" s="3">
        <v>3.0043449196130845</v>
      </c>
      <c r="E379" s="3">
        <v>11.58223776802334</v>
      </c>
      <c r="F379" s="3">
        <v>6.7145658986482903</v>
      </c>
    </row>
    <row r="380" spans="1:6">
      <c r="A380" s="9">
        <v>44090</v>
      </c>
      <c r="B380" s="3">
        <v>8.3607692024527918</v>
      </c>
      <c r="C380" s="3">
        <v>0.18373273021255862</v>
      </c>
      <c r="D380" s="3">
        <v>3.4730667275687854</v>
      </c>
      <c r="E380" s="3">
        <v>11.285320901181821</v>
      </c>
      <c r="F380" s="3">
        <v>23.64624231050999</v>
      </c>
    </row>
    <row r="381" spans="1:6">
      <c r="A381" s="9">
        <v>44091</v>
      </c>
      <c r="B381" s="3">
        <v>93.91909269527369</v>
      </c>
      <c r="C381" s="3">
        <v>0.11233844274415555</v>
      </c>
      <c r="D381" s="3">
        <v>19.555713806342258</v>
      </c>
      <c r="E381" s="3">
        <v>3.0707091191468119</v>
      </c>
      <c r="F381" s="3">
        <v>104.39340861632205</v>
      </c>
    </row>
    <row r="382" spans="1:6">
      <c r="A382" s="9">
        <v>44092</v>
      </c>
      <c r="B382" s="3">
        <v>102.94503845179466</v>
      </c>
      <c r="C382" s="3">
        <v>147.86485296969312</v>
      </c>
      <c r="D382" s="3">
        <v>129.72645215753423</v>
      </c>
      <c r="E382" s="3">
        <v>103.83735511475147</v>
      </c>
      <c r="F382" s="3">
        <v>188.44472299660362</v>
      </c>
    </row>
    <row r="383" spans="1:6">
      <c r="A383" s="9">
        <v>44093</v>
      </c>
      <c r="B383" s="3">
        <v>0.3302675575984374</v>
      </c>
      <c r="C383" s="3">
        <v>16.911800992071282</v>
      </c>
      <c r="D383" s="3">
        <v>2.7859856983981288</v>
      </c>
      <c r="E383" s="3">
        <v>6.2329992551002498</v>
      </c>
      <c r="F383" s="3">
        <v>47.610041377783382</v>
      </c>
    </row>
    <row r="384" spans="1:6">
      <c r="A384" s="9">
        <v>44094</v>
      </c>
      <c r="B384" s="3">
        <v>140.30264269887402</v>
      </c>
      <c r="C384" s="3">
        <v>252.44498225079369</v>
      </c>
      <c r="D384" s="3">
        <v>207.7444450551443</v>
      </c>
      <c r="E384" s="3">
        <v>253.13625456481026</v>
      </c>
      <c r="F384" s="3">
        <v>225.12306180165805</v>
      </c>
    </row>
    <row r="385" spans="1:6">
      <c r="A385" s="9">
        <v>44095</v>
      </c>
      <c r="B385" s="3">
        <v>202.16793789253646</v>
      </c>
      <c r="C385" s="3">
        <v>293.03856148702891</v>
      </c>
      <c r="D385" s="3">
        <v>221.53212651478842</v>
      </c>
      <c r="E385" s="3">
        <v>238.0758585184189</v>
      </c>
      <c r="F385" s="3">
        <v>165.93092290582214</v>
      </c>
    </row>
    <row r="386" spans="1:6">
      <c r="A386" s="9">
        <v>44096</v>
      </c>
      <c r="B386" s="3">
        <v>8.7191779855263292</v>
      </c>
      <c r="C386" s="3">
        <v>67.821894843991771</v>
      </c>
      <c r="D386" s="3">
        <v>25.173095302445766</v>
      </c>
      <c r="E386" s="3">
        <v>113.15646541193911</v>
      </c>
      <c r="F386" s="3">
        <v>29.801524051236033</v>
      </c>
    </row>
    <row r="387" spans="1:6">
      <c r="A387" s="9">
        <v>44097</v>
      </c>
      <c r="B387" s="3">
        <v>30.073486948225863</v>
      </c>
      <c r="C387" s="3">
        <v>119.31638355683479</v>
      </c>
      <c r="D387" s="3">
        <v>49.526321475161687</v>
      </c>
      <c r="E387" s="3">
        <v>131.18725591154336</v>
      </c>
      <c r="F387" s="3">
        <v>43.667305770012753</v>
      </c>
    </row>
    <row r="388" spans="1:6">
      <c r="A388" s="9">
        <v>44098</v>
      </c>
      <c r="B388" s="3">
        <v>98.920788184544023</v>
      </c>
      <c r="C388" s="3">
        <v>228.16239019940139</v>
      </c>
      <c r="D388" s="3">
        <v>115.01584398156417</v>
      </c>
      <c r="E388" s="3">
        <v>267.97890256470549</v>
      </c>
      <c r="F388" s="3">
        <v>74.261358841231868</v>
      </c>
    </row>
    <row r="389" spans="1:6">
      <c r="A389" s="9">
        <v>44099</v>
      </c>
      <c r="B389" s="3">
        <v>3.8763558166327163</v>
      </c>
      <c r="C389" s="3">
        <v>13.003240922865157</v>
      </c>
      <c r="D389" s="3">
        <v>0</v>
      </c>
      <c r="E389" s="3">
        <v>26.216983430508375</v>
      </c>
      <c r="F389" s="3">
        <v>0.33987313241374034</v>
      </c>
    </row>
    <row r="390" spans="1:6">
      <c r="A390" s="9">
        <v>44100</v>
      </c>
      <c r="B390" s="3">
        <v>10.575390200299095</v>
      </c>
      <c r="C390" s="3">
        <v>91.99748399305625</v>
      </c>
      <c r="D390" s="3">
        <v>65.727859274766161</v>
      </c>
      <c r="E390" s="3">
        <v>213.66753260036887</v>
      </c>
      <c r="F390" s="3">
        <v>96.318743702841289</v>
      </c>
    </row>
    <row r="391" spans="1:6">
      <c r="A391" s="9">
        <v>44101</v>
      </c>
      <c r="B391" s="3">
        <v>4.6431206129588061</v>
      </c>
      <c r="C391" s="3">
        <v>70.169787432100861</v>
      </c>
      <c r="D391" s="3">
        <v>50.83010299720862</v>
      </c>
      <c r="E391" s="3">
        <v>161.22173965442346</v>
      </c>
      <c r="F391" s="3">
        <v>75.637577177780884</v>
      </c>
    </row>
    <row r="392" spans="1:6">
      <c r="A392" s="9">
        <v>44102</v>
      </c>
      <c r="B392" s="3">
        <v>0.26969745972493475</v>
      </c>
      <c r="C392" s="3">
        <v>29.45274035385258</v>
      </c>
      <c r="D392" s="3">
        <v>24.186200309278714</v>
      </c>
      <c r="E392" s="3">
        <v>85.505149341301433</v>
      </c>
      <c r="F392" s="3">
        <v>44.998876078798922</v>
      </c>
    </row>
    <row r="393" spans="1:6">
      <c r="A393" s="9">
        <v>44103</v>
      </c>
      <c r="B393" s="3">
        <v>68.730605026930277</v>
      </c>
      <c r="C393" s="3">
        <v>120.61821490689587</v>
      </c>
      <c r="D393" s="3">
        <v>138.91205254870786</v>
      </c>
      <c r="E393" s="3">
        <v>229.46338729209361</v>
      </c>
      <c r="F393" s="3">
        <v>173.09220891202605</v>
      </c>
    </row>
    <row r="394" spans="1:6">
      <c r="A394" s="9">
        <v>44104</v>
      </c>
      <c r="B394" s="3">
        <v>153.84372910512474</v>
      </c>
      <c r="C394" s="3">
        <v>329.28166919062909</v>
      </c>
      <c r="D394" s="3">
        <v>273.80446726559541</v>
      </c>
      <c r="E394" s="3">
        <v>325.33711621470809</v>
      </c>
      <c r="F394" s="3">
        <v>260.61286097862956</v>
      </c>
    </row>
    <row r="395" spans="1:6">
      <c r="A395" s="9">
        <v>44105</v>
      </c>
      <c r="B395" s="3">
        <v>1.4744264349466809</v>
      </c>
      <c r="C395" s="3">
        <v>10.579282822083419</v>
      </c>
      <c r="D395" s="3">
        <v>1.5866320930685098</v>
      </c>
      <c r="E395" s="3">
        <v>14.82085855612695</v>
      </c>
      <c r="F395" s="3">
        <v>4.2811074947203993</v>
      </c>
    </row>
    <row r="396" spans="1:6">
      <c r="A396" s="9">
        <v>44106</v>
      </c>
      <c r="B396" s="3">
        <v>171.04392092411095</v>
      </c>
      <c r="C396" s="3">
        <v>344.0346769909961</v>
      </c>
      <c r="D396" s="3">
        <v>278.02229248083887</v>
      </c>
      <c r="E396" s="3">
        <v>440.77768554815452</v>
      </c>
      <c r="F396" s="3">
        <v>309.24713559226007</v>
      </c>
    </row>
    <row r="397" spans="1:6">
      <c r="A397" s="9">
        <v>44107</v>
      </c>
      <c r="B397" s="3">
        <v>232.48122368991775</v>
      </c>
      <c r="C397" s="3">
        <v>465.45346614116198</v>
      </c>
      <c r="D397" s="3">
        <v>336.64541240683496</v>
      </c>
      <c r="E397" s="3">
        <v>410.9382582939117</v>
      </c>
      <c r="F397" s="3">
        <v>375.06047909604956</v>
      </c>
    </row>
    <row r="398" spans="1:6">
      <c r="A398" s="9">
        <v>44108</v>
      </c>
      <c r="B398" s="3">
        <v>2.0579570439709887</v>
      </c>
      <c r="C398" s="3">
        <v>24.813322683854899</v>
      </c>
      <c r="D398" s="3">
        <v>5.3921675386801242</v>
      </c>
      <c r="E398" s="3">
        <v>68.678353232865163</v>
      </c>
      <c r="F398" s="3">
        <v>48.451259872781513</v>
      </c>
    </row>
    <row r="399" spans="1:6">
      <c r="A399" s="9">
        <v>44109</v>
      </c>
      <c r="B399" s="3">
        <v>5.2331207960517077</v>
      </c>
      <c r="C399" s="3">
        <v>67.629953828078712</v>
      </c>
      <c r="D399" s="3">
        <v>17.664448742610965</v>
      </c>
      <c r="E399" s="3">
        <v>134.46474928949257</v>
      </c>
      <c r="F399" s="3">
        <v>106.90645911418524</v>
      </c>
    </row>
    <row r="400" spans="1:6">
      <c r="A400" s="9">
        <v>44110</v>
      </c>
      <c r="B400" s="3">
        <v>11.12341045254438</v>
      </c>
      <c r="C400" s="3">
        <v>126.25339744937413</v>
      </c>
      <c r="D400" s="3">
        <v>58.367046402318856</v>
      </c>
      <c r="E400" s="3">
        <v>169.06752885287719</v>
      </c>
      <c r="F400" s="3">
        <v>178.95720633831638</v>
      </c>
    </row>
    <row r="401" spans="1:6">
      <c r="A401" s="9">
        <v>44111</v>
      </c>
      <c r="B401" s="3">
        <v>26.961820375931403</v>
      </c>
      <c r="C401" s="3">
        <v>178.04413660576225</v>
      </c>
      <c r="D401" s="3">
        <v>153.05542502818489</v>
      </c>
      <c r="E401" s="3">
        <v>272.96092300806384</v>
      </c>
      <c r="F401" s="3">
        <v>234.83785620774395</v>
      </c>
    </row>
    <row r="402" spans="1:6">
      <c r="A402" s="9">
        <v>44112</v>
      </c>
      <c r="B402" s="3">
        <v>25.364077705428766</v>
      </c>
      <c r="C402" s="3">
        <v>125.51685318637028</v>
      </c>
      <c r="D402" s="3">
        <v>106.03556138862757</v>
      </c>
      <c r="E402" s="3">
        <v>200.88400152661887</v>
      </c>
      <c r="F402" s="3">
        <v>164.39495650102964</v>
      </c>
    </row>
    <row r="403" spans="1:6">
      <c r="A403" s="9">
        <v>44113</v>
      </c>
      <c r="B403" s="3">
        <v>223.80736842188799</v>
      </c>
      <c r="C403" s="3">
        <v>423.26669061921575</v>
      </c>
      <c r="D403" s="3">
        <v>360.8174478172906</v>
      </c>
      <c r="E403" s="3">
        <v>473.18991702319238</v>
      </c>
      <c r="F403" s="3">
        <v>378.55684693220553</v>
      </c>
    </row>
    <row r="404" spans="1:6">
      <c r="A404" s="9">
        <v>44114</v>
      </c>
      <c r="B404" s="3">
        <v>303.48945100904575</v>
      </c>
      <c r="C404" s="3">
        <v>554.39590631615613</v>
      </c>
      <c r="D404" s="3">
        <v>454.79598200504489</v>
      </c>
      <c r="E404" s="3">
        <v>525.80201809070979</v>
      </c>
      <c r="F404" s="3">
        <v>434.03164123080268</v>
      </c>
    </row>
    <row r="405" spans="1:6">
      <c r="A405" s="9">
        <v>44115</v>
      </c>
      <c r="B405" s="3">
        <v>154.60693815492371</v>
      </c>
      <c r="C405" s="3">
        <v>376.5160310627416</v>
      </c>
      <c r="D405" s="3">
        <v>284.27938818013024</v>
      </c>
      <c r="E405" s="3">
        <v>365.10367680546887</v>
      </c>
      <c r="F405" s="3">
        <v>279.71731844160087</v>
      </c>
    </row>
    <row r="406" spans="1:6">
      <c r="A406" s="9">
        <v>44116</v>
      </c>
      <c r="B406" s="3">
        <v>231.55227197490731</v>
      </c>
      <c r="C406" s="3">
        <v>514.03540955029803</v>
      </c>
      <c r="D406" s="3">
        <v>370.02310472233478</v>
      </c>
      <c r="E406" s="3">
        <v>402.71114625530925</v>
      </c>
      <c r="F406" s="3">
        <v>343.64075632823784</v>
      </c>
    </row>
    <row r="407" spans="1:6">
      <c r="A407" s="9">
        <v>44117</v>
      </c>
      <c r="B407" s="3">
        <v>244.14952976208696</v>
      </c>
      <c r="C407" s="3">
        <v>555.4003792825531</v>
      </c>
      <c r="D407" s="3">
        <v>337.67838152940408</v>
      </c>
      <c r="E407" s="3">
        <v>267.17874124572376</v>
      </c>
      <c r="F407" s="3">
        <v>382.04954146198338</v>
      </c>
    </row>
    <row r="408" spans="1:6">
      <c r="A408" s="9">
        <v>44118</v>
      </c>
      <c r="B408" s="3">
        <v>27.292790585959857</v>
      </c>
      <c r="C408" s="3">
        <v>155.40690461608676</v>
      </c>
      <c r="D408" s="3">
        <v>55.894221243089085</v>
      </c>
      <c r="E408" s="3">
        <v>41.197964784973784</v>
      </c>
      <c r="F408" s="3">
        <v>112.49498404722623</v>
      </c>
    </row>
    <row r="409" spans="1:6">
      <c r="A409" s="9">
        <v>44119</v>
      </c>
      <c r="B409" s="3">
        <v>4.7212653345720001</v>
      </c>
      <c r="C409" s="3">
        <v>41.385227653043991</v>
      </c>
      <c r="D409" s="3">
        <v>2.3545186422589652</v>
      </c>
      <c r="E409" s="3">
        <v>12.264767194858626</v>
      </c>
      <c r="F409" s="3">
        <v>4.366390362301078</v>
      </c>
    </row>
    <row r="410" spans="1:6">
      <c r="A410" s="9">
        <v>44120</v>
      </c>
      <c r="B410" s="3">
        <v>7.9935730161125029</v>
      </c>
      <c r="C410" s="3">
        <v>64.977878353758783</v>
      </c>
      <c r="D410" s="3">
        <v>55.802982370488927</v>
      </c>
      <c r="E410" s="3">
        <v>171.96354629661997</v>
      </c>
      <c r="F410" s="3">
        <v>94.92240765690542</v>
      </c>
    </row>
    <row r="411" spans="1:6">
      <c r="A411" s="9">
        <v>44121</v>
      </c>
      <c r="B411" s="3">
        <v>5.0225869987457497</v>
      </c>
      <c r="C411" s="3">
        <v>73.363614609965197</v>
      </c>
      <c r="D411" s="3">
        <v>46.28268951396727</v>
      </c>
      <c r="E411" s="3">
        <v>162.9552269717621</v>
      </c>
      <c r="F411" s="3">
        <v>108.74770262618024</v>
      </c>
    </row>
    <row r="412" spans="1:6">
      <c r="A412" s="9">
        <v>44122</v>
      </c>
      <c r="B412" s="3">
        <v>65.475642364828175</v>
      </c>
      <c r="C412" s="3">
        <v>215.02810101672407</v>
      </c>
      <c r="D412" s="3">
        <v>155.60014117912186</v>
      </c>
      <c r="E412" s="3">
        <v>268.87683643262847</v>
      </c>
      <c r="F412" s="3">
        <v>229.07440837525078</v>
      </c>
    </row>
    <row r="413" spans="1:6">
      <c r="A413" s="9">
        <v>44123</v>
      </c>
      <c r="B413" s="3">
        <v>175.40613943977729</v>
      </c>
      <c r="C413" s="3">
        <v>308.48222609057098</v>
      </c>
      <c r="D413" s="3">
        <v>243.6906950188789</v>
      </c>
      <c r="E413" s="3">
        <v>350.58150438488269</v>
      </c>
      <c r="F413" s="3">
        <v>295.07851955026501</v>
      </c>
    </row>
    <row r="414" spans="1:6">
      <c r="A414" s="9">
        <v>44124</v>
      </c>
      <c r="B414" s="3">
        <v>5.0793917978391256</v>
      </c>
      <c r="C414" s="3">
        <v>34.027744250241774</v>
      </c>
      <c r="D414" s="3">
        <v>0.24869908263602519</v>
      </c>
      <c r="E414" s="3">
        <v>51.254724952444541</v>
      </c>
      <c r="F414" s="3">
        <v>18.472004365211099</v>
      </c>
    </row>
    <row r="415" spans="1:6">
      <c r="A415" s="9">
        <v>44125</v>
      </c>
      <c r="B415" s="3">
        <v>251.56829155919047</v>
      </c>
      <c r="C415" s="3">
        <v>449.86179433265164</v>
      </c>
      <c r="D415" s="3">
        <v>375.85980953968539</v>
      </c>
      <c r="E415" s="3">
        <v>548.10178057587643</v>
      </c>
      <c r="F415" s="3">
        <v>365.14468113179652</v>
      </c>
    </row>
    <row r="416" spans="1:6">
      <c r="A416" s="9">
        <v>44126</v>
      </c>
      <c r="B416" s="3">
        <v>430.64263043650504</v>
      </c>
      <c r="C416" s="3">
        <v>590.41274084473594</v>
      </c>
      <c r="D416" s="3">
        <v>569.65614066691785</v>
      </c>
      <c r="E416" s="3">
        <v>800.81697294727326</v>
      </c>
      <c r="F416" s="3">
        <v>547.00227266593993</v>
      </c>
    </row>
    <row r="417" spans="1:6">
      <c r="A417" s="9">
        <v>44127</v>
      </c>
      <c r="B417" s="3">
        <v>408.41829567205355</v>
      </c>
      <c r="C417" s="3">
        <v>718.89162447301317</v>
      </c>
      <c r="D417" s="3">
        <v>579.13864131590731</v>
      </c>
      <c r="E417" s="3">
        <v>742.80866160710457</v>
      </c>
      <c r="F417" s="3">
        <v>566.09610466556842</v>
      </c>
    </row>
    <row r="418" spans="1:6">
      <c r="A418" s="9">
        <v>44128</v>
      </c>
      <c r="B418" s="3">
        <v>392.51419149188825</v>
      </c>
      <c r="C418" s="3">
        <v>638.27173242894241</v>
      </c>
      <c r="D418" s="3">
        <v>503.91593685250041</v>
      </c>
      <c r="E418" s="3">
        <v>515.27194172216798</v>
      </c>
      <c r="F418" s="3">
        <v>507.30568181345905</v>
      </c>
    </row>
    <row r="419" spans="1:6">
      <c r="A419" s="9">
        <v>44129</v>
      </c>
      <c r="B419" s="3">
        <v>411.41782807547139</v>
      </c>
      <c r="C419" s="3">
        <v>617.61398097028496</v>
      </c>
      <c r="D419" s="3">
        <v>498.81905268801052</v>
      </c>
      <c r="E419" s="3">
        <v>230.11727790840649</v>
      </c>
      <c r="F419" s="3">
        <v>484.1487274091981</v>
      </c>
    </row>
    <row r="420" spans="1:6">
      <c r="A420" s="9">
        <v>44130</v>
      </c>
      <c r="B420" s="3">
        <v>108.87167563500613</v>
      </c>
      <c r="C420" s="3">
        <v>256.66108296540676</v>
      </c>
      <c r="D420" s="3">
        <v>118.80923739521616</v>
      </c>
      <c r="E420" s="3">
        <v>3.585425078236113</v>
      </c>
      <c r="F420" s="3">
        <v>203.33863922654803</v>
      </c>
    </row>
    <row r="421" spans="1:6">
      <c r="A421" s="9">
        <v>44131</v>
      </c>
      <c r="B421" s="3">
        <v>117.34704990211344</v>
      </c>
      <c r="C421" s="3">
        <v>245.52805673209497</v>
      </c>
      <c r="D421" s="3">
        <v>131.15035300601684</v>
      </c>
      <c r="E421" s="3">
        <v>21.886865278820753</v>
      </c>
      <c r="F421" s="3">
        <v>177.06069102878169</v>
      </c>
    </row>
    <row r="422" spans="1:6">
      <c r="A422" s="9">
        <v>44132</v>
      </c>
      <c r="B422" s="3">
        <v>7.40386295046891</v>
      </c>
      <c r="C422" s="3">
        <v>36.865333663685121</v>
      </c>
      <c r="D422" s="3">
        <v>17.77419784921959</v>
      </c>
      <c r="E422" s="3">
        <v>0</v>
      </c>
      <c r="F422" s="3">
        <v>7.3228839033786581</v>
      </c>
    </row>
    <row r="423" spans="1:6">
      <c r="A423" s="9">
        <v>44133</v>
      </c>
      <c r="B423" s="3">
        <v>34.212390422599057</v>
      </c>
      <c r="C423" s="3">
        <v>219.56560704930109</v>
      </c>
      <c r="D423" s="3">
        <v>65.167051553063871</v>
      </c>
      <c r="E423" s="3">
        <v>134.1407203789615</v>
      </c>
      <c r="F423" s="3">
        <v>171.48530367463911</v>
      </c>
    </row>
    <row r="424" spans="1:6">
      <c r="A424" s="9">
        <v>44134</v>
      </c>
      <c r="B424" s="3">
        <v>47.940490627102847</v>
      </c>
      <c r="C424" s="3">
        <v>204.52777233620628</v>
      </c>
      <c r="D424" s="3">
        <v>117.90633910552074</v>
      </c>
      <c r="E424" s="3">
        <v>214.34489248859049</v>
      </c>
      <c r="F424" s="3">
        <v>183.23655057869661</v>
      </c>
    </row>
    <row r="425" spans="1:6">
      <c r="A425" s="9">
        <v>44135</v>
      </c>
      <c r="B425" s="3">
        <v>1.0865273671140163</v>
      </c>
      <c r="C425" s="3">
        <v>3.558457362599714</v>
      </c>
      <c r="D425" s="3">
        <v>0.28114852004462632</v>
      </c>
      <c r="E425" s="3">
        <v>1.5074383595512071</v>
      </c>
      <c r="F425" s="3">
        <v>2.6493375434945761</v>
      </c>
    </row>
    <row r="426" spans="1:6">
      <c r="A426" s="9">
        <v>44136</v>
      </c>
      <c r="B426" s="3">
        <v>11.672810599200291</v>
      </c>
      <c r="C426" s="2">
        <v>26.664172284515054</v>
      </c>
      <c r="D426" s="3">
        <v>0.21625350303454202</v>
      </c>
      <c r="E426" s="3">
        <v>26.034145952465391</v>
      </c>
      <c r="F426" s="3">
        <v>29.8295111942654</v>
      </c>
    </row>
    <row r="427" spans="1:6">
      <c r="A427" s="9">
        <v>44137</v>
      </c>
      <c r="B427" s="3">
        <v>18.51380055462424</v>
      </c>
      <c r="C427" s="2">
        <v>236.70946376275009</v>
      </c>
      <c r="D427" s="3">
        <v>97.398269165395774</v>
      </c>
      <c r="E427" s="3">
        <v>231.11644577499521</v>
      </c>
      <c r="F427" s="3">
        <v>187.97801174559177</v>
      </c>
    </row>
    <row r="428" spans="1:6">
      <c r="A428" s="9">
        <v>44138</v>
      </c>
      <c r="B428" s="3">
        <v>99.606495417973022</v>
      </c>
      <c r="C428" s="2">
        <v>269.61850104005833</v>
      </c>
      <c r="D428" s="3">
        <v>213.29197372896093</v>
      </c>
      <c r="E428" s="3">
        <v>263.24790181610848</v>
      </c>
      <c r="F428" s="3">
        <v>275.6171648774324</v>
      </c>
    </row>
    <row r="429" spans="1:6">
      <c r="A429" s="9">
        <v>44139</v>
      </c>
      <c r="B429" s="3">
        <v>116.72392202656299</v>
      </c>
      <c r="C429" s="2">
        <v>124.59796051503275</v>
      </c>
      <c r="D429" s="3">
        <v>203.8998404861054</v>
      </c>
      <c r="E429" s="3">
        <v>121.65393528122706</v>
      </c>
      <c r="F429" s="3">
        <v>325.6721340624614</v>
      </c>
    </row>
    <row r="430" spans="1:6">
      <c r="A430" s="9">
        <v>44140</v>
      </c>
      <c r="B430" s="3">
        <v>2.6119237276486582</v>
      </c>
      <c r="C430" s="2">
        <v>0</v>
      </c>
      <c r="D430" s="3">
        <v>1.9391963886501374E-2</v>
      </c>
      <c r="E430" s="3">
        <v>0</v>
      </c>
      <c r="F430" s="3">
        <v>18.062674327803002</v>
      </c>
    </row>
    <row r="431" spans="1:6">
      <c r="A431" s="9">
        <v>44141</v>
      </c>
      <c r="B431" s="3">
        <v>70.961114557808983</v>
      </c>
      <c r="C431" s="2">
        <v>161.95462114958463</v>
      </c>
      <c r="D431" s="3">
        <v>132.16725575506942</v>
      </c>
      <c r="E431" s="3">
        <v>158.12792535597015</v>
      </c>
      <c r="F431" s="3">
        <v>159.98681945649622</v>
      </c>
    </row>
    <row r="432" spans="1:6">
      <c r="A432" s="9">
        <v>44142</v>
      </c>
      <c r="B432" s="3">
        <v>310.08199110031342</v>
      </c>
      <c r="C432" s="2">
        <v>151.78667985689015</v>
      </c>
      <c r="D432" s="3">
        <v>489.63417395207637</v>
      </c>
      <c r="E432" s="3">
        <v>148.20023418950416</v>
      </c>
      <c r="F432" s="3">
        <v>344.04514650828776</v>
      </c>
    </row>
    <row r="433" spans="1:6">
      <c r="A433" s="9">
        <v>44143</v>
      </c>
      <c r="B433" s="3">
        <v>249.02601583399107</v>
      </c>
      <c r="C433" s="2">
        <v>64.714850896510455</v>
      </c>
      <c r="D433" s="3">
        <v>403.08827547755845</v>
      </c>
      <c r="E433" s="3">
        <v>63.185755610730766</v>
      </c>
      <c r="F433" s="3">
        <v>338.50078856313206</v>
      </c>
    </row>
    <row r="434" spans="1:6">
      <c r="A434" s="9">
        <v>44144</v>
      </c>
      <c r="B434" s="3">
        <v>384.36989485661445</v>
      </c>
      <c r="C434" s="2">
        <v>108.6759297314709</v>
      </c>
      <c r="D434" s="3">
        <v>725.16423016109479</v>
      </c>
      <c r="E434" s="3">
        <v>106.10811338749356</v>
      </c>
      <c r="F434" s="3">
        <v>653.47698805944412</v>
      </c>
    </row>
    <row r="435" spans="1:6">
      <c r="A435" s="9">
        <v>44145</v>
      </c>
      <c r="B435" s="3">
        <v>411.70218348460071</v>
      </c>
      <c r="C435" s="2">
        <v>156.52620522062463</v>
      </c>
      <c r="D435" s="3">
        <v>517.17441763323961</v>
      </c>
      <c r="E435" s="3">
        <v>152.82777311133043</v>
      </c>
      <c r="F435" s="3">
        <v>649.19170167990762</v>
      </c>
    </row>
    <row r="436" spans="1:6">
      <c r="A436" s="9">
        <v>44146</v>
      </c>
      <c r="B436" s="3">
        <v>417.9355292813745</v>
      </c>
      <c r="C436" s="2">
        <v>214.42438565458366</v>
      </c>
      <c r="D436" s="3">
        <v>345.21803616429804</v>
      </c>
      <c r="E436" s="3">
        <v>209.35792389629336</v>
      </c>
      <c r="F436" s="3">
        <v>643.10405776135519</v>
      </c>
    </row>
    <row r="437" spans="1:6">
      <c r="A437" s="9">
        <v>44147</v>
      </c>
      <c r="B437" s="3">
        <v>389.25703356986105</v>
      </c>
      <c r="C437" s="2">
        <v>234.98445807690712</v>
      </c>
      <c r="D437" s="3">
        <v>333.14901872657629</v>
      </c>
      <c r="E437" s="3">
        <v>229.43219886438891</v>
      </c>
      <c r="F437" s="3">
        <v>580.19279061127952</v>
      </c>
    </row>
    <row r="438" spans="1:6">
      <c r="A438" s="9">
        <v>44148</v>
      </c>
      <c r="B438" s="3">
        <v>379.80012991759179</v>
      </c>
      <c r="C438" s="2">
        <v>251.44653414205521</v>
      </c>
      <c r="D438" s="3">
        <v>362.84802254419202</v>
      </c>
      <c r="E438" s="3">
        <v>245.50530574307285</v>
      </c>
      <c r="F438" s="3">
        <v>590.11655537828949</v>
      </c>
    </row>
    <row r="439" spans="1:6">
      <c r="A439" s="9">
        <v>44149</v>
      </c>
      <c r="B439" s="3">
        <v>386.0731077623887</v>
      </c>
      <c r="C439" s="2">
        <v>255.20393733610723</v>
      </c>
      <c r="D439" s="3">
        <v>377.51987358068959</v>
      </c>
      <c r="E439" s="3">
        <v>249.1739282719266</v>
      </c>
      <c r="F439" s="3">
        <v>548.73710926943363</v>
      </c>
    </row>
    <row r="440" spans="1:6">
      <c r="A440" s="9">
        <v>44150</v>
      </c>
      <c r="B440" s="3">
        <v>422.8916254686323</v>
      </c>
      <c r="C440" s="2">
        <v>297.08678902966398</v>
      </c>
      <c r="D440" s="3">
        <v>428.97627865407145</v>
      </c>
      <c r="E440" s="3">
        <v>290.06716366887713</v>
      </c>
      <c r="F440" s="3">
        <v>514.95194230452057</v>
      </c>
    </row>
    <row r="441" spans="1:6">
      <c r="A441" s="9">
        <v>44151</v>
      </c>
      <c r="B441" s="3"/>
      <c r="C441" s="3"/>
      <c r="D441" s="3"/>
      <c r="E441" s="3"/>
      <c r="F441" s="3"/>
    </row>
    <row r="442" spans="1:6">
      <c r="A442" s="9">
        <v>44152</v>
      </c>
      <c r="B442" s="3"/>
      <c r="C442" s="3"/>
      <c r="D442" s="3"/>
      <c r="E442" s="3"/>
      <c r="F442" s="3"/>
    </row>
    <row r="443" spans="1:6">
      <c r="A443" s="9">
        <v>44153</v>
      </c>
      <c r="B443" s="3"/>
      <c r="C443" s="3"/>
      <c r="D443" s="3"/>
      <c r="E443" s="3"/>
      <c r="F443" s="3"/>
    </row>
    <row r="444" spans="1:6">
      <c r="A444" s="9">
        <v>44154</v>
      </c>
      <c r="B444" s="3"/>
      <c r="C444" s="3"/>
      <c r="D444" s="3"/>
      <c r="E444" s="3"/>
      <c r="F444" s="3"/>
    </row>
    <row r="445" spans="1:6">
      <c r="A445" s="9">
        <v>44155</v>
      </c>
      <c r="B445" s="3"/>
      <c r="C445" s="3"/>
      <c r="D445" s="3"/>
      <c r="E445" s="3"/>
      <c r="F445" s="3"/>
    </row>
    <row r="446" spans="1:6">
      <c r="A446" s="9">
        <v>44156</v>
      </c>
      <c r="B446" s="3"/>
      <c r="C446" s="3"/>
      <c r="D446" s="3"/>
      <c r="E446" s="3"/>
      <c r="F446" s="3"/>
    </row>
    <row r="447" spans="1:6">
      <c r="A447" s="9">
        <v>44157</v>
      </c>
      <c r="B447" s="3"/>
      <c r="C447" s="3"/>
      <c r="D447" s="3"/>
      <c r="E447" s="3"/>
      <c r="F447" s="3"/>
    </row>
    <row r="448" spans="1:6">
      <c r="A448" s="9">
        <v>44158</v>
      </c>
      <c r="B448" s="3"/>
      <c r="C448" s="3"/>
      <c r="D448" s="3"/>
      <c r="E448" s="3"/>
      <c r="F448" s="3"/>
    </row>
    <row r="449" spans="1:6">
      <c r="A449" s="9">
        <v>44159</v>
      </c>
      <c r="B449" s="3"/>
      <c r="C449" s="3"/>
      <c r="D449" s="3"/>
      <c r="E449" s="3"/>
      <c r="F449" s="3"/>
    </row>
    <row r="450" spans="1:6">
      <c r="A450" s="9">
        <v>44160</v>
      </c>
      <c r="B450" s="3"/>
      <c r="C450" s="3"/>
      <c r="D450" s="3"/>
      <c r="E450" s="3"/>
      <c r="F450" s="3"/>
    </row>
    <row r="451" spans="1:6">
      <c r="A451" s="9">
        <v>44161</v>
      </c>
      <c r="B451" s="3"/>
      <c r="C451" s="3"/>
      <c r="D451" s="3"/>
      <c r="E451" s="3"/>
      <c r="F451" s="3"/>
    </row>
    <row r="452" spans="1:6">
      <c r="A452" s="9">
        <v>44162</v>
      </c>
      <c r="B452" s="3"/>
      <c r="C452" s="3"/>
      <c r="D452" s="3"/>
      <c r="E452" s="3"/>
      <c r="F452" s="3"/>
    </row>
    <row r="453" spans="1:6">
      <c r="A453" s="9">
        <v>44163</v>
      </c>
      <c r="B453" s="3"/>
      <c r="C453" s="3"/>
      <c r="D453" s="3"/>
      <c r="E453" s="3"/>
      <c r="F453" s="3"/>
    </row>
    <row r="454" spans="1:6">
      <c r="A454" s="9">
        <v>44164</v>
      </c>
      <c r="B454" s="3"/>
      <c r="C454" s="3"/>
      <c r="D454" s="3"/>
      <c r="E454" s="3"/>
      <c r="F454" s="3"/>
    </row>
    <row r="455" spans="1:6">
      <c r="A455" s="9">
        <v>44165</v>
      </c>
      <c r="B455" s="3"/>
      <c r="C455" s="3"/>
      <c r="D455" s="3"/>
      <c r="E455" s="3"/>
      <c r="F455" s="3"/>
    </row>
    <row r="456" spans="1:6">
      <c r="A456" s="9">
        <v>44166</v>
      </c>
      <c r="B456" s="3"/>
      <c r="C456" s="3"/>
      <c r="D456" s="3"/>
      <c r="E456" s="3"/>
      <c r="F456" s="3"/>
    </row>
    <row r="457" spans="1:6">
      <c r="A457" s="9">
        <v>44167</v>
      </c>
      <c r="B457" s="3"/>
      <c r="C457" s="3"/>
      <c r="D457" s="3"/>
      <c r="E457" s="3"/>
      <c r="F457" s="3"/>
    </row>
    <row r="458" spans="1:6">
      <c r="A458" s="9">
        <v>44168</v>
      </c>
      <c r="B458" s="3"/>
      <c r="C458" s="3"/>
      <c r="D458" s="3"/>
      <c r="E458" s="3"/>
      <c r="F458" s="3"/>
    </row>
    <row r="459" spans="1:6">
      <c r="A459" s="9">
        <v>44169</v>
      </c>
      <c r="B459" s="3"/>
      <c r="C459" s="3"/>
      <c r="D459" s="3"/>
      <c r="E459" s="3"/>
      <c r="F459" s="3"/>
    </row>
    <row r="460" spans="1:6">
      <c r="A460" s="9">
        <v>44170</v>
      </c>
      <c r="B460" s="3"/>
      <c r="C460" s="3"/>
      <c r="D460" s="3"/>
      <c r="E460" s="3"/>
      <c r="F460" s="3"/>
    </row>
    <row r="461" spans="1:6">
      <c r="A461" s="9">
        <v>44171</v>
      </c>
      <c r="B461" s="3"/>
      <c r="C461" s="3"/>
      <c r="D461" s="3"/>
      <c r="E461" s="3"/>
      <c r="F461" s="3"/>
    </row>
    <row r="462" spans="1:6">
      <c r="A462" s="9">
        <v>44172</v>
      </c>
      <c r="B462" s="3"/>
      <c r="C462" s="3"/>
      <c r="D462" s="3"/>
      <c r="E462" s="3"/>
      <c r="F462" s="3"/>
    </row>
    <row r="463" spans="1:6">
      <c r="A463" s="9">
        <v>44173</v>
      </c>
      <c r="B463" s="3"/>
      <c r="C463" s="3"/>
      <c r="D463" s="3"/>
      <c r="E463" s="3"/>
      <c r="F463" s="3"/>
    </row>
    <row r="464" spans="1:6">
      <c r="A464" s="9">
        <v>44174</v>
      </c>
      <c r="B464" s="3"/>
      <c r="C464" s="3"/>
      <c r="D464" s="3"/>
      <c r="E464" s="3"/>
      <c r="F464" s="3"/>
    </row>
    <row r="465" spans="1:6">
      <c r="A465" s="9">
        <v>44175</v>
      </c>
      <c r="B465" s="3"/>
      <c r="C465" s="3"/>
      <c r="D465" s="3"/>
      <c r="E465" s="3"/>
      <c r="F465" s="3"/>
    </row>
    <row r="466" spans="1:6">
      <c r="A466" s="9">
        <v>44176</v>
      </c>
      <c r="B466" s="3"/>
      <c r="C466" s="3"/>
      <c r="D466" s="3"/>
      <c r="E466" s="3"/>
      <c r="F466" s="3"/>
    </row>
    <row r="467" spans="1:6">
      <c r="A467" s="9">
        <v>44177</v>
      </c>
      <c r="B467" s="3"/>
      <c r="C467" s="3"/>
      <c r="D467" s="3"/>
      <c r="E467" s="3"/>
      <c r="F467" s="3"/>
    </row>
    <row r="468" spans="1:6">
      <c r="A468" s="9">
        <v>44178</v>
      </c>
      <c r="B468" s="3"/>
      <c r="C468" s="3"/>
      <c r="D468" s="3"/>
      <c r="E468" s="3"/>
      <c r="F468" s="3"/>
    </row>
    <row r="469" spans="1:6">
      <c r="A469" s="9">
        <v>44179</v>
      </c>
      <c r="B469" s="3"/>
      <c r="C469" s="3"/>
      <c r="D469" s="3"/>
      <c r="E469" s="3"/>
      <c r="F469" s="3"/>
    </row>
    <row r="470" spans="1:6">
      <c r="A470" s="9">
        <v>44180</v>
      </c>
      <c r="B470" s="3"/>
      <c r="C470" s="3"/>
      <c r="D470" s="3"/>
      <c r="E470" s="3"/>
      <c r="F470" s="3"/>
    </row>
    <row r="471" spans="1:6">
      <c r="A471" s="9">
        <v>44181</v>
      </c>
      <c r="B471" s="3"/>
      <c r="C471" s="3"/>
      <c r="D471" s="3"/>
      <c r="E471" s="3"/>
      <c r="F471" s="3"/>
    </row>
    <row r="472" spans="1:6">
      <c r="A472" s="9">
        <v>44182</v>
      </c>
      <c r="B472" s="3"/>
      <c r="C472" s="3"/>
      <c r="D472" s="3"/>
      <c r="E472" s="3"/>
      <c r="F472" s="3"/>
    </row>
    <row r="473" spans="1:6">
      <c r="A473" s="9">
        <v>44183</v>
      </c>
      <c r="B473" s="3"/>
      <c r="C473" s="3"/>
      <c r="D473" s="3"/>
      <c r="E473" s="3"/>
      <c r="F473" s="3"/>
    </row>
    <row r="474" spans="1:6">
      <c r="A474" s="9">
        <v>44184</v>
      </c>
      <c r="B474" s="3"/>
      <c r="C474" s="3"/>
      <c r="D474" s="3"/>
      <c r="E474" s="3"/>
      <c r="F474" s="3"/>
    </row>
    <row r="475" spans="1:6">
      <c r="A475" s="9">
        <v>44185</v>
      </c>
      <c r="B475" s="3"/>
      <c r="C475" s="3"/>
      <c r="D475" s="3"/>
      <c r="E475" s="3"/>
      <c r="F475" s="3"/>
    </row>
    <row r="476" spans="1:6">
      <c r="A476" s="9">
        <v>44186</v>
      </c>
      <c r="B476" s="3"/>
      <c r="C476" s="3"/>
      <c r="D476" s="3"/>
      <c r="E476" s="3"/>
      <c r="F476" s="3"/>
    </row>
    <row r="477" spans="1:6">
      <c r="A477" s="9">
        <v>44187</v>
      </c>
      <c r="B477" s="3"/>
      <c r="C477" s="3"/>
      <c r="D477" s="3"/>
      <c r="E477" s="3"/>
      <c r="F477" s="3"/>
    </row>
    <row r="478" spans="1:6">
      <c r="A478" s="9">
        <v>44188</v>
      </c>
      <c r="B478" s="3"/>
      <c r="C478" s="3"/>
      <c r="D478" s="3"/>
      <c r="E478" s="3"/>
      <c r="F478" s="3"/>
    </row>
    <row r="479" spans="1:6">
      <c r="A479" s="9">
        <v>44189</v>
      </c>
      <c r="B479" s="3"/>
      <c r="C479" s="3"/>
      <c r="D479" s="3"/>
      <c r="E479" s="3"/>
      <c r="F479" s="3"/>
    </row>
    <row r="480" spans="1:6">
      <c r="A480" s="9">
        <v>44190</v>
      </c>
      <c r="B480" s="3"/>
      <c r="C480" s="3"/>
      <c r="D480" s="3"/>
      <c r="E480" s="3"/>
      <c r="F480" s="3"/>
    </row>
    <row r="481" spans="1:6">
      <c r="A481" s="9">
        <v>44191</v>
      </c>
      <c r="B481" s="3"/>
      <c r="C481" s="3"/>
      <c r="D481" s="3"/>
      <c r="E481" s="3"/>
      <c r="F481" s="3"/>
    </row>
    <row r="482" spans="1:6">
      <c r="A482" s="9">
        <v>44192</v>
      </c>
      <c r="B482" s="3"/>
      <c r="C482" s="3"/>
      <c r="D482" s="3"/>
      <c r="E482" s="3"/>
      <c r="F482" s="3"/>
    </row>
    <row r="483" spans="1:6">
      <c r="A483" s="9">
        <v>44193</v>
      </c>
      <c r="B483" s="3"/>
      <c r="C483" s="3"/>
      <c r="D483" s="3"/>
      <c r="E483" s="3"/>
      <c r="F483" s="3"/>
    </row>
    <row r="484" spans="1:6">
      <c r="A484" s="9">
        <v>44194</v>
      </c>
      <c r="B484" s="3"/>
      <c r="C484" s="3"/>
      <c r="D484" s="3"/>
      <c r="E484" s="3"/>
      <c r="F484" s="3"/>
    </row>
    <row r="485" spans="1:6">
      <c r="A485" s="9">
        <v>44195</v>
      </c>
      <c r="B485" s="3"/>
      <c r="C485" s="3"/>
      <c r="D485" s="3"/>
      <c r="E485" s="3"/>
      <c r="F485" s="3"/>
    </row>
    <row r="486" spans="1:6">
      <c r="A486" s="9">
        <v>44196</v>
      </c>
      <c r="B486" s="3"/>
      <c r="C486" s="3"/>
      <c r="D486" s="3"/>
      <c r="E486" s="3"/>
      <c r="F486" s="3"/>
    </row>
    <row r="487" spans="1:6">
      <c r="A487" s="9">
        <v>44197</v>
      </c>
      <c r="B487" s="3"/>
      <c r="C487" s="3"/>
      <c r="D487" s="3"/>
      <c r="E487" s="3"/>
      <c r="F487" s="3"/>
    </row>
    <row r="488" spans="1:6">
      <c r="A488" s="9">
        <v>44198</v>
      </c>
      <c r="B488" s="3"/>
      <c r="C488" s="3"/>
      <c r="D488" s="3"/>
      <c r="E488" s="3"/>
      <c r="F488" s="3"/>
    </row>
    <row r="489" spans="1:6">
      <c r="A489" s="9">
        <v>44199</v>
      </c>
      <c r="B489" s="3"/>
      <c r="C489" s="3"/>
      <c r="D489" s="3"/>
      <c r="E489" s="3"/>
      <c r="F489" s="3"/>
    </row>
    <row r="490" spans="1:6">
      <c r="A490" s="9">
        <v>44200</v>
      </c>
      <c r="B490" s="3"/>
      <c r="C490" s="3"/>
      <c r="D490" s="3"/>
      <c r="E490" s="3"/>
      <c r="F490" s="3"/>
    </row>
    <row r="491" spans="1:6">
      <c r="A491" s="9">
        <v>44201</v>
      </c>
      <c r="B491" s="3"/>
      <c r="C491" s="3"/>
      <c r="D491" s="3"/>
      <c r="E491" s="3"/>
      <c r="F491" s="3"/>
    </row>
    <row r="492" spans="1:6">
      <c r="A492" s="9">
        <v>44202</v>
      </c>
      <c r="B492" s="3"/>
      <c r="C492" s="3"/>
      <c r="D492" s="3"/>
      <c r="E492" s="3"/>
      <c r="F492" s="3"/>
    </row>
    <row r="493" spans="1:6">
      <c r="A493" s="9">
        <v>44203</v>
      </c>
      <c r="B493" s="3"/>
      <c r="C493" s="3"/>
      <c r="D493" s="3"/>
      <c r="E493" s="3"/>
      <c r="F493" s="3"/>
    </row>
    <row r="494" spans="1:6">
      <c r="A494" s="9">
        <v>44204</v>
      </c>
      <c r="B494" s="3"/>
      <c r="C494" s="3"/>
      <c r="D494" s="3"/>
      <c r="E494" s="3"/>
      <c r="F494" s="3"/>
    </row>
    <row r="495" spans="1:6">
      <c r="A495" s="9">
        <v>44205</v>
      </c>
      <c r="B495" s="3"/>
      <c r="C495" s="3"/>
      <c r="D495" s="3"/>
      <c r="E495" s="3"/>
      <c r="F495" s="3"/>
    </row>
    <row r="496" spans="1:6">
      <c r="A496" s="9">
        <v>44206</v>
      </c>
      <c r="B496" s="3"/>
      <c r="C496" s="3"/>
      <c r="D496" s="3"/>
      <c r="E496" s="3"/>
      <c r="F496" s="3"/>
    </row>
    <row r="497" spans="1:6">
      <c r="A497" s="9">
        <v>44207</v>
      </c>
      <c r="B497" s="3"/>
      <c r="C497" s="3"/>
      <c r="D497" s="3"/>
      <c r="E497" s="3"/>
      <c r="F497" s="3"/>
    </row>
    <row r="498" spans="1:6">
      <c r="A498" s="9">
        <v>44208</v>
      </c>
      <c r="B498" s="3"/>
      <c r="C498" s="3"/>
      <c r="D498" s="3"/>
      <c r="E498" s="3"/>
      <c r="F498" s="3"/>
    </row>
    <row r="499" spans="1:6">
      <c r="A499" s="9">
        <v>44209</v>
      </c>
      <c r="B499" s="3"/>
      <c r="C499" s="3"/>
      <c r="D499" s="3"/>
      <c r="E499" s="3"/>
      <c r="F499" s="3"/>
    </row>
    <row r="500" spans="1:6">
      <c r="A500" s="9">
        <v>44210</v>
      </c>
      <c r="B500" s="3"/>
      <c r="C500" s="3"/>
      <c r="D500" s="3"/>
      <c r="E500" s="3"/>
      <c r="F500" s="3"/>
    </row>
    <row r="501" spans="1:6">
      <c r="A501" s="9">
        <v>44211</v>
      </c>
      <c r="B501" s="3"/>
      <c r="C501" s="3"/>
      <c r="D501" s="3"/>
      <c r="E501" s="3"/>
      <c r="F501" s="3"/>
    </row>
    <row r="502" spans="1:6">
      <c r="A502" s="9">
        <v>44212</v>
      </c>
      <c r="B502" s="3"/>
      <c r="C502" s="3"/>
      <c r="D502" s="3"/>
      <c r="E502" s="3"/>
      <c r="F502" s="3"/>
    </row>
    <row r="503" spans="1:6">
      <c r="A503" s="9">
        <v>44213</v>
      </c>
      <c r="B503" s="3"/>
      <c r="C503" s="3"/>
      <c r="D503" s="3"/>
      <c r="E503" s="3"/>
      <c r="F503" s="3"/>
    </row>
    <row r="504" spans="1:6">
      <c r="A504" s="9">
        <v>44214</v>
      </c>
      <c r="B504" s="3"/>
      <c r="C504" s="3"/>
      <c r="D504" s="3"/>
      <c r="E504" s="3"/>
      <c r="F504" s="3"/>
    </row>
    <row r="505" spans="1:6">
      <c r="A505" s="9">
        <v>44215</v>
      </c>
      <c r="B505" s="3"/>
      <c r="C505" s="3"/>
      <c r="D505" s="3"/>
      <c r="E505" s="3"/>
      <c r="F505" s="3"/>
    </row>
    <row r="506" spans="1:6">
      <c r="A506" s="9">
        <v>44216</v>
      </c>
      <c r="B506" s="3"/>
      <c r="C506" s="3"/>
      <c r="D506" s="3"/>
      <c r="E506" s="3"/>
      <c r="F506" s="3"/>
    </row>
    <row r="507" spans="1:6">
      <c r="A507" s="9">
        <v>44217</v>
      </c>
      <c r="B507" s="3"/>
      <c r="C507" s="3"/>
      <c r="D507" s="3"/>
      <c r="E507" s="3"/>
      <c r="F507" s="3"/>
    </row>
    <row r="508" spans="1:6">
      <c r="A508" s="9">
        <v>44218</v>
      </c>
      <c r="B508" s="3"/>
      <c r="C508" s="3"/>
      <c r="D508" s="3"/>
      <c r="E508" s="3"/>
      <c r="F508" s="3"/>
    </row>
    <row r="509" spans="1:6">
      <c r="A509" s="9">
        <v>44219</v>
      </c>
      <c r="B509" s="3"/>
      <c r="C509" s="3"/>
      <c r="D509" s="3"/>
      <c r="E509" s="3"/>
      <c r="F509" s="3"/>
    </row>
    <row r="510" spans="1:6">
      <c r="A510" s="9">
        <v>44220</v>
      </c>
      <c r="B510" s="3"/>
      <c r="C510" s="3"/>
      <c r="D510" s="3"/>
      <c r="E510" s="3"/>
      <c r="F510" s="3"/>
    </row>
    <row r="511" spans="1:6">
      <c r="A511" s="9">
        <v>44221</v>
      </c>
      <c r="B511" s="3"/>
      <c r="C511" s="3"/>
      <c r="D511" s="3"/>
      <c r="E511" s="3"/>
      <c r="F511" s="3"/>
    </row>
    <row r="512" spans="1:6">
      <c r="A512" s="9">
        <v>44222</v>
      </c>
      <c r="B512" s="3"/>
      <c r="C512" s="3"/>
      <c r="D512" s="3"/>
      <c r="E512" s="3"/>
      <c r="F512" s="3"/>
    </row>
    <row r="513" spans="1:6">
      <c r="A513" s="9">
        <v>44223</v>
      </c>
      <c r="B513" s="3"/>
      <c r="C513" s="3"/>
      <c r="D513" s="3"/>
      <c r="E513" s="3"/>
      <c r="F513" s="3"/>
    </row>
    <row r="514" spans="1:6">
      <c r="A514" s="9">
        <v>44224</v>
      </c>
      <c r="B514" s="3"/>
      <c r="C514" s="3"/>
      <c r="D514" s="3"/>
      <c r="E514" s="3"/>
      <c r="F514" s="3"/>
    </row>
    <row r="515" spans="1:6">
      <c r="A515" s="9">
        <v>44225</v>
      </c>
      <c r="B515" s="3"/>
      <c r="C515" s="3"/>
      <c r="D515" s="3"/>
      <c r="E515" s="3"/>
      <c r="F515" s="3"/>
    </row>
    <row r="516" spans="1:6">
      <c r="A516" s="9">
        <v>44226</v>
      </c>
      <c r="B516" s="3"/>
      <c r="C516" s="3"/>
      <c r="D516" s="3"/>
      <c r="E516" s="3"/>
      <c r="F516" s="3"/>
    </row>
    <row r="517" spans="1:6">
      <c r="A517" s="9">
        <v>44227</v>
      </c>
      <c r="B517" s="3"/>
      <c r="C517" s="3"/>
      <c r="D517" s="3"/>
      <c r="E517" s="3"/>
      <c r="F517" s="3"/>
    </row>
    <row r="518" spans="1:6">
      <c r="A518" s="9">
        <v>44228</v>
      </c>
      <c r="B518" s="3"/>
      <c r="C518" s="3"/>
      <c r="D518" s="3"/>
      <c r="E518" s="3"/>
      <c r="F518" s="3"/>
    </row>
    <row r="519" spans="1:6">
      <c r="A519" s="9">
        <v>44229</v>
      </c>
      <c r="B519" s="3"/>
      <c r="C519" s="3"/>
      <c r="D519" s="3"/>
      <c r="E519" s="3"/>
      <c r="F519" s="3"/>
    </row>
    <row r="520" spans="1:6">
      <c r="A520" s="9">
        <v>44230</v>
      </c>
      <c r="B520" s="3"/>
      <c r="C520" s="3"/>
      <c r="D520" s="3"/>
      <c r="E520" s="3"/>
      <c r="F520" s="3"/>
    </row>
    <row r="521" spans="1:6">
      <c r="A521" s="9">
        <v>44231</v>
      </c>
      <c r="B521" s="3"/>
      <c r="C521" s="3"/>
      <c r="D521" s="3"/>
      <c r="E521" s="3"/>
      <c r="F521" s="3"/>
    </row>
    <row r="522" spans="1:6">
      <c r="A522" s="9">
        <v>44232</v>
      </c>
      <c r="B522" s="3"/>
      <c r="C522" s="3"/>
      <c r="D522" s="3"/>
      <c r="E522" s="3"/>
      <c r="F522" s="3"/>
    </row>
    <row r="523" spans="1:6">
      <c r="A523" s="9">
        <v>44233</v>
      </c>
      <c r="B523" s="3"/>
      <c r="C523" s="3"/>
      <c r="D523" s="3"/>
      <c r="E523" s="3"/>
      <c r="F523" s="3"/>
    </row>
    <row r="524" spans="1:6">
      <c r="A524" s="9">
        <v>44234</v>
      </c>
      <c r="B524" s="3"/>
      <c r="C524" s="3"/>
      <c r="D524" s="3"/>
      <c r="E524" s="3"/>
      <c r="F524" s="3"/>
    </row>
    <row r="525" spans="1:6">
      <c r="A525" s="9">
        <v>44235</v>
      </c>
      <c r="B525" s="3"/>
      <c r="C525" s="3"/>
      <c r="D525" s="3"/>
      <c r="E525" s="3"/>
      <c r="F525" s="3"/>
    </row>
    <row r="526" spans="1:6">
      <c r="A526" s="9">
        <v>44236</v>
      </c>
      <c r="B526" s="3"/>
      <c r="C526" s="3"/>
      <c r="D526" s="3"/>
      <c r="E526" s="3"/>
      <c r="F526" s="3"/>
    </row>
    <row r="527" spans="1:6">
      <c r="A527" s="9">
        <v>44237</v>
      </c>
      <c r="B527" s="3"/>
      <c r="C527" s="3"/>
      <c r="D527" s="3"/>
      <c r="E527" s="3"/>
      <c r="F527" s="3"/>
    </row>
    <row r="528" spans="1:6">
      <c r="A528" s="9">
        <v>44238</v>
      </c>
      <c r="B528" s="3"/>
      <c r="C528" s="3"/>
      <c r="D528" s="3"/>
      <c r="E528" s="3"/>
      <c r="F528" s="3"/>
    </row>
    <row r="529" spans="1:6">
      <c r="A529" s="9">
        <v>44239</v>
      </c>
      <c r="B529" s="3"/>
      <c r="C529" s="3"/>
      <c r="D529" s="3"/>
      <c r="E529" s="3"/>
      <c r="F529" s="3"/>
    </row>
    <row r="530" spans="1:6">
      <c r="A530" s="9">
        <v>44240</v>
      </c>
      <c r="B530" s="3"/>
      <c r="C530" s="3"/>
      <c r="D530" s="3"/>
      <c r="E530" s="3"/>
      <c r="F530" s="3"/>
    </row>
    <row r="531" spans="1:6">
      <c r="A531" s="9">
        <v>44241</v>
      </c>
      <c r="B531" s="3"/>
      <c r="C531" s="3"/>
      <c r="D531" s="3"/>
      <c r="E531" s="3"/>
      <c r="F531" s="3"/>
    </row>
    <row r="532" spans="1:6">
      <c r="A532" s="9">
        <v>44242</v>
      </c>
      <c r="B532" s="3"/>
      <c r="C532" s="3"/>
      <c r="D532" s="3"/>
      <c r="E532" s="3"/>
      <c r="F532" s="3"/>
    </row>
    <row r="533" spans="1:6">
      <c r="A533" s="9">
        <v>44243</v>
      </c>
      <c r="B533" s="3"/>
      <c r="C533" s="3"/>
      <c r="D533" s="3"/>
      <c r="E533" s="3"/>
      <c r="F533" s="3"/>
    </row>
    <row r="534" spans="1:6">
      <c r="A534" s="9">
        <v>44244</v>
      </c>
      <c r="B534" s="3"/>
      <c r="C534" s="3"/>
      <c r="D534" s="3"/>
      <c r="E534" s="3"/>
      <c r="F534" s="3"/>
    </row>
    <row r="535" spans="1:6">
      <c r="A535" s="9">
        <v>44245</v>
      </c>
      <c r="B535" s="3"/>
      <c r="C535" s="3"/>
      <c r="D535" s="3"/>
      <c r="E535" s="3"/>
      <c r="F535" s="3"/>
    </row>
    <row r="536" spans="1:6">
      <c r="A536" s="9">
        <v>44246</v>
      </c>
      <c r="B536" s="3"/>
      <c r="C536" s="3"/>
      <c r="D536" s="3"/>
      <c r="E536" s="3"/>
      <c r="F536" s="3"/>
    </row>
    <row r="537" spans="1:6">
      <c r="A537" s="9">
        <v>44247</v>
      </c>
      <c r="B537" s="3"/>
      <c r="C537" s="3"/>
      <c r="D537" s="3"/>
      <c r="E537" s="3"/>
      <c r="F537" s="3"/>
    </row>
    <row r="538" spans="1:6">
      <c r="A538" s="9">
        <v>44248</v>
      </c>
      <c r="B538" s="3"/>
      <c r="C538" s="3"/>
      <c r="D538" s="3"/>
      <c r="E538" s="3"/>
      <c r="F538" s="3"/>
    </row>
    <row r="539" spans="1:6">
      <c r="A539" s="9">
        <v>44249</v>
      </c>
      <c r="B539" s="3"/>
      <c r="C539" s="3"/>
      <c r="D539" s="3"/>
      <c r="E539" s="3"/>
      <c r="F539" s="3"/>
    </row>
    <row r="540" spans="1:6">
      <c r="A540" s="9">
        <v>44250</v>
      </c>
      <c r="B540" s="3"/>
      <c r="C540" s="3"/>
      <c r="D540" s="3"/>
      <c r="E540" s="3"/>
      <c r="F540" s="3"/>
    </row>
    <row r="541" spans="1:6">
      <c r="A541" s="9">
        <v>44251</v>
      </c>
      <c r="B541" s="3"/>
      <c r="C541" s="3"/>
      <c r="D541" s="3"/>
      <c r="E541" s="3"/>
      <c r="F541" s="3"/>
    </row>
    <row r="542" spans="1:6">
      <c r="A542" s="9">
        <v>44252</v>
      </c>
      <c r="B542" s="3"/>
      <c r="C542" s="3"/>
      <c r="D542" s="3"/>
      <c r="E542" s="3"/>
      <c r="F542" s="3"/>
    </row>
    <row r="543" spans="1:6">
      <c r="A543" s="9">
        <v>44253</v>
      </c>
      <c r="B543" s="3"/>
      <c r="C543" s="3"/>
      <c r="D543" s="3"/>
      <c r="E543" s="3"/>
      <c r="F543" s="3"/>
    </row>
    <row r="544" spans="1:6">
      <c r="A544" s="9">
        <v>44254</v>
      </c>
      <c r="B544" s="3"/>
      <c r="C544" s="3"/>
      <c r="D544" s="3"/>
      <c r="E544" s="3"/>
      <c r="F544" s="3"/>
    </row>
    <row r="545" spans="1:6">
      <c r="A545" s="9">
        <v>44255</v>
      </c>
      <c r="B545" s="3"/>
      <c r="C545" s="3"/>
      <c r="D545" s="3"/>
      <c r="E545" s="3"/>
      <c r="F545" s="3"/>
    </row>
    <row r="546" spans="1:6">
      <c r="A546" s="9">
        <v>44256</v>
      </c>
      <c r="B546" s="3"/>
      <c r="C546" s="3"/>
      <c r="D546" s="3"/>
      <c r="E546" s="3"/>
      <c r="F546" s="3"/>
    </row>
    <row r="547" spans="1:6">
      <c r="A547" s="9">
        <v>44257</v>
      </c>
      <c r="B547" s="3"/>
      <c r="C547" s="3"/>
      <c r="D547" s="3"/>
      <c r="E547" s="3"/>
      <c r="F547" s="3"/>
    </row>
    <row r="548" spans="1:6">
      <c r="A548" s="9">
        <v>44258</v>
      </c>
      <c r="B548" s="3"/>
      <c r="C548" s="3"/>
      <c r="D548" s="3"/>
      <c r="E548" s="3"/>
      <c r="F548" s="3"/>
    </row>
    <row r="549" spans="1:6">
      <c r="A549" s="9">
        <v>44259</v>
      </c>
      <c r="B549" s="3"/>
      <c r="C549" s="3"/>
      <c r="D549" s="3"/>
      <c r="E549" s="3"/>
      <c r="F549" s="3"/>
    </row>
    <row r="550" spans="1:6">
      <c r="A550" s="9">
        <v>44260</v>
      </c>
      <c r="B550" s="3"/>
      <c r="C550" s="3"/>
      <c r="D550" s="3"/>
      <c r="E550" s="3"/>
      <c r="F550" s="3"/>
    </row>
    <row r="551" spans="1:6">
      <c r="A551" s="9">
        <v>44261</v>
      </c>
      <c r="B551" s="3"/>
      <c r="C551" s="3"/>
      <c r="D551" s="3"/>
      <c r="E551" s="3"/>
      <c r="F551" s="3"/>
    </row>
    <row r="552" spans="1:6">
      <c r="A552" s="9">
        <v>44262</v>
      </c>
      <c r="B552" s="3"/>
      <c r="C552" s="3"/>
      <c r="D552" s="3"/>
      <c r="E552" s="3"/>
      <c r="F552" s="3"/>
    </row>
    <row r="553" spans="1:6">
      <c r="A553" s="9">
        <v>44263</v>
      </c>
      <c r="B553" s="3"/>
      <c r="C553" s="3"/>
      <c r="D553" s="3"/>
      <c r="E553" s="3"/>
      <c r="F553" s="3"/>
    </row>
    <row r="554" spans="1:6">
      <c r="A554" s="9">
        <v>44264</v>
      </c>
      <c r="B554" s="3"/>
      <c r="C554" s="3"/>
      <c r="D554" s="3"/>
      <c r="E554" s="3"/>
      <c r="F554" s="3"/>
    </row>
    <row r="555" spans="1:6">
      <c r="A555" s="9">
        <v>44265</v>
      </c>
      <c r="B555" s="3"/>
      <c r="C555" s="3"/>
      <c r="D555" s="3"/>
      <c r="E555" s="3"/>
      <c r="F555" s="3"/>
    </row>
    <row r="556" spans="1:6">
      <c r="A556" s="9">
        <v>44266</v>
      </c>
      <c r="B556" s="3"/>
      <c r="C556" s="3"/>
      <c r="D556" s="3"/>
      <c r="E556" s="3"/>
      <c r="F556" s="3"/>
    </row>
    <row r="557" spans="1:6">
      <c r="A557" s="9">
        <v>44267</v>
      </c>
      <c r="B557" s="3"/>
      <c r="C557" s="3"/>
      <c r="D557" s="3"/>
      <c r="E557" s="3"/>
      <c r="F557" s="3"/>
    </row>
    <row r="558" spans="1:6">
      <c r="A558" s="9">
        <v>44268</v>
      </c>
      <c r="B558" s="3"/>
      <c r="C558" s="3"/>
      <c r="D558" s="3"/>
      <c r="E558" s="3"/>
      <c r="F558" s="3"/>
    </row>
    <row r="559" spans="1:6">
      <c r="A559" s="9">
        <v>44269</v>
      </c>
      <c r="B559" s="3"/>
      <c r="C559" s="3"/>
      <c r="D559" s="3"/>
      <c r="E559" s="3"/>
      <c r="F559" s="3"/>
    </row>
    <row r="560" spans="1:6">
      <c r="A560" s="9">
        <v>44270</v>
      </c>
      <c r="B560" s="3"/>
      <c r="C560" s="3"/>
      <c r="D560" s="3"/>
      <c r="E560" s="3"/>
      <c r="F560" s="3"/>
    </row>
    <row r="561" spans="1:6">
      <c r="A561" s="9">
        <v>44271</v>
      </c>
      <c r="B561" s="3"/>
      <c r="C561" s="3"/>
      <c r="D561" s="3"/>
      <c r="E561" s="3"/>
      <c r="F561" s="3"/>
    </row>
    <row r="562" spans="1:6">
      <c r="A562" s="9">
        <v>44272</v>
      </c>
      <c r="B562" s="3"/>
      <c r="C562" s="3"/>
      <c r="D562" s="3"/>
      <c r="E562" s="3"/>
      <c r="F562" s="3"/>
    </row>
    <row r="563" spans="1:6">
      <c r="A563" s="9">
        <v>44273</v>
      </c>
      <c r="B563" s="3"/>
      <c r="C563" s="3"/>
      <c r="D563" s="3"/>
      <c r="E563" s="3"/>
      <c r="F563" s="3"/>
    </row>
    <row r="564" spans="1:6">
      <c r="A564" s="9">
        <v>44274</v>
      </c>
      <c r="B564" s="3"/>
      <c r="C564" s="3"/>
      <c r="D564" s="3"/>
      <c r="E564" s="3"/>
      <c r="F564" s="3"/>
    </row>
    <row r="565" spans="1:6">
      <c r="A565" s="9">
        <v>44275</v>
      </c>
      <c r="B565" s="3"/>
      <c r="C565" s="3"/>
      <c r="D565" s="3"/>
      <c r="E565" s="3"/>
      <c r="F565" s="3"/>
    </row>
    <row r="566" spans="1:6">
      <c r="A566" s="9">
        <v>44276</v>
      </c>
      <c r="B566" s="3"/>
      <c r="C566" s="3"/>
      <c r="D566" s="3"/>
      <c r="E566" s="3"/>
      <c r="F566" s="3"/>
    </row>
    <row r="567" spans="1:6">
      <c r="A567" s="9">
        <v>44277</v>
      </c>
      <c r="B567" s="3"/>
      <c r="C567" s="3"/>
      <c r="D567" s="3"/>
      <c r="E567" s="3"/>
      <c r="F567" s="3"/>
    </row>
    <row r="568" spans="1:6">
      <c r="A568" s="9">
        <v>44278</v>
      </c>
      <c r="B568" s="3"/>
      <c r="C568" s="3"/>
      <c r="D568" s="3"/>
      <c r="E568" s="3"/>
      <c r="F568" s="3"/>
    </row>
    <row r="569" spans="1:6">
      <c r="A569" s="9">
        <v>44279</v>
      </c>
      <c r="B569" s="3"/>
      <c r="C569" s="3"/>
      <c r="D569" s="3"/>
      <c r="E569" s="3"/>
      <c r="F569" s="3"/>
    </row>
    <row r="570" spans="1:6">
      <c r="A570" s="9">
        <v>44280</v>
      </c>
      <c r="B570" s="3"/>
      <c r="C570" s="3"/>
      <c r="D570" s="3"/>
      <c r="E570" s="3"/>
      <c r="F570" s="3"/>
    </row>
    <row r="571" spans="1:6">
      <c r="A571" s="9">
        <v>44281</v>
      </c>
      <c r="B571" s="3"/>
      <c r="C571" s="3"/>
      <c r="D571" s="3"/>
      <c r="E571" s="3"/>
      <c r="F571" s="3"/>
    </row>
    <row r="572" spans="1:6">
      <c r="A572" s="9">
        <v>44282</v>
      </c>
      <c r="B572" s="3"/>
      <c r="C572" s="3"/>
      <c r="D572" s="3"/>
      <c r="E572" s="3"/>
      <c r="F572" s="3"/>
    </row>
    <row r="573" spans="1:6">
      <c r="A573" s="9">
        <v>44283</v>
      </c>
      <c r="B573" s="3"/>
      <c r="C573" s="3"/>
      <c r="D573" s="3"/>
      <c r="E573" s="3"/>
      <c r="F573" s="3"/>
    </row>
    <row r="574" spans="1:6">
      <c r="A574" s="9">
        <v>44284</v>
      </c>
      <c r="B574" s="3"/>
      <c r="C574" s="3"/>
      <c r="D574" s="3"/>
      <c r="E574" s="3"/>
      <c r="F574" s="3"/>
    </row>
    <row r="575" spans="1:6">
      <c r="A575" s="9">
        <v>44285</v>
      </c>
      <c r="B575" s="3"/>
      <c r="C575" s="3"/>
      <c r="D575" s="3"/>
      <c r="E575" s="3"/>
      <c r="F575" s="3"/>
    </row>
    <row r="576" spans="1:6">
      <c r="A576" s="9">
        <v>44286</v>
      </c>
      <c r="B576" s="3"/>
      <c r="C576" s="3"/>
      <c r="D576" s="3"/>
      <c r="E576" s="3"/>
      <c r="F576" s="3"/>
    </row>
    <row r="577" spans="1:6">
      <c r="A577" s="9">
        <v>44287</v>
      </c>
      <c r="B577" s="3"/>
      <c r="C577" s="3"/>
      <c r="D577" s="3"/>
      <c r="E577" s="3"/>
      <c r="F577" s="3"/>
    </row>
    <row r="578" spans="1:6">
      <c r="A578" s="9">
        <v>44288</v>
      </c>
      <c r="B578" s="3"/>
      <c r="C578" s="3"/>
      <c r="D578" s="3"/>
      <c r="E578" s="3"/>
      <c r="F578" s="3"/>
    </row>
    <row r="579" spans="1:6">
      <c r="A579" s="9">
        <v>44289</v>
      </c>
      <c r="B579" s="3"/>
      <c r="C579" s="3"/>
      <c r="D579" s="3"/>
      <c r="E579" s="3"/>
      <c r="F579" s="3"/>
    </row>
    <row r="580" spans="1:6">
      <c r="A580" s="9">
        <v>44290</v>
      </c>
      <c r="B580" s="3"/>
      <c r="C580" s="3"/>
      <c r="D580" s="3"/>
      <c r="E580" s="3"/>
      <c r="F580" s="3"/>
    </row>
    <row r="581" spans="1:6">
      <c r="A581" s="9">
        <v>44291</v>
      </c>
      <c r="B581" s="3"/>
      <c r="C581" s="3"/>
      <c r="D581" s="3"/>
      <c r="E581" s="3"/>
      <c r="F581" s="3"/>
    </row>
    <row r="582" spans="1:6">
      <c r="A582" s="9">
        <v>44292</v>
      </c>
      <c r="B582" s="3"/>
      <c r="C582" s="3"/>
      <c r="D582" s="3"/>
      <c r="E582" s="3"/>
      <c r="F582" s="3"/>
    </row>
    <row r="583" spans="1:6">
      <c r="A583" s="9">
        <v>44293</v>
      </c>
      <c r="B583" s="3"/>
      <c r="C583" s="3"/>
      <c r="D583" s="3"/>
      <c r="E583" s="3"/>
      <c r="F583" s="3"/>
    </row>
    <row r="584" spans="1:6">
      <c r="A584" s="9">
        <v>44294</v>
      </c>
      <c r="B584" s="3"/>
      <c r="C584" s="3"/>
      <c r="D584" s="3"/>
      <c r="E584" s="3"/>
      <c r="F584" s="3"/>
    </row>
    <row r="585" spans="1:6">
      <c r="A585" s="9">
        <v>44295</v>
      </c>
      <c r="B585" s="3"/>
      <c r="C585" s="3"/>
      <c r="D585" s="3"/>
      <c r="E585" s="3"/>
      <c r="F585" s="3"/>
    </row>
    <row r="586" spans="1:6">
      <c r="A586" s="9">
        <v>44296</v>
      </c>
      <c r="B586" s="3"/>
      <c r="C586" s="3"/>
      <c r="D586" s="3"/>
      <c r="E586" s="3"/>
      <c r="F586" s="3"/>
    </row>
    <row r="587" spans="1:6">
      <c r="A587" s="9">
        <v>44297</v>
      </c>
      <c r="B587" s="3"/>
      <c r="C587" s="3"/>
      <c r="D587" s="3"/>
      <c r="E587" s="3"/>
      <c r="F587" s="3"/>
    </row>
    <row r="588" spans="1:6">
      <c r="A588" s="9">
        <v>44298</v>
      </c>
      <c r="B588" s="3"/>
      <c r="C588" s="3"/>
      <c r="D588" s="3"/>
      <c r="E588" s="3"/>
      <c r="F588" s="3"/>
    </row>
    <row r="589" spans="1:6">
      <c r="A589" s="9">
        <v>44299</v>
      </c>
      <c r="B589" s="3"/>
      <c r="C589" s="3"/>
      <c r="D589" s="3"/>
      <c r="E589" s="3"/>
      <c r="F589" s="3"/>
    </row>
    <row r="590" spans="1:6">
      <c r="A590" s="9">
        <v>44300</v>
      </c>
      <c r="B590" s="3"/>
      <c r="C590" s="3"/>
      <c r="D590" s="3"/>
      <c r="E590" s="3"/>
      <c r="F590" s="3"/>
    </row>
    <row r="591" spans="1:6">
      <c r="A591" s="9">
        <v>44301</v>
      </c>
      <c r="B591" s="3">
        <v>140.26507513989867</v>
      </c>
      <c r="C591" s="2">
        <v>128.8251497126044</v>
      </c>
      <c r="D591" s="3">
        <v>39.362168664964003</v>
      </c>
      <c r="E591" s="3">
        <v>125.78124361707128</v>
      </c>
      <c r="F591" s="3">
        <v>59.323076980014882</v>
      </c>
    </row>
    <row r="592" spans="1:6">
      <c r="A592" s="9">
        <v>44302</v>
      </c>
      <c r="B592" s="3">
        <v>228.57162342268282</v>
      </c>
      <c r="C592" s="2">
        <v>167.32941728282768</v>
      </c>
      <c r="D592" s="3">
        <v>52.189679515476776</v>
      </c>
      <c r="E592" s="3">
        <v>163.37572474402234</v>
      </c>
      <c r="F592" s="3">
        <v>120.68532314400049</v>
      </c>
    </row>
    <row r="593" spans="1:6">
      <c r="A593" s="9">
        <v>44303</v>
      </c>
      <c r="B593" s="3">
        <v>7.3346052061789075</v>
      </c>
      <c r="C593" s="2">
        <v>40.818489112921952</v>
      </c>
      <c r="D593" s="3">
        <v>1.8453621366633413</v>
      </c>
      <c r="E593" s="3">
        <v>39.854021785707822</v>
      </c>
      <c r="F593" s="3">
        <v>28.514296948708374</v>
      </c>
    </row>
    <row r="594" spans="1:6">
      <c r="A594" s="9">
        <v>44304</v>
      </c>
      <c r="B594" s="3">
        <v>5.4163364228750916</v>
      </c>
      <c r="C594" s="2">
        <v>27.138165632441961</v>
      </c>
      <c r="D594" s="3">
        <v>5.4987587340985566</v>
      </c>
      <c r="E594" s="3">
        <v>26.496939691898028</v>
      </c>
      <c r="F594" s="3">
        <v>21.214364006974968</v>
      </c>
    </row>
    <row r="595" spans="1:6">
      <c r="A595" s="9">
        <v>44305</v>
      </c>
      <c r="B595" s="3">
        <v>94.659077009989986</v>
      </c>
      <c r="C595" s="2">
        <v>126.85469452549329</v>
      </c>
      <c r="D595" s="3">
        <v>18.202490724311396</v>
      </c>
      <c r="E595" s="3">
        <v>123.85734673451795</v>
      </c>
      <c r="F595" s="3">
        <v>72.677869071315541</v>
      </c>
    </row>
    <row r="596" spans="1:6">
      <c r="A596" s="9">
        <v>44306</v>
      </c>
      <c r="B596" s="3">
        <v>635.51835037152614</v>
      </c>
      <c r="C596" s="2">
        <v>416.86682824900237</v>
      </c>
      <c r="D596" s="3">
        <v>349.83221089391333</v>
      </c>
      <c r="E596" s="3">
        <v>407.01701645089082</v>
      </c>
      <c r="F596" s="3">
        <v>355.7805866311345</v>
      </c>
    </row>
    <row r="597" spans="1:6">
      <c r="A597" s="9">
        <v>44307</v>
      </c>
      <c r="B597" s="3">
        <v>735.62895122379325</v>
      </c>
      <c r="C597" s="2">
        <v>408.5193758443358</v>
      </c>
      <c r="D597" s="3">
        <v>402.64586646600446</v>
      </c>
      <c r="E597" s="3">
        <v>398.86679930124563</v>
      </c>
      <c r="F597" s="3">
        <v>421.7000744585406</v>
      </c>
    </row>
    <row r="598" spans="1:6">
      <c r="A598" s="9">
        <v>44308</v>
      </c>
      <c r="B598" s="3">
        <v>735.33309857771008</v>
      </c>
      <c r="C598" s="2">
        <v>416.67508791146292</v>
      </c>
      <c r="D598" s="3">
        <v>380.31499378556771</v>
      </c>
      <c r="E598" s="3">
        <v>406.82980659193805</v>
      </c>
      <c r="F598" s="3">
        <v>422.9869245072864</v>
      </c>
    </row>
    <row r="599" spans="1:6">
      <c r="A599" s="9">
        <v>44309</v>
      </c>
      <c r="B599" s="3">
        <v>805.32898413079602</v>
      </c>
      <c r="C599" s="2">
        <v>437.70093850472466</v>
      </c>
      <c r="D599" s="3">
        <v>340.09618899431371</v>
      </c>
      <c r="E599" s="3">
        <v>427.35885423230292</v>
      </c>
      <c r="F599" s="3">
        <v>343.19638650716581</v>
      </c>
    </row>
    <row r="600" spans="1:6">
      <c r="A600" s="9">
        <v>44310</v>
      </c>
      <c r="B600" s="3">
        <v>674.33871564341075</v>
      </c>
      <c r="C600" s="2">
        <v>382.96176672287902</v>
      </c>
      <c r="D600" s="3">
        <v>277.79801574320607</v>
      </c>
      <c r="E600" s="3">
        <v>373.91307041874541</v>
      </c>
      <c r="F600" s="3">
        <v>265.05015333197514</v>
      </c>
    </row>
    <row r="601" spans="1:6">
      <c r="A601" s="9">
        <v>44311</v>
      </c>
      <c r="B601" s="3">
        <v>199.71126143746037</v>
      </c>
      <c r="C601" s="2">
        <v>121.77710986362824</v>
      </c>
      <c r="D601" s="3">
        <v>22.68485865292573</v>
      </c>
      <c r="E601" s="3">
        <v>118.89973624646382</v>
      </c>
      <c r="F601" s="3">
        <v>59.466045663597349</v>
      </c>
    </row>
    <row r="602" spans="1:6">
      <c r="A602" s="9">
        <v>44312</v>
      </c>
      <c r="B602" s="3">
        <v>383.26558764851961</v>
      </c>
      <c r="C602" s="2">
        <v>234.05087813796538</v>
      </c>
      <c r="D602" s="3">
        <v>84.159810818372364</v>
      </c>
      <c r="E602" s="3">
        <v>228.52067773673636</v>
      </c>
      <c r="F602" s="3">
        <v>147.71083544127146</v>
      </c>
    </row>
    <row r="603" spans="1:6">
      <c r="A603" s="9">
        <v>44313</v>
      </c>
      <c r="B603" s="3">
        <v>197.41177477163976</v>
      </c>
      <c r="C603" s="2">
        <v>154.44303327715525</v>
      </c>
      <c r="D603" s="3">
        <v>59.603134362792652</v>
      </c>
      <c r="E603" s="3">
        <v>150.79382276621291</v>
      </c>
      <c r="F603" s="3">
        <v>92.829209423437504</v>
      </c>
    </row>
    <row r="604" spans="1:6">
      <c r="A604" s="9">
        <v>44314</v>
      </c>
      <c r="B604" s="3">
        <v>213.12656845992504</v>
      </c>
      <c r="C604" s="2">
        <v>177.22248105818784</v>
      </c>
      <c r="D604" s="3">
        <v>57.114666724345632</v>
      </c>
      <c r="E604" s="3">
        <v>173.03503325345426</v>
      </c>
      <c r="F604" s="3">
        <v>93.581796493892227</v>
      </c>
    </row>
    <row r="605" spans="1:6">
      <c r="A605" s="9">
        <v>44315</v>
      </c>
      <c r="B605" s="3">
        <v>686.9805457356282</v>
      </c>
      <c r="C605" s="2">
        <v>449.48432624392626</v>
      </c>
      <c r="D605" s="3">
        <v>401.7261224061013</v>
      </c>
      <c r="E605" s="3">
        <v>438.86382175739726</v>
      </c>
      <c r="F605" s="3">
        <v>340.47262205889422</v>
      </c>
    </row>
    <row r="606" spans="1:6">
      <c r="A606" s="9">
        <v>44316</v>
      </c>
      <c r="B606" s="3">
        <v>785.55270872163987</v>
      </c>
      <c r="C606" s="2">
        <v>427.96885671235736</v>
      </c>
      <c r="D606" s="3">
        <v>404.02759796267469</v>
      </c>
      <c r="E606" s="3">
        <v>417.85672399175684</v>
      </c>
      <c r="F606" s="3">
        <v>341.54932296377604</v>
      </c>
    </row>
    <row r="607" spans="1:6">
      <c r="A607" s="9">
        <v>44317</v>
      </c>
      <c r="B607" s="3">
        <v>699.55537312960564</v>
      </c>
      <c r="C607" s="3">
        <v>944.00515151624575</v>
      </c>
      <c r="D607" s="3">
        <v>344.19004943495173</v>
      </c>
      <c r="E607" s="3">
        <v>403.11452477249554</v>
      </c>
      <c r="F607" s="3">
        <v>325.15608951784662</v>
      </c>
    </row>
    <row r="608" spans="1:6">
      <c r="A608" s="9">
        <v>44318</v>
      </c>
      <c r="B608" s="3">
        <v>827.18356323414241</v>
      </c>
      <c r="C608" s="3">
        <v>542.27472566862093</v>
      </c>
      <c r="D608" s="3">
        <v>388.41516136675574</v>
      </c>
      <c r="E608" s="3">
        <v>446.26277614694925</v>
      </c>
      <c r="F608" s="3">
        <v>331.24141952694481</v>
      </c>
    </row>
    <row r="609" spans="1:6">
      <c r="A609" s="9">
        <v>44319</v>
      </c>
      <c r="B609" s="3">
        <v>725.00970937253794</v>
      </c>
      <c r="C609" s="3">
        <v>207.66815149432293</v>
      </c>
      <c r="D609" s="3">
        <v>366.23492470935412</v>
      </c>
      <c r="E609" s="3">
        <v>492.06490150975651</v>
      </c>
      <c r="F609" s="3">
        <v>316.91752203428302</v>
      </c>
    </row>
    <row r="610" spans="1:6">
      <c r="A610" s="9">
        <v>44320</v>
      </c>
      <c r="B610" s="3">
        <v>161.24693996216467</v>
      </c>
      <c r="C610" s="3">
        <v>55.90613728769474</v>
      </c>
      <c r="D610" s="3">
        <v>36.726454146873806</v>
      </c>
      <c r="E610" s="3">
        <v>123.76737917743696</v>
      </c>
      <c r="F610" s="3">
        <v>65.282923009649835</v>
      </c>
    </row>
    <row r="611" spans="1:6">
      <c r="A611" s="9">
        <v>44321</v>
      </c>
      <c r="B611" s="3">
        <v>15.882582272934146</v>
      </c>
      <c r="C611" s="3">
        <v>19.360066306071538</v>
      </c>
      <c r="D611" s="3">
        <v>5.2351783298629515</v>
      </c>
      <c r="E611" s="3">
        <v>5.9751228717857767</v>
      </c>
      <c r="F611" s="3">
        <v>2.2792341189536311</v>
      </c>
    </row>
    <row r="612" spans="1:6">
      <c r="A612" s="9">
        <v>44322</v>
      </c>
      <c r="B612" s="3">
        <v>251.66584497584884</v>
      </c>
      <c r="C612" s="3">
        <v>138.54232937767668</v>
      </c>
      <c r="D612" s="3">
        <v>119.49465679483798</v>
      </c>
      <c r="E612" s="3">
        <v>192.06237349120437</v>
      </c>
      <c r="F612" s="3">
        <v>156.43324125413972</v>
      </c>
    </row>
    <row r="613" spans="1:6">
      <c r="A613" s="9">
        <v>44323</v>
      </c>
      <c r="B613" s="3">
        <v>167.29107944306278</v>
      </c>
      <c r="C613" s="3">
        <v>82.926096937039546</v>
      </c>
      <c r="D613" s="3">
        <v>63.548062485320671</v>
      </c>
      <c r="E613" s="3">
        <v>130.44591098891752</v>
      </c>
      <c r="F613" s="3">
        <v>96.76843534457781</v>
      </c>
    </row>
    <row r="614" spans="1:6">
      <c r="A614" s="9">
        <v>44324</v>
      </c>
      <c r="B614" s="3">
        <v>573.2443639868128</v>
      </c>
      <c r="C614" s="3">
        <v>370.75391375024765</v>
      </c>
      <c r="D614" s="3">
        <v>318.3489759214421</v>
      </c>
      <c r="E614" s="3">
        <v>345.3098512456707</v>
      </c>
      <c r="F614" s="3">
        <v>325.04587297954367</v>
      </c>
    </row>
    <row r="615" spans="1:6">
      <c r="A615" s="9">
        <v>44325</v>
      </c>
      <c r="B615" s="3">
        <v>588.09861667775954</v>
      </c>
      <c r="C615" s="3">
        <v>449.13484169910481</v>
      </c>
      <c r="D615" s="3">
        <v>421.06364985208734</v>
      </c>
      <c r="E615" s="3">
        <v>399.34900546398853</v>
      </c>
      <c r="F615" s="3">
        <v>362.22291357062505</v>
      </c>
    </row>
    <row r="616" spans="1:6">
      <c r="A616" s="9">
        <v>44326</v>
      </c>
      <c r="B616" s="3">
        <v>755.62938288803082</v>
      </c>
      <c r="C616" s="3">
        <v>470.32418209078077</v>
      </c>
      <c r="D616" s="3">
        <v>516.3865394656774</v>
      </c>
      <c r="E616" s="3">
        <v>505.70699277199623</v>
      </c>
      <c r="F616" s="3">
        <v>356.84778055068716</v>
      </c>
    </row>
    <row r="617" spans="1:6">
      <c r="A617" s="9">
        <v>44327</v>
      </c>
      <c r="B617" s="3">
        <v>630.13180941441021</v>
      </c>
      <c r="C617" s="3">
        <v>345.97466853066902</v>
      </c>
      <c r="D617" s="3">
        <v>381.85433667883825</v>
      </c>
      <c r="E617" s="3">
        <v>423.27753375189263</v>
      </c>
      <c r="F617" s="3">
        <v>245.95583875609958</v>
      </c>
    </row>
    <row r="618" spans="1:6">
      <c r="A618" s="9">
        <v>44328</v>
      </c>
      <c r="B618" s="3">
        <v>521.40176984637856</v>
      </c>
      <c r="C618" s="3">
        <v>822.47192723290823</v>
      </c>
      <c r="D618" s="3">
        <v>270.96793760323612</v>
      </c>
      <c r="E618" s="3">
        <v>382.22804303462698</v>
      </c>
      <c r="F618" s="3">
        <v>257.78685012060942</v>
      </c>
    </row>
    <row r="619" spans="1:6">
      <c r="A619" s="9">
        <v>44329</v>
      </c>
      <c r="B619" s="3">
        <v>705.71491388747222</v>
      </c>
      <c r="C619" s="3">
        <v>508.18511705086979</v>
      </c>
      <c r="D619" s="3">
        <v>452.79984327552569</v>
      </c>
      <c r="E619" s="3">
        <v>531.8131449572254</v>
      </c>
      <c r="F619" s="3">
        <v>409.85226211169339</v>
      </c>
    </row>
    <row r="620" spans="1:6">
      <c r="A620" s="9">
        <v>44330</v>
      </c>
      <c r="B620" s="3">
        <v>897.21534454704204</v>
      </c>
      <c r="C620" s="3">
        <v>592.91312606754468</v>
      </c>
      <c r="D620" s="3">
        <v>603.42227180179214</v>
      </c>
      <c r="E620" s="3">
        <v>615.57747473117729</v>
      </c>
      <c r="F620" s="3">
        <v>486.69844426671995</v>
      </c>
    </row>
    <row r="621" spans="1:6">
      <c r="A621" s="9">
        <v>44331</v>
      </c>
      <c r="B621" s="3">
        <v>845.52113467115657</v>
      </c>
      <c r="C621" s="3">
        <v>560.7086763381941</v>
      </c>
      <c r="D621" s="3">
        <v>670.64261599357849</v>
      </c>
      <c r="E621" s="3">
        <v>616.76629852642498</v>
      </c>
      <c r="F621" s="3">
        <v>473.25677661528277</v>
      </c>
    </row>
    <row r="622" spans="1:6">
      <c r="A622" s="9">
        <v>44332</v>
      </c>
      <c r="B622" s="3">
        <v>691.30668344130913</v>
      </c>
      <c r="C622" s="3">
        <v>416.54534898968348</v>
      </c>
      <c r="D622" s="3">
        <v>483.99868288694836</v>
      </c>
      <c r="E622" s="3">
        <v>451.31920685155285</v>
      </c>
      <c r="F622" s="3">
        <v>336.85264133115413</v>
      </c>
    </row>
    <row r="623" spans="1:6">
      <c r="A623" s="9">
        <v>44333</v>
      </c>
      <c r="B623" s="3">
        <v>529.94536938439001</v>
      </c>
      <c r="C623" s="3">
        <v>305.67813056459516</v>
      </c>
      <c r="D623" s="3">
        <v>319.46809782587439</v>
      </c>
      <c r="E623" s="3">
        <v>364.16327987052188</v>
      </c>
      <c r="F623" s="3">
        <v>298.3774164102486</v>
      </c>
    </row>
    <row r="624" spans="1:6">
      <c r="A624" s="9">
        <v>44334</v>
      </c>
      <c r="B624" s="3">
        <v>270.78283325246707</v>
      </c>
      <c r="C624" s="3">
        <v>144.7967772505518</v>
      </c>
      <c r="D624" s="3">
        <v>121.53596631453902</v>
      </c>
      <c r="E624" s="3">
        <v>225.29123418708403</v>
      </c>
      <c r="F624" s="3">
        <v>154.90349110388749</v>
      </c>
    </row>
    <row r="625" spans="1:6">
      <c r="A625" s="9">
        <v>44335</v>
      </c>
      <c r="B625" s="3">
        <v>330.08098975353147</v>
      </c>
      <c r="C625" s="3">
        <v>225.64143757781633</v>
      </c>
      <c r="D625" s="3">
        <v>225.25917086182091</v>
      </c>
      <c r="E625" s="3">
        <v>274.03841311102013</v>
      </c>
      <c r="F625" s="3">
        <v>217.61374656322931</v>
      </c>
    </row>
    <row r="626" spans="1:6">
      <c r="A626" s="9">
        <v>44336</v>
      </c>
      <c r="B626" s="3">
        <v>198.08912423522889</v>
      </c>
      <c r="C626" s="3">
        <v>159.80679640464368</v>
      </c>
      <c r="D626" s="3">
        <v>114.43535554250741</v>
      </c>
      <c r="E626" s="3">
        <v>213.65898438424514</v>
      </c>
      <c r="F626" s="3">
        <v>142.21977124257825</v>
      </c>
    </row>
    <row r="627" spans="1:6">
      <c r="A627" s="9">
        <v>44337</v>
      </c>
      <c r="B627" s="3">
        <v>349.7683552825564</v>
      </c>
      <c r="C627" s="3">
        <v>209.32574004682695</v>
      </c>
      <c r="D627" s="3">
        <v>186.1809351728549</v>
      </c>
      <c r="E627" s="3">
        <v>244.75604370054339</v>
      </c>
      <c r="F627" s="3">
        <v>168.52099226526838</v>
      </c>
    </row>
    <row r="628" spans="1:6">
      <c r="A628" s="9">
        <v>44338</v>
      </c>
      <c r="B628" s="3">
        <v>258.40746370512619</v>
      </c>
      <c r="C628" s="3">
        <v>238.65434765248551</v>
      </c>
      <c r="D628" s="3">
        <v>123.14984988784536</v>
      </c>
      <c r="E628" s="3">
        <v>215.91181517914004</v>
      </c>
      <c r="F628" s="3">
        <v>115.74648586321733</v>
      </c>
    </row>
    <row r="629" spans="1:6">
      <c r="A629" s="9">
        <v>44339</v>
      </c>
      <c r="B629" s="3">
        <v>323.13051931304148</v>
      </c>
      <c r="C629" s="3">
        <v>185.47091725147249</v>
      </c>
      <c r="D629" s="3">
        <v>172.47934876256909</v>
      </c>
      <c r="E629" s="3">
        <v>305.77505674624103</v>
      </c>
      <c r="F629" s="3">
        <v>219.27475474482029</v>
      </c>
    </row>
    <row r="630" spans="1:6">
      <c r="A630" s="9">
        <v>44340</v>
      </c>
      <c r="B630" s="3">
        <v>252.54710743849645</v>
      </c>
      <c r="C630" s="3">
        <v>157.595599858002</v>
      </c>
      <c r="D630" s="3">
        <v>137.2173307824184</v>
      </c>
      <c r="E630" s="3">
        <v>229.48877878909749</v>
      </c>
      <c r="F630" s="3">
        <v>192.72510957911726</v>
      </c>
    </row>
    <row r="631" spans="1:6">
      <c r="A631" s="9">
        <v>44341</v>
      </c>
      <c r="B631" s="3">
        <v>567.69587194735573</v>
      </c>
      <c r="C631" s="3">
        <v>375.12017746840161</v>
      </c>
      <c r="D631" s="3">
        <v>372.86880684442275</v>
      </c>
      <c r="E631" s="3">
        <v>410.45069990653911</v>
      </c>
      <c r="F631" s="3">
        <v>360.7046582810645</v>
      </c>
    </row>
    <row r="632" spans="1:6">
      <c r="A632" s="9">
        <v>44342</v>
      </c>
      <c r="B632" s="3">
        <v>250.33328654953786</v>
      </c>
      <c r="C632" s="3">
        <v>192.31005004685909</v>
      </c>
      <c r="D632" s="3">
        <v>171.41723557507086</v>
      </c>
      <c r="E632" s="3">
        <v>242.04403486243223</v>
      </c>
      <c r="F632" s="3">
        <v>176.71072731464028</v>
      </c>
    </row>
    <row r="633" spans="1:6">
      <c r="A633" s="9">
        <v>44343</v>
      </c>
      <c r="B633" s="3">
        <v>707.20352735867982</v>
      </c>
      <c r="C633" s="3">
        <v>481.00526358114524</v>
      </c>
      <c r="D633" s="3">
        <v>460.56597551482514</v>
      </c>
      <c r="E633" s="3">
        <v>487.11656032197988</v>
      </c>
      <c r="F633" s="3">
        <v>393.72842515789375</v>
      </c>
    </row>
    <row r="634" spans="1:6">
      <c r="A634" s="9">
        <v>44344</v>
      </c>
      <c r="B634" s="3">
        <v>200.95072876131627</v>
      </c>
      <c r="C634" s="3">
        <v>148.04886775136433</v>
      </c>
      <c r="D634" s="3">
        <v>115.11698473678966</v>
      </c>
      <c r="E634" s="3">
        <v>217.60716078617898</v>
      </c>
      <c r="F634" s="3">
        <v>119.1714361600565</v>
      </c>
    </row>
    <row r="635" spans="1:6">
      <c r="A635" s="9">
        <v>44345</v>
      </c>
      <c r="B635" s="3">
        <v>200.2063953327912</v>
      </c>
      <c r="C635" s="3">
        <v>140.45705163398182</v>
      </c>
      <c r="D635" s="3">
        <v>123.55079430555931</v>
      </c>
      <c r="E635" s="3">
        <v>206.26269983854056</v>
      </c>
      <c r="F635" s="3">
        <v>141.54691441358921</v>
      </c>
    </row>
    <row r="636" spans="1:6">
      <c r="A636" s="9">
        <v>44346</v>
      </c>
      <c r="B636" s="3">
        <v>577.88489446677136</v>
      </c>
      <c r="C636" s="3">
        <v>337.79066842192395</v>
      </c>
      <c r="D636" s="3">
        <v>341.81670868122114</v>
      </c>
      <c r="E636" s="3">
        <v>401.8009612281038</v>
      </c>
      <c r="F636" s="3">
        <v>340.6693165551564</v>
      </c>
    </row>
    <row r="637" spans="1:6">
      <c r="A637" s="9">
        <v>44347</v>
      </c>
      <c r="B637" s="3">
        <v>175.02054467270369</v>
      </c>
      <c r="C637" s="3">
        <v>86.377736182854079</v>
      </c>
      <c r="D637" s="3">
        <v>93.602775785758013</v>
      </c>
      <c r="E637" s="3">
        <v>146.34575302746697</v>
      </c>
      <c r="F637" s="3">
        <v>112.18042824295652</v>
      </c>
    </row>
    <row r="638" spans="1:6">
      <c r="A638" s="9">
        <v>44348</v>
      </c>
      <c r="B638" s="3">
        <v>205.63137769611379</v>
      </c>
      <c r="C638" s="3">
        <v>90.168169624222514</v>
      </c>
      <c r="D638" s="3">
        <v>67.095652599107055</v>
      </c>
      <c r="E638" s="3">
        <v>163.31784271518995</v>
      </c>
      <c r="F638" s="3">
        <v>115.37922565970811</v>
      </c>
    </row>
    <row r="639" spans="1:6">
      <c r="A639" s="9">
        <v>44349</v>
      </c>
      <c r="B639" s="3">
        <v>167.67897791499865</v>
      </c>
      <c r="C639" s="3">
        <v>71.370402048754244</v>
      </c>
      <c r="D639" s="3">
        <v>68.176421005346</v>
      </c>
      <c r="E639" s="3">
        <v>145.54834199067918</v>
      </c>
      <c r="F639" s="3">
        <v>91.762918660331621</v>
      </c>
    </row>
    <row r="640" spans="1:6">
      <c r="A640" s="9">
        <v>44350</v>
      </c>
      <c r="B640" s="3">
        <v>176.52221149909747</v>
      </c>
      <c r="C640" s="3">
        <v>113.04969442602679</v>
      </c>
      <c r="D640" s="3">
        <v>102.0696613406984</v>
      </c>
      <c r="E640" s="3">
        <v>185.54588812740172</v>
      </c>
      <c r="F640" s="3">
        <v>124.16756830223328</v>
      </c>
    </row>
    <row r="641" spans="1:6">
      <c r="A641" s="9">
        <v>44351</v>
      </c>
      <c r="B641" s="3">
        <v>575.73228181494994</v>
      </c>
      <c r="C641" s="3">
        <v>416.5450862775113</v>
      </c>
      <c r="D641" s="3">
        <v>403.38181943372592</v>
      </c>
      <c r="E641" s="3">
        <v>354.74992429633477</v>
      </c>
      <c r="F641" s="3">
        <v>321.72258541794241</v>
      </c>
    </row>
    <row r="642" spans="1:6">
      <c r="A642" s="9">
        <v>44352</v>
      </c>
      <c r="B642" s="3">
        <v>695.12950479860604</v>
      </c>
      <c r="C642" s="3">
        <v>555.77207332490775</v>
      </c>
      <c r="D642" s="3">
        <v>582.86709654019478</v>
      </c>
      <c r="E642" s="3">
        <v>411.62192544489585</v>
      </c>
      <c r="F642" s="3">
        <v>423.13480087620468</v>
      </c>
    </row>
    <row r="643" spans="1:6">
      <c r="A643" s="9">
        <v>44353</v>
      </c>
      <c r="B643" s="3">
        <v>628.88361998609287</v>
      </c>
      <c r="C643" s="3">
        <v>459.29136696555963</v>
      </c>
      <c r="D643" s="3">
        <v>568.42635017360283</v>
      </c>
      <c r="E643" s="3">
        <v>407.65415265437639</v>
      </c>
      <c r="F643" s="3">
        <v>375.72684665350937</v>
      </c>
    </row>
    <row r="644" spans="1:6">
      <c r="A644" s="9">
        <v>44354</v>
      </c>
      <c r="B644" s="3">
        <v>644.30013451947116</v>
      </c>
      <c r="C644" s="3">
        <v>466.7443231913133</v>
      </c>
      <c r="D644" s="3">
        <v>518.85736421003446</v>
      </c>
      <c r="E644" s="3">
        <v>417.40701315504396</v>
      </c>
      <c r="F644" s="3">
        <v>337.22349854010037</v>
      </c>
    </row>
    <row r="645" spans="1:6">
      <c r="A645" s="9">
        <v>44355</v>
      </c>
      <c r="B645" s="3">
        <v>476.14740313311597</v>
      </c>
      <c r="C645" s="3">
        <v>404.5936193103459</v>
      </c>
      <c r="D645" s="3">
        <v>378.00738973159059</v>
      </c>
      <c r="E645" s="3">
        <v>349.89472140682346</v>
      </c>
      <c r="F645" s="3">
        <v>271.26898313603181</v>
      </c>
    </row>
    <row r="646" spans="1:6">
      <c r="A646" s="9">
        <v>44356</v>
      </c>
      <c r="B646" s="3">
        <v>578.42992238025761</v>
      </c>
      <c r="C646" s="3">
        <v>431.47589414779156</v>
      </c>
      <c r="D646" s="3">
        <v>402.71435917459576</v>
      </c>
      <c r="E646" s="3">
        <v>427.85046641780212</v>
      </c>
      <c r="F646" s="3">
        <v>288.60630731988033</v>
      </c>
    </row>
    <row r="647" spans="1:6">
      <c r="A647" s="9">
        <v>44357</v>
      </c>
      <c r="B647" s="3">
        <v>212.81341508274116</v>
      </c>
      <c r="C647" s="3">
        <v>100.23191147330643</v>
      </c>
      <c r="D647" s="3">
        <v>48.742774725351161</v>
      </c>
      <c r="E647" s="3">
        <v>203.00565726592615</v>
      </c>
      <c r="F647" s="3">
        <v>152.26470289464754</v>
      </c>
    </row>
    <row r="648" spans="1:6">
      <c r="A648" s="9">
        <v>44358</v>
      </c>
      <c r="B648" s="3">
        <v>29.491712396178141</v>
      </c>
      <c r="C648" s="3">
        <v>53.957500373030982</v>
      </c>
      <c r="D648" s="3">
        <v>6.1694021425815571</v>
      </c>
      <c r="E648" s="3">
        <v>50.430414172675938</v>
      </c>
      <c r="F648" s="3">
        <v>28.509027166426428</v>
      </c>
    </row>
    <row r="649" spans="1:6">
      <c r="A649" s="9">
        <v>44359</v>
      </c>
      <c r="B649" s="3">
        <v>526.91179385671046</v>
      </c>
      <c r="C649" s="3">
        <v>388.73057824294534</v>
      </c>
      <c r="D649" s="3">
        <v>344.8965496775794</v>
      </c>
      <c r="E649" s="3">
        <v>407.07564078014923</v>
      </c>
      <c r="F649" s="3">
        <v>376.20907715254504</v>
      </c>
    </row>
    <row r="650" spans="1:6">
      <c r="A650" s="9">
        <v>44360</v>
      </c>
      <c r="B650" s="3">
        <v>413.22102198452262</v>
      </c>
      <c r="C650" s="3">
        <v>314.16840632479722</v>
      </c>
      <c r="D650" s="3">
        <v>295.37518025193435</v>
      </c>
      <c r="E650" s="3">
        <v>321.92561266762385</v>
      </c>
      <c r="F650" s="3">
        <v>319.21417191914691</v>
      </c>
    </row>
    <row r="651" spans="1:6">
      <c r="A651" s="9">
        <v>44361</v>
      </c>
      <c r="B651" s="3">
        <v>670.15257993545117</v>
      </c>
      <c r="C651" s="3">
        <v>480.31743215511966</v>
      </c>
      <c r="D651" s="3">
        <v>473.53237676978324</v>
      </c>
      <c r="E651" s="3">
        <v>457.97226739563916</v>
      </c>
      <c r="F651" s="3">
        <v>462.10609369858656</v>
      </c>
    </row>
    <row r="652" spans="1:6">
      <c r="A652" s="9">
        <v>44362</v>
      </c>
      <c r="B652" s="3">
        <v>556.94208010755608</v>
      </c>
      <c r="C652" s="3">
        <v>412.35621328639871</v>
      </c>
      <c r="D652" s="3">
        <v>387.71488406317013</v>
      </c>
      <c r="E652" s="3">
        <v>416.85091369377352</v>
      </c>
      <c r="F652" s="3">
        <v>422.38652302396235</v>
      </c>
    </row>
    <row r="653" spans="1:6">
      <c r="A653" s="9">
        <v>44363</v>
      </c>
      <c r="B653" s="3">
        <v>610.99765389109143</v>
      </c>
      <c r="C653" s="3">
        <v>456.43648355556667</v>
      </c>
      <c r="D653" s="3">
        <v>448.84715363479012</v>
      </c>
      <c r="E653" s="3">
        <v>454.26750109813872</v>
      </c>
      <c r="F653" s="3">
        <v>461.88706777597923</v>
      </c>
    </row>
    <row r="654" spans="1:6">
      <c r="A654" s="9">
        <v>44364</v>
      </c>
      <c r="B654" s="3">
        <v>727.92913371966301</v>
      </c>
      <c r="C654" s="3">
        <v>547.96293080664918</v>
      </c>
      <c r="D654" s="3">
        <v>554.22689174933646</v>
      </c>
      <c r="E654" s="3">
        <v>548.26520342733852</v>
      </c>
      <c r="F654" s="3">
        <v>497.77922070781966</v>
      </c>
    </row>
    <row r="655" spans="1:6">
      <c r="A655" s="9">
        <v>44365</v>
      </c>
      <c r="B655" s="3">
        <v>708.60290434200601</v>
      </c>
      <c r="C655" s="3">
        <v>514.36343813036729</v>
      </c>
      <c r="D655" s="3">
        <v>487.29808365687512</v>
      </c>
      <c r="E655" s="3">
        <v>558.62571373506898</v>
      </c>
      <c r="F655" s="3">
        <v>480.12386455702352</v>
      </c>
    </row>
    <row r="656" spans="1:6">
      <c r="A656" s="9">
        <v>44366</v>
      </c>
      <c r="B656" s="3">
        <v>493.80076346816389</v>
      </c>
      <c r="C656" s="3">
        <v>352.34142863575397</v>
      </c>
      <c r="D656" s="3">
        <v>285.1470152343706</v>
      </c>
      <c r="E656" s="3">
        <v>358.31643398200129</v>
      </c>
      <c r="F656" s="3">
        <v>309.80329011391564</v>
      </c>
    </row>
    <row r="657" spans="1:6">
      <c r="A657" s="9">
        <v>44367</v>
      </c>
      <c r="B657" s="3">
        <v>449.23506790677396</v>
      </c>
      <c r="C657" s="3">
        <v>361.35847030489828</v>
      </c>
      <c r="D657" s="3">
        <v>315.58757739916507</v>
      </c>
      <c r="E657" s="3">
        <v>387.56867159955988</v>
      </c>
      <c r="F657" s="3">
        <v>366.44146233415034</v>
      </c>
    </row>
    <row r="658" spans="1:6">
      <c r="A658" s="9">
        <v>44368</v>
      </c>
      <c r="B658" s="3">
        <v>504.99359285380774</v>
      </c>
      <c r="C658" s="3">
        <v>439.33522676448189</v>
      </c>
      <c r="D658" s="3">
        <v>365.58855825682616</v>
      </c>
      <c r="E658" s="3">
        <v>408.90025923929477</v>
      </c>
      <c r="F658" s="3">
        <v>389.41606043403635</v>
      </c>
    </row>
    <row r="659" spans="1:6">
      <c r="A659" s="9">
        <v>44369</v>
      </c>
      <c r="B659" s="3">
        <v>584.64661811550445</v>
      </c>
      <c r="C659" s="3">
        <v>518.01473256303552</v>
      </c>
      <c r="D659" s="3">
        <v>413.027548805913</v>
      </c>
      <c r="E659" s="3">
        <v>466.83500162254211</v>
      </c>
      <c r="F659" s="3">
        <v>367.14244299923041</v>
      </c>
    </row>
    <row r="660" spans="1:6">
      <c r="A660" s="9">
        <v>44370</v>
      </c>
      <c r="B660" s="3">
        <v>533.32613051828753</v>
      </c>
      <c r="C660" s="3">
        <v>498.90284592574778</v>
      </c>
      <c r="D660" s="3">
        <v>367.62606523732563</v>
      </c>
      <c r="E660" s="3">
        <v>426.72961581275501</v>
      </c>
      <c r="F660" s="3">
        <v>325.36285454568235</v>
      </c>
    </row>
    <row r="661" spans="1:6">
      <c r="A661" s="9">
        <v>44371</v>
      </c>
      <c r="B661" s="3">
        <v>439.52413543929288</v>
      </c>
      <c r="C661" s="3">
        <v>418.64505549968789</v>
      </c>
      <c r="D661" s="3">
        <v>326.55538703411474</v>
      </c>
      <c r="E661" s="3">
        <v>351.197613421357</v>
      </c>
      <c r="F661" s="3">
        <v>347.98701821096722</v>
      </c>
    </row>
    <row r="662" spans="1:6">
      <c r="A662" s="9">
        <v>44372</v>
      </c>
      <c r="B662" s="3">
        <v>493.82727364586452</v>
      </c>
      <c r="C662" s="3">
        <v>461.26730007234835</v>
      </c>
      <c r="D662" s="3">
        <v>391.14130549995201</v>
      </c>
      <c r="E662" s="3">
        <v>412.24645259418611</v>
      </c>
      <c r="F662" s="3">
        <v>452.56433400220027</v>
      </c>
    </row>
    <row r="663" spans="1:6">
      <c r="A663" s="9">
        <v>44373</v>
      </c>
      <c r="B663" s="3">
        <v>403.62176788526108</v>
      </c>
      <c r="C663" s="3">
        <v>394.75780447924399</v>
      </c>
      <c r="D663" s="3">
        <v>362.377848118418</v>
      </c>
      <c r="E663" s="3">
        <v>377.70718758621109</v>
      </c>
      <c r="F663" s="3">
        <v>399.74146806178408</v>
      </c>
    </row>
    <row r="664" spans="1:6">
      <c r="A664" s="9">
        <v>44374</v>
      </c>
      <c r="B664" s="3">
        <v>351.56709045848288</v>
      </c>
      <c r="C664" s="3">
        <v>356.89530465356955</v>
      </c>
      <c r="D664" s="3">
        <v>305.92712285626936</v>
      </c>
      <c r="E664" s="3">
        <v>344.05789647621776</v>
      </c>
      <c r="F664" s="3">
        <v>293.26849200754339</v>
      </c>
    </row>
    <row r="665" spans="1:6">
      <c r="A665" s="9">
        <v>44375</v>
      </c>
      <c r="B665" s="3">
        <v>149.60708842555604</v>
      </c>
      <c r="C665" s="3">
        <v>82.262106817203787</v>
      </c>
      <c r="D665" s="3">
        <v>52.499551779298216</v>
      </c>
      <c r="E665" s="3">
        <v>153.35537197227185</v>
      </c>
      <c r="F665" s="3">
        <v>88.059677587977788</v>
      </c>
    </row>
    <row r="666" spans="1:6">
      <c r="A666" s="9">
        <v>44376</v>
      </c>
      <c r="B666" s="3">
        <v>253.43431198374131</v>
      </c>
      <c r="C666" s="3">
        <v>152.0985188554707</v>
      </c>
      <c r="D666" s="3">
        <v>113.52488675572276</v>
      </c>
      <c r="E666" s="3">
        <v>204.19701315039219</v>
      </c>
      <c r="F666" s="3">
        <v>194.17174967909293</v>
      </c>
    </row>
    <row r="667" spans="1:6">
      <c r="A667" s="9">
        <v>44377</v>
      </c>
      <c r="B667" s="3">
        <v>8.7052365951142647</v>
      </c>
      <c r="C667" s="3">
        <v>113.37976065703971</v>
      </c>
      <c r="D667" s="3">
        <v>43.356450941234023</v>
      </c>
      <c r="E667" s="3">
        <v>70.000812230577708</v>
      </c>
      <c r="F667" s="3">
        <v>95.255268680047109</v>
      </c>
    </row>
    <row r="668" spans="1:6">
      <c r="A668" s="9">
        <v>44378</v>
      </c>
      <c r="B668" s="3">
        <v>487.57705993139103</v>
      </c>
      <c r="C668" s="3">
        <v>354.73478880197075</v>
      </c>
      <c r="D668" s="3">
        <v>176.61313536416495</v>
      </c>
      <c r="E668" s="3">
        <v>262.65958609641217</v>
      </c>
      <c r="F668" s="3">
        <v>355.50808428951268</v>
      </c>
    </row>
    <row r="669" spans="1:6">
      <c r="A669" s="9">
        <v>44379</v>
      </c>
      <c r="B669" s="3">
        <v>156.38784822014856</v>
      </c>
      <c r="C669" s="3">
        <v>104.54719492301747</v>
      </c>
      <c r="D669" s="3">
        <v>39.314511686196845</v>
      </c>
      <c r="E669" s="3">
        <v>150.98004102185598</v>
      </c>
      <c r="F669" s="3">
        <v>98.761088370642156</v>
      </c>
    </row>
    <row r="670" spans="1:6">
      <c r="A670" s="9">
        <v>44380</v>
      </c>
      <c r="B670" s="3">
        <v>123.48922219362815</v>
      </c>
      <c r="C670" s="3">
        <v>129.25202531902343</v>
      </c>
      <c r="D670" s="3">
        <v>55.39213698308906</v>
      </c>
      <c r="E670" s="3">
        <v>130.00277381714145</v>
      </c>
      <c r="F670" s="3">
        <v>136.08007381778756</v>
      </c>
    </row>
    <row r="671" spans="1:6">
      <c r="A671" s="9">
        <v>44381</v>
      </c>
      <c r="B671" s="3">
        <v>478.11902721031805</v>
      </c>
      <c r="C671" s="3">
        <v>352.52543875090811</v>
      </c>
      <c r="D671" s="3">
        <v>357.17072195488646</v>
      </c>
      <c r="E671" s="3">
        <v>357.76303716706536</v>
      </c>
      <c r="F671" s="3">
        <v>445.34068539405524</v>
      </c>
    </row>
    <row r="672" spans="1:6">
      <c r="A672" s="9">
        <v>44382</v>
      </c>
      <c r="B672" s="3">
        <v>495.91455306324031</v>
      </c>
      <c r="C672" s="3">
        <v>366.52761283055901</v>
      </c>
      <c r="D672" s="3">
        <v>380.95043558611496</v>
      </c>
      <c r="E672" s="3">
        <v>343.37453962767626</v>
      </c>
      <c r="F672" s="3">
        <v>474.52958385680483</v>
      </c>
    </row>
    <row r="673" spans="1:6">
      <c r="A673" s="9">
        <v>44383</v>
      </c>
      <c r="B673" s="3">
        <v>541.18085772840834</v>
      </c>
      <c r="C673" s="3">
        <v>439.50723443584116</v>
      </c>
      <c r="D673" s="3">
        <v>449.23983264711239</v>
      </c>
      <c r="E673" s="3">
        <v>329.25608366879311</v>
      </c>
      <c r="F673" s="3">
        <v>515.15702364437891</v>
      </c>
    </row>
    <row r="674" spans="1:6">
      <c r="A674" s="9">
        <v>44384</v>
      </c>
      <c r="B674" s="3">
        <v>651.69973896039073</v>
      </c>
      <c r="C674" s="3">
        <v>504.49072036711601</v>
      </c>
      <c r="D674" s="3">
        <v>533.94363624591517</v>
      </c>
      <c r="E674" s="3">
        <v>356.60016791082762</v>
      </c>
      <c r="F674" s="3">
        <v>584.24276956132655</v>
      </c>
    </row>
    <row r="675" spans="1:6">
      <c r="A675" s="9">
        <v>44385</v>
      </c>
      <c r="B675" s="3">
        <v>444.6140970636398</v>
      </c>
      <c r="C675" s="3">
        <v>292.83426640286393</v>
      </c>
      <c r="D675" s="3">
        <v>326.80052621908544</v>
      </c>
      <c r="E675" s="3">
        <v>236.20256179246957</v>
      </c>
      <c r="F675" s="3">
        <v>396.91010799165599</v>
      </c>
    </row>
    <row r="676" spans="1:6">
      <c r="A676" s="9">
        <v>44386</v>
      </c>
      <c r="B676" s="3">
        <v>669.63104291738603</v>
      </c>
      <c r="C676" s="3">
        <v>411.77000337469241</v>
      </c>
      <c r="D676" s="3">
        <v>490.04462302241228</v>
      </c>
      <c r="E676" s="3">
        <v>363.45665010647673</v>
      </c>
      <c r="F676" s="3">
        <v>540.38217999726248</v>
      </c>
    </row>
    <row r="677" spans="1:6">
      <c r="A677" s="9">
        <v>44387</v>
      </c>
      <c r="B677" s="3">
        <v>734.7411447808214</v>
      </c>
      <c r="C677" s="3">
        <v>480.26357936671707</v>
      </c>
      <c r="D677" s="3">
        <v>552.92713848905396</v>
      </c>
      <c r="E677" s="3">
        <v>407.68384761581507</v>
      </c>
      <c r="F677" s="3">
        <v>529.26487062197839</v>
      </c>
    </row>
    <row r="678" spans="1:6">
      <c r="A678" s="9">
        <v>44388</v>
      </c>
      <c r="B678" s="3">
        <v>699.76516216349114</v>
      </c>
      <c r="C678" s="3">
        <v>452.68239371099509</v>
      </c>
      <c r="D678" s="3">
        <v>566.71212908257223</v>
      </c>
      <c r="E678" s="3">
        <v>397.19376009041514</v>
      </c>
      <c r="F678" s="3">
        <v>457.43157933994212</v>
      </c>
    </row>
    <row r="679" spans="1:6">
      <c r="A679" s="9">
        <v>44389</v>
      </c>
      <c r="B679" s="3">
        <v>636.01963373919443</v>
      </c>
      <c r="C679" s="3">
        <v>455.30778566786489</v>
      </c>
      <c r="D679" s="3">
        <v>488.97389467303486</v>
      </c>
      <c r="E679" s="3">
        <v>382.64562997313715</v>
      </c>
      <c r="F679" s="3">
        <v>471.22943831752178</v>
      </c>
    </row>
    <row r="680" spans="1:6">
      <c r="A680" s="9">
        <v>44390</v>
      </c>
      <c r="B680" s="3">
        <v>541.65074607414033</v>
      </c>
      <c r="C680" s="3">
        <v>411.58984500402994</v>
      </c>
      <c r="D680" s="3">
        <v>341.70982555021772</v>
      </c>
      <c r="E680" s="3">
        <v>360.95843356469396</v>
      </c>
      <c r="F680" s="3">
        <v>392.34770367524311</v>
      </c>
    </row>
    <row r="681" spans="1:6">
      <c r="A681" s="9">
        <v>44391</v>
      </c>
      <c r="B681" s="3">
        <v>511.13079382726414</v>
      </c>
      <c r="C681" s="3">
        <v>443.81823623991698</v>
      </c>
      <c r="D681" s="3">
        <v>352.67185785446821</v>
      </c>
      <c r="E681" s="3">
        <v>385.67460148658273</v>
      </c>
      <c r="F681" s="3">
        <v>433.99869006127165</v>
      </c>
    </row>
    <row r="682" spans="1:6">
      <c r="A682" s="9">
        <v>44392</v>
      </c>
      <c r="B682" s="3">
        <v>463.49824163546106</v>
      </c>
      <c r="C682" s="3">
        <v>430.88163131695467</v>
      </c>
      <c r="D682" s="3">
        <v>314.65865386048551</v>
      </c>
      <c r="E682" s="3">
        <v>360.74427923752148</v>
      </c>
      <c r="F682" s="2">
        <v>275.54658318562718</v>
      </c>
    </row>
    <row r="683" spans="1:6">
      <c r="A683" s="9">
        <v>44393</v>
      </c>
      <c r="B683" s="3">
        <v>360.78441766116669</v>
      </c>
      <c r="C683" s="3">
        <v>429.31302422621576</v>
      </c>
      <c r="D683" s="3">
        <v>291.8043271807478</v>
      </c>
      <c r="E683" s="3">
        <v>351.69012426719752</v>
      </c>
      <c r="F683" s="2">
        <v>255.53304931218085</v>
      </c>
    </row>
    <row r="684" spans="1:6">
      <c r="A684" s="9">
        <v>44394</v>
      </c>
      <c r="B684" s="3">
        <v>216.96002441202626</v>
      </c>
      <c r="C684" s="3">
        <v>131.29562744139153</v>
      </c>
      <c r="D684" s="3">
        <v>77.165020288595983</v>
      </c>
      <c r="E684" s="3">
        <v>164.34535245445559</v>
      </c>
      <c r="F684" s="2">
        <v>67.573408266723504</v>
      </c>
    </row>
    <row r="685" spans="1:6">
      <c r="A685" s="9">
        <v>44395</v>
      </c>
      <c r="B685" s="3">
        <v>244.23535885618705</v>
      </c>
      <c r="C685" s="3">
        <v>193.24214740373822</v>
      </c>
      <c r="D685" s="3">
        <v>104.24251438241814</v>
      </c>
      <c r="E685" s="3">
        <v>201.19402219385194</v>
      </c>
      <c r="F685" s="2">
        <v>91.285169844683566</v>
      </c>
    </row>
    <row r="686" spans="1:6">
      <c r="A686" s="9">
        <v>44396</v>
      </c>
      <c r="B686" s="3">
        <v>359.4500866084876</v>
      </c>
      <c r="C686" s="3">
        <v>337.39855939751322</v>
      </c>
      <c r="D686" s="3">
        <v>223.72397833342694</v>
      </c>
      <c r="E686" s="3">
        <v>314.16546158296751</v>
      </c>
      <c r="F686" s="2">
        <v>195.91508782658198</v>
      </c>
    </row>
    <row r="687" spans="1:6">
      <c r="A687" s="9">
        <v>44397</v>
      </c>
      <c r="B687" s="3">
        <v>308.80254900142478</v>
      </c>
      <c r="C687" s="3">
        <v>360.83917550111653</v>
      </c>
      <c r="D687" s="3">
        <v>231.78620238194375</v>
      </c>
      <c r="E687" s="3">
        <v>298.16447144547669</v>
      </c>
      <c r="F687" s="2">
        <v>202.97517742586814</v>
      </c>
    </row>
    <row r="688" spans="1:6">
      <c r="A688" s="9">
        <v>44398</v>
      </c>
      <c r="B688" s="3">
        <v>432.95669958576929</v>
      </c>
      <c r="C688" s="3">
        <v>457.3097768166736</v>
      </c>
      <c r="D688" s="3">
        <v>330.26479895175771</v>
      </c>
      <c r="E688" s="3">
        <v>359.88909268052731</v>
      </c>
      <c r="F688" s="2">
        <v>289.21288444205425</v>
      </c>
    </row>
    <row r="689" spans="1:6">
      <c r="A689" s="9">
        <v>44399</v>
      </c>
      <c r="B689" s="3">
        <v>291.94205848810134</v>
      </c>
      <c r="C689" s="3">
        <v>288.61128575318901</v>
      </c>
      <c r="D689" s="3">
        <v>236.28715644392454</v>
      </c>
      <c r="E689" s="3">
        <v>245.6315581295014</v>
      </c>
      <c r="F689" s="2">
        <v>206.91666289794472</v>
      </c>
    </row>
    <row r="690" spans="1:6">
      <c r="A690" s="9">
        <v>44400</v>
      </c>
      <c r="B690" s="3">
        <v>140.24305837978397</v>
      </c>
      <c r="C690" s="3">
        <v>158.72931714777889</v>
      </c>
      <c r="D690" s="3">
        <v>128.79046919904079</v>
      </c>
      <c r="E690" s="3">
        <v>127.06442096574757</v>
      </c>
      <c r="F690" s="2">
        <v>112.78181387760002</v>
      </c>
    </row>
    <row r="691" spans="1:6">
      <c r="A691" s="9">
        <v>44401</v>
      </c>
      <c r="B691" s="3">
        <v>281.25965069468612</v>
      </c>
      <c r="C691" s="3">
        <v>228.10743999534031</v>
      </c>
      <c r="D691" s="3">
        <v>206.2474336717743</v>
      </c>
      <c r="E691" s="3">
        <v>220.89115308376307</v>
      </c>
      <c r="F691" s="2">
        <v>180.61087766637277</v>
      </c>
    </row>
    <row r="692" spans="1:6">
      <c r="A692" s="9">
        <v>44402</v>
      </c>
      <c r="B692" s="3">
        <v>264.69668752211044</v>
      </c>
      <c r="C692" s="3">
        <v>256.85569752346498</v>
      </c>
      <c r="D692" s="3">
        <v>229.18773547722856</v>
      </c>
      <c r="E692" s="3">
        <v>288.90287064508783</v>
      </c>
      <c r="F692" s="2">
        <v>200.69969995740905</v>
      </c>
    </row>
    <row r="693" spans="1:6">
      <c r="A693" s="9">
        <v>44403</v>
      </c>
      <c r="B693" s="3">
        <v>407.974218450367</v>
      </c>
      <c r="C693" s="3">
        <v>423.59622868944967</v>
      </c>
      <c r="D693" s="3">
        <v>414.75292078140581</v>
      </c>
      <c r="E693" s="3">
        <v>451.37847674305266</v>
      </c>
      <c r="F693" s="2">
        <v>363.19913272827705</v>
      </c>
    </row>
    <row r="694" spans="1:6">
      <c r="A694" s="9">
        <v>44404</v>
      </c>
      <c r="B694" s="3">
        <v>411.23939522712863</v>
      </c>
      <c r="C694" s="3">
        <v>441.58901816348379</v>
      </c>
      <c r="D694" s="3">
        <v>379.27693401969077</v>
      </c>
      <c r="E694" s="3">
        <v>509.82577515004073</v>
      </c>
      <c r="F694" s="2">
        <v>332.13281112104323</v>
      </c>
    </row>
    <row r="695" spans="1:6">
      <c r="A695" s="9">
        <v>44405</v>
      </c>
      <c r="B695" s="3">
        <v>356.69094843935181</v>
      </c>
      <c r="C695" s="3">
        <v>374.9245977199277</v>
      </c>
      <c r="D695" s="3">
        <v>313.92931791167814</v>
      </c>
      <c r="E695" s="3">
        <v>469.19253852063349</v>
      </c>
      <c r="F695" s="2">
        <v>274.90790369525655</v>
      </c>
    </row>
    <row r="696" spans="1:6">
      <c r="A696" s="9">
        <v>44406</v>
      </c>
      <c r="B696" s="3">
        <v>408.31812061621719</v>
      </c>
      <c r="C696" s="3">
        <v>567.84904676871963</v>
      </c>
      <c r="D696" s="3">
        <v>483.23450720904225</v>
      </c>
      <c r="E696" s="3">
        <v>578.43686458770139</v>
      </c>
      <c r="F696" s="2">
        <v>423.16845796295831</v>
      </c>
    </row>
    <row r="697" spans="1:6">
      <c r="A697" s="9">
        <v>44407</v>
      </c>
      <c r="B697" s="3">
        <v>427.68539039673198</v>
      </c>
      <c r="C697" s="3">
        <v>528.62056704108829</v>
      </c>
      <c r="D697" s="3">
        <v>448.5447137561876</v>
      </c>
      <c r="E697" s="3">
        <v>534.31228249199944</v>
      </c>
      <c r="F697" s="2">
        <v>392.79060583629348</v>
      </c>
    </row>
    <row r="698" spans="1:6">
      <c r="A698" s="9">
        <v>44408</v>
      </c>
      <c r="B698" s="3">
        <v>160.97328917498979</v>
      </c>
      <c r="C698" s="3">
        <v>243.24828811458647</v>
      </c>
      <c r="D698" s="3">
        <v>163.99136475684477</v>
      </c>
      <c r="E698" s="3">
        <v>366.22479244849978</v>
      </c>
      <c r="F698" s="2">
        <v>143.60723811756898</v>
      </c>
    </row>
    <row r="699" spans="1:6">
      <c r="A699" s="9">
        <v>44409</v>
      </c>
      <c r="B699" s="3">
        <v>585.46255658920836</v>
      </c>
      <c r="C699" s="3">
        <v>671.22098702944538</v>
      </c>
      <c r="D699" s="3">
        <v>548.60552936862928</v>
      </c>
      <c r="E699" s="3">
        <v>617.26083156612231</v>
      </c>
      <c r="F699" s="2">
        <v>480.4138620681087</v>
      </c>
    </row>
    <row r="700" spans="1:6">
      <c r="A700" s="9">
        <v>44410</v>
      </c>
      <c r="B700" s="3">
        <v>591.91023553546415</v>
      </c>
      <c r="C700" s="3">
        <v>779.14656261353082</v>
      </c>
      <c r="D700" s="3">
        <v>421.55364813346324</v>
      </c>
      <c r="E700" s="3">
        <v>744.926406023661</v>
      </c>
      <c r="F700" s="2">
        <v>369.15452967047378</v>
      </c>
    </row>
    <row r="701" spans="1:6">
      <c r="A701" s="9">
        <v>44411</v>
      </c>
      <c r="B701" s="3">
        <v>567.48190306956963</v>
      </c>
      <c r="C701" s="3">
        <v>776.07386272951908</v>
      </c>
      <c r="D701" s="3">
        <v>350.8203523648923</v>
      </c>
      <c r="E701" s="3">
        <v>702.98671816927765</v>
      </c>
      <c r="F701" s="2">
        <v>307.21338256593617</v>
      </c>
    </row>
    <row r="702" spans="1:6">
      <c r="A702" s="9">
        <v>44412</v>
      </c>
      <c r="B702" s="3">
        <v>559.61967758780543</v>
      </c>
      <c r="C702" s="3">
        <v>760.64508790871275</v>
      </c>
      <c r="D702" s="3">
        <v>361.19052028468514</v>
      </c>
      <c r="E702" s="3">
        <v>670.93908297971484</v>
      </c>
      <c r="F702" s="2">
        <v>316.29453861329881</v>
      </c>
    </row>
    <row r="703" spans="1:6">
      <c r="A703" s="9">
        <v>44413</v>
      </c>
      <c r="B703" s="3">
        <v>521.60143843893979</v>
      </c>
      <c r="C703" s="3">
        <v>724.18983020587598</v>
      </c>
      <c r="D703" s="3">
        <v>369.96719166669868</v>
      </c>
      <c r="E703" s="3">
        <v>613.49325473492286</v>
      </c>
      <c r="F703" s="2">
        <v>323.98026974252804</v>
      </c>
    </row>
    <row r="704" spans="1:6">
      <c r="A704" s="9">
        <v>44414</v>
      </c>
      <c r="B704" s="3">
        <v>474.06684936155619</v>
      </c>
      <c r="C704" s="3">
        <v>664.78148451998788</v>
      </c>
      <c r="D704" s="3">
        <v>349.79073379890667</v>
      </c>
      <c r="E704" s="3">
        <v>584.39686866796978</v>
      </c>
      <c r="F704" s="2">
        <v>306.3117455877026</v>
      </c>
    </row>
    <row r="705" spans="1:6">
      <c r="A705" s="9">
        <v>44415</v>
      </c>
      <c r="B705" s="3">
        <v>436.15703289268066</v>
      </c>
      <c r="C705" s="3">
        <v>617.9570694999253</v>
      </c>
      <c r="D705" s="3">
        <v>379.3994014290202</v>
      </c>
      <c r="E705" s="3">
        <v>547.63078276717749</v>
      </c>
      <c r="F705" s="2">
        <v>332.24005583139302</v>
      </c>
    </row>
    <row r="706" spans="1:6">
      <c r="A706" s="9">
        <v>44416</v>
      </c>
      <c r="B706" s="3">
        <v>380.48555575923132</v>
      </c>
      <c r="C706" s="3">
        <v>562.27647949926916</v>
      </c>
      <c r="D706" s="3">
        <v>367.59539177106842</v>
      </c>
      <c r="E706" s="3">
        <v>540.47762917684611</v>
      </c>
      <c r="F706" s="2">
        <v>321.90328457392462</v>
      </c>
    </row>
    <row r="707" spans="1:6">
      <c r="A707" s="9">
        <v>44417</v>
      </c>
      <c r="B707" s="3">
        <v>156.228344113904</v>
      </c>
      <c r="C707" s="3">
        <v>218.98774228151262</v>
      </c>
      <c r="D707" s="3">
        <v>146.15806431824103</v>
      </c>
      <c r="E707" s="3">
        <v>304.49332415966205</v>
      </c>
      <c r="F707" s="2">
        <v>127.99061692348367</v>
      </c>
    </row>
    <row r="708" spans="1:6">
      <c r="A708" s="9">
        <v>44418</v>
      </c>
      <c r="B708" s="3">
        <v>438.2471112033835</v>
      </c>
      <c r="C708" s="3">
        <v>487.66551500889904</v>
      </c>
      <c r="D708" s="3">
        <v>392.75579191222306</v>
      </c>
      <c r="E708" s="3">
        <v>450.16644720097634</v>
      </c>
      <c r="F708" s="2">
        <v>343.93624697753376</v>
      </c>
    </row>
    <row r="709" spans="1:6">
      <c r="A709" s="9">
        <v>44419</v>
      </c>
      <c r="B709" s="3">
        <v>48.698891460444251</v>
      </c>
      <c r="C709" s="3">
        <v>89.575394582921533</v>
      </c>
      <c r="D709" s="3">
        <v>51.375020395377497</v>
      </c>
      <c r="E709" s="3">
        <v>206.51203844605752</v>
      </c>
      <c r="F709" s="2">
        <v>44.989105360232074</v>
      </c>
    </row>
    <row r="710" spans="1:6">
      <c r="A710" s="9">
        <v>44420</v>
      </c>
      <c r="B710" s="3">
        <v>288.79487123506215</v>
      </c>
      <c r="C710" s="3">
        <v>315.23647254842246</v>
      </c>
      <c r="D710" s="3">
        <v>296.8216804509496</v>
      </c>
      <c r="E710" s="3">
        <v>415.16462849720904</v>
      </c>
      <c r="F710" s="2">
        <v>259.92674557089657</v>
      </c>
    </row>
    <row r="711" spans="1:6">
      <c r="A711" s="9">
        <v>44421</v>
      </c>
      <c r="B711" s="3">
        <v>99.024858462875599</v>
      </c>
      <c r="C711" s="3">
        <v>118.58130926241448</v>
      </c>
      <c r="D711" s="3">
        <v>128.10282711825781</v>
      </c>
      <c r="E711" s="3">
        <v>223.12849090839677</v>
      </c>
      <c r="F711" s="2">
        <v>112.17964570745836</v>
      </c>
    </row>
    <row r="712" spans="1:6">
      <c r="A712" s="9">
        <v>44422</v>
      </c>
      <c r="B712" s="3">
        <v>31.71613224752554</v>
      </c>
      <c r="C712" s="3">
        <v>117.84629148682367</v>
      </c>
      <c r="D712" s="3">
        <v>99.912424010815542</v>
      </c>
      <c r="E712" s="3">
        <v>256.99874538189198</v>
      </c>
      <c r="F712" s="2">
        <v>87.493309706271177</v>
      </c>
    </row>
    <row r="713" spans="1:6">
      <c r="A713" s="9">
        <v>44423</v>
      </c>
      <c r="B713" s="3">
        <v>2.1771031436701178</v>
      </c>
      <c r="C713" s="3">
        <v>39.041509217751731</v>
      </c>
      <c r="D713" s="3">
        <v>25.792360285521649</v>
      </c>
      <c r="E713" s="3">
        <v>83.919186578099954</v>
      </c>
      <c r="F713" s="2">
        <v>22.586369902031308</v>
      </c>
    </row>
    <row r="714" spans="1:6">
      <c r="A714" s="9">
        <v>44424</v>
      </c>
      <c r="B714" s="3">
        <v>223.53471683859902</v>
      </c>
      <c r="C714" s="3">
        <v>278.97177217008499</v>
      </c>
      <c r="D714" s="3">
        <v>255.66552378670619</v>
      </c>
      <c r="E714" s="3">
        <v>361.85102005930463</v>
      </c>
      <c r="F714" s="2">
        <v>223.88629918001863</v>
      </c>
    </row>
    <row r="715" spans="1:6">
      <c r="A715" s="9">
        <v>44425</v>
      </c>
      <c r="B715" s="3">
        <v>166.55877480249018</v>
      </c>
      <c r="C715" s="3">
        <v>268.09761198310281</v>
      </c>
      <c r="D715" s="3">
        <v>260.83907951161473</v>
      </c>
      <c r="E715" s="3">
        <v>440.78757059553647</v>
      </c>
      <c r="F715" s="2">
        <v>228.41678192832103</v>
      </c>
    </row>
    <row r="716" spans="1:6">
      <c r="A716" s="9">
        <v>44426</v>
      </c>
      <c r="B716" s="3">
        <v>233.18031906589192</v>
      </c>
      <c r="C716" s="3">
        <v>356.96244373028799</v>
      </c>
      <c r="D716" s="3">
        <v>394.16039104955638</v>
      </c>
      <c r="E716" s="3">
        <v>450.29842940158386</v>
      </c>
      <c r="F716" s="2">
        <v>345.16625444209654</v>
      </c>
    </row>
    <row r="717" spans="1:6">
      <c r="A717" s="9">
        <v>44427</v>
      </c>
      <c r="B717" s="3">
        <v>361.33830897217956</v>
      </c>
      <c r="C717" s="3">
        <v>442.38354612576279</v>
      </c>
      <c r="D717" s="3">
        <v>462.11944594793817</v>
      </c>
      <c r="E717" s="3">
        <v>574.0789106277449</v>
      </c>
      <c r="F717" s="2">
        <v>404.67799881660949</v>
      </c>
    </row>
    <row r="718" spans="1:6">
      <c r="A718" s="9">
        <v>44428</v>
      </c>
      <c r="B718" s="3">
        <v>457.27666099019876</v>
      </c>
      <c r="C718" s="3">
        <v>430.30758089244881</v>
      </c>
      <c r="D718" s="3">
        <v>465.38337944279834</v>
      </c>
      <c r="E718" s="3">
        <v>561.31266942161608</v>
      </c>
      <c r="F718" s="2">
        <v>407.53622537805853</v>
      </c>
    </row>
    <row r="719" spans="1:6">
      <c r="A719" s="9">
        <v>44429</v>
      </c>
      <c r="B719" s="3">
        <v>470.30652214565634</v>
      </c>
      <c r="C719" s="3">
        <v>434.38793425094303</v>
      </c>
      <c r="D719" s="3">
        <v>479.13228566194715</v>
      </c>
      <c r="E719" s="3">
        <v>606.02551819642758</v>
      </c>
      <c r="F719" s="2">
        <v>419.57614255416712</v>
      </c>
    </row>
    <row r="720" spans="1:6">
      <c r="A720" s="9">
        <v>44430</v>
      </c>
      <c r="B720" s="3">
        <v>454.43357749349701</v>
      </c>
      <c r="C720" s="3">
        <v>439.75261321575505</v>
      </c>
      <c r="D720" s="3">
        <v>472.54032276531166</v>
      </c>
      <c r="E720" s="3">
        <v>660.56851978360021</v>
      </c>
      <c r="F720" s="2">
        <v>413.80356064558345</v>
      </c>
    </row>
    <row r="721" spans="1:6">
      <c r="A721" s="9">
        <v>44431</v>
      </c>
      <c r="B721" s="3">
        <v>351.05463891626306</v>
      </c>
      <c r="C721" s="3">
        <v>413.20790984878136</v>
      </c>
      <c r="D721" s="3">
        <v>386.94238345390903</v>
      </c>
      <c r="E721" s="3">
        <v>585.34404976340932</v>
      </c>
      <c r="F721" s="2">
        <v>338.84544519058818</v>
      </c>
    </row>
    <row r="722" spans="1:6">
      <c r="A722" s="9">
        <v>44432</v>
      </c>
      <c r="B722" s="3">
        <v>105.28278831112392</v>
      </c>
      <c r="C722" s="3">
        <v>148.14529641391792</v>
      </c>
      <c r="D722" s="3">
        <v>134.32586911964214</v>
      </c>
      <c r="E722" s="3">
        <v>263.74191122637143</v>
      </c>
      <c r="F722" s="2">
        <v>117.62916358807063</v>
      </c>
    </row>
    <row r="723" spans="1:6">
      <c r="A723" s="9">
        <v>44433</v>
      </c>
      <c r="B723" s="3">
        <v>222.67263428687508</v>
      </c>
      <c r="C723" s="3">
        <v>294.0965628644567</v>
      </c>
      <c r="D723" s="3">
        <v>271.22454216760741</v>
      </c>
      <c r="E723" s="3">
        <v>250.92655392023124</v>
      </c>
      <c r="F723" s="2">
        <v>237.51133157617383</v>
      </c>
    </row>
    <row r="724" spans="1:6">
      <c r="A724" s="9">
        <v>44434</v>
      </c>
      <c r="B724" s="3">
        <v>320.37193288113593</v>
      </c>
      <c r="C724" s="3">
        <v>407.2965622426965</v>
      </c>
      <c r="D724" s="3">
        <v>364.52113435895149</v>
      </c>
      <c r="E724" s="3">
        <v>397.38124045677409</v>
      </c>
      <c r="F724" s="2">
        <v>319.21115735813385</v>
      </c>
    </row>
    <row r="725" spans="1:6">
      <c r="A725" s="9">
        <v>44435</v>
      </c>
      <c r="B725" s="3">
        <v>181.85894565574992</v>
      </c>
      <c r="C725" s="3">
        <v>251.68047581599373</v>
      </c>
      <c r="D725" s="3">
        <v>207.11642340566468</v>
      </c>
      <c r="E725" s="3">
        <v>341.84950071920582</v>
      </c>
      <c r="F725" s="2">
        <v>181.37185197634057</v>
      </c>
    </row>
    <row r="726" spans="1:6">
      <c r="A726" s="9">
        <v>44436</v>
      </c>
      <c r="B726" s="3">
        <v>358.83757269816931</v>
      </c>
      <c r="C726" s="3">
        <v>514.18698917638494</v>
      </c>
      <c r="D726" s="3">
        <v>434.30556690831952</v>
      </c>
      <c r="E726" s="3">
        <v>465.07714741065848</v>
      </c>
      <c r="F726" s="2">
        <v>380.32138494161541</v>
      </c>
    </row>
    <row r="727" spans="1:6">
      <c r="A727" s="9">
        <v>44437</v>
      </c>
      <c r="B727" s="3">
        <v>384.2213947712242</v>
      </c>
      <c r="C727" s="3">
        <v>409.33284592327158</v>
      </c>
      <c r="D727" s="3">
        <v>327.60163440234788</v>
      </c>
      <c r="E727" s="3">
        <v>232.87883416874953</v>
      </c>
      <c r="F727" s="2">
        <v>286.88075124613607</v>
      </c>
    </row>
    <row r="728" spans="1:6">
      <c r="A728" s="9">
        <v>44438</v>
      </c>
      <c r="B728" s="3">
        <v>337.43447876345482</v>
      </c>
      <c r="C728" s="3">
        <v>494.29583333214725</v>
      </c>
      <c r="D728" s="3">
        <v>287.11488340688743</v>
      </c>
      <c r="E728" s="3">
        <v>184.23677140289556</v>
      </c>
      <c r="F728" s="2">
        <v>251.42650339941133</v>
      </c>
    </row>
    <row r="729" spans="1:6">
      <c r="A729" s="9">
        <v>44439</v>
      </c>
      <c r="B729" s="3">
        <v>356.7105345231181</v>
      </c>
      <c r="C729" s="3">
        <v>515.74537284846508</v>
      </c>
      <c r="D729" s="3">
        <v>333.06094655728498</v>
      </c>
      <c r="E729" s="3">
        <v>213.04951494390198</v>
      </c>
      <c r="F729" s="2">
        <v>291.66147090021445</v>
      </c>
    </row>
    <row r="730" spans="1:6">
      <c r="A730" s="9">
        <v>44440</v>
      </c>
      <c r="B730" s="3">
        <v>412.91156981441105</v>
      </c>
      <c r="C730" s="3">
        <v>554.03555554677632</v>
      </c>
      <c r="D730" s="3">
        <v>421.69229123012758</v>
      </c>
      <c r="E730" s="3">
        <v>314.92706140365863</v>
      </c>
      <c r="F730" s="2">
        <v>369.27593943022276</v>
      </c>
    </row>
    <row r="731" spans="1:6">
      <c r="A731" s="9">
        <v>44441</v>
      </c>
      <c r="B731" s="3">
        <v>350.49303131787013</v>
      </c>
      <c r="C731" s="3">
        <v>498.95618267517614</v>
      </c>
      <c r="D731" s="3">
        <v>372.01632520134433</v>
      </c>
      <c r="E731" s="3">
        <v>357.56491873027733</v>
      </c>
      <c r="F731" s="2">
        <v>325.77469597881725</v>
      </c>
    </row>
    <row r="732" spans="1:6">
      <c r="A732" s="9">
        <v>44442</v>
      </c>
      <c r="B732" s="3">
        <v>400.18175057765183</v>
      </c>
      <c r="C732" s="3">
        <v>485.16545389149275</v>
      </c>
      <c r="D732" s="3">
        <v>365.1112334204019</v>
      </c>
      <c r="E732" s="3">
        <v>432.31480833556355</v>
      </c>
      <c r="F732" s="2">
        <v>319.72790710624594</v>
      </c>
    </row>
    <row r="733" spans="1:6">
      <c r="A733" s="9">
        <v>44443</v>
      </c>
      <c r="B733" s="3">
        <v>356.57339380066134</v>
      </c>
      <c r="C733" s="3">
        <v>427.82206125517274</v>
      </c>
      <c r="D733" s="3">
        <v>338.93312676074322</v>
      </c>
      <c r="E733" s="3">
        <v>457.72321174444306</v>
      </c>
      <c r="F733" s="2">
        <v>296.80373910438283</v>
      </c>
    </row>
    <row r="734" spans="1:6">
      <c r="A734" s="9">
        <v>44444</v>
      </c>
      <c r="B734" s="3">
        <v>325.65415142180012</v>
      </c>
      <c r="C734" s="3">
        <v>393.64925481242273</v>
      </c>
      <c r="D734" s="3">
        <v>323.66539208779056</v>
      </c>
      <c r="E734" s="3">
        <v>452.55558549505059</v>
      </c>
      <c r="F734" s="2">
        <v>283.43378385127824</v>
      </c>
    </row>
    <row r="735" spans="1:6">
      <c r="A735" s="9">
        <v>44445</v>
      </c>
      <c r="B735" s="3">
        <v>269.08621125918006</v>
      </c>
      <c r="C735" s="3">
        <v>278.78253257675226</v>
      </c>
      <c r="D735" s="3">
        <v>260.45906269759007</v>
      </c>
      <c r="E735" s="3">
        <v>320.22223371631736</v>
      </c>
      <c r="F735" s="2">
        <v>228.08400120427964</v>
      </c>
    </row>
    <row r="736" spans="1:6">
      <c r="A736" s="9">
        <v>44446</v>
      </c>
      <c r="B736" s="3">
        <v>229.8630277238054</v>
      </c>
      <c r="C736" s="3">
        <v>342.41548823260212</v>
      </c>
      <c r="D736" s="3">
        <v>302.48684322385054</v>
      </c>
      <c r="E736" s="3">
        <v>542.41292192419485</v>
      </c>
      <c r="F736" s="2">
        <v>264.88772861112591</v>
      </c>
    </row>
    <row r="737" spans="1:6">
      <c r="A737" s="9">
        <v>44447</v>
      </c>
      <c r="B737" s="3">
        <v>315.92314035112258</v>
      </c>
      <c r="C737" s="3">
        <v>430.21609494947057</v>
      </c>
      <c r="D737" s="3">
        <v>351.29885274446724</v>
      </c>
      <c r="E737" s="3">
        <v>504.05238000664122</v>
      </c>
      <c r="F737" s="2">
        <v>307.63240534833</v>
      </c>
    </row>
    <row r="738" spans="1:6">
      <c r="A738" s="9">
        <v>44448</v>
      </c>
      <c r="B738" s="3">
        <v>378.99838939185577</v>
      </c>
      <c r="C738" s="3">
        <v>437.20432162934821</v>
      </c>
      <c r="D738" s="3">
        <v>412.81555489728885</v>
      </c>
      <c r="E738" s="3">
        <v>512.92564751459145</v>
      </c>
      <c r="F738" s="2">
        <v>361.50258142355585</v>
      </c>
    </row>
    <row r="739" spans="1:6">
      <c r="A739" s="9">
        <v>44449</v>
      </c>
      <c r="B739" s="3">
        <v>302.37923295230394</v>
      </c>
      <c r="C739" s="3">
        <v>434.13809854525311</v>
      </c>
      <c r="D739" s="3">
        <v>410.14794927668333</v>
      </c>
      <c r="E739" s="3">
        <v>530.41698254434607</v>
      </c>
      <c r="F739" s="2">
        <v>359.16655918159159</v>
      </c>
    </row>
    <row r="740" spans="1:6">
      <c r="A740" s="9">
        <v>44450</v>
      </c>
      <c r="B740" s="3">
        <v>263.02609043733725</v>
      </c>
      <c r="C740" s="3">
        <v>458.73835539276473</v>
      </c>
      <c r="D740" s="3">
        <v>424.45308593714009</v>
      </c>
      <c r="E740" s="3">
        <v>537.34369704954065</v>
      </c>
      <c r="F740" s="2">
        <v>371.69356735515356</v>
      </c>
    </row>
    <row r="741" spans="1:6">
      <c r="A741" s="9">
        <v>44451</v>
      </c>
      <c r="B741" s="3">
        <v>217.25813926028718</v>
      </c>
      <c r="C741" s="3">
        <v>312.42265645044733</v>
      </c>
      <c r="D741" s="3">
        <v>354.35562454628678</v>
      </c>
      <c r="E741" s="3">
        <v>427.23220701151632</v>
      </c>
      <c r="F741" s="2">
        <v>310.30922041518335</v>
      </c>
    </row>
    <row r="742" spans="1:6">
      <c r="A742" s="9">
        <v>44452</v>
      </c>
      <c r="B742" s="3">
        <v>103.17563499316033</v>
      </c>
      <c r="C742" s="3">
        <v>206.84174517241669</v>
      </c>
      <c r="D742" s="3">
        <v>201.36004945957495</v>
      </c>
      <c r="E742" s="3">
        <v>335.12009473166245</v>
      </c>
      <c r="F742" s="2">
        <v>176.3309953117498</v>
      </c>
    </row>
    <row r="743" spans="1:6">
      <c r="A743" s="9">
        <v>44453</v>
      </c>
      <c r="B743" s="3">
        <v>173.76781142244565</v>
      </c>
      <c r="C743" s="3">
        <v>306.15009131726134</v>
      </c>
      <c r="D743" s="3">
        <v>277.13477873574709</v>
      </c>
      <c r="E743" s="3">
        <v>402.22800954784748</v>
      </c>
      <c r="F743" s="2">
        <v>242.68692573889373</v>
      </c>
    </row>
    <row r="744" spans="1:6">
      <c r="A744" s="9">
        <v>44454</v>
      </c>
      <c r="B744" s="3">
        <v>216.09848893075173</v>
      </c>
      <c r="C744" s="3">
        <v>386.35030531082811</v>
      </c>
      <c r="D744" s="3">
        <v>355.13099373629245</v>
      </c>
      <c r="E744" s="3">
        <v>430.16521026614356</v>
      </c>
      <c r="F744" s="2">
        <v>310.98821121487128</v>
      </c>
    </row>
    <row r="745" spans="1:6">
      <c r="A745" s="9">
        <v>44455</v>
      </c>
      <c r="B745" s="3">
        <v>151.14409167847481</v>
      </c>
      <c r="C745" s="3">
        <v>227.04540361960923</v>
      </c>
      <c r="D745" s="3">
        <v>236.54960571430067</v>
      </c>
      <c r="E745" s="3">
        <v>331.58953162971983</v>
      </c>
      <c r="F745" s="2">
        <v>207.14648972401309</v>
      </c>
    </row>
    <row r="746" spans="1:6">
      <c r="A746" s="9">
        <v>44456</v>
      </c>
      <c r="B746" s="3">
        <v>111.00173593004352</v>
      </c>
      <c r="C746" s="3">
        <v>238.89141189792127</v>
      </c>
      <c r="D746" s="3">
        <v>239.4385583360681</v>
      </c>
      <c r="E746" s="3">
        <v>336.35402485208027</v>
      </c>
      <c r="F746" s="2">
        <v>209.67634553489484</v>
      </c>
    </row>
    <row r="747" spans="1:6">
      <c r="A747" s="9">
        <v>44457</v>
      </c>
      <c r="B747" s="3">
        <v>159.23175648785073</v>
      </c>
      <c r="C747" s="3">
        <v>342.73783813060277</v>
      </c>
      <c r="D747" s="3">
        <v>323.50169733599245</v>
      </c>
      <c r="E747" s="3">
        <v>509.66413645545981</v>
      </c>
      <c r="F747" s="2">
        <v>283.29043635712861</v>
      </c>
    </row>
    <row r="748" spans="1:6">
      <c r="A748" s="9">
        <v>44458</v>
      </c>
      <c r="B748" s="3">
        <v>5.7914251291773668</v>
      </c>
      <c r="C748" s="3">
        <v>59.213850845859206</v>
      </c>
      <c r="D748" s="3">
        <v>34.869561451970263</v>
      </c>
      <c r="E748" s="3">
        <v>193.04100111774389</v>
      </c>
      <c r="F748" s="2">
        <v>30.535274963490359</v>
      </c>
    </row>
    <row r="749" spans="1:6">
      <c r="A749" s="9">
        <v>44459</v>
      </c>
      <c r="B749" s="3">
        <v>247.91505161062182</v>
      </c>
      <c r="C749" s="3">
        <v>552.15194849293755</v>
      </c>
      <c r="D749" s="3">
        <v>424.39883929703115</v>
      </c>
      <c r="E749" s="3">
        <v>556.12741540546494</v>
      </c>
      <c r="F749" s="2">
        <v>371.64606357241018</v>
      </c>
    </row>
    <row r="750" spans="1:6">
      <c r="A750" s="9">
        <v>44460</v>
      </c>
      <c r="B750" s="3">
        <v>326.53359140477733</v>
      </c>
      <c r="C750" s="3">
        <v>625.79778567076369</v>
      </c>
      <c r="D750" s="3">
        <v>520.22455207852147</v>
      </c>
      <c r="E750" s="3">
        <v>582.81362359271543</v>
      </c>
      <c r="F750" s="2">
        <v>455.56064025516127</v>
      </c>
    </row>
    <row r="751" spans="1:6">
      <c r="A751" s="9">
        <v>44461</v>
      </c>
      <c r="B751" s="3">
        <v>332.58733549052033</v>
      </c>
      <c r="C751" s="3">
        <v>577.61141055161988</v>
      </c>
      <c r="D751" s="3">
        <v>467.08782576347795</v>
      </c>
      <c r="E751" s="3">
        <v>405.169537923929</v>
      </c>
      <c r="F751" s="2">
        <v>409.02880902107768</v>
      </c>
    </row>
    <row r="752" spans="1:6">
      <c r="A752" s="9">
        <v>44462</v>
      </c>
      <c r="B752" s="3">
        <v>304.02194888961333</v>
      </c>
      <c r="C752" s="3">
        <v>552.75540053879001</v>
      </c>
      <c r="D752" s="3">
        <v>426.14530131925687</v>
      </c>
      <c r="E752" s="3">
        <v>322.48673145509457</v>
      </c>
      <c r="F752" s="2">
        <v>373.17544036527323</v>
      </c>
    </row>
    <row r="753" spans="1:6">
      <c r="A753" s="9">
        <v>44463</v>
      </c>
      <c r="B753" s="3">
        <v>329.66572130047518</v>
      </c>
      <c r="C753" s="3">
        <v>611.44005995064992</v>
      </c>
      <c r="D753" s="3">
        <v>450.14808614344065</v>
      </c>
      <c r="E753" s="3">
        <v>413.93918358434388</v>
      </c>
      <c r="F753" s="2">
        <v>394.19467903581102</v>
      </c>
    </row>
    <row r="754" spans="1:6">
      <c r="A754" s="9">
        <v>44464</v>
      </c>
      <c r="B754" s="3">
        <v>334.06144111421969</v>
      </c>
      <c r="C754" s="3">
        <v>623.23491936093319</v>
      </c>
      <c r="D754" s="3">
        <v>452.38741209469441</v>
      </c>
      <c r="E754" s="3">
        <v>481.32465789978778</v>
      </c>
      <c r="F754" s="2">
        <v>396.15565677132389</v>
      </c>
    </row>
    <row r="755" spans="1:6">
      <c r="A755" s="9">
        <v>44465</v>
      </c>
      <c r="B755" s="3">
        <v>338.98103921379334</v>
      </c>
      <c r="C755" s="3">
        <v>652.69784871863453</v>
      </c>
      <c r="D755" s="3">
        <v>482.56361634152586</v>
      </c>
      <c r="E755" s="3">
        <v>562.83234296570936</v>
      </c>
      <c r="F755" s="2">
        <v>422.5809588302742</v>
      </c>
    </row>
    <row r="756" spans="1:6">
      <c r="A756" s="9">
        <v>44466</v>
      </c>
      <c r="B756" s="3">
        <v>327.13011178271125</v>
      </c>
      <c r="C756" s="3">
        <v>694.67315534621525</v>
      </c>
      <c r="D756" s="3">
        <v>517.75007837087412</v>
      </c>
      <c r="E756" s="3">
        <v>636.78069087303845</v>
      </c>
      <c r="F756" s="2">
        <v>453.39374362937451</v>
      </c>
    </row>
    <row r="757" spans="1:6">
      <c r="A757" s="9">
        <v>44467</v>
      </c>
      <c r="B757" s="3">
        <v>276.13882374362447</v>
      </c>
      <c r="C757" s="3">
        <v>498.95957763087114</v>
      </c>
      <c r="D757" s="3">
        <v>393.69769295478142</v>
      </c>
      <c r="E757" s="3">
        <v>523.54730173269684</v>
      </c>
      <c r="F757" s="2">
        <v>344.76106972050212</v>
      </c>
    </row>
    <row r="758" spans="1:6">
      <c r="A758" s="9">
        <v>44468</v>
      </c>
      <c r="B758" s="3">
        <v>214.22998890150163</v>
      </c>
      <c r="C758" s="3">
        <v>654.82564410854548</v>
      </c>
      <c r="D758" s="3">
        <v>453.70452178116579</v>
      </c>
      <c r="E758" s="3">
        <v>574.47665022315368</v>
      </c>
      <c r="F758" s="2">
        <v>397.30904972376692</v>
      </c>
    </row>
    <row r="759" spans="1:6">
      <c r="A759" s="9">
        <v>44469</v>
      </c>
      <c r="B759" s="3">
        <v>256.73169008191684</v>
      </c>
      <c r="C759" s="3">
        <v>650.06865612050535</v>
      </c>
      <c r="D759" s="3">
        <v>459.57022887614994</v>
      </c>
      <c r="E759" s="3">
        <v>608.74219505163489</v>
      </c>
      <c r="F759" s="2">
        <v>402.44564942684451</v>
      </c>
    </row>
    <row r="760" spans="1:6">
      <c r="A760" s="9">
        <v>44470</v>
      </c>
      <c r="B760" s="3">
        <v>238.07896083438629</v>
      </c>
      <c r="C760" s="3">
        <v>581.00473185899227</v>
      </c>
      <c r="D760" s="3">
        <v>431.49395267125158</v>
      </c>
      <c r="E760" s="3">
        <v>526.26858401974516</v>
      </c>
      <c r="F760" s="2">
        <v>377.85925435421501</v>
      </c>
    </row>
    <row r="761" spans="1:6">
      <c r="A761" s="9">
        <v>44471</v>
      </c>
      <c r="B761" s="3">
        <v>234.7105671741476</v>
      </c>
      <c r="C761" s="3">
        <v>514.7489642719737</v>
      </c>
      <c r="D761" s="3">
        <v>390.95399654634923</v>
      </c>
      <c r="E761" s="3">
        <v>486.84130773338433</v>
      </c>
      <c r="F761" s="2">
        <v>342.35841477563804</v>
      </c>
    </row>
    <row r="762" spans="1:6">
      <c r="A762" s="9">
        <v>44472</v>
      </c>
      <c r="B762" s="3">
        <v>245.99119824928121</v>
      </c>
      <c r="C762" s="3">
        <v>450.78997410961534</v>
      </c>
      <c r="D762" s="3">
        <v>309.39401325623089</v>
      </c>
      <c r="E762" s="3">
        <v>435.83039451224846</v>
      </c>
      <c r="F762" s="2">
        <v>270.93633740848139</v>
      </c>
    </row>
    <row r="763" spans="1:6">
      <c r="A763" s="9">
        <v>44473</v>
      </c>
      <c r="B763" s="3">
        <v>189.8232244803234</v>
      </c>
      <c r="C763" s="3">
        <v>398.07148512104646</v>
      </c>
      <c r="D763" s="3">
        <v>256.11772274585581</v>
      </c>
      <c r="E763" s="3">
        <v>381.61237981159644</v>
      </c>
      <c r="F763" s="2">
        <v>224.28228980854595</v>
      </c>
    </row>
    <row r="764" spans="1:6">
      <c r="A764" s="9">
        <v>44474</v>
      </c>
      <c r="B764" s="3">
        <v>217.26743235015996</v>
      </c>
      <c r="C764" s="3">
        <v>518.42681706324959</v>
      </c>
      <c r="D764" s="3">
        <v>417.20095831854201</v>
      </c>
      <c r="E764" s="3">
        <v>377.0188380253831</v>
      </c>
      <c r="F764" s="2">
        <v>365.34287919954727</v>
      </c>
    </row>
    <row r="765" spans="1:6">
      <c r="A765" s="9">
        <v>44475</v>
      </c>
      <c r="B765" s="3">
        <v>138.87062799839478</v>
      </c>
      <c r="C765" s="3">
        <v>396.63173007638676</v>
      </c>
      <c r="D765" s="3">
        <v>311.74648430518727</v>
      </c>
      <c r="E765" s="3">
        <v>305.05883062735899</v>
      </c>
      <c r="F765" s="2">
        <v>272.99639630605247</v>
      </c>
    </row>
    <row r="766" spans="1:6">
      <c r="A766" s="9">
        <v>44476</v>
      </c>
      <c r="B766" s="3">
        <v>76.400870045057331</v>
      </c>
      <c r="C766" s="3">
        <v>269.78999636273534</v>
      </c>
      <c r="D766" s="3">
        <v>183.88438450255907</v>
      </c>
      <c r="E766" s="3">
        <v>267.84006274392863</v>
      </c>
      <c r="F766" s="2">
        <v>161.027555508891</v>
      </c>
    </row>
    <row r="767" spans="1:6">
      <c r="A767" s="9">
        <v>44477</v>
      </c>
      <c r="B767" s="3">
        <v>60.21368426462562</v>
      </c>
      <c r="C767" s="3">
        <v>338.93758896033881</v>
      </c>
      <c r="D767" s="3">
        <v>298.4523386078522</v>
      </c>
      <c r="E767" s="3">
        <v>334.825395324753</v>
      </c>
      <c r="F767" s="2">
        <v>261.35471291889615</v>
      </c>
    </row>
    <row r="768" spans="1:6">
      <c r="A768" s="9">
        <v>44478</v>
      </c>
      <c r="B768" s="3">
        <v>52.773150491237537</v>
      </c>
      <c r="C768" s="3">
        <v>185.12663858039045</v>
      </c>
      <c r="D768" s="3">
        <v>142.66661509251361</v>
      </c>
      <c r="E768" s="3">
        <v>246.58520638197973</v>
      </c>
      <c r="F768" s="2">
        <v>124.93315483651418</v>
      </c>
    </row>
    <row r="769" spans="1:6">
      <c r="A769" s="9">
        <v>44479</v>
      </c>
      <c r="B769" s="3">
        <v>2.8198895226843659</v>
      </c>
      <c r="C769" s="3">
        <v>15.98090585640071</v>
      </c>
      <c r="D769" s="3">
        <v>0.92276329538647661</v>
      </c>
      <c r="E769" s="3">
        <v>4.8020821386818442</v>
      </c>
      <c r="F769" s="2">
        <v>0.80806381776993763</v>
      </c>
    </row>
    <row r="770" spans="1:6">
      <c r="A770" s="9">
        <v>44480</v>
      </c>
      <c r="B770" s="3">
        <v>6.2888712402908205</v>
      </c>
      <c r="C770" s="3">
        <v>9.8431814014064525</v>
      </c>
      <c r="D770" s="3">
        <v>0.47427440454007042</v>
      </c>
      <c r="E770" s="3">
        <v>38.085852603355335</v>
      </c>
      <c r="F770" s="2">
        <v>0.41532209605573966</v>
      </c>
    </row>
    <row r="771" spans="1:6">
      <c r="A771" s="9">
        <v>44481</v>
      </c>
      <c r="B771" s="3">
        <v>22.906496206745505</v>
      </c>
      <c r="C771" s="3">
        <v>94.621949048880253</v>
      </c>
      <c r="D771" s="3">
        <v>74.992321214802615</v>
      </c>
      <c r="E771" s="3">
        <v>227.53264376588106</v>
      </c>
      <c r="F771" s="2">
        <v>65.670775687802646</v>
      </c>
    </row>
    <row r="772" spans="1:6">
      <c r="A772" s="9">
        <v>44482</v>
      </c>
      <c r="B772" s="3">
        <v>4.6312888129245078</v>
      </c>
      <c r="C772" s="3">
        <v>30.467323620343674</v>
      </c>
      <c r="D772" s="3">
        <v>13.875223671993862</v>
      </c>
      <c r="E772" s="3">
        <v>174.65253647135989</v>
      </c>
      <c r="F772" s="2">
        <v>12.150533369565025</v>
      </c>
    </row>
    <row r="773" spans="1:6">
      <c r="A773" s="9">
        <v>44483</v>
      </c>
      <c r="B773" s="3">
        <v>12.996083565875509</v>
      </c>
      <c r="C773" s="3">
        <v>6.1139416613738486</v>
      </c>
      <c r="D773" s="3">
        <v>7.695065085957431E-2</v>
      </c>
      <c r="E773" s="3">
        <v>46.750938473908285</v>
      </c>
      <c r="F773" s="2">
        <v>6.7385684957729231E-2</v>
      </c>
    </row>
    <row r="774" spans="1:6">
      <c r="A774" s="9">
        <v>44484</v>
      </c>
      <c r="B774" s="3">
        <v>7.1633952208381242</v>
      </c>
      <c r="C774" s="3">
        <v>7.2767541423254718</v>
      </c>
      <c r="D774" s="3">
        <v>1.1364808208706241</v>
      </c>
      <c r="E774" s="3">
        <v>81.324077248083242</v>
      </c>
      <c r="F774" s="2">
        <v>0.99521625483640552</v>
      </c>
    </row>
    <row r="775" spans="1:6">
      <c r="A775" s="9">
        <v>44485</v>
      </c>
      <c r="B775" s="3">
        <v>5.4661209556858212</v>
      </c>
      <c r="C775" s="3">
        <v>38.863413187111533</v>
      </c>
      <c r="D775" s="3">
        <v>18.373695912698118</v>
      </c>
      <c r="E775" s="3">
        <v>136.79976491791163</v>
      </c>
      <c r="F775" s="2">
        <v>16.089845510749743</v>
      </c>
    </row>
    <row r="776" spans="1:6">
      <c r="A776" s="9">
        <v>44486</v>
      </c>
      <c r="B776" s="3">
        <v>55.651217808190758</v>
      </c>
      <c r="C776" s="3">
        <v>119.83240771995467</v>
      </c>
      <c r="D776" s="3">
        <v>88.100947586810605</v>
      </c>
      <c r="E776" s="3">
        <v>190.42086990005916</v>
      </c>
      <c r="F776" s="2">
        <v>77.149999801770051</v>
      </c>
    </row>
    <row r="777" spans="1:6">
      <c r="A777" s="9">
        <v>44487</v>
      </c>
      <c r="B777" s="3">
        <v>157.27652321135076</v>
      </c>
      <c r="C777" s="3">
        <v>244.63913683910755</v>
      </c>
      <c r="D777" s="3">
        <v>215.32221064326066</v>
      </c>
      <c r="E777" s="3">
        <v>255.1796081347444</v>
      </c>
      <c r="F777" s="2">
        <v>188.55765986030337</v>
      </c>
    </row>
    <row r="778" spans="1:6">
      <c r="A778" s="9">
        <v>44488</v>
      </c>
      <c r="B778" s="3">
        <v>37.678938835678331</v>
      </c>
      <c r="C778" s="3">
        <v>117.73186189823973</v>
      </c>
      <c r="D778" s="3">
        <v>77.000198055702228</v>
      </c>
      <c r="E778" s="3">
        <v>187.08176192944083</v>
      </c>
      <c r="F778" s="2">
        <v>67.429073437378449</v>
      </c>
    </row>
    <row r="779" spans="1:6">
      <c r="A779" s="9">
        <v>44489</v>
      </c>
      <c r="B779" s="3">
        <v>2.1828226590884161</v>
      </c>
      <c r="C779" s="3">
        <v>15.185928578813261</v>
      </c>
      <c r="D779" s="3">
        <v>8.8889367944603475</v>
      </c>
      <c r="E779" s="3">
        <v>9.4665584200360033</v>
      </c>
      <c r="F779" s="2">
        <v>7.7840419509089269</v>
      </c>
    </row>
    <row r="780" spans="1:6">
      <c r="A780" s="9">
        <v>44490</v>
      </c>
      <c r="B780" s="3">
        <v>1.8576790967436843</v>
      </c>
      <c r="C780" s="3">
        <v>18.717339673758932</v>
      </c>
      <c r="D780" s="3">
        <v>6.1091255688785351</v>
      </c>
      <c r="E780" s="3">
        <v>81.64889763816268</v>
      </c>
      <c r="F780" s="2">
        <v>5.3497612606669334</v>
      </c>
    </row>
    <row r="781" spans="1:6">
      <c r="A781" s="9">
        <v>44491</v>
      </c>
      <c r="B781" s="3">
        <v>0.69647980625912842</v>
      </c>
      <c r="C781" s="3">
        <v>67.242565290154062</v>
      </c>
      <c r="D781" s="3">
        <v>28.848459625899235</v>
      </c>
      <c r="E781" s="3">
        <v>196.63320030314139</v>
      </c>
      <c r="F781" s="2">
        <v>25.26259609439996</v>
      </c>
    </row>
    <row r="782" spans="1:6">
      <c r="A782" s="9">
        <v>44492</v>
      </c>
      <c r="B782" s="3">
        <v>111.60630656579271</v>
      </c>
      <c r="C782" s="3">
        <v>169.16341186814932</v>
      </c>
      <c r="D782" s="3">
        <v>117.56848663600293</v>
      </c>
      <c r="E782" s="3">
        <v>292.45796622323689</v>
      </c>
      <c r="F782" s="2">
        <v>102.95472374714777</v>
      </c>
    </row>
    <row r="783" spans="1:6">
      <c r="A783" s="9">
        <v>44493</v>
      </c>
      <c r="B783" s="3">
        <v>110.52160916706218</v>
      </c>
      <c r="C783" s="3">
        <v>181.17611178362827</v>
      </c>
      <c r="D783" s="3">
        <v>141.03694839286965</v>
      </c>
      <c r="E783" s="3">
        <v>254.26700405759985</v>
      </c>
      <c r="F783" s="2">
        <v>123.50605570763595</v>
      </c>
    </row>
    <row r="784" spans="1:6">
      <c r="A784" s="9">
        <v>44494</v>
      </c>
      <c r="B784" s="3">
        <v>48.960310897526988</v>
      </c>
      <c r="C784" s="3">
        <v>74.451930820940291</v>
      </c>
      <c r="D784" s="3">
        <v>31.864201320099241</v>
      </c>
      <c r="E784" s="3">
        <v>155.82326030447123</v>
      </c>
      <c r="F784" s="2">
        <v>27.903481096010907</v>
      </c>
    </row>
    <row r="785" spans="1:6">
      <c r="A785" s="9">
        <v>44495</v>
      </c>
      <c r="B785" s="3">
        <v>18.178316335290958</v>
      </c>
      <c r="C785" s="3">
        <v>24.434391148651248</v>
      </c>
      <c r="D785" s="3">
        <v>11.336308367273183</v>
      </c>
      <c r="E785" s="3">
        <v>75.128182622321233</v>
      </c>
      <c r="F785" s="2">
        <v>9.927205237221127</v>
      </c>
    </row>
    <row r="786" spans="1:6">
      <c r="A786" s="9">
        <v>44496</v>
      </c>
      <c r="B786" s="3">
        <v>1.2794408364542122</v>
      </c>
      <c r="C786" s="3">
        <v>1.3261282282622091</v>
      </c>
      <c r="D786" s="3">
        <v>0.47549234898595227</v>
      </c>
      <c r="E786" s="3">
        <v>46.889833794558605</v>
      </c>
      <c r="F786" s="2">
        <v>0.41638865000699843</v>
      </c>
    </row>
    <row r="787" spans="1:6">
      <c r="A787" s="9">
        <v>44497</v>
      </c>
      <c r="B787" s="3">
        <v>4.1651936255780706</v>
      </c>
      <c r="C787" s="3">
        <v>4.4570874187456537</v>
      </c>
      <c r="D787" s="3">
        <v>4.643138140692014</v>
      </c>
      <c r="E787" s="3">
        <v>5.9143481346457589</v>
      </c>
      <c r="F787" s="2">
        <v>4.0659960698039965</v>
      </c>
    </row>
    <row r="788" spans="1:6">
      <c r="A788" s="9">
        <v>44498</v>
      </c>
      <c r="B788" s="3">
        <v>5.0003849427316096</v>
      </c>
      <c r="C788" s="3">
        <v>10.709216216037426</v>
      </c>
      <c r="D788" s="3">
        <v>4.5048400672296642</v>
      </c>
      <c r="E788" s="3">
        <v>55.759351446400629</v>
      </c>
      <c r="F788" s="2">
        <v>3.944888446873017</v>
      </c>
    </row>
    <row r="789" spans="1:6">
      <c r="A789" s="9">
        <v>44499</v>
      </c>
      <c r="B789" s="3">
        <v>3.2594913816826989</v>
      </c>
      <c r="C789" s="3">
        <v>17.683017604573578</v>
      </c>
      <c r="D789" s="3">
        <v>16.461901135886272</v>
      </c>
      <c r="E789" s="3">
        <v>129.68884503112329</v>
      </c>
      <c r="F789" s="2">
        <v>14.415686824695609</v>
      </c>
    </row>
    <row r="790" spans="1:6">
      <c r="A790" s="9">
        <v>44500</v>
      </c>
      <c r="B790" s="3">
        <v>9.9642739908705327</v>
      </c>
      <c r="C790" s="3">
        <v>1.5089043180852588</v>
      </c>
      <c r="D790" s="3">
        <v>11.63903242568594</v>
      </c>
      <c r="E790" s="3">
        <v>6.3701052581265136</v>
      </c>
      <c r="F790" s="2">
        <v>10.192300695173179</v>
      </c>
    </row>
    <row r="791" spans="1:6">
      <c r="A791" s="9">
        <v>44501</v>
      </c>
      <c r="B791" s="3">
        <v>2.109705003319057</v>
      </c>
      <c r="C791" s="3">
        <v>2.3239964148817935</v>
      </c>
      <c r="D791" s="3">
        <v>0.62801418696975009</v>
      </c>
      <c r="E791" s="3">
        <v>22.237988128221833</v>
      </c>
      <c r="F791" s="2">
        <v>0.54995202352941019</v>
      </c>
    </row>
    <row r="792" spans="1:6">
      <c r="A792" s="9">
        <v>44502</v>
      </c>
      <c r="B792" s="3">
        <v>2.3493804662735687</v>
      </c>
      <c r="C792" s="3">
        <v>2.2241918259637421</v>
      </c>
      <c r="D792" s="3">
        <v>0.48002905484796504</v>
      </c>
      <c r="E792" s="3">
        <v>11.314765375489506</v>
      </c>
      <c r="F792" s="2">
        <v>0.42036144333036302</v>
      </c>
    </row>
    <row r="793" spans="1:6">
      <c r="A793" s="9">
        <v>44503</v>
      </c>
      <c r="B793" s="3">
        <v>12.364743979325794</v>
      </c>
      <c r="C793" s="3">
        <v>42.802090277612542</v>
      </c>
      <c r="D793" s="3">
        <v>19.565280755692598</v>
      </c>
      <c r="E793" s="3">
        <v>71.438283624689916</v>
      </c>
      <c r="F793" s="2">
        <v>17.133316357760009</v>
      </c>
    </row>
    <row r="794" spans="1:6">
      <c r="A794" s="9">
        <v>44504</v>
      </c>
      <c r="B794" s="3">
        <v>35.683428667736138</v>
      </c>
      <c r="C794" s="3">
        <v>107.98859180954483</v>
      </c>
      <c r="D794" s="3">
        <v>72.254054914935637</v>
      </c>
      <c r="E794" s="3">
        <v>238.60690035866625</v>
      </c>
      <c r="F794" s="2">
        <v>63.272875889009143</v>
      </c>
    </row>
    <row r="795" spans="1:6">
      <c r="A795" s="9">
        <v>44505</v>
      </c>
      <c r="B795" s="3">
        <v>148.03916139531324</v>
      </c>
      <c r="C795" s="3">
        <v>243.3813342306189</v>
      </c>
      <c r="D795" s="3">
        <v>218.83366682743141</v>
      </c>
      <c r="E795" s="3">
        <v>292.3247425113704</v>
      </c>
      <c r="F795" s="2">
        <v>191.63264204078169</v>
      </c>
    </row>
    <row r="796" spans="1:6">
      <c r="A796" s="9">
        <v>44506</v>
      </c>
      <c r="B796" s="3">
        <v>188.03748814411082</v>
      </c>
      <c r="C796" s="3">
        <v>361.65983377854991</v>
      </c>
      <c r="D796" s="3">
        <v>306.16366419270514</v>
      </c>
      <c r="E796" s="3">
        <v>322.890948554641</v>
      </c>
      <c r="F796" s="2">
        <v>268.10752073355189</v>
      </c>
    </row>
    <row r="797" spans="1:6">
      <c r="A797" s="9">
        <v>44507</v>
      </c>
      <c r="B797" s="3">
        <v>51.253518170664627</v>
      </c>
      <c r="C797" s="3">
        <v>52.425785803164487</v>
      </c>
      <c r="D797" s="3">
        <v>27.419088854320631</v>
      </c>
      <c r="E797" s="3">
        <v>85.534422376733843</v>
      </c>
      <c r="F797" s="2">
        <v>24.010896109728577</v>
      </c>
    </row>
    <row r="798" spans="1:6">
      <c r="A798" s="9">
        <v>44508</v>
      </c>
      <c r="B798" s="3">
        <v>174.46731023508525</v>
      </c>
      <c r="C798" s="3">
        <v>219.83037782877184</v>
      </c>
      <c r="D798" s="3">
        <v>127.25836711740182</v>
      </c>
      <c r="E798" s="3">
        <v>218.30088630955802</v>
      </c>
      <c r="F798" s="2">
        <v>111.44015208470877</v>
      </c>
    </row>
    <row r="799" spans="1:6">
      <c r="A799" s="9">
        <v>44509</v>
      </c>
      <c r="B799" s="3">
        <v>30.09803031198398</v>
      </c>
      <c r="C799" s="3">
        <v>47.718722973690085</v>
      </c>
      <c r="D799" s="3">
        <v>14.805069876534475</v>
      </c>
      <c r="E799" s="3">
        <v>74.374476878751366</v>
      </c>
      <c r="F799" s="2">
        <v>12.96479969088124</v>
      </c>
    </row>
    <row r="800" spans="1:6">
      <c r="A800" s="9">
        <v>44510</v>
      </c>
      <c r="B800" s="3">
        <v>219.17903534748319</v>
      </c>
      <c r="C800" s="3">
        <v>372.94359480994353</v>
      </c>
      <c r="D800" s="3">
        <v>280.28076218880102</v>
      </c>
      <c r="E800" s="3">
        <v>284.9719911754666</v>
      </c>
      <c r="F800" s="2">
        <v>245.44186344873307</v>
      </c>
    </row>
  </sheetData>
  <mergeCells count="1">
    <mergeCell ref="C1:F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47288-21C0-40FC-8DE9-E5E4DE6020B4}">
  <sheetPr codeName="Sheet3"/>
  <dimension ref="A1:AB804"/>
  <sheetViews>
    <sheetView workbookViewId="0">
      <pane xSplit="1" ySplit="4" topLeftCell="H5" activePane="bottomRight" state="frozen"/>
      <selection pane="topRight" activeCell="B1" sqref="B1"/>
      <selection pane="bottomLeft" activeCell="A5" sqref="A5"/>
      <selection pane="bottomRight" activeCell="U16" sqref="U16"/>
    </sheetView>
  </sheetViews>
  <sheetFormatPr defaultRowHeight="13.8"/>
  <cols>
    <col min="1" max="1" width="16.33203125" customWidth="1"/>
    <col min="7" max="7" width="10.44140625" customWidth="1"/>
    <col min="28" max="28" width="14.33203125" style="23" customWidth="1"/>
  </cols>
  <sheetData>
    <row r="1" spans="1:28">
      <c r="A1" s="7"/>
      <c r="B1" s="42"/>
      <c r="C1" s="42"/>
      <c r="D1" s="42"/>
      <c r="E1" s="42"/>
      <c r="F1" s="42"/>
      <c r="G1" s="44" t="s">
        <v>15</v>
      </c>
      <c r="H1" s="47" t="s">
        <v>16</v>
      </c>
      <c r="I1" s="41"/>
      <c r="J1" s="41"/>
      <c r="K1" s="41"/>
      <c r="L1" s="41"/>
      <c r="M1" s="41"/>
      <c r="N1" s="41"/>
      <c r="O1" s="41"/>
      <c r="P1" s="41"/>
      <c r="Q1" s="45" t="s">
        <v>67</v>
      </c>
      <c r="R1" s="45"/>
      <c r="S1" s="45"/>
      <c r="T1" s="45"/>
      <c r="U1" s="45"/>
      <c r="V1" s="45"/>
      <c r="W1" s="45"/>
      <c r="X1" s="45"/>
      <c r="Y1" s="11" t="s">
        <v>70</v>
      </c>
    </row>
    <row r="2" spans="1:28" ht="16.8">
      <c r="A2" s="1" t="s">
        <v>0</v>
      </c>
      <c r="B2" s="27"/>
      <c r="C2" s="5"/>
      <c r="D2" s="5"/>
      <c r="E2" s="5" t="s">
        <v>55</v>
      </c>
      <c r="F2" s="5"/>
      <c r="G2" s="44"/>
      <c r="H2" s="41"/>
      <c r="I2" s="41"/>
      <c r="J2" s="41"/>
      <c r="K2" s="41"/>
      <c r="L2" s="41"/>
      <c r="M2" s="41"/>
      <c r="N2" s="41"/>
      <c r="O2" s="41"/>
      <c r="P2" s="41"/>
      <c r="Q2" s="43" t="s">
        <v>11</v>
      </c>
      <c r="R2" s="43"/>
      <c r="S2" s="43"/>
      <c r="T2" s="43"/>
      <c r="U2" s="43" t="s">
        <v>12</v>
      </c>
      <c r="V2" s="43"/>
      <c r="W2" s="43"/>
      <c r="X2" s="43"/>
      <c r="Y2" s="12">
        <v>3</v>
      </c>
    </row>
    <row r="3" spans="1:28" ht="19.95" customHeight="1">
      <c r="A3" s="1"/>
      <c r="B3" s="5">
        <v>3</v>
      </c>
      <c r="C3" s="5">
        <v>7</v>
      </c>
      <c r="D3" s="5">
        <v>8</v>
      </c>
      <c r="E3" s="5">
        <v>5</v>
      </c>
      <c r="F3" s="5">
        <v>6</v>
      </c>
      <c r="G3" s="44"/>
      <c r="H3" s="41"/>
      <c r="I3" s="41"/>
      <c r="J3" s="41"/>
      <c r="K3" s="41"/>
      <c r="L3" s="41"/>
      <c r="M3" s="41"/>
      <c r="N3" s="41"/>
      <c r="O3" s="41"/>
      <c r="P3" s="41"/>
      <c r="Q3" s="43" t="s">
        <v>72</v>
      </c>
      <c r="R3" s="43"/>
      <c r="S3" s="43"/>
      <c r="T3" s="43"/>
      <c r="U3" s="43"/>
      <c r="V3" s="43"/>
      <c r="W3" s="43"/>
      <c r="X3" s="43"/>
      <c r="Y3" s="43"/>
      <c r="Z3" s="46" t="s">
        <v>55</v>
      </c>
      <c r="AA3" s="46"/>
      <c r="AB3" s="46"/>
    </row>
    <row r="4" spans="1:28" ht="41.4">
      <c r="A4" s="6" t="s">
        <v>1</v>
      </c>
      <c r="B4" s="1">
        <v>3.8000000000000002E-4</v>
      </c>
      <c r="C4" s="1">
        <v>1.9599999999999999E-3</v>
      </c>
      <c r="D4" s="1">
        <v>1.9599999999999999E-3</v>
      </c>
      <c r="E4" s="1">
        <v>3.0100000000000001E-3</v>
      </c>
      <c r="F4" s="1">
        <v>3.0100000000000001E-3</v>
      </c>
      <c r="G4" s="14" t="s">
        <v>13</v>
      </c>
      <c r="H4" s="15" t="s">
        <v>2</v>
      </c>
      <c r="I4" s="16" t="s">
        <v>3</v>
      </c>
      <c r="J4" s="16" t="s">
        <v>4</v>
      </c>
      <c r="K4" s="16" t="s">
        <v>5</v>
      </c>
      <c r="L4" s="15" t="s">
        <v>6</v>
      </c>
      <c r="M4" s="15" t="s">
        <v>7</v>
      </c>
      <c r="N4" s="16" t="s">
        <v>8</v>
      </c>
      <c r="O4" s="16" t="s">
        <v>9</v>
      </c>
      <c r="P4" s="17" t="s">
        <v>14</v>
      </c>
      <c r="Q4" s="1">
        <v>1</v>
      </c>
      <c r="R4" s="1">
        <v>2</v>
      </c>
      <c r="S4" s="1">
        <v>3</v>
      </c>
      <c r="T4" s="1">
        <v>4</v>
      </c>
      <c r="U4" s="1">
        <v>5</v>
      </c>
      <c r="V4" s="1">
        <v>6</v>
      </c>
      <c r="W4" s="1">
        <v>7</v>
      </c>
      <c r="X4" s="1">
        <v>8</v>
      </c>
      <c r="Y4" s="13" t="s">
        <v>10</v>
      </c>
      <c r="Z4" s="26" t="s">
        <v>20</v>
      </c>
      <c r="AA4" s="26" t="s">
        <v>21</v>
      </c>
      <c r="AB4" s="26" t="s">
        <v>68</v>
      </c>
    </row>
    <row r="5" spans="1:28">
      <c r="A5" s="8">
        <v>43712</v>
      </c>
      <c r="B5" s="1"/>
      <c r="C5" s="1"/>
      <c r="D5" s="1"/>
      <c r="E5" s="1"/>
      <c r="F5" s="1"/>
      <c r="G5" s="19">
        <v>43712</v>
      </c>
      <c r="H5" s="20">
        <v>184.5</v>
      </c>
      <c r="I5" s="20">
        <v>71.618750000000006</v>
      </c>
      <c r="J5" s="20">
        <v>22.220833333333335</v>
      </c>
      <c r="K5" s="20">
        <v>0</v>
      </c>
      <c r="L5" s="20">
        <v>159.16666666666666</v>
      </c>
      <c r="M5" s="20">
        <v>3.2291666666666665</v>
      </c>
      <c r="N5" s="20">
        <v>6.25E-2</v>
      </c>
      <c r="O5" s="20">
        <v>16.360416666666666</v>
      </c>
      <c r="P5" s="10">
        <v>0.88186226544367818</v>
      </c>
      <c r="Q5" s="21">
        <v>0.25610416666666697</v>
      </c>
      <c r="R5" s="21">
        <v>0.34916666666666679</v>
      </c>
      <c r="S5" s="21">
        <v>0.43210416666666673</v>
      </c>
      <c r="T5" s="21">
        <v>0.42829166666666657</v>
      </c>
      <c r="U5" s="21">
        <v>0.43002083333333313</v>
      </c>
      <c r="V5" s="21">
        <v>0.31618750000000001</v>
      </c>
      <c r="W5" s="21">
        <v>0.32089583333333355</v>
      </c>
      <c r="X5" s="21">
        <v>0.28377083333333331</v>
      </c>
      <c r="Y5" s="21">
        <v>0.12792361111111114</v>
      </c>
      <c r="Z5" s="23">
        <f>AVERAGE(Q5,U5)</f>
        <v>0.34306250000000005</v>
      </c>
      <c r="AA5" s="23">
        <f>AVERAGE(R5:T5,V5:X5)</f>
        <v>0.35506944444444449</v>
      </c>
      <c r="AB5" s="23">
        <f>(Z5*10+AA5*45)/55</f>
        <v>0.35288636363636366</v>
      </c>
    </row>
    <row r="6" spans="1:28">
      <c r="A6" s="9">
        <v>43713</v>
      </c>
      <c r="B6" s="3">
        <v>156.67399639690964</v>
      </c>
      <c r="C6" s="3">
        <v>162.82053118589448</v>
      </c>
      <c r="D6" s="3">
        <v>238.22503262457087</v>
      </c>
      <c r="E6" s="3">
        <v>255.22930799751802</v>
      </c>
      <c r="F6" s="3">
        <v>170.0535629535508</v>
      </c>
      <c r="G6" s="19">
        <v>43713</v>
      </c>
      <c r="H6" s="20">
        <v>182.25</v>
      </c>
      <c r="I6" s="20">
        <v>68.768750000000011</v>
      </c>
      <c r="J6" s="20">
        <v>23.229166666666671</v>
      </c>
      <c r="K6" s="20">
        <v>0</v>
      </c>
      <c r="L6" s="20">
        <v>142.66666666666666</v>
      </c>
      <c r="M6" s="20">
        <v>4.916666666666667</v>
      </c>
      <c r="N6" s="20">
        <v>0.33333333333333331</v>
      </c>
      <c r="O6" s="20">
        <v>16.922916666666673</v>
      </c>
      <c r="P6" s="10">
        <v>0.96945504132439053</v>
      </c>
      <c r="Q6" s="21">
        <v>0.25387500000000002</v>
      </c>
      <c r="R6" s="21">
        <v>0.34710416666666655</v>
      </c>
      <c r="S6" s="21">
        <v>0.43006249999999963</v>
      </c>
      <c r="T6" s="21">
        <v>0.42489583333333297</v>
      </c>
      <c r="U6" s="21">
        <v>0.42829166666666713</v>
      </c>
      <c r="V6" s="21">
        <v>0.31452083333333342</v>
      </c>
      <c r="W6" s="21">
        <v>0.31787500000000013</v>
      </c>
      <c r="X6" s="21">
        <v>0.28110416666666638</v>
      </c>
      <c r="Y6" s="21">
        <v>0.12035416666666669</v>
      </c>
      <c r="Z6" s="23">
        <f>AVERAGE(Q6,U6)</f>
        <v>0.34108333333333357</v>
      </c>
      <c r="AA6" s="23">
        <f>AVERAGE(R6:T6,V6:X6)</f>
        <v>0.35259374999999982</v>
      </c>
      <c r="AB6" s="23">
        <f t="shared" ref="AB6:AB69" si="0">(Z6*10+AA6*45)/55</f>
        <v>0.35050094696969686</v>
      </c>
    </row>
    <row r="7" spans="1:28">
      <c r="A7" s="9">
        <v>43714</v>
      </c>
      <c r="B7" s="3">
        <v>139.86930031306602</v>
      </c>
      <c r="C7" s="3">
        <v>99.771387173991926</v>
      </c>
      <c r="D7" s="3">
        <v>152.23788136461275</v>
      </c>
      <c r="E7" s="3">
        <v>172.95997856254013</v>
      </c>
      <c r="F7" s="3">
        <v>110.17258839902671</v>
      </c>
      <c r="G7" s="19">
        <v>43714</v>
      </c>
      <c r="H7" s="20">
        <v>140.58333333333334</v>
      </c>
      <c r="I7" s="20">
        <v>80.458333333333357</v>
      </c>
      <c r="J7" s="20">
        <v>22.091666666666658</v>
      </c>
      <c r="K7" s="20">
        <v>15.899999999999999</v>
      </c>
      <c r="L7" s="20">
        <v>137</v>
      </c>
      <c r="M7" s="20">
        <v>3.75</v>
      </c>
      <c r="N7" s="20">
        <v>8.3333333333333329E-2</v>
      </c>
      <c r="O7" s="20">
        <v>18.289583333333336</v>
      </c>
      <c r="P7" s="10">
        <v>0.59260902481603017</v>
      </c>
      <c r="Q7" s="21">
        <v>0.29885416666666659</v>
      </c>
      <c r="R7" s="21">
        <v>0.34593750000000006</v>
      </c>
      <c r="S7" s="21">
        <v>0.42925000000000008</v>
      </c>
      <c r="T7" s="21">
        <v>0.42370833333333308</v>
      </c>
      <c r="U7" s="21">
        <v>0.43154166666666649</v>
      </c>
      <c r="V7" s="21">
        <v>0.31474999999999997</v>
      </c>
      <c r="W7" s="21">
        <v>0.31589583333333349</v>
      </c>
      <c r="X7" s="21">
        <v>0.27999999999999986</v>
      </c>
      <c r="Y7" s="21">
        <v>0.19688888888888889</v>
      </c>
      <c r="Z7" s="23">
        <f>AVERAGE(Q7,U7)</f>
        <v>0.36519791666666657</v>
      </c>
      <c r="AA7" s="23">
        <f>AVERAGE(R7:T7,V7:X7)</f>
        <v>0.35159027777777779</v>
      </c>
      <c r="AB7" s="23">
        <f t="shared" si="0"/>
        <v>0.35406439393939393</v>
      </c>
    </row>
    <row r="8" spans="1:28">
      <c r="A8" s="9">
        <v>43715</v>
      </c>
      <c r="B8" s="3">
        <v>154.15180629326869</v>
      </c>
      <c r="C8" s="3">
        <v>129.30236246327354</v>
      </c>
      <c r="D8" s="3">
        <v>157.94738533489172</v>
      </c>
      <c r="E8" s="3">
        <v>178.60610113283565</v>
      </c>
      <c r="F8" s="3">
        <v>86.980453573685168</v>
      </c>
      <c r="G8" s="19">
        <v>43715</v>
      </c>
      <c r="H8" s="20">
        <v>144.79166666666666</v>
      </c>
      <c r="I8" s="20">
        <v>80.443749999999994</v>
      </c>
      <c r="J8" s="20">
        <v>22.537500000000005</v>
      </c>
      <c r="K8" s="20">
        <v>6.3000000000000007</v>
      </c>
      <c r="L8" s="20">
        <v>136.66666666666666</v>
      </c>
      <c r="M8" s="20">
        <v>7.166666666666667</v>
      </c>
      <c r="N8" s="20">
        <v>0.66666666666666663</v>
      </c>
      <c r="O8" s="20">
        <v>18.820833333333336</v>
      </c>
      <c r="P8" s="10">
        <v>0.58873222368155165</v>
      </c>
      <c r="Q8" s="21">
        <v>0.28904166666666681</v>
      </c>
      <c r="R8" s="21">
        <v>0.34724999999999989</v>
      </c>
      <c r="S8" s="21">
        <v>0.43097916666666647</v>
      </c>
      <c r="T8" s="21">
        <v>0.42537499999999984</v>
      </c>
      <c r="U8" s="21">
        <v>0.43668749999999967</v>
      </c>
      <c r="V8" s="21">
        <v>0.31627083333333339</v>
      </c>
      <c r="W8" s="21">
        <v>0.31602083333333358</v>
      </c>
      <c r="X8" s="21">
        <v>0.27999999999999986</v>
      </c>
      <c r="Y8" s="21">
        <v>0.2050694444444445</v>
      </c>
      <c r="Z8" s="23">
        <f>AVERAGE(Q8,U8)</f>
        <v>0.36286458333333327</v>
      </c>
      <c r="AA8" s="23">
        <f>AVERAGE(R8:T8,V8:X8)</f>
        <v>0.35264930555555551</v>
      </c>
      <c r="AB8" s="23">
        <f t="shared" si="0"/>
        <v>0.35450662878787875</v>
      </c>
    </row>
    <row r="9" spans="1:28">
      <c r="A9" s="9">
        <v>43716</v>
      </c>
      <c r="B9" s="3">
        <v>59.350857126859921</v>
      </c>
      <c r="C9" s="3">
        <v>29.589802536156409</v>
      </c>
      <c r="D9" s="3">
        <v>24.14487707050802</v>
      </c>
      <c r="E9" s="3">
        <v>52.998638122448696</v>
      </c>
      <c r="F9" s="3">
        <v>63.133772128052016</v>
      </c>
      <c r="G9" s="19">
        <v>43716</v>
      </c>
      <c r="H9" s="20">
        <v>54.354166666666664</v>
      </c>
      <c r="I9" s="20">
        <v>90.585416666666674</v>
      </c>
      <c r="J9" s="20">
        <v>21.299999999999994</v>
      </c>
      <c r="K9" s="20">
        <v>49.699999999999996</v>
      </c>
      <c r="L9" s="20">
        <v>122.47916666666667</v>
      </c>
      <c r="M9" s="20">
        <v>11.4375</v>
      </c>
      <c r="N9" s="20">
        <v>2.625</v>
      </c>
      <c r="O9" s="20">
        <v>19.685416666666661</v>
      </c>
      <c r="P9" s="10">
        <v>0.24241613472018383</v>
      </c>
      <c r="Q9" s="21">
        <v>0.38635416666666661</v>
      </c>
      <c r="R9" s="21">
        <v>0.37945833333333318</v>
      </c>
      <c r="S9" s="21">
        <v>0.45279166666666693</v>
      </c>
      <c r="T9" s="21">
        <v>0.44766666666666682</v>
      </c>
      <c r="U9" s="21">
        <v>0.4847708333333336</v>
      </c>
      <c r="V9" s="21">
        <v>0.42904166666666654</v>
      </c>
      <c r="W9" s="21">
        <v>0.35604166666666676</v>
      </c>
      <c r="X9" s="21">
        <v>0.28077083333333358</v>
      </c>
      <c r="Y9" s="21">
        <v>0.26509722222222226</v>
      </c>
      <c r="Z9" s="23">
        <f>AVERAGE(Q9,U9)</f>
        <v>0.43556250000000007</v>
      </c>
      <c r="AA9" s="23">
        <f>AVERAGE(R9:T9,V9:X9)</f>
        <v>0.39096180555555565</v>
      </c>
      <c r="AB9" s="23">
        <f t="shared" si="0"/>
        <v>0.3990710227272728</v>
      </c>
    </row>
    <row r="10" spans="1:28">
      <c r="A10" s="9">
        <v>43717</v>
      </c>
      <c r="B10" s="3">
        <v>166.02280909588148</v>
      </c>
      <c r="C10" s="3">
        <v>77.0236581710314</v>
      </c>
      <c r="D10" s="3">
        <v>114.93427161047288</v>
      </c>
      <c r="E10" s="3">
        <v>80.166788937585537</v>
      </c>
      <c r="F10" s="3">
        <v>231.48488882658131</v>
      </c>
      <c r="G10" s="19">
        <v>43717</v>
      </c>
      <c r="H10" s="20">
        <v>101.22916666666667</v>
      </c>
      <c r="I10" s="20">
        <v>92.183333333333323</v>
      </c>
      <c r="J10" s="20">
        <v>20.220833333333335</v>
      </c>
      <c r="K10" s="20">
        <v>116.60000000000001</v>
      </c>
      <c r="L10" s="20">
        <v>120.89583333333333</v>
      </c>
      <c r="M10" s="20">
        <v>7.25</v>
      </c>
      <c r="N10" s="20">
        <v>0.70833333333333337</v>
      </c>
      <c r="O10" s="20">
        <v>18.860416666666669</v>
      </c>
      <c r="P10" s="10">
        <v>0.19833580748646221</v>
      </c>
      <c r="Q10" s="21">
        <v>0.49383333333333318</v>
      </c>
      <c r="R10" s="21">
        <v>0.56999999999999995</v>
      </c>
      <c r="S10" s="21">
        <v>0.60508333333333331</v>
      </c>
      <c r="T10" s="21">
        <v>0.63681249999999967</v>
      </c>
      <c r="U10" s="21">
        <v>0.61777083333333327</v>
      </c>
      <c r="V10" s="21">
        <v>0.53808333333333347</v>
      </c>
      <c r="W10" s="21">
        <v>0.49272916666666683</v>
      </c>
      <c r="X10" s="21">
        <v>0.44747916666666671</v>
      </c>
      <c r="Y10" s="21">
        <v>0.43150694444444437</v>
      </c>
      <c r="Z10" s="23">
        <f>AVERAGE(Q10,U10)</f>
        <v>0.55580208333333325</v>
      </c>
      <c r="AA10" s="23">
        <f>AVERAGE(R10:T10,V10:X10)</f>
        <v>0.54836458333333338</v>
      </c>
      <c r="AB10" s="23">
        <f t="shared" si="0"/>
        <v>0.54971685606060616</v>
      </c>
    </row>
    <row r="11" spans="1:28">
      <c r="A11" s="9">
        <v>43718</v>
      </c>
      <c r="B11" s="3">
        <v>135.31668242994456</v>
      </c>
      <c r="C11" s="3">
        <v>94.043411242799664</v>
      </c>
      <c r="D11" s="3">
        <v>131.53532069034236</v>
      </c>
      <c r="E11" s="3">
        <v>143.61073756381194</v>
      </c>
      <c r="F11" s="3">
        <v>138.30128216842445</v>
      </c>
      <c r="G11" s="19">
        <v>43718</v>
      </c>
      <c r="H11" s="20">
        <v>114.10416666666667</v>
      </c>
      <c r="I11" s="20">
        <v>90.752083333333317</v>
      </c>
      <c r="J11" s="20">
        <v>20.681250000000002</v>
      </c>
      <c r="K11" s="20">
        <v>7.7</v>
      </c>
      <c r="L11" s="20">
        <v>115.9375</v>
      </c>
      <c r="M11" s="20">
        <v>9.0833333333333339</v>
      </c>
      <c r="N11" s="20">
        <v>1.2708333333333333</v>
      </c>
      <c r="O11" s="20">
        <v>19.077083333333338</v>
      </c>
      <c r="P11" s="10">
        <v>0.23573704986871347</v>
      </c>
      <c r="Q11" s="21">
        <v>0.47243750000000001</v>
      </c>
      <c r="R11" s="21">
        <v>0.56989583333333338</v>
      </c>
      <c r="S11" s="21">
        <v>0.60054166666666675</v>
      </c>
      <c r="T11" s="21">
        <v>0.61754166666666654</v>
      </c>
      <c r="U11" s="21">
        <v>0.62239583333333315</v>
      </c>
      <c r="V11" s="21">
        <v>0.50866666666666671</v>
      </c>
      <c r="W11" s="21">
        <v>0.4781458333333331</v>
      </c>
      <c r="X11" s="21">
        <v>0.43577083333333327</v>
      </c>
      <c r="Y11" s="21">
        <v>0.28952083333333323</v>
      </c>
      <c r="Z11" s="23">
        <f>AVERAGE(Q11,U11)</f>
        <v>0.54741666666666655</v>
      </c>
      <c r="AA11" s="23">
        <f>AVERAGE(R11:T11,V11:X11)</f>
        <v>0.53509374999999992</v>
      </c>
      <c r="AB11" s="23">
        <f t="shared" si="0"/>
        <v>0.53733428030303021</v>
      </c>
    </row>
    <row r="12" spans="1:28">
      <c r="A12" s="9">
        <v>43719</v>
      </c>
      <c r="B12" s="3">
        <v>237.718340488889</v>
      </c>
      <c r="C12" s="3">
        <v>164.65576475375178</v>
      </c>
      <c r="D12" s="3">
        <v>153.77778541664404</v>
      </c>
      <c r="E12" s="3">
        <v>205.57406224994412</v>
      </c>
      <c r="F12" s="3">
        <v>246.2068972360774</v>
      </c>
      <c r="G12" s="19">
        <v>43719</v>
      </c>
      <c r="H12" s="20">
        <v>158.33333333333334</v>
      </c>
      <c r="I12" s="20">
        <v>84.372916666666654</v>
      </c>
      <c r="J12" s="20">
        <v>21.187500000000004</v>
      </c>
      <c r="K12" s="20">
        <v>2.3000000000000003</v>
      </c>
      <c r="L12" s="20">
        <v>129.77083333333334</v>
      </c>
      <c r="M12" s="20">
        <v>12.5625</v>
      </c>
      <c r="N12" s="20">
        <v>2.8333333333333335</v>
      </c>
      <c r="O12" s="20">
        <v>18.379166666666659</v>
      </c>
      <c r="P12" s="10">
        <v>0.41639100088324327</v>
      </c>
      <c r="Q12" s="21">
        <v>0.46116666666666656</v>
      </c>
      <c r="R12" s="21">
        <v>0.5635416666666665</v>
      </c>
      <c r="S12" s="21">
        <v>0.5972291666666667</v>
      </c>
      <c r="T12" s="21">
        <v>0.60756250000000034</v>
      </c>
      <c r="U12" s="21">
        <v>0.61895833333333283</v>
      </c>
      <c r="V12" s="21">
        <v>0.49814583333333307</v>
      </c>
      <c r="W12" s="21">
        <v>0.47410416666666677</v>
      </c>
      <c r="X12" s="21">
        <v>0.4265624999999999</v>
      </c>
      <c r="Y12" s="21">
        <v>0.27033333333333326</v>
      </c>
      <c r="Z12" s="23">
        <f>AVERAGE(Q12,U12)</f>
        <v>0.54006249999999967</v>
      </c>
      <c r="AA12" s="23">
        <f>AVERAGE(R12:T12,V12:X12)</f>
        <v>0.52785763888888881</v>
      </c>
      <c r="AB12" s="23">
        <f t="shared" si="0"/>
        <v>0.53007670454545441</v>
      </c>
    </row>
    <row r="13" spans="1:28">
      <c r="A13" s="9">
        <v>43720</v>
      </c>
      <c r="B13" s="3">
        <v>307.72947586805134</v>
      </c>
      <c r="C13" s="3">
        <v>239.55295354813643</v>
      </c>
      <c r="D13" s="3">
        <v>275.9314528535478</v>
      </c>
      <c r="E13" s="3">
        <v>274.9470584328954</v>
      </c>
      <c r="F13" s="3">
        <v>301.44130226650617</v>
      </c>
      <c r="G13" s="19">
        <v>43720</v>
      </c>
      <c r="H13" s="20">
        <v>174.125</v>
      </c>
      <c r="I13" s="20">
        <v>78.895833333333343</v>
      </c>
      <c r="J13" s="20">
        <v>22.375</v>
      </c>
      <c r="K13" s="20">
        <v>0</v>
      </c>
      <c r="L13" s="20">
        <v>151.75</v>
      </c>
      <c r="M13" s="20">
        <v>10.708333333333334</v>
      </c>
      <c r="N13" s="20">
        <v>1.3541666666666667</v>
      </c>
      <c r="O13" s="20">
        <v>18.381249999999998</v>
      </c>
      <c r="P13" s="10">
        <v>0.61606613419564316</v>
      </c>
      <c r="Q13" s="21">
        <v>0.44339583333333343</v>
      </c>
      <c r="R13" s="21">
        <v>0.55031250000000032</v>
      </c>
      <c r="S13" s="21">
        <v>0.59054166666666685</v>
      </c>
      <c r="T13" s="21">
        <v>0.59929166666666689</v>
      </c>
      <c r="U13" s="21">
        <v>0.61125000000000052</v>
      </c>
      <c r="V13" s="21">
        <v>0.48552083333333368</v>
      </c>
      <c r="W13" s="21">
        <v>0.46916666666666645</v>
      </c>
      <c r="X13" s="21">
        <v>0.41952083333333362</v>
      </c>
      <c r="Y13" s="21">
        <v>0.24975000000000003</v>
      </c>
      <c r="Z13" s="23">
        <f>AVERAGE(Q13,U13)</f>
        <v>0.52732291666666697</v>
      </c>
      <c r="AA13" s="23">
        <f>AVERAGE(R13:T13,V13:X13)</f>
        <v>0.5190590277777779</v>
      </c>
      <c r="AB13" s="23">
        <f t="shared" si="0"/>
        <v>0.52056155303030316</v>
      </c>
    </row>
    <row r="14" spans="1:28">
      <c r="A14" s="9">
        <v>43721</v>
      </c>
      <c r="B14" s="3">
        <v>293.5437430227397</v>
      </c>
      <c r="C14" s="3">
        <v>240.36657705219636</v>
      </c>
      <c r="D14" s="3">
        <v>211.59130188041902</v>
      </c>
      <c r="E14" s="3">
        <v>274.28932263308616</v>
      </c>
      <c r="F14" s="3">
        <v>251.57666941552969</v>
      </c>
      <c r="G14" s="19">
        <v>43721</v>
      </c>
      <c r="H14" s="20">
        <v>237.10416666666666</v>
      </c>
      <c r="I14" s="20">
        <v>74.779166666666683</v>
      </c>
      <c r="J14" s="20">
        <v>23.452083333333324</v>
      </c>
      <c r="K14" s="20">
        <v>0</v>
      </c>
      <c r="L14" s="20">
        <v>155.77083333333334</v>
      </c>
      <c r="M14" s="20">
        <v>9.7708333333333339</v>
      </c>
      <c r="N14" s="20">
        <v>1.3125</v>
      </c>
      <c r="O14" s="20">
        <v>18.466666666666665</v>
      </c>
      <c r="P14" s="10">
        <v>0.80873882521636287</v>
      </c>
      <c r="Q14" s="21">
        <v>0.43858333333333349</v>
      </c>
      <c r="R14" s="21">
        <v>0.54087499999999988</v>
      </c>
      <c r="S14" s="21">
        <v>0.5859166666666662</v>
      </c>
      <c r="T14" s="21">
        <v>0.59510416666666666</v>
      </c>
      <c r="U14" s="21">
        <v>0.60497916666666707</v>
      </c>
      <c r="V14" s="21">
        <v>0.47808333333333342</v>
      </c>
      <c r="W14" s="21">
        <v>0.46564583333333337</v>
      </c>
      <c r="X14" s="21">
        <v>0.4152499999999999</v>
      </c>
      <c r="Y14" s="21">
        <v>0.23235416666666664</v>
      </c>
      <c r="Z14" s="23">
        <f>AVERAGE(Q14,U14)</f>
        <v>0.52178125000000031</v>
      </c>
      <c r="AA14" s="23">
        <f>AVERAGE(R14:T14,V14:X14)</f>
        <v>0.5134791666666666</v>
      </c>
      <c r="AB14" s="23">
        <f t="shared" si="0"/>
        <v>0.51498863636363634</v>
      </c>
    </row>
    <row r="15" spans="1:28">
      <c r="A15" s="9">
        <v>43722</v>
      </c>
      <c r="B15" s="3">
        <v>299.63574030042253</v>
      </c>
      <c r="C15" s="3">
        <v>227.91059172019396</v>
      </c>
      <c r="D15" s="3">
        <v>316.42473698023502</v>
      </c>
      <c r="E15" s="3">
        <v>261.53114871650365</v>
      </c>
      <c r="F15" s="3">
        <v>205.79994106071092</v>
      </c>
      <c r="G15" s="19">
        <v>43722</v>
      </c>
      <c r="H15" s="20">
        <v>253.85416666666666</v>
      </c>
      <c r="I15" s="20">
        <v>69.139583333333334</v>
      </c>
      <c r="J15" s="20">
        <v>23.904166666666665</v>
      </c>
      <c r="K15" s="20">
        <v>0</v>
      </c>
      <c r="L15" s="20">
        <v>134.0625</v>
      </c>
      <c r="M15" s="20">
        <v>7.708333333333333</v>
      </c>
      <c r="N15" s="20">
        <v>1.2916666666666667</v>
      </c>
      <c r="O15" s="20">
        <v>17.435416666666669</v>
      </c>
      <c r="P15" s="10">
        <v>1.0239300479339237</v>
      </c>
      <c r="Q15" s="21">
        <v>0.43512499999999993</v>
      </c>
      <c r="R15" s="21">
        <v>0.53172916666666681</v>
      </c>
      <c r="S15" s="21">
        <v>0.58093749999999966</v>
      </c>
      <c r="T15" s="21">
        <v>0.59147916666666656</v>
      </c>
      <c r="U15" s="21">
        <v>0.59647916666666678</v>
      </c>
      <c r="V15" s="21">
        <v>0.47054166666666664</v>
      </c>
      <c r="W15" s="21">
        <v>0.46197916666666661</v>
      </c>
      <c r="X15" s="21">
        <v>0.41106250000000033</v>
      </c>
      <c r="Y15" s="21">
        <v>0.21504861111111109</v>
      </c>
      <c r="Z15" s="23">
        <f>AVERAGE(Q15,U15)</f>
        <v>0.51580208333333333</v>
      </c>
      <c r="AA15" s="23">
        <f>AVERAGE(R15:T15,V15:X15)</f>
        <v>0.5079548611111111</v>
      </c>
      <c r="AB15" s="23">
        <f t="shared" si="0"/>
        <v>0.50938162878787874</v>
      </c>
    </row>
    <row r="16" spans="1:28">
      <c r="A16" s="9">
        <v>43723</v>
      </c>
      <c r="B16" s="3">
        <v>291.37729771799826</v>
      </c>
      <c r="C16" s="3">
        <v>174.3469938596221</v>
      </c>
      <c r="D16" s="3">
        <v>336.07711949499702</v>
      </c>
      <c r="E16" s="3">
        <v>175.59573456818052</v>
      </c>
      <c r="F16" s="3">
        <v>157.95194725617517</v>
      </c>
      <c r="G16" s="19">
        <v>43723</v>
      </c>
      <c r="H16" s="20">
        <v>254.14583333333334</v>
      </c>
      <c r="I16" s="20">
        <v>69.441666666666649</v>
      </c>
      <c r="J16" s="20">
        <v>23.231249999999999</v>
      </c>
      <c r="K16" s="20">
        <v>0</v>
      </c>
      <c r="L16" s="20">
        <v>138.16666666666666</v>
      </c>
      <c r="M16" s="20">
        <v>5.958333333333333</v>
      </c>
      <c r="N16" s="20">
        <v>0.60416666666666663</v>
      </c>
      <c r="O16" s="20">
        <v>16.929166666666667</v>
      </c>
      <c r="P16" s="10">
        <v>0.99045577232761473</v>
      </c>
      <c r="Q16" s="21">
        <v>0.41831249999999992</v>
      </c>
      <c r="R16" s="21">
        <v>0.51914583333333375</v>
      </c>
      <c r="S16" s="21">
        <v>0.57270833333333371</v>
      </c>
      <c r="T16" s="21">
        <v>0.58710416666666654</v>
      </c>
      <c r="U16" s="21">
        <v>0.58100000000000018</v>
      </c>
      <c r="V16" s="21">
        <v>0.4585416666666669</v>
      </c>
      <c r="W16" s="21">
        <v>0.45589583333333356</v>
      </c>
      <c r="X16" s="21">
        <v>0.40556250000000021</v>
      </c>
      <c r="Y16" s="21">
        <v>0.19675694444444447</v>
      </c>
      <c r="Z16" s="23">
        <f>AVERAGE(Q16,U16)</f>
        <v>0.49965625000000002</v>
      </c>
      <c r="AA16" s="23">
        <f>AVERAGE(R16:T16,V16:X16)</f>
        <v>0.49982638888888914</v>
      </c>
      <c r="AB16" s="23">
        <f t="shared" si="0"/>
        <v>0.49979545454545471</v>
      </c>
    </row>
    <row r="17" spans="1:28">
      <c r="A17" s="9">
        <v>43724</v>
      </c>
      <c r="B17" s="3">
        <v>140.86474893769213</v>
      </c>
      <c r="C17" s="3">
        <v>168.75116748101016</v>
      </c>
      <c r="D17" s="3">
        <v>253.59845831364268</v>
      </c>
      <c r="E17" s="3">
        <v>194.60186741355625</v>
      </c>
      <c r="F17" s="3">
        <v>248.53427387773965</v>
      </c>
      <c r="G17" s="19">
        <v>43724</v>
      </c>
      <c r="H17" s="20">
        <v>146.02083333333334</v>
      </c>
      <c r="I17" s="20">
        <v>79.733333333333306</v>
      </c>
      <c r="J17" s="20">
        <v>20.093749999999996</v>
      </c>
      <c r="K17" s="20">
        <v>1.7</v>
      </c>
      <c r="L17" s="20">
        <v>185.72916666666666</v>
      </c>
      <c r="M17" s="20">
        <v>3.375</v>
      </c>
      <c r="N17" s="20">
        <v>6.25E-2</v>
      </c>
      <c r="O17" s="20">
        <v>16.320833333333333</v>
      </c>
      <c r="P17" s="10">
        <v>0.52871269649274466</v>
      </c>
      <c r="Q17" s="21">
        <v>0.39064583333333336</v>
      </c>
      <c r="R17" s="21">
        <v>0.50650000000000028</v>
      </c>
      <c r="S17" s="21">
        <v>0.56341666666666679</v>
      </c>
      <c r="T17" s="21">
        <v>0.58310416666666631</v>
      </c>
      <c r="U17" s="21">
        <v>0.56420833333333331</v>
      </c>
      <c r="V17" s="21">
        <v>0.4475208333333332</v>
      </c>
      <c r="W17" s="21">
        <v>0.44945833333333352</v>
      </c>
      <c r="X17" s="21">
        <v>0.3999791666666665</v>
      </c>
      <c r="Y17" s="21">
        <v>0.18083333333333337</v>
      </c>
      <c r="Z17" s="23">
        <f>AVERAGE(Q17,U17)</f>
        <v>0.47742708333333334</v>
      </c>
      <c r="AA17" s="23">
        <f>AVERAGE(R17:T17,V17:X17)</f>
        <v>0.49166319444444434</v>
      </c>
      <c r="AB17" s="23">
        <f t="shared" si="0"/>
        <v>0.48907481060606051</v>
      </c>
    </row>
    <row r="18" spans="1:28">
      <c r="A18" s="9">
        <v>43725</v>
      </c>
      <c r="B18" s="3">
        <v>188.73205703920837</v>
      </c>
      <c r="C18" s="3">
        <v>237.93485771682657</v>
      </c>
      <c r="D18" s="3">
        <v>250.9228528407875</v>
      </c>
      <c r="E18" s="3">
        <v>206.81993403700309</v>
      </c>
      <c r="F18" s="3">
        <v>221.10658318633483</v>
      </c>
      <c r="G18" s="19">
        <v>43725</v>
      </c>
      <c r="H18" s="20">
        <v>169.47916666666666</v>
      </c>
      <c r="I18" s="20">
        <v>77.00624999999998</v>
      </c>
      <c r="J18" s="20">
        <v>21.797916666666676</v>
      </c>
      <c r="K18" s="20">
        <v>0</v>
      </c>
      <c r="L18" s="20">
        <v>143.8125</v>
      </c>
      <c r="M18" s="20">
        <v>6.666666666666667</v>
      </c>
      <c r="N18" s="20">
        <v>0.47916666666666669</v>
      </c>
      <c r="O18" s="20">
        <v>17.364583333333332</v>
      </c>
      <c r="P18" s="10">
        <v>0.66831989735542818</v>
      </c>
      <c r="Q18" s="21">
        <v>0.36216666666666658</v>
      </c>
      <c r="R18" s="21">
        <v>0.49324999999999997</v>
      </c>
      <c r="S18" s="21">
        <v>0.5523125000000001</v>
      </c>
      <c r="T18" s="21">
        <v>0.57843749999999983</v>
      </c>
      <c r="U18" s="21">
        <v>0.54887500000000022</v>
      </c>
      <c r="V18" s="21">
        <v>0.4371666666666667</v>
      </c>
      <c r="W18" s="21">
        <v>0.44293749999999982</v>
      </c>
      <c r="X18" s="21">
        <v>0.39400000000000013</v>
      </c>
      <c r="Y18" s="21">
        <v>0.17097916666666671</v>
      </c>
      <c r="Z18" s="23">
        <f>AVERAGE(Q18,U18)</f>
        <v>0.45552083333333337</v>
      </c>
      <c r="AA18" s="23">
        <f>AVERAGE(R18:T18,V18:X18)</f>
        <v>0.48301736111111104</v>
      </c>
      <c r="AB18" s="23">
        <f t="shared" si="0"/>
        <v>0.47801799242424231</v>
      </c>
    </row>
    <row r="19" spans="1:28">
      <c r="A19" s="9">
        <v>43726</v>
      </c>
      <c r="B19" s="3">
        <v>37.065139482546307</v>
      </c>
      <c r="C19" s="3">
        <v>62.406619121085946</v>
      </c>
      <c r="D19" s="3">
        <v>156.70997916363171</v>
      </c>
      <c r="E19" s="3">
        <v>83.173440504841253</v>
      </c>
      <c r="F19" s="3">
        <v>173.15426922305301</v>
      </c>
      <c r="G19" s="19">
        <v>43726</v>
      </c>
      <c r="H19" s="20">
        <v>78.645833333333329</v>
      </c>
      <c r="I19" s="20">
        <v>81.414583333333368</v>
      </c>
      <c r="J19" s="20">
        <v>17.931249999999995</v>
      </c>
      <c r="K19" s="20">
        <v>0.4</v>
      </c>
      <c r="L19" s="20">
        <v>211.66666666666666</v>
      </c>
      <c r="M19" s="20">
        <v>4.1875</v>
      </c>
      <c r="N19" s="20">
        <v>6.25E-2</v>
      </c>
      <c r="O19" s="20">
        <v>14.670833333333333</v>
      </c>
      <c r="P19" s="10">
        <v>0.38986425873090225</v>
      </c>
      <c r="Q19" s="21">
        <v>0.33931250000000013</v>
      </c>
      <c r="R19" s="21">
        <v>0.47845833333333315</v>
      </c>
      <c r="S19" s="21">
        <v>0.54164583333333327</v>
      </c>
      <c r="T19" s="21">
        <v>0.57285416666666678</v>
      </c>
      <c r="U19" s="21">
        <v>0.53212500000000007</v>
      </c>
      <c r="V19" s="21">
        <v>0.4261875</v>
      </c>
      <c r="W19" s="21">
        <v>0.43520833333333325</v>
      </c>
      <c r="X19" s="21">
        <v>0.38750000000000001</v>
      </c>
      <c r="Y19" s="21">
        <v>0.15910416666666671</v>
      </c>
      <c r="Z19" s="23">
        <f>AVERAGE(Q19,U19)</f>
        <v>0.4357187500000001</v>
      </c>
      <c r="AA19" s="23">
        <f>AVERAGE(R19:T19,V19:X19)</f>
        <v>0.47364236111111113</v>
      </c>
      <c r="AB19" s="23">
        <f t="shared" si="0"/>
        <v>0.46674715909090919</v>
      </c>
    </row>
    <row r="20" spans="1:28">
      <c r="A20" s="9">
        <v>43727</v>
      </c>
      <c r="B20" s="3">
        <v>5.5786368209173345</v>
      </c>
      <c r="C20" s="3">
        <v>76.245148565122875</v>
      </c>
      <c r="D20" s="3">
        <v>38.996534918107031</v>
      </c>
      <c r="E20" s="3">
        <v>75.507148279192236</v>
      </c>
      <c r="F20" s="3">
        <v>107.88446692154209</v>
      </c>
      <c r="G20" s="19">
        <v>43727</v>
      </c>
      <c r="H20" s="20">
        <v>57.5</v>
      </c>
      <c r="I20" s="20">
        <v>90.995833333333337</v>
      </c>
      <c r="J20" s="20">
        <v>18.152083333333344</v>
      </c>
      <c r="K20" s="20">
        <v>1.4</v>
      </c>
      <c r="L20" s="20">
        <v>119.0625</v>
      </c>
      <c r="M20" s="20">
        <v>1.875</v>
      </c>
      <c r="N20" s="20">
        <v>2.0833333333333332E-2</v>
      </c>
      <c r="O20" s="20">
        <v>16.622916666666669</v>
      </c>
      <c r="P20" s="10">
        <v>0.1995172620719329</v>
      </c>
      <c r="Q20" s="21">
        <v>0.32833333333333325</v>
      </c>
      <c r="R20" s="21">
        <v>0.4677291666666667</v>
      </c>
      <c r="S20" s="21">
        <v>0.53431250000000019</v>
      </c>
      <c r="T20" s="21">
        <v>0.56802083333333309</v>
      </c>
      <c r="U20" s="21">
        <v>0.52270833333333333</v>
      </c>
      <c r="V20" s="21">
        <v>0.42052083333333329</v>
      </c>
      <c r="W20" s="21">
        <v>0.43112499999999976</v>
      </c>
      <c r="X20" s="21">
        <v>0.38439583333333305</v>
      </c>
      <c r="Y20" s="21">
        <v>0.16098611111111105</v>
      </c>
      <c r="Z20" s="23">
        <f>AVERAGE(Q20,U20)</f>
        <v>0.42552083333333329</v>
      </c>
      <c r="AA20" s="23">
        <f>AVERAGE(R20:T20,V20:X20)</f>
        <v>0.46768402777777768</v>
      </c>
      <c r="AB20" s="23">
        <f t="shared" si="0"/>
        <v>0.46001799242424229</v>
      </c>
    </row>
    <row r="21" spans="1:28">
      <c r="A21" s="9">
        <v>43728</v>
      </c>
      <c r="B21" s="3">
        <v>102.2269956389337</v>
      </c>
      <c r="C21" s="3">
        <v>306.95241922178735</v>
      </c>
      <c r="D21" s="3">
        <v>59.477474916043619</v>
      </c>
      <c r="E21" s="3">
        <v>126.09550117085816</v>
      </c>
      <c r="F21" s="3">
        <v>121.34787925496128</v>
      </c>
      <c r="G21" s="19">
        <v>43728</v>
      </c>
      <c r="H21" s="20">
        <v>85.75</v>
      </c>
      <c r="I21" s="20">
        <v>80.874999999999986</v>
      </c>
      <c r="J21" s="20">
        <v>16.810416666666669</v>
      </c>
      <c r="K21" s="20">
        <v>0.2</v>
      </c>
      <c r="L21" s="20">
        <v>221.91666666666666</v>
      </c>
      <c r="M21" s="20">
        <v>5.645833333333333</v>
      </c>
      <c r="N21" s="20">
        <v>0</v>
      </c>
      <c r="O21" s="20">
        <v>13.431249999999999</v>
      </c>
      <c r="P21" s="10">
        <v>0.37091707540141688</v>
      </c>
      <c r="Q21" s="21">
        <v>0.3199583333333334</v>
      </c>
      <c r="R21" s="21">
        <v>0.45935416666666656</v>
      </c>
      <c r="S21" s="21">
        <v>0.52818749999999992</v>
      </c>
      <c r="T21" s="21">
        <v>0.56306249999999991</v>
      </c>
      <c r="U21" s="21">
        <v>0.51564583333333369</v>
      </c>
      <c r="V21" s="21">
        <v>0.41556250000000006</v>
      </c>
      <c r="W21" s="21">
        <v>0.42677083333333315</v>
      </c>
      <c r="X21" s="21">
        <v>0.38014583333333324</v>
      </c>
      <c r="Y21" s="21">
        <v>0.15718055555555552</v>
      </c>
      <c r="Z21" s="23">
        <f>AVERAGE(Q21,U21)</f>
        <v>0.41780208333333357</v>
      </c>
      <c r="AA21" s="23">
        <f>AVERAGE(R21:T21,V21:X21)</f>
        <v>0.46218055555555554</v>
      </c>
      <c r="AB21" s="23">
        <f t="shared" si="0"/>
        <v>0.4541117424242424</v>
      </c>
    </row>
    <row r="22" spans="1:28">
      <c r="A22" s="9">
        <v>43729</v>
      </c>
      <c r="B22" s="3">
        <v>314.60788932808975</v>
      </c>
      <c r="C22" s="3">
        <v>463.26285357682951</v>
      </c>
      <c r="D22" s="3">
        <v>172.28894282045817</v>
      </c>
      <c r="E22" s="3">
        <v>276.4953538745475</v>
      </c>
      <c r="F22" s="3">
        <v>161.19613700031096</v>
      </c>
      <c r="G22" s="19">
        <v>43729</v>
      </c>
      <c r="H22" s="20">
        <v>158.72916666666666</v>
      </c>
      <c r="I22" s="20">
        <v>63.56458333333331</v>
      </c>
      <c r="J22" s="20">
        <v>17.377083333333335</v>
      </c>
      <c r="K22" s="20">
        <v>0</v>
      </c>
      <c r="L22" s="20">
        <v>226.85416666666666</v>
      </c>
      <c r="M22" s="20">
        <v>5.958333333333333</v>
      </c>
      <c r="N22" s="20">
        <v>6.25E-2</v>
      </c>
      <c r="O22" s="20">
        <v>10.141666666666667</v>
      </c>
      <c r="P22" s="10">
        <v>0.77102237544459762</v>
      </c>
      <c r="Q22" s="21">
        <v>0.30506250000000007</v>
      </c>
      <c r="R22" s="21">
        <v>0.44341666666666674</v>
      </c>
      <c r="S22" s="21">
        <v>0.5152916666666667</v>
      </c>
      <c r="T22" s="21">
        <v>0.55452083333333324</v>
      </c>
      <c r="U22" s="21">
        <v>0.50022916666666661</v>
      </c>
      <c r="V22" s="21">
        <v>0.40375000000000005</v>
      </c>
      <c r="W22" s="21">
        <v>0.41677083333333331</v>
      </c>
      <c r="X22" s="21">
        <v>0.37210416666666685</v>
      </c>
      <c r="Y22" s="21">
        <v>0.14757638888888891</v>
      </c>
      <c r="Z22" s="23">
        <f>AVERAGE(Q22,U22)</f>
        <v>0.40264583333333337</v>
      </c>
      <c r="AA22" s="23">
        <f>AVERAGE(R22:T22,V22:X22)</f>
        <v>0.45097569444444452</v>
      </c>
      <c r="AB22" s="23">
        <f t="shared" si="0"/>
        <v>0.44218844696969706</v>
      </c>
    </row>
    <row r="23" spans="1:28">
      <c r="A23" s="9">
        <v>43730</v>
      </c>
      <c r="B23" s="3">
        <v>315.27433550875509</v>
      </c>
      <c r="C23" s="3">
        <v>225.86725278495049</v>
      </c>
      <c r="D23" s="3">
        <v>182.7344861584653</v>
      </c>
      <c r="E23" s="3">
        <v>194.2906439075031</v>
      </c>
      <c r="F23" s="3">
        <v>170.39837601385011</v>
      </c>
      <c r="G23" s="19">
        <v>43730</v>
      </c>
      <c r="H23" s="20">
        <v>176.29166666666666</v>
      </c>
      <c r="I23" s="20">
        <v>63.989583333333321</v>
      </c>
      <c r="J23" s="20">
        <v>17.012499999999992</v>
      </c>
      <c r="K23" s="20">
        <v>0</v>
      </c>
      <c r="L23" s="20">
        <v>184.58333333333334</v>
      </c>
      <c r="M23" s="20">
        <v>3.375</v>
      </c>
      <c r="N23" s="20">
        <v>6.25E-2</v>
      </c>
      <c r="O23" s="20">
        <v>9.8687500000000021</v>
      </c>
      <c r="P23" s="10">
        <v>0.76926874498538378</v>
      </c>
      <c r="Q23" s="21">
        <v>0.2913541666666668</v>
      </c>
      <c r="R23" s="21">
        <v>0.42650000000000016</v>
      </c>
      <c r="S23" s="21">
        <v>0.50162499999999988</v>
      </c>
      <c r="T23" s="21">
        <v>0.54337500000000005</v>
      </c>
      <c r="U23" s="21">
        <v>0.4852708333333336</v>
      </c>
      <c r="V23" s="21">
        <v>0.3887916666666667</v>
      </c>
      <c r="W23" s="21">
        <v>0.40362499999999985</v>
      </c>
      <c r="X23" s="21">
        <v>0.36208333333333348</v>
      </c>
      <c r="Y23" s="21">
        <v>0.13909027777777785</v>
      </c>
      <c r="Z23" s="23">
        <f>AVERAGE(Q23,U23)</f>
        <v>0.38831250000000017</v>
      </c>
      <c r="AA23" s="23">
        <f>AVERAGE(R23:T23,V23:X23)</f>
        <v>0.4376666666666667</v>
      </c>
      <c r="AB23" s="23">
        <f t="shared" si="0"/>
        <v>0.42869318181818183</v>
      </c>
    </row>
    <row r="24" spans="1:28">
      <c r="A24" s="9">
        <v>43731</v>
      </c>
      <c r="B24" s="3">
        <v>330.89819799347612</v>
      </c>
      <c r="C24" s="3">
        <v>247.81604519295962</v>
      </c>
      <c r="D24" s="3">
        <v>216.16551984329863</v>
      </c>
      <c r="E24" s="3">
        <v>183.84298052976436</v>
      </c>
      <c r="F24" s="3">
        <v>203.58479402639648</v>
      </c>
      <c r="G24" s="19">
        <v>43731</v>
      </c>
      <c r="H24" s="20">
        <v>234.79166666666666</v>
      </c>
      <c r="I24" s="20">
        <v>59.095833333333331</v>
      </c>
      <c r="J24" s="20">
        <v>17.879166666666663</v>
      </c>
      <c r="K24" s="20">
        <v>0</v>
      </c>
      <c r="L24" s="20">
        <v>135.39583333333334</v>
      </c>
      <c r="M24" s="20">
        <v>3.5</v>
      </c>
      <c r="N24" s="20">
        <v>0.10416666666666667</v>
      </c>
      <c r="O24" s="20">
        <v>8.9187500000000011</v>
      </c>
      <c r="P24" s="10">
        <v>0.96526494631767956</v>
      </c>
      <c r="Q24" s="21">
        <v>0.2812708333333333</v>
      </c>
      <c r="R24" s="21">
        <v>0.41024999999999984</v>
      </c>
      <c r="S24" s="21">
        <v>0.4899583333333335</v>
      </c>
      <c r="T24" s="21">
        <v>0.53179166666666655</v>
      </c>
      <c r="U24" s="21">
        <v>0.47316666666666696</v>
      </c>
      <c r="V24" s="21">
        <v>0.37624999999999997</v>
      </c>
      <c r="W24" s="21">
        <v>0.39170833333333355</v>
      </c>
      <c r="X24" s="21">
        <v>0.35291666666666677</v>
      </c>
      <c r="Y24" s="21">
        <v>0.13290277777777779</v>
      </c>
      <c r="Z24" s="23">
        <f>AVERAGE(Q24,U24)</f>
        <v>0.37721875000000016</v>
      </c>
      <c r="AA24" s="23">
        <f>AVERAGE(R24:T24,V24:X24)</f>
        <v>0.42547916666666669</v>
      </c>
      <c r="AB24" s="23">
        <f t="shared" si="0"/>
        <v>0.41670454545454549</v>
      </c>
    </row>
    <row r="25" spans="1:28">
      <c r="A25" s="9">
        <v>43732</v>
      </c>
      <c r="B25" s="3">
        <v>283.64765477668129</v>
      </c>
      <c r="C25" s="3">
        <v>200.83854275082552</v>
      </c>
      <c r="D25" s="3">
        <v>241.9870538635046</v>
      </c>
      <c r="E25" s="3">
        <v>154.68600203133852</v>
      </c>
      <c r="F25" s="3">
        <v>189.87013782781722</v>
      </c>
      <c r="G25" s="19">
        <v>43732</v>
      </c>
      <c r="H25" s="20">
        <v>215.625</v>
      </c>
      <c r="I25" s="20">
        <v>55.829166666666652</v>
      </c>
      <c r="J25" s="20">
        <v>17.902083333333337</v>
      </c>
      <c r="K25" s="20">
        <v>0</v>
      </c>
      <c r="L25" s="20">
        <v>149.45833333333334</v>
      </c>
      <c r="M25" s="20">
        <v>3.625</v>
      </c>
      <c r="N25" s="20">
        <v>6.25E-2</v>
      </c>
      <c r="O25" s="20">
        <v>8.4729166666666682</v>
      </c>
      <c r="P25" s="10">
        <v>1.0088886127981549</v>
      </c>
      <c r="Q25" s="21">
        <v>0.27243749999999994</v>
      </c>
      <c r="R25" s="21">
        <v>0.39362499999999989</v>
      </c>
      <c r="S25" s="21">
        <v>0.47820833333333296</v>
      </c>
      <c r="T25" s="21">
        <v>0.51895833333333352</v>
      </c>
      <c r="U25" s="21">
        <v>0.46189583333333312</v>
      </c>
      <c r="V25" s="21">
        <v>0.36435416666666676</v>
      </c>
      <c r="W25" s="21">
        <v>0.38066666666666671</v>
      </c>
      <c r="X25" s="21">
        <v>0.34318749999999998</v>
      </c>
      <c r="Y25" s="21">
        <v>0.12647222222222218</v>
      </c>
      <c r="Z25" s="23">
        <f>AVERAGE(Q25,U25)</f>
        <v>0.36716666666666653</v>
      </c>
      <c r="AA25" s="23">
        <f>AVERAGE(R25:T25,V25:X25)</f>
        <v>0.41316666666666668</v>
      </c>
      <c r="AB25" s="23">
        <f t="shared" si="0"/>
        <v>0.40480303030303033</v>
      </c>
    </row>
    <row r="26" spans="1:28">
      <c r="A26" s="9">
        <v>43733</v>
      </c>
      <c r="B26" s="3">
        <v>123.87336868697716</v>
      </c>
      <c r="C26" s="3">
        <v>153.79172314664635</v>
      </c>
      <c r="D26" s="3">
        <v>208.88202929273925</v>
      </c>
      <c r="E26" s="3">
        <v>100.59301573372758</v>
      </c>
      <c r="F26" s="3">
        <v>248.61086684250694</v>
      </c>
      <c r="G26" s="19">
        <v>43733</v>
      </c>
      <c r="H26" s="20">
        <v>99.125</v>
      </c>
      <c r="I26" s="20">
        <v>74.489583333333329</v>
      </c>
      <c r="J26" s="20">
        <v>16.41041666666667</v>
      </c>
      <c r="K26" s="20">
        <v>0.2</v>
      </c>
      <c r="L26" s="20">
        <v>209.70833333333334</v>
      </c>
      <c r="M26" s="20">
        <v>1.8541666666666667</v>
      </c>
      <c r="N26" s="20">
        <v>0</v>
      </c>
      <c r="O26" s="20">
        <v>11.695833333333335</v>
      </c>
      <c r="P26" s="10">
        <v>0.50482454455497494</v>
      </c>
      <c r="Q26" s="21">
        <v>0.26637500000000014</v>
      </c>
      <c r="R26" s="21">
        <v>0.37997916666666659</v>
      </c>
      <c r="S26" s="21">
        <v>0.46827083333333325</v>
      </c>
      <c r="T26" s="21">
        <v>0.50756250000000014</v>
      </c>
      <c r="U26" s="21">
        <v>0.45422916666666696</v>
      </c>
      <c r="V26" s="21">
        <v>0.35608333333333325</v>
      </c>
      <c r="W26" s="21">
        <v>0.37231249999999982</v>
      </c>
      <c r="X26" s="21">
        <v>0.33522916666666686</v>
      </c>
      <c r="Y26" s="21">
        <v>0.12169444444444444</v>
      </c>
      <c r="Z26" s="23">
        <f>AVERAGE(Q26,U26)</f>
        <v>0.36030208333333358</v>
      </c>
      <c r="AA26" s="23">
        <f>AVERAGE(R26:T26,V26:X26)</f>
        <v>0.40323958333333326</v>
      </c>
      <c r="AB26" s="23">
        <f t="shared" si="0"/>
        <v>0.3954327651515151</v>
      </c>
    </row>
    <row r="27" spans="1:28">
      <c r="A27" s="9">
        <v>43734</v>
      </c>
      <c r="B27" s="3">
        <v>195.80393189735526</v>
      </c>
      <c r="C27" s="3">
        <v>270.64989681735727</v>
      </c>
      <c r="D27" s="3">
        <v>250.08237536703703</v>
      </c>
      <c r="E27" s="3">
        <v>187.12407463412495</v>
      </c>
      <c r="F27" s="3">
        <v>289.4738482291217</v>
      </c>
      <c r="G27" s="19">
        <v>43734</v>
      </c>
      <c r="H27" s="20">
        <v>146.35416666666666</v>
      </c>
      <c r="I27" s="20">
        <v>75.202083333333334</v>
      </c>
      <c r="J27" s="20">
        <v>17.518749999999994</v>
      </c>
      <c r="K27" s="20">
        <v>0.2</v>
      </c>
      <c r="L27" s="20">
        <v>215.75</v>
      </c>
      <c r="M27" s="20">
        <v>3</v>
      </c>
      <c r="N27" s="20">
        <v>0.10416666666666667</v>
      </c>
      <c r="O27" s="20">
        <v>12.70833333333333</v>
      </c>
      <c r="P27" s="10">
        <v>0.57264237716381439</v>
      </c>
      <c r="Q27" s="21">
        <v>0.26210416666666642</v>
      </c>
      <c r="R27" s="21">
        <v>0.36897916666666658</v>
      </c>
      <c r="S27" s="21">
        <v>0.46020833333333355</v>
      </c>
      <c r="T27" s="21">
        <v>0.49799999999999994</v>
      </c>
      <c r="U27" s="21">
        <v>0.44933333333333336</v>
      </c>
      <c r="V27" s="21">
        <v>0.35052083333333345</v>
      </c>
      <c r="W27" s="21">
        <v>0.36689583333333342</v>
      </c>
      <c r="X27" s="21">
        <v>0.32947916666666682</v>
      </c>
      <c r="Y27" s="21">
        <v>0.11978472222222229</v>
      </c>
      <c r="Z27" s="23">
        <f>AVERAGE(Q27,U27)</f>
        <v>0.35571874999999986</v>
      </c>
      <c r="AA27" s="23">
        <f>AVERAGE(R27:T27,V27:X27)</f>
        <v>0.39568055555555559</v>
      </c>
      <c r="AB27" s="23">
        <f t="shared" si="0"/>
        <v>0.38841477272727276</v>
      </c>
    </row>
    <row r="28" spans="1:28">
      <c r="A28" s="9">
        <v>43735</v>
      </c>
      <c r="B28" s="3">
        <v>221.37754286428228</v>
      </c>
      <c r="C28" s="3">
        <v>331.27302053209797</v>
      </c>
      <c r="D28" s="3">
        <v>313.26592657850694</v>
      </c>
      <c r="E28" s="3">
        <v>272.35274129648491</v>
      </c>
      <c r="F28" s="3">
        <v>244.73789150460368</v>
      </c>
      <c r="G28" s="19">
        <v>43735</v>
      </c>
      <c r="H28" s="20">
        <v>189.4375</v>
      </c>
      <c r="I28" s="20">
        <v>70.277083333333337</v>
      </c>
      <c r="J28" s="20">
        <v>18.497916666666661</v>
      </c>
      <c r="K28" s="20">
        <v>0</v>
      </c>
      <c r="L28" s="20">
        <v>154.9375</v>
      </c>
      <c r="M28" s="20">
        <v>2.8333333333333335</v>
      </c>
      <c r="N28" s="20">
        <v>4.1666666666666664E-2</v>
      </c>
      <c r="O28" s="20">
        <v>12.406250000000002</v>
      </c>
      <c r="P28" s="10">
        <v>0.7514161818546925</v>
      </c>
      <c r="Q28" s="21">
        <v>0.25879166666666636</v>
      </c>
      <c r="R28" s="21">
        <v>0.36010416666666661</v>
      </c>
      <c r="S28" s="21">
        <v>0.45318749999999991</v>
      </c>
      <c r="T28" s="21">
        <v>0.48779166666666701</v>
      </c>
      <c r="U28" s="21">
        <v>0.44477083333333362</v>
      </c>
      <c r="V28" s="21">
        <v>0.34527083333333336</v>
      </c>
      <c r="W28" s="21">
        <v>0.36102083333333335</v>
      </c>
      <c r="X28" s="21">
        <v>0.32335416666666672</v>
      </c>
      <c r="Y28" s="21">
        <v>0.11728472222222219</v>
      </c>
      <c r="Z28" s="23">
        <f>AVERAGE(Q28,U28)</f>
        <v>0.35178124999999999</v>
      </c>
      <c r="AA28" s="23">
        <f>AVERAGE(R28:T28,V28:X28)</f>
        <v>0.38845486111111122</v>
      </c>
      <c r="AB28" s="23">
        <f t="shared" si="0"/>
        <v>0.38178693181818191</v>
      </c>
    </row>
    <row r="29" spans="1:28">
      <c r="A29" s="9">
        <v>43736</v>
      </c>
      <c r="B29" s="3">
        <v>248.85434297205077</v>
      </c>
      <c r="C29" s="3">
        <v>363.10057104686075</v>
      </c>
      <c r="D29" s="3">
        <v>334.58074710157621</v>
      </c>
      <c r="E29" s="3">
        <v>323.51593698708393</v>
      </c>
      <c r="F29" s="3">
        <v>298.70697951547021</v>
      </c>
      <c r="G29" s="19">
        <v>43736</v>
      </c>
      <c r="H29" s="20">
        <v>237.97916666666666</v>
      </c>
      <c r="I29" s="20">
        <v>62.831250000000011</v>
      </c>
      <c r="J29" s="20">
        <v>19.14791666666666</v>
      </c>
      <c r="K29" s="20">
        <v>0</v>
      </c>
      <c r="L29" s="20">
        <v>127.29166666666667</v>
      </c>
      <c r="M29" s="20">
        <v>4.166666666666667</v>
      </c>
      <c r="N29" s="20">
        <v>0.16666666666666666</v>
      </c>
      <c r="O29" s="20">
        <v>11.035416666666665</v>
      </c>
      <c r="P29" s="10">
        <v>1.0047445943660289</v>
      </c>
      <c r="Q29" s="21">
        <v>0.25504166666666656</v>
      </c>
      <c r="R29" s="21">
        <v>0.35235416666666669</v>
      </c>
      <c r="S29" s="21">
        <v>0.44533333333333319</v>
      </c>
      <c r="T29" s="21">
        <v>0.47745833333333326</v>
      </c>
      <c r="U29" s="21">
        <v>0.4389375000000002</v>
      </c>
      <c r="V29" s="21">
        <v>0.33977083333333319</v>
      </c>
      <c r="W29" s="21">
        <v>0.35447916666666668</v>
      </c>
      <c r="X29" s="21">
        <v>0.31691666666666674</v>
      </c>
      <c r="Y29" s="21">
        <v>0.11454166666666672</v>
      </c>
      <c r="Z29" s="23">
        <f>AVERAGE(Q29,U29)</f>
        <v>0.34698958333333341</v>
      </c>
      <c r="AA29" s="23">
        <f>AVERAGE(R29:T29,V29:X29)</f>
        <v>0.38105208333333329</v>
      </c>
      <c r="AB29" s="23">
        <f t="shared" si="0"/>
        <v>0.37485890151515144</v>
      </c>
    </row>
    <row r="30" spans="1:28">
      <c r="A30" s="9">
        <v>43737</v>
      </c>
      <c r="B30" s="3">
        <v>241.7034519127011</v>
      </c>
      <c r="C30" s="3">
        <v>329.40098061757413</v>
      </c>
      <c r="D30" s="3">
        <v>281.8688208453965</v>
      </c>
      <c r="E30" s="3">
        <v>267.71089971132898</v>
      </c>
      <c r="F30" s="3">
        <v>270.57007460082315</v>
      </c>
      <c r="G30" s="19">
        <v>43737</v>
      </c>
      <c r="H30" s="20">
        <v>242.375</v>
      </c>
      <c r="I30" s="20">
        <v>60.160416666666656</v>
      </c>
      <c r="J30" s="20">
        <v>19.920833333333331</v>
      </c>
      <c r="K30" s="20">
        <v>0</v>
      </c>
      <c r="L30" s="20">
        <v>149.85416666666666</v>
      </c>
      <c r="M30" s="20">
        <v>4.6875</v>
      </c>
      <c r="N30" s="20">
        <v>0.33333333333333331</v>
      </c>
      <c r="O30" s="20">
        <v>11.212500000000004</v>
      </c>
      <c r="P30" s="10">
        <v>1.0988046699013785</v>
      </c>
      <c r="Q30" s="21">
        <v>0.25162499999999988</v>
      </c>
      <c r="R30" s="21">
        <v>0.34520833333333334</v>
      </c>
      <c r="S30" s="21">
        <v>0.43697916666666686</v>
      </c>
      <c r="T30" s="21">
        <v>0.46599999999999991</v>
      </c>
      <c r="U30" s="21">
        <v>0.43381249999999971</v>
      </c>
      <c r="V30" s="21">
        <v>0.33433333333333359</v>
      </c>
      <c r="W30" s="21">
        <v>0.34756250000000005</v>
      </c>
      <c r="X30" s="21">
        <v>0.3101875</v>
      </c>
      <c r="Y30" s="21">
        <v>0.11177083333333339</v>
      </c>
      <c r="Z30" s="23">
        <f>AVERAGE(Q30,U30)</f>
        <v>0.34271874999999979</v>
      </c>
      <c r="AA30" s="23">
        <f>AVERAGE(R30:T30,V30:X30)</f>
        <v>0.37337847222222226</v>
      </c>
      <c r="AB30" s="23">
        <f t="shared" si="0"/>
        <v>0.36780397727272729</v>
      </c>
    </row>
    <row r="31" spans="1:28">
      <c r="A31" s="9">
        <v>43738</v>
      </c>
      <c r="B31" s="3">
        <v>246.65322255858575</v>
      </c>
      <c r="C31" s="3">
        <v>282.27203397865247</v>
      </c>
      <c r="D31" s="3">
        <v>211.95163398299439</v>
      </c>
      <c r="E31" s="3">
        <v>162.21638693098615</v>
      </c>
      <c r="F31" s="3">
        <v>165.37448299613479</v>
      </c>
      <c r="G31" s="19">
        <v>43738</v>
      </c>
      <c r="H31" s="20">
        <v>184.72916666666666</v>
      </c>
      <c r="I31" s="20">
        <v>61.862499999999983</v>
      </c>
      <c r="J31" s="20">
        <v>20.799999999999994</v>
      </c>
      <c r="K31" s="20">
        <v>0</v>
      </c>
      <c r="L31" s="20">
        <v>133.20833333333334</v>
      </c>
      <c r="M31" s="20">
        <v>7.041666666666667</v>
      </c>
      <c r="N31" s="20">
        <v>0.5625</v>
      </c>
      <c r="O31" s="20">
        <v>12.94791666666667</v>
      </c>
      <c r="P31" s="10">
        <v>1.0107989586155188</v>
      </c>
      <c r="Q31" s="21">
        <v>0.24877083333333314</v>
      </c>
      <c r="R31" s="21">
        <v>0.33920833333333333</v>
      </c>
      <c r="S31" s="21">
        <v>0.43056250000000013</v>
      </c>
      <c r="T31" s="21">
        <v>0.45483333333333337</v>
      </c>
      <c r="U31" s="21">
        <v>0.43018749999999978</v>
      </c>
      <c r="V31" s="21">
        <v>0.3305416666666669</v>
      </c>
      <c r="W31" s="21">
        <v>0.34170833333333328</v>
      </c>
      <c r="X31" s="21">
        <v>0.30370833333333336</v>
      </c>
      <c r="Y31" s="21">
        <v>0.10891666666666661</v>
      </c>
      <c r="Z31" s="23">
        <f>AVERAGE(Q31,U31)</f>
        <v>0.33947916666666644</v>
      </c>
      <c r="AA31" s="23">
        <f>AVERAGE(R31:T31,V31:X31)</f>
        <v>0.36676041666666676</v>
      </c>
      <c r="AB31" s="23">
        <f t="shared" si="0"/>
        <v>0.36180018939393943</v>
      </c>
    </row>
    <row r="32" spans="1:28">
      <c r="A32" s="9">
        <v>43739</v>
      </c>
      <c r="B32" s="3">
        <v>245.06966910845242</v>
      </c>
      <c r="C32" s="3">
        <v>282.67373245099168</v>
      </c>
      <c r="D32" s="3">
        <v>210.21229714609871</v>
      </c>
      <c r="E32" s="3">
        <v>158.8229213169746</v>
      </c>
      <c r="F32" s="3">
        <v>138.39198851743296</v>
      </c>
      <c r="G32" s="19">
        <v>43739</v>
      </c>
      <c r="H32" s="20">
        <v>187.29166666666666</v>
      </c>
      <c r="I32" s="20">
        <v>63.193750000000001</v>
      </c>
      <c r="J32" s="20">
        <v>21.889583333333334</v>
      </c>
      <c r="K32" s="20">
        <v>0</v>
      </c>
      <c r="L32" s="20">
        <v>139.70833333333334</v>
      </c>
      <c r="M32" s="20">
        <v>11.395833333333334</v>
      </c>
      <c r="N32" s="20">
        <v>1.9166666666666667</v>
      </c>
      <c r="O32" s="20">
        <v>14.460416666666662</v>
      </c>
      <c r="P32" s="10">
        <v>1.0059413324838318</v>
      </c>
      <c r="Q32" s="21">
        <v>0.24647916666666689</v>
      </c>
      <c r="R32" s="21">
        <v>0.33320833333333327</v>
      </c>
      <c r="S32" s="21">
        <v>0.42516666666666625</v>
      </c>
      <c r="T32" s="21">
        <v>0.44439583333333349</v>
      </c>
      <c r="U32" s="21">
        <v>0.42720833333333325</v>
      </c>
      <c r="V32" s="21">
        <v>0.3277500000000001</v>
      </c>
      <c r="W32" s="21">
        <v>0.33660416666666687</v>
      </c>
      <c r="X32" s="21">
        <v>0.29862499999999997</v>
      </c>
      <c r="Y32" s="21">
        <v>0.10688194444444447</v>
      </c>
      <c r="Z32" s="23">
        <f>AVERAGE(Q32,U32)</f>
        <v>0.33684375000000005</v>
      </c>
      <c r="AA32" s="23">
        <f>AVERAGE(R32:T32,V32:X32)</f>
        <v>0.36095833333333333</v>
      </c>
      <c r="AB32" s="23">
        <f t="shared" si="0"/>
        <v>0.35657386363636362</v>
      </c>
    </row>
    <row r="33" spans="1:28">
      <c r="A33" s="9">
        <v>43740</v>
      </c>
      <c r="B33" s="3">
        <v>128.28790052778095</v>
      </c>
      <c r="C33" s="3">
        <v>178.38261400911861</v>
      </c>
      <c r="D33" s="3">
        <v>187.92790025741817</v>
      </c>
      <c r="E33" s="3">
        <v>160.95207523497788</v>
      </c>
      <c r="F33" s="3">
        <v>120.72196497856042</v>
      </c>
      <c r="G33" s="19">
        <v>43740</v>
      </c>
      <c r="H33" s="20">
        <v>172.60416666666666</v>
      </c>
      <c r="I33" s="20">
        <v>73.185416666666654</v>
      </c>
      <c r="J33" s="20">
        <v>21.708333333333332</v>
      </c>
      <c r="K33" s="20">
        <v>4.2</v>
      </c>
      <c r="L33" s="20">
        <v>131.625</v>
      </c>
      <c r="M33" s="20">
        <v>8.6666666666666661</v>
      </c>
      <c r="N33" s="20">
        <v>1.2291666666666667</v>
      </c>
      <c r="O33" s="20">
        <v>16.418750000000003</v>
      </c>
      <c r="P33" s="10">
        <v>0.77859383471472887</v>
      </c>
      <c r="Q33" s="21">
        <v>0.24499999999999977</v>
      </c>
      <c r="R33" s="21">
        <v>0.32895833333333319</v>
      </c>
      <c r="S33" s="21">
        <v>0.42164583333333355</v>
      </c>
      <c r="T33" s="21">
        <v>0.43660416666666674</v>
      </c>
      <c r="U33" s="21">
        <v>0.4265416666666666</v>
      </c>
      <c r="V33" s="21">
        <v>0.32914583333333325</v>
      </c>
      <c r="W33" s="21">
        <v>0.33331250000000007</v>
      </c>
      <c r="X33" s="21">
        <v>0.29481249999999992</v>
      </c>
      <c r="Y33" s="21">
        <v>0.11659027777777776</v>
      </c>
      <c r="Z33" s="23">
        <f>AVERAGE(Q33,U33)</f>
        <v>0.33577083333333319</v>
      </c>
      <c r="AA33" s="23">
        <f>AVERAGE(R33:T33,V33:X33)</f>
        <v>0.35741319444444447</v>
      </c>
      <c r="AB33" s="23">
        <f t="shared" si="0"/>
        <v>0.35347821969696969</v>
      </c>
    </row>
    <row r="34" spans="1:28">
      <c r="A34" s="9">
        <v>43741</v>
      </c>
      <c r="B34" s="3">
        <v>129.01662053688048</v>
      </c>
      <c r="C34" s="3">
        <v>165.73099699950751</v>
      </c>
      <c r="D34" s="3">
        <v>178.06901438330954</v>
      </c>
      <c r="E34" s="3">
        <v>165.12227363112177</v>
      </c>
      <c r="F34" s="3">
        <v>151.48180047870071</v>
      </c>
      <c r="G34" s="19">
        <v>43741</v>
      </c>
      <c r="H34" s="20">
        <v>136.45833333333334</v>
      </c>
      <c r="I34" s="20">
        <v>79.19374999999998</v>
      </c>
      <c r="J34" s="20">
        <v>21.474999999999998</v>
      </c>
      <c r="K34" s="20">
        <v>0.5</v>
      </c>
      <c r="L34" s="20">
        <v>120.77083333333333</v>
      </c>
      <c r="M34" s="20">
        <v>13.916666666666666</v>
      </c>
      <c r="N34" s="20">
        <v>3.5208333333333335</v>
      </c>
      <c r="O34" s="20">
        <v>17.612500000000001</v>
      </c>
      <c r="P34" s="10">
        <v>0.56484445487089141</v>
      </c>
      <c r="Q34" s="21">
        <v>0.24395833333333319</v>
      </c>
      <c r="R34" s="21">
        <v>0.32545833333333313</v>
      </c>
      <c r="S34" s="21">
        <v>0.41970833333333341</v>
      </c>
      <c r="T34" s="21">
        <v>0.43066666666666675</v>
      </c>
      <c r="U34" s="21">
        <v>0.42637499999999995</v>
      </c>
      <c r="V34" s="21">
        <v>0.32714583333333352</v>
      </c>
      <c r="W34" s="21">
        <v>0.330166666666667</v>
      </c>
      <c r="X34" s="21">
        <v>0.29183333333333317</v>
      </c>
      <c r="Y34" s="21">
        <v>0.11163194444444448</v>
      </c>
      <c r="Z34" s="23">
        <f>AVERAGE(Q34,U34)</f>
        <v>0.33516666666666656</v>
      </c>
      <c r="AA34" s="23">
        <f>AVERAGE(R34:T34,V34:X34)</f>
        <v>0.3541631944444445</v>
      </c>
      <c r="AB34" s="23">
        <f t="shared" si="0"/>
        <v>0.35070928030303028</v>
      </c>
    </row>
    <row r="35" spans="1:28">
      <c r="A35" s="9">
        <v>43742</v>
      </c>
      <c r="B35" s="3">
        <v>47.583408768369225</v>
      </c>
      <c r="C35" s="3">
        <v>170.64195671378528</v>
      </c>
      <c r="D35" s="3">
        <v>198.21516360840198</v>
      </c>
      <c r="E35" s="3">
        <v>187.63591541247868</v>
      </c>
      <c r="F35" s="3">
        <v>180.2810670342603</v>
      </c>
      <c r="G35" s="19">
        <v>43742</v>
      </c>
      <c r="H35" s="20">
        <v>155.625</v>
      </c>
      <c r="I35" s="20">
        <v>78.966666666666669</v>
      </c>
      <c r="J35" s="20">
        <v>21.206249999999997</v>
      </c>
      <c r="K35" s="20">
        <v>1.7</v>
      </c>
      <c r="L35" s="20">
        <v>129.08333333333334</v>
      </c>
      <c r="M35" s="20">
        <v>9.9791666666666661</v>
      </c>
      <c r="N35" s="20">
        <v>2.0416666666666665</v>
      </c>
      <c r="O35" s="20">
        <v>17.268750000000001</v>
      </c>
      <c r="P35" s="10">
        <v>0.57311159791718536</v>
      </c>
      <c r="Q35" s="21">
        <v>0.24308333333333346</v>
      </c>
      <c r="R35" s="21">
        <v>0.3232291666666664</v>
      </c>
      <c r="S35" s="21">
        <v>0.41812499999999991</v>
      </c>
      <c r="T35" s="21">
        <v>0.42583333333333301</v>
      </c>
      <c r="U35" s="21">
        <v>0.42570833333333319</v>
      </c>
      <c r="V35" s="21">
        <v>0.32562499999999966</v>
      </c>
      <c r="W35" s="21">
        <v>0.32760416666666681</v>
      </c>
      <c r="X35" s="21">
        <v>0.28931250000000003</v>
      </c>
      <c r="Y35" s="21">
        <v>0.10975694444444445</v>
      </c>
      <c r="Z35" s="23">
        <f>AVERAGE(Q35,U35)</f>
        <v>0.33439583333333334</v>
      </c>
      <c r="AA35" s="23">
        <f>AVERAGE(R35:T35,V35:X35)</f>
        <v>0.35162152777777761</v>
      </c>
      <c r="AB35" s="23">
        <f t="shared" si="0"/>
        <v>0.34848958333333324</v>
      </c>
    </row>
    <row r="36" spans="1:28">
      <c r="A36" s="9">
        <v>43743</v>
      </c>
      <c r="B36" s="3">
        <v>88.564447479861116</v>
      </c>
      <c r="C36" s="3">
        <v>146.63296273576307</v>
      </c>
      <c r="D36" s="3">
        <v>193.26062726957053</v>
      </c>
      <c r="E36" s="3">
        <v>160.641430901223</v>
      </c>
      <c r="F36" s="3">
        <v>195.28588778395778</v>
      </c>
      <c r="G36" s="19">
        <v>43743</v>
      </c>
      <c r="H36" s="20">
        <v>113.70833333333333</v>
      </c>
      <c r="I36" s="20">
        <v>84.887500000000017</v>
      </c>
      <c r="J36" s="20">
        <v>19.425000000000001</v>
      </c>
      <c r="K36" s="20">
        <v>39.100000000000016</v>
      </c>
      <c r="L36" s="20">
        <v>139.875</v>
      </c>
      <c r="M36" s="20">
        <v>3.8958333333333335</v>
      </c>
      <c r="N36" s="20">
        <v>0.375</v>
      </c>
      <c r="O36" s="20">
        <v>16.681250000000002</v>
      </c>
      <c r="P36" s="10">
        <v>0.38017897771856551</v>
      </c>
      <c r="Q36" s="21">
        <v>0.35985416666666675</v>
      </c>
      <c r="R36" s="21">
        <v>0.34185416666666663</v>
      </c>
      <c r="S36" s="21">
        <v>0.42264583333333311</v>
      </c>
      <c r="T36" s="21">
        <v>0.42739583333333342</v>
      </c>
      <c r="U36" s="21">
        <v>0.4695625000000001</v>
      </c>
      <c r="V36" s="21">
        <v>0.40879166666666672</v>
      </c>
      <c r="W36" s="21">
        <v>0.33585416666666673</v>
      </c>
      <c r="X36" s="21">
        <v>0.28872916666666654</v>
      </c>
      <c r="Y36" s="21">
        <v>0.23367361111111115</v>
      </c>
      <c r="Z36" s="23">
        <f>AVERAGE(Q36,U36)</f>
        <v>0.41470833333333346</v>
      </c>
      <c r="AA36" s="23">
        <f>AVERAGE(R36:T36,V36:X36)</f>
        <v>0.3708784722222222</v>
      </c>
      <c r="AB36" s="23">
        <f t="shared" si="0"/>
        <v>0.37884753787878789</v>
      </c>
    </row>
    <row r="37" spans="1:28">
      <c r="A37" s="9">
        <v>43744</v>
      </c>
      <c r="B37" s="3">
        <v>295.89242744147504</v>
      </c>
      <c r="C37" s="3">
        <v>359.44224492077694</v>
      </c>
      <c r="D37" s="3">
        <v>587.49103411017074</v>
      </c>
      <c r="E37" s="3">
        <v>253.564277430766</v>
      </c>
      <c r="F37" s="3">
        <v>420.10939472128064</v>
      </c>
      <c r="G37" s="19">
        <v>43744</v>
      </c>
      <c r="H37" s="20">
        <v>199.47916666666666</v>
      </c>
      <c r="I37" s="20">
        <v>75.691666666666663</v>
      </c>
      <c r="J37" s="20">
        <v>21.327083333333331</v>
      </c>
      <c r="K37" s="20">
        <v>0</v>
      </c>
      <c r="L37" s="20">
        <v>143.54166666666666</v>
      </c>
      <c r="M37" s="20">
        <v>10.1875</v>
      </c>
      <c r="N37" s="20">
        <v>1.3541666666666667</v>
      </c>
      <c r="O37" s="20">
        <v>16.572916666666675</v>
      </c>
      <c r="P37" s="10">
        <v>0.68912256674568229</v>
      </c>
      <c r="Q37" s="21">
        <v>0.34085416666666668</v>
      </c>
      <c r="R37" s="21">
        <v>0.34629166666666672</v>
      </c>
      <c r="S37" s="21">
        <v>0.42868750000000005</v>
      </c>
      <c r="T37" s="21">
        <v>0.43179166666666657</v>
      </c>
      <c r="U37" s="21">
        <v>0.47931250000000031</v>
      </c>
      <c r="V37" s="21">
        <v>0.40239583333333312</v>
      </c>
      <c r="W37" s="21">
        <v>0.34331250000000008</v>
      </c>
      <c r="X37" s="21">
        <v>0.28933333333333305</v>
      </c>
      <c r="Y37" s="21">
        <v>0.21178472222222225</v>
      </c>
      <c r="Z37" s="23">
        <f>AVERAGE(Q37,U37)</f>
        <v>0.41008333333333347</v>
      </c>
      <c r="AA37" s="23">
        <f>AVERAGE(R37:T37,V37:X37)</f>
        <v>0.37363541666666661</v>
      </c>
      <c r="AB37" s="23">
        <f t="shared" si="0"/>
        <v>0.38026231060606058</v>
      </c>
    </row>
    <row r="38" spans="1:28">
      <c r="A38" s="9">
        <v>43745</v>
      </c>
      <c r="B38" s="3">
        <v>229.51275450087246</v>
      </c>
      <c r="C38" s="3">
        <v>611.82137934127707</v>
      </c>
      <c r="D38" s="3">
        <v>444.09559796568476</v>
      </c>
      <c r="E38" s="3">
        <v>237.64819853389102</v>
      </c>
      <c r="F38" s="3">
        <v>500.37894083479426</v>
      </c>
      <c r="G38" s="19">
        <v>43745</v>
      </c>
      <c r="H38" s="20">
        <v>232.0625</v>
      </c>
      <c r="I38" s="20">
        <v>67.52291666666666</v>
      </c>
      <c r="J38" s="20">
        <v>21.656250000000004</v>
      </c>
      <c r="K38" s="20">
        <v>0</v>
      </c>
      <c r="L38" s="20">
        <v>139.20833333333334</v>
      </c>
      <c r="M38" s="20">
        <v>8.125</v>
      </c>
      <c r="N38" s="20">
        <v>0.9375</v>
      </c>
      <c r="O38" s="20">
        <v>14.931249999999999</v>
      </c>
      <c r="P38" s="10">
        <v>0.9350068007456761</v>
      </c>
      <c r="Q38" s="21">
        <v>0.31377083333333339</v>
      </c>
      <c r="R38" s="21">
        <v>0.34327083333333358</v>
      </c>
      <c r="S38" s="21">
        <v>0.43056249999999996</v>
      </c>
      <c r="T38" s="21">
        <v>0.43308333333333321</v>
      </c>
      <c r="U38" s="21">
        <v>0.47416666666666663</v>
      </c>
      <c r="V38" s="21">
        <v>0.38147916666666665</v>
      </c>
      <c r="W38" s="21">
        <v>0.34204166666666658</v>
      </c>
      <c r="X38" s="21">
        <v>0.28981249999999975</v>
      </c>
      <c r="Y38" s="21">
        <v>0.19380555555555559</v>
      </c>
      <c r="Z38" s="23">
        <f>AVERAGE(Q38,U38)</f>
        <v>0.39396874999999998</v>
      </c>
      <c r="AA38" s="23">
        <f>AVERAGE(R38:T38,V38:X38)</f>
        <v>0.3700416666666666</v>
      </c>
      <c r="AB38" s="23">
        <f t="shared" si="0"/>
        <v>0.37439204545454535</v>
      </c>
    </row>
    <row r="39" spans="1:28">
      <c r="A39" s="9">
        <v>43746</v>
      </c>
      <c r="B39" s="3">
        <v>156.59848697340888</v>
      </c>
      <c r="C39" s="3">
        <v>133.62915369432017</v>
      </c>
      <c r="D39" s="3">
        <v>70.270413388852347</v>
      </c>
      <c r="E39" s="3">
        <v>150.85344733330658</v>
      </c>
      <c r="F39" s="3">
        <v>177.48450876875424</v>
      </c>
      <c r="G39" s="19">
        <v>43746</v>
      </c>
      <c r="H39" s="20">
        <v>76.729166666666671</v>
      </c>
      <c r="I39" s="20">
        <v>86.260416666666671</v>
      </c>
      <c r="J39" s="20">
        <v>18.379166666666666</v>
      </c>
      <c r="K39" s="20">
        <v>11.899999999999997</v>
      </c>
      <c r="L39" s="20">
        <v>118.625</v>
      </c>
      <c r="M39" s="20">
        <v>7.75</v>
      </c>
      <c r="N39" s="20">
        <v>1.3333333333333333</v>
      </c>
      <c r="O39" s="20">
        <v>16.006250000000005</v>
      </c>
      <c r="P39" s="10">
        <v>0.29908267637661518</v>
      </c>
      <c r="Q39" s="21">
        <v>0.29627083333333332</v>
      </c>
      <c r="R39" s="21">
        <v>0.34145833333333303</v>
      </c>
      <c r="S39" s="21">
        <v>0.4308749999999999</v>
      </c>
      <c r="T39" s="21">
        <v>0.43402083333333347</v>
      </c>
      <c r="U39" s="21">
        <v>0.47595833333333354</v>
      </c>
      <c r="V39" s="21">
        <v>0.36910416666666679</v>
      </c>
      <c r="W39" s="21">
        <v>0.34074999999999983</v>
      </c>
      <c r="X39" s="21">
        <v>0.28997916666666629</v>
      </c>
      <c r="Y39" s="21">
        <v>0.23127083333333334</v>
      </c>
      <c r="Z39" s="23">
        <f>AVERAGE(Q39,U39)</f>
        <v>0.38611458333333343</v>
      </c>
      <c r="AA39" s="23">
        <f>AVERAGE(R39:T39,V39:X39)</f>
        <v>0.36769791666666657</v>
      </c>
      <c r="AB39" s="23">
        <f t="shared" si="0"/>
        <v>0.3710464015151515</v>
      </c>
    </row>
    <row r="40" spans="1:28">
      <c r="A40" s="9">
        <v>43747</v>
      </c>
      <c r="B40" s="3">
        <v>298.57482507511537</v>
      </c>
      <c r="C40" s="3">
        <v>250.51606423282797</v>
      </c>
      <c r="D40" s="3">
        <v>279.39893729257983</v>
      </c>
      <c r="E40" s="3">
        <v>252.63338876966378</v>
      </c>
      <c r="F40" s="3">
        <v>327.60615046149513</v>
      </c>
      <c r="G40" s="19">
        <v>43747</v>
      </c>
      <c r="H40" s="20">
        <v>161.0625</v>
      </c>
      <c r="I40" s="20">
        <v>79.739583333333329</v>
      </c>
      <c r="J40" s="20">
        <v>19.793749999999999</v>
      </c>
      <c r="K40" s="20">
        <v>1.7</v>
      </c>
      <c r="L40" s="20">
        <v>158.47916666666666</v>
      </c>
      <c r="M40" s="20">
        <v>17.479166666666668</v>
      </c>
      <c r="N40" s="20">
        <v>3.6875</v>
      </c>
      <c r="O40" s="20">
        <v>16.054166666666671</v>
      </c>
      <c r="P40" s="10">
        <v>0.50624929356971693</v>
      </c>
      <c r="Q40" s="21">
        <v>0.28779166666666672</v>
      </c>
      <c r="R40" s="21">
        <v>0.33981250000000013</v>
      </c>
      <c r="S40" s="21">
        <v>0.4298958333333332</v>
      </c>
      <c r="T40" s="21">
        <v>0.43362499999999987</v>
      </c>
      <c r="U40" s="21">
        <v>0.47739583333333319</v>
      </c>
      <c r="V40" s="21">
        <v>0.36414583333333345</v>
      </c>
      <c r="W40" s="21">
        <v>0.33960416666666676</v>
      </c>
      <c r="X40" s="21">
        <v>0.28999999999999965</v>
      </c>
      <c r="Y40" s="21">
        <v>0.22726388888888885</v>
      </c>
      <c r="Z40" s="23">
        <f>AVERAGE(Q40,U40)</f>
        <v>0.38259374999999995</v>
      </c>
      <c r="AA40" s="23">
        <f>AVERAGE(R40:T40,V40:X40)</f>
        <v>0.36618055555555551</v>
      </c>
      <c r="AB40" s="23">
        <f t="shared" si="0"/>
        <v>0.36916477272727266</v>
      </c>
    </row>
    <row r="41" spans="1:28">
      <c r="A41" s="9">
        <v>43748</v>
      </c>
      <c r="B41" s="3">
        <v>171.55225574248968</v>
      </c>
      <c r="C41" s="3">
        <v>279.89822118020044</v>
      </c>
      <c r="D41" s="3">
        <v>248.44891704920772</v>
      </c>
      <c r="E41" s="3">
        <v>213.87161510873966</v>
      </c>
      <c r="F41" s="3">
        <v>298.38745623261156</v>
      </c>
      <c r="G41" s="19">
        <v>43748</v>
      </c>
      <c r="H41" s="20">
        <v>108.89583333333333</v>
      </c>
      <c r="I41" s="20">
        <v>80.045833333333334</v>
      </c>
      <c r="J41" s="20">
        <v>19.693749999999998</v>
      </c>
      <c r="K41" s="20">
        <v>50.099999999999994</v>
      </c>
      <c r="L41" s="20">
        <v>146.16666666666666</v>
      </c>
      <c r="M41" s="20">
        <v>9.6458333333333339</v>
      </c>
      <c r="N41" s="20">
        <v>1.5625</v>
      </c>
      <c r="O41" s="20">
        <v>16.05</v>
      </c>
      <c r="P41" s="10">
        <v>0.4836194442908523</v>
      </c>
      <c r="Q41" s="21">
        <v>0.29414583333333327</v>
      </c>
      <c r="R41" s="21">
        <v>0.34725000000000006</v>
      </c>
      <c r="S41" s="21">
        <v>0.43447916666666647</v>
      </c>
      <c r="T41" s="21">
        <v>0.44739583333333321</v>
      </c>
      <c r="U41" s="21">
        <v>0.47570833333333323</v>
      </c>
      <c r="V41" s="21">
        <v>0.37277083333333344</v>
      </c>
      <c r="W41" s="21">
        <v>0.34720833333333312</v>
      </c>
      <c r="X41" s="21">
        <v>0.29212499999999975</v>
      </c>
      <c r="Y41" s="21">
        <v>0.23088888888888889</v>
      </c>
      <c r="Z41" s="23">
        <f>AVERAGE(Q41,U41)</f>
        <v>0.38492708333333325</v>
      </c>
      <c r="AA41" s="23">
        <f>AVERAGE(R41:T41,V41:X41)</f>
        <v>0.3735381944444443</v>
      </c>
      <c r="AB41" s="23">
        <f t="shared" si="0"/>
        <v>0.37560890151515136</v>
      </c>
    </row>
    <row r="42" spans="1:28">
      <c r="A42" s="9">
        <v>43749</v>
      </c>
      <c r="B42" s="3">
        <v>18.159307395610483</v>
      </c>
      <c r="C42" s="3">
        <v>35.240800053760367</v>
      </c>
      <c r="D42" s="3">
        <v>12.922902235922285</v>
      </c>
      <c r="E42" s="3">
        <v>26.807039418026509</v>
      </c>
      <c r="F42" s="3">
        <v>40.338214176444069</v>
      </c>
      <c r="G42" s="19">
        <v>43749</v>
      </c>
      <c r="H42" s="20">
        <v>48.020833333333336</v>
      </c>
      <c r="I42" s="20">
        <v>91.24375000000002</v>
      </c>
      <c r="J42" s="20">
        <v>15.216666666666669</v>
      </c>
      <c r="K42" s="20">
        <v>30.299999999999997</v>
      </c>
      <c r="L42" s="20">
        <v>214.25</v>
      </c>
      <c r="M42" s="20">
        <v>3.1875</v>
      </c>
      <c r="N42" s="20">
        <v>0</v>
      </c>
      <c r="O42" s="20">
        <v>13.774999999999999</v>
      </c>
      <c r="P42" s="10">
        <v>0.15346426798467469</v>
      </c>
      <c r="Q42" s="21">
        <v>0.43931249999999994</v>
      </c>
      <c r="R42" s="21">
        <v>0.54285416666666664</v>
      </c>
      <c r="S42" s="21">
        <v>0.57870833333333327</v>
      </c>
      <c r="T42" s="21">
        <v>0.61170833333333341</v>
      </c>
      <c r="U42" s="21">
        <v>0.56714583333333346</v>
      </c>
      <c r="V42" s="21">
        <v>0.49708333333333338</v>
      </c>
      <c r="W42" s="21">
        <v>0.4718958333333334</v>
      </c>
      <c r="X42" s="21">
        <v>0.42412500000000009</v>
      </c>
      <c r="Y42" s="21">
        <v>0.30038194444444438</v>
      </c>
      <c r="Z42" s="23">
        <f>AVERAGE(Q42,U42)</f>
        <v>0.50322916666666673</v>
      </c>
      <c r="AA42" s="23">
        <f>AVERAGE(R42:T42,V42:X42)</f>
        <v>0.5210625000000001</v>
      </c>
      <c r="AB42" s="23">
        <f t="shared" si="0"/>
        <v>0.51782007575757583</v>
      </c>
    </row>
    <row r="43" spans="1:28">
      <c r="A43" s="9">
        <v>43750</v>
      </c>
      <c r="B43" s="3">
        <v>243.45432359517451</v>
      </c>
      <c r="C43" s="3">
        <v>166.40127624557979</v>
      </c>
      <c r="D43" s="3">
        <v>116.88585205606768</v>
      </c>
      <c r="E43" s="3">
        <v>131.59154338558901</v>
      </c>
      <c r="F43" s="3">
        <v>158.40569559366591</v>
      </c>
      <c r="G43" s="19">
        <v>43750</v>
      </c>
      <c r="H43" s="20">
        <v>68.729166666666671</v>
      </c>
      <c r="I43" s="20">
        <v>85.225000000000009</v>
      </c>
      <c r="J43" s="20">
        <v>14.814583333333333</v>
      </c>
      <c r="K43" s="20">
        <v>0.2</v>
      </c>
      <c r="L43" s="20">
        <v>216.85416666666666</v>
      </c>
      <c r="M43" s="20">
        <v>3.125</v>
      </c>
      <c r="N43" s="20">
        <v>0</v>
      </c>
      <c r="O43" s="20">
        <v>12.310416666666667</v>
      </c>
      <c r="P43" s="10">
        <v>0.25981954673796992</v>
      </c>
      <c r="Q43" s="21">
        <v>0.41281250000000042</v>
      </c>
      <c r="R43" s="21">
        <v>0.5306249999999999</v>
      </c>
      <c r="S43" s="21">
        <v>0.57454166666666662</v>
      </c>
      <c r="T43" s="21">
        <v>0.58956249999999977</v>
      </c>
      <c r="U43" s="21">
        <v>0.56668750000000045</v>
      </c>
      <c r="V43" s="21">
        <v>0.47218750000000026</v>
      </c>
      <c r="W43" s="21">
        <v>0.4625833333333329</v>
      </c>
      <c r="X43" s="21">
        <v>0.41389583333333319</v>
      </c>
      <c r="Y43" s="21">
        <v>0.25272222222222235</v>
      </c>
      <c r="Z43" s="23">
        <f>AVERAGE(Q43,U43)</f>
        <v>0.48975000000000046</v>
      </c>
      <c r="AA43" s="23">
        <f>AVERAGE(R43:T43,V43:X43)</f>
        <v>0.5072326388888887</v>
      </c>
      <c r="AB43" s="23">
        <f t="shared" si="0"/>
        <v>0.50405397727272716</v>
      </c>
    </row>
    <row r="44" spans="1:28">
      <c r="A44" s="9">
        <v>43751</v>
      </c>
      <c r="B44" s="3">
        <v>16.790839037219268</v>
      </c>
      <c r="C44" s="3">
        <v>47.034767930302486</v>
      </c>
      <c r="D44" s="3">
        <v>25.640546930461468</v>
      </c>
      <c r="E44" s="3">
        <v>45.370689059516096</v>
      </c>
      <c r="F44" s="3">
        <v>74.114035897413473</v>
      </c>
      <c r="G44" s="19">
        <v>43751</v>
      </c>
      <c r="H44" s="20">
        <v>57.270833333333336</v>
      </c>
      <c r="I44" s="20">
        <v>88.364583333333329</v>
      </c>
      <c r="J44" s="20">
        <v>14.27708333333333</v>
      </c>
      <c r="K44" s="20">
        <v>3.2000000000000006</v>
      </c>
      <c r="L44" s="20">
        <v>193.83333333333334</v>
      </c>
      <c r="M44" s="20">
        <v>2.75</v>
      </c>
      <c r="N44" s="20">
        <v>0</v>
      </c>
      <c r="O44" s="20">
        <v>12.364583333333334</v>
      </c>
      <c r="P44" s="10">
        <v>0.19143727603215976</v>
      </c>
      <c r="Q44" s="21">
        <v>0.40383333333333366</v>
      </c>
      <c r="R44" s="21">
        <v>0.52149999999999952</v>
      </c>
      <c r="S44" s="21">
        <v>0.5697916666666667</v>
      </c>
      <c r="T44" s="21">
        <v>0.58418749999999953</v>
      </c>
      <c r="U44" s="21">
        <v>0.56295833333333367</v>
      </c>
      <c r="V44" s="21">
        <v>0.46620833333333306</v>
      </c>
      <c r="W44" s="21">
        <v>0.45960416666666665</v>
      </c>
      <c r="X44" s="21">
        <v>0.41081249999999986</v>
      </c>
      <c r="Y44" s="21">
        <v>0.24794444444444441</v>
      </c>
      <c r="Z44" s="23">
        <f>AVERAGE(Q44,U44)</f>
        <v>0.48339583333333369</v>
      </c>
      <c r="AA44" s="23">
        <f>AVERAGE(R44:T44,V44:X44)</f>
        <v>0.50201736111111095</v>
      </c>
      <c r="AB44" s="23">
        <f t="shared" si="0"/>
        <v>0.4986316287878787</v>
      </c>
    </row>
    <row r="45" spans="1:28">
      <c r="A45" s="9">
        <v>43752</v>
      </c>
      <c r="B45" s="3">
        <v>14.050644681277095</v>
      </c>
      <c r="C45" s="3">
        <v>35.17108799068788</v>
      </c>
      <c r="D45" s="3">
        <v>13.598664827884205</v>
      </c>
      <c r="E45" s="3">
        <v>34.82338122413082</v>
      </c>
      <c r="F45" s="3">
        <v>63.767199877271445</v>
      </c>
      <c r="G45" s="19">
        <v>43752</v>
      </c>
      <c r="H45" s="20">
        <v>38</v>
      </c>
      <c r="I45" s="20">
        <v>91.922916666666694</v>
      </c>
      <c r="J45" s="20">
        <v>14.127083333333331</v>
      </c>
      <c r="K45" s="20">
        <v>4.6000000000000005</v>
      </c>
      <c r="L45" s="20">
        <v>151.97916666666666</v>
      </c>
      <c r="M45" s="20">
        <v>2.4166666666666665</v>
      </c>
      <c r="N45" s="20">
        <v>0</v>
      </c>
      <c r="O45" s="20">
        <v>12.822916666666666</v>
      </c>
      <c r="P45" s="10">
        <v>0.13339731980143324</v>
      </c>
      <c r="Q45" s="21">
        <v>0.42087499999999989</v>
      </c>
      <c r="R45" s="21">
        <v>0.52970833333333367</v>
      </c>
      <c r="S45" s="21">
        <v>0.57481250000000006</v>
      </c>
      <c r="T45" s="21">
        <v>0.58743749999999983</v>
      </c>
      <c r="U45" s="21">
        <v>0.56679166666666636</v>
      </c>
      <c r="V45" s="21">
        <v>0.46522916666666636</v>
      </c>
      <c r="W45" s="21">
        <v>0.45797916666666655</v>
      </c>
      <c r="X45" s="21">
        <v>0.40962500000000007</v>
      </c>
      <c r="Y45" s="21">
        <v>0.2597430555555556</v>
      </c>
      <c r="Z45" s="23">
        <f>AVERAGE(Q45,U45)</f>
        <v>0.49383333333333312</v>
      </c>
      <c r="AA45" s="23">
        <f>AVERAGE(R45:T45,V45:X45)</f>
        <v>0.50413194444444442</v>
      </c>
      <c r="AB45" s="23">
        <f t="shared" si="0"/>
        <v>0.50225946969696955</v>
      </c>
    </row>
    <row r="46" spans="1:28">
      <c r="A46" s="9">
        <v>43753</v>
      </c>
      <c r="B46" s="3">
        <v>1.8163873103864163</v>
      </c>
      <c r="C46" s="3">
        <v>21.513611748913313</v>
      </c>
      <c r="D46" s="3">
        <v>17.328854858128402</v>
      </c>
      <c r="E46" s="3">
        <v>46.565762394118764</v>
      </c>
      <c r="F46" s="3">
        <v>73.030444377481032</v>
      </c>
      <c r="G46" s="19">
        <v>43753</v>
      </c>
      <c r="H46" s="20">
        <v>33.625</v>
      </c>
      <c r="I46" s="20">
        <v>91.475000000000009</v>
      </c>
      <c r="J46" s="20">
        <v>14.206250000000002</v>
      </c>
      <c r="K46" s="20">
        <v>1.2</v>
      </c>
      <c r="L46" s="20">
        <v>132.72916666666666</v>
      </c>
      <c r="M46" s="20">
        <v>7.145833333333333</v>
      </c>
      <c r="N46" s="20">
        <v>1.1041666666666667</v>
      </c>
      <c r="O46" s="20">
        <v>12.820833333333335</v>
      </c>
      <c r="P46" s="10">
        <v>0.14058578267494343</v>
      </c>
      <c r="Q46" s="21">
        <v>0.42297916666666646</v>
      </c>
      <c r="R46" s="21">
        <v>0.53281250000000013</v>
      </c>
      <c r="S46" s="21">
        <v>0.57591666666666674</v>
      </c>
      <c r="T46" s="21">
        <v>0.59037499999999976</v>
      </c>
      <c r="U46" s="21">
        <v>0.56893749999999954</v>
      </c>
      <c r="V46" s="21">
        <v>0.46731249999999996</v>
      </c>
      <c r="W46" s="21">
        <v>0.45760416666666698</v>
      </c>
      <c r="X46" s="21">
        <v>0.40947916666666667</v>
      </c>
      <c r="Y46" s="21">
        <v>0.25052777777777779</v>
      </c>
      <c r="Z46" s="23">
        <f>AVERAGE(Q46,U46)</f>
        <v>0.495958333333333</v>
      </c>
      <c r="AA46" s="23">
        <f>AVERAGE(R46:T46,V46:X46)</f>
        <v>0.50558333333333338</v>
      </c>
      <c r="AB46" s="23">
        <f t="shared" si="0"/>
        <v>0.50383333333333336</v>
      </c>
    </row>
    <row r="47" spans="1:28">
      <c r="A47" s="9">
        <v>43754</v>
      </c>
      <c r="B47" s="3">
        <v>3.3897790243817627</v>
      </c>
      <c r="C47" s="3">
        <v>16.228839751512027</v>
      </c>
      <c r="D47" s="3">
        <v>4.9839115911953487</v>
      </c>
      <c r="E47" s="3">
        <v>14.62029988019574</v>
      </c>
      <c r="F47" s="3">
        <v>39.290600108043918</v>
      </c>
      <c r="G47" s="19">
        <v>43754</v>
      </c>
      <c r="H47" s="20">
        <v>45.3125</v>
      </c>
      <c r="I47" s="20">
        <v>93.197916666666643</v>
      </c>
      <c r="J47" s="20">
        <v>14.518750000000004</v>
      </c>
      <c r="K47" s="20">
        <v>9.9999999999999964</v>
      </c>
      <c r="L47" s="20">
        <v>183.41666666666666</v>
      </c>
      <c r="M47" s="20">
        <v>5.458333333333333</v>
      </c>
      <c r="N47" s="20">
        <v>0.52083333333333337</v>
      </c>
      <c r="O47" s="20">
        <v>13.424999999999999</v>
      </c>
      <c r="P47" s="10">
        <v>0.11286266982109644</v>
      </c>
      <c r="Q47" s="21">
        <v>0.43881249999999999</v>
      </c>
      <c r="R47" s="21">
        <v>0.54131249999999997</v>
      </c>
      <c r="S47" s="21">
        <v>0.58074999999999977</v>
      </c>
      <c r="T47" s="21">
        <v>0.60075000000000001</v>
      </c>
      <c r="U47" s="21">
        <v>0.57835416666666617</v>
      </c>
      <c r="V47" s="21">
        <v>0.48145833333333332</v>
      </c>
      <c r="W47" s="21">
        <v>0.46089583333333334</v>
      </c>
      <c r="X47" s="21">
        <v>0.41152083333333339</v>
      </c>
      <c r="Y47" s="21">
        <v>0.26696527777777773</v>
      </c>
      <c r="Z47" s="23">
        <f>AVERAGE(Q47,U47)</f>
        <v>0.50858333333333305</v>
      </c>
      <c r="AA47" s="23">
        <f>AVERAGE(R47:T47,V47:X47)</f>
        <v>0.51278124999999997</v>
      </c>
      <c r="AB47" s="23">
        <f t="shared" si="0"/>
        <v>0.5120179924242424</v>
      </c>
    </row>
    <row r="48" spans="1:28">
      <c r="A48" s="9">
        <v>43755</v>
      </c>
      <c r="B48" s="3">
        <v>9.0203091242461328E-2</v>
      </c>
      <c r="C48" s="3">
        <v>14.121419479334598</v>
      </c>
      <c r="D48" s="3">
        <v>5.1413881739975835</v>
      </c>
      <c r="E48" s="3">
        <v>35.164560561613719</v>
      </c>
      <c r="F48" s="3">
        <v>45.392059618776592</v>
      </c>
      <c r="G48" s="19">
        <v>43755</v>
      </c>
      <c r="H48" s="20">
        <v>52.729166666666664</v>
      </c>
      <c r="I48" s="20">
        <v>92.393750000000011</v>
      </c>
      <c r="J48" s="20">
        <v>12.731249999999998</v>
      </c>
      <c r="K48" s="20">
        <v>10.299999999999995</v>
      </c>
      <c r="L48" s="20">
        <v>127.3125</v>
      </c>
      <c r="M48" s="20">
        <v>4.895833333333333</v>
      </c>
      <c r="N48" s="20">
        <v>0.125</v>
      </c>
      <c r="O48" s="20">
        <v>11.520833333333334</v>
      </c>
      <c r="P48" s="10">
        <v>0.11273536146222267</v>
      </c>
      <c r="Q48" s="21">
        <v>0.44983333333333331</v>
      </c>
      <c r="R48" s="21">
        <v>0.54858333333333353</v>
      </c>
      <c r="S48" s="21">
        <v>0.58462499999999962</v>
      </c>
      <c r="T48" s="21">
        <v>0.60879166666666673</v>
      </c>
      <c r="U48" s="21">
        <v>0.59562500000000007</v>
      </c>
      <c r="V48" s="21">
        <v>0.49295833333333317</v>
      </c>
      <c r="W48" s="21">
        <v>0.4687083333333335</v>
      </c>
      <c r="X48" s="21">
        <v>0.422375</v>
      </c>
      <c r="Y48" s="21">
        <v>0.27507638888888891</v>
      </c>
      <c r="Z48" s="23">
        <f>AVERAGE(Q48,U48)</f>
        <v>0.52272916666666669</v>
      </c>
      <c r="AA48" s="23">
        <f>AVERAGE(R48:T48,V48:X48)</f>
        <v>0.52100694444444451</v>
      </c>
      <c r="AB48" s="23">
        <f t="shared" si="0"/>
        <v>0.52132007575757577</v>
      </c>
    </row>
    <row r="49" spans="1:28">
      <c r="A49" s="9">
        <v>43756</v>
      </c>
      <c r="B49" s="3">
        <v>310.47128798623669</v>
      </c>
      <c r="C49" s="3">
        <v>216.96232493434846</v>
      </c>
      <c r="D49" s="3">
        <v>271.72212992904917</v>
      </c>
      <c r="E49" s="3">
        <v>320.7677490414834</v>
      </c>
      <c r="F49" s="3">
        <v>235.24818396996642</v>
      </c>
      <c r="G49" s="19">
        <v>43756</v>
      </c>
      <c r="H49" s="20">
        <v>96.770833333333329</v>
      </c>
      <c r="I49" s="20">
        <v>83.75833333333334</v>
      </c>
      <c r="J49" s="20">
        <v>13.274999999999999</v>
      </c>
      <c r="K49" s="20">
        <v>0</v>
      </c>
      <c r="L49" s="20">
        <v>163.60416666666666</v>
      </c>
      <c r="M49" s="20">
        <v>1.5208333333333333</v>
      </c>
      <c r="N49" s="20">
        <v>0</v>
      </c>
      <c r="O49" s="20">
        <v>10.441666666666665</v>
      </c>
      <c r="P49" s="10">
        <v>0.276642321359368</v>
      </c>
      <c r="Q49" s="21">
        <v>0.4268333333333334</v>
      </c>
      <c r="R49" s="21">
        <v>0.53522916666666653</v>
      </c>
      <c r="S49" s="21">
        <v>0.57531250000000012</v>
      </c>
      <c r="T49" s="21">
        <v>0.59099999999999997</v>
      </c>
      <c r="U49" s="21">
        <v>0.59083333333333299</v>
      </c>
      <c r="V49" s="21">
        <v>0.47733333333333317</v>
      </c>
      <c r="W49" s="21">
        <v>0.46389583333333295</v>
      </c>
      <c r="X49" s="21">
        <v>0.41756249999999984</v>
      </c>
      <c r="Y49" s="21">
        <v>0.25320138888888882</v>
      </c>
      <c r="Z49" s="23">
        <f>AVERAGE(Q49,U49)</f>
        <v>0.50883333333333325</v>
      </c>
      <c r="AA49" s="23">
        <f>AVERAGE(R49:T49,V49:X49)</f>
        <v>0.51005555555555537</v>
      </c>
      <c r="AB49" s="23">
        <f t="shared" si="0"/>
        <v>0.50983333333333314</v>
      </c>
    </row>
    <row r="50" spans="1:28">
      <c r="A50" s="9">
        <v>43757</v>
      </c>
      <c r="B50" s="3">
        <v>211.53582837916056</v>
      </c>
      <c r="C50" s="3">
        <v>169.87845358507647</v>
      </c>
      <c r="D50" s="3">
        <v>209.95845974033975</v>
      </c>
      <c r="E50" s="3">
        <v>227.94428336618546</v>
      </c>
      <c r="F50" s="3">
        <v>196.59378098186662</v>
      </c>
      <c r="G50" s="19">
        <v>43757</v>
      </c>
      <c r="H50" s="20">
        <v>63.125</v>
      </c>
      <c r="I50" s="20">
        <v>87.647916666666674</v>
      </c>
      <c r="J50" s="20">
        <v>14.202083333333329</v>
      </c>
      <c r="K50" s="20">
        <v>0</v>
      </c>
      <c r="L50" s="20">
        <v>128.75</v>
      </c>
      <c r="M50" s="20">
        <v>3.7291666666666665</v>
      </c>
      <c r="N50" s="20">
        <v>0.10416666666666667</v>
      </c>
      <c r="O50" s="20">
        <v>12.120833333333332</v>
      </c>
      <c r="P50" s="10">
        <v>0.21801398911277289</v>
      </c>
      <c r="Q50" s="21">
        <v>0.41614583333333349</v>
      </c>
      <c r="R50" s="21">
        <v>0.52645833333333358</v>
      </c>
      <c r="S50" s="21">
        <v>0.57039583333333288</v>
      </c>
      <c r="T50" s="21">
        <v>0.58520833333333322</v>
      </c>
      <c r="U50" s="21">
        <v>0.58597916666666683</v>
      </c>
      <c r="V50" s="21">
        <v>0.46952083333333322</v>
      </c>
      <c r="W50" s="21">
        <v>0.45993750000000011</v>
      </c>
      <c r="X50" s="21">
        <v>0.41306249999999994</v>
      </c>
      <c r="Y50" s="21">
        <v>0.24588888888888882</v>
      </c>
      <c r="Z50" s="23">
        <f>AVERAGE(Q50,U50)</f>
        <v>0.50106250000000019</v>
      </c>
      <c r="AA50" s="23">
        <f>AVERAGE(R50:T50,V50:X50)</f>
        <v>0.5040972222222222</v>
      </c>
      <c r="AB50" s="23">
        <f t="shared" si="0"/>
        <v>0.50354545454545452</v>
      </c>
    </row>
    <row r="51" spans="1:28">
      <c r="A51" s="9">
        <v>43758</v>
      </c>
      <c r="B51" s="3">
        <v>0.98050493955777362</v>
      </c>
      <c r="C51" s="3">
        <v>5.6467555167578309</v>
      </c>
      <c r="D51" s="3">
        <v>1.2176813541634313</v>
      </c>
      <c r="E51" s="3">
        <v>1.9569343250649907</v>
      </c>
      <c r="F51" s="3">
        <v>3.8072371719417077</v>
      </c>
      <c r="G51" s="19">
        <v>43758</v>
      </c>
      <c r="H51" s="20">
        <v>22.395833333333332</v>
      </c>
      <c r="I51" s="20">
        <v>94.777083333333337</v>
      </c>
      <c r="J51" s="20">
        <v>14.639583333333333</v>
      </c>
      <c r="K51" s="20">
        <v>1.7999999999999998</v>
      </c>
      <c r="L51" s="20">
        <v>123.22916666666667</v>
      </c>
      <c r="M51" s="20">
        <v>3.4583333333333335</v>
      </c>
      <c r="N51" s="20">
        <v>4.1666666666666664E-2</v>
      </c>
      <c r="O51" s="20">
        <v>13.808333333333328</v>
      </c>
      <c r="P51" s="10">
        <v>8.6950544517182607E-2</v>
      </c>
      <c r="Q51" s="21">
        <v>0.41370833333333357</v>
      </c>
      <c r="R51" s="21">
        <v>0.52322916666666652</v>
      </c>
      <c r="S51" s="21">
        <v>0.5689999999999994</v>
      </c>
      <c r="T51" s="21">
        <v>0.58289583333333295</v>
      </c>
      <c r="U51" s="21">
        <v>0.58468750000000014</v>
      </c>
      <c r="V51" s="21">
        <v>0.46737499999999971</v>
      </c>
      <c r="W51" s="21">
        <v>0.45885416666666629</v>
      </c>
      <c r="X51" s="21">
        <v>0.41112500000000002</v>
      </c>
      <c r="Y51" s="21">
        <v>0.24630555555555542</v>
      </c>
      <c r="Z51" s="23">
        <f>AVERAGE(Q51,U51)</f>
        <v>0.49919791666666685</v>
      </c>
      <c r="AA51" s="23">
        <f>AVERAGE(R51:T51,V51:X51)</f>
        <v>0.50207986111111091</v>
      </c>
      <c r="AB51" s="23">
        <f t="shared" si="0"/>
        <v>0.50155587121212097</v>
      </c>
    </row>
    <row r="52" spans="1:28">
      <c r="A52" s="9">
        <v>43759</v>
      </c>
      <c r="B52" s="3">
        <v>49.953246275515681</v>
      </c>
      <c r="C52" s="3">
        <v>83.476488611120345</v>
      </c>
      <c r="D52" s="3">
        <v>63.383868601197683</v>
      </c>
      <c r="E52" s="3">
        <v>110.09626705166498</v>
      </c>
      <c r="F52" s="3">
        <v>123.27643939830678</v>
      </c>
      <c r="G52" s="19">
        <v>43759</v>
      </c>
      <c r="H52" s="20">
        <v>40.520833333333336</v>
      </c>
      <c r="I52" s="20">
        <v>91.770833333333357</v>
      </c>
      <c r="J52" s="20">
        <v>16.420833333333331</v>
      </c>
      <c r="K52" s="20">
        <v>5.7000000000000011</v>
      </c>
      <c r="L52" s="20">
        <v>119.875</v>
      </c>
      <c r="M52" s="20">
        <v>11.020833333333334</v>
      </c>
      <c r="N52" s="20">
        <v>2.4166666666666665</v>
      </c>
      <c r="O52" s="20">
        <v>15.068749999999996</v>
      </c>
      <c r="P52" s="10">
        <v>0.15874243716037986</v>
      </c>
      <c r="Q52" s="21">
        <v>0.44345833333333334</v>
      </c>
      <c r="R52" s="21">
        <v>0.53997916666666679</v>
      </c>
      <c r="S52" s="21">
        <v>0.57852083333333315</v>
      </c>
      <c r="T52" s="21">
        <v>0.59187500000000015</v>
      </c>
      <c r="U52" s="21">
        <v>0.59647916666666656</v>
      </c>
      <c r="V52" s="21">
        <v>0.48487500000000011</v>
      </c>
      <c r="W52" s="21">
        <v>0.46077083333333319</v>
      </c>
      <c r="X52" s="21">
        <v>0.41214583333333343</v>
      </c>
      <c r="Y52" s="21">
        <v>0.26059027777777782</v>
      </c>
      <c r="Z52" s="23">
        <f>AVERAGE(Q52,U52)</f>
        <v>0.51996874999999998</v>
      </c>
      <c r="AA52" s="23">
        <f>AVERAGE(R52:T52,V52:X52)</f>
        <v>0.51136111111111104</v>
      </c>
      <c r="AB52" s="23">
        <f t="shared" si="0"/>
        <v>0.51292613636363626</v>
      </c>
    </row>
    <row r="53" spans="1:28">
      <c r="A53" s="9">
        <v>43760</v>
      </c>
      <c r="B53" s="3">
        <v>49.522771664347069</v>
      </c>
      <c r="C53" s="3">
        <v>95.05007701276341</v>
      </c>
      <c r="D53" s="3">
        <v>70.78962361636539</v>
      </c>
      <c r="E53" s="3">
        <v>135.05855957997409</v>
      </c>
      <c r="F53" s="3">
        <v>159.14216045839595</v>
      </c>
      <c r="G53" s="19">
        <v>43760</v>
      </c>
      <c r="H53" s="20">
        <v>39.395833333333336</v>
      </c>
      <c r="I53" s="20">
        <v>88.72708333333334</v>
      </c>
      <c r="J53" s="20">
        <v>16.168749999999996</v>
      </c>
      <c r="K53" s="20">
        <v>2</v>
      </c>
      <c r="L53" s="20">
        <v>157.16666666666666</v>
      </c>
      <c r="M53" s="20">
        <v>8.7916666666666661</v>
      </c>
      <c r="N53" s="20">
        <v>1.1458333333333333</v>
      </c>
      <c r="O53" s="20">
        <v>14.293749999999996</v>
      </c>
      <c r="P53" s="10">
        <v>0.20863673937853264</v>
      </c>
      <c r="Q53" s="21">
        <v>0.43374999999999969</v>
      </c>
      <c r="R53" s="21">
        <v>0.53716666666666701</v>
      </c>
      <c r="S53" s="21">
        <v>0.57706249999999981</v>
      </c>
      <c r="T53" s="21">
        <v>0.59083333333333288</v>
      </c>
      <c r="U53" s="21">
        <v>0.59668750000000004</v>
      </c>
      <c r="V53" s="21">
        <v>0.48025000000000029</v>
      </c>
      <c r="W53" s="21">
        <v>0.46197916666666644</v>
      </c>
      <c r="X53" s="21">
        <v>0.41310416666666677</v>
      </c>
      <c r="Y53" s="21">
        <v>0.25275694444444446</v>
      </c>
      <c r="Z53" s="23">
        <f>AVERAGE(Q53,U53)</f>
        <v>0.51521874999999984</v>
      </c>
      <c r="AA53" s="23">
        <f>AVERAGE(R53:T53,V53:X53)</f>
        <v>0.51006597222222227</v>
      </c>
      <c r="AB53" s="23">
        <f t="shared" si="0"/>
        <v>0.51100284090909087</v>
      </c>
    </row>
    <row r="54" spans="1:28">
      <c r="A54" s="9">
        <v>43761</v>
      </c>
      <c r="B54" s="3">
        <v>134.98320023551153</v>
      </c>
      <c r="C54" s="3">
        <v>136.52614696143786</v>
      </c>
      <c r="D54" s="3">
        <v>123.69488099707496</v>
      </c>
      <c r="E54" s="3">
        <v>150.78429130711956</v>
      </c>
      <c r="F54" s="3">
        <v>172.71643713183423</v>
      </c>
      <c r="G54" s="19">
        <v>43761</v>
      </c>
      <c r="H54" s="20">
        <v>41.645833333333336</v>
      </c>
      <c r="I54" s="20">
        <v>87.854166666666686</v>
      </c>
      <c r="J54" s="20">
        <v>14.085416666666667</v>
      </c>
      <c r="K54" s="20">
        <v>0</v>
      </c>
      <c r="L54" s="20">
        <v>155.875</v>
      </c>
      <c r="M54" s="20">
        <v>3.2291666666666665</v>
      </c>
      <c r="N54" s="20">
        <v>0.125</v>
      </c>
      <c r="O54" s="20">
        <v>12.066666666666665</v>
      </c>
      <c r="P54" s="10">
        <v>0.20082782698713875</v>
      </c>
      <c r="Q54" s="21">
        <v>0.42564583333333333</v>
      </c>
      <c r="R54" s="21">
        <v>0.5312916666666665</v>
      </c>
      <c r="S54" s="21">
        <v>0.57429166666666664</v>
      </c>
      <c r="T54" s="21">
        <v>0.58749999999999947</v>
      </c>
      <c r="U54" s="21">
        <v>0.59195833333333359</v>
      </c>
      <c r="V54" s="21">
        <v>0.47452083333333345</v>
      </c>
      <c r="W54" s="21">
        <v>0.46093750000000028</v>
      </c>
      <c r="X54" s="21">
        <v>0.41262500000000002</v>
      </c>
      <c r="Y54" s="21">
        <v>0.24770138888888907</v>
      </c>
      <c r="Z54" s="23">
        <f>AVERAGE(Q54,U54)</f>
        <v>0.50880208333333343</v>
      </c>
      <c r="AA54" s="23">
        <f>AVERAGE(R54:T54,V54:X54)</f>
        <v>0.5068611111111111</v>
      </c>
      <c r="AB54" s="23">
        <f t="shared" si="0"/>
        <v>0.50721401515151521</v>
      </c>
    </row>
    <row r="55" spans="1:28">
      <c r="A55" s="9">
        <v>43762</v>
      </c>
      <c r="B55" s="3">
        <v>82.344466905429783</v>
      </c>
      <c r="C55" s="3">
        <v>55.873084992683587</v>
      </c>
      <c r="D55" s="3">
        <v>57.328952263624082</v>
      </c>
      <c r="E55" s="3">
        <v>74.603510038695688</v>
      </c>
      <c r="F55" s="3">
        <v>97.711271973367687</v>
      </c>
      <c r="G55" s="19">
        <v>43762</v>
      </c>
      <c r="H55" s="20">
        <v>35.916666666666664</v>
      </c>
      <c r="I55" s="20">
        <v>89.072916666666643</v>
      </c>
      <c r="J55" s="20">
        <v>13.091666666666669</v>
      </c>
      <c r="K55" s="20">
        <v>0.2</v>
      </c>
      <c r="L55" s="20">
        <v>113</v>
      </c>
      <c r="M55" s="20">
        <v>4.479166666666667</v>
      </c>
      <c r="N55" s="20">
        <v>4.1666666666666664E-2</v>
      </c>
      <c r="O55" s="20">
        <v>11.333333333333336</v>
      </c>
      <c r="P55" s="10">
        <v>0.16525764956053701</v>
      </c>
      <c r="Q55" s="21">
        <v>0.41756249999999978</v>
      </c>
      <c r="R55" s="21">
        <v>0.52468749999999997</v>
      </c>
      <c r="S55" s="21">
        <v>0.5703958333333331</v>
      </c>
      <c r="T55" s="21">
        <v>0.5842916666666661</v>
      </c>
      <c r="U55" s="21">
        <v>0.58729166666666599</v>
      </c>
      <c r="V55" s="21">
        <v>0.46954166666666675</v>
      </c>
      <c r="W55" s="21">
        <v>0.45943749999999989</v>
      </c>
      <c r="X55" s="21">
        <v>0.41125000000000006</v>
      </c>
      <c r="Y55" s="21">
        <v>0.24356250000000021</v>
      </c>
      <c r="Z55" s="23">
        <f>AVERAGE(Q55,U55)</f>
        <v>0.50242708333333286</v>
      </c>
      <c r="AA55" s="23">
        <f>AVERAGE(R55:T55,V55:X55)</f>
        <v>0.50326736111111103</v>
      </c>
      <c r="AB55" s="23">
        <f t="shared" si="0"/>
        <v>0.50311458333333325</v>
      </c>
    </row>
    <row r="56" spans="1:28">
      <c r="A56" s="9">
        <v>43763</v>
      </c>
      <c r="B56" s="3">
        <v>17.208880298202619</v>
      </c>
      <c r="C56" s="3">
        <v>0.17088534165619543</v>
      </c>
      <c r="D56" s="3">
        <v>2.6101799949557876</v>
      </c>
      <c r="E56" s="3">
        <v>1.1691303204187748</v>
      </c>
      <c r="F56" s="3">
        <v>1.8716798572161488</v>
      </c>
      <c r="G56" s="19">
        <v>43763</v>
      </c>
      <c r="H56" s="20">
        <v>31.791666666666668</v>
      </c>
      <c r="I56" s="20">
        <v>94.6875</v>
      </c>
      <c r="J56" s="20">
        <v>12.662500000000007</v>
      </c>
      <c r="K56" s="20">
        <v>3.600000000000001</v>
      </c>
      <c r="L56" s="20">
        <v>147.8125</v>
      </c>
      <c r="M56" s="20">
        <v>2.7916666666666665</v>
      </c>
      <c r="N56" s="20">
        <v>0</v>
      </c>
      <c r="O56" s="20">
        <v>11.827083333333336</v>
      </c>
      <c r="P56" s="10">
        <v>7.7976691749552504E-2</v>
      </c>
      <c r="Q56" s="21">
        <v>0.42149999999999999</v>
      </c>
      <c r="R56" s="21">
        <v>0.52224999999999999</v>
      </c>
      <c r="S56" s="21">
        <v>0.56860416666666658</v>
      </c>
      <c r="T56" s="21">
        <v>0.5819375</v>
      </c>
      <c r="U56" s="21">
        <v>0.58583333333333321</v>
      </c>
      <c r="V56" s="21">
        <v>0.46754166666666647</v>
      </c>
      <c r="W56" s="21">
        <v>0.45810416666666631</v>
      </c>
      <c r="X56" s="21">
        <v>0.4102291666666667</v>
      </c>
      <c r="Y56" s="21">
        <v>0.2500208333333333</v>
      </c>
      <c r="Z56" s="23">
        <f>AVERAGE(Q56,U56)</f>
        <v>0.5036666666666666</v>
      </c>
      <c r="AA56" s="23">
        <f>AVERAGE(R56:T56,V56:X56)</f>
        <v>0.50144444444444436</v>
      </c>
      <c r="AB56" s="23">
        <f t="shared" si="0"/>
        <v>0.50184848484848477</v>
      </c>
    </row>
    <row r="57" spans="1:28">
      <c r="A57" s="9">
        <v>43764</v>
      </c>
      <c r="B57" s="3">
        <v>11.65826862052843</v>
      </c>
      <c r="C57" s="3">
        <v>5.901280419399753</v>
      </c>
      <c r="D57" s="3">
        <v>3.8111190290983652</v>
      </c>
      <c r="E57" s="3">
        <v>25.053980950003897</v>
      </c>
      <c r="F57" s="3">
        <v>42.360155752809817</v>
      </c>
      <c r="G57" s="19">
        <v>43764</v>
      </c>
      <c r="H57" s="20">
        <v>36.083333333333336</v>
      </c>
      <c r="I57" s="20">
        <v>95.00208333333336</v>
      </c>
      <c r="J57" s="20">
        <v>11.022916666666665</v>
      </c>
      <c r="K57" s="20">
        <v>1.2</v>
      </c>
      <c r="L57" s="20">
        <v>196.27083333333334</v>
      </c>
      <c r="M57" s="20">
        <v>2.1458333333333335</v>
      </c>
      <c r="N57" s="20">
        <v>2.0833333333333332E-2</v>
      </c>
      <c r="O57" s="20">
        <v>10.243749999999997</v>
      </c>
      <c r="P57" s="10">
        <v>6.6807596068204564E-2</v>
      </c>
      <c r="Q57" s="21">
        <v>0.43541666666666662</v>
      </c>
      <c r="R57" s="21">
        <v>0.5300208333333335</v>
      </c>
      <c r="S57" s="21">
        <v>0.57160416666666658</v>
      </c>
      <c r="T57" s="21">
        <v>0.58185416666666601</v>
      </c>
      <c r="U57" s="21">
        <v>0.58783333333333354</v>
      </c>
      <c r="V57" s="21">
        <v>0.46775000000000011</v>
      </c>
      <c r="W57" s="21">
        <v>0.4573125000000004</v>
      </c>
      <c r="X57" s="21">
        <v>0.40983333333333344</v>
      </c>
      <c r="Y57" s="21">
        <v>0.25022222222222218</v>
      </c>
      <c r="Z57" s="23">
        <f>AVERAGE(Q57,U57)</f>
        <v>0.51162500000000011</v>
      </c>
      <c r="AA57" s="23">
        <f>AVERAGE(R57:T57,V57:X57)</f>
        <v>0.50306249999999997</v>
      </c>
      <c r="AB57" s="23">
        <f t="shared" si="0"/>
        <v>0.50461931818181816</v>
      </c>
    </row>
    <row r="58" spans="1:28">
      <c r="A58" s="9">
        <v>43765</v>
      </c>
      <c r="B58" s="3">
        <v>29.475131493694601</v>
      </c>
      <c r="C58" s="3">
        <v>25.04916282317738</v>
      </c>
      <c r="D58" s="3">
        <v>19.112542681807348</v>
      </c>
      <c r="E58" s="3">
        <v>40.847799629537427</v>
      </c>
      <c r="F58" s="3">
        <v>60.130652477015524</v>
      </c>
      <c r="G58" s="19">
        <v>43765</v>
      </c>
      <c r="H58" s="20">
        <v>40.604166666666664</v>
      </c>
      <c r="I58" s="20">
        <v>92.260416666666686</v>
      </c>
      <c r="J58" s="20">
        <v>10.350000000000001</v>
      </c>
      <c r="K58" s="20">
        <v>2.9000000000000004</v>
      </c>
      <c r="L58" s="20">
        <v>159.3125</v>
      </c>
      <c r="M58" s="20">
        <v>1.9375</v>
      </c>
      <c r="N58" s="20">
        <v>0</v>
      </c>
      <c r="O58" s="20">
        <v>9.1291666666666664</v>
      </c>
      <c r="P58" s="10">
        <v>0.10070052315620774</v>
      </c>
      <c r="Q58" s="21">
        <v>0.43977083333333339</v>
      </c>
      <c r="R58" s="21">
        <v>0.53514583333333343</v>
      </c>
      <c r="S58" s="21">
        <v>0.57416666666666683</v>
      </c>
      <c r="T58" s="21">
        <v>0.58710416666666676</v>
      </c>
      <c r="U58" s="21">
        <v>0.58891666666666675</v>
      </c>
      <c r="V58" s="21">
        <v>0.47072916666666681</v>
      </c>
      <c r="W58" s="21">
        <v>0.45647916666666649</v>
      </c>
      <c r="X58" s="21">
        <v>0.40908333333333341</v>
      </c>
      <c r="Y58" s="21">
        <v>0.25239583333333337</v>
      </c>
      <c r="Z58" s="23">
        <f>AVERAGE(Q58,U58)</f>
        <v>0.5143437500000001</v>
      </c>
      <c r="AA58" s="23">
        <f>AVERAGE(R58:T58,V58:X58)</f>
        <v>0.50545138888888885</v>
      </c>
      <c r="AB58" s="23">
        <f t="shared" si="0"/>
        <v>0.50706818181818181</v>
      </c>
    </row>
    <row r="59" spans="1:28">
      <c r="A59" s="9">
        <v>43766</v>
      </c>
      <c r="B59" s="3">
        <v>389.22491221110516</v>
      </c>
      <c r="C59" s="3">
        <v>319.46816075647217</v>
      </c>
      <c r="D59" s="3">
        <v>314.38944769175976</v>
      </c>
      <c r="E59" s="3">
        <v>335.26258651912008</v>
      </c>
      <c r="F59" s="3">
        <v>320.38075973784157</v>
      </c>
      <c r="G59" s="19">
        <v>43766</v>
      </c>
      <c r="H59" s="20">
        <v>139.10416666666666</v>
      </c>
      <c r="I59" s="20">
        <v>81.218750000000014</v>
      </c>
      <c r="J59" s="20">
        <v>12.020833333333336</v>
      </c>
      <c r="K59" s="20">
        <v>1.5999999999999999</v>
      </c>
      <c r="L59" s="20">
        <v>208.54166666666666</v>
      </c>
      <c r="M59" s="20">
        <v>3.8333333333333335</v>
      </c>
      <c r="N59" s="20">
        <v>6.25E-2</v>
      </c>
      <c r="O59" s="20">
        <v>8.6624999999999996</v>
      </c>
      <c r="P59" s="10">
        <v>0.3061727811525578</v>
      </c>
      <c r="Q59" s="21">
        <v>0.43185416666666659</v>
      </c>
      <c r="R59" s="21">
        <v>0.53062499999999979</v>
      </c>
      <c r="S59" s="21">
        <v>0.57099999999999951</v>
      </c>
      <c r="T59" s="21">
        <v>0.58672916666666619</v>
      </c>
      <c r="U59" s="21">
        <v>0.58795833333333325</v>
      </c>
      <c r="V59" s="21">
        <v>0.47170833333333367</v>
      </c>
      <c r="W59" s="21">
        <v>0.45541666666666653</v>
      </c>
      <c r="X59" s="21">
        <v>0.40841666666666671</v>
      </c>
      <c r="Y59" s="21">
        <v>0.24872916666666656</v>
      </c>
      <c r="Z59" s="23">
        <f>AVERAGE(Q59,U59)</f>
        <v>0.50990624999999989</v>
      </c>
      <c r="AA59" s="23">
        <f>AVERAGE(R59:T59,V59:X59)</f>
        <v>0.50398263888888872</v>
      </c>
      <c r="AB59" s="23">
        <f t="shared" si="0"/>
        <v>0.505059659090909</v>
      </c>
    </row>
    <row r="60" spans="1:28">
      <c r="A60" s="9">
        <v>43767</v>
      </c>
      <c r="B60" s="3">
        <v>427.40998232103942</v>
      </c>
      <c r="C60" s="3">
        <v>557.32663745618856</v>
      </c>
      <c r="D60" s="3">
        <v>534.26462486128401</v>
      </c>
      <c r="E60" s="3">
        <v>558.28927584788653</v>
      </c>
      <c r="F60" s="3">
        <v>506.80721394733035</v>
      </c>
      <c r="G60" s="19">
        <v>43767</v>
      </c>
      <c r="H60" s="20">
        <v>209.27083333333334</v>
      </c>
      <c r="I60" s="20">
        <v>65.891666666666666</v>
      </c>
      <c r="J60" s="20">
        <v>14.045833333333336</v>
      </c>
      <c r="K60" s="20">
        <v>0</v>
      </c>
      <c r="L60" s="20">
        <v>160.9375</v>
      </c>
      <c r="M60" s="20">
        <v>3.2083333333333335</v>
      </c>
      <c r="N60" s="20">
        <v>0.125</v>
      </c>
      <c r="O60" s="20">
        <v>6.310416666666665</v>
      </c>
      <c r="P60" s="10">
        <v>0.73471087807759083</v>
      </c>
      <c r="Q60" s="21">
        <v>0.41854166666666676</v>
      </c>
      <c r="R60" s="21">
        <v>0.52200000000000002</v>
      </c>
      <c r="S60" s="21">
        <v>0.56620833333333331</v>
      </c>
      <c r="T60" s="21">
        <v>0.58110416666666664</v>
      </c>
      <c r="U60" s="21">
        <v>0.5825416666666664</v>
      </c>
      <c r="V60" s="21">
        <v>0.46489583333333301</v>
      </c>
      <c r="W60" s="21">
        <v>0.45343750000000033</v>
      </c>
      <c r="X60" s="21">
        <v>0.4062083333333335</v>
      </c>
      <c r="Y60" s="21">
        <v>0.24072916666666658</v>
      </c>
      <c r="Z60" s="23">
        <f>AVERAGE(Q60,U60)</f>
        <v>0.50054166666666655</v>
      </c>
      <c r="AA60" s="23">
        <f>AVERAGE(R60:T60,V60:X60)</f>
        <v>0.49897569444444434</v>
      </c>
      <c r="AB60" s="23">
        <f t="shared" si="0"/>
        <v>0.49926041666666654</v>
      </c>
    </row>
    <row r="61" spans="1:28">
      <c r="A61" s="9">
        <v>43768</v>
      </c>
      <c r="B61" s="3">
        <v>504.96649333315372</v>
      </c>
      <c r="C61" s="3">
        <v>501.92140633110239</v>
      </c>
      <c r="D61" s="3">
        <v>492.55972021633983</v>
      </c>
      <c r="E61" s="3">
        <v>542.60585733874996</v>
      </c>
      <c r="F61" s="3">
        <v>503.50648136563171</v>
      </c>
      <c r="G61" s="19">
        <v>43768</v>
      </c>
      <c r="H61" s="20">
        <v>203.60416666666666</v>
      </c>
      <c r="I61" s="20">
        <v>64.683333333333351</v>
      </c>
      <c r="J61" s="20">
        <v>15.154166666666669</v>
      </c>
      <c r="K61" s="20">
        <v>0</v>
      </c>
      <c r="L61" s="20">
        <v>121.16666666666667</v>
      </c>
      <c r="M61" s="20">
        <v>3.8125</v>
      </c>
      <c r="N61" s="20">
        <v>6.25E-2</v>
      </c>
      <c r="O61" s="20">
        <v>7.5750000000000002</v>
      </c>
      <c r="P61" s="10">
        <v>0.7733736450274562</v>
      </c>
      <c r="Q61" s="21">
        <v>0.40906249999999994</v>
      </c>
      <c r="R61" s="21">
        <v>0.51433333333333353</v>
      </c>
      <c r="S61" s="21">
        <v>0.56143750000000014</v>
      </c>
      <c r="T61" s="21">
        <v>0.57631250000000012</v>
      </c>
      <c r="U61" s="21">
        <v>0.57785416666666622</v>
      </c>
      <c r="V61" s="21">
        <v>0.45918750000000036</v>
      </c>
      <c r="W61" s="21">
        <v>0.45047916666666704</v>
      </c>
      <c r="X61" s="21">
        <v>0.4035208333333335</v>
      </c>
      <c r="Y61" s="21">
        <v>0.23189583333333333</v>
      </c>
      <c r="Z61" s="23">
        <f>AVERAGE(Q61,U61)</f>
        <v>0.49345833333333311</v>
      </c>
      <c r="AA61" s="23">
        <f>AVERAGE(R61:T61,V61:X61)</f>
        <v>0.49421180555555583</v>
      </c>
      <c r="AB61" s="23">
        <f t="shared" si="0"/>
        <v>0.49407481060606079</v>
      </c>
    </row>
    <row r="62" spans="1:28">
      <c r="A62" s="9">
        <v>43769</v>
      </c>
      <c r="B62" s="3">
        <v>505.09163594523153</v>
      </c>
      <c r="C62" s="3">
        <v>568.00185532533703</v>
      </c>
      <c r="D62" s="3">
        <v>484.53669746497741</v>
      </c>
      <c r="E62" s="3">
        <v>557.34606883005779</v>
      </c>
      <c r="F62" s="3">
        <v>507.4226302480144</v>
      </c>
      <c r="G62" s="19">
        <v>43769</v>
      </c>
      <c r="H62" s="20">
        <v>206.60416666666666</v>
      </c>
      <c r="I62" s="20">
        <v>63.35</v>
      </c>
      <c r="J62" s="20">
        <v>15.610416666666664</v>
      </c>
      <c r="K62" s="20">
        <v>0</v>
      </c>
      <c r="L62" s="20">
        <v>125.16666666666667</v>
      </c>
      <c r="M62" s="20">
        <v>3.9791666666666665</v>
      </c>
      <c r="N62" s="20">
        <v>0.20833333333333334</v>
      </c>
      <c r="O62" s="20">
        <v>7.1750000000000016</v>
      </c>
      <c r="P62" s="10">
        <v>0.81846006486643985</v>
      </c>
      <c r="Q62" s="21">
        <v>0.40268749999999981</v>
      </c>
      <c r="R62" s="21">
        <v>0.50906250000000053</v>
      </c>
      <c r="S62" s="21">
        <v>0.5585833333333331</v>
      </c>
      <c r="T62" s="21">
        <v>0.57410416666666686</v>
      </c>
      <c r="U62" s="21">
        <v>0.57418749999999996</v>
      </c>
      <c r="V62" s="21">
        <v>0.45516666666666716</v>
      </c>
      <c r="W62" s="21">
        <v>0.44800000000000018</v>
      </c>
      <c r="X62" s="21">
        <v>0.40056250000000015</v>
      </c>
      <c r="Y62" s="21">
        <v>0.22230902777777781</v>
      </c>
      <c r="Z62" s="23">
        <f>AVERAGE(Q62,U62)</f>
        <v>0.48843749999999986</v>
      </c>
      <c r="AA62" s="23">
        <f>AVERAGE(R62:T62,V62:X62)</f>
        <v>0.49091319444444476</v>
      </c>
      <c r="AB62" s="23">
        <f t="shared" si="0"/>
        <v>0.4904630681818184</v>
      </c>
    </row>
    <row r="63" spans="1:28">
      <c r="A63" s="9">
        <v>43770</v>
      </c>
      <c r="B63" s="3">
        <v>578.87107435006158</v>
      </c>
      <c r="C63" s="3">
        <v>533.37236444885184</v>
      </c>
      <c r="D63" s="3">
        <v>478.56697002759671</v>
      </c>
      <c r="E63" s="3">
        <v>483.32662448116707</v>
      </c>
      <c r="F63" s="3">
        <v>441.45536985606554</v>
      </c>
      <c r="G63" s="19">
        <v>43770</v>
      </c>
      <c r="H63" s="20">
        <v>196.5</v>
      </c>
      <c r="I63" s="20">
        <v>68.693749999999994</v>
      </c>
      <c r="J63" s="20">
        <v>15.827083333333333</v>
      </c>
      <c r="K63" s="20">
        <v>0</v>
      </c>
      <c r="L63" s="20">
        <v>140.33333333333334</v>
      </c>
      <c r="M63" s="20">
        <v>5.166666666666667</v>
      </c>
      <c r="N63" s="20">
        <v>0.58333333333333337</v>
      </c>
      <c r="O63" s="20">
        <v>9.6416666666666657</v>
      </c>
      <c r="P63" s="10">
        <v>0.64403681361812415</v>
      </c>
      <c r="Q63" s="21">
        <v>0.39418749999999986</v>
      </c>
      <c r="R63" s="21">
        <v>0.50275000000000014</v>
      </c>
      <c r="S63" s="21">
        <v>0.55462500000000026</v>
      </c>
      <c r="T63" s="21">
        <v>0.57208333333333361</v>
      </c>
      <c r="U63" s="21">
        <v>0.5681666666666666</v>
      </c>
      <c r="V63" s="21">
        <v>0.44960416666666642</v>
      </c>
      <c r="W63" s="21">
        <v>0.44466666666666682</v>
      </c>
      <c r="X63" s="21">
        <v>0.39702083333333332</v>
      </c>
      <c r="Y63" s="21">
        <v>0.21088194444444441</v>
      </c>
      <c r="Z63" s="23">
        <f>AVERAGE(Q63,U63)</f>
        <v>0.4811770833333332</v>
      </c>
      <c r="AA63" s="23">
        <f>AVERAGE(R63:T63,V63:X63)</f>
        <v>0.48679166666666679</v>
      </c>
      <c r="AB63" s="23">
        <f t="shared" si="0"/>
        <v>0.48577083333333337</v>
      </c>
    </row>
    <row r="64" spans="1:28">
      <c r="A64" s="9">
        <v>43771</v>
      </c>
      <c r="B64" s="3">
        <v>57.617834387070722</v>
      </c>
      <c r="C64" s="3">
        <v>45.191003831659479</v>
      </c>
      <c r="D64" s="3">
        <v>20.470325056100158</v>
      </c>
      <c r="E64" s="3">
        <v>51.5364950189091</v>
      </c>
      <c r="F64" s="3">
        <v>45.289174401010733</v>
      </c>
      <c r="G64" s="19">
        <v>43771</v>
      </c>
      <c r="H64" s="20">
        <v>34.9375</v>
      </c>
      <c r="I64" s="20">
        <v>89.375</v>
      </c>
      <c r="J64" s="20">
        <v>13.864583333333334</v>
      </c>
      <c r="K64" s="20">
        <v>0.4</v>
      </c>
      <c r="L64" s="20">
        <v>167.85416666666666</v>
      </c>
      <c r="M64" s="20">
        <v>2.625</v>
      </c>
      <c r="N64" s="20">
        <v>0</v>
      </c>
      <c r="O64" s="20">
        <v>12.122916666666663</v>
      </c>
      <c r="P64" s="10">
        <v>0.16970323655771993</v>
      </c>
      <c r="Q64" s="21">
        <v>0.38939583333333333</v>
      </c>
      <c r="R64" s="21">
        <v>0.49933333333333357</v>
      </c>
      <c r="S64" s="21">
        <v>0.55333333333333357</v>
      </c>
      <c r="T64" s="21">
        <v>0.57108333333333372</v>
      </c>
      <c r="U64" s="21">
        <v>0.56479166666666647</v>
      </c>
      <c r="V64" s="21">
        <v>0.44750000000000001</v>
      </c>
      <c r="W64" s="21">
        <v>0.44360416666666697</v>
      </c>
      <c r="X64" s="21">
        <v>0.39487499999999959</v>
      </c>
      <c r="Y64" s="21">
        <v>0.20244444444444443</v>
      </c>
      <c r="Z64" s="23">
        <f>AVERAGE(Q64,U64)</f>
        <v>0.47709374999999987</v>
      </c>
      <c r="AA64" s="23">
        <f>AVERAGE(R64:T64,V64:X64)</f>
        <v>0.48495486111111119</v>
      </c>
      <c r="AB64" s="23">
        <f t="shared" si="0"/>
        <v>0.48352556818181824</v>
      </c>
    </row>
    <row r="65" spans="1:28">
      <c r="A65" s="9">
        <v>43772</v>
      </c>
      <c r="B65" s="3">
        <v>416.57601891074103</v>
      </c>
      <c r="C65" s="3">
        <v>215.3486877068336</v>
      </c>
      <c r="D65" s="3">
        <v>173.11446533119204</v>
      </c>
      <c r="E65" s="3">
        <v>198.62035184764605</v>
      </c>
      <c r="F65" s="3">
        <v>134.54895740919443</v>
      </c>
      <c r="G65" s="19">
        <v>43772</v>
      </c>
      <c r="H65" s="20">
        <v>84.791666666666671</v>
      </c>
      <c r="I65" s="20">
        <v>83.577083333333306</v>
      </c>
      <c r="J65" s="20">
        <v>12.591666666666669</v>
      </c>
      <c r="K65" s="20">
        <v>0.2</v>
      </c>
      <c r="L65" s="20">
        <v>206.64583333333334</v>
      </c>
      <c r="M65" s="20">
        <v>3.0208333333333335</v>
      </c>
      <c r="N65" s="20">
        <v>0.10416666666666667</v>
      </c>
      <c r="O65" s="20">
        <v>9.8020833333333304</v>
      </c>
      <c r="P65" s="10">
        <v>0.25346100317309772</v>
      </c>
      <c r="Q65" s="21">
        <v>0.38231250000000022</v>
      </c>
      <c r="R65" s="21">
        <v>0.49362500000000004</v>
      </c>
      <c r="S65" s="21">
        <v>0.54935416666666714</v>
      </c>
      <c r="T65" s="21">
        <v>0.56931250000000022</v>
      </c>
      <c r="U65" s="21">
        <v>0.55929166666666641</v>
      </c>
      <c r="V65" s="21">
        <v>0.44456250000000019</v>
      </c>
      <c r="W65" s="21">
        <v>0.44204166666666672</v>
      </c>
      <c r="X65" s="21">
        <v>0.39337500000000003</v>
      </c>
      <c r="Y65" s="21">
        <v>0.19625000000000001</v>
      </c>
      <c r="Z65" s="23">
        <f>AVERAGE(Q65,U65)</f>
        <v>0.47080208333333329</v>
      </c>
      <c r="AA65" s="23">
        <f>AVERAGE(R65:T65,V65:X65)</f>
        <v>0.48204513888888911</v>
      </c>
      <c r="AB65" s="23">
        <f t="shared" si="0"/>
        <v>0.48000094696969714</v>
      </c>
    </row>
    <row r="66" spans="1:28">
      <c r="A66" s="9">
        <v>43773</v>
      </c>
      <c r="B66" s="3">
        <v>515.77887506978834</v>
      </c>
      <c r="C66" s="3">
        <v>491.03257893872052</v>
      </c>
      <c r="D66" s="3">
        <v>390.8691795392777</v>
      </c>
      <c r="E66" s="3">
        <v>386.2535010608587</v>
      </c>
      <c r="F66" s="3">
        <v>175.29316277340092</v>
      </c>
      <c r="G66" s="19">
        <v>43773</v>
      </c>
      <c r="H66" s="20">
        <v>143.04166666666666</v>
      </c>
      <c r="I66" s="20">
        <v>66.55416666666666</v>
      </c>
      <c r="J66" s="20">
        <v>13.299999999999999</v>
      </c>
      <c r="K66" s="20">
        <v>0</v>
      </c>
      <c r="L66" s="20">
        <v>129.5</v>
      </c>
      <c r="M66" s="20">
        <v>4.041666666666667</v>
      </c>
      <c r="N66" s="20">
        <v>0.41666666666666669</v>
      </c>
      <c r="O66" s="20">
        <v>6.5791666666666693</v>
      </c>
      <c r="P66" s="10">
        <v>0.58904358750742258</v>
      </c>
      <c r="Q66" s="21">
        <v>0.37181250000000005</v>
      </c>
      <c r="R66" s="21">
        <v>0.48627083333333337</v>
      </c>
      <c r="S66" s="21">
        <v>0.5438333333333335</v>
      </c>
      <c r="T66" s="21">
        <v>0.56620833333333354</v>
      </c>
      <c r="U66" s="21">
        <v>0.55104166666666687</v>
      </c>
      <c r="V66" s="21">
        <v>0.43849999999999967</v>
      </c>
      <c r="W66" s="21">
        <v>0.43787499999999979</v>
      </c>
      <c r="X66" s="21">
        <v>0.38979166666666676</v>
      </c>
      <c r="Y66" s="21">
        <v>0.18721527777777772</v>
      </c>
      <c r="Z66" s="23">
        <f>AVERAGE(Q66,U66)</f>
        <v>0.46142708333333349</v>
      </c>
      <c r="AA66" s="23">
        <f>AVERAGE(R66:T66,V66:X66)</f>
        <v>0.47707986111111111</v>
      </c>
      <c r="AB66" s="23">
        <f t="shared" si="0"/>
        <v>0.47423390151515155</v>
      </c>
    </row>
    <row r="67" spans="1:28">
      <c r="A67" s="9">
        <v>43774</v>
      </c>
      <c r="B67" s="3">
        <v>342.26160594600452</v>
      </c>
      <c r="C67" s="3">
        <v>225.21850060863386</v>
      </c>
      <c r="D67" s="3">
        <v>147.33687765260257</v>
      </c>
      <c r="E67" s="3">
        <v>195.91068166577617</v>
      </c>
      <c r="F67" s="3">
        <v>95.850002389185008</v>
      </c>
      <c r="G67" s="19">
        <v>43774</v>
      </c>
      <c r="H67" s="20">
        <v>51.6875</v>
      </c>
      <c r="I67" s="20">
        <v>73.654166666666654</v>
      </c>
      <c r="J67" s="20">
        <v>12.352083333333333</v>
      </c>
      <c r="K67" s="20">
        <v>0.2</v>
      </c>
      <c r="L67" s="20">
        <v>128.125</v>
      </c>
      <c r="M67" s="20">
        <v>3.8333333333333335</v>
      </c>
      <c r="N67" s="20">
        <v>6.25E-2</v>
      </c>
      <c r="O67" s="20">
        <v>7.7125000000000012</v>
      </c>
      <c r="P67" s="10">
        <v>0.38468004061654781</v>
      </c>
      <c r="Q67" s="21">
        <v>0.35945833333333327</v>
      </c>
      <c r="R67" s="21">
        <v>0.47841666666666666</v>
      </c>
      <c r="S67" s="21">
        <v>0.53766666666666696</v>
      </c>
      <c r="T67" s="21">
        <v>0.5624166666666669</v>
      </c>
      <c r="U67" s="21">
        <v>0.54127083333333326</v>
      </c>
      <c r="V67" s="21">
        <v>0.4314374999999997</v>
      </c>
      <c r="W67" s="21">
        <v>0.43272916666666689</v>
      </c>
      <c r="X67" s="21">
        <v>0.38545833333333329</v>
      </c>
      <c r="Y67" s="21">
        <v>0.17752777777777765</v>
      </c>
      <c r="Z67" s="23">
        <f>AVERAGE(Q67,U67)</f>
        <v>0.45036458333333329</v>
      </c>
      <c r="AA67" s="23">
        <f>AVERAGE(R67:T67,V67:X67)</f>
        <v>0.47135416666666674</v>
      </c>
      <c r="AB67" s="23">
        <f t="shared" si="0"/>
        <v>0.46753787878787884</v>
      </c>
    </row>
    <row r="68" spans="1:28">
      <c r="A68" s="9">
        <v>43775</v>
      </c>
      <c r="B68" s="3">
        <v>0.7485873758600482</v>
      </c>
      <c r="C68" s="3">
        <v>9.7558319647451448</v>
      </c>
      <c r="D68" s="3">
        <v>0.29767530741216713</v>
      </c>
      <c r="E68" s="3">
        <v>11.896534646498701</v>
      </c>
      <c r="F68" s="3">
        <v>21.714011389089254</v>
      </c>
      <c r="G68" s="19">
        <v>43775</v>
      </c>
      <c r="H68" s="20">
        <v>24.229166666666668</v>
      </c>
      <c r="I68" s="20">
        <v>88.606250000000003</v>
      </c>
      <c r="J68" s="20">
        <v>11.366666666666667</v>
      </c>
      <c r="K68" s="20">
        <v>1.5</v>
      </c>
      <c r="L68" s="20">
        <v>157.1875</v>
      </c>
      <c r="M68" s="20">
        <v>3.7083333333333335</v>
      </c>
      <c r="N68" s="20">
        <v>0.16666666666666666</v>
      </c>
      <c r="O68" s="20">
        <v>9.5416666666666696</v>
      </c>
      <c r="P68" s="10">
        <v>0.15437951022229429</v>
      </c>
      <c r="Q68" s="21">
        <v>0.35072916666666659</v>
      </c>
      <c r="R68" s="21">
        <v>0.47147916666666667</v>
      </c>
      <c r="S68" s="21">
        <v>0.53245833333333314</v>
      </c>
      <c r="T68" s="21">
        <v>0.55935416666666682</v>
      </c>
      <c r="U68" s="21">
        <v>0.53420833333333362</v>
      </c>
      <c r="V68" s="21">
        <v>0.42710416666666634</v>
      </c>
      <c r="W68" s="21">
        <v>0.42974999999999958</v>
      </c>
      <c r="X68" s="21">
        <v>0.38306249999999992</v>
      </c>
      <c r="Y68" s="21">
        <v>0.17272916666666663</v>
      </c>
      <c r="Z68" s="23">
        <f>AVERAGE(Q68,U68)</f>
        <v>0.44246875000000008</v>
      </c>
      <c r="AA68" s="23">
        <f>AVERAGE(R68:T68,V68:X68)</f>
        <v>0.46720138888888868</v>
      </c>
      <c r="AB68" s="23">
        <f t="shared" si="0"/>
        <v>0.46270454545454531</v>
      </c>
    </row>
    <row r="69" spans="1:28">
      <c r="A69" s="9">
        <v>43776</v>
      </c>
      <c r="B69" s="3">
        <v>414.36003576641514</v>
      </c>
      <c r="C69" s="3">
        <v>227.75432671129818</v>
      </c>
      <c r="D69" s="3">
        <v>169.35942480315677</v>
      </c>
      <c r="E69" s="3">
        <v>208.3629406946431</v>
      </c>
      <c r="F69" s="3">
        <v>196.44241108505722</v>
      </c>
      <c r="G69" s="19">
        <v>43776</v>
      </c>
      <c r="H69" s="20">
        <v>86.125</v>
      </c>
      <c r="I69" s="20">
        <v>78.141666666666637</v>
      </c>
      <c r="J69" s="20">
        <v>12.320833333333338</v>
      </c>
      <c r="K69" s="20">
        <v>0</v>
      </c>
      <c r="L69" s="20">
        <v>161.97916666666666</v>
      </c>
      <c r="M69" s="20">
        <v>3.4375</v>
      </c>
      <c r="N69" s="20">
        <v>6.25E-2</v>
      </c>
      <c r="O69" s="20">
        <v>8.497916666666665</v>
      </c>
      <c r="P69" s="10">
        <v>0.33183548399559409</v>
      </c>
      <c r="Q69" s="21">
        <v>0.34395833333333337</v>
      </c>
      <c r="R69" s="21">
        <v>0.4655416666666668</v>
      </c>
      <c r="S69" s="21">
        <v>0.52714583333333287</v>
      </c>
      <c r="T69" s="21">
        <v>0.55583333333333307</v>
      </c>
      <c r="U69" s="21">
        <v>0.52831250000000018</v>
      </c>
      <c r="V69" s="21">
        <v>0.42250000000000032</v>
      </c>
      <c r="W69" s="21">
        <v>0.42693750000000003</v>
      </c>
      <c r="X69" s="21">
        <v>0.38014583333333335</v>
      </c>
      <c r="Y69" s="21">
        <v>0.16910416666666664</v>
      </c>
      <c r="Z69" s="23">
        <f>AVERAGE(Q69,U69)</f>
        <v>0.43613541666666678</v>
      </c>
      <c r="AA69" s="23">
        <f>AVERAGE(R69:T69,V69:X69)</f>
        <v>0.46301736111111108</v>
      </c>
      <c r="AB69" s="23">
        <f t="shared" si="0"/>
        <v>0.4581297348484849</v>
      </c>
    </row>
    <row r="70" spans="1:28">
      <c r="A70" s="9">
        <v>43777</v>
      </c>
      <c r="B70" s="3">
        <v>345.94241982309711</v>
      </c>
      <c r="C70" s="3">
        <v>161.24984608441935</v>
      </c>
      <c r="D70" s="3">
        <v>105.80866726861919</v>
      </c>
      <c r="E70" s="3">
        <v>156.20321059564549</v>
      </c>
      <c r="F70" s="3">
        <v>155.96954633808653</v>
      </c>
      <c r="G70" s="19">
        <v>43777</v>
      </c>
      <c r="H70" s="20">
        <v>56.770833333333336</v>
      </c>
      <c r="I70" s="20">
        <v>78.389583333333306</v>
      </c>
      <c r="J70" s="20">
        <v>11.983333333333329</v>
      </c>
      <c r="K70" s="20">
        <v>0</v>
      </c>
      <c r="L70" s="20">
        <v>180.47916666666666</v>
      </c>
      <c r="M70" s="20">
        <v>2.75</v>
      </c>
      <c r="N70" s="20">
        <v>4.1666666666666664E-2</v>
      </c>
      <c r="O70" s="20">
        <v>8.2854166666666664</v>
      </c>
      <c r="P70" s="10">
        <v>0.31158692943051569</v>
      </c>
      <c r="Q70" s="21">
        <v>0.33408333333333334</v>
      </c>
      <c r="R70" s="21">
        <v>0.45902083333333349</v>
      </c>
      <c r="S70" s="21">
        <v>0.52216666666666656</v>
      </c>
      <c r="T70" s="21">
        <v>0.55224999999999969</v>
      </c>
      <c r="U70" s="21">
        <v>0.52154166666666624</v>
      </c>
      <c r="V70" s="21">
        <v>0.41702083333333317</v>
      </c>
      <c r="W70" s="21">
        <v>0.42206250000000028</v>
      </c>
      <c r="X70" s="21">
        <v>0.37572916666666661</v>
      </c>
      <c r="Y70" s="21">
        <v>0.16259027777777776</v>
      </c>
      <c r="Z70" s="23">
        <f>AVERAGE(Q70,U70)</f>
        <v>0.42781249999999982</v>
      </c>
      <c r="AA70" s="23">
        <f>AVERAGE(R70:T70,V70:X70)</f>
        <v>0.45804166666666662</v>
      </c>
      <c r="AB70" s="23">
        <f t="shared" ref="AB70:AB133" si="1">(Z70*10+AA70*45)/55</f>
        <v>0.45254545454545447</v>
      </c>
    </row>
    <row r="71" spans="1:28">
      <c r="A71" s="9">
        <v>43778</v>
      </c>
      <c r="B71" s="3">
        <v>211.27101638918583</v>
      </c>
      <c r="C71" s="3">
        <v>87.307430100906032</v>
      </c>
      <c r="D71" s="3">
        <v>49.474828263702577</v>
      </c>
      <c r="E71" s="3">
        <v>98.867473432006818</v>
      </c>
      <c r="F71" s="3">
        <v>94.465596470726794</v>
      </c>
      <c r="G71" s="19">
        <v>43778</v>
      </c>
      <c r="H71" s="20">
        <v>38.25</v>
      </c>
      <c r="I71" s="20">
        <v>83.05</v>
      </c>
      <c r="J71" s="20">
        <v>12.435416666666669</v>
      </c>
      <c r="K71" s="20">
        <v>1</v>
      </c>
      <c r="L71" s="20">
        <v>158.54166666666666</v>
      </c>
      <c r="M71" s="20">
        <v>3.8125</v>
      </c>
      <c r="N71" s="20">
        <v>0.27083333333333331</v>
      </c>
      <c r="O71" s="20">
        <v>9.6166666666666689</v>
      </c>
      <c r="P71" s="10">
        <v>0.24896009249766529</v>
      </c>
      <c r="Q71" s="21">
        <v>0.32568749999999991</v>
      </c>
      <c r="R71" s="21">
        <v>0.45293749999999999</v>
      </c>
      <c r="S71" s="21">
        <v>0.51783333333333326</v>
      </c>
      <c r="T71" s="21">
        <v>0.54870833333333335</v>
      </c>
      <c r="U71" s="21">
        <v>0.5158541666666665</v>
      </c>
      <c r="V71" s="21">
        <v>0.41229166666666694</v>
      </c>
      <c r="W71" s="21">
        <v>0.41835416666666686</v>
      </c>
      <c r="X71" s="21">
        <v>0.37222916666666667</v>
      </c>
      <c r="Y71" s="21">
        <v>0.15755555555555553</v>
      </c>
      <c r="Z71" s="23">
        <f>AVERAGE(Q71,U71)</f>
        <v>0.42077083333333321</v>
      </c>
      <c r="AA71" s="23">
        <f>AVERAGE(R71:T71,V71:X71)</f>
        <v>0.45372569444444455</v>
      </c>
      <c r="AB71" s="23">
        <f t="shared" si="1"/>
        <v>0.44773390151515158</v>
      </c>
    </row>
    <row r="72" spans="1:28">
      <c r="A72" s="9">
        <v>43779</v>
      </c>
      <c r="B72" s="3">
        <v>61.636906003394984</v>
      </c>
      <c r="C72" s="3">
        <v>40.177258446559051</v>
      </c>
      <c r="D72" s="3">
        <v>35.665834242402816</v>
      </c>
      <c r="E72" s="3">
        <v>92.562690701674683</v>
      </c>
      <c r="F72" s="3">
        <v>71.590222774431894</v>
      </c>
      <c r="G72" s="19">
        <v>43779</v>
      </c>
      <c r="H72" s="20">
        <v>44.229166666666664</v>
      </c>
      <c r="I72" s="20">
        <v>88.483333333333348</v>
      </c>
      <c r="J72" s="20">
        <v>11.799999999999999</v>
      </c>
      <c r="K72" s="20">
        <v>2.6</v>
      </c>
      <c r="L72" s="20">
        <v>174.60416666666666</v>
      </c>
      <c r="M72" s="20">
        <v>1.9166666666666667</v>
      </c>
      <c r="N72" s="20">
        <v>4.1666666666666664E-2</v>
      </c>
      <c r="O72" s="20">
        <v>9.9270833333333321</v>
      </c>
      <c r="P72" s="10">
        <v>0.16664165370251585</v>
      </c>
      <c r="Q72" s="21">
        <v>0.32072916666666684</v>
      </c>
      <c r="R72" s="21">
        <v>0.44827083333333312</v>
      </c>
      <c r="S72" s="21">
        <v>0.51460416666666686</v>
      </c>
      <c r="T72" s="21">
        <v>0.54610416666666706</v>
      </c>
      <c r="U72" s="21">
        <v>0.51216666666666677</v>
      </c>
      <c r="V72" s="21">
        <v>0.40947916666666706</v>
      </c>
      <c r="W72" s="21">
        <v>0.41604166666666648</v>
      </c>
      <c r="X72" s="21">
        <v>0.36964583333333317</v>
      </c>
      <c r="Y72" s="21">
        <v>0.16479861111111116</v>
      </c>
      <c r="Z72" s="23">
        <f>AVERAGE(Q72,U72)</f>
        <v>0.41644791666666681</v>
      </c>
      <c r="AA72" s="23">
        <f>AVERAGE(R72:T72,V72:X72)</f>
        <v>0.45069097222222232</v>
      </c>
      <c r="AB72" s="23">
        <f t="shared" si="1"/>
        <v>0.44446496212121217</v>
      </c>
    </row>
    <row r="73" spans="1:28">
      <c r="A73" s="9">
        <v>43780</v>
      </c>
      <c r="B73" s="3">
        <v>387.7477775749835</v>
      </c>
      <c r="C73" s="3">
        <v>208.9842240521757</v>
      </c>
      <c r="D73" s="3">
        <v>199.6846086224906</v>
      </c>
      <c r="E73" s="3">
        <v>241.3124516566954</v>
      </c>
      <c r="F73" s="3">
        <v>223.04475470269452</v>
      </c>
      <c r="G73" s="19">
        <v>43780</v>
      </c>
      <c r="H73" s="20">
        <v>78.604166666666671</v>
      </c>
      <c r="I73" s="20">
        <v>84.82083333333334</v>
      </c>
      <c r="J73" s="20">
        <v>13.693750000000001</v>
      </c>
      <c r="K73" s="20">
        <v>0</v>
      </c>
      <c r="L73" s="20">
        <v>138.39583333333334</v>
      </c>
      <c r="M73" s="20">
        <v>10.770833333333334</v>
      </c>
      <c r="N73" s="20">
        <v>1.2708333333333333</v>
      </c>
      <c r="O73" s="20">
        <v>11.118749999999997</v>
      </c>
      <c r="P73" s="10">
        <v>0.25734532601014293</v>
      </c>
      <c r="Q73" s="21">
        <v>0.31712500000000027</v>
      </c>
      <c r="R73" s="21">
        <v>0.44456250000000042</v>
      </c>
      <c r="S73" s="21">
        <v>0.51164583333333391</v>
      </c>
      <c r="T73" s="21">
        <v>0.5430416666666672</v>
      </c>
      <c r="U73" s="21">
        <v>0.50891666666666657</v>
      </c>
      <c r="V73" s="21">
        <v>0.40679166666666688</v>
      </c>
      <c r="W73" s="21">
        <v>0.41389583333333313</v>
      </c>
      <c r="X73" s="21">
        <v>0.36785416666666659</v>
      </c>
      <c r="Y73" s="21">
        <v>0.16674999999999998</v>
      </c>
      <c r="Z73" s="23">
        <f>AVERAGE(Q73,U73)</f>
        <v>0.41302083333333339</v>
      </c>
      <c r="AA73" s="23">
        <f>AVERAGE(R73:T73,V73:X73)</f>
        <v>0.44796527777777806</v>
      </c>
      <c r="AB73" s="23">
        <f t="shared" si="1"/>
        <v>0.44161174242424267</v>
      </c>
    </row>
    <row r="74" spans="1:28">
      <c r="A74" s="9">
        <v>43781</v>
      </c>
      <c r="B74" s="3">
        <v>181.37586065781159</v>
      </c>
      <c r="C74" s="3">
        <v>76.207011809841106</v>
      </c>
      <c r="D74" s="3">
        <v>92.212154041635003</v>
      </c>
      <c r="E74" s="3">
        <v>130.28924004945918</v>
      </c>
      <c r="F74" s="3">
        <v>117.62845573372363</v>
      </c>
      <c r="G74" s="19">
        <v>43781</v>
      </c>
      <c r="H74" s="20">
        <v>36.729166666666664</v>
      </c>
      <c r="I74" s="20">
        <v>86.537500000000009</v>
      </c>
      <c r="J74" s="20">
        <v>15.568750000000003</v>
      </c>
      <c r="K74" s="20">
        <v>0</v>
      </c>
      <c r="L74" s="20">
        <v>125.1875</v>
      </c>
      <c r="M74" s="20">
        <v>4.75</v>
      </c>
      <c r="N74" s="20">
        <v>0.47916666666666669</v>
      </c>
      <c r="O74" s="20">
        <v>13.316666666666668</v>
      </c>
      <c r="P74" s="10">
        <v>0.24357103145475209</v>
      </c>
      <c r="Q74" s="21">
        <v>0.31425000000000003</v>
      </c>
      <c r="R74" s="21">
        <v>0.44227083333333339</v>
      </c>
      <c r="S74" s="21">
        <v>0.50975000000000015</v>
      </c>
      <c r="T74" s="21">
        <v>0.54068749999999988</v>
      </c>
      <c r="U74" s="21">
        <v>0.50820833333333282</v>
      </c>
      <c r="V74" s="21">
        <v>0.4046458333333332</v>
      </c>
      <c r="W74" s="21">
        <v>0.4108124999999998</v>
      </c>
      <c r="X74" s="21">
        <v>0.36479166666666701</v>
      </c>
      <c r="Y74" s="21">
        <v>0.16144444444444439</v>
      </c>
      <c r="Z74" s="23">
        <f>AVERAGE(Q74,U74)</f>
        <v>0.41122916666666642</v>
      </c>
      <c r="AA74" s="23">
        <f>AVERAGE(R74:T74,V74:X74)</f>
        <v>0.44549305555555557</v>
      </c>
      <c r="AB74" s="23">
        <f t="shared" si="1"/>
        <v>0.43926325757575752</v>
      </c>
    </row>
    <row r="75" spans="1:28">
      <c r="A75" s="9">
        <v>43782</v>
      </c>
      <c r="B75" s="3">
        <v>224.10426399096625</v>
      </c>
      <c r="C75" s="3">
        <v>56.807329015481791</v>
      </c>
      <c r="D75" s="3">
        <v>72.305047681252617</v>
      </c>
      <c r="E75" s="3">
        <v>115.03249377211269</v>
      </c>
      <c r="F75" s="3">
        <v>96.025459995375527</v>
      </c>
      <c r="G75" s="19">
        <v>43782</v>
      </c>
      <c r="H75" s="20">
        <v>37</v>
      </c>
      <c r="I75" s="20">
        <v>82.82916666666668</v>
      </c>
      <c r="J75" s="20">
        <v>11.687500000000002</v>
      </c>
      <c r="K75" s="20">
        <v>0.9</v>
      </c>
      <c r="L75" s="20">
        <v>228.79166666666666</v>
      </c>
      <c r="M75" s="20">
        <v>7.979166666666667</v>
      </c>
      <c r="N75" s="20">
        <v>0.10416666666666667</v>
      </c>
      <c r="O75" s="20">
        <v>8.8166666666666682</v>
      </c>
      <c r="P75" s="10">
        <v>0.23933565721813918</v>
      </c>
      <c r="Q75" s="21">
        <v>0.31018749999999995</v>
      </c>
      <c r="R75" s="21">
        <v>0.43962499999999999</v>
      </c>
      <c r="S75" s="21">
        <v>0.50877083333333339</v>
      </c>
      <c r="T75" s="21">
        <v>0.53908333333333325</v>
      </c>
      <c r="U75" s="21">
        <v>0.50595833333333362</v>
      </c>
      <c r="V75" s="21">
        <v>0.40266666666666645</v>
      </c>
      <c r="W75" s="21">
        <v>0.40895833333333337</v>
      </c>
      <c r="X75" s="21">
        <v>0.36281249999999998</v>
      </c>
      <c r="Y75" s="21">
        <v>0.16090070921985816</v>
      </c>
      <c r="Z75" s="23">
        <f>AVERAGE(Q75,U75)</f>
        <v>0.40807291666666679</v>
      </c>
      <c r="AA75" s="23">
        <f>AVERAGE(R75:T75,V75:X75)</f>
        <v>0.44365277777777773</v>
      </c>
      <c r="AB75" s="23">
        <f t="shared" si="1"/>
        <v>0.4371837121212121</v>
      </c>
    </row>
    <row r="76" spans="1:28">
      <c r="A76" s="9">
        <v>43783</v>
      </c>
      <c r="B76" s="3">
        <v>597.22856317338642</v>
      </c>
      <c r="C76" s="3">
        <v>423.90133291410473</v>
      </c>
      <c r="D76" s="3">
        <v>391.6318773805454</v>
      </c>
      <c r="E76" s="3">
        <v>403.09875184951511</v>
      </c>
      <c r="F76" s="3">
        <v>384.01433444554999</v>
      </c>
      <c r="G76" s="19">
        <v>43783</v>
      </c>
      <c r="H76" s="20">
        <v>176.72916666666666</v>
      </c>
      <c r="I76" s="20">
        <v>63.006250000000016</v>
      </c>
      <c r="J76" s="20">
        <v>12.543750000000001</v>
      </c>
      <c r="K76" s="20">
        <v>0</v>
      </c>
      <c r="L76" s="20">
        <v>197.70833333333334</v>
      </c>
      <c r="M76" s="20">
        <v>4.6875</v>
      </c>
      <c r="N76" s="20">
        <v>0.33333333333333331</v>
      </c>
      <c r="O76" s="20">
        <v>5.0125000000000002</v>
      </c>
      <c r="P76" s="10">
        <v>0.63732472269575469</v>
      </c>
      <c r="Q76" s="21">
        <v>0.30239583333333336</v>
      </c>
      <c r="R76" s="21">
        <v>0.43289583333333342</v>
      </c>
      <c r="S76" s="21">
        <v>0.50231249999999972</v>
      </c>
      <c r="T76" s="21">
        <v>0.53443750000000012</v>
      </c>
      <c r="U76" s="21">
        <v>0.49866666666666698</v>
      </c>
      <c r="V76" s="21">
        <v>0.39627083333333352</v>
      </c>
      <c r="W76" s="21">
        <v>0.40329166666666666</v>
      </c>
      <c r="X76" s="21">
        <v>0.35847916666666674</v>
      </c>
      <c r="Y76" s="21">
        <v>0.15337499999999998</v>
      </c>
      <c r="Z76" s="23">
        <f>AVERAGE(Q76,U76)</f>
        <v>0.40053125000000017</v>
      </c>
      <c r="AA76" s="23">
        <f>AVERAGE(R76:T76,V76:X76)</f>
        <v>0.43794791666666671</v>
      </c>
      <c r="AB76" s="23">
        <f t="shared" si="1"/>
        <v>0.43114488636363646</v>
      </c>
    </row>
    <row r="77" spans="1:28">
      <c r="A77" s="9">
        <v>43784</v>
      </c>
      <c r="B77" s="3">
        <v>478.80150892126227</v>
      </c>
      <c r="C77" s="3">
        <v>358.68642682353357</v>
      </c>
      <c r="D77" s="3">
        <v>311.22038943396842</v>
      </c>
      <c r="E77" s="3">
        <v>324.71190504485281</v>
      </c>
      <c r="F77" s="3">
        <v>361.11561931742983</v>
      </c>
      <c r="G77" s="19">
        <v>43784</v>
      </c>
      <c r="H77" s="20">
        <v>121.60416666666667</v>
      </c>
      <c r="I77" s="20">
        <v>77.416666666666671</v>
      </c>
      <c r="J77" s="20">
        <v>13.80625</v>
      </c>
      <c r="K77" s="20">
        <v>0</v>
      </c>
      <c r="L77" s="20">
        <v>143.33333333333334</v>
      </c>
      <c r="M77" s="20">
        <v>3.5625</v>
      </c>
      <c r="N77" s="20">
        <v>4.1666666666666664E-2</v>
      </c>
      <c r="O77" s="20">
        <v>9.7104166666666671</v>
      </c>
      <c r="P77" s="10">
        <v>0.42201480428965149</v>
      </c>
      <c r="Q77" s="21">
        <v>0.29720833333333335</v>
      </c>
      <c r="R77" s="21">
        <v>0.42866666666666675</v>
      </c>
      <c r="S77" s="21">
        <v>0.49768749999999956</v>
      </c>
      <c r="T77" s="21">
        <v>0.52989583333333312</v>
      </c>
      <c r="U77" s="21">
        <v>0.4944583333333335</v>
      </c>
      <c r="V77" s="21">
        <v>0.39056250000000015</v>
      </c>
      <c r="W77" s="21">
        <v>0.39685416666666634</v>
      </c>
      <c r="X77" s="21">
        <v>0.35335416666666641</v>
      </c>
      <c r="Y77" s="21">
        <v>0.14622222222222217</v>
      </c>
      <c r="Z77" s="23">
        <f>AVERAGE(Q77,U77)</f>
        <v>0.39583333333333343</v>
      </c>
      <c r="AA77" s="23">
        <f>AVERAGE(R77:T77,V77:X77)</f>
        <v>0.43283680555555543</v>
      </c>
      <c r="AB77" s="23">
        <f t="shared" si="1"/>
        <v>0.42610890151515146</v>
      </c>
    </row>
    <row r="78" spans="1:28">
      <c r="A78" s="9">
        <v>43785</v>
      </c>
      <c r="B78" s="3"/>
      <c r="C78" s="3"/>
      <c r="D78" s="3"/>
      <c r="E78" s="3"/>
      <c r="F78" s="3"/>
      <c r="G78" s="19">
        <v>43785</v>
      </c>
      <c r="H78" s="20">
        <v>77.666666666666671</v>
      </c>
      <c r="I78" s="20">
        <v>82.770833333333343</v>
      </c>
      <c r="J78" s="20">
        <v>16.070833333333344</v>
      </c>
      <c r="K78" s="20">
        <v>0</v>
      </c>
      <c r="L78" s="20">
        <v>137.79166666666666</v>
      </c>
      <c r="M78" s="20">
        <v>12.8125</v>
      </c>
      <c r="N78" s="20">
        <v>2.7083333333333335</v>
      </c>
      <c r="O78" s="20">
        <v>13.064583333333331</v>
      </c>
      <c r="P78" s="10">
        <v>0.33296608008814393</v>
      </c>
      <c r="Q78" s="21">
        <v>0.29481250000000009</v>
      </c>
      <c r="R78" s="21">
        <v>0.42672916666666644</v>
      </c>
      <c r="S78" s="21">
        <v>0.49597916666666708</v>
      </c>
      <c r="T78" s="21">
        <v>0.52733333333333354</v>
      </c>
      <c r="U78" s="21">
        <v>0.49295833333333361</v>
      </c>
      <c r="V78" s="21">
        <v>0.38735416666666644</v>
      </c>
      <c r="W78" s="21">
        <v>0.39322916666666652</v>
      </c>
      <c r="X78" s="21">
        <v>0.35014583333333332</v>
      </c>
      <c r="Y78" s="21">
        <v>0.14191666666666664</v>
      </c>
      <c r="Z78" s="23">
        <f>AVERAGE(Q78,U78)</f>
        <v>0.39388541666666688</v>
      </c>
      <c r="AA78" s="23">
        <f>AVERAGE(R78:T78,V78:X78)</f>
        <v>0.43012847222222222</v>
      </c>
      <c r="AB78" s="23">
        <f t="shared" si="1"/>
        <v>0.42353882575757579</v>
      </c>
    </row>
    <row r="79" spans="1:28">
      <c r="A79" s="9">
        <v>43786</v>
      </c>
      <c r="B79" s="3"/>
      <c r="C79" s="3"/>
      <c r="D79" s="3"/>
      <c r="E79" s="3"/>
      <c r="F79" s="3"/>
      <c r="G79" s="19">
        <v>43786</v>
      </c>
      <c r="H79" s="20">
        <v>49.625</v>
      </c>
      <c r="I79" s="20">
        <v>83.033333333333374</v>
      </c>
      <c r="J79" s="20">
        <v>15.506250000000001</v>
      </c>
      <c r="K79" s="20">
        <v>0</v>
      </c>
      <c r="L79" s="20">
        <v>180.52083333333334</v>
      </c>
      <c r="M79" s="20">
        <v>5.770833333333333</v>
      </c>
      <c r="N79" s="20">
        <v>0.375</v>
      </c>
      <c r="O79" s="20">
        <v>12.606249999999996</v>
      </c>
      <c r="P79" s="10">
        <v>0.30624105384558969</v>
      </c>
      <c r="Q79" s="21">
        <v>0.29168750000000004</v>
      </c>
      <c r="R79" s="21">
        <v>0.4235208333333334</v>
      </c>
      <c r="S79" s="21">
        <v>0.49454166666666644</v>
      </c>
      <c r="T79" s="21">
        <v>0.5247916666666671</v>
      </c>
      <c r="U79" s="21">
        <v>0.49087499999999951</v>
      </c>
      <c r="V79" s="21">
        <v>0.38464583333333335</v>
      </c>
      <c r="W79" s="21">
        <v>0.3905833333333335</v>
      </c>
      <c r="X79" s="21">
        <v>0.34770833333333323</v>
      </c>
      <c r="Y79" s="21">
        <v>0.1384305555555557</v>
      </c>
      <c r="Z79" s="23">
        <f>AVERAGE(Q79,U79)</f>
        <v>0.3912812499999998</v>
      </c>
      <c r="AA79" s="23">
        <f>AVERAGE(R79:T79,V79:X79)</f>
        <v>0.42763194444444447</v>
      </c>
      <c r="AB79" s="23">
        <f t="shared" si="1"/>
        <v>0.42102272727272727</v>
      </c>
    </row>
    <row r="80" spans="1:28">
      <c r="A80" s="9">
        <v>43787</v>
      </c>
      <c r="B80" s="3"/>
      <c r="C80" s="3"/>
      <c r="D80" s="3"/>
      <c r="E80" s="3"/>
      <c r="F80" s="3"/>
      <c r="G80" s="19">
        <v>43787</v>
      </c>
      <c r="H80" s="20">
        <v>26.125</v>
      </c>
      <c r="I80" s="20">
        <v>83.216666666666683</v>
      </c>
      <c r="J80" s="20">
        <v>8.6354166666666696</v>
      </c>
      <c r="K80" s="20">
        <v>0.4</v>
      </c>
      <c r="L80" s="20">
        <v>193.91666666666666</v>
      </c>
      <c r="M80" s="20">
        <v>4.895833333333333</v>
      </c>
      <c r="N80" s="20">
        <v>0</v>
      </c>
      <c r="O80" s="20">
        <v>5.9333333333333309</v>
      </c>
      <c r="P80" s="10">
        <v>0.19053829286795168</v>
      </c>
      <c r="Q80" s="21">
        <v>0.28643750000000012</v>
      </c>
      <c r="R80" s="21">
        <v>0.41814583333333322</v>
      </c>
      <c r="S80" s="21">
        <v>0.4910208333333333</v>
      </c>
      <c r="T80" s="21">
        <v>0.52204166666666663</v>
      </c>
      <c r="U80" s="21">
        <v>0.48500000000000004</v>
      </c>
      <c r="V80" s="21">
        <v>0.38093750000000021</v>
      </c>
      <c r="W80" s="21">
        <v>0.38835416666666672</v>
      </c>
      <c r="X80" s="21">
        <v>0.34600000000000009</v>
      </c>
      <c r="Y80" s="21">
        <v>0.1336140350877193</v>
      </c>
      <c r="Z80" s="23">
        <f>AVERAGE(Q80,U80)</f>
        <v>0.38571875000000011</v>
      </c>
      <c r="AA80" s="23">
        <f>AVERAGE(R80:T80,V80:X80)</f>
        <v>0.42441666666666666</v>
      </c>
      <c r="AB80" s="23">
        <f t="shared" si="1"/>
        <v>0.41738068181818183</v>
      </c>
    </row>
    <row r="81" spans="1:28">
      <c r="A81" s="9">
        <v>43788</v>
      </c>
      <c r="B81" s="3"/>
      <c r="C81" s="3"/>
      <c r="D81" s="3"/>
      <c r="E81" s="3"/>
      <c r="F81" s="3"/>
      <c r="G81" s="19">
        <v>43788</v>
      </c>
      <c r="H81" s="20">
        <v>59.354166666666664</v>
      </c>
      <c r="I81" s="20">
        <v>79.249999999999986</v>
      </c>
      <c r="J81" s="20">
        <v>8.4583333333333357</v>
      </c>
      <c r="K81" s="20">
        <v>0</v>
      </c>
      <c r="L81" s="20">
        <v>137.91666666666666</v>
      </c>
      <c r="M81" s="20">
        <v>4.833333333333333</v>
      </c>
      <c r="N81" s="20">
        <v>0.10416666666666667</v>
      </c>
      <c r="O81" s="20">
        <v>5.0187499999999998</v>
      </c>
      <c r="P81" s="10">
        <v>0.23953129942852178</v>
      </c>
      <c r="Q81" s="21">
        <v>0.28110416666666649</v>
      </c>
      <c r="R81" s="21">
        <v>0.40964583333333326</v>
      </c>
      <c r="S81" s="21">
        <v>0.48460416666666656</v>
      </c>
      <c r="T81" s="21">
        <v>0.51664583333333325</v>
      </c>
      <c r="U81" s="21">
        <v>0.47727083333333309</v>
      </c>
      <c r="V81" s="21">
        <v>0.37564583333333329</v>
      </c>
      <c r="W81" s="21">
        <v>0.3851666666666666</v>
      </c>
      <c r="X81" s="21">
        <v>0.34343750000000012</v>
      </c>
      <c r="Y81" s="21">
        <v>0.13103472222222232</v>
      </c>
      <c r="Z81" s="23">
        <f>AVERAGE(Q81,U81)</f>
        <v>0.37918749999999979</v>
      </c>
      <c r="AA81" s="23">
        <f>AVERAGE(R81:T81,V81:X81)</f>
        <v>0.41919097222222218</v>
      </c>
      <c r="AB81" s="23">
        <f t="shared" si="1"/>
        <v>0.41191761363636359</v>
      </c>
    </row>
    <row r="82" spans="1:28">
      <c r="A82" s="9">
        <v>43789</v>
      </c>
      <c r="B82" s="3"/>
      <c r="C82" s="3"/>
      <c r="D82" s="3"/>
      <c r="E82" s="3"/>
      <c r="F82" s="3"/>
      <c r="G82" s="19">
        <v>43789</v>
      </c>
      <c r="H82" s="20">
        <v>17.3125</v>
      </c>
      <c r="I82" s="20">
        <v>92.781249999999986</v>
      </c>
      <c r="J82" s="20">
        <v>6.8187500000000005</v>
      </c>
      <c r="K82" s="20">
        <v>1.9999999999999998</v>
      </c>
      <c r="L82" s="20">
        <v>128.4375</v>
      </c>
      <c r="M82" s="20">
        <v>3.375</v>
      </c>
      <c r="N82" s="20">
        <v>0</v>
      </c>
      <c r="O82" s="20">
        <v>5.7208333333333323</v>
      </c>
      <c r="P82" s="10">
        <v>7.1576393273447586E-2</v>
      </c>
      <c r="Q82" s="21">
        <v>0.27879166666666688</v>
      </c>
      <c r="R82" s="21">
        <v>0.40370833333333339</v>
      </c>
      <c r="S82" s="21">
        <v>0.47987500000000011</v>
      </c>
      <c r="T82" s="21">
        <v>0.51170833333333365</v>
      </c>
      <c r="U82" s="21">
        <v>0.47275000000000017</v>
      </c>
      <c r="V82" s="21">
        <v>0.37189583333333337</v>
      </c>
      <c r="W82" s="21">
        <v>0.3820208333333332</v>
      </c>
      <c r="X82" s="21">
        <v>0.34089583333333318</v>
      </c>
      <c r="Y82" s="21">
        <v>0.12854861111111116</v>
      </c>
      <c r="Z82" s="23">
        <f>AVERAGE(Q82,U82)</f>
        <v>0.3757708333333335</v>
      </c>
      <c r="AA82" s="23">
        <f>AVERAGE(R82:T82,V82:X82)</f>
        <v>0.41501736111111115</v>
      </c>
      <c r="AB82" s="23">
        <f t="shared" si="1"/>
        <v>0.40788162878787881</v>
      </c>
    </row>
    <row r="83" spans="1:28">
      <c r="A83" s="9">
        <v>43790</v>
      </c>
      <c r="B83" s="3"/>
      <c r="C83" s="3"/>
      <c r="D83" s="3"/>
      <c r="E83" s="3"/>
      <c r="F83" s="3"/>
      <c r="G83" s="19">
        <v>43790</v>
      </c>
      <c r="H83" s="20">
        <v>51.1875</v>
      </c>
      <c r="I83" s="20">
        <v>88.970833333333303</v>
      </c>
      <c r="J83" s="20">
        <v>8.3562499999999993</v>
      </c>
      <c r="K83" s="20">
        <v>0.4</v>
      </c>
      <c r="L83" s="20">
        <v>162.4375</v>
      </c>
      <c r="M83" s="20">
        <v>3.6041666666666665</v>
      </c>
      <c r="N83" s="20">
        <v>8.3333333333333329E-2</v>
      </c>
      <c r="O83" s="20">
        <v>6.5958333333333314</v>
      </c>
      <c r="P83" s="10">
        <v>0.13024920217785271</v>
      </c>
      <c r="Q83" s="21">
        <v>0.27718749999999986</v>
      </c>
      <c r="R83" s="21">
        <v>0.39877083333333313</v>
      </c>
      <c r="S83" s="21">
        <v>0.47591666666666693</v>
      </c>
      <c r="T83" s="21">
        <v>0.50741666666666663</v>
      </c>
      <c r="U83" s="21">
        <v>0.46908333333333352</v>
      </c>
      <c r="V83" s="21">
        <v>0.36966666666666653</v>
      </c>
      <c r="W83" s="21">
        <v>0.38018750000000034</v>
      </c>
      <c r="X83" s="21">
        <v>0.3391458333333332</v>
      </c>
      <c r="Y83" s="21">
        <v>0.13183333333333327</v>
      </c>
      <c r="Z83" s="23">
        <f>AVERAGE(Q83,U83)</f>
        <v>0.37313541666666672</v>
      </c>
      <c r="AA83" s="23">
        <f>AVERAGE(R83:T83,V83:X83)</f>
        <v>0.41185069444444444</v>
      </c>
      <c r="AB83" s="23">
        <f t="shared" si="1"/>
        <v>0.40481155303030303</v>
      </c>
    </row>
    <row r="84" spans="1:28">
      <c r="A84" s="9">
        <v>43791</v>
      </c>
      <c r="B84" s="3"/>
      <c r="C84" s="3"/>
      <c r="D84" s="3"/>
      <c r="E84" s="3"/>
      <c r="F84" s="3"/>
      <c r="G84" s="19">
        <v>43791</v>
      </c>
      <c r="H84" s="20">
        <v>31.791666666666668</v>
      </c>
      <c r="I84" s="20">
        <v>93.720833333333346</v>
      </c>
      <c r="J84" s="20">
        <v>10.914583333333331</v>
      </c>
      <c r="K84" s="20">
        <v>1</v>
      </c>
      <c r="L84" s="20">
        <v>139.6875</v>
      </c>
      <c r="M84" s="20">
        <v>8.4166666666666661</v>
      </c>
      <c r="N84" s="20">
        <v>0.66666666666666663</v>
      </c>
      <c r="O84" s="20">
        <v>9.9375000000000018</v>
      </c>
      <c r="P84" s="10">
        <v>8.4437349349789526E-2</v>
      </c>
      <c r="Q84" s="21">
        <v>0.27760416666666682</v>
      </c>
      <c r="R84" s="21">
        <v>0.3966875000000003</v>
      </c>
      <c r="S84" s="21">
        <v>0.47410416666666677</v>
      </c>
      <c r="T84" s="21">
        <v>0.50387499999999996</v>
      </c>
      <c r="U84" s="21">
        <v>0.46877083333333358</v>
      </c>
      <c r="V84" s="21">
        <v>0.36899999999999983</v>
      </c>
      <c r="W84" s="21">
        <v>0.37889583333333321</v>
      </c>
      <c r="X84" s="21">
        <v>0.33754166666666646</v>
      </c>
      <c r="Y84" s="21">
        <v>0.13252777777777783</v>
      </c>
      <c r="Z84" s="23">
        <f>AVERAGE(Q84,U84)</f>
        <v>0.37318750000000023</v>
      </c>
      <c r="AA84" s="23">
        <f>AVERAGE(R84:T84,V84:X84)</f>
        <v>0.41001736111111109</v>
      </c>
      <c r="AB84" s="23">
        <f t="shared" si="1"/>
        <v>0.40332102272727272</v>
      </c>
    </row>
    <row r="85" spans="1:28">
      <c r="A85" s="9">
        <v>43792</v>
      </c>
      <c r="B85" s="3"/>
      <c r="C85" s="3"/>
      <c r="D85" s="3"/>
      <c r="E85" s="3"/>
      <c r="F85" s="3"/>
      <c r="G85" s="19">
        <v>43792</v>
      </c>
      <c r="H85" s="20">
        <v>86.416666666666671</v>
      </c>
      <c r="I85" s="20">
        <v>82.50833333333334</v>
      </c>
      <c r="J85" s="20">
        <v>14.643749999999995</v>
      </c>
      <c r="K85" s="20">
        <v>0</v>
      </c>
      <c r="L85" s="20">
        <v>138.6875</v>
      </c>
      <c r="M85" s="20">
        <v>11.208333333333334</v>
      </c>
      <c r="N85" s="20">
        <v>1.5</v>
      </c>
      <c r="O85" s="20">
        <v>11.58958333333333</v>
      </c>
      <c r="P85" s="10">
        <v>0.31199376510680116</v>
      </c>
      <c r="Q85" s="21">
        <v>0.27945833333333331</v>
      </c>
      <c r="R85" s="21">
        <v>0.39631250000000007</v>
      </c>
      <c r="S85" s="21">
        <v>0.4741250000000003</v>
      </c>
      <c r="T85" s="21">
        <v>0.50166666666666726</v>
      </c>
      <c r="U85" s="21">
        <v>0.47047916666666662</v>
      </c>
      <c r="V85" s="21">
        <v>0.36899999999999983</v>
      </c>
      <c r="W85" s="21">
        <v>0.37810416666666663</v>
      </c>
      <c r="X85" s="21">
        <v>0.33641666666666681</v>
      </c>
      <c r="Y85" s="21">
        <v>0.13303985507246374</v>
      </c>
      <c r="Z85" s="23">
        <f>AVERAGE(Q85,U85)</f>
        <v>0.37496874999999996</v>
      </c>
      <c r="AA85" s="23">
        <f>AVERAGE(R85:T85,V85:X85)</f>
        <v>0.40927083333333353</v>
      </c>
      <c r="AB85" s="23">
        <f t="shared" si="1"/>
        <v>0.40303409090909104</v>
      </c>
    </row>
    <row r="86" spans="1:28">
      <c r="A86" s="9">
        <v>43793</v>
      </c>
      <c r="B86" s="3"/>
      <c r="C86" s="3"/>
      <c r="D86" s="3"/>
      <c r="E86" s="3"/>
      <c r="F86" s="3"/>
      <c r="G86" s="19">
        <v>43793</v>
      </c>
      <c r="H86" s="20">
        <v>23.833333333333332</v>
      </c>
      <c r="I86" s="20">
        <v>85.158333333333346</v>
      </c>
      <c r="J86" s="20">
        <v>11.862500000000004</v>
      </c>
      <c r="K86" s="20">
        <v>0.8</v>
      </c>
      <c r="L86" s="20">
        <v>190.85416666666666</v>
      </c>
      <c r="M86" s="20">
        <v>7.854166666666667</v>
      </c>
      <c r="N86" s="20">
        <v>0.95833333333333337</v>
      </c>
      <c r="O86" s="20">
        <v>9.4416666666666682</v>
      </c>
      <c r="P86" s="10">
        <v>0.2076048614661363</v>
      </c>
      <c r="Q86" s="21">
        <v>0.27985416666666663</v>
      </c>
      <c r="R86" s="21">
        <v>0.39695833333333358</v>
      </c>
      <c r="S86" s="21">
        <v>0.47539583333333341</v>
      </c>
      <c r="T86" s="21">
        <v>0.50075000000000003</v>
      </c>
      <c r="U86" s="21">
        <v>0.47229166666666678</v>
      </c>
      <c r="V86" s="21">
        <v>0.36899999999999983</v>
      </c>
      <c r="W86" s="21">
        <v>0.37741666666666668</v>
      </c>
      <c r="X86" s="21">
        <v>0.33500000000000041</v>
      </c>
      <c r="Y86" s="21">
        <v>0.13111764705882356</v>
      </c>
      <c r="Z86" s="23">
        <f>AVERAGE(Q86,U86)</f>
        <v>0.3760729166666667</v>
      </c>
      <c r="AA86" s="23">
        <f>AVERAGE(R86:T86,V86:X86)</f>
        <v>0.40908680555555565</v>
      </c>
      <c r="AB86" s="23">
        <f t="shared" si="1"/>
        <v>0.4030842803030304</v>
      </c>
    </row>
    <row r="87" spans="1:28">
      <c r="A87" s="9">
        <v>43794</v>
      </c>
      <c r="B87" s="3"/>
      <c r="C87" s="3"/>
      <c r="D87" s="3"/>
      <c r="E87" s="3"/>
      <c r="F87" s="3"/>
      <c r="G87" s="19">
        <v>43794</v>
      </c>
      <c r="H87" s="20">
        <v>41.104166666666664</v>
      </c>
      <c r="I87" s="20">
        <v>89.379166666666649</v>
      </c>
      <c r="J87" s="20">
        <v>7.1979166666666679</v>
      </c>
      <c r="K87" s="20">
        <v>2.7</v>
      </c>
      <c r="L87" s="20">
        <v>186.27083333333334</v>
      </c>
      <c r="M87" s="20">
        <v>3.8125</v>
      </c>
      <c r="N87" s="20">
        <v>8.3333333333333329E-2</v>
      </c>
      <c r="O87" s="20">
        <v>5.55</v>
      </c>
      <c r="P87" s="10">
        <v>0.10938476689183986</v>
      </c>
      <c r="Q87" s="21">
        <v>0.27670833333333328</v>
      </c>
      <c r="R87" s="21">
        <v>0.39312499999999978</v>
      </c>
      <c r="S87" s="21">
        <v>0.47243750000000007</v>
      </c>
      <c r="T87" s="21">
        <v>0.49866666666666676</v>
      </c>
      <c r="U87" s="21">
        <v>0.46787500000000004</v>
      </c>
      <c r="V87" s="21">
        <v>0.3674583333333335</v>
      </c>
      <c r="W87" s="21">
        <v>0.37666666666666676</v>
      </c>
      <c r="X87" s="21">
        <v>0.33464583333333336</v>
      </c>
      <c r="Y87" s="39" t="e">
        <f>#REF!*0.5711-0.0033</f>
        <v>#REF!</v>
      </c>
      <c r="Z87" s="23">
        <f>AVERAGE(Q87,U87)</f>
        <v>0.37229166666666669</v>
      </c>
      <c r="AA87" s="23">
        <f>AVERAGE(R87:T87,V87:X87)</f>
        <v>0.40716666666666673</v>
      </c>
      <c r="AB87" s="23">
        <f t="shared" si="1"/>
        <v>0.40082575757575761</v>
      </c>
    </row>
    <row r="88" spans="1:28">
      <c r="A88" s="9">
        <v>43795</v>
      </c>
      <c r="B88" s="3"/>
      <c r="C88" s="3"/>
      <c r="D88" s="3"/>
      <c r="E88" s="3"/>
      <c r="F88" s="3"/>
      <c r="G88" s="19">
        <v>43795</v>
      </c>
      <c r="H88" s="20">
        <v>9.125</v>
      </c>
      <c r="I88" s="20">
        <v>95.99375000000002</v>
      </c>
      <c r="J88" s="20">
        <v>7.3020833333333348</v>
      </c>
      <c r="K88" s="20">
        <v>3.0000000000000009</v>
      </c>
      <c r="L88" s="20">
        <v>140.10416666666666</v>
      </c>
      <c r="M88" s="20">
        <v>6.333333333333333</v>
      </c>
      <c r="N88" s="20">
        <v>0.27083333333333331</v>
      </c>
      <c r="O88" s="20">
        <v>6.7062500000000007</v>
      </c>
      <c r="P88" s="10">
        <v>4.0939112869724785E-2</v>
      </c>
      <c r="Q88" s="21">
        <v>0.27450000000000019</v>
      </c>
      <c r="R88" s="21">
        <v>0.3889166666666668</v>
      </c>
      <c r="S88" s="21">
        <v>0.46874999999999983</v>
      </c>
      <c r="T88" s="21">
        <v>0.49506249999999974</v>
      </c>
      <c r="U88" s="21">
        <v>0.46429166666666671</v>
      </c>
      <c r="V88" s="21">
        <v>0.36527083333333327</v>
      </c>
      <c r="W88" s="21">
        <v>0.37533333333333335</v>
      </c>
      <c r="X88" s="21">
        <v>0.33331250000000007</v>
      </c>
      <c r="Y88" s="21">
        <v>0.20266666666666666</v>
      </c>
      <c r="Z88" s="23">
        <f>AVERAGE(Q88,U88)</f>
        <v>0.36939583333333348</v>
      </c>
      <c r="AA88" s="23">
        <f>AVERAGE(R88:T88,V88:X88)</f>
        <v>0.40444097222222214</v>
      </c>
      <c r="AB88" s="23">
        <f t="shared" si="1"/>
        <v>0.39806912878787876</v>
      </c>
    </row>
    <row r="89" spans="1:28">
      <c r="A89" s="9">
        <v>43796</v>
      </c>
      <c r="B89" s="3"/>
      <c r="C89" s="3"/>
      <c r="D89" s="3"/>
      <c r="E89" s="3"/>
      <c r="F89" s="3"/>
      <c r="G89" s="19">
        <v>43796</v>
      </c>
      <c r="H89" s="20">
        <v>33.270833333333336</v>
      </c>
      <c r="I89" s="20">
        <v>89.964583333333337</v>
      </c>
      <c r="J89" s="20">
        <v>6.3291666666666666</v>
      </c>
      <c r="K89" s="20">
        <v>0.4</v>
      </c>
      <c r="L89" s="20">
        <v>206.125</v>
      </c>
      <c r="M89" s="20">
        <v>2.0416666666666665</v>
      </c>
      <c r="N89" s="20">
        <v>0</v>
      </c>
      <c r="O89" s="20">
        <v>4.7812499999999991</v>
      </c>
      <c r="P89" s="10">
        <v>0.10025410670178085</v>
      </c>
      <c r="Q89" s="21">
        <v>0.27324999999999983</v>
      </c>
      <c r="R89" s="21">
        <v>0.38554166666666667</v>
      </c>
      <c r="S89" s="21">
        <v>0.46585416666666646</v>
      </c>
      <c r="T89" s="21">
        <v>0.49145833333333305</v>
      </c>
      <c r="U89" s="21">
        <v>0.46118749999999992</v>
      </c>
      <c r="V89" s="21">
        <v>0.36372916666666649</v>
      </c>
      <c r="W89" s="21">
        <v>0.37391666666666673</v>
      </c>
      <c r="X89" s="21">
        <v>0.33245833333333363</v>
      </c>
      <c r="Y89" s="21">
        <v>0.19801388888888891</v>
      </c>
      <c r="Z89" s="23">
        <f>AVERAGE(Q89,U89)</f>
        <v>0.36721874999999987</v>
      </c>
      <c r="AA89" s="23">
        <f>AVERAGE(R89:T89,V89:X89)</f>
        <v>0.40215972222222218</v>
      </c>
      <c r="AB89" s="23">
        <f t="shared" si="1"/>
        <v>0.39580681818181812</v>
      </c>
    </row>
    <row r="90" spans="1:28">
      <c r="A90" s="9">
        <v>43797</v>
      </c>
      <c r="B90" s="3"/>
      <c r="C90" s="3"/>
      <c r="D90" s="3"/>
      <c r="E90" s="3"/>
      <c r="F90" s="3"/>
      <c r="G90" s="19">
        <v>43797</v>
      </c>
      <c r="H90" s="20">
        <v>26.916666666666668</v>
      </c>
      <c r="I90" s="20">
        <v>91.456249999999997</v>
      </c>
      <c r="J90" s="20">
        <v>5.0395833333333337</v>
      </c>
      <c r="K90" s="20">
        <v>1</v>
      </c>
      <c r="L90" s="20">
        <v>117.75</v>
      </c>
      <c r="M90" s="20">
        <v>4.770833333333333</v>
      </c>
      <c r="N90" s="20">
        <v>0.10416666666666667</v>
      </c>
      <c r="O90" s="20">
        <v>3.7583333333333329</v>
      </c>
      <c r="P90" s="10">
        <v>7.5083770823307527E-2</v>
      </c>
      <c r="Q90" s="21">
        <v>0.27191666666666697</v>
      </c>
      <c r="R90" s="21">
        <v>0.38262499999999983</v>
      </c>
      <c r="S90" s="21">
        <v>0.46314583333333315</v>
      </c>
      <c r="T90" s="21">
        <v>0.48814583333333311</v>
      </c>
      <c r="U90" s="21">
        <v>0.45893749999999955</v>
      </c>
      <c r="V90" s="21">
        <v>0.36191666666666683</v>
      </c>
      <c r="W90" s="21">
        <v>0.3725416666666666</v>
      </c>
      <c r="X90" s="21">
        <v>0.33099999999999991</v>
      </c>
      <c r="Y90" s="21">
        <v>0.18247222222222223</v>
      </c>
      <c r="Z90" s="23">
        <f>AVERAGE(Q90,U90)</f>
        <v>0.36542708333333329</v>
      </c>
      <c r="AA90" s="23">
        <f>AVERAGE(R90:T90,V90:X90)</f>
        <v>0.39989583333333328</v>
      </c>
      <c r="AB90" s="23">
        <f t="shared" si="1"/>
        <v>0.3936287878787878</v>
      </c>
    </row>
    <row r="91" spans="1:28">
      <c r="A91" s="9">
        <v>43798</v>
      </c>
      <c r="B91" s="3"/>
      <c r="C91" s="3"/>
      <c r="D91" s="3"/>
      <c r="E91" s="3"/>
      <c r="F91" s="3"/>
      <c r="G91" s="19">
        <v>43798</v>
      </c>
      <c r="H91" s="20">
        <v>27.3125</v>
      </c>
      <c r="I91" s="20">
        <v>95.683333333333337</v>
      </c>
      <c r="J91" s="20">
        <v>5.3666666666666663</v>
      </c>
      <c r="K91" s="20">
        <v>3.2000000000000006</v>
      </c>
      <c r="L91" s="20">
        <v>108.35416666666667</v>
      </c>
      <c r="M91" s="20">
        <v>6.1875</v>
      </c>
      <c r="N91" s="20">
        <v>0.64583333333333337</v>
      </c>
      <c r="O91" s="20">
        <v>4.7374999999999998</v>
      </c>
      <c r="P91" s="10">
        <v>3.8914709049390407E-2</v>
      </c>
      <c r="Q91" s="21">
        <v>0.2710000000000003</v>
      </c>
      <c r="R91" s="21">
        <v>0.37989583333333349</v>
      </c>
      <c r="S91" s="21">
        <v>0.4600416666666669</v>
      </c>
      <c r="T91" s="21">
        <v>0.48458333333333342</v>
      </c>
      <c r="U91" s="21">
        <v>0.45662499999999989</v>
      </c>
      <c r="V91" s="21">
        <v>0.36052083333333301</v>
      </c>
      <c r="W91" s="21">
        <v>0.37108333333333349</v>
      </c>
      <c r="X91" s="21">
        <v>0.32987500000000014</v>
      </c>
      <c r="Y91" s="21">
        <v>0.20091666666666672</v>
      </c>
      <c r="Z91" s="23">
        <f>AVERAGE(Q91,U91)</f>
        <v>0.36381250000000009</v>
      </c>
      <c r="AA91" s="23">
        <f>AVERAGE(R91:T91,V91:X91)</f>
        <v>0.39766666666666667</v>
      </c>
      <c r="AB91" s="23">
        <f t="shared" si="1"/>
        <v>0.39151136363636369</v>
      </c>
    </row>
    <row r="92" spans="1:28">
      <c r="A92" s="9">
        <v>43799</v>
      </c>
      <c r="B92" s="3"/>
      <c r="C92" s="3"/>
      <c r="D92" s="3"/>
      <c r="E92" s="3"/>
      <c r="F92" s="3"/>
      <c r="G92" s="19">
        <v>43799</v>
      </c>
      <c r="H92" s="20">
        <v>32.270833333333336</v>
      </c>
      <c r="I92" s="20">
        <v>94.229166666666671</v>
      </c>
      <c r="J92" s="20">
        <v>5.0229166666666671</v>
      </c>
      <c r="K92" s="20">
        <v>1.7999999999999998</v>
      </c>
      <c r="L92" s="20">
        <v>156.45833333333334</v>
      </c>
      <c r="M92" s="20">
        <v>3.8958333333333335</v>
      </c>
      <c r="N92" s="20">
        <v>0.10416666666666667</v>
      </c>
      <c r="O92" s="20">
        <v>4.1666666666666661</v>
      </c>
      <c r="P92" s="10">
        <v>5.2324868350467228E-2</v>
      </c>
      <c r="Q92" s="21">
        <v>0.2710000000000003</v>
      </c>
      <c r="R92" s="21">
        <v>0.37808333333333333</v>
      </c>
      <c r="S92" s="21">
        <v>0.45824999999999977</v>
      </c>
      <c r="T92" s="21">
        <v>0.48191666666666694</v>
      </c>
      <c r="U92" s="21">
        <v>0.45599999999999979</v>
      </c>
      <c r="V92" s="21">
        <v>0.35945833333333344</v>
      </c>
      <c r="W92" s="21">
        <v>0.36997916666666636</v>
      </c>
      <c r="X92" s="21">
        <v>0.32900000000000024</v>
      </c>
      <c r="Y92" s="21">
        <v>0.22039393939393942</v>
      </c>
      <c r="Z92" s="23">
        <f>AVERAGE(Q92,U92)</f>
        <v>0.36350000000000005</v>
      </c>
      <c r="AA92" s="23">
        <f>AVERAGE(R92:T92,V92:X92)</f>
        <v>0.39611458333333333</v>
      </c>
      <c r="AB92" s="23">
        <f t="shared" si="1"/>
        <v>0.3901846590909091</v>
      </c>
    </row>
    <row r="93" spans="1:28">
      <c r="A93" s="9">
        <v>43800</v>
      </c>
      <c r="B93" s="3"/>
      <c r="C93" s="3"/>
      <c r="D93" s="3"/>
      <c r="E93" s="3"/>
      <c r="F93" s="3"/>
      <c r="G93" s="19">
        <v>43800</v>
      </c>
      <c r="H93" s="20">
        <v>44.416666666666664</v>
      </c>
      <c r="I93" s="20">
        <v>84.860416666666666</v>
      </c>
      <c r="J93" s="20">
        <v>4.8270833333333343</v>
      </c>
      <c r="K93" s="20">
        <v>0.2</v>
      </c>
      <c r="L93" s="20">
        <v>229.45833333333334</v>
      </c>
      <c r="M93" s="20">
        <v>3.9375</v>
      </c>
      <c r="N93" s="20">
        <v>0</v>
      </c>
      <c r="O93" s="20">
        <v>2.4416666666666669</v>
      </c>
      <c r="P93" s="10">
        <v>0.13527654826790894</v>
      </c>
      <c r="Q93" s="21">
        <v>0.27081250000000029</v>
      </c>
      <c r="R93" s="21">
        <v>0.37591666666666662</v>
      </c>
      <c r="S93" s="21">
        <v>0.45649999999999985</v>
      </c>
      <c r="T93" s="21">
        <v>0.4789791666666669</v>
      </c>
      <c r="U93" s="21">
        <v>0.45556249999999993</v>
      </c>
      <c r="V93" s="21">
        <v>0.35843750000000024</v>
      </c>
      <c r="W93" s="21">
        <v>0.36906249999999985</v>
      </c>
      <c r="X93" s="21">
        <v>0.32835416666666639</v>
      </c>
      <c r="Y93" s="21">
        <v>0.20940277777777783</v>
      </c>
      <c r="Z93" s="23">
        <f>AVERAGE(Q93,U93)</f>
        <v>0.36318750000000011</v>
      </c>
      <c r="AA93" s="23">
        <f>AVERAGE(R93:T93,V93:X93)</f>
        <v>0.39454166666666657</v>
      </c>
      <c r="AB93" s="23">
        <f t="shared" si="1"/>
        <v>0.38884090909090901</v>
      </c>
    </row>
    <row r="94" spans="1:28">
      <c r="A94" s="9">
        <v>43801</v>
      </c>
      <c r="B94" s="3"/>
      <c r="C94" s="3"/>
      <c r="D94" s="3"/>
      <c r="E94" s="3"/>
      <c r="F94" s="3"/>
      <c r="G94" s="19">
        <v>43801</v>
      </c>
      <c r="H94" s="20">
        <v>71.208333333333329</v>
      </c>
      <c r="I94" s="20">
        <v>76.168750000000031</v>
      </c>
      <c r="J94" s="20">
        <v>4.1916666666666682</v>
      </c>
      <c r="K94" s="20">
        <v>0</v>
      </c>
      <c r="L94" s="20">
        <v>183.6875</v>
      </c>
      <c r="M94" s="20">
        <v>6.4375</v>
      </c>
      <c r="N94" s="20">
        <v>0.22916666666666666</v>
      </c>
      <c r="O94" s="20">
        <v>0.27291666666666659</v>
      </c>
      <c r="P94" s="10">
        <v>0.20608070790103158</v>
      </c>
      <c r="Q94" s="21">
        <v>0.27020833333333349</v>
      </c>
      <c r="R94" s="21">
        <v>0.37368749999999978</v>
      </c>
      <c r="S94" s="21">
        <v>0.45424999999999988</v>
      </c>
      <c r="T94" s="21">
        <v>0.47610416666666694</v>
      </c>
      <c r="U94" s="21">
        <v>0.4548541666666665</v>
      </c>
      <c r="V94" s="21">
        <v>0.35770833333333313</v>
      </c>
      <c r="W94" s="21">
        <v>0.3683541666666667</v>
      </c>
      <c r="X94" s="21">
        <v>0.32683333333333342</v>
      </c>
      <c r="Y94" s="21">
        <v>0.19613194444444446</v>
      </c>
      <c r="Z94" s="23">
        <f>AVERAGE(Q94,U94)</f>
        <v>0.36253124999999997</v>
      </c>
      <c r="AA94" s="23">
        <f>AVERAGE(R94:T94,V94:X94)</f>
        <v>0.39282291666666663</v>
      </c>
      <c r="AB94" s="23">
        <f t="shared" si="1"/>
        <v>0.38731534090909087</v>
      </c>
    </row>
    <row r="95" spans="1:28">
      <c r="A95" s="9">
        <v>43802</v>
      </c>
      <c r="B95" s="3"/>
      <c r="C95" s="3"/>
      <c r="D95" s="3"/>
      <c r="E95" s="3"/>
      <c r="F95" s="3"/>
      <c r="G95" s="19">
        <v>43802</v>
      </c>
      <c r="H95" s="20">
        <v>59.729166666666664</v>
      </c>
      <c r="I95" s="20">
        <v>75.829166666666666</v>
      </c>
      <c r="J95" s="20">
        <v>4.9958333333333327</v>
      </c>
      <c r="K95" s="20">
        <v>0</v>
      </c>
      <c r="L95" s="20">
        <v>151.20833333333334</v>
      </c>
      <c r="M95" s="20">
        <v>2.7291666666666665</v>
      </c>
      <c r="N95" s="20">
        <v>0</v>
      </c>
      <c r="O95" s="20">
        <v>0.96874999999999989</v>
      </c>
      <c r="P95" s="10">
        <v>0.22215286463172132</v>
      </c>
      <c r="Q95" s="21">
        <v>0.27039583333333339</v>
      </c>
      <c r="R95" s="21">
        <v>0.37233333333333335</v>
      </c>
      <c r="S95" s="21">
        <v>0.45252083333333371</v>
      </c>
      <c r="T95" s="21">
        <v>0.47364583333333327</v>
      </c>
      <c r="U95" s="21">
        <v>0.45485416666666656</v>
      </c>
      <c r="V95" s="21">
        <v>0.35702083333333307</v>
      </c>
      <c r="W95" s="21">
        <v>0.36739583333333381</v>
      </c>
      <c r="X95" s="21">
        <v>0.32574999999999987</v>
      </c>
      <c r="Y95" s="21">
        <v>0.18775694444444432</v>
      </c>
      <c r="Z95" s="23">
        <f>AVERAGE(Q95,U95)</f>
        <v>0.36262499999999998</v>
      </c>
      <c r="AA95" s="23">
        <f>AVERAGE(R95:T95,V95:X95)</f>
        <v>0.39144444444444448</v>
      </c>
      <c r="AB95" s="23">
        <f t="shared" si="1"/>
        <v>0.38620454545454547</v>
      </c>
    </row>
    <row r="96" spans="1:28">
      <c r="A96" s="9">
        <v>43803</v>
      </c>
      <c r="B96" s="3"/>
      <c r="C96" s="3"/>
      <c r="D96" s="3"/>
      <c r="E96" s="3"/>
      <c r="F96" s="3"/>
      <c r="G96" s="19">
        <v>43803</v>
      </c>
      <c r="H96" s="20">
        <v>47.270833333333336</v>
      </c>
      <c r="I96" s="20">
        <v>77.158333333333331</v>
      </c>
      <c r="J96" s="20">
        <v>5.0770833333333325</v>
      </c>
      <c r="K96" s="20">
        <v>0.2</v>
      </c>
      <c r="L96" s="20">
        <v>234.8125</v>
      </c>
      <c r="M96" s="20">
        <v>3.6458333333333335</v>
      </c>
      <c r="N96" s="20">
        <v>0</v>
      </c>
      <c r="O96" s="20">
        <v>1.325</v>
      </c>
      <c r="P96" s="10">
        <v>0.20987108502275686</v>
      </c>
      <c r="Q96" s="21">
        <v>0.27052083333333338</v>
      </c>
      <c r="R96" s="21">
        <v>0.37127083333333344</v>
      </c>
      <c r="S96" s="21">
        <v>0.45158333333333361</v>
      </c>
      <c r="T96" s="21">
        <v>0.47108333333333302</v>
      </c>
      <c r="U96" s="21">
        <v>0.45497916666666643</v>
      </c>
      <c r="V96" s="21">
        <v>0.35656250000000006</v>
      </c>
      <c r="W96" s="21">
        <v>0.36660416666666662</v>
      </c>
      <c r="X96" s="21">
        <v>0.32479166666666648</v>
      </c>
      <c r="Y96" s="21">
        <v>0.18072916666666664</v>
      </c>
      <c r="Z96" s="23">
        <f>AVERAGE(Q96,U96)</f>
        <v>0.36274999999999991</v>
      </c>
      <c r="AA96" s="23">
        <f>AVERAGE(R96:T96,V96:X96)</f>
        <v>0.39031597222222225</v>
      </c>
      <c r="AB96" s="23">
        <f t="shared" si="1"/>
        <v>0.38530397727272725</v>
      </c>
    </row>
    <row r="97" spans="1:28">
      <c r="A97" s="9">
        <v>43804</v>
      </c>
      <c r="B97" s="3"/>
      <c r="C97" s="3"/>
      <c r="D97" s="3"/>
      <c r="E97" s="3"/>
      <c r="F97" s="3"/>
      <c r="G97" s="19">
        <v>43804</v>
      </c>
      <c r="H97" s="20">
        <v>41.520833333333336</v>
      </c>
      <c r="I97" s="20">
        <v>91.225000000000009</v>
      </c>
      <c r="J97" s="20">
        <v>2.5770833333333329</v>
      </c>
      <c r="K97" s="20">
        <v>6.3000000000000025</v>
      </c>
      <c r="L97" s="20">
        <v>224.66666666666666</v>
      </c>
      <c r="M97" s="20">
        <v>2.6041666666666665</v>
      </c>
      <c r="N97" s="20">
        <v>0</v>
      </c>
      <c r="O97" s="20">
        <v>1.2729166666666667</v>
      </c>
      <c r="P97" s="10">
        <v>6.6338874138053103E-2</v>
      </c>
      <c r="Q97" s="21">
        <v>0.27054166666666674</v>
      </c>
      <c r="R97" s="21">
        <v>0.37024999999999975</v>
      </c>
      <c r="S97" s="21">
        <v>0.4496875000000003</v>
      </c>
      <c r="T97" s="21">
        <v>0.46914583333333321</v>
      </c>
      <c r="U97" s="21">
        <v>0.45424999999999965</v>
      </c>
      <c r="V97" s="21">
        <v>0.35612500000000008</v>
      </c>
      <c r="W97" s="21">
        <v>0.36591666666666645</v>
      </c>
      <c r="X97" s="21">
        <v>0.3239999999999999</v>
      </c>
      <c r="Y97" s="21">
        <v>0.22281944444444446</v>
      </c>
      <c r="Z97" s="23">
        <f>AVERAGE(Q97,U97)</f>
        <v>0.36239583333333319</v>
      </c>
      <c r="AA97" s="23">
        <f>AVERAGE(R97:T97,V97:X97)</f>
        <v>0.38918749999999996</v>
      </c>
      <c r="AB97" s="23">
        <f t="shared" si="1"/>
        <v>0.3843162878787878</v>
      </c>
    </row>
    <row r="98" spans="1:28">
      <c r="A98" s="9">
        <v>43805</v>
      </c>
      <c r="B98" s="3"/>
      <c r="C98" s="3"/>
      <c r="D98" s="3"/>
      <c r="E98" s="3"/>
      <c r="F98" s="3"/>
      <c r="G98" s="19">
        <v>43805</v>
      </c>
      <c r="H98" s="20">
        <v>131.875</v>
      </c>
      <c r="I98" s="20">
        <v>76.579166666666666</v>
      </c>
      <c r="J98" s="20">
        <v>4.3312500000000016</v>
      </c>
      <c r="K98" s="20">
        <v>0</v>
      </c>
      <c r="L98" s="20">
        <v>237.58333333333334</v>
      </c>
      <c r="M98" s="20">
        <v>1.25</v>
      </c>
      <c r="N98" s="20">
        <v>0</v>
      </c>
      <c r="O98" s="20">
        <v>0.26250000000000012</v>
      </c>
      <c r="P98" s="10">
        <v>0.2364398368767702</v>
      </c>
      <c r="Q98" s="21">
        <v>0.27097916666666677</v>
      </c>
      <c r="R98" s="21">
        <v>0.3683125000000001</v>
      </c>
      <c r="S98" s="21">
        <v>0.44785416666666661</v>
      </c>
      <c r="T98" s="21">
        <v>0.46656249999999999</v>
      </c>
      <c r="U98" s="21">
        <v>0.45410416666666659</v>
      </c>
      <c r="V98" s="21">
        <v>0.35470833333333324</v>
      </c>
      <c r="W98" s="21">
        <v>0.36487500000000023</v>
      </c>
      <c r="X98" s="21">
        <v>0.32364583333333341</v>
      </c>
      <c r="Y98" s="21">
        <v>0.21180555555555558</v>
      </c>
      <c r="Z98" s="23">
        <f>AVERAGE(Q98,U98)</f>
        <v>0.36254166666666665</v>
      </c>
      <c r="AA98" s="23">
        <f>AVERAGE(R98:T98,V98:X98)</f>
        <v>0.38765972222222222</v>
      </c>
      <c r="AB98" s="23">
        <f t="shared" si="1"/>
        <v>0.38309280303030302</v>
      </c>
    </row>
    <row r="99" spans="1:28">
      <c r="A99" s="9">
        <v>43806</v>
      </c>
      <c r="B99" s="3"/>
      <c r="C99" s="3"/>
      <c r="D99" s="3"/>
      <c r="E99" s="3"/>
      <c r="F99" s="3"/>
      <c r="G99" s="19">
        <v>43806</v>
      </c>
      <c r="H99" s="20">
        <v>166.29166666666666</v>
      </c>
      <c r="I99" s="20">
        <v>65.64791666666666</v>
      </c>
      <c r="J99" s="20">
        <v>5.5833333333333348</v>
      </c>
      <c r="K99" s="20">
        <v>0.2</v>
      </c>
      <c r="L99" s="20">
        <v>191.52083333333334</v>
      </c>
      <c r="M99" s="20">
        <v>3.8125</v>
      </c>
      <c r="N99" s="20">
        <v>0.35416666666666669</v>
      </c>
      <c r="O99" s="20">
        <v>-1.2479166666666668</v>
      </c>
      <c r="P99" s="10">
        <v>0.38853207317820559</v>
      </c>
      <c r="Q99" s="21">
        <v>0.27331250000000001</v>
      </c>
      <c r="R99" s="21">
        <v>0.36891666666666673</v>
      </c>
      <c r="S99" s="21">
        <v>0.44868750000000018</v>
      </c>
      <c r="T99" s="21">
        <v>0.46491666666666637</v>
      </c>
      <c r="U99" s="21">
        <v>0.4579999999999998</v>
      </c>
      <c r="V99" s="21">
        <v>0.35581250000000003</v>
      </c>
      <c r="W99" s="21">
        <v>0.36458333333333348</v>
      </c>
      <c r="X99" s="21">
        <v>0.32264583333333335</v>
      </c>
      <c r="Y99" s="21">
        <v>0.1995416666666667</v>
      </c>
      <c r="Z99" s="23">
        <f>AVERAGE(Q99,U99)</f>
        <v>0.3656562499999999</v>
      </c>
      <c r="AA99" s="23">
        <f>AVERAGE(R99:T99,V99:X99)</f>
        <v>0.38759375000000001</v>
      </c>
      <c r="AB99" s="23">
        <f t="shared" si="1"/>
        <v>0.38360511363636363</v>
      </c>
    </row>
    <row r="100" spans="1:28">
      <c r="A100" s="9">
        <v>43807</v>
      </c>
      <c r="B100" s="3"/>
      <c r="C100" s="3"/>
      <c r="D100" s="3"/>
      <c r="E100" s="3"/>
      <c r="F100" s="3"/>
      <c r="G100" s="19">
        <v>43807</v>
      </c>
      <c r="H100" s="20">
        <v>162.77083333333334</v>
      </c>
      <c r="I100" s="20">
        <v>54.281249999999993</v>
      </c>
      <c r="J100" s="20">
        <v>7.4375</v>
      </c>
      <c r="K100" s="20">
        <v>0</v>
      </c>
      <c r="L100" s="20">
        <v>139.22916666666666</v>
      </c>
      <c r="M100" s="20">
        <v>2.8125</v>
      </c>
      <c r="N100" s="20">
        <v>0</v>
      </c>
      <c r="O100" s="20">
        <v>-1.8</v>
      </c>
      <c r="P100" s="10">
        <v>0.54784763201593278</v>
      </c>
      <c r="Q100" s="21">
        <v>0.27535416666666662</v>
      </c>
      <c r="R100" s="21">
        <v>0.37029166666666663</v>
      </c>
      <c r="S100" s="21">
        <v>0.45062499999999989</v>
      </c>
      <c r="T100" s="21">
        <v>0.46431250000000018</v>
      </c>
      <c r="U100" s="21">
        <v>0.46154166666666679</v>
      </c>
      <c r="V100" s="21">
        <v>0.35737499999999994</v>
      </c>
      <c r="W100" s="21">
        <v>0.36506250000000007</v>
      </c>
      <c r="X100" s="21">
        <v>0.32222916666666651</v>
      </c>
      <c r="Y100" s="21">
        <v>0.18979166666666661</v>
      </c>
      <c r="Z100" s="23">
        <f>AVERAGE(Q100,U100)</f>
        <v>0.36844791666666671</v>
      </c>
      <c r="AA100" s="23">
        <f>AVERAGE(R100:T100,V100:X100)</f>
        <v>0.38831597222222219</v>
      </c>
      <c r="AB100" s="23">
        <f t="shared" si="1"/>
        <v>0.38470359848484842</v>
      </c>
    </row>
    <row r="101" spans="1:28">
      <c r="A101" s="9">
        <v>43808</v>
      </c>
      <c r="B101" s="3"/>
      <c r="C101" s="3"/>
      <c r="D101" s="3"/>
      <c r="E101" s="3"/>
      <c r="F101" s="3"/>
      <c r="G101" s="19">
        <v>43808</v>
      </c>
      <c r="H101" s="20">
        <v>143.75</v>
      </c>
      <c r="I101" s="20">
        <v>62.560416666666647</v>
      </c>
      <c r="J101" s="20">
        <v>8.0833333333333339</v>
      </c>
      <c r="K101" s="20">
        <v>0</v>
      </c>
      <c r="L101" s="20">
        <v>164.54166666666666</v>
      </c>
      <c r="M101" s="20">
        <v>2.4375</v>
      </c>
      <c r="N101" s="20">
        <v>4.1666666666666664E-2</v>
      </c>
      <c r="O101" s="20">
        <v>0.74583333333333324</v>
      </c>
      <c r="P101" s="10">
        <v>0.47920733289612666</v>
      </c>
      <c r="Q101" s="21">
        <v>0.27585416666666673</v>
      </c>
      <c r="R101" s="21">
        <v>0.37079166666666669</v>
      </c>
      <c r="S101" s="21">
        <v>0.45189583333333366</v>
      </c>
      <c r="T101" s="21">
        <v>0.46131249999999979</v>
      </c>
      <c r="U101" s="21">
        <v>0.4531041666666667</v>
      </c>
      <c r="V101" s="21">
        <v>0.33987500000000015</v>
      </c>
      <c r="W101" s="21">
        <v>0.36133333333333334</v>
      </c>
      <c r="X101" s="21">
        <v>0.31520833333333337</v>
      </c>
      <c r="Y101" s="21">
        <v>0.18082638888888883</v>
      </c>
      <c r="Z101" s="23">
        <f>AVERAGE(Q101,U101)</f>
        <v>0.36447916666666669</v>
      </c>
      <c r="AA101" s="23">
        <f>AVERAGE(R101:T101,V101:X101)</f>
        <v>0.38340277777777781</v>
      </c>
      <c r="AB101" s="23">
        <f t="shared" si="1"/>
        <v>0.3799621212121212</v>
      </c>
    </row>
    <row r="102" spans="1:28">
      <c r="A102" s="9">
        <v>43809</v>
      </c>
      <c r="B102" s="3"/>
      <c r="C102" s="3"/>
      <c r="D102" s="3"/>
      <c r="E102" s="3"/>
      <c r="F102" s="3"/>
      <c r="G102" s="19">
        <v>43809</v>
      </c>
      <c r="H102" s="20">
        <v>150.72916666666666</v>
      </c>
      <c r="I102" s="20">
        <v>59.031250000000007</v>
      </c>
      <c r="J102" s="20">
        <v>8.8479166666666682</v>
      </c>
      <c r="K102" s="20">
        <v>0</v>
      </c>
      <c r="L102" s="20">
        <v>103.5</v>
      </c>
      <c r="M102" s="20">
        <v>2.5416666666666665</v>
      </c>
      <c r="N102" s="20">
        <v>2.0833333333333332E-2</v>
      </c>
      <c r="O102" s="20">
        <v>0.65833333333333333</v>
      </c>
      <c r="P102" s="10">
        <v>0.55364841589333547</v>
      </c>
      <c r="Q102" s="21">
        <v>0.27485416666666668</v>
      </c>
      <c r="R102" s="21">
        <v>0.36897916666666686</v>
      </c>
      <c r="S102" s="21">
        <v>0.45100000000000001</v>
      </c>
      <c r="T102" s="21">
        <v>0.45531249999999979</v>
      </c>
      <c r="U102" s="21">
        <v>0.45012500000000005</v>
      </c>
      <c r="V102" s="21">
        <v>0.33145833333333341</v>
      </c>
      <c r="W102" s="21">
        <v>0.35916666666666686</v>
      </c>
      <c r="X102" s="21">
        <v>0.31112499999999998</v>
      </c>
      <c r="Y102" s="21">
        <v>0.17166666666666666</v>
      </c>
      <c r="Z102" s="23">
        <f>AVERAGE(Q102,U102)</f>
        <v>0.36248958333333337</v>
      </c>
      <c r="AA102" s="23">
        <f>AVERAGE(R102:T102,V102:X102)</f>
        <v>0.37950694444444449</v>
      </c>
      <c r="AB102" s="23">
        <f t="shared" si="1"/>
        <v>0.37641287878787888</v>
      </c>
    </row>
    <row r="103" spans="1:28">
      <c r="A103" s="9">
        <v>43810</v>
      </c>
      <c r="B103" s="3"/>
      <c r="C103" s="3"/>
      <c r="D103" s="3"/>
      <c r="E103" s="3"/>
      <c r="F103" s="3"/>
      <c r="G103" s="19">
        <v>43810</v>
      </c>
      <c r="H103" s="20">
        <v>140.33333333333334</v>
      </c>
      <c r="I103" s="20">
        <v>62.012499999999982</v>
      </c>
      <c r="J103" s="20">
        <v>9.2583333333333346</v>
      </c>
      <c r="K103" s="20">
        <v>0</v>
      </c>
      <c r="L103" s="20">
        <v>148.625</v>
      </c>
      <c r="M103" s="20">
        <v>4.645833333333333</v>
      </c>
      <c r="N103" s="20">
        <v>0.45833333333333331</v>
      </c>
      <c r="O103" s="20">
        <v>1.8083333333333329</v>
      </c>
      <c r="P103" s="10">
        <v>0.50691814062849605</v>
      </c>
      <c r="Q103" s="21">
        <v>0.27647916666666666</v>
      </c>
      <c r="R103" s="21">
        <v>0.3712499999999998</v>
      </c>
      <c r="S103" s="21">
        <v>0.45366666666666644</v>
      </c>
      <c r="T103" s="21">
        <v>0.45549999999999963</v>
      </c>
      <c r="U103" s="21">
        <v>0.45293749999999977</v>
      </c>
      <c r="V103" s="21">
        <v>0.33243750000000011</v>
      </c>
      <c r="W103" s="21">
        <v>0.35916666666666658</v>
      </c>
      <c r="X103" s="21">
        <v>0.31112499999999993</v>
      </c>
      <c r="Y103" s="21">
        <v>0.16338194444444445</v>
      </c>
      <c r="Z103" s="23">
        <f>AVERAGE(Q103,U103)</f>
        <v>0.36470833333333319</v>
      </c>
      <c r="AA103" s="23">
        <f>AVERAGE(R103:T103,V103:X103)</f>
        <v>0.38052430555555544</v>
      </c>
      <c r="AB103" s="23">
        <f t="shared" si="1"/>
        <v>0.3776486742424241</v>
      </c>
    </row>
    <row r="104" spans="1:28">
      <c r="A104" s="9">
        <v>43811</v>
      </c>
      <c r="B104" s="3"/>
      <c r="C104" s="3"/>
      <c r="D104" s="3"/>
      <c r="E104" s="3"/>
      <c r="F104" s="3"/>
      <c r="G104" s="19">
        <v>43811</v>
      </c>
      <c r="H104" s="20">
        <v>144.52083333333334</v>
      </c>
      <c r="I104" s="20">
        <v>57.889583333333356</v>
      </c>
      <c r="J104" s="20">
        <v>10.379166666666666</v>
      </c>
      <c r="K104" s="20">
        <v>0</v>
      </c>
      <c r="L104" s="20">
        <v>126.47916666666667</v>
      </c>
      <c r="M104" s="20">
        <v>6.979166666666667</v>
      </c>
      <c r="N104" s="20">
        <v>0.66666666666666663</v>
      </c>
      <c r="O104" s="20">
        <v>2.1729166666666662</v>
      </c>
      <c r="P104" s="10">
        <v>0.5690986462093296</v>
      </c>
      <c r="Q104" s="21">
        <v>0.27756249999999988</v>
      </c>
      <c r="R104" s="21">
        <v>0.37300000000000022</v>
      </c>
      <c r="S104" s="21">
        <v>0.45545833333333313</v>
      </c>
      <c r="T104" s="21">
        <v>0.45631249999999995</v>
      </c>
      <c r="U104" s="21">
        <v>0.45581250000000012</v>
      </c>
      <c r="V104" s="21">
        <v>0.33362500000000006</v>
      </c>
      <c r="W104" s="21">
        <v>0.3599374999999998</v>
      </c>
      <c r="X104" s="21">
        <v>0.31118749999999989</v>
      </c>
      <c r="Y104" s="21">
        <v>0.1557708333333333</v>
      </c>
      <c r="Z104" s="23">
        <f>AVERAGE(Q104,U104)</f>
        <v>0.3666875</v>
      </c>
      <c r="AA104" s="23">
        <f>AVERAGE(R104:T104,V104:X104)</f>
        <v>0.38158680555555552</v>
      </c>
      <c r="AB104" s="23">
        <f t="shared" si="1"/>
        <v>0.37887784090909088</v>
      </c>
    </row>
    <row r="105" spans="1:28">
      <c r="A105" s="9">
        <v>43812</v>
      </c>
      <c r="B105" s="3"/>
      <c r="C105" s="3"/>
      <c r="D105" s="3"/>
      <c r="E105" s="3"/>
      <c r="F105" s="3"/>
      <c r="G105" s="19">
        <v>43812</v>
      </c>
      <c r="H105" s="20">
        <v>146.39583333333334</v>
      </c>
      <c r="I105" s="20">
        <v>66.891666666666666</v>
      </c>
      <c r="J105" s="20">
        <v>10.450000000000001</v>
      </c>
      <c r="K105" s="20">
        <v>0</v>
      </c>
      <c r="L105" s="20">
        <v>131.5</v>
      </c>
      <c r="M105" s="20">
        <v>5.604166666666667</v>
      </c>
      <c r="N105" s="20">
        <v>0.1875</v>
      </c>
      <c r="O105" s="20">
        <v>4.3208333333333337</v>
      </c>
      <c r="P105" s="10">
        <v>0.46849576666960108</v>
      </c>
      <c r="Q105" s="21">
        <v>0.27802083333333327</v>
      </c>
      <c r="R105" s="21">
        <v>0.37447916666666647</v>
      </c>
      <c r="S105" s="21">
        <v>0.45724999999999993</v>
      </c>
      <c r="T105" s="21">
        <v>0.45729166666666693</v>
      </c>
      <c r="U105" s="21">
        <v>0.45668749999999986</v>
      </c>
      <c r="V105" s="21">
        <v>0.33450000000000002</v>
      </c>
      <c r="W105" s="21">
        <v>0.36039583333333308</v>
      </c>
      <c r="X105" s="21">
        <v>0.31149999999999983</v>
      </c>
      <c r="Y105" s="21">
        <v>0.1484680851063829</v>
      </c>
      <c r="Z105" s="23">
        <f>AVERAGE(Q105,U105)</f>
        <v>0.36735416666666654</v>
      </c>
      <c r="AA105" s="23">
        <f>AVERAGE(R105:T105,V105:X105)</f>
        <v>0.38256944444444435</v>
      </c>
      <c r="AB105" s="23">
        <f t="shared" si="1"/>
        <v>0.3798030303030302</v>
      </c>
    </row>
    <row r="106" spans="1:28">
      <c r="A106" s="9">
        <v>43813</v>
      </c>
      <c r="B106" s="3"/>
      <c r="C106" s="3"/>
      <c r="D106" s="3"/>
      <c r="E106" s="3"/>
      <c r="F106" s="3"/>
      <c r="G106" s="19">
        <v>43813</v>
      </c>
      <c r="H106" s="20">
        <v>81.5625</v>
      </c>
      <c r="I106" s="20">
        <v>76.927083333333314</v>
      </c>
      <c r="J106" s="20">
        <v>12.043750000000001</v>
      </c>
      <c r="K106" s="20">
        <v>0</v>
      </c>
      <c r="L106" s="20">
        <v>165.9375</v>
      </c>
      <c r="M106" s="20">
        <v>12.479166666666666</v>
      </c>
      <c r="N106" s="20">
        <v>1.375</v>
      </c>
      <c r="O106" s="20">
        <v>8.0291666666666668</v>
      </c>
      <c r="P106" s="10">
        <v>0.34213216167503901</v>
      </c>
      <c r="Q106" s="21">
        <v>0.27831250000000002</v>
      </c>
      <c r="R106" s="21">
        <v>0.37585416666666682</v>
      </c>
      <c r="S106" s="21">
        <v>0.45912499999999978</v>
      </c>
      <c r="T106" s="21">
        <v>0.45858333333333295</v>
      </c>
      <c r="U106" s="21">
        <v>0.45756249999999965</v>
      </c>
      <c r="V106" s="21">
        <v>0.33512500000000039</v>
      </c>
      <c r="W106" s="21">
        <v>0.36100000000000027</v>
      </c>
      <c r="X106" s="21">
        <v>0.31199999999999978</v>
      </c>
      <c r="Y106" s="21">
        <v>0.14310416666666662</v>
      </c>
      <c r="Z106" s="23">
        <f>AVERAGE(Q106,U106)</f>
        <v>0.36793749999999981</v>
      </c>
      <c r="AA106" s="23">
        <f>AVERAGE(R106:T106,V106:X106)</f>
        <v>0.38361458333333331</v>
      </c>
      <c r="AB106" s="23">
        <f t="shared" si="1"/>
        <v>0.38076420454545445</v>
      </c>
    </row>
    <row r="107" spans="1:28">
      <c r="A107" s="9">
        <v>43814</v>
      </c>
      <c r="B107" s="3"/>
      <c r="C107" s="3"/>
      <c r="D107" s="3"/>
      <c r="E107" s="3"/>
      <c r="F107" s="3"/>
      <c r="G107" s="19">
        <v>43814</v>
      </c>
      <c r="H107" s="20">
        <v>151.375</v>
      </c>
      <c r="I107" s="20">
        <v>70.481250000000003</v>
      </c>
      <c r="J107" s="20">
        <v>14.002083333333331</v>
      </c>
      <c r="K107" s="20">
        <v>0</v>
      </c>
      <c r="L107" s="20">
        <v>174.60416666666666</v>
      </c>
      <c r="M107" s="20">
        <v>15.104166666666666</v>
      </c>
      <c r="N107" s="20">
        <v>2.3125</v>
      </c>
      <c r="O107" s="20">
        <v>8.3541666666666625</v>
      </c>
      <c r="P107" s="10">
        <v>0.53718483039225995</v>
      </c>
      <c r="Q107" s="21">
        <v>0.27829166666666666</v>
      </c>
      <c r="R107" s="21">
        <v>0.37602083333333342</v>
      </c>
      <c r="S107" s="21">
        <v>0.45916666666666667</v>
      </c>
      <c r="T107" s="21">
        <v>0.4588541666666664</v>
      </c>
      <c r="U107" s="21">
        <v>0.45793750000000033</v>
      </c>
      <c r="V107" s="21">
        <v>0.3353541666666669</v>
      </c>
      <c r="W107" s="21">
        <v>0.36104166666666687</v>
      </c>
      <c r="X107" s="21">
        <v>0.31202083333333314</v>
      </c>
      <c r="Y107" s="21">
        <v>0.13879069767441871</v>
      </c>
      <c r="Z107" s="23">
        <f>AVERAGE(Q107,U107)</f>
        <v>0.36811458333333347</v>
      </c>
      <c r="AA107" s="23">
        <f>AVERAGE(R107:T107,V107:X107)</f>
        <v>0.3837430555555556</v>
      </c>
      <c r="AB107" s="23">
        <f t="shared" si="1"/>
        <v>0.38090151515151521</v>
      </c>
    </row>
    <row r="108" spans="1:28">
      <c r="A108" s="9">
        <v>43815</v>
      </c>
      <c r="B108" s="3"/>
      <c r="C108" s="3"/>
      <c r="D108" s="3"/>
      <c r="E108" s="3"/>
      <c r="F108" s="3"/>
      <c r="G108" s="19">
        <v>43815</v>
      </c>
      <c r="H108" s="20">
        <v>153.75</v>
      </c>
      <c r="I108" s="20">
        <v>69.639583333333334</v>
      </c>
      <c r="J108" s="20">
        <v>15.124999999999998</v>
      </c>
      <c r="K108" s="20">
        <v>0</v>
      </c>
      <c r="L108" s="20">
        <v>171.47916666666666</v>
      </c>
      <c r="M108" s="20">
        <v>10.729166666666666</v>
      </c>
      <c r="N108" s="20">
        <v>1.3125</v>
      </c>
      <c r="O108" s="20">
        <v>9.0374999999999996</v>
      </c>
      <c r="P108" s="10">
        <v>0.62070941135334989</v>
      </c>
      <c r="Q108" s="21">
        <v>0.28039583333333351</v>
      </c>
      <c r="R108" s="21">
        <v>0.37972916666666651</v>
      </c>
      <c r="S108" s="21">
        <v>0.46277083333333341</v>
      </c>
      <c r="T108" s="21">
        <v>0.46066666666666661</v>
      </c>
      <c r="U108" s="21">
        <v>0.46193749999999967</v>
      </c>
      <c r="V108" s="21">
        <v>0.33729166666666671</v>
      </c>
      <c r="W108" s="21">
        <v>0.36216666666666669</v>
      </c>
      <c r="X108" s="21">
        <v>0.31241666666666684</v>
      </c>
      <c r="Y108" s="21">
        <v>0.13295454545454549</v>
      </c>
      <c r="Z108" s="23">
        <f>AVERAGE(Q108,U108)</f>
        <v>0.37116666666666659</v>
      </c>
      <c r="AA108" s="23">
        <f>AVERAGE(R108:T108,V108:X108)</f>
        <v>0.38584027777777785</v>
      </c>
      <c r="AB108" s="23">
        <f t="shared" si="1"/>
        <v>0.38317234848484855</v>
      </c>
    </row>
    <row r="109" spans="1:28">
      <c r="A109" s="9">
        <v>43816</v>
      </c>
      <c r="B109" s="3"/>
      <c r="C109" s="3"/>
      <c r="D109" s="3"/>
      <c r="E109" s="3"/>
      <c r="F109" s="3"/>
      <c r="G109" s="19">
        <v>43816</v>
      </c>
      <c r="H109" s="20">
        <v>105.39583333333333</v>
      </c>
      <c r="I109" s="20">
        <v>75.114583333333329</v>
      </c>
      <c r="J109" s="20">
        <v>13.664583333333333</v>
      </c>
      <c r="K109" s="20">
        <v>0</v>
      </c>
      <c r="L109" s="20">
        <v>130.89583333333334</v>
      </c>
      <c r="M109" s="20">
        <v>5.3125</v>
      </c>
      <c r="N109" s="20">
        <v>0.4375</v>
      </c>
      <c r="O109" s="20">
        <v>9.0770833333333361</v>
      </c>
      <c r="P109" s="10">
        <v>0.43552373493399177</v>
      </c>
      <c r="Q109" s="21">
        <v>0.28064583333333343</v>
      </c>
      <c r="R109" s="21">
        <v>0.38229166666666653</v>
      </c>
      <c r="S109" s="21">
        <v>0.46568749999999987</v>
      </c>
      <c r="T109" s="21">
        <v>0.46291666666666664</v>
      </c>
      <c r="U109" s="21">
        <v>0.46302083333333327</v>
      </c>
      <c r="V109" s="21">
        <v>0.33877083333333341</v>
      </c>
      <c r="W109" s="21">
        <v>0.3638958333333337</v>
      </c>
      <c r="X109" s="21">
        <v>0.31320833333333348</v>
      </c>
      <c r="Y109" s="21">
        <v>0.12912499999999999</v>
      </c>
      <c r="Z109" s="23">
        <f>AVERAGE(Q109,U109)</f>
        <v>0.37183333333333335</v>
      </c>
      <c r="AA109" s="23">
        <f>AVERAGE(R109:T109,V109:X109)</f>
        <v>0.38779513888888889</v>
      </c>
      <c r="AB109" s="23">
        <f t="shared" si="1"/>
        <v>0.38489299242424241</v>
      </c>
    </row>
    <row r="110" spans="1:28">
      <c r="A110" s="9">
        <v>43817</v>
      </c>
      <c r="B110" s="3"/>
      <c r="C110" s="3"/>
      <c r="D110" s="3"/>
      <c r="E110" s="3"/>
      <c r="F110" s="3"/>
      <c r="G110" s="19">
        <v>43817</v>
      </c>
      <c r="H110" s="20">
        <v>15.833333333333334</v>
      </c>
      <c r="I110" s="20">
        <v>85.527083333333323</v>
      </c>
      <c r="J110" s="20">
        <v>7.5791666666666666</v>
      </c>
      <c r="K110" s="20">
        <v>0.2</v>
      </c>
      <c r="L110" s="20">
        <v>207.1875</v>
      </c>
      <c r="M110" s="20">
        <v>4.645833333333333</v>
      </c>
      <c r="N110" s="20">
        <v>0</v>
      </c>
      <c r="O110" s="20">
        <v>5.2875000000000005</v>
      </c>
      <c r="P110" s="10">
        <v>0.15724585348832035</v>
      </c>
      <c r="Q110" s="21">
        <v>0.2777708333333333</v>
      </c>
      <c r="R110" s="21">
        <v>0.38033333333333325</v>
      </c>
      <c r="S110" s="21">
        <v>0.46477083333333336</v>
      </c>
      <c r="T110" s="21">
        <v>0.46414583333333354</v>
      </c>
      <c r="U110" s="21">
        <v>0.45839583333333328</v>
      </c>
      <c r="V110" s="21">
        <v>0.33764583333333326</v>
      </c>
      <c r="W110" s="21">
        <v>0.36381250000000015</v>
      </c>
      <c r="X110" s="21">
        <v>0.31354166666666677</v>
      </c>
      <c r="Y110" s="21">
        <v>0.12493749999999991</v>
      </c>
      <c r="Z110" s="23">
        <f>AVERAGE(Q110,U110)</f>
        <v>0.36808333333333332</v>
      </c>
      <c r="AA110" s="23">
        <f>AVERAGE(R110:T110,V110:X110)</f>
        <v>0.38737500000000002</v>
      </c>
      <c r="AB110" s="23">
        <f t="shared" si="1"/>
        <v>0.38386742424242426</v>
      </c>
    </row>
    <row r="111" spans="1:28">
      <c r="A111" s="9">
        <v>43818</v>
      </c>
      <c r="B111" s="3"/>
      <c r="C111" s="3"/>
      <c r="D111" s="3"/>
      <c r="E111" s="3"/>
      <c r="F111" s="3"/>
      <c r="G111" s="19">
        <v>43818</v>
      </c>
      <c r="H111" s="20">
        <v>31.354166666666668</v>
      </c>
      <c r="I111" s="20">
        <v>86.037500000000009</v>
      </c>
      <c r="J111" s="20">
        <v>4.989583333333333</v>
      </c>
      <c r="K111" s="20">
        <v>0.60000000000000009</v>
      </c>
      <c r="L111" s="20">
        <v>174.02083333333334</v>
      </c>
      <c r="M111" s="20">
        <v>3.6041666666666665</v>
      </c>
      <c r="N111" s="20">
        <v>0</v>
      </c>
      <c r="O111" s="20">
        <v>2.8249999999999997</v>
      </c>
      <c r="P111" s="10">
        <v>0.1233671199391968</v>
      </c>
      <c r="Q111" s="21">
        <v>0.27200000000000035</v>
      </c>
      <c r="R111" s="21">
        <v>0.37272916666666656</v>
      </c>
      <c r="S111" s="21">
        <v>0.45808333333333334</v>
      </c>
      <c r="T111" s="21">
        <v>0.46081250000000012</v>
      </c>
      <c r="U111" s="21">
        <v>0.44839583333333338</v>
      </c>
      <c r="V111" s="21">
        <v>0.33397916666666666</v>
      </c>
      <c r="W111" s="21">
        <v>0.36152083333333346</v>
      </c>
      <c r="X111" s="21">
        <v>0.31289583333333332</v>
      </c>
      <c r="Y111" s="21">
        <v>0.12224999999999993</v>
      </c>
      <c r="Z111" s="23">
        <f>AVERAGE(Q111,U111)</f>
        <v>0.3601979166666669</v>
      </c>
      <c r="AA111" s="23">
        <f>AVERAGE(R111:T111,V111:X111)</f>
        <v>0.38333680555555555</v>
      </c>
      <c r="AB111" s="23">
        <f t="shared" si="1"/>
        <v>0.37912973484848489</v>
      </c>
    </row>
    <row r="112" spans="1:28">
      <c r="A112" s="9">
        <v>43819</v>
      </c>
      <c r="B112" s="3"/>
      <c r="C112" s="3"/>
      <c r="D112" s="3"/>
      <c r="E112" s="3"/>
      <c r="F112" s="3"/>
      <c r="G112" s="19">
        <v>43819</v>
      </c>
      <c r="H112" s="20">
        <v>20.479166666666668</v>
      </c>
      <c r="I112" s="20">
        <v>93.84999999999998</v>
      </c>
      <c r="J112" s="20">
        <v>3.9479166666666661</v>
      </c>
      <c r="K112" s="20">
        <v>1.9999999999999998</v>
      </c>
      <c r="L112" s="20">
        <v>136.9375</v>
      </c>
      <c r="M112" s="20">
        <v>3.6875</v>
      </c>
      <c r="N112" s="20">
        <v>6.25E-2</v>
      </c>
      <c r="O112" s="20">
        <v>3.0374999999999996</v>
      </c>
      <c r="P112" s="10">
        <v>4.9733485273686602E-2</v>
      </c>
      <c r="Q112" s="21">
        <v>0.27033333333333309</v>
      </c>
      <c r="R112" s="21">
        <v>0.36862500000000015</v>
      </c>
      <c r="S112" s="21">
        <v>0.45310416666666686</v>
      </c>
      <c r="T112" s="21">
        <v>0.45760416666666687</v>
      </c>
      <c r="U112" s="21">
        <v>0.44274999999999992</v>
      </c>
      <c r="V112" s="21">
        <v>0.33166666666666644</v>
      </c>
      <c r="W112" s="21">
        <v>0.35895833333333343</v>
      </c>
      <c r="X112" s="21">
        <v>0.31164583333333334</v>
      </c>
      <c r="Y112" s="21">
        <v>0.121</v>
      </c>
      <c r="Z112" s="23">
        <f>AVERAGE(Q112,U112)</f>
        <v>0.35654166666666653</v>
      </c>
      <c r="AA112" s="23">
        <f>AVERAGE(R112:T112,V112:X112)</f>
        <v>0.38026736111111115</v>
      </c>
      <c r="AB112" s="23">
        <f t="shared" si="1"/>
        <v>0.37595359848484844</v>
      </c>
    </row>
    <row r="113" spans="1:28">
      <c r="A113" s="9">
        <v>43820</v>
      </c>
      <c r="B113" s="3"/>
      <c r="C113" s="3"/>
      <c r="D113" s="3"/>
      <c r="E113" s="3"/>
      <c r="F113" s="3"/>
      <c r="G113" s="19">
        <v>43820</v>
      </c>
      <c r="H113" s="20">
        <v>22.645833333333332</v>
      </c>
      <c r="I113" s="20">
        <v>92.856249999999989</v>
      </c>
      <c r="J113" s="20">
        <v>3.6229166666666681</v>
      </c>
      <c r="K113" s="20">
        <v>0.60000000000000009</v>
      </c>
      <c r="L113" s="20">
        <v>187.20833333333334</v>
      </c>
      <c r="M113" s="20">
        <v>2.1875</v>
      </c>
      <c r="N113" s="20">
        <v>0</v>
      </c>
      <c r="O113" s="20">
        <v>2.5666666666666664</v>
      </c>
      <c r="P113" s="10">
        <v>5.7148074359968354E-2</v>
      </c>
      <c r="Q113" s="21">
        <v>0.26906250000000009</v>
      </c>
      <c r="R113" s="21">
        <v>0.36552083333333346</v>
      </c>
      <c r="S113" s="21">
        <v>0.44945833333333352</v>
      </c>
      <c r="T113" s="21">
        <v>0.45454166666666662</v>
      </c>
      <c r="U113" s="21">
        <v>0.43820833333333359</v>
      </c>
      <c r="V113" s="21">
        <v>0.3293958333333335</v>
      </c>
      <c r="W113" s="21">
        <v>0.35735416666666636</v>
      </c>
      <c r="X113" s="21">
        <v>0.31035416666666682</v>
      </c>
      <c r="Y113" s="39" t="e">
        <f>#REF!*0.5711-0.0033</f>
        <v>#REF!</v>
      </c>
      <c r="Z113" s="23">
        <f>AVERAGE(Q113,U113)</f>
        <v>0.35363541666666687</v>
      </c>
      <c r="AA113" s="23">
        <f>AVERAGE(R113:T113,V113:X113)</f>
        <v>0.37777083333333339</v>
      </c>
      <c r="AB113" s="23">
        <f t="shared" si="1"/>
        <v>0.37338257575757589</v>
      </c>
    </row>
    <row r="114" spans="1:28">
      <c r="A114" s="9">
        <v>43821</v>
      </c>
      <c r="B114" s="3"/>
      <c r="C114" s="3"/>
      <c r="D114" s="3"/>
      <c r="E114" s="3"/>
      <c r="F114" s="3"/>
      <c r="G114" s="19">
        <v>43821</v>
      </c>
      <c r="H114" s="20">
        <v>44.104166666666664</v>
      </c>
      <c r="I114" s="20">
        <v>89.606249999999989</v>
      </c>
      <c r="J114" s="20">
        <v>5.4499999999999984</v>
      </c>
      <c r="K114" s="20">
        <v>0.4</v>
      </c>
      <c r="L114" s="20">
        <v>144.5</v>
      </c>
      <c r="M114" s="20">
        <v>2</v>
      </c>
      <c r="N114" s="20">
        <v>4.1666666666666664E-2</v>
      </c>
      <c r="O114" s="20">
        <v>3.8458333333333332</v>
      </c>
      <c r="P114" s="10">
        <v>9.7430571459313123E-2</v>
      </c>
      <c r="Q114" s="21">
        <v>0.26856249999999998</v>
      </c>
      <c r="R114" s="21">
        <v>0.36318749999999972</v>
      </c>
      <c r="S114" s="21">
        <v>0.44718749999999957</v>
      </c>
      <c r="T114" s="21">
        <v>0.45166666666666688</v>
      </c>
      <c r="U114" s="21">
        <v>0.43581250000000016</v>
      </c>
      <c r="V114" s="21">
        <v>0.32750000000000001</v>
      </c>
      <c r="W114" s="21">
        <v>0.35550000000000015</v>
      </c>
      <c r="X114" s="21">
        <v>0.30947916666666625</v>
      </c>
      <c r="Y114" s="21">
        <v>0.12400000000000004</v>
      </c>
      <c r="Z114" s="23">
        <f>AVERAGE(Q114,U114)</f>
        <v>0.3521875000000001</v>
      </c>
      <c r="AA114" s="23">
        <f>AVERAGE(R114:T114,V114:X114)</f>
        <v>0.37575347222222216</v>
      </c>
      <c r="AB114" s="23">
        <f t="shared" si="1"/>
        <v>0.37146874999999996</v>
      </c>
    </row>
    <row r="115" spans="1:28">
      <c r="A115" s="9">
        <v>43822</v>
      </c>
      <c r="B115" s="3"/>
      <c r="C115" s="3"/>
      <c r="D115" s="3"/>
      <c r="E115" s="3"/>
      <c r="F115" s="3"/>
      <c r="G115" s="19">
        <v>43822</v>
      </c>
      <c r="H115" s="20">
        <v>40.5625</v>
      </c>
      <c r="I115" s="20">
        <v>90.672916666666652</v>
      </c>
      <c r="J115" s="20">
        <v>6.5874999999999995</v>
      </c>
      <c r="K115" s="20">
        <v>0.4</v>
      </c>
      <c r="L115" s="20">
        <v>119.14583333333333</v>
      </c>
      <c r="M115" s="20">
        <v>5.229166666666667</v>
      </c>
      <c r="N115" s="20">
        <v>0.29166666666666669</v>
      </c>
      <c r="O115" s="20">
        <v>5.1229166666666677</v>
      </c>
      <c r="P115" s="10">
        <v>9.516057772828819E-2</v>
      </c>
      <c r="Q115" s="21">
        <v>0.26924999999999993</v>
      </c>
      <c r="R115" s="21">
        <v>0.36387500000000023</v>
      </c>
      <c r="S115" s="21">
        <v>0.44687499999999952</v>
      </c>
      <c r="T115" s="21">
        <v>0.45043749999999966</v>
      </c>
      <c r="U115" s="21">
        <v>0.43616666666666698</v>
      </c>
      <c r="V115" s="21">
        <v>0.32739583333333327</v>
      </c>
      <c r="W115" s="21">
        <v>0.35468749999999999</v>
      </c>
      <c r="X115" s="21">
        <v>0.30866666666666659</v>
      </c>
      <c r="Y115" s="21">
        <v>0.12371428571428571</v>
      </c>
      <c r="Z115" s="23">
        <f>AVERAGE(Q115,U115)</f>
        <v>0.35270833333333346</v>
      </c>
      <c r="AA115" s="23">
        <f>AVERAGE(R115:T115,V115:X115)</f>
        <v>0.37532291666666656</v>
      </c>
      <c r="AB115" s="23">
        <f t="shared" si="1"/>
        <v>0.37121117424242411</v>
      </c>
    </row>
    <row r="116" spans="1:28">
      <c r="A116" s="9">
        <v>43823</v>
      </c>
      <c r="B116" s="3"/>
      <c r="C116" s="3"/>
      <c r="D116" s="3"/>
      <c r="E116" s="3"/>
      <c r="F116" s="3"/>
      <c r="G116" s="19">
        <v>43823</v>
      </c>
      <c r="H116" s="20">
        <v>28.041666666666668</v>
      </c>
      <c r="I116" s="20">
        <v>91.197916666666671</v>
      </c>
      <c r="J116" s="20">
        <v>6.7729166666666663</v>
      </c>
      <c r="K116" s="20">
        <v>0</v>
      </c>
      <c r="L116" s="20">
        <v>129.83333333333334</v>
      </c>
      <c r="M116" s="20">
        <v>6.729166666666667</v>
      </c>
      <c r="N116" s="20">
        <v>0.47916666666666669</v>
      </c>
      <c r="O116" s="20">
        <v>5.4291666666666663</v>
      </c>
      <c r="P116" s="10">
        <v>8.6411627289565571E-2</v>
      </c>
      <c r="Q116" s="21">
        <v>0.26929166666666671</v>
      </c>
      <c r="R116" s="21">
        <v>0.36339583333333308</v>
      </c>
      <c r="S116" s="21">
        <v>0.44650000000000017</v>
      </c>
      <c r="T116" s="21">
        <v>0.44954166666666695</v>
      </c>
      <c r="U116" s="21">
        <v>0.43554166666666677</v>
      </c>
      <c r="V116" s="21">
        <v>0.32702083333333332</v>
      </c>
      <c r="W116" s="21">
        <v>0.35406249999999967</v>
      </c>
      <c r="X116" s="21">
        <v>0.30797916666666653</v>
      </c>
      <c r="Y116" s="21">
        <v>0.12291666666666679</v>
      </c>
      <c r="Z116" s="23">
        <f>AVERAGE(Q116,U116)</f>
        <v>0.35241666666666671</v>
      </c>
      <c r="AA116" s="23">
        <f>AVERAGE(R116:T116,V116:X116)</f>
        <v>0.37474999999999997</v>
      </c>
      <c r="AB116" s="23">
        <f t="shared" si="1"/>
        <v>0.37068939393939393</v>
      </c>
    </row>
    <row r="117" spans="1:28">
      <c r="A117" s="9">
        <v>43824</v>
      </c>
      <c r="B117" s="3"/>
      <c r="C117" s="3"/>
      <c r="D117" s="3"/>
      <c r="E117" s="3"/>
      <c r="F117" s="3"/>
      <c r="G117" s="19">
        <v>43824</v>
      </c>
      <c r="H117" s="20">
        <v>146.1875</v>
      </c>
      <c r="I117" s="20">
        <v>81.264583333333306</v>
      </c>
      <c r="J117" s="20">
        <v>10.987499999999997</v>
      </c>
      <c r="K117" s="20">
        <v>0</v>
      </c>
      <c r="L117" s="20">
        <v>202.14583333333334</v>
      </c>
      <c r="M117" s="20">
        <v>12.208333333333334</v>
      </c>
      <c r="N117" s="20">
        <v>1.0833333333333333</v>
      </c>
      <c r="O117" s="20">
        <v>7.4083333333333341</v>
      </c>
      <c r="P117" s="10">
        <v>0.33828917731474051</v>
      </c>
      <c r="Q117" s="21">
        <v>0.27185416666666656</v>
      </c>
      <c r="R117" s="21">
        <v>0.36533333333333351</v>
      </c>
      <c r="S117" s="21">
        <v>0.44772916666666657</v>
      </c>
      <c r="T117" s="21">
        <v>0.44906250000000014</v>
      </c>
      <c r="U117" s="21">
        <v>0.43999999999999989</v>
      </c>
      <c r="V117" s="21">
        <v>0.32835416666666684</v>
      </c>
      <c r="W117" s="21">
        <v>0.35412499999999975</v>
      </c>
      <c r="X117" s="21">
        <v>0.30768750000000006</v>
      </c>
      <c r="Y117" s="21">
        <v>0.12337777777777785</v>
      </c>
      <c r="Z117" s="23">
        <f>AVERAGE(Q117,U117)</f>
        <v>0.35592708333333323</v>
      </c>
      <c r="AA117" s="23">
        <f>AVERAGE(R117:T117,V117:X117)</f>
        <v>0.37538194444444445</v>
      </c>
      <c r="AB117" s="23">
        <f t="shared" si="1"/>
        <v>0.37184469696969691</v>
      </c>
    </row>
    <row r="118" spans="1:28">
      <c r="A118" s="9">
        <v>43825</v>
      </c>
      <c r="B118" s="3"/>
      <c r="C118" s="3"/>
      <c r="D118" s="3"/>
      <c r="E118" s="3"/>
      <c r="F118" s="3"/>
      <c r="G118" s="19">
        <v>43825</v>
      </c>
      <c r="H118" s="20">
        <v>14.875</v>
      </c>
      <c r="I118" s="20">
        <v>81.287499999999994</v>
      </c>
      <c r="J118" s="20">
        <v>5.5833333333333321</v>
      </c>
      <c r="K118" s="20">
        <v>0</v>
      </c>
      <c r="L118" s="20">
        <v>232.3125</v>
      </c>
      <c r="M118" s="20">
        <v>4.8125</v>
      </c>
      <c r="N118" s="20">
        <v>0</v>
      </c>
      <c r="O118" s="20">
        <v>2.6145833333333335</v>
      </c>
      <c r="P118" s="10">
        <v>0.17085806297348127</v>
      </c>
      <c r="Q118" s="21">
        <v>0.27229166666666677</v>
      </c>
      <c r="R118" s="21">
        <v>0.36806250000000001</v>
      </c>
      <c r="S118" s="21">
        <v>0.45191666666666658</v>
      </c>
      <c r="T118" s="21">
        <v>0.45108333333333356</v>
      </c>
      <c r="U118" s="21">
        <v>0.44137499999999985</v>
      </c>
      <c r="V118" s="21">
        <v>0.32972916666666696</v>
      </c>
      <c r="W118" s="21">
        <v>0.35583333333333339</v>
      </c>
      <c r="X118" s="21">
        <v>0.30791666666666656</v>
      </c>
      <c r="Y118" s="21">
        <v>0.12058333333333338</v>
      </c>
      <c r="Z118" s="23">
        <f>AVERAGE(Q118,U118)</f>
        <v>0.35683333333333334</v>
      </c>
      <c r="AA118" s="23">
        <f>AVERAGE(R118:T118,V118:X118)</f>
        <v>0.37742361111111117</v>
      </c>
      <c r="AB118" s="23">
        <f t="shared" si="1"/>
        <v>0.3736799242424243</v>
      </c>
    </row>
    <row r="119" spans="1:28">
      <c r="A119" s="9">
        <v>43826</v>
      </c>
      <c r="B119" s="3"/>
      <c r="C119" s="3"/>
      <c r="D119" s="3"/>
      <c r="E119" s="3"/>
      <c r="F119" s="3"/>
      <c r="G119" s="19">
        <v>43826</v>
      </c>
      <c r="H119" s="20">
        <v>75.729166666666671</v>
      </c>
      <c r="I119" s="20">
        <v>72.525000000000006</v>
      </c>
      <c r="J119" s="20">
        <v>5.8687499999999986</v>
      </c>
      <c r="K119" s="20">
        <v>0.2</v>
      </c>
      <c r="L119" s="20">
        <v>151.83333333333334</v>
      </c>
      <c r="M119" s="20">
        <v>4.125</v>
      </c>
      <c r="N119" s="20">
        <v>0.125</v>
      </c>
      <c r="O119" s="20">
        <v>1.0250000000000001</v>
      </c>
      <c r="P119" s="10">
        <v>0.27753989717262012</v>
      </c>
      <c r="Q119" s="21">
        <v>0.26908333333333323</v>
      </c>
      <c r="R119" s="21">
        <v>0.36316666666666658</v>
      </c>
      <c r="S119" s="21">
        <v>0.44741666666666641</v>
      </c>
      <c r="T119" s="21">
        <v>0.44956250000000031</v>
      </c>
      <c r="U119" s="21">
        <v>0.43629166666666697</v>
      </c>
      <c r="V119" s="21">
        <v>0.32777083333333323</v>
      </c>
      <c r="W119" s="21">
        <v>0.35449999999999965</v>
      </c>
      <c r="X119" s="21">
        <v>0.30768750000000006</v>
      </c>
      <c r="Y119" s="21">
        <v>0.11943181818181813</v>
      </c>
      <c r="Z119" s="23">
        <f>AVERAGE(Q119,U119)</f>
        <v>0.3526875000000001</v>
      </c>
      <c r="AA119" s="23">
        <f>AVERAGE(R119:T119,V119:X119)</f>
        <v>0.375017361111111</v>
      </c>
      <c r="AB119" s="23">
        <f t="shared" si="1"/>
        <v>0.37095738636363629</v>
      </c>
    </row>
    <row r="120" spans="1:28">
      <c r="A120" s="9">
        <v>43827</v>
      </c>
      <c r="B120" s="3"/>
      <c r="C120" s="3"/>
      <c r="D120" s="3"/>
      <c r="E120" s="3"/>
      <c r="F120" s="3"/>
      <c r="G120" s="19">
        <v>43827</v>
      </c>
      <c r="H120" s="20">
        <v>18.333333333333332</v>
      </c>
      <c r="I120" s="20">
        <v>95.372916666666654</v>
      </c>
      <c r="J120" s="20">
        <v>5.2041666666666675</v>
      </c>
      <c r="K120" s="20">
        <v>3.3000000000000007</v>
      </c>
      <c r="L120" s="20">
        <v>195.35416666666666</v>
      </c>
      <c r="M120" s="20">
        <v>3.0833333333333335</v>
      </c>
      <c r="N120" s="20">
        <v>0.10416666666666667</v>
      </c>
      <c r="O120" s="20">
        <v>4.5187499999999998</v>
      </c>
      <c r="P120" s="10">
        <v>4.0185311656929762E-2</v>
      </c>
      <c r="Q120" s="21">
        <v>0.26870833333333349</v>
      </c>
      <c r="R120" s="21">
        <v>0.36200000000000015</v>
      </c>
      <c r="S120" s="21">
        <v>0.44560416666666652</v>
      </c>
      <c r="T120" s="21">
        <v>0.44845833333333346</v>
      </c>
      <c r="U120" s="21">
        <v>0.43454166666666655</v>
      </c>
      <c r="V120" s="21">
        <v>0.32739583333333333</v>
      </c>
      <c r="W120" s="21">
        <v>0.35370833333333324</v>
      </c>
      <c r="X120" s="21">
        <v>0.30716666666666687</v>
      </c>
      <c r="Y120" s="21">
        <v>0.11933333333333336</v>
      </c>
      <c r="Z120" s="23">
        <f>AVERAGE(Q120,U120)</f>
        <v>0.35162500000000002</v>
      </c>
      <c r="AA120" s="23">
        <f>AVERAGE(R120:T120,V120:X120)</f>
        <v>0.37405555555555559</v>
      </c>
      <c r="AB120" s="23">
        <f t="shared" si="1"/>
        <v>0.36997727272727277</v>
      </c>
    </row>
    <row r="121" spans="1:28">
      <c r="A121" s="9">
        <v>43828</v>
      </c>
      <c r="B121" s="3"/>
      <c r="C121" s="3"/>
      <c r="D121" s="3"/>
      <c r="E121" s="3"/>
      <c r="F121" s="3"/>
      <c r="G121" s="19">
        <v>43828</v>
      </c>
      <c r="H121" s="20">
        <v>113.25</v>
      </c>
      <c r="I121" s="20">
        <v>84.960416666666688</v>
      </c>
      <c r="J121" s="20">
        <v>9.4479166666666661</v>
      </c>
      <c r="K121" s="20">
        <v>0.4</v>
      </c>
      <c r="L121" s="20">
        <v>172.14583333333334</v>
      </c>
      <c r="M121" s="20">
        <v>2.5833333333333335</v>
      </c>
      <c r="N121" s="20">
        <v>2.0833333333333332E-2</v>
      </c>
      <c r="O121" s="20">
        <v>6.7208333333333323</v>
      </c>
      <c r="P121" s="10">
        <v>0.22826212902880313</v>
      </c>
      <c r="Q121" s="21">
        <v>0.26966666666666661</v>
      </c>
      <c r="R121" s="21">
        <v>0.36177083333333332</v>
      </c>
      <c r="S121" s="21">
        <v>0.44487500000000035</v>
      </c>
      <c r="T121" s="21">
        <v>0.44712499999999961</v>
      </c>
      <c r="U121" s="21">
        <v>0.43585416666666638</v>
      </c>
      <c r="V121" s="21">
        <v>0.32733333333333331</v>
      </c>
      <c r="W121" s="21">
        <v>0.3529166666666666</v>
      </c>
      <c r="X121" s="21">
        <v>0.30660416666666651</v>
      </c>
      <c r="Y121" s="21">
        <v>0.12572340425531911</v>
      </c>
      <c r="Z121" s="23">
        <f>AVERAGE(Q121,U121)</f>
        <v>0.35276041666666647</v>
      </c>
      <c r="AA121" s="23">
        <f>AVERAGE(R121:T121,V121:X121)</f>
        <v>0.37343749999999992</v>
      </c>
      <c r="AB121" s="23">
        <f t="shared" si="1"/>
        <v>0.36967803030303026</v>
      </c>
    </row>
    <row r="122" spans="1:28">
      <c r="A122" s="9">
        <v>43829</v>
      </c>
      <c r="B122" s="3"/>
      <c r="C122" s="3"/>
      <c r="D122" s="3"/>
      <c r="E122" s="3"/>
      <c r="F122" s="3"/>
      <c r="G122" s="19">
        <v>43829</v>
      </c>
      <c r="H122" s="20">
        <v>95.5625</v>
      </c>
      <c r="I122" s="20">
        <v>83.077083333333348</v>
      </c>
      <c r="J122" s="20">
        <v>9.7583333333333311</v>
      </c>
      <c r="K122" s="20">
        <v>0</v>
      </c>
      <c r="L122" s="20">
        <v>153.22916666666666</v>
      </c>
      <c r="M122" s="20">
        <v>5.6875</v>
      </c>
      <c r="N122" s="20">
        <v>0.125</v>
      </c>
      <c r="O122" s="20">
        <v>6.8291666666666657</v>
      </c>
      <c r="P122" s="10">
        <v>0.23399680745060458</v>
      </c>
      <c r="Q122" s="21">
        <v>0.27218750000000025</v>
      </c>
      <c r="R122" s="21">
        <v>0.36522916666666699</v>
      </c>
      <c r="S122" s="21">
        <v>0.44883333333333347</v>
      </c>
      <c r="T122" s="21">
        <v>0.44812500000000038</v>
      </c>
      <c r="U122" s="21">
        <v>0.44081249999999983</v>
      </c>
      <c r="V122" s="21">
        <v>0.32916666666666683</v>
      </c>
      <c r="W122" s="21">
        <v>0.35391666666666627</v>
      </c>
      <c r="X122" s="21">
        <v>0.30629166666666652</v>
      </c>
      <c r="Y122" s="21">
        <v>0.12704166666666664</v>
      </c>
      <c r="Z122" s="23">
        <f>AVERAGE(Q122,U122)</f>
        <v>0.35650000000000004</v>
      </c>
      <c r="AA122" s="23">
        <f>AVERAGE(R122:T122,V122:X122)</f>
        <v>0.37526041666666671</v>
      </c>
      <c r="AB122" s="23">
        <f t="shared" si="1"/>
        <v>0.37184943181818192</v>
      </c>
    </row>
    <row r="123" spans="1:28">
      <c r="A123" s="9">
        <v>43830</v>
      </c>
      <c r="B123" s="3"/>
      <c r="C123" s="3"/>
      <c r="D123" s="3"/>
      <c r="E123" s="3"/>
      <c r="F123" s="3"/>
      <c r="G123" s="19">
        <v>43830</v>
      </c>
      <c r="H123" s="20">
        <v>19.75</v>
      </c>
      <c r="I123" s="20">
        <v>94.612500000000011</v>
      </c>
      <c r="J123" s="20">
        <v>7.2416666666666645</v>
      </c>
      <c r="K123" s="20">
        <v>0.8</v>
      </c>
      <c r="L123" s="20">
        <v>134.6875</v>
      </c>
      <c r="M123" s="20">
        <v>8.4375</v>
      </c>
      <c r="N123" s="20">
        <v>1.375</v>
      </c>
      <c r="O123" s="20">
        <v>6.429166666666668</v>
      </c>
      <c r="P123" s="10">
        <v>5.6365654908941458E-2</v>
      </c>
      <c r="Q123" s="21">
        <v>0.27127083333333329</v>
      </c>
      <c r="R123" s="21">
        <v>0.36612499999999976</v>
      </c>
      <c r="S123" s="21">
        <v>0.44956249999999992</v>
      </c>
      <c r="T123" s="21">
        <v>0.44939583333333361</v>
      </c>
      <c r="U123" s="21">
        <v>0.4395416666666665</v>
      </c>
      <c r="V123" s="21">
        <v>0.32964583333333358</v>
      </c>
      <c r="W123" s="21">
        <v>0.35487500000000022</v>
      </c>
      <c r="X123" s="21">
        <v>0.30697916666666691</v>
      </c>
      <c r="Y123" s="21">
        <v>0.12443750000000003</v>
      </c>
      <c r="Z123" s="23">
        <f>AVERAGE(Q123,U123)</f>
        <v>0.35540624999999992</v>
      </c>
      <c r="AA123" s="23">
        <f>AVERAGE(R123:T123,V123:X123)</f>
        <v>0.37609722222222236</v>
      </c>
      <c r="AB123" s="23">
        <f t="shared" si="1"/>
        <v>0.37233522727272739</v>
      </c>
    </row>
    <row r="124" spans="1:28">
      <c r="A124" s="9">
        <v>43831</v>
      </c>
      <c r="B124" s="3"/>
      <c r="C124" s="3"/>
      <c r="D124" s="3"/>
      <c r="E124" s="3"/>
      <c r="F124" s="3"/>
      <c r="G124" s="19">
        <v>43831</v>
      </c>
      <c r="H124" s="20">
        <v>105.45833333333333</v>
      </c>
      <c r="I124" s="20">
        <v>79.981250000000003</v>
      </c>
      <c r="J124" s="20">
        <v>13.700000000000003</v>
      </c>
      <c r="K124" s="20">
        <v>0</v>
      </c>
      <c r="L124" s="20">
        <v>170.64583333333334</v>
      </c>
      <c r="M124" s="20">
        <v>18.4375</v>
      </c>
      <c r="N124" s="20">
        <v>3.0416666666666665</v>
      </c>
      <c r="O124" s="20">
        <v>10.135416666666666</v>
      </c>
      <c r="P124" s="10">
        <v>0.35280575231979</v>
      </c>
      <c r="Q124" s="21">
        <v>0.27137500000000009</v>
      </c>
      <c r="R124" s="21">
        <v>0.36556250000000018</v>
      </c>
      <c r="S124" s="21">
        <v>0.44833333333333342</v>
      </c>
      <c r="T124" s="21">
        <v>0.44843750000000032</v>
      </c>
      <c r="U124" s="21">
        <v>0.44043750000000031</v>
      </c>
      <c r="V124" s="21">
        <v>0.32935416666666673</v>
      </c>
      <c r="W124" s="21">
        <v>0.35406249999999967</v>
      </c>
      <c r="X124" s="21">
        <v>0.3068125000000001</v>
      </c>
      <c r="Y124" s="21">
        <v>0.12545833333333331</v>
      </c>
      <c r="Z124" s="23">
        <f>AVERAGE(Q124,U124)</f>
        <v>0.3559062500000002</v>
      </c>
      <c r="AA124" s="23">
        <f>AVERAGE(R124:T124,V124:X124)</f>
        <v>0.37542708333333347</v>
      </c>
      <c r="AB124" s="23">
        <f t="shared" si="1"/>
        <v>0.3718778409090911</v>
      </c>
    </row>
    <row r="125" spans="1:28">
      <c r="A125" s="9">
        <v>43832</v>
      </c>
      <c r="B125" s="3"/>
      <c r="C125" s="3"/>
      <c r="D125" s="3"/>
      <c r="E125" s="3"/>
      <c r="F125" s="3"/>
      <c r="G125" s="19">
        <v>43832</v>
      </c>
      <c r="H125" s="20">
        <v>126.39583333333333</v>
      </c>
      <c r="I125" s="20">
        <v>74.695833333333326</v>
      </c>
      <c r="J125" s="20">
        <v>14.779166666666663</v>
      </c>
      <c r="K125" s="20">
        <v>0</v>
      </c>
      <c r="L125" s="20">
        <v>171.04166666666666</v>
      </c>
      <c r="M125" s="20">
        <v>8.0625</v>
      </c>
      <c r="N125" s="20">
        <v>0.3125</v>
      </c>
      <c r="O125" s="20">
        <v>9.9500000000000028</v>
      </c>
      <c r="P125" s="10">
        <v>0.49489900884368171</v>
      </c>
      <c r="Q125" s="21">
        <v>0.27472916666666641</v>
      </c>
      <c r="R125" s="21">
        <v>0.36981249999999993</v>
      </c>
      <c r="S125" s="21">
        <v>0.45274999999999982</v>
      </c>
      <c r="T125" s="21">
        <v>0.45010416666666653</v>
      </c>
      <c r="U125" s="21">
        <v>0.44624999999999998</v>
      </c>
      <c r="V125" s="21">
        <v>0.33166666666666689</v>
      </c>
      <c r="W125" s="21">
        <v>0.3555416666666667</v>
      </c>
      <c r="X125" s="21">
        <v>0.30689583333333359</v>
      </c>
      <c r="Y125" s="21">
        <v>0.12407692307692313</v>
      </c>
      <c r="Z125" s="23">
        <f>AVERAGE(Q125,U125)</f>
        <v>0.3604895833333332</v>
      </c>
      <c r="AA125" s="23">
        <f>AVERAGE(R125:T125,V125:X125)</f>
        <v>0.37779513888888894</v>
      </c>
      <c r="AB125" s="23">
        <f t="shared" si="1"/>
        <v>0.37464867424242426</v>
      </c>
    </row>
    <row r="126" spans="1:28">
      <c r="A126" s="9">
        <v>43833</v>
      </c>
      <c r="B126" s="3"/>
      <c r="C126" s="3"/>
      <c r="D126" s="3"/>
      <c r="E126" s="3"/>
      <c r="F126" s="3"/>
      <c r="G126" s="19">
        <v>43833</v>
      </c>
      <c r="H126" s="20">
        <v>36.75</v>
      </c>
      <c r="I126" s="20">
        <v>89.999999999999986</v>
      </c>
      <c r="J126" s="20">
        <v>8.3520833333333329</v>
      </c>
      <c r="K126" s="20">
        <v>0</v>
      </c>
      <c r="L126" s="20">
        <v>143.52083333333334</v>
      </c>
      <c r="M126" s="20">
        <v>5.291666666666667</v>
      </c>
      <c r="N126" s="20">
        <v>0</v>
      </c>
      <c r="O126" s="20">
        <v>6.7895833333333329</v>
      </c>
      <c r="P126" s="10">
        <v>0.11282535381469111</v>
      </c>
      <c r="Q126" s="21">
        <v>0.27358333333333335</v>
      </c>
      <c r="R126" s="21">
        <v>0.37066666666666653</v>
      </c>
      <c r="S126" s="21">
        <v>0.45458333333333328</v>
      </c>
      <c r="T126" s="21">
        <v>0.45222916666666696</v>
      </c>
      <c r="U126" s="21">
        <v>0.44535416666666677</v>
      </c>
      <c r="V126" s="21">
        <v>0.3322291666666668</v>
      </c>
      <c r="W126" s="21">
        <v>0.3569791666666664</v>
      </c>
      <c r="X126" s="21">
        <v>0.30764583333333329</v>
      </c>
      <c r="Y126" s="21">
        <v>0.12131250000000011</v>
      </c>
      <c r="Z126" s="23">
        <f>AVERAGE(Q126,U126)</f>
        <v>0.35946875000000006</v>
      </c>
      <c r="AA126" s="23">
        <f>AVERAGE(R126:T126,V126:X126)</f>
        <v>0.37905555555555553</v>
      </c>
      <c r="AB126" s="23">
        <f t="shared" si="1"/>
        <v>0.37549431818181811</v>
      </c>
    </row>
    <row r="127" spans="1:28">
      <c r="A127" s="9">
        <v>43834</v>
      </c>
      <c r="B127" s="3"/>
      <c r="C127" s="3"/>
      <c r="D127" s="3"/>
      <c r="E127" s="3"/>
      <c r="F127" s="3"/>
      <c r="G127" s="19">
        <v>43834</v>
      </c>
      <c r="H127" s="20">
        <v>25.0625</v>
      </c>
      <c r="I127" s="20">
        <v>94.875000000000014</v>
      </c>
      <c r="J127" s="20">
        <v>9.0770833333333343</v>
      </c>
      <c r="K127" s="20">
        <v>20.799999999999997</v>
      </c>
      <c r="L127" s="20">
        <v>147.27083333333334</v>
      </c>
      <c r="M127" s="20">
        <v>7.604166666666667</v>
      </c>
      <c r="N127" s="20">
        <v>1.7083333333333333</v>
      </c>
      <c r="O127" s="20">
        <v>8.2937499999999975</v>
      </c>
      <c r="P127" s="10">
        <v>6.5517627000271098E-2</v>
      </c>
      <c r="Q127" s="21">
        <v>0.27891666666666648</v>
      </c>
      <c r="R127" s="21">
        <v>0.37814583333333335</v>
      </c>
      <c r="S127" s="21">
        <v>0.45635416666666634</v>
      </c>
      <c r="T127" s="21">
        <v>0.4603541666666669</v>
      </c>
      <c r="U127" s="21">
        <v>0.44750000000000006</v>
      </c>
      <c r="V127" s="21">
        <v>0.33102083333333349</v>
      </c>
      <c r="W127" s="21">
        <v>0.35604166666666676</v>
      </c>
      <c r="X127" s="21">
        <v>0.30793749999999992</v>
      </c>
      <c r="Y127" s="21">
        <v>0.13985416666666675</v>
      </c>
      <c r="Z127" s="23">
        <f>AVERAGE(Q127,U127)</f>
        <v>0.36320833333333324</v>
      </c>
      <c r="AA127" s="23">
        <f>AVERAGE(R127:T127,V127:X127)</f>
        <v>0.38164236111111111</v>
      </c>
      <c r="AB127" s="23">
        <f t="shared" si="1"/>
        <v>0.37829071969696959</v>
      </c>
    </row>
    <row r="128" spans="1:28">
      <c r="A128" s="9">
        <v>43835</v>
      </c>
      <c r="B128" s="3"/>
      <c r="C128" s="3"/>
      <c r="D128" s="3"/>
      <c r="E128" s="3"/>
      <c r="F128" s="3"/>
      <c r="G128" s="19">
        <v>43835</v>
      </c>
      <c r="H128" s="20">
        <v>103</v>
      </c>
      <c r="I128" s="20">
        <v>83.954166666666666</v>
      </c>
      <c r="J128" s="20">
        <v>13.337500000000004</v>
      </c>
      <c r="K128" s="20">
        <v>4.2</v>
      </c>
      <c r="L128" s="20">
        <v>190.0625</v>
      </c>
      <c r="M128" s="20">
        <v>20.3125</v>
      </c>
      <c r="N128" s="20">
        <v>4.0625</v>
      </c>
      <c r="O128" s="20">
        <v>10.624999999999998</v>
      </c>
      <c r="P128" s="10">
        <v>0.2590665067805426</v>
      </c>
      <c r="Q128" s="21">
        <v>0.31033333333333313</v>
      </c>
      <c r="R128" s="21">
        <v>0.43258333333333315</v>
      </c>
      <c r="S128" s="21">
        <v>0.49974999999999997</v>
      </c>
      <c r="T128" s="21">
        <v>0.49362499999999976</v>
      </c>
      <c r="U128" s="21">
        <v>0.48289583333333358</v>
      </c>
      <c r="V128" s="21">
        <v>0.33514583333333353</v>
      </c>
      <c r="W128" s="21">
        <v>0.35599999999999993</v>
      </c>
      <c r="X128" s="21">
        <v>0.30781249999999999</v>
      </c>
      <c r="Y128" s="21">
        <v>0.21812765957446822</v>
      </c>
      <c r="Z128" s="23">
        <f>AVERAGE(Q128,U128)</f>
        <v>0.39661458333333333</v>
      </c>
      <c r="AA128" s="23">
        <f>AVERAGE(R128:T128,V128:X128)</f>
        <v>0.40415277777777775</v>
      </c>
      <c r="AB128" s="23">
        <f t="shared" si="1"/>
        <v>0.40278219696969692</v>
      </c>
    </row>
    <row r="129" spans="1:28">
      <c r="A129" s="9">
        <v>43836</v>
      </c>
      <c r="B129" s="3"/>
      <c r="C129" s="3"/>
      <c r="D129" s="3"/>
      <c r="E129" s="3"/>
      <c r="F129" s="3"/>
      <c r="G129" s="19">
        <v>43836</v>
      </c>
      <c r="H129" s="20">
        <v>80.875</v>
      </c>
      <c r="I129" s="20">
        <v>85.020833333333343</v>
      </c>
      <c r="J129" s="20">
        <v>14.012499999999996</v>
      </c>
      <c r="K129" s="20">
        <v>22</v>
      </c>
      <c r="L129" s="20">
        <v>155.4375</v>
      </c>
      <c r="M129" s="20">
        <v>21.604166666666668</v>
      </c>
      <c r="N129" s="20">
        <v>5.270833333333333</v>
      </c>
      <c r="O129" s="20">
        <v>11.477083333333331</v>
      </c>
      <c r="P129" s="10">
        <v>0.24728457018609684</v>
      </c>
      <c r="Q129" s="21">
        <v>0.3356041666666667</v>
      </c>
      <c r="R129" s="21">
        <v>0.47391666666666671</v>
      </c>
      <c r="S129" s="21">
        <v>0.53716666666666646</v>
      </c>
      <c r="T129" s="21">
        <v>0.53618749999999993</v>
      </c>
      <c r="U129" s="21">
        <v>0.50906249999999997</v>
      </c>
      <c r="V129" s="21">
        <v>0.38139583333333338</v>
      </c>
      <c r="W129" s="21">
        <v>0.36808333333333326</v>
      </c>
      <c r="X129" s="21">
        <v>0.31464583333333335</v>
      </c>
      <c r="Y129" s="21">
        <v>0.25981250000000011</v>
      </c>
      <c r="Z129" s="23">
        <f>AVERAGE(Q129,U129)</f>
        <v>0.42233333333333334</v>
      </c>
      <c r="AA129" s="23">
        <f>AVERAGE(R129:T129,V129:X129)</f>
        <v>0.43523263888888891</v>
      </c>
      <c r="AB129" s="23">
        <f t="shared" si="1"/>
        <v>0.43288731060606062</v>
      </c>
    </row>
    <row r="130" spans="1:28">
      <c r="A130" s="9">
        <v>43837</v>
      </c>
      <c r="B130" s="3"/>
      <c r="C130" s="3"/>
      <c r="D130" s="3"/>
      <c r="E130" s="3"/>
      <c r="F130" s="3"/>
      <c r="G130" s="19">
        <v>43837</v>
      </c>
      <c r="H130" s="20">
        <v>145.875</v>
      </c>
      <c r="I130" s="20">
        <v>76.416666666666686</v>
      </c>
      <c r="J130" s="20">
        <v>10.625000000000002</v>
      </c>
      <c r="K130" s="20">
        <v>0</v>
      </c>
      <c r="L130" s="20">
        <v>166.52083333333334</v>
      </c>
      <c r="M130" s="20">
        <v>5.4375</v>
      </c>
      <c r="N130" s="20">
        <v>0.8125</v>
      </c>
      <c r="O130" s="20">
        <v>6.3187500000000014</v>
      </c>
      <c r="P130" s="10">
        <v>0.3654156346206559</v>
      </c>
      <c r="Q130" s="21">
        <v>0.36862499999999992</v>
      </c>
      <c r="R130" s="21">
        <v>0.49552083333333347</v>
      </c>
      <c r="S130" s="21">
        <v>0.55008333333333337</v>
      </c>
      <c r="T130" s="21">
        <v>0.55864583333333329</v>
      </c>
      <c r="U130" s="21">
        <v>0.50793750000000015</v>
      </c>
      <c r="V130" s="21">
        <v>0.39304166666666668</v>
      </c>
      <c r="W130" s="21">
        <v>0.3897916666666667</v>
      </c>
      <c r="X130" s="21">
        <v>0.33097916666666677</v>
      </c>
      <c r="Y130" s="21">
        <v>0.24021739130434785</v>
      </c>
      <c r="Z130" s="23">
        <f>AVERAGE(Q130,U130)</f>
        <v>0.43828125000000007</v>
      </c>
      <c r="AA130" s="23">
        <f>AVERAGE(R130:T130,V130:X130)</f>
        <v>0.45301041666666669</v>
      </c>
      <c r="AB130" s="23">
        <f t="shared" si="1"/>
        <v>0.45033238636363637</v>
      </c>
    </row>
    <row r="131" spans="1:28">
      <c r="A131" s="9">
        <v>43838</v>
      </c>
      <c r="B131" s="3"/>
      <c r="C131" s="3"/>
      <c r="D131" s="3"/>
      <c r="E131" s="3"/>
      <c r="F131" s="3"/>
      <c r="G131" s="19">
        <v>43838</v>
      </c>
      <c r="H131" s="20">
        <v>98.979166666666671</v>
      </c>
      <c r="I131" s="20">
        <v>79.933333333333323</v>
      </c>
      <c r="J131" s="20">
        <v>15.154166666666667</v>
      </c>
      <c r="K131" s="20">
        <v>0</v>
      </c>
      <c r="L131" s="20">
        <v>152</v>
      </c>
      <c r="M131" s="20">
        <v>23.5</v>
      </c>
      <c r="N131" s="20">
        <v>6.145833333333333</v>
      </c>
      <c r="O131" s="20">
        <v>11.635416666666664</v>
      </c>
      <c r="P131" s="10">
        <v>0.36366265148312588</v>
      </c>
      <c r="Q131" s="21">
        <v>0.36499999999999999</v>
      </c>
      <c r="R131" s="21">
        <v>0.49325000000000019</v>
      </c>
      <c r="S131" s="21">
        <v>0.54827083333333348</v>
      </c>
      <c r="T131" s="21">
        <v>0.55516666666666625</v>
      </c>
      <c r="U131" s="21">
        <v>0.50920833333333348</v>
      </c>
      <c r="V131" s="21">
        <v>0.39187500000000003</v>
      </c>
      <c r="W131" s="21">
        <v>0.39533333333333348</v>
      </c>
      <c r="X131" s="21">
        <v>0.3394375</v>
      </c>
      <c r="Y131" s="21">
        <v>0.23010416666666678</v>
      </c>
      <c r="Z131" s="23">
        <f>AVERAGE(Q131,U131)</f>
        <v>0.43710416666666674</v>
      </c>
      <c r="AA131" s="23">
        <f>AVERAGE(R131:T131,V131:X131)</f>
        <v>0.45388888888888884</v>
      </c>
      <c r="AB131" s="23">
        <f t="shared" si="1"/>
        <v>0.45083712121212116</v>
      </c>
    </row>
    <row r="132" spans="1:28">
      <c r="A132" s="9">
        <v>43839</v>
      </c>
      <c r="B132" s="3"/>
      <c r="C132" s="3"/>
      <c r="D132" s="3"/>
      <c r="E132" s="3"/>
      <c r="F132" s="3"/>
      <c r="G132" s="19">
        <v>43839</v>
      </c>
      <c r="H132" s="20">
        <v>120.08333333333333</v>
      </c>
      <c r="I132" s="20">
        <v>82.958333333333329</v>
      </c>
      <c r="J132" s="20">
        <v>12.266666666666667</v>
      </c>
      <c r="K132" s="20">
        <v>0</v>
      </c>
      <c r="L132" s="20">
        <v>153.35416666666666</v>
      </c>
      <c r="M132" s="20">
        <v>9.4583333333333339</v>
      </c>
      <c r="N132" s="20">
        <v>1.0208333333333333</v>
      </c>
      <c r="O132" s="20">
        <v>9.3250000000000011</v>
      </c>
      <c r="P132" s="10">
        <v>0.26759487535920545</v>
      </c>
      <c r="Q132" s="21">
        <v>0.36433333333333318</v>
      </c>
      <c r="R132" s="21">
        <v>0.49222916666666655</v>
      </c>
      <c r="S132" s="21">
        <v>0.54835416666666681</v>
      </c>
      <c r="T132" s="21">
        <v>0.55460416666666601</v>
      </c>
      <c r="U132" s="21">
        <v>0.51108333333333333</v>
      </c>
      <c r="V132" s="21">
        <v>0.3930833333333334</v>
      </c>
      <c r="W132" s="21">
        <v>0.40216666666666678</v>
      </c>
      <c r="X132" s="21">
        <v>0.34952083333333323</v>
      </c>
      <c r="Y132" s="21">
        <v>0.22362499999999993</v>
      </c>
      <c r="Z132" s="23">
        <f>AVERAGE(Q132,U132)</f>
        <v>0.43770833333333325</v>
      </c>
      <c r="AA132" s="23">
        <f>AVERAGE(R132:T132,V132:X132)</f>
        <v>0.45665972222222212</v>
      </c>
      <c r="AB132" s="23">
        <f t="shared" si="1"/>
        <v>0.45321401515151499</v>
      </c>
    </row>
    <row r="133" spans="1:28">
      <c r="A133" s="9">
        <v>43840</v>
      </c>
      <c r="B133" s="3"/>
      <c r="C133" s="3"/>
      <c r="D133" s="3"/>
      <c r="E133" s="3"/>
      <c r="F133" s="3"/>
      <c r="G133" s="19">
        <v>43840</v>
      </c>
      <c r="H133" s="20">
        <v>32</v>
      </c>
      <c r="I133" s="20">
        <v>92.827083333333334</v>
      </c>
      <c r="J133" s="20">
        <v>5.8500000000000014</v>
      </c>
      <c r="K133" s="20">
        <v>0</v>
      </c>
      <c r="L133" s="20">
        <v>166.375</v>
      </c>
      <c r="M133" s="20">
        <v>6</v>
      </c>
      <c r="N133" s="20">
        <v>4.1666666666666664E-2</v>
      </c>
      <c r="O133" s="20">
        <v>4.772916666666668</v>
      </c>
      <c r="P133" s="10">
        <v>6.6255597615316283E-2</v>
      </c>
      <c r="Q133" s="21">
        <v>0.36010416666666673</v>
      </c>
      <c r="R133" s="21">
        <v>0.48827083333333343</v>
      </c>
      <c r="S133" s="21">
        <v>0.54662500000000025</v>
      </c>
      <c r="T133" s="21">
        <v>0.55431249999999987</v>
      </c>
      <c r="U133" s="21">
        <v>0.50735416666666666</v>
      </c>
      <c r="V133" s="21">
        <v>0.39583333333333365</v>
      </c>
      <c r="W133" s="21">
        <v>0.40816666666666679</v>
      </c>
      <c r="X133" s="21">
        <v>0.35652083333333334</v>
      </c>
      <c r="Y133" s="21">
        <v>0.21689583333333318</v>
      </c>
      <c r="Z133" s="23">
        <f>AVERAGE(Q133,U133)</f>
        <v>0.43372916666666672</v>
      </c>
      <c r="AA133" s="23">
        <f>AVERAGE(R133:T133,V133:X133)</f>
        <v>0.45828819444444452</v>
      </c>
      <c r="AB133" s="23">
        <f t="shared" si="1"/>
        <v>0.45382291666666674</v>
      </c>
    </row>
    <row r="134" spans="1:28">
      <c r="A134" s="9">
        <v>43841</v>
      </c>
      <c r="B134" s="3"/>
      <c r="C134" s="3"/>
      <c r="D134" s="3"/>
      <c r="E134" s="3"/>
      <c r="F134" s="3"/>
      <c r="G134" s="19">
        <v>43841</v>
      </c>
      <c r="H134" s="20">
        <v>153.0625</v>
      </c>
      <c r="I134" s="20">
        <v>73.216666666666654</v>
      </c>
      <c r="J134" s="20">
        <v>7.5020833333333314</v>
      </c>
      <c r="K134" s="20">
        <v>0</v>
      </c>
      <c r="L134" s="20">
        <v>200.89583333333334</v>
      </c>
      <c r="M134" s="20">
        <v>7.5</v>
      </c>
      <c r="N134" s="20">
        <v>0.79166666666666663</v>
      </c>
      <c r="O134" s="20">
        <v>2.4750000000000001</v>
      </c>
      <c r="P134" s="10">
        <v>0.35348727747869274</v>
      </c>
      <c r="Q134" s="21">
        <v>0.35552083333333323</v>
      </c>
      <c r="R134" s="21">
        <v>0.48137500000000005</v>
      </c>
      <c r="S134" s="21">
        <v>0.5403541666666668</v>
      </c>
      <c r="T134" s="21">
        <v>0.55035416666666659</v>
      </c>
      <c r="U134" s="21">
        <v>0.50333333333333352</v>
      </c>
      <c r="V134" s="21">
        <v>0.39625000000000005</v>
      </c>
      <c r="W134" s="21">
        <v>0.41016666666666696</v>
      </c>
      <c r="X134" s="21">
        <v>0.35843750000000002</v>
      </c>
      <c r="Y134" s="21">
        <v>0.21134782608695662</v>
      </c>
      <c r="Z134" s="23">
        <f>AVERAGE(Q134,U134)</f>
        <v>0.42942708333333335</v>
      </c>
      <c r="AA134" s="23">
        <f>AVERAGE(R134:T134,V134:X134)</f>
        <v>0.45615625000000004</v>
      </c>
      <c r="AB134" s="23">
        <f t="shared" ref="AB134:AB197" si="2">(Z134*10+AA134*45)/55</f>
        <v>0.45129640151515155</v>
      </c>
    </row>
    <row r="135" spans="1:28">
      <c r="A135" s="9">
        <v>43842</v>
      </c>
      <c r="B135" s="3"/>
      <c r="C135" s="3"/>
      <c r="D135" s="3"/>
      <c r="E135" s="3"/>
      <c r="F135" s="3"/>
      <c r="G135" s="19">
        <v>43842</v>
      </c>
      <c r="H135" s="20">
        <v>113.54166666666667</v>
      </c>
      <c r="I135" s="20">
        <v>79.606250000000003</v>
      </c>
      <c r="J135" s="20">
        <v>7.1729166666666684</v>
      </c>
      <c r="K135" s="20">
        <v>0</v>
      </c>
      <c r="L135" s="20">
        <v>147.08333333333334</v>
      </c>
      <c r="M135" s="20">
        <v>5.333333333333333</v>
      </c>
      <c r="N135" s="20">
        <v>0.25</v>
      </c>
      <c r="O135" s="20">
        <v>3.6500000000000008</v>
      </c>
      <c r="P135" s="10">
        <v>0.24912856384269302</v>
      </c>
      <c r="Q135" s="21">
        <v>0.35666666666666669</v>
      </c>
      <c r="R135" s="21">
        <v>0.4817291666666666</v>
      </c>
      <c r="S135" s="21">
        <v>0.54043750000000002</v>
      </c>
      <c r="T135" s="21">
        <v>0.54916666666666691</v>
      </c>
      <c r="U135" s="21">
        <v>0.50466666666666682</v>
      </c>
      <c r="V135" s="21">
        <v>0.39904166666666668</v>
      </c>
      <c r="W135" s="21">
        <v>0.4124791666666669</v>
      </c>
      <c r="X135" s="21">
        <v>0.35962499999999969</v>
      </c>
      <c r="Y135" s="21">
        <v>0.20374999999999996</v>
      </c>
      <c r="Z135" s="23">
        <f>AVERAGE(Q135,U135)</f>
        <v>0.43066666666666675</v>
      </c>
      <c r="AA135" s="23">
        <f>AVERAGE(R135:T135,V135:X135)</f>
        <v>0.45707986111111115</v>
      </c>
      <c r="AB135" s="23">
        <f t="shared" si="2"/>
        <v>0.45227746212121217</v>
      </c>
    </row>
    <row r="136" spans="1:28">
      <c r="A136" s="9">
        <v>43843</v>
      </c>
      <c r="B136" s="3"/>
      <c r="C136" s="3"/>
      <c r="D136" s="3"/>
      <c r="E136" s="3"/>
      <c r="F136" s="3"/>
      <c r="G136" s="19">
        <v>43843</v>
      </c>
      <c r="H136" s="20">
        <v>56.75</v>
      </c>
      <c r="I136" s="20">
        <v>86.077083333333363</v>
      </c>
      <c r="J136" s="20">
        <v>8.4666666666666668</v>
      </c>
      <c r="K136" s="20">
        <v>0.8</v>
      </c>
      <c r="L136" s="20">
        <v>164.4375</v>
      </c>
      <c r="M136" s="20">
        <v>8.625</v>
      </c>
      <c r="N136" s="20">
        <v>0.66666666666666663</v>
      </c>
      <c r="O136" s="20">
        <v>6.197916666666667</v>
      </c>
      <c r="P136" s="10">
        <v>0.16582481419749126</v>
      </c>
      <c r="Q136" s="21">
        <v>0.35616666666666691</v>
      </c>
      <c r="R136" s="21">
        <v>0.48052083333333312</v>
      </c>
      <c r="S136" s="21">
        <v>0.53935416666666669</v>
      </c>
      <c r="T136" s="21">
        <v>0.54833333333333367</v>
      </c>
      <c r="U136" s="21">
        <v>0.50337500000000013</v>
      </c>
      <c r="V136" s="21">
        <v>0.40137499999999987</v>
      </c>
      <c r="W136" s="21">
        <v>0.4137083333333334</v>
      </c>
      <c r="X136" s="21">
        <v>0.36056250000000017</v>
      </c>
      <c r="Y136" s="21">
        <v>0.19832558139534881</v>
      </c>
      <c r="Z136" s="23">
        <f>AVERAGE(Q136,U136)</f>
        <v>0.42977083333333355</v>
      </c>
      <c r="AA136" s="23">
        <f>AVERAGE(R136:T136,V136:X136)</f>
        <v>0.45730902777777788</v>
      </c>
      <c r="AB136" s="23">
        <f t="shared" si="2"/>
        <v>0.45230208333333344</v>
      </c>
    </row>
    <row r="137" spans="1:28">
      <c r="A137" s="9">
        <v>43844</v>
      </c>
      <c r="B137" s="3"/>
      <c r="C137" s="3"/>
      <c r="D137" s="3"/>
      <c r="E137" s="3"/>
      <c r="F137" s="3"/>
      <c r="G137" s="19">
        <v>43844</v>
      </c>
      <c r="H137" s="20">
        <v>16.708333333333332</v>
      </c>
      <c r="I137" s="20">
        <v>95.033333333333317</v>
      </c>
      <c r="J137" s="20">
        <v>3.6708333333333338</v>
      </c>
      <c r="K137" s="20">
        <v>2.1999999999999997</v>
      </c>
      <c r="L137" s="20">
        <v>127.3125</v>
      </c>
      <c r="M137" s="20">
        <v>4.854166666666667</v>
      </c>
      <c r="N137" s="20">
        <v>4.1666666666666664E-2</v>
      </c>
      <c r="O137" s="20">
        <v>2.9479166666666661</v>
      </c>
      <c r="P137" s="10">
        <v>3.9334162101446517E-2</v>
      </c>
      <c r="Q137" s="21">
        <v>0.3526458333333331</v>
      </c>
      <c r="R137" s="21">
        <v>0.47681250000000025</v>
      </c>
      <c r="S137" s="21">
        <v>0.53604166666666664</v>
      </c>
      <c r="T137" s="21">
        <v>0.54639583333333341</v>
      </c>
      <c r="U137" s="21">
        <v>0.49854166666666644</v>
      </c>
      <c r="V137" s="21">
        <v>0.39991666666666698</v>
      </c>
      <c r="W137" s="21">
        <v>0.41350000000000003</v>
      </c>
      <c r="X137" s="21">
        <v>0.3607291666666666</v>
      </c>
      <c r="Y137" s="21">
        <v>0.19560416666666655</v>
      </c>
      <c r="Z137" s="23">
        <f>AVERAGE(Q137,U137)</f>
        <v>0.42559374999999977</v>
      </c>
      <c r="AA137" s="23">
        <f>AVERAGE(R137:T137,V137:X137)</f>
        <v>0.45556597222222234</v>
      </c>
      <c r="AB137" s="23">
        <f t="shared" si="2"/>
        <v>0.45011647727272736</v>
      </c>
    </row>
    <row r="138" spans="1:28">
      <c r="A138" s="9">
        <v>43845</v>
      </c>
      <c r="B138" s="3"/>
      <c r="C138" s="3"/>
      <c r="D138" s="3"/>
      <c r="E138" s="3"/>
      <c r="F138" s="3"/>
      <c r="G138" s="19">
        <v>43845</v>
      </c>
      <c r="H138" s="20">
        <v>20.770833333333332</v>
      </c>
      <c r="I138" s="20">
        <v>96.458333333333314</v>
      </c>
      <c r="J138" s="20">
        <v>3.1645833333333324</v>
      </c>
      <c r="K138" s="20">
        <v>2.1999999999999997</v>
      </c>
      <c r="L138" s="20">
        <v>177.91666666666666</v>
      </c>
      <c r="M138" s="20">
        <v>4.958333333333333</v>
      </c>
      <c r="N138" s="20">
        <v>2.0833333333333332E-2</v>
      </c>
      <c r="O138" s="20">
        <v>2.6520833333333336</v>
      </c>
      <c r="P138" s="10">
        <v>2.7132557163293384E-2</v>
      </c>
      <c r="Q138" s="21">
        <v>0.34937500000000005</v>
      </c>
      <c r="R138" s="21">
        <v>0.47160416666666638</v>
      </c>
      <c r="S138" s="21">
        <v>0.53110416666666693</v>
      </c>
      <c r="T138" s="21">
        <v>0.5430833333333337</v>
      </c>
      <c r="U138" s="21">
        <v>0.49283333333333362</v>
      </c>
      <c r="V138" s="21">
        <v>0.39697916666666694</v>
      </c>
      <c r="W138" s="21">
        <v>0.41195833333333381</v>
      </c>
      <c r="X138" s="21">
        <v>0.35997916666666646</v>
      </c>
      <c r="Y138" s="21">
        <v>0.22018749999999998</v>
      </c>
      <c r="Z138" s="23">
        <f>AVERAGE(Q138,U138)</f>
        <v>0.42110416666666683</v>
      </c>
      <c r="AA138" s="23">
        <f>AVERAGE(R138:T138,V138:X138)</f>
        <v>0.45245138888888903</v>
      </c>
      <c r="AB138" s="23">
        <f t="shared" si="2"/>
        <v>0.44675189393939407</v>
      </c>
    </row>
    <row r="139" spans="1:28">
      <c r="A139" s="9">
        <v>43846</v>
      </c>
      <c r="B139" s="3"/>
      <c r="C139" s="3"/>
      <c r="D139" s="3"/>
      <c r="E139" s="3"/>
      <c r="F139" s="3"/>
      <c r="G139" s="19">
        <v>43846</v>
      </c>
      <c r="H139" s="20">
        <v>34.708333333333336</v>
      </c>
      <c r="I139" s="20">
        <v>86.956249999999997</v>
      </c>
      <c r="J139" s="20">
        <v>4.3145833333333332</v>
      </c>
      <c r="K139" s="20">
        <v>0</v>
      </c>
      <c r="L139" s="20">
        <v>186.45833333333334</v>
      </c>
      <c r="M139" s="20">
        <v>3.9375</v>
      </c>
      <c r="N139" s="20">
        <v>0.20833333333333334</v>
      </c>
      <c r="O139" s="20">
        <v>2.3020833333333335</v>
      </c>
      <c r="P139" s="10">
        <v>0.1125814916994264</v>
      </c>
      <c r="Q139" s="21">
        <v>0.34745833333333326</v>
      </c>
      <c r="R139" s="21">
        <v>0.46762499999999979</v>
      </c>
      <c r="S139" s="21">
        <v>0.52685416666666629</v>
      </c>
      <c r="T139" s="21">
        <v>0.53949999999999998</v>
      </c>
      <c r="U139" s="21">
        <v>0.49149999999999977</v>
      </c>
      <c r="V139" s="21">
        <v>0.39464583333333308</v>
      </c>
      <c r="W139" s="21">
        <v>0.41039583333333329</v>
      </c>
      <c r="X139" s="21">
        <v>0.35860416666666683</v>
      </c>
      <c r="Y139" s="21">
        <v>0.221</v>
      </c>
      <c r="Z139" s="23">
        <f>AVERAGE(Q139,U139)</f>
        <v>0.41947916666666651</v>
      </c>
      <c r="AA139" s="23">
        <f>AVERAGE(R139:T139,V139:X139)</f>
        <v>0.44960416666666658</v>
      </c>
      <c r="AB139" s="23">
        <f t="shared" si="2"/>
        <v>0.44412689393939386</v>
      </c>
    </row>
    <row r="140" spans="1:28">
      <c r="A140" s="9">
        <v>43847</v>
      </c>
      <c r="B140" s="3"/>
      <c r="C140" s="3"/>
      <c r="D140" s="3"/>
      <c r="E140" s="3"/>
      <c r="F140" s="3"/>
      <c r="G140" s="19">
        <v>43847</v>
      </c>
      <c r="H140" s="20">
        <v>27.375</v>
      </c>
      <c r="I140" s="20">
        <v>90.293749999999974</v>
      </c>
      <c r="J140" s="20">
        <v>4.0375000000000023</v>
      </c>
      <c r="K140" s="20">
        <v>0.4</v>
      </c>
      <c r="L140" s="20">
        <v>135.0625</v>
      </c>
      <c r="M140" s="20">
        <v>3.2291666666666665</v>
      </c>
      <c r="N140" s="20">
        <v>0</v>
      </c>
      <c r="O140" s="20">
        <v>2.5666666666666669</v>
      </c>
      <c r="P140" s="10">
        <v>8.1380660999319135E-2</v>
      </c>
      <c r="Q140" s="21">
        <v>0.34724999999999978</v>
      </c>
      <c r="R140" s="21">
        <v>0.46599999999999997</v>
      </c>
      <c r="S140" s="21">
        <v>0.52454166666666724</v>
      </c>
      <c r="T140" s="21">
        <v>0.5370833333333338</v>
      </c>
      <c r="U140" s="21">
        <v>0.49210416666666718</v>
      </c>
      <c r="V140" s="21">
        <v>0.39402083333333321</v>
      </c>
      <c r="W140" s="21">
        <v>0.40956250000000005</v>
      </c>
      <c r="X140" s="21">
        <v>0.35800000000000015</v>
      </c>
      <c r="Y140" s="21">
        <v>0.21437499999999998</v>
      </c>
      <c r="Z140" s="23">
        <f>AVERAGE(Q140,U140)</f>
        <v>0.41967708333333348</v>
      </c>
      <c r="AA140" s="23">
        <f>AVERAGE(R140:T140,V140:X140)</f>
        <v>0.44820138888888911</v>
      </c>
      <c r="AB140" s="23">
        <f t="shared" si="2"/>
        <v>0.44301515151515175</v>
      </c>
    </row>
    <row r="141" spans="1:28">
      <c r="A141" s="9">
        <v>43848</v>
      </c>
      <c r="B141" s="3"/>
      <c r="C141" s="3"/>
      <c r="D141" s="3"/>
      <c r="E141" s="3"/>
      <c r="F141" s="3"/>
      <c r="G141" s="19">
        <v>43848</v>
      </c>
      <c r="H141" s="20">
        <v>23.229166666666668</v>
      </c>
      <c r="I141" s="20">
        <v>93.499999999999957</v>
      </c>
      <c r="J141" s="20">
        <v>2.8249999999999993</v>
      </c>
      <c r="K141" s="20">
        <v>0.60000000000000009</v>
      </c>
      <c r="L141" s="20">
        <v>159.625</v>
      </c>
      <c r="M141" s="20">
        <v>4.270833333333333</v>
      </c>
      <c r="N141" s="20">
        <v>0</v>
      </c>
      <c r="O141" s="20">
        <v>1.8812500000000003</v>
      </c>
      <c r="P141" s="10">
        <v>4.9252687963927837E-2</v>
      </c>
      <c r="Q141" s="21">
        <v>0.3462083333333334</v>
      </c>
      <c r="R141" s="21">
        <v>0.46391666666666675</v>
      </c>
      <c r="S141" s="21">
        <v>0.52266666666666606</v>
      </c>
      <c r="T141" s="21">
        <v>0.5352291666666662</v>
      </c>
      <c r="U141" s="21">
        <v>0.49104166666666654</v>
      </c>
      <c r="V141" s="21">
        <v>0.39339583333333367</v>
      </c>
      <c r="W141" s="21">
        <v>0.40881250000000025</v>
      </c>
      <c r="X141" s="21">
        <v>0.35797916666666679</v>
      </c>
      <c r="Y141" s="21">
        <v>0.21308333333333351</v>
      </c>
      <c r="Z141" s="23">
        <f>AVERAGE(Q141,U141)</f>
        <v>0.41862499999999997</v>
      </c>
      <c r="AA141" s="23">
        <f>AVERAGE(R141:T141,V141:X141)</f>
        <v>0.44700000000000001</v>
      </c>
      <c r="AB141" s="23">
        <f t="shared" si="2"/>
        <v>0.44184090909090917</v>
      </c>
    </row>
    <row r="142" spans="1:28">
      <c r="A142" s="9">
        <v>43849</v>
      </c>
      <c r="B142" s="3"/>
      <c r="C142" s="3"/>
      <c r="D142" s="3"/>
      <c r="E142" s="3"/>
      <c r="F142" s="3"/>
      <c r="G142" s="19">
        <v>43849</v>
      </c>
      <c r="H142" s="20">
        <v>32.958333333333336</v>
      </c>
      <c r="I142" s="20">
        <v>84.193750000000009</v>
      </c>
      <c r="J142" s="20">
        <v>4.260416666666667</v>
      </c>
      <c r="K142" s="20">
        <v>0</v>
      </c>
      <c r="L142" s="20">
        <v>159.52083333333334</v>
      </c>
      <c r="M142" s="20">
        <v>3.3125</v>
      </c>
      <c r="N142" s="20">
        <v>4.1666666666666664E-2</v>
      </c>
      <c r="O142" s="20">
        <v>1.79375</v>
      </c>
      <c r="P142" s="10">
        <v>0.13391264409100045</v>
      </c>
      <c r="Q142" s="21">
        <v>0.34543750000000006</v>
      </c>
      <c r="R142" s="21">
        <v>0.46187499999999981</v>
      </c>
      <c r="S142" s="21">
        <v>0.52006249999999954</v>
      </c>
      <c r="T142" s="21">
        <v>0.53297916666666667</v>
      </c>
      <c r="U142" s="21">
        <v>0.49085416666666676</v>
      </c>
      <c r="V142" s="21">
        <v>0.39262499999999995</v>
      </c>
      <c r="W142" s="21">
        <v>0.4078958333333334</v>
      </c>
      <c r="X142" s="21">
        <v>0.35714583333333305</v>
      </c>
      <c r="Y142" s="21">
        <v>0.21231249999999999</v>
      </c>
      <c r="Z142" s="23">
        <f>AVERAGE(Q142,U142)</f>
        <v>0.41814583333333344</v>
      </c>
      <c r="AA142" s="23">
        <f>AVERAGE(R142:T142,V142:X142)</f>
        <v>0.44543055555555539</v>
      </c>
      <c r="AB142" s="23">
        <f t="shared" si="2"/>
        <v>0.44046969696969684</v>
      </c>
    </row>
    <row r="143" spans="1:28">
      <c r="A143" s="9">
        <v>43850</v>
      </c>
      <c r="B143" s="3"/>
      <c r="C143" s="3"/>
      <c r="D143" s="3"/>
      <c r="E143" s="3"/>
      <c r="F143" s="3"/>
      <c r="G143" s="19">
        <v>43850</v>
      </c>
      <c r="H143" s="20">
        <v>21.5</v>
      </c>
      <c r="I143" s="20">
        <v>96.597916666666677</v>
      </c>
      <c r="J143" s="20">
        <v>5.6687499999999993</v>
      </c>
      <c r="K143" s="20">
        <v>1.7999999999999998</v>
      </c>
      <c r="L143" s="20">
        <v>127.97916666666667</v>
      </c>
      <c r="M143" s="20">
        <v>4.666666666666667</v>
      </c>
      <c r="N143" s="20">
        <v>0.125</v>
      </c>
      <c r="O143" s="20">
        <v>5.1645833333333337</v>
      </c>
      <c r="P143" s="10">
        <v>3.0709342761305273E-2</v>
      </c>
      <c r="Q143" s="21">
        <v>0.34624999999999995</v>
      </c>
      <c r="R143" s="21">
        <v>0.46162499999999995</v>
      </c>
      <c r="S143" s="21">
        <v>0.51933333333333276</v>
      </c>
      <c r="T143" s="21">
        <v>0.53193749999999995</v>
      </c>
      <c r="U143" s="21">
        <v>0.4936875</v>
      </c>
      <c r="V143" s="21">
        <v>0.3933124999999999</v>
      </c>
      <c r="W143" s="21">
        <v>0.40725000000000006</v>
      </c>
      <c r="X143" s="21">
        <v>0.35702083333333307</v>
      </c>
      <c r="Y143" s="21">
        <v>0.21508333333333332</v>
      </c>
      <c r="Z143" s="23">
        <f>AVERAGE(Q143,U143)</f>
        <v>0.41996875</v>
      </c>
      <c r="AA143" s="23">
        <f>AVERAGE(R143:T143,V143:X143)</f>
        <v>0.44507986111111092</v>
      </c>
      <c r="AB143" s="23">
        <f t="shared" si="2"/>
        <v>0.44051420454545437</v>
      </c>
    </row>
    <row r="144" spans="1:28">
      <c r="A144" s="9">
        <v>43851</v>
      </c>
      <c r="B144" s="3"/>
      <c r="C144" s="3"/>
      <c r="D144" s="3"/>
      <c r="E144" s="3"/>
      <c r="F144" s="3"/>
      <c r="G144" s="19">
        <v>43851</v>
      </c>
      <c r="H144" s="20">
        <v>119.70833333333333</v>
      </c>
      <c r="I144" s="20">
        <v>86.106249999999989</v>
      </c>
      <c r="J144" s="20">
        <v>11.65625</v>
      </c>
      <c r="K144" s="20">
        <v>0</v>
      </c>
      <c r="L144" s="20">
        <v>184</v>
      </c>
      <c r="M144" s="20">
        <v>14.229166666666666</v>
      </c>
      <c r="N144" s="20">
        <v>1.9166666666666667</v>
      </c>
      <c r="O144" s="20">
        <v>9.2729166666666671</v>
      </c>
      <c r="P144" s="10">
        <v>0.22257481358977671</v>
      </c>
      <c r="Q144" s="21">
        <v>0.34974999999999995</v>
      </c>
      <c r="R144" s="21">
        <v>0.46435416666666657</v>
      </c>
      <c r="S144" s="21">
        <v>0.52081249999999979</v>
      </c>
      <c r="T144" s="21">
        <v>0.53149999999999997</v>
      </c>
      <c r="U144" s="21">
        <v>0.50864583333333357</v>
      </c>
      <c r="V144" s="21">
        <v>0.39725000000000005</v>
      </c>
      <c r="W144" s="21">
        <v>0.40764583333333321</v>
      </c>
      <c r="X144" s="21">
        <v>0.3567708333333332</v>
      </c>
      <c r="Y144" s="21">
        <v>0.22445454545454546</v>
      </c>
      <c r="Z144" s="23">
        <f>AVERAGE(Q144,U144)</f>
        <v>0.42919791666666673</v>
      </c>
      <c r="AA144" s="23">
        <f>AVERAGE(R144:T144,V144:X144)</f>
        <v>0.44638888888888872</v>
      </c>
      <c r="AB144" s="23">
        <f t="shared" si="2"/>
        <v>0.44326325757575746</v>
      </c>
    </row>
    <row r="145" spans="1:28">
      <c r="A145" s="9">
        <v>43852</v>
      </c>
      <c r="B145" s="3"/>
      <c r="C145" s="3"/>
      <c r="D145" s="3"/>
      <c r="E145" s="3"/>
      <c r="F145" s="3"/>
      <c r="G145" s="19">
        <v>43852</v>
      </c>
      <c r="H145" s="20">
        <v>169.77083333333334</v>
      </c>
      <c r="I145" s="20">
        <v>72.097916666666663</v>
      </c>
      <c r="J145" s="20">
        <v>14.039583333333333</v>
      </c>
      <c r="K145" s="20">
        <v>0</v>
      </c>
      <c r="L145" s="20">
        <v>164.75</v>
      </c>
      <c r="M145" s="20">
        <v>12.229166666666666</v>
      </c>
      <c r="N145" s="20">
        <v>2.2083333333333335</v>
      </c>
      <c r="O145" s="20">
        <v>8.2354166666666675</v>
      </c>
      <c r="P145" s="10">
        <v>0.58902826960099686</v>
      </c>
      <c r="Q145" s="21">
        <v>0.35604166666666665</v>
      </c>
      <c r="R145" s="21">
        <v>0.47156250000000011</v>
      </c>
      <c r="S145" s="21">
        <v>0.5273333333333331</v>
      </c>
      <c r="T145" s="21">
        <v>0.53429166666666683</v>
      </c>
      <c r="U145" s="21">
        <v>0.51656249999999992</v>
      </c>
      <c r="V145" s="21">
        <v>0.40616666666666656</v>
      </c>
      <c r="W145" s="21">
        <v>0.4106249999999998</v>
      </c>
      <c r="X145" s="21">
        <v>0.35758333333333359</v>
      </c>
      <c r="Y145" s="21">
        <v>0.21675675675675674</v>
      </c>
      <c r="Z145" s="23">
        <f>AVERAGE(Q145,U145)</f>
        <v>0.43630208333333331</v>
      </c>
      <c r="AA145" s="23">
        <f>AVERAGE(R145:T145,V145:X145)</f>
        <v>0.45126041666666666</v>
      </c>
      <c r="AB145" s="23">
        <f t="shared" si="2"/>
        <v>0.44854071969696968</v>
      </c>
    </row>
    <row r="146" spans="1:28">
      <c r="A146" s="9">
        <v>43853</v>
      </c>
      <c r="B146" s="3"/>
      <c r="C146" s="3"/>
      <c r="D146" s="3"/>
      <c r="E146" s="3"/>
      <c r="F146" s="3"/>
      <c r="G146" s="19">
        <v>43853</v>
      </c>
      <c r="H146" s="20">
        <v>60.3125</v>
      </c>
      <c r="I146" s="20">
        <v>85.891666666666666</v>
      </c>
      <c r="J146" s="20">
        <v>8.0270833333333353</v>
      </c>
      <c r="K146" s="20">
        <v>0</v>
      </c>
      <c r="L146" s="20">
        <v>187.08333333333334</v>
      </c>
      <c r="M146" s="20">
        <v>6.416666666666667</v>
      </c>
      <c r="N146" s="20">
        <v>0.1875</v>
      </c>
      <c r="O146" s="20">
        <v>5.7791666666666686</v>
      </c>
      <c r="P146" s="10">
        <v>0.15751896998571593</v>
      </c>
      <c r="Q146" s="21">
        <v>0.35672916666666676</v>
      </c>
      <c r="R146" s="21">
        <v>0.47518749999999993</v>
      </c>
      <c r="S146" s="21">
        <v>0.53152083333333311</v>
      </c>
      <c r="T146" s="21">
        <v>0.53839583333333374</v>
      </c>
      <c r="U146" s="21">
        <v>0.51668750000000008</v>
      </c>
      <c r="V146" s="21">
        <v>0.40925000000000028</v>
      </c>
      <c r="W146" s="21">
        <v>0.41379166666666678</v>
      </c>
      <c r="X146" s="21">
        <v>0.35864583333333339</v>
      </c>
      <c r="Y146" s="21">
        <v>0.21019444444444435</v>
      </c>
      <c r="Z146" s="23">
        <f>AVERAGE(Q146,U146)</f>
        <v>0.43670833333333342</v>
      </c>
      <c r="AA146" s="23">
        <f>AVERAGE(R146:T146,V146:X146)</f>
        <v>0.45446527777777795</v>
      </c>
      <c r="AB146" s="23">
        <f t="shared" si="2"/>
        <v>0.45123674242424261</v>
      </c>
    </row>
    <row r="147" spans="1:28">
      <c r="A147" s="9">
        <v>43854</v>
      </c>
      <c r="B147" s="3"/>
      <c r="C147" s="3"/>
      <c r="D147" s="3"/>
      <c r="E147" s="3"/>
      <c r="F147" s="3"/>
      <c r="G147" s="19">
        <v>43854</v>
      </c>
      <c r="H147" s="20">
        <v>28.770833333333332</v>
      </c>
      <c r="I147" s="20">
        <v>88.975000000000009</v>
      </c>
      <c r="J147" s="20">
        <v>5.6145833333333321</v>
      </c>
      <c r="K147" s="20">
        <v>7.5</v>
      </c>
      <c r="L147" s="20">
        <v>215.45833333333334</v>
      </c>
      <c r="M147" s="20">
        <v>5.625</v>
      </c>
      <c r="N147" s="20">
        <v>0</v>
      </c>
      <c r="O147" s="20">
        <v>3.9229166666666679</v>
      </c>
      <c r="P147" s="10">
        <v>0.10301094729844347</v>
      </c>
      <c r="Q147" s="21">
        <v>0.35220833333333307</v>
      </c>
      <c r="R147" s="21">
        <v>0.4706041666666671</v>
      </c>
      <c r="S147" s="21">
        <v>0.5281250000000004</v>
      </c>
      <c r="T147" s="21">
        <v>0.53814583333333343</v>
      </c>
      <c r="U147" s="21">
        <v>0.51150000000000007</v>
      </c>
      <c r="V147" s="21">
        <v>0.40691666666666659</v>
      </c>
      <c r="W147" s="21">
        <v>0.41397916666666673</v>
      </c>
      <c r="X147" s="21">
        <v>0.35924999999999985</v>
      </c>
      <c r="Y147" s="21">
        <v>0.22663157894736843</v>
      </c>
      <c r="Z147" s="23">
        <f>AVERAGE(Q147,U147)</f>
        <v>0.43185416666666654</v>
      </c>
      <c r="AA147" s="23">
        <f>AVERAGE(R147:T147,V147:X147)</f>
        <v>0.45283680555555567</v>
      </c>
      <c r="AB147" s="23">
        <f t="shared" si="2"/>
        <v>0.44902178030303036</v>
      </c>
    </row>
    <row r="148" spans="1:28">
      <c r="A148" s="9">
        <v>43855</v>
      </c>
      <c r="B148" s="3"/>
      <c r="C148" s="3"/>
      <c r="D148" s="3"/>
      <c r="E148" s="3"/>
      <c r="F148" s="3"/>
      <c r="G148" s="19">
        <v>43855</v>
      </c>
      <c r="H148" s="20">
        <v>38.604166666666664</v>
      </c>
      <c r="I148" s="20">
        <v>92.091666666666654</v>
      </c>
      <c r="J148" s="20">
        <v>2.0791666666666666</v>
      </c>
      <c r="K148" s="20">
        <v>18.799999999999997</v>
      </c>
      <c r="L148" s="20">
        <v>238.3125</v>
      </c>
      <c r="M148" s="20">
        <v>4.6875</v>
      </c>
      <c r="N148" s="20">
        <v>0</v>
      </c>
      <c r="O148" s="20">
        <v>0.90416666666666623</v>
      </c>
      <c r="P148" s="10">
        <v>5.7365329301678585E-2</v>
      </c>
      <c r="Q148" s="21">
        <v>0.40260416666666665</v>
      </c>
      <c r="R148" s="21">
        <v>0.5102500000000002</v>
      </c>
      <c r="S148" s="21">
        <v>0.55218750000000005</v>
      </c>
      <c r="T148" s="21">
        <v>0.5847083333333335</v>
      </c>
      <c r="U148" s="21">
        <v>0.54679166666666668</v>
      </c>
      <c r="V148" s="21">
        <v>0.45445833333333358</v>
      </c>
      <c r="W148" s="21">
        <v>0.43358333333333338</v>
      </c>
      <c r="X148" s="21">
        <v>0.37725000000000009</v>
      </c>
      <c r="Y148" s="21">
        <v>0.26478723404255317</v>
      </c>
      <c r="Z148" s="23">
        <f>AVERAGE(Q148,U148)</f>
        <v>0.47469791666666666</v>
      </c>
      <c r="AA148" s="23">
        <f>AVERAGE(R148:T148,V148:X148)</f>
        <v>0.48540625000000009</v>
      </c>
      <c r="AB148" s="23">
        <f t="shared" si="2"/>
        <v>0.48345928030303037</v>
      </c>
    </row>
    <row r="149" spans="1:28">
      <c r="A149" s="9">
        <v>43856</v>
      </c>
      <c r="B149" s="3"/>
      <c r="C149" s="3"/>
      <c r="D149" s="3"/>
      <c r="E149" s="3"/>
      <c r="F149" s="3"/>
      <c r="G149" s="19">
        <v>43856</v>
      </c>
      <c r="H149" s="20">
        <v>127.41666666666667</v>
      </c>
      <c r="I149" s="20">
        <v>78.279166666666683</v>
      </c>
      <c r="J149" s="20">
        <v>3.9166666666666661</v>
      </c>
      <c r="K149" s="20">
        <v>0</v>
      </c>
      <c r="L149" s="20">
        <v>179.22916666666666</v>
      </c>
      <c r="M149" s="20">
        <v>5.4375</v>
      </c>
      <c r="N149" s="20">
        <v>0.83333333333333337</v>
      </c>
      <c r="O149" s="20">
        <v>0.21875</v>
      </c>
      <c r="P149" s="10">
        <v>0.20529213437089369</v>
      </c>
      <c r="Q149" s="21">
        <v>0.39816666666666672</v>
      </c>
      <c r="R149" s="21">
        <v>0.50166666666666693</v>
      </c>
      <c r="S149" s="21">
        <v>0.54064583333333327</v>
      </c>
      <c r="T149" s="21">
        <v>0.55420833333333308</v>
      </c>
      <c r="U149" s="21">
        <v>0.54483333333333328</v>
      </c>
      <c r="V149" s="21">
        <v>0.43791666666666668</v>
      </c>
      <c r="W149" s="21">
        <v>0.4323541666666666</v>
      </c>
      <c r="X149" s="21">
        <v>0.37918750000000001</v>
      </c>
      <c r="Y149" s="21">
        <v>0.23736111111111105</v>
      </c>
      <c r="Z149" s="23">
        <f>AVERAGE(Q149,U149)</f>
        <v>0.47150000000000003</v>
      </c>
      <c r="AA149" s="23">
        <f>AVERAGE(R149:T149,V149:X149)</f>
        <v>0.47432986111111108</v>
      </c>
      <c r="AB149" s="23">
        <f t="shared" si="2"/>
        <v>0.47381534090909089</v>
      </c>
    </row>
    <row r="150" spans="1:28">
      <c r="A150" s="9">
        <v>43857</v>
      </c>
      <c r="B150" s="3"/>
      <c r="C150" s="3"/>
      <c r="D150" s="3"/>
      <c r="E150" s="3"/>
      <c r="F150" s="3"/>
      <c r="G150" s="19">
        <v>43857</v>
      </c>
      <c r="H150" s="20">
        <v>34.729166666666664</v>
      </c>
      <c r="I150" s="20">
        <v>85.322916666666671</v>
      </c>
      <c r="J150" s="20">
        <v>3.0187500000000003</v>
      </c>
      <c r="K150" s="20">
        <v>0.2</v>
      </c>
      <c r="L150" s="20">
        <v>136.875</v>
      </c>
      <c r="M150" s="20">
        <v>5.041666666666667</v>
      </c>
      <c r="N150" s="20">
        <v>0.16666666666666666</v>
      </c>
      <c r="O150" s="20">
        <v>0.75416666666666687</v>
      </c>
      <c r="P150" s="10">
        <v>0.11592212190716973</v>
      </c>
      <c r="Q150" s="21">
        <v>0.39064583333333341</v>
      </c>
      <c r="R150" s="21">
        <v>0.49718750000000028</v>
      </c>
      <c r="S150" s="21">
        <v>0.53818749999999971</v>
      </c>
      <c r="T150" s="21">
        <v>0.5486458333333335</v>
      </c>
      <c r="U150" s="21">
        <v>0.54149999999999998</v>
      </c>
      <c r="V150" s="21">
        <v>0.43129166666666641</v>
      </c>
      <c r="W150" s="21">
        <v>0.42922916666666683</v>
      </c>
      <c r="X150" s="21">
        <v>0.37541666666666657</v>
      </c>
      <c r="Y150" s="21">
        <v>0.22888888888888895</v>
      </c>
      <c r="Z150" s="23">
        <f>AVERAGE(Q150,U150)</f>
        <v>0.46607291666666673</v>
      </c>
      <c r="AA150" s="23">
        <f>AVERAGE(R150:T150,V150:X150)</f>
        <v>0.46999305555555559</v>
      </c>
      <c r="AB150" s="23">
        <f t="shared" si="2"/>
        <v>0.46928030303030305</v>
      </c>
    </row>
    <row r="151" spans="1:28">
      <c r="A151" s="9">
        <v>43858</v>
      </c>
      <c r="B151" s="3"/>
      <c r="C151" s="3"/>
      <c r="D151" s="3"/>
      <c r="E151" s="3"/>
      <c r="F151" s="3"/>
      <c r="G151" s="19">
        <v>43858</v>
      </c>
      <c r="H151" s="20">
        <v>51.104166666666664</v>
      </c>
      <c r="I151" s="20">
        <v>88.333333333333329</v>
      </c>
      <c r="J151" s="20">
        <v>2.1333333333333333</v>
      </c>
      <c r="K151" s="20">
        <v>2.2000000000000002</v>
      </c>
      <c r="L151" s="20">
        <v>136</v>
      </c>
      <c r="M151" s="20">
        <v>4.3125</v>
      </c>
      <c r="N151" s="20">
        <v>0.16666666666666666</v>
      </c>
      <c r="O151" s="20">
        <v>0.36666666666666664</v>
      </c>
      <c r="P151" s="10">
        <v>8.8413013788560632E-2</v>
      </c>
      <c r="Q151" s="21">
        <v>0.38618749999999996</v>
      </c>
      <c r="R151" s="21">
        <v>0.49231250000000015</v>
      </c>
      <c r="S151" s="21">
        <v>0.53491666666666637</v>
      </c>
      <c r="T151" s="21">
        <v>0.54452083333333323</v>
      </c>
      <c r="U151" s="21">
        <v>0.53822916666666709</v>
      </c>
      <c r="V151" s="21">
        <v>0.42629166666666657</v>
      </c>
      <c r="W151" s="21">
        <v>0.42679166666666629</v>
      </c>
      <c r="X151" s="21">
        <v>0.37377083333333333</v>
      </c>
      <c r="Y151" s="21">
        <v>0.23122916666666662</v>
      </c>
      <c r="Z151" s="23">
        <f>AVERAGE(Q151,U151)</f>
        <v>0.46220833333333355</v>
      </c>
      <c r="AA151" s="23">
        <f>AVERAGE(R151:T151,V151:X151)</f>
        <v>0.46643402777777765</v>
      </c>
      <c r="AB151" s="23">
        <f t="shared" si="2"/>
        <v>0.46566571969696968</v>
      </c>
    </row>
    <row r="152" spans="1:28">
      <c r="A152" s="9">
        <v>43859</v>
      </c>
      <c r="B152" s="3"/>
      <c r="C152" s="3"/>
      <c r="D152" s="3"/>
      <c r="E152" s="3"/>
      <c r="F152" s="3"/>
      <c r="G152" s="19">
        <v>43859</v>
      </c>
      <c r="H152" s="20">
        <v>123.02083333333333</v>
      </c>
      <c r="I152" s="20">
        <v>77.947916666666643</v>
      </c>
      <c r="J152" s="20">
        <v>4.7749999999999995</v>
      </c>
      <c r="K152" s="20">
        <v>0.60000000000000009</v>
      </c>
      <c r="L152" s="20">
        <v>196.54166666666666</v>
      </c>
      <c r="M152" s="20">
        <v>3.1875</v>
      </c>
      <c r="N152" s="20">
        <v>0.16666666666666666</v>
      </c>
      <c r="O152" s="20">
        <v>0.94583333333333341</v>
      </c>
      <c r="P152" s="10">
        <v>0.22970067111419878</v>
      </c>
      <c r="Q152" s="21">
        <v>0.3894791666666666</v>
      </c>
      <c r="R152" s="21">
        <v>0.4926458333333335</v>
      </c>
      <c r="S152" s="21">
        <v>0.53414583333333354</v>
      </c>
      <c r="T152" s="21">
        <v>0.5418333333333335</v>
      </c>
      <c r="U152" s="21">
        <v>0.53956250000000017</v>
      </c>
      <c r="V152" s="21">
        <v>0.42566666666666669</v>
      </c>
      <c r="W152" s="21">
        <v>0.4244583333333331</v>
      </c>
      <c r="X152" s="21">
        <v>0.37229166666666652</v>
      </c>
      <c r="Y152" s="21">
        <v>0.22842553191489362</v>
      </c>
      <c r="Z152" s="23">
        <f>AVERAGE(Q152,U152)</f>
        <v>0.46452083333333338</v>
      </c>
      <c r="AA152" s="23">
        <f>AVERAGE(R152:T152,V152:X152)</f>
        <v>0.46517361111111111</v>
      </c>
      <c r="AB152" s="23">
        <f t="shared" si="2"/>
        <v>0.46505492424242423</v>
      </c>
    </row>
    <row r="153" spans="1:28">
      <c r="A153" s="9">
        <v>43860</v>
      </c>
      <c r="B153" s="3"/>
      <c r="C153" s="3"/>
      <c r="D153" s="3"/>
      <c r="E153" s="3"/>
      <c r="F153" s="3"/>
      <c r="G153" s="19">
        <v>43860</v>
      </c>
      <c r="H153" s="20">
        <v>68.25</v>
      </c>
      <c r="I153" s="20">
        <v>71.791666666666643</v>
      </c>
      <c r="J153" s="20">
        <v>5.5770833333333334</v>
      </c>
      <c r="K153" s="20">
        <v>0</v>
      </c>
      <c r="L153" s="20">
        <v>156.45833333333334</v>
      </c>
      <c r="M153" s="20">
        <v>4.895833333333333</v>
      </c>
      <c r="N153" s="20">
        <v>0.375</v>
      </c>
      <c r="O153" s="20">
        <v>0.8416666666666669</v>
      </c>
      <c r="P153" s="10">
        <v>0.26352078709272414</v>
      </c>
      <c r="Q153" s="21">
        <v>0.38972916666666646</v>
      </c>
      <c r="R153" s="21">
        <v>0.49335416666666659</v>
      </c>
      <c r="S153" s="21">
        <v>0.53570833333333334</v>
      </c>
      <c r="T153" s="21">
        <v>0.5420416666666672</v>
      </c>
      <c r="U153" s="21">
        <v>0.53987499999999977</v>
      </c>
      <c r="V153" s="21">
        <v>0.42649999999999966</v>
      </c>
      <c r="W153" s="21">
        <v>0.42416666666666641</v>
      </c>
      <c r="X153" s="21">
        <v>0.37108333333333349</v>
      </c>
      <c r="Y153" s="21">
        <v>0.22512499999999991</v>
      </c>
      <c r="Z153" s="23">
        <f>AVERAGE(Q153,U153)</f>
        <v>0.46480208333333312</v>
      </c>
      <c r="AA153" s="23">
        <f>AVERAGE(R153:T153,V153:X153)</f>
        <v>0.46547569444444448</v>
      </c>
      <c r="AB153" s="23">
        <f t="shared" si="2"/>
        <v>0.46535321969696969</v>
      </c>
    </row>
    <row r="154" spans="1:28">
      <c r="A154" s="9">
        <v>43861</v>
      </c>
      <c r="B154" s="3"/>
      <c r="C154" s="3"/>
      <c r="D154" s="3"/>
      <c r="E154" s="3"/>
      <c r="F154" s="3"/>
      <c r="G154" s="19">
        <v>43861</v>
      </c>
      <c r="H154" s="20">
        <v>16.916666666666668</v>
      </c>
      <c r="I154" s="20">
        <v>83.874999999999986</v>
      </c>
      <c r="J154" s="20">
        <v>4.9833333333333325</v>
      </c>
      <c r="K154" s="20">
        <v>0.4</v>
      </c>
      <c r="L154" s="20">
        <v>113.54166666666667</v>
      </c>
      <c r="M154" s="20">
        <v>7.625</v>
      </c>
      <c r="N154" s="20">
        <v>1.0208333333333333</v>
      </c>
      <c r="O154" s="20">
        <v>2.4374999999999996</v>
      </c>
      <c r="P154" s="10">
        <v>0.14290283884501026</v>
      </c>
      <c r="Q154" s="21">
        <v>0.38704166666666645</v>
      </c>
      <c r="R154" s="21">
        <v>0.49110416666666606</v>
      </c>
      <c r="S154" s="21">
        <v>0.53443750000000001</v>
      </c>
      <c r="T154" s="21">
        <v>0.54183333333333372</v>
      </c>
      <c r="U154" s="21">
        <v>0.53762499999999991</v>
      </c>
      <c r="V154" s="21">
        <v>0.42410416666666612</v>
      </c>
      <c r="W154" s="21">
        <v>0.42395833333333305</v>
      </c>
      <c r="X154" s="21">
        <v>0.37102083333333352</v>
      </c>
      <c r="Y154" s="21">
        <v>0.22297916666666676</v>
      </c>
      <c r="Z154" s="23">
        <f>AVERAGE(Q154,U154)</f>
        <v>0.46233333333333315</v>
      </c>
      <c r="AA154" s="23">
        <f>AVERAGE(R154:T154,V154:X154)</f>
        <v>0.4644097222222221</v>
      </c>
      <c r="AB154" s="23">
        <f t="shared" si="2"/>
        <v>0.46403219696969683</v>
      </c>
    </row>
    <row r="155" spans="1:28">
      <c r="A155" s="9">
        <v>43862</v>
      </c>
      <c r="B155" s="3"/>
      <c r="C155" s="3"/>
      <c r="D155" s="3"/>
      <c r="E155" s="3"/>
      <c r="F155" s="3"/>
      <c r="G155" s="19">
        <v>43862</v>
      </c>
      <c r="H155" s="20">
        <v>18.1875</v>
      </c>
      <c r="I155" s="20">
        <v>90.833333333333329</v>
      </c>
      <c r="J155" s="20">
        <v>5.0624999999999973</v>
      </c>
      <c r="K155" s="20">
        <v>2.4</v>
      </c>
      <c r="L155" s="20">
        <v>105.02083333333333</v>
      </c>
      <c r="M155" s="20">
        <v>3.7291666666666665</v>
      </c>
      <c r="N155" s="20">
        <v>0</v>
      </c>
      <c r="O155" s="20">
        <v>3.660416666666666</v>
      </c>
      <c r="P155" s="10">
        <v>7.9539448108763414E-2</v>
      </c>
      <c r="Q155" s="21">
        <v>0.38485416666666689</v>
      </c>
      <c r="R155" s="21">
        <v>0.4885833333333332</v>
      </c>
      <c r="S155" s="21">
        <v>0.53275000000000006</v>
      </c>
      <c r="T155" s="21">
        <v>0.54039583333333285</v>
      </c>
      <c r="U155" s="21">
        <v>0.53602083333333372</v>
      </c>
      <c r="V155" s="21">
        <v>0.42225000000000029</v>
      </c>
      <c r="W155" s="21">
        <v>0.42302083333333296</v>
      </c>
      <c r="X155" s="21">
        <v>0.37062499999999998</v>
      </c>
      <c r="Y155" s="21">
        <v>0.22258333333333347</v>
      </c>
      <c r="Z155" s="23">
        <f>AVERAGE(Q155,U155)</f>
        <v>0.46043750000000028</v>
      </c>
      <c r="AA155" s="23">
        <f>AVERAGE(R155:T155,V155:X155)</f>
        <v>0.46293749999999984</v>
      </c>
      <c r="AB155" s="23">
        <f t="shared" si="2"/>
        <v>0.46248295454545441</v>
      </c>
    </row>
    <row r="156" spans="1:28">
      <c r="A156" s="9">
        <v>43863</v>
      </c>
      <c r="B156" s="3"/>
      <c r="C156" s="3"/>
      <c r="D156" s="3"/>
      <c r="E156" s="3"/>
      <c r="F156" s="3"/>
      <c r="G156" s="19">
        <v>43863</v>
      </c>
      <c r="H156" s="20">
        <v>31.416666666666668</v>
      </c>
      <c r="I156" s="20">
        <v>91.381250000000009</v>
      </c>
      <c r="J156" s="20">
        <v>5.3229166666666661</v>
      </c>
      <c r="K156" s="20">
        <v>0.60000000000000009</v>
      </c>
      <c r="L156" s="20">
        <v>208.77083333333334</v>
      </c>
      <c r="M156" s="20">
        <v>2.9583333333333335</v>
      </c>
      <c r="N156" s="20">
        <v>0</v>
      </c>
      <c r="O156" s="20">
        <v>4.0020833333333323</v>
      </c>
      <c r="P156" s="10">
        <v>7.9458697887127422E-2</v>
      </c>
      <c r="Q156" s="21">
        <v>0.38652083333333315</v>
      </c>
      <c r="R156" s="21">
        <v>0.48918749999999989</v>
      </c>
      <c r="S156" s="21">
        <v>0.53222916666666686</v>
      </c>
      <c r="T156" s="21">
        <v>0.53962500000000024</v>
      </c>
      <c r="U156" s="21">
        <v>0.53956250000000017</v>
      </c>
      <c r="V156" s="21">
        <v>0.42293750000000002</v>
      </c>
      <c r="W156" s="21">
        <v>0.42283333333333317</v>
      </c>
      <c r="X156" s="21">
        <v>0.37022916666666655</v>
      </c>
      <c r="Y156" s="21">
        <v>0.2322708333333332</v>
      </c>
      <c r="Z156" s="23">
        <f>AVERAGE(Q156,U156)</f>
        <v>0.46304166666666668</v>
      </c>
      <c r="AA156" s="23">
        <f>AVERAGE(R156:T156,V156:X156)</f>
        <v>0.46284027777777775</v>
      </c>
      <c r="AB156" s="23">
        <f t="shared" si="2"/>
        <v>0.46287689393939396</v>
      </c>
    </row>
    <row r="157" spans="1:28">
      <c r="A157" s="9">
        <v>43864</v>
      </c>
      <c r="B157" s="3"/>
      <c r="C157" s="3"/>
      <c r="D157" s="3"/>
      <c r="E157" s="3"/>
      <c r="F157" s="3"/>
      <c r="G157" s="19">
        <v>43864</v>
      </c>
      <c r="H157" s="20">
        <v>46.875</v>
      </c>
      <c r="I157" s="20">
        <v>87.9375</v>
      </c>
      <c r="J157" s="20">
        <v>4.6083333333333334</v>
      </c>
      <c r="K157" s="20">
        <v>1.4</v>
      </c>
      <c r="L157" s="20">
        <v>183.45833333333334</v>
      </c>
      <c r="M157" s="20">
        <v>3.6458333333333335</v>
      </c>
      <c r="N157" s="20">
        <v>0</v>
      </c>
      <c r="O157" s="20">
        <v>2.7562499999999996</v>
      </c>
      <c r="P157" s="10">
        <v>0.10523471125634559</v>
      </c>
      <c r="Q157" s="21">
        <v>0.3911666666666665</v>
      </c>
      <c r="R157" s="21">
        <v>0.49133333333333318</v>
      </c>
      <c r="S157" s="21">
        <v>0.53300000000000025</v>
      </c>
      <c r="T157" s="21">
        <v>0.53935416666666713</v>
      </c>
      <c r="U157" s="21">
        <v>0.54127083333333359</v>
      </c>
      <c r="V157" s="21">
        <v>0.4263333333333334</v>
      </c>
      <c r="W157" s="21">
        <v>0.42285416666666648</v>
      </c>
      <c r="X157" s="21">
        <v>0.37010416666666651</v>
      </c>
      <c r="Y157" s="21">
        <v>0.22837499999999991</v>
      </c>
      <c r="Z157" s="23">
        <f>AVERAGE(Q157,U157)</f>
        <v>0.46621875000000002</v>
      </c>
      <c r="AA157" s="23">
        <f>AVERAGE(R157:T157,V157:X157)</f>
        <v>0.46382986111111113</v>
      </c>
      <c r="AB157" s="23">
        <f t="shared" si="2"/>
        <v>0.46426420454545453</v>
      </c>
    </row>
    <row r="158" spans="1:28">
      <c r="A158" s="9">
        <v>43865</v>
      </c>
      <c r="B158" s="3"/>
      <c r="C158" s="3"/>
      <c r="D158" s="3"/>
      <c r="E158" s="3"/>
      <c r="F158" s="3"/>
      <c r="G158" s="19">
        <v>43865</v>
      </c>
      <c r="H158" s="20">
        <v>54.520833333333336</v>
      </c>
      <c r="I158" s="20">
        <v>85.454166666666652</v>
      </c>
      <c r="J158" s="20">
        <v>6.0645833333333341</v>
      </c>
      <c r="K158" s="20">
        <v>0</v>
      </c>
      <c r="L158" s="20">
        <v>131.45833333333334</v>
      </c>
      <c r="M158" s="20">
        <v>2.1875</v>
      </c>
      <c r="N158" s="20">
        <v>0</v>
      </c>
      <c r="O158" s="20">
        <v>3.7416666666666685</v>
      </c>
      <c r="P158" s="10">
        <v>0.14787732369230425</v>
      </c>
      <c r="Q158" s="21">
        <v>0.39577083333333318</v>
      </c>
      <c r="R158" s="21">
        <v>0.49418750000000006</v>
      </c>
      <c r="S158" s="21">
        <v>0.5340625</v>
      </c>
      <c r="T158" s="21">
        <v>0.5389375000000004</v>
      </c>
      <c r="U158" s="21">
        <v>0.54154166666666714</v>
      </c>
      <c r="V158" s="21">
        <v>0.4273958333333332</v>
      </c>
      <c r="W158" s="21">
        <v>0.42262500000000008</v>
      </c>
      <c r="X158" s="21">
        <v>0.36997916666666636</v>
      </c>
      <c r="Y158" s="21">
        <v>0.22690000000000018</v>
      </c>
      <c r="Z158" s="23">
        <f>AVERAGE(Q158,U158)</f>
        <v>0.46865625000000016</v>
      </c>
      <c r="AA158" s="23">
        <f>AVERAGE(R158:T158,V158:X158)</f>
        <v>0.46453125000000006</v>
      </c>
      <c r="AB158" s="23">
        <f t="shared" si="2"/>
        <v>0.46528125000000004</v>
      </c>
    </row>
    <row r="159" spans="1:28">
      <c r="A159" s="9">
        <v>43866</v>
      </c>
      <c r="B159" s="3"/>
      <c r="C159" s="3"/>
      <c r="D159" s="3"/>
      <c r="E159" s="3"/>
      <c r="F159" s="3"/>
      <c r="G159" s="19">
        <v>43866</v>
      </c>
      <c r="H159" s="20">
        <v>16.979166666666668</v>
      </c>
      <c r="I159" s="20">
        <v>96.231250000000003</v>
      </c>
      <c r="J159" s="20">
        <v>6.2166666666666659</v>
      </c>
      <c r="K159" s="20">
        <v>1.2</v>
      </c>
      <c r="L159" s="20">
        <v>119.39583333333333</v>
      </c>
      <c r="M159" s="20">
        <v>7.520833333333333</v>
      </c>
      <c r="N159" s="20">
        <v>0.625</v>
      </c>
      <c r="O159" s="20">
        <v>5.6562500000000009</v>
      </c>
      <c r="P159" s="10">
        <v>3.5480628476141106E-2</v>
      </c>
      <c r="Q159" s="21">
        <v>0.39431250000000001</v>
      </c>
      <c r="R159" s="21">
        <v>0.49495833333333317</v>
      </c>
      <c r="S159" s="21">
        <v>0.53597916666666701</v>
      </c>
      <c r="T159" s="21">
        <v>0.53995833333333276</v>
      </c>
      <c r="U159" s="21">
        <v>0.54147916666666684</v>
      </c>
      <c r="V159" s="21">
        <v>0.42724999999999969</v>
      </c>
      <c r="W159" s="21">
        <v>0.42293749999999969</v>
      </c>
      <c r="X159" s="21">
        <v>0.37004166666666632</v>
      </c>
      <c r="Y159" s="21">
        <v>0.22614583333333349</v>
      </c>
      <c r="Z159" s="23">
        <f>AVERAGE(Q159,U159)</f>
        <v>0.4678958333333334</v>
      </c>
      <c r="AA159" s="23">
        <f>AVERAGE(R159:T159,V159:X159)</f>
        <v>0.46518749999999981</v>
      </c>
      <c r="AB159" s="23">
        <f t="shared" si="2"/>
        <v>0.4656799242424241</v>
      </c>
    </row>
    <row r="160" spans="1:28">
      <c r="A160" s="9">
        <v>43867</v>
      </c>
      <c r="B160" s="3"/>
      <c r="C160" s="3"/>
      <c r="D160" s="3"/>
      <c r="E160" s="3"/>
      <c r="F160" s="3"/>
      <c r="G160" s="19">
        <v>43867</v>
      </c>
      <c r="H160" s="20">
        <v>79.083333333333329</v>
      </c>
      <c r="I160" s="20">
        <v>87.202083333333334</v>
      </c>
      <c r="J160" s="20">
        <v>6.9208333333333334</v>
      </c>
      <c r="K160" s="20">
        <v>4.7</v>
      </c>
      <c r="L160" s="20">
        <v>161.875</v>
      </c>
      <c r="M160" s="20">
        <v>6.645833333333333</v>
      </c>
      <c r="N160" s="20">
        <v>0.3125</v>
      </c>
      <c r="O160" s="20">
        <v>4.8458333333333341</v>
      </c>
      <c r="P160" s="10">
        <v>0.13499181432346724</v>
      </c>
      <c r="Q160" s="21">
        <v>0.41052083333333339</v>
      </c>
      <c r="R160" s="21">
        <v>0.50385416666666683</v>
      </c>
      <c r="S160" s="21">
        <v>0.54393750000000018</v>
      </c>
      <c r="T160" s="21">
        <v>0.55389583333333337</v>
      </c>
      <c r="U160" s="21">
        <v>0.55222916666666666</v>
      </c>
      <c r="V160" s="21">
        <v>0.44341666666666674</v>
      </c>
      <c r="W160" s="21">
        <v>0.4259374999999998</v>
      </c>
      <c r="X160" s="21">
        <v>0.37118750000000017</v>
      </c>
      <c r="Y160" s="21">
        <v>0.2406388888888889</v>
      </c>
      <c r="Z160" s="23">
        <f>AVERAGE(Q160,U160)</f>
        <v>0.481375</v>
      </c>
      <c r="AA160" s="23">
        <f>AVERAGE(R160:T160,V160:X160)</f>
        <v>0.47370486111111115</v>
      </c>
      <c r="AB160" s="23">
        <f t="shared" si="2"/>
        <v>0.47509943181818187</v>
      </c>
    </row>
    <row r="161" spans="1:28">
      <c r="A161" s="9">
        <v>43868</v>
      </c>
      <c r="B161" s="3"/>
      <c r="C161" s="3"/>
      <c r="D161" s="3"/>
      <c r="E161" s="3"/>
      <c r="F161" s="3"/>
      <c r="G161" s="19">
        <v>43868</v>
      </c>
      <c r="H161" s="20">
        <v>45.1875</v>
      </c>
      <c r="I161" s="20">
        <v>86.233333333333348</v>
      </c>
      <c r="J161" s="20">
        <v>6.4708333333333323</v>
      </c>
      <c r="K161" s="20">
        <v>1.4</v>
      </c>
      <c r="L161" s="20">
        <v>150.64583333333334</v>
      </c>
      <c r="M161" s="20">
        <v>3.5833333333333335</v>
      </c>
      <c r="N161" s="20">
        <v>0</v>
      </c>
      <c r="O161" s="20">
        <v>4.2958333333333334</v>
      </c>
      <c r="P161" s="10">
        <v>0.13848499978837556</v>
      </c>
      <c r="Q161" s="21">
        <v>0.40343749999999984</v>
      </c>
      <c r="R161" s="21">
        <v>0.50147916666666659</v>
      </c>
      <c r="S161" s="21">
        <v>0.5427500000000004</v>
      </c>
      <c r="T161" s="21">
        <v>0.55025000000000046</v>
      </c>
      <c r="U161" s="21">
        <v>0.54929166666666662</v>
      </c>
      <c r="V161" s="21">
        <v>0.43914583333333351</v>
      </c>
      <c r="W161" s="21">
        <v>0.42858333333333376</v>
      </c>
      <c r="X161" s="21">
        <v>0.37297916666666658</v>
      </c>
      <c r="Y161" s="21">
        <v>0.23305882352941185</v>
      </c>
      <c r="Z161" s="23">
        <f>AVERAGE(Q161,U161)</f>
        <v>0.4763645833333332</v>
      </c>
      <c r="AA161" s="23">
        <f>AVERAGE(R161:T161,V161:X161)</f>
        <v>0.47253125000000024</v>
      </c>
      <c r="AB161" s="23">
        <f t="shared" si="2"/>
        <v>0.47322821969696988</v>
      </c>
    </row>
    <row r="162" spans="1:28">
      <c r="A162" s="9">
        <v>43869</v>
      </c>
      <c r="B162" s="3"/>
      <c r="C162" s="3"/>
      <c r="D162" s="3"/>
      <c r="E162" s="3"/>
      <c r="F162" s="3"/>
      <c r="G162" s="19">
        <v>43869</v>
      </c>
      <c r="H162" s="20">
        <v>44.875</v>
      </c>
      <c r="I162" s="20">
        <v>89.074999999999974</v>
      </c>
      <c r="J162" s="20">
        <v>4.9833333333333325</v>
      </c>
      <c r="K162" s="20">
        <v>1.9</v>
      </c>
      <c r="L162" s="20">
        <v>195.89583333333334</v>
      </c>
      <c r="M162" s="20">
        <v>3.9166666666666665</v>
      </c>
      <c r="N162" s="20">
        <v>0</v>
      </c>
      <c r="O162" s="20">
        <v>3.2833333333333337</v>
      </c>
      <c r="P162" s="10">
        <v>0.10081766224995285</v>
      </c>
      <c r="Q162" s="21">
        <v>0.40352083333333338</v>
      </c>
      <c r="R162" s="21">
        <v>0.49949999999999989</v>
      </c>
      <c r="S162" s="21">
        <v>0.54114583333333366</v>
      </c>
      <c r="T162" s="21">
        <v>0.54654166666666648</v>
      </c>
      <c r="U162" s="21">
        <v>0.54995833333333322</v>
      </c>
      <c r="V162" s="21">
        <v>0.43806250000000008</v>
      </c>
      <c r="W162" s="21">
        <v>0.42800000000000044</v>
      </c>
      <c r="X162" s="21">
        <v>0.37283333333333335</v>
      </c>
      <c r="Y162" s="21">
        <v>0.23520454545454539</v>
      </c>
      <c r="Z162" s="23">
        <f>AVERAGE(Q162,U162)</f>
        <v>0.47673958333333333</v>
      </c>
      <c r="AA162" s="23">
        <f>AVERAGE(R162:T162,V162:X162)</f>
        <v>0.47101388888888901</v>
      </c>
      <c r="AB162" s="23">
        <f t="shared" si="2"/>
        <v>0.47205492424242435</v>
      </c>
    </row>
    <row r="163" spans="1:28">
      <c r="A163" s="9">
        <v>43870</v>
      </c>
      <c r="B163" s="3"/>
      <c r="C163" s="3"/>
      <c r="D163" s="3"/>
      <c r="E163" s="3"/>
      <c r="F163" s="3"/>
      <c r="G163" s="19">
        <v>43870</v>
      </c>
      <c r="H163" s="20">
        <v>51.104166666666664</v>
      </c>
      <c r="I163" s="20">
        <v>82.858333333333334</v>
      </c>
      <c r="J163" s="20">
        <v>5.6354166666666643</v>
      </c>
      <c r="K163" s="20">
        <v>0</v>
      </c>
      <c r="L163" s="20">
        <v>189.35416666666666</v>
      </c>
      <c r="M163" s="20">
        <v>3.9583333333333335</v>
      </c>
      <c r="N163" s="20">
        <v>4.1666666666666664E-2</v>
      </c>
      <c r="O163" s="20">
        <v>2.8687500000000004</v>
      </c>
      <c r="P163" s="10">
        <v>0.16660694999250078</v>
      </c>
      <c r="Q163" s="21">
        <v>0.40656250000000016</v>
      </c>
      <c r="R163" s="21">
        <v>0.50187500000000018</v>
      </c>
      <c r="S163" s="21">
        <v>0.54300000000000059</v>
      </c>
      <c r="T163" s="21">
        <v>0.54866666666666652</v>
      </c>
      <c r="U163" s="21">
        <v>0.54881250000000015</v>
      </c>
      <c r="V163" s="21">
        <v>0.43772916666666672</v>
      </c>
      <c r="W163" s="21">
        <v>0.42747916666666658</v>
      </c>
      <c r="X163" s="21">
        <v>0.3725</v>
      </c>
      <c r="Y163" s="21">
        <v>0.23356249999999976</v>
      </c>
      <c r="Z163" s="23">
        <f>AVERAGE(Q163,U163)</f>
        <v>0.47768750000000015</v>
      </c>
      <c r="AA163" s="23">
        <f>AVERAGE(R163:T163,V163:X163)</f>
        <v>0.4718750000000001</v>
      </c>
      <c r="AB163" s="23">
        <f t="shared" si="2"/>
        <v>0.47293181818181823</v>
      </c>
    </row>
    <row r="164" spans="1:28">
      <c r="A164" s="9">
        <v>43871</v>
      </c>
      <c r="B164" s="3"/>
      <c r="C164" s="3"/>
      <c r="D164" s="3"/>
      <c r="E164" s="3"/>
      <c r="F164" s="3"/>
      <c r="G164" s="19">
        <v>43871</v>
      </c>
      <c r="H164" s="20">
        <v>19.375</v>
      </c>
      <c r="I164" s="20">
        <v>93.027083333333351</v>
      </c>
      <c r="J164" s="20">
        <v>5.7020833333333334</v>
      </c>
      <c r="K164" s="20">
        <v>0.4</v>
      </c>
      <c r="L164" s="20">
        <v>174.95833333333334</v>
      </c>
      <c r="M164" s="20">
        <v>6.3125</v>
      </c>
      <c r="N164" s="20">
        <v>0.3125</v>
      </c>
      <c r="O164" s="20">
        <v>4.6416666666666666</v>
      </c>
      <c r="P164" s="10">
        <v>6.3333855439905759E-2</v>
      </c>
      <c r="Q164" s="21">
        <v>0.40033333333333365</v>
      </c>
      <c r="R164" s="21">
        <v>0.49768749999999962</v>
      </c>
      <c r="S164" s="21">
        <v>0.5406666666666663</v>
      </c>
      <c r="T164" s="21">
        <v>0.54691666666666661</v>
      </c>
      <c r="U164" s="21">
        <v>0.54543750000000057</v>
      </c>
      <c r="V164" s="21">
        <v>0.43372916666666628</v>
      </c>
      <c r="W164" s="21">
        <v>0.4266874999999995</v>
      </c>
      <c r="X164" s="21">
        <v>0.37199999999999994</v>
      </c>
      <c r="Y164" s="21">
        <v>0.23054166666666678</v>
      </c>
      <c r="Z164" s="23">
        <f>AVERAGE(Q164,U164)</f>
        <v>0.47288541666666711</v>
      </c>
      <c r="AA164" s="23">
        <f>AVERAGE(R164:T164,V164:X164)</f>
        <v>0.469614583333333</v>
      </c>
      <c r="AB164" s="23">
        <f t="shared" si="2"/>
        <v>0.47020928030303016</v>
      </c>
    </row>
    <row r="165" spans="1:28">
      <c r="A165" s="9">
        <v>43872</v>
      </c>
      <c r="B165" s="3"/>
      <c r="C165" s="3"/>
      <c r="D165" s="3"/>
      <c r="E165" s="3"/>
      <c r="F165" s="3"/>
      <c r="G165" s="19">
        <v>43872</v>
      </c>
      <c r="H165" s="20">
        <v>40.958333333333336</v>
      </c>
      <c r="I165" s="20">
        <v>95.162499999999966</v>
      </c>
      <c r="J165" s="20">
        <v>8.4458333333333346</v>
      </c>
      <c r="K165" s="20">
        <v>2.4</v>
      </c>
      <c r="L165" s="20">
        <v>185.58333333333334</v>
      </c>
      <c r="M165" s="20">
        <v>2.5416666666666665</v>
      </c>
      <c r="N165" s="20">
        <v>2.0833333333333332E-2</v>
      </c>
      <c r="O165" s="20">
        <v>7.7062499999999998</v>
      </c>
      <c r="P165" s="10">
        <v>5.870345652444061E-2</v>
      </c>
      <c r="Q165" s="21">
        <v>0.41083333333333344</v>
      </c>
      <c r="R165" s="21">
        <v>0.50093750000000015</v>
      </c>
      <c r="S165" s="21">
        <v>0.54212499999999986</v>
      </c>
      <c r="T165" s="21">
        <v>0.54606250000000012</v>
      </c>
      <c r="U165" s="21">
        <v>0.55060416666666623</v>
      </c>
      <c r="V165" s="21">
        <v>0.43760416666666657</v>
      </c>
      <c r="W165" s="21">
        <v>0.42641666666666672</v>
      </c>
      <c r="X165" s="21">
        <v>0.3720416666666666</v>
      </c>
      <c r="Y165" s="21">
        <v>0.2380833333333334</v>
      </c>
      <c r="Z165" s="23">
        <f>AVERAGE(Q165,U165)</f>
        <v>0.48071874999999986</v>
      </c>
      <c r="AA165" s="23">
        <f>AVERAGE(R165:T165,V165:X165)</f>
        <v>0.47086458333333336</v>
      </c>
      <c r="AB165" s="23">
        <f t="shared" si="2"/>
        <v>0.47265625</v>
      </c>
    </row>
    <row r="166" spans="1:28">
      <c r="A166" s="9">
        <v>43873</v>
      </c>
      <c r="B166" s="3"/>
      <c r="C166" s="3"/>
      <c r="D166" s="3"/>
      <c r="E166" s="3"/>
      <c r="F166" s="3"/>
      <c r="G166" s="19">
        <v>43873</v>
      </c>
      <c r="H166" s="20">
        <v>119.97916666666667</v>
      </c>
      <c r="I166" s="20">
        <v>86.024999999999991</v>
      </c>
      <c r="J166" s="20">
        <v>11.887499999999998</v>
      </c>
      <c r="K166" s="20">
        <v>0.2</v>
      </c>
      <c r="L166" s="20">
        <v>135.22916666666666</v>
      </c>
      <c r="M166" s="20">
        <v>5.9375</v>
      </c>
      <c r="N166" s="20">
        <v>0.41666666666666669</v>
      </c>
      <c r="O166" s="20">
        <v>9.4520833333333325</v>
      </c>
      <c r="P166" s="10">
        <v>0.22953131315622702</v>
      </c>
      <c r="Q166" s="21">
        <v>0.41283333333333316</v>
      </c>
      <c r="R166" s="21">
        <v>0.50504166666666683</v>
      </c>
      <c r="S166" s="21">
        <v>0.54625000000000001</v>
      </c>
      <c r="T166" s="21">
        <v>0.5500416666666671</v>
      </c>
      <c r="U166" s="21">
        <v>0.55474999999999997</v>
      </c>
      <c r="V166" s="21">
        <v>0.44181250000000022</v>
      </c>
      <c r="W166" s="21">
        <v>0.42812500000000014</v>
      </c>
      <c r="X166" s="21">
        <v>0.37266666666666642</v>
      </c>
      <c r="Y166" s="21">
        <v>0.23446666666666671</v>
      </c>
      <c r="Z166" s="23">
        <f>AVERAGE(Q166,U166)</f>
        <v>0.48379166666666656</v>
      </c>
      <c r="AA166" s="23">
        <f>AVERAGE(R166:T166,V166:X166)</f>
        <v>0.47398958333333341</v>
      </c>
      <c r="AB166" s="23">
        <f t="shared" si="2"/>
        <v>0.4757717803030303</v>
      </c>
    </row>
    <row r="167" spans="1:28">
      <c r="A167" s="9">
        <v>43874</v>
      </c>
      <c r="B167" s="3"/>
      <c r="C167" s="3"/>
      <c r="D167" s="3"/>
      <c r="E167" s="3"/>
      <c r="F167" s="3"/>
      <c r="G167" s="19">
        <v>43874</v>
      </c>
      <c r="H167" s="20">
        <v>174.45833333333334</v>
      </c>
      <c r="I167" s="20">
        <v>72.664583333333354</v>
      </c>
      <c r="J167" s="20">
        <v>15.256249999999996</v>
      </c>
      <c r="K167" s="20">
        <v>0</v>
      </c>
      <c r="L167" s="20">
        <v>146.29166666666666</v>
      </c>
      <c r="M167" s="20">
        <v>9.125</v>
      </c>
      <c r="N167" s="20">
        <v>0.77083333333333337</v>
      </c>
      <c r="O167" s="20">
        <v>9.8958333333333339</v>
      </c>
      <c r="P167" s="10">
        <v>0.54801060509336741</v>
      </c>
      <c r="Q167" s="21">
        <v>0.41225000000000006</v>
      </c>
      <c r="R167" s="21">
        <v>0.50712500000000016</v>
      </c>
      <c r="S167" s="21">
        <v>0.54939583333333319</v>
      </c>
      <c r="T167" s="21">
        <v>0.55104166666666621</v>
      </c>
      <c r="U167" s="21">
        <v>0.55820833333333331</v>
      </c>
      <c r="V167" s="21">
        <v>0.4408958333333331</v>
      </c>
      <c r="W167" s="21">
        <v>0.42983333333333323</v>
      </c>
      <c r="X167" s="21">
        <v>0.37299999999999994</v>
      </c>
      <c r="Y167" s="21">
        <v>0.23204166666666662</v>
      </c>
      <c r="Z167" s="23">
        <f>AVERAGE(Q167,U167)</f>
        <v>0.48522916666666671</v>
      </c>
      <c r="AA167" s="23">
        <f>AVERAGE(R167:T167,V167:X167)</f>
        <v>0.47521527777777761</v>
      </c>
      <c r="AB167" s="23">
        <f t="shared" si="2"/>
        <v>0.4770359848484847</v>
      </c>
    </row>
    <row r="168" spans="1:28">
      <c r="A168" s="9">
        <v>43875</v>
      </c>
      <c r="B168" s="3"/>
      <c r="C168" s="3"/>
      <c r="D168" s="3"/>
      <c r="E168" s="3"/>
      <c r="F168" s="3"/>
      <c r="G168" s="19">
        <v>43875</v>
      </c>
      <c r="H168" s="20">
        <v>158.39583333333334</v>
      </c>
      <c r="I168" s="20">
        <v>69.564583333333331</v>
      </c>
      <c r="J168" s="20">
        <v>16.452083333333331</v>
      </c>
      <c r="K168" s="20">
        <v>0</v>
      </c>
      <c r="L168" s="20">
        <v>177.45833333333334</v>
      </c>
      <c r="M168" s="20">
        <v>9.1458333333333339</v>
      </c>
      <c r="N168" s="20">
        <v>0.60416666666666663</v>
      </c>
      <c r="O168" s="20">
        <v>10.441666666666666</v>
      </c>
      <c r="P168" s="10">
        <v>0.62599014779918571</v>
      </c>
      <c r="Q168" s="21">
        <v>0.41260416666666694</v>
      </c>
      <c r="R168" s="21">
        <v>0.5091458333333333</v>
      </c>
      <c r="S168" s="21">
        <v>0.5529791666666668</v>
      </c>
      <c r="T168" s="21">
        <v>0.55354166666666649</v>
      </c>
      <c r="U168" s="21">
        <v>0.56095833333333289</v>
      </c>
      <c r="V168" s="21">
        <v>0.44089583333333304</v>
      </c>
      <c r="W168" s="21">
        <v>0.43187500000000001</v>
      </c>
      <c r="X168" s="21">
        <v>0.37372916666666672</v>
      </c>
      <c r="Y168" s="21">
        <v>0.22802439024390239</v>
      </c>
      <c r="Z168" s="23">
        <f>AVERAGE(Q168,U168)</f>
        <v>0.48678124999999994</v>
      </c>
      <c r="AA168" s="23">
        <f>AVERAGE(R168:T168,V168:X168)</f>
        <v>0.47702777777777761</v>
      </c>
      <c r="AB168" s="23">
        <f t="shared" si="2"/>
        <v>0.47880113636363619</v>
      </c>
    </row>
    <row r="169" spans="1:28">
      <c r="A169" s="9">
        <v>43876</v>
      </c>
      <c r="B169" s="3"/>
      <c r="C169" s="3"/>
      <c r="D169" s="3"/>
      <c r="E169" s="3"/>
      <c r="F169" s="3"/>
      <c r="G169" s="19">
        <v>43876</v>
      </c>
      <c r="H169" s="20">
        <v>30.041666666666668</v>
      </c>
      <c r="I169" s="20">
        <v>82.391666666666652</v>
      </c>
      <c r="J169" s="20">
        <v>6.9625000000000021</v>
      </c>
      <c r="K169" s="20">
        <v>0.4</v>
      </c>
      <c r="L169" s="20">
        <v>207.75</v>
      </c>
      <c r="M169" s="20">
        <v>8.125</v>
      </c>
      <c r="N169" s="20">
        <v>0.27083333333333331</v>
      </c>
      <c r="O169" s="20">
        <v>4.1416666666666666</v>
      </c>
      <c r="P169" s="10">
        <v>0.18273976619109319</v>
      </c>
      <c r="Q169" s="21">
        <v>0.40877083333333331</v>
      </c>
      <c r="R169" s="21">
        <v>0.50735416666666666</v>
      </c>
      <c r="S169" s="21">
        <v>0.55393749999999975</v>
      </c>
      <c r="T169" s="21">
        <v>0.55491666666666639</v>
      </c>
      <c r="U169" s="21">
        <v>0.55820833333333308</v>
      </c>
      <c r="V169" s="21">
        <v>0.43908333333333355</v>
      </c>
      <c r="W169" s="21">
        <v>0.43324999999999986</v>
      </c>
      <c r="X169" s="21">
        <v>0.37439583333333343</v>
      </c>
      <c r="Y169" s="21">
        <v>0.2217777777777778</v>
      </c>
      <c r="Z169" s="23">
        <f>AVERAGE(Q169,U169)</f>
        <v>0.48348958333333319</v>
      </c>
      <c r="AA169" s="23">
        <f>AVERAGE(R169:T169,V169:X169)</f>
        <v>0.47715624999999989</v>
      </c>
      <c r="AB169" s="23">
        <f t="shared" si="2"/>
        <v>0.47830776515151496</v>
      </c>
    </row>
    <row r="170" spans="1:28">
      <c r="A170" s="9">
        <v>43877</v>
      </c>
      <c r="B170" s="3"/>
      <c r="C170" s="3"/>
      <c r="D170" s="3"/>
      <c r="E170" s="3"/>
      <c r="F170" s="3"/>
      <c r="G170" s="19">
        <v>43877</v>
      </c>
      <c r="H170" s="20">
        <v>116</v>
      </c>
      <c r="I170" s="20">
        <v>67.57708333333332</v>
      </c>
      <c r="J170" s="20">
        <v>3.3645833333333321</v>
      </c>
      <c r="K170" s="20">
        <v>0.2</v>
      </c>
      <c r="L170" s="20">
        <v>191.85416666666666</v>
      </c>
      <c r="M170" s="20">
        <v>7.3125</v>
      </c>
      <c r="N170" s="20">
        <v>0.33333333333333331</v>
      </c>
      <c r="O170" s="20">
        <v>-2.2687500000000003</v>
      </c>
      <c r="P170" s="10">
        <v>0.27574136805233468</v>
      </c>
      <c r="Q170" s="21">
        <v>0.39641666666666664</v>
      </c>
      <c r="R170" s="21">
        <v>0.49639583333333331</v>
      </c>
      <c r="S170" s="21">
        <v>0.54560416666666633</v>
      </c>
      <c r="T170" s="21">
        <v>0.55122916666666666</v>
      </c>
      <c r="U170" s="21">
        <v>0.54737500000000017</v>
      </c>
      <c r="V170" s="21">
        <v>0.43235416666666676</v>
      </c>
      <c r="W170" s="21">
        <v>0.43097916666666641</v>
      </c>
      <c r="X170" s="21">
        <v>0.3736458333333334</v>
      </c>
      <c r="Y170" s="21">
        <v>0.217282608695652</v>
      </c>
      <c r="Z170" s="23">
        <f>AVERAGE(Q170,U170)</f>
        <v>0.4718958333333334</v>
      </c>
      <c r="AA170" s="23">
        <f>AVERAGE(R170:T170,V170:X170)</f>
        <v>0.4717013888888888</v>
      </c>
      <c r="AB170" s="23">
        <f t="shared" si="2"/>
        <v>0.47173674242424235</v>
      </c>
    </row>
    <row r="171" spans="1:28">
      <c r="A171" s="9">
        <v>43878</v>
      </c>
      <c r="B171" s="3"/>
      <c r="C171" s="3"/>
      <c r="D171" s="3"/>
      <c r="E171" s="3"/>
      <c r="F171" s="3"/>
      <c r="G171" s="19">
        <v>43878</v>
      </c>
      <c r="H171" s="20">
        <v>85.916666666666671</v>
      </c>
      <c r="I171" s="20">
        <v>67.570833333333326</v>
      </c>
      <c r="J171" s="20">
        <v>4.7583333333333329</v>
      </c>
      <c r="K171" s="20">
        <v>0</v>
      </c>
      <c r="L171" s="20">
        <v>197.14583333333334</v>
      </c>
      <c r="M171" s="20">
        <v>5.875</v>
      </c>
      <c r="N171" s="20">
        <v>8.3333333333333329E-2</v>
      </c>
      <c r="O171" s="20">
        <v>-0.95416666666666705</v>
      </c>
      <c r="P171" s="10">
        <v>0.29768601118069388</v>
      </c>
      <c r="Q171" s="21">
        <v>0.39314583333333336</v>
      </c>
      <c r="R171" s="21">
        <v>0.4920624999999999</v>
      </c>
      <c r="S171" s="21">
        <v>0.54141666666666655</v>
      </c>
      <c r="T171" s="21">
        <v>0.54710416666666661</v>
      </c>
      <c r="U171" s="21">
        <v>0.54335416666666647</v>
      </c>
      <c r="V171" s="21">
        <v>0.42887500000000039</v>
      </c>
      <c r="W171" s="21">
        <v>0.42852083333333374</v>
      </c>
      <c r="X171" s="21">
        <v>0.37210416666666662</v>
      </c>
      <c r="Y171" s="21">
        <v>0.21321276595744681</v>
      </c>
      <c r="Z171" s="23">
        <f>AVERAGE(Q171,U171)</f>
        <v>0.46824999999999994</v>
      </c>
      <c r="AA171" s="23">
        <f>AVERAGE(R171:T171,V171:X171)</f>
        <v>0.4683472222222223</v>
      </c>
      <c r="AB171" s="23">
        <f t="shared" si="2"/>
        <v>0.46832954545454547</v>
      </c>
    </row>
    <row r="172" spans="1:28">
      <c r="A172" s="9">
        <v>43879</v>
      </c>
      <c r="B172" s="3"/>
      <c r="C172" s="3"/>
      <c r="D172" s="3"/>
      <c r="E172" s="3"/>
      <c r="F172" s="3"/>
      <c r="G172" s="19">
        <v>43879</v>
      </c>
      <c r="H172" s="20">
        <v>94.083333333333329</v>
      </c>
      <c r="I172" s="20">
        <v>67.020833333333329</v>
      </c>
      <c r="J172" s="20">
        <v>6.533333333333335</v>
      </c>
      <c r="K172" s="20">
        <v>0</v>
      </c>
      <c r="L172" s="20">
        <v>144.8125</v>
      </c>
      <c r="M172" s="20">
        <v>6.958333333333333</v>
      </c>
      <c r="N172" s="20">
        <v>0.29166666666666669</v>
      </c>
      <c r="O172" s="20">
        <v>0.70625000000000016</v>
      </c>
      <c r="P172" s="10">
        <v>0.33872037259814713</v>
      </c>
      <c r="Q172" s="21">
        <v>0.39179166666666693</v>
      </c>
      <c r="R172" s="21">
        <v>0.48977083333333349</v>
      </c>
      <c r="S172" s="21">
        <v>0.53908333333333347</v>
      </c>
      <c r="T172" s="21">
        <v>0.54495833333333366</v>
      </c>
      <c r="U172" s="21">
        <v>0.54116666666666691</v>
      </c>
      <c r="V172" s="21">
        <v>0.42691666666666639</v>
      </c>
      <c r="W172" s="21">
        <v>0.42693749999999958</v>
      </c>
      <c r="X172" s="21">
        <v>0.37114583333333351</v>
      </c>
      <c r="Y172" s="21">
        <v>0.20945714285714279</v>
      </c>
      <c r="Z172" s="23">
        <f>AVERAGE(Q172,U172)</f>
        <v>0.46647916666666689</v>
      </c>
      <c r="AA172" s="23">
        <f>AVERAGE(R172:T172,V172:X172)</f>
        <v>0.46646875000000004</v>
      </c>
      <c r="AB172" s="23">
        <f t="shared" si="2"/>
        <v>0.46647064393939403</v>
      </c>
    </row>
    <row r="173" spans="1:28">
      <c r="A173" s="9">
        <v>43880</v>
      </c>
      <c r="B173" s="3"/>
      <c r="C173" s="3"/>
      <c r="D173" s="3"/>
      <c r="E173" s="3"/>
      <c r="F173" s="3"/>
      <c r="G173" s="19">
        <v>43880</v>
      </c>
      <c r="H173" s="20">
        <v>143.75</v>
      </c>
      <c r="I173" s="20">
        <v>64.831250000000011</v>
      </c>
      <c r="J173" s="20">
        <v>9.9354166666666668</v>
      </c>
      <c r="K173" s="20">
        <v>0</v>
      </c>
      <c r="L173" s="20">
        <v>156.9375</v>
      </c>
      <c r="M173" s="20">
        <v>5.354166666666667</v>
      </c>
      <c r="N173" s="20">
        <v>0.22916666666666666</v>
      </c>
      <c r="O173" s="20">
        <v>3.433333333333334</v>
      </c>
      <c r="P173" s="10">
        <v>0.47100592738463493</v>
      </c>
      <c r="Q173" s="21">
        <v>0.39335416666666667</v>
      </c>
      <c r="R173" s="21">
        <v>0.49010416666666679</v>
      </c>
      <c r="S173" s="21">
        <v>0.53914583333333344</v>
      </c>
      <c r="T173" s="21">
        <v>0.54366666666666663</v>
      </c>
      <c r="U173" s="21">
        <v>0.54218749999999993</v>
      </c>
      <c r="V173" s="21">
        <v>0.42660416666666684</v>
      </c>
      <c r="W173" s="21">
        <v>0.42608333333333309</v>
      </c>
      <c r="X173" s="21">
        <v>0.37060416666666679</v>
      </c>
      <c r="Y173" s="21">
        <v>0.20572972972972983</v>
      </c>
      <c r="Z173" s="23">
        <f>AVERAGE(Q173,U173)</f>
        <v>0.4677708333333333</v>
      </c>
      <c r="AA173" s="23">
        <f>AVERAGE(R173:T173,V173:X173)</f>
        <v>0.46603472222222231</v>
      </c>
      <c r="AB173" s="23">
        <f t="shared" si="2"/>
        <v>0.46635037878787888</v>
      </c>
    </row>
    <row r="174" spans="1:28">
      <c r="A174" s="9">
        <v>43881</v>
      </c>
      <c r="B174" s="3"/>
      <c r="C174" s="3"/>
      <c r="D174" s="3"/>
      <c r="E174" s="3"/>
      <c r="F174" s="3"/>
      <c r="G174" s="19">
        <v>43881</v>
      </c>
      <c r="H174" s="20">
        <v>29.5625</v>
      </c>
      <c r="I174" s="20">
        <v>87.577083333333334</v>
      </c>
      <c r="J174" s="20">
        <v>7.5375000000000005</v>
      </c>
      <c r="K174" s="20">
        <v>1.2999999999999998</v>
      </c>
      <c r="L174" s="20">
        <v>138</v>
      </c>
      <c r="M174" s="20">
        <v>7.458333333333333</v>
      </c>
      <c r="N174" s="20">
        <v>0.75</v>
      </c>
      <c r="O174" s="20">
        <v>5.5874999999999986</v>
      </c>
      <c r="P174" s="10">
        <v>0.12938957432736412</v>
      </c>
      <c r="Q174" s="21">
        <v>0.3958333333333332</v>
      </c>
      <c r="R174" s="21">
        <v>0.49229166666666663</v>
      </c>
      <c r="S174" s="21">
        <v>0.54210416666666716</v>
      </c>
      <c r="T174" s="21">
        <v>0.54502083333333384</v>
      </c>
      <c r="U174" s="21">
        <v>0.54318750000000038</v>
      </c>
      <c r="V174" s="21">
        <v>0.42775000000000002</v>
      </c>
      <c r="W174" s="21">
        <v>0.42697916666666641</v>
      </c>
      <c r="X174" s="21">
        <v>0.37041666666666656</v>
      </c>
      <c r="Y174" s="21">
        <v>0.20107407407407402</v>
      </c>
      <c r="Z174" s="23">
        <f>AVERAGE(Q174,U174)</f>
        <v>0.46951041666666682</v>
      </c>
      <c r="AA174" s="23">
        <f>AVERAGE(R174:T174,V174:X174)</f>
        <v>0.46742708333333344</v>
      </c>
      <c r="AB174" s="23">
        <f t="shared" si="2"/>
        <v>0.46780587121212136</v>
      </c>
    </row>
    <row r="175" spans="1:28">
      <c r="A175" s="9">
        <v>43882</v>
      </c>
      <c r="B175" s="3"/>
      <c r="C175" s="3"/>
      <c r="D175" s="3"/>
      <c r="E175" s="3"/>
      <c r="F175" s="3"/>
      <c r="G175" s="19">
        <v>43882</v>
      </c>
      <c r="H175" s="20">
        <v>83.333333333333329</v>
      </c>
      <c r="I175" s="20">
        <v>81.039583333333312</v>
      </c>
      <c r="J175" s="20">
        <v>7.5500000000000016</v>
      </c>
      <c r="K175" s="20">
        <v>0.2</v>
      </c>
      <c r="L175" s="20">
        <v>202.16666666666666</v>
      </c>
      <c r="M175" s="20">
        <v>4.9375</v>
      </c>
      <c r="N175" s="20">
        <v>0.14583333333333334</v>
      </c>
      <c r="O175" s="20">
        <v>4.3166666666666647</v>
      </c>
      <c r="P175" s="10">
        <v>0.22482212523893919</v>
      </c>
      <c r="Q175" s="21">
        <v>0.39341666666666647</v>
      </c>
      <c r="R175" s="21">
        <v>0.4898541666666667</v>
      </c>
      <c r="S175" s="21">
        <v>0.54020833333333329</v>
      </c>
      <c r="T175" s="21">
        <v>0.5445000000000001</v>
      </c>
      <c r="U175" s="21">
        <v>0.54102083333333351</v>
      </c>
      <c r="V175" s="21">
        <v>0.42608333333333315</v>
      </c>
      <c r="W175" s="21">
        <v>0.42654166666666621</v>
      </c>
      <c r="X175" s="21">
        <v>0.37047916666666653</v>
      </c>
      <c r="Y175" s="21">
        <v>0.2013809523809523</v>
      </c>
      <c r="Z175" s="23">
        <f>AVERAGE(Q175,U175)</f>
        <v>0.46721875000000002</v>
      </c>
      <c r="AA175" s="23">
        <f>AVERAGE(R175:T175,V175:X175)</f>
        <v>0.46627777777777774</v>
      </c>
      <c r="AB175" s="23">
        <f t="shared" si="2"/>
        <v>0.46644886363636362</v>
      </c>
    </row>
    <row r="176" spans="1:28">
      <c r="A176" s="9">
        <v>43883</v>
      </c>
      <c r="B176" s="3"/>
      <c r="C176" s="3"/>
      <c r="D176" s="3"/>
      <c r="E176" s="3"/>
      <c r="F176" s="3"/>
      <c r="G176" s="19">
        <v>43883</v>
      </c>
      <c r="H176" s="20">
        <v>41.104166666666664</v>
      </c>
      <c r="I176" s="20">
        <v>92.91249999999998</v>
      </c>
      <c r="J176" s="20">
        <v>8.1562499999999982</v>
      </c>
      <c r="K176" s="20">
        <v>0.8</v>
      </c>
      <c r="L176" s="20">
        <v>143.8125</v>
      </c>
      <c r="M176" s="20">
        <v>4.166666666666667</v>
      </c>
      <c r="N176" s="20">
        <v>0.16666666666666666</v>
      </c>
      <c r="O176" s="20">
        <v>7.0666666666666673</v>
      </c>
      <c r="P176" s="10">
        <v>8.0952786934369941E-2</v>
      </c>
      <c r="Q176" s="21">
        <v>0.3931666666666665</v>
      </c>
      <c r="R176" s="21">
        <v>0.48933333333333384</v>
      </c>
      <c r="S176" s="21">
        <v>0.53993749999999963</v>
      </c>
      <c r="T176" s="21">
        <v>0.54414583333333344</v>
      </c>
      <c r="U176" s="21">
        <v>0.54085416666666664</v>
      </c>
      <c r="V176" s="21">
        <v>0.42604166666666643</v>
      </c>
      <c r="W176" s="21">
        <v>0.42599999999999971</v>
      </c>
      <c r="X176" s="21">
        <v>0.37012499999999965</v>
      </c>
      <c r="Y176" s="21">
        <v>0.20024242424242419</v>
      </c>
      <c r="Z176" s="23">
        <f>AVERAGE(Q176,U176)</f>
        <v>0.46701041666666654</v>
      </c>
      <c r="AA176" s="23">
        <f>AVERAGE(R176:T176,V176:X176)</f>
        <v>0.46593055555555546</v>
      </c>
      <c r="AB176" s="23">
        <f t="shared" si="2"/>
        <v>0.46612689393939383</v>
      </c>
    </row>
    <row r="177" spans="1:28">
      <c r="A177" s="9">
        <v>43884</v>
      </c>
      <c r="B177" s="3"/>
      <c r="C177" s="3"/>
      <c r="D177" s="3"/>
      <c r="E177" s="3"/>
      <c r="F177" s="3"/>
      <c r="G177" s="19">
        <v>43884</v>
      </c>
      <c r="H177" s="20"/>
      <c r="I177" s="20"/>
      <c r="J177" s="20"/>
      <c r="K177" s="20"/>
      <c r="L177" s="20"/>
      <c r="M177" s="20"/>
      <c r="N177" s="20"/>
      <c r="O177" s="20"/>
      <c r="P177" s="10"/>
      <c r="Q177" s="21">
        <v>0.39437500000000014</v>
      </c>
      <c r="R177" s="21">
        <v>0.48945833333333316</v>
      </c>
      <c r="S177" s="21">
        <v>0.54020833333333307</v>
      </c>
      <c r="T177" s="21">
        <v>0.54391666666666694</v>
      </c>
      <c r="U177" s="21">
        <v>0.54164583333333349</v>
      </c>
      <c r="V177" s="21">
        <v>0.42618749999999994</v>
      </c>
      <c r="W177" s="21">
        <v>0.42599999999999971</v>
      </c>
      <c r="X177" s="21">
        <v>0.3700833333333331</v>
      </c>
      <c r="Y177" s="21">
        <v>0.20100000000000001</v>
      </c>
      <c r="Z177" s="23">
        <f>AVERAGE(Q177,U177)</f>
        <v>0.46801041666666682</v>
      </c>
      <c r="AA177" s="23">
        <f>AVERAGE(R177:T177,V177:X177)</f>
        <v>0.46597569444444437</v>
      </c>
      <c r="AB177" s="23">
        <f t="shared" si="2"/>
        <v>0.46634564393939387</v>
      </c>
    </row>
    <row r="178" spans="1:28">
      <c r="A178" s="9">
        <v>43885</v>
      </c>
      <c r="B178" s="3"/>
      <c r="C178" s="3"/>
      <c r="D178" s="3"/>
      <c r="E178" s="3"/>
      <c r="F178" s="3"/>
      <c r="G178" s="19">
        <v>43885</v>
      </c>
      <c r="H178" s="20"/>
      <c r="I178" s="20"/>
      <c r="J178" s="20"/>
      <c r="K178" s="20"/>
      <c r="L178" s="20"/>
      <c r="M178" s="20"/>
      <c r="N178" s="20"/>
      <c r="O178" s="20"/>
      <c r="P178" s="10"/>
      <c r="Q178" s="21">
        <v>0.39658333333333345</v>
      </c>
      <c r="R178" s="21">
        <v>0.49129166666666668</v>
      </c>
      <c r="S178" s="21">
        <v>0.54170833333333368</v>
      </c>
      <c r="T178" s="21">
        <v>0.54464583333333383</v>
      </c>
      <c r="U178" s="21">
        <v>0.54475000000000007</v>
      </c>
      <c r="V178" s="21">
        <v>0.42766666666666636</v>
      </c>
      <c r="W178" s="21">
        <v>0.42645833333333316</v>
      </c>
      <c r="X178" s="21">
        <v>0.37002083333333308</v>
      </c>
      <c r="Y178" s="21">
        <v>0.19507999999999992</v>
      </c>
      <c r="Z178" s="23">
        <f>AVERAGE(Q178,U178)</f>
        <v>0.47066666666666679</v>
      </c>
      <c r="AA178" s="23">
        <f>AVERAGE(R178:T178,V178:X178)</f>
        <v>0.4669652777777778</v>
      </c>
      <c r="AB178" s="23">
        <f t="shared" si="2"/>
        <v>0.46763825757575761</v>
      </c>
    </row>
    <row r="179" spans="1:28">
      <c r="A179" s="9">
        <v>43886</v>
      </c>
      <c r="B179" s="3"/>
      <c r="C179" s="3"/>
      <c r="D179" s="3"/>
      <c r="E179" s="3"/>
      <c r="F179" s="3"/>
      <c r="G179" s="19">
        <v>43886</v>
      </c>
      <c r="H179" s="20"/>
      <c r="I179" s="20"/>
      <c r="J179" s="20"/>
      <c r="K179" s="20"/>
      <c r="L179" s="20"/>
      <c r="M179" s="20"/>
      <c r="N179" s="20"/>
      <c r="O179" s="20"/>
      <c r="P179" s="10"/>
      <c r="Q179" s="21">
        <v>0.40160416666666676</v>
      </c>
      <c r="R179" s="21">
        <v>0.49685416666666687</v>
      </c>
      <c r="S179" s="21">
        <v>0.54679166666666656</v>
      </c>
      <c r="T179" s="21">
        <v>0.54764583333333361</v>
      </c>
      <c r="U179" s="21">
        <v>0.55112499999999986</v>
      </c>
      <c r="V179" s="21">
        <v>0.4310833333333331</v>
      </c>
      <c r="W179" s="21">
        <v>0.42862499999999987</v>
      </c>
      <c r="X179" s="21">
        <v>0.37054166666666671</v>
      </c>
      <c r="Y179" s="21">
        <v>0.19008333333333335</v>
      </c>
      <c r="Z179" s="23">
        <f>AVERAGE(Q179,U179)</f>
        <v>0.47636458333333331</v>
      </c>
      <c r="AA179" s="23">
        <f>AVERAGE(R179:T179,V179:X179)</f>
        <v>0.47025694444444444</v>
      </c>
      <c r="AB179" s="23">
        <f t="shared" si="2"/>
        <v>0.47136742424242417</v>
      </c>
    </row>
    <row r="180" spans="1:28">
      <c r="A180" s="9">
        <v>43887</v>
      </c>
      <c r="B180" s="3"/>
      <c r="C180" s="3"/>
      <c r="D180" s="3"/>
      <c r="E180" s="3"/>
      <c r="F180" s="3"/>
      <c r="G180" s="19">
        <v>43887</v>
      </c>
      <c r="H180" s="20"/>
      <c r="I180" s="20"/>
      <c r="J180" s="20"/>
      <c r="K180" s="20"/>
      <c r="L180" s="20"/>
      <c r="M180" s="20"/>
      <c r="N180" s="20"/>
      <c r="O180" s="20"/>
      <c r="P180" s="10"/>
      <c r="Q180" s="21">
        <v>0.40391666666666631</v>
      </c>
      <c r="R180" s="21">
        <v>0.50102083333333336</v>
      </c>
      <c r="S180" s="21">
        <v>0.5516249999999997</v>
      </c>
      <c r="T180" s="21">
        <v>0.551875</v>
      </c>
      <c r="U180" s="21">
        <v>0.55533333333333335</v>
      </c>
      <c r="V180" s="21">
        <v>0.43439583333333304</v>
      </c>
      <c r="W180" s="21">
        <v>0.43116666666666631</v>
      </c>
      <c r="X180" s="21">
        <v>0.37164583333333329</v>
      </c>
      <c r="Y180" s="21">
        <v>0.18278124999999998</v>
      </c>
      <c r="Z180" s="23">
        <f>AVERAGE(Q180,U180)</f>
        <v>0.47962499999999986</v>
      </c>
      <c r="AA180" s="23">
        <f>AVERAGE(R180:T180,V180:X180)</f>
        <v>0.47362152777777761</v>
      </c>
      <c r="AB180" s="23">
        <f t="shared" si="2"/>
        <v>0.47471306818181797</v>
      </c>
    </row>
    <row r="181" spans="1:28">
      <c r="A181" s="9">
        <v>43888</v>
      </c>
      <c r="B181" s="3"/>
      <c r="C181" s="3"/>
      <c r="D181" s="3"/>
      <c r="E181" s="3"/>
      <c r="F181" s="3"/>
      <c r="G181" s="19">
        <v>43888</v>
      </c>
      <c r="H181" s="20"/>
      <c r="I181" s="20"/>
      <c r="J181" s="20"/>
      <c r="K181" s="20"/>
      <c r="L181" s="20"/>
      <c r="M181" s="20"/>
      <c r="N181" s="20"/>
      <c r="O181" s="20"/>
      <c r="P181" s="10"/>
      <c r="Q181" s="21">
        <v>0.40429166666666694</v>
      </c>
      <c r="R181" s="21">
        <v>0.50243750000000009</v>
      </c>
      <c r="S181" s="21">
        <v>0.55410416666666651</v>
      </c>
      <c r="T181" s="21">
        <v>0.55491666666666661</v>
      </c>
      <c r="U181" s="21">
        <v>0.55662499999999981</v>
      </c>
      <c r="V181" s="21">
        <v>0.43568750000000017</v>
      </c>
      <c r="W181" s="21">
        <v>0.433</v>
      </c>
      <c r="X181" s="21">
        <v>0.3727083333333332</v>
      </c>
      <c r="Y181" s="21">
        <v>0.17728571428571432</v>
      </c>
      <c r="Z181" s="23">
        <f>AVERAGE(Q181,U181)</f>
        <v>0.48045833333333338</v>
      </c>
      <c r="AA181" s="23">
        <f>AVERAGE(R181:T181,V181:X181)</f>
        <v>0.47547569444444443</v>
      </c>
      <c r="AB181" s="23">
        <f t="shared" si="2"/>
        <v>0.47638162878787876</v>
      </c>
    </row>
    <row r="182" spans="1:28">
      <c r="A182" s="9">
        <v>43889</v>
      </c>
      <c r="B182" s="3"/>
      <c r="C182" s="3"/>
      <c r="D182" s="3"/>
      <c r="E182" s="3"/>
      <c r="F182" s="3"/>
      <c r="G182" s="19">
        <v>43889</v>
      </c>
      <c r="H182" s="20"/>
      <c r="I182" s="20"/>
      <c r="J182" s="20"/>
      <c r="K182" s="20"/>
      <c r="L182" s="20"/>
      <c r="M182" s="20"/>
      <c r="N182" s="20"/>
      <c r="O182" s="20"/>
      <c r="P182" s="10"/>
      <c r="Q182" s="21">
        <v>0.40172916666666653</v>
      </c>
      <c r="R182" s="21">
        <v>0.50068749999999962</v>
      </c>
      <c r="S182" s="21">
        <v>0.55400000000000016</v>
      </c>
      <c r="T182" s="21">
        <v>0.55695833333333289</v>
      </c>
      <c r="U182" s="21">
        <v>0.55812499999999998</v>
      </c>
      <c r="V182" s="21">
        <v>0.43514583333333362</v>
      </c>
      <c r="W182" s="21">
        <v>0.43393749999999992</v>
      </c>
      <c r="X182" s="21">
        <v>0.37360416666666679</v>
      </c>
      <c r="Y182" s="21">
        <v>0.20804761904761909</v>
      </c>
      <c r="Z182" s="23">
        <f>AVERAGE(Q182,U182)</f>
        <v>0.47992708333333323</v>
      </c>
      <c r="AA182" s="23">
        <f>AVERAGE(R182:T182,V182:X182)</f>
        <v>0.47572222222222221</v>
      </c>
      <c r="AB182" s="23">
        <f t="shared" si="2"/>
        <v>0.47648674242424238</v>
      </c>
    </row>
    <row r="183" spans="1:28">
      <c r="A183" s="9">
        <v>43890</v>
      </c>
      <c r="B183" s="3"/>
      <c r="C183" s="3"/>
      <c r="D183" s="3"/>
      <c r="E183" s="3"/>
      <c r="F183" s="3"/>
      <c r="G183" s="19">
        <v>43890</v>
      </c>
      <c r="H183" s="20"/>
      <c r="I183" s="20"/>
      <c r="J183" s="20"/>
      <c r="K183" s="20"/>
      <c r="L183" s="20"/>
      <c r="M183" s="20"/>
      <c r="N183" s="20"/>
      <c r="O183" s="20"/>
      <c r="P183" s="10"/>
      <c r="Q183" s="21">
        <v>0.40045833333333342</v>
      </c>
      <c r="R183" s="21">
        <v>0.49804166666666677</v>
      </c>
      <c r="S183" s="21">
        <v>0.551958333333333</v>
      </c>
      <c r="T183" s="21">
        <v>0.55589583333333348</v>
      </c>
      <c r="U183" s="21">
        <v>0.56002083333333363</v>
      </c>
      <c r="V183" s="21">
        <v>0.43454166666666655</v>
      </c>
      <c r="W183" s="21">
        <v>0.43322916666666672</v>
      </c>
      <c r="X183" s="21">
        <v>0.37383333333333346</v>
      </c>
      <c r="Y183" s="21">
        <v>0.21674468085106388</v>
      </c>
      <c r="Z183" s="23">
        <f>AVERAGE(Q183,U183)</f>
        <v>0.4802395833333335</v>
      </c>
      <c r="AA183" s="23">
        <f>AVERAGE(R183:T183,V183:X183)</f>
        <v>0.47458333333333336</v>
      </c>
      <c r="AB183" s="23">
        <f t="shared" si="2"/>
        <v>0.47561174242424253</v>
      </c>
    </row>
    <row r="184" spans="1:28">
      <c r="A184" s="9">
        <v>43891</v>
      </c>
      <c r="B184" s="3"/>
      <c r="C184" s="3"/>
      <c r="D184" s="3"/>
      <c r="E184" s="3"/>
      <c r="F184" s="3"/>
      <c r="G184" s="19">
        <v>43891</v>
      </c>
      <c r="H184" s="20"/>
      <c r="I184" s="20"/>
      <c r="J184" s="20"/>
      <c r="K184" s="20"/>
      <c r="L184" s="20"/>
      <c r="M184" s="20"/>
      <c r="N184" s="20"/>
      <c r="O184" s="20"/>
      <c r="P184" s="10"/>
      <c r="Q184" s="21">
        <v>0.40070833333333322</v>
      </c>
      <c r="R184" s="21">
        <v>0.49916666666666698</v>
      </c>
      <c r="S184" s="21">
        <v>0.55372916666666705</v>
      </c>
      <c r="T184" s="21">
        <v>0.55729166666666619</v>
      </c>
      <c r="U184" s="21">
        <v>0.55977083333333344</v>
      </c>
      <c r="V184" s="21">
        <v>0.43606249999999996</v>
      </c>
      <c r="W184" s="21">
        <v>0.43450000000000016</v>
      </c>
      <c r="X184" s="21">
        <v>0.3739791666666667</v>
      </c>
      <c r="Y184" s="21">
        <v>0.20468750000000002</v>
      </c>
      <c r="Z184" s="23">
        <f>AVERAGE(Q184,U184)</f>
        <v>0.48023958333333333</v>
      </c>
      <c r="AA184" s="23">
        <f>AVERAGE(R184:T184,V184:X184)</f>
        <v>0.47578819444444448</v>
      </c>
      <c r="AB184" s="23">
        <f t="shared" si="2"/>
        <v>0.47659753787878789</v>
      </c>
    </row>
    <row r="185" spans="1:28">
      <c r="A185" s="9">
        <v>43892</v>
      </c>
      <c r="B185" s="3"/>
      <c r="C185" s="3"/>
      <c r="D185" s="3"/>
      <c r="E185" s="3"/>
      <c r="F185" s="3"/>
      <c r="G185" s="19">
        <v>43892</v>
      </c>
      <c r="H185" s="20"/>
      <c r="I185" s="20"/>
      <c r="J185" s="20"/>
      <c r="K185" s="20"/>
      <c r="L185" s="20"/>
      <c r="M185" s="20"/>
      <c r="N185" s="20"/>
      <c r="O185" s="20"/>
      <c r="P185" s="10"/>
      <c r="Q185" s="21">
        <v>0.39954166666666674</v>
      </c>
      <c r="R185" s="21">
        <v>0.49691666666666684</v>
      </c>
      <c r="S185" s="21">
        <v>0.55177083333333321</v>
      </c>
      <c r="T185" s="21">
        <v>0.55689583333333315</v>
      </c>
      <c r="U185" s="21">
        <v>0.5577916666666668</v>
      </c>
      <c r="V185" s="21">
        <v>0.43489583333333309</v>
      </c>
      <c r="W185" s="21">
        <v>0.43406249999999996</v>
      </c>
      <c r="X185" s="21">
        <v>0.37393749999999998</v>
      </c>
      <c r="Y185" s="21">
        <v>0.19802127659574476</v>
      </c>
      <c r="Z185" s="23">
        <f>AVERAGE(Q185,U185)</f>
        <v>0.4786666666666668</v>
      </c>
      <c r="AA185" s="23">
        <f>AVERAGE(R185:T185,V185:X185)</f>
        <v>0.47474652777777765</v>
      </c>
      <c r="AB185" s="23">
        <f t="shared" si="2"/>
        <v>0.4754592803030302</v>
      </c>
    </row>
    <row r="186" spans="1:28">
      <c r="A186" s="9">
        <v>43893</v>
      </c>
      <c r="B186" s="3"/>
      <c r="C186" s="3"/>
      <c r="D186" s="3"/>
      <c r="E186" s="3"/>
      <c r="F186" s="3"/>
      <c r="G186" s="19">
        <v>43893</v>
      </c>
      <c r="H186" s="20"/>
      <c r="I186" s="20"/>
      <c r="J186" s="20"/>
      <c r="K186" s="20"/>
      <c r="L186" s="20"/>
      <c r="M186" s="20"/>
      <c r="N186" s="20"/>
      <c r="O186" s="20"/>
      <c r="P186" s="10"/>
      <c r="Q186" s="21">
        <v>0.39645833333333319</v>
      </c>
      <c r="R186" s="21">
        <v>0.49514583333333323</v>
      </c>
      <c r="S186" s="21">
        <v>0.55085416666666676</v>
      </c>
      <c r="T186" s="21">
        <v>0.55660416666666668</v>
      </c>
      <c r="U186" s="21">
        <v>0.55381249999999993</v>
      </c>
      <c r="V186" s="21">
        <v>0.43410416666666635</v>
      </c>
      <c r="W186" s="21">
        <v>0.43424999999999986</v>
      </c>
      <c r="X186" s="21">
        <v>0.37395833333333345</v>
      </c>
      <c r="Y186" s="21">
        <v>0.18889583333333326</v>
      </c>
      <c r="Z186" s="23">
        <f>AVERAGE(Q186,U186)</f>
        <v>0.47513541666666659</v>
      </c>
      <c r="AA186" s="23">
        <f>AVERAGE(R186:T186,V186:X186)</f>
        <v>0.4741527777777777</v>
      </c>
      <c r="AB186" s="23">
        <f t="shared" si="2"/>
        <v>0.47433143939393929</v>
      </c>
    </row>
    <row r="187" spans="1:28">
      <c r="A187" s="9">
        <v>43894</v>
      </c>
      <c r="B187" s="3"/>
      <c r="C187" s="3"/>
      <c r="D187" s="3"/>
      <c r="E187" s="3"/>
      <c r="F187" s="3"/>
      <c r="G187" s="19">
        <v>43894</v>
      </c>
      <c r="H187" s="20"/>
      <c r="I187" s="20"/>
      <c r="J187" s="20"/>
      <c r="K187" s="20"/>
      <c r="L187" s="20"/>
      <c r="M187" s="20"/>
      <c r="N187" s="20"/>
      <c r="O187" s="20"/>
      <c r="P187" s="10"/>
      <c r="Q187" s="21">
        <v>0.3900624999999997</v>
      </c>
      <c r="R187" s="21">
        <v>0.48897916666666646</v>
      </c>
      <c r="S187" s="21">
        <v>0.54499999999999982</v>
      </c>
      <c r="T187" s="21">
        <v>0.55391666666666695</v>
      </c>
      <c r="U187" s="21">
        <v>0.54681249999999981</v>
      </c>
      <c r="V187" s="21">
        <v>0.43006249999999963</v>
      </c>
      <c r="W187" s="21">
        <v>0.43218750000000022</v>
      </c>
      <c r="X187" s="21">
        <v>0.37277083333333322</v>
      </c>
      <c r="Y187" s="21">
        <v>0.18387499999999998</v>
      </c>
      <c r="Z187" s="23">
        <f>AVERAGE(Q187,U187)</f>
        <v>0.46843749999999973</v>
      </c>
      <c r="AA187" s="23">
        <f>AVERAGE(R187:T187,V187:X187)</f>
        <v>0.47048611111111099</v>
      </c>
      <c r="AB187" s="23">
        <f t="shared" si="2"/>
        <v>0.47011363636363629</v>
      </c>
    </row>
    <row r="188" spans="1:28">
      <c r="A188" s="9">
        <v>43895</v>
      </c>
      <c r="B188" s="3"/>
      <c r="C188" s="3"/>
      <c r="D188" s="3"/>
      <c r="E188" s="3"/>
      <c r="F188" s="3"/>
      <c r="G188" s="19">
        <v>43895</v>
      </c>
      <c r="H188" s="20"/>
      <c r="I188" s="20"/>
      <c r="J188" s="20"/>
      <c r="K188" s="20"/>
      <c r="L188" s="20"/>
      <c r="M188" s="20"/>
      <c r="N188" s="20"/>
      <c r="O188" s="20"/>
      <c r="P188" s="10"/>
      <c r="Q188" s="21">
        <v>0.38739583333333355</v>
      </c>
      <c r="R188" s="21">
        <v>0.48560416666666645</v>
      </c>
      <c r="S188" s="21">
        <v>0.54187500000000011</v>
      </c>
      <c r="T188" s="21">
        <v>0.55108333333333315</v>
      </c>
      <c r="U188" s="21">
        <v>0.5432916666666664</v>
      </c>
      <c r="V188" s="21">
        <v>0.42789583333333342</v>
      </c>
      <c r="W188" s="21">
        <v>0.43045833333333311</v>
      </c>
      <c r="X188" s="21">
        <v>0.3718541666666666</v>
      </c>
      <c r="Y188" s="21">
        <v>0.17872916666666661</v>
      </c>
      <c r="Z188" s="23">
        <f>AVERAGE(Q188,U188)</f>
        <v>0.46534374999999994</v>
      </c>
      <c r="AA188" s="23">
        <f>AVERAGE(R188:T188,V188:X188)</f>
        <v>0.46812847222222215</v>
      </c>
      <c r="AB188" s="23">
        <f t="shared" si="2"/>
        <v>0.46762215909090904</v>
      </c>
    </row>
    <row r="189" spans="1:28">
      <c r="A189" s="9">
        <v>43896</v>
      </c>
      <c r="B189" s="3"/>
      <c r="C189" s="3"/>
      <c r="D189" s="3"/>
      <c r="E189" s="3"/>
      <c r="F189" s="3"/>
      <c r="G189" s="19">
        <v>43896</v>
      </c>
      <c r="H189" s="20"/>
      <c r="I189" s="20"/>
      <c r="J189" s="20"/>
      <c r="K189" s="20"/>
      <c r="L189" s="20"/>
      <c r="M189" s="20"/>
      <c r="N189" s="20"/>
      <c r="O189" s="20"/>
      <c r="P189" s="10"/>
      <c r="Q189" s="21">
        <v>0.38929166666666687</v>
      </c>
      <c r="R189" s="21">
        <v>0.48624999999999979</v>
      </c>
      <c r="S189" s="21">
        <v>0.54177083333333376</v>
      </c>
      <c r="T189" s="21">
        <v>0.54960416666666667</v>
      </c>
      <c r="U189" s="21">
        <v>0.54581250000000003</v>
      </c>
      <c r="V189" s="21">
        <v>0.42804166666666671</v>
      </c>
      <c r="W189" s="21">
        <v>0.42916666666666653</v>
      </c>
      <c r="X189" s="21">
        <v>0.3709583333333335</v>
      </c>
      <c r="Y189" s="21">
        <v>0.17602500000000001</v>
      </c>
      <c r="Z189" s="23">
        <f>AVERAGE(Q189,U189)</f>
        <v>0.46755208333333342</v>
      </c>
      <c r="AA189" s="23">
        <f>AVERAGE(R189:T189,V189:X189)</f>
        <v>0.4676319444444445</v>
      </c>
      <c r="AB189" s="23">
        <f t="shared" si="2"/>
        <v>0.46761742424242431</v>
      </c>
    </row>
    <row r="190" spans="1:28">
      <c r="A190" s="9">
        <v>43897</v>
      </c>
      <c r="B190" s="3"/>
      <c r="C190" s="3"/>
      <c r="D190" s="3"/>
      <c r="E190" s="3"/>
      <c r="F190" s="3"/>
      <c r="G190" s="19">
        <v>43897</v>
      </c>
      <c r="H190" s="20"/>
      <c r="I190" s="20"/>
      <c r="J190" s="20"/>
      <c r="K190" s="20"/>
      <c r="L190" s="20"/>
      <c r="M190" s="20"/>
      <c r="N190" s="20"/>
      <c r="O190" s="20"/>
      <c r="P190" s="10"/>
      <c r="Q190" s="21">
        <v>0.39439583333333322</v>
      </c>
      <c r="R190" s="21">
        <v>0.49214583333333328</v>
      </c>
      <c r="S190" s="21">
        <v>0.54733333333333356</v>
      </c>
      <c r="T190" s="21">
        <v>0.55272916666666705</v>
      </c>
      <c r="U190" s="21">
        <v>0.55197916666666669</v>
      </c>
      <c r="V190" s="21">
        <v>0.43208333333333343</v>
      </c>
      <c r="W190" s="21">
        <v>0.43127083333333305</v>
      </c>
      <c r="X190" s="21">
        <v>0.37127083333333344</v>
      </c>
      <c r="Y190" s="21">
        <v>0.16657692307692298</v>
      </c>
      <c r="Z190" s="23">
        <f>AVERAGE(Q190,U190)</f>
        <v>0.47318749999999998</v>
      </c>
      <c r="AA190" s="23">
        <f>AVERAGE(R190:T190,V190:X190)</f>
        <v>0.47113888888888894</v>
      </c>
      <c r="AB190" s="23">
        <f t="shared" si="2"/>
        <v>0.47151136363636365</v>
      </c>
    </row>
    <row r="191" spans="1:28">
      <c r="A191" s="9">
        <v>43898</v>
      </c>
      <c r="B191" s="3"/>
      <c r="C191" s="3"/>
      <c r="D191" s="3"/>
      <c r="E191" s="3"/>
      <c r="F191" s="3"/>
      <c r="G191" s="19">
        <v>43898</v>
      </c>
      <c r="H191" s="20"/>
      <c r="I191" s="20"/>
      <c r="J191" s="20"/>
      <c r="K191" s="20"/>
      <c r="L191" s="20"/>
      <c r="M191" s="20"/>
      <c r="N191" s="20"/>
      <c r="O191" s="20"/>
      <c r="P191" s="10"/>
      <c r="Q191" s="21">
        <v>0.3957083333333335</v>
      </c>
      <c r="R191" s="21">
        <v>0.4950416666666666</v>
      </c>
      <c r="S191" s="21">
        <v>0.55045833333333327</v>
      </c>
      <c r="T191" s="21">
        <v>0.55516666666666659</v>
      </c>
      <c r="U191" s="21">
        <v>0.55414583333333323</v>
      </c>
      <c r="V191" s="21">
        <v>0.43414583333333306</v>
      </c>
      <c r="W191" s="21">
        <v>0.43299999999999988</v>
      </c>
      <c r="X191" s="21">
        <v>0.37187499999999996</v>
      </c>
      <c r="Y191" s="21">
        <v>0.15723999999999999</v>
      </c>
      <c r="Z191" s="23">
        <f>AVERAGE(Q191,U191)</f>
        <v>0.47492708333333333</v>
      </c>
      <c r="AA191" s="23">
        <f>AVERAGE(R191:T191,V191:X191)</f>
        <v>0.47328124999999988</v>
      </c>
      <c r="AB191" s="23">
        <f t="shared" si="2"/>
        <v>0.47358049242424238</v>
      </c>
    </row>
    <row r="192" spans="1:28">
      <c r="A192" s="9">
        <v>43899</v>
      </c>
      <c r="B192" s="3"/>
      <c r="C192" s="3"/>
      <c r="D192" s="3"/>
      <c r="E192" s="3"/>
      <c r="F192" s="3"/>
      <c r="G192" s="19">
        <v>43899</v>
      </c>
      <c r="H192" s="20"/>
      <c r="I192" s="20"/>
      <c r="J192" s="20"/>
      <c r="K192" s="20"/>
      <c r="L192" s="20"/>
      <c r="M192" s="20"/>
      <c r="N192" s="20"/>
      <c r="O192" s="20"/>
      <c r="P192" s="10"/>
      <c r="Q192" s="21">
        <v>0.39449999999999985</v>
      </c>
      <c r="R192" s="21">
        <v>0.49554166666666671</v>
      </c>
      <c r="S192" s="21">
        <v>0.55224999999999957</v>
      </c>
      <c r="T192" s="21">
        <v>0.5577291666666665</v>
      </c>
      <c r="U192" s="21">
        <v>0.55339583333333331</v>
      </c>
      <c r="V192" s="21">
        <v>0.43495833333333284</v>
      </c>
      <c r="W192" s="21">
        <v>0.4343125000000001</v>
      </c>
      <c r="X192" s="21">
        <v>0.3722083333333332</v>
      </c>
      <c r="Y192" s="21">
        <v>0.14874999999999999</v>
      </c>
      <c r="Z192" s="23">
        <f>AVERAGE(Q192,U192)</f>
        <v>0.47394791666666658</v>
      </c>
      <c r="AA192" s="23">
        <f>AVERAGE(R192:T192,V192:X192)</f>
        <v>0.47449999999999976</v>
      </c>
      <c r="AB192" s="23">
        <f t="shared" si="2"/>
        <v>0.47439962121212098</v>
      </c>
    </row>
    <row r="193" spans="1:28">
      <c r="A193" s="9">
        <v>43900</v>
      </c>
      <c r="B193" s="3"/>
      <c r="C193" s="3"/>
      <c r="D193" s="3"/>
      <c r="E193" s="3"/>
      <c r="F193" s="3"/>
      <c r="G193" s="19">
        <v>43900</v>
      </c>
      <c r="H193" s="20"/>
      <c r="I193" s="20"/>
      <c r="J193" s="20"/>
      <c r="K193" s="20"/>
      <c r="L193" s="20"/>
      <c r="M193" s="20"/>
      <c r="N193" s="20"/>
      <c r="O193" s="20"/>
      <c r="P193" s="10"/>
      <c r="Q193" s="21">
        <v>0.38762500000000011</v>
      </c>
      <c r="R193" s="21">
        <v>0.49045833333333327</v>
      </c>
      <c r="S193" s="21">
        <v>0.54889583333333336</v>
      </c>
      <c r="T193" s="21">
        <v>0.55731249999999977</v>
      </c>
      <c r="U193" s="21">
        <v>0.54643750000000013</v>
      </c>
      <c r="V193" s="21">
        <v>0.43189583333333309</v>
      </c>
      <c r="W193" s="21">
        <v>0.43366666666666642</v>
      </c>
      <c r="X193" s="21">
        <v>0.37229166666666663</v>
      </c>
      <c r="Y193" s="21">
        <v>0.14265789473684209</v>
      </c>
      <c r="Z193" s="23">
        <f>AVERAGE(Q193,U193)</f>
        <v>0.46703125000000012</v>
      </c>
      <c r="AA193" s="23">
        <f>AVERAGE(R193:T193,V193:X193)</f>
        <v>0.47242013888888867</v>
      </c>
      <c r="AB193" s="23">
        <f t="shared" si="2"/>
        <v>0.47144034090909076</v>
      </c>
    </row>
    <row r="194" spans="1:28">
      <c r="A194" s="9">
        <v>43901</v>
      </c>
      <c r="B194" s="3"/>
      <c r="C194" s="3"/>
      <c r="D194" s="3"/>
      <c r="E194" s="3"/>
      <c r="F194" s="3"/>
      <c r="G194" s="19">
        <v>43901</v>
      </c>
      <c r="H194" s="20"/>
      <c r="I194" s="20"/>
      <c r="J194" s="20"/>
      <c r="K194" s="20"/>
      <c r="L194" s="20"/>
      <c r="M194" s="20"/>
      <c r="N194" s="20"/>
      <c r="O194" s="20"/>
      <c r="P194" s="10"/>
      <c r="Q194" s="21">
        <v>0.38170833333333337</v>
      </c>
      <c r="R194" s="21">
        <v>0.48395833333333349</v>
      </c>
      <c r="S194" s="21">
        <v>0.54302083333333362</v>
      </c>
      <c r="T194" s="21">
        <v>0.55400000000000027</v>
      </c>
      <c r="U194" s="21">
        <v>0.53960416666666666</v>
      </c>
      <c r="V194" s="21">
        <v>0.42793750000000003</v>
      </c>
      <c r="W194" s="21">
        <v>0.43135416666666648</v>
      </c>
      <c r="X194" s="21">
        <v>0.3709791666666668</v>
      </c>
      <c r="Y194" s="21">
        <v>0.14078048780487804</v>
      </c>
      <c r="Z194" s="23">
        <f>AVERAGE(Q194,U194)</f>
        <v>0.46065624999999999</v>
      </c>
      <c r="AA194" s="23">
        <f>AVERAGE(R194:T194,V194:X194)</f>
        <v>0.4685416666666668</v>
      </c>
      <c r="AB194" s="23">
        <f t="shared" si="2"/>
        <v>0.46710795454545462</v>
      </c>
    </row>
    <row r="195" spans="1:28">
      <c r="A195" s="9">
        <v>43902</v>
      </c>
      <c r="B195" s="3"/>
      <c r="C195" s="3"/>
      <c r="D195" s="3"/>
      <c r="E195" s="3"/>
      <c r="F195" s="3"/>
      <c r="G195" s="19">
        <v>43902</v>
      </c>
      <c r="H195" s="20"/>
      <c r="I195" s="20"/>
      <c r="J195" s="20"/>
      <c r="K195" s="20"/>
      <c r="L195" s="20"/>
      <c r="M195" s="20"/>
      <c r="N195" s="20"/>
      <c r="O195" s="20"/>
      <c r="P195" s="10"/>
      <c r="Q195" s="21">
        <v>0.38085416666666677</v>
      </c>
      <c r="R195" s="21">
        <v>0.48239583333333319</v>
      </c>
      <c r="S195" s="21">
        <v>0.54093750000000007</v>
      </c>
      <c r="T195" s="21">
        <v>0.55152083333333268</v>
      </c>
      <c r="U195" s="21">
        <v>0.53920833333333362</v>
      </c>
      <c r="V195" s="21">
        <v>0.42664583333333345</v>
      </c>
      <c r="W195" s="21">
        <v>0.42962499999999965</v>
      </c>
      <c r="X195" s="21">
        <v>0.37010416666666646</v>
      </c>
      <c r="Y195" s="21">
        <v>0.1406363636363637</v>
      </c>
      <c r="Z195" s="23">
        <f>AVERAGE(Q195,U195)</f>
        <v>0.46003125000000022</v>
      </c>
      <c r="AA195" s="23">
        <f>AVERAGE(R195:T195,V195:X195)</f>
        <v>0.46687152777777757</v>
      </c>
      <c r="AB195" s="23">
        <f t="shared" si="2"/>
        <v>0.46562784090909076</v>
      </c>
    </row>
    <row r="196" spans="1:28">
      <c r="A196" s="9">
        <v>43903</v>
      </c>
      <c r="B196" s="3"/>
      <c r="C196" s="3"/>
      <c r="D196" s="3"/>
      <c r="E196" s="3"/>
      <c r="F196" s="3"/>
      <c r="G196" s="19">
        <v>43903</v>
      </c>
      <c r="H196" s="20"/>
      <c r="I196" s="20"/>
      <c r="J196" s="20"/>
      <c r="K196" s="20"/>
      <c r="L196" s="20"/>
      <c r="M196" s="20"/>
      <c r="N196" s="20"/>
      <c r="O196" s="20"/>
      <c r="P196" s="10"/>
      <c r="Q196" s="21">
        <v>0.38250000000000023</v>
      </c>
      <c r="R196" s="21">
        <v>0.48466666666666702</v>
      </c>
      <c r="S196" s="21">
        <v>0.54349999999999976</v>
      </c>
      <c r="T196" s="21">
        <v>0.55281250000000048</v>
      </c>
      <c r="U196" s="21">
        <v>0.54110416666666661</v>
      </c>
      <c r="V196" s="21">
        <v>0.42758333333333326</v>
      </c>
      <c r="W196" s="21">
        <v>0.42999999999999977</v>
      </c>
      <c r="X196" s="21">
        <v>0.36952083333333313</v>
      </c>
      <c r="Y196" s="21">
        <v>0.13746511627906985</v>
      </c>
      <c r="Z196" s="23">
        <f>AVERAGE(Q196,U196)</f>
        <v>0.46180208333333339</v>
      </c>
      <c r="AA196" s="23">
        <f>AVERAGE(R196:T196,V196:X196)</f>
        <v>0.4680138888888889</v>
      </c>
      <c r="AB196" s="23">
        <f t="shared" si="2"/>
        <v>0.46688446969696973</v>
      </c>
    </row>
    <row r="197" spans="1:28">
      <c r="A197" s="9">
        <v>43904</v>
      </c>
      <c r="B197" s="3"/>
      <c r="C197" s="3"/>
      <c r="D197" s="3"/>
      <c r="E197" s="3"/>
      <c r="F197" s="3"/>
      <c r="G197" s="19">
        <v>43904</v>
      </c>
      <c r="H197" s="20"/>
      <c r="I197" s="20"/>
      <c r="J197" s="20"/>
      <c r="K197" s="20"/>
      <c r="L197" s="20"/>
      <c r="M197" s="20"/>
      <c r="N197" s="20"/>
      <c r="O197" s="20"/>
      <c r="P197" s="10"/>
      <c r="Q197" s="21">
        <v>0.37854166666666672</v>
      </c>
      <c r="R197" s="21">
        <v>0.4822291666666671</v>
      </c>
      <c r="S197" s="21">
        <v>0.541875</v>
      </c>
      <c r="T197" s="21">
        <v>0.55254166666666671</v>
      </c>
      <c r="U197" s="21">
        <v>0.53741666666666676</v>
      </c>
      <c r="V197" s="21">
        <v>0.42614583333333328</v>
      </c>
      <c r="W197" s="21">
        <v>0.42968749999999956</v>
      </c>
      <c r="X197" s="21">
        <v>0.36906249999999985</v>
      </c>
      <c r="Y197" s="21">
        <v>0.13468749999999999</v>
      </c>
      <c r="Z197" s="23">
        <f>AVERAGE(Q197,U197)</f>
        <v>0.45797916666666671</v>
      </c>
      <c r="AA197" s="23">
        <f>AVERAGE(R197:T197,V197:X197)</f>
        <v>0.46692361111111103</v>
      </c>
      <c r="AB197" s="23">
        <f t="shared" si="2"/>
        <v>0.46529734848484838</v>
      </c>
    </row>
    <row r="198" spans="1:28">
      <c r="A198" s="9">
        <v>43905</v>
      </c>
      <c r="B198" s="3"/>
      <c r="C198" s="3"/>
      <c r="D198" s="3"/>
      <c r="E198" s="3"/>
      <c r="F198" s="3"/>
      <c r="G198" s="19">
        <v>43905</v>
      </c>
      <c r="H198" s="20">
        <v>22.020833333333332</v>
      </c>
      <c r="I198" s="20">
        <v>85.443750000000023</v>
      </c>
      <c r="J198" s="20">
        <v>10.11875</v>
      </c>
      <c r="K198" s="20">
        <v>0.60000000000000009</v>
      </c>
      <c r="L198" s="20">
        <v>225</v>
      </c>
      <c r="M198" s="20">
        <v>6.5</v>
      </c>
      <c r="N198" s="20">
        <v>0.5</v>
      </c>
      <c r="O198" s="20">
        <v>7.75</v>
      </c>
      <c r="P198" s="10">
        <v>0.18291609093626657</v>
      </c>
      <c r="Q198" s="21">
        <v>0.37456250000000008</v>
      </c>
      <c r="R198" s="21">
        <v>0.47900000000000031</v>
      </c>
      <c r="S198" s="21">
        <v>0.53927083333333325</v>
      </c>
      <c r="T198" s="21">
        <v>0.55131249999999932</v>
      </c>
      <c r="U198" s="21">
        <v>0.53341666666666676</v>
      </c>
      <c r="V198" s="21">
        <v>0.42366666666666641</v>
      </c>
      <c r="W198" s="21">
        <v>0.42860416666666706</v>
      </c>
      <c r="X198" s="21">
        <v>0.36883333333333329</v>
      </c>
      <c r="Y198" s="21">
        <v>0.13222916666666659</v>
      </c>
      <c r="Z198" s="23">
        <f>AVERAGE(Q198,U198)</f>
        <v>0.45398958333333339</v>
      </c>
      <c r="AA198" s="23">
        <f>AVERAGE(R198:T198,V198:X198)</f>
        <v>0.46511458333333328</v>
      </c>
      <c r="AB198" s="23">
        <f t="shared" ref="AB198:AB261" si="3">(Z198*10+AA198*45)/55</f>
        <v>0.46309185606060599</v>
      </c>
    </row>
    <row r="199" spans="1:28">
      <c r="A199" s="9">
        <v>43906</v>
      </c>
      <c r="B199" s="3"/>
      <c r="C199" s="3"/>
      <c r="D199" s="3"/>
      <c r="E199" s="3"/>
      <c r="F199" s="3"/>
      <c r="G199" s="19">
        <v>43906</v>
      </c>
      <c r="H199" s="20">
        <v>28.75</v>
      </c>
      <c r="I199" s="20">
        <v>96.06666666666672</v>
      </c>
      <c r="J199" s="20">
        <v>9.8208333333333346</v>
      </c>
      <c r="K199" s="20">
        <v>2.3000000000000003</v>
      </c>
      <c r="L199" s="20">
        <v>194.9375</v>
      </c>
      <c r="M199" s="20">
        <v>4.041666666666667</v>
      </c>
      <c r="N199" s="20">
        <v>0</v>
      </c>
      <c r="O199" s="20">
        <v>9.2124999999999968</v>
      </c>
      <c r="P199" s="10">
        <v>4.8858355736501623E-2</v>
      </c>
      <c r="Q199" s="21">
        <v>0.37147916666666675</v>
      </c>
      <c r="R199" s="21">
        <v>0.47645833333333282</v>
      </c>
      <c r="S199" s="21">
        <v>0.53729166666666661</v>
      </c>
      <c r="T199" s="21">
        <v>0.5500833333333337</v>
      </c>
      <c r="U199" s="21">
        <v>0.53077083333333297</v>
      </c>
      <c r="V199" s="21">
        <v>0.42187500000000017</v>
      </c>
      <c r="W199" s="21">
        <v>0.42733333333333312</v>
      </c>
      <c r="X199" s="21">
        <v>0.36868749999999983</v>
      </c>
      <c r="Y199" s="21">
        <v>0.13212500000000002</v>
      </c>
      <c r="Z199" s="23">
        <f>AVERAGE(Q199,U199)</f>
        <v>0.45112499999999989</v>
      </c>
      <c r="AA199" s="23">
        <f>AVERAGE(R199:T199,V199:X199)</f>
        <v>0.46362152777777776</v>
      </c>
      <c r="AB199" s="23">
        <f t="shared" si="3"/>
        <v>0.46134943181818178</v>
      </c>
    </row>
    <row r="200" spans="1:28">
      <c r="A200" s="9">
        <v>43907</v>
      </c>
      <c r="B200" s="3"/>
      <c r="C200" s="3"/>
      <c r="D200" s="3"/>
      <c r="E200" s="3"/>
      <c r="F200" s="3"/>
      <c r="G200" s="19">
        <v>43907</v>
      </c>
      <c r="H200" s="20">
        <v>68.104166666666671</v>
      </c>
      <c r="I200" s="20">
        <v>83.28958333333334</v>
      </c>
      <c r="J200" s="20">
        <v>9.7541666666666664</v>
      </c>
      <c r="K200" s="20">
        <v>1.2</v>
      </c>
      <c r="L200" s="20">
        <v>176.58333333333334</v>
      </c>
      <c r="M200" s="20">
        <v>3.7083333333333335</v>
      </c>
      <c r="N200" s="20">
        <v>0</v>
      </c>
      <c r="O200" s="20">
        <v>6.9333333333333336</v>
      </c>
      <c r="P200" s="10">
        <v>0.21605204823359239</v>
      </c>
      <c r="Q200" s="21">
        <v>0.36929166666666657</v>
      </c>
      <c r="R200" s="21">
        <v>0.47462500000000002</v>
      </c>
      <c r="S200" s="21">
        <v>0.53520833333333295</v>
      </c>
      <c r="T200" s="21">
        <v>0.54835416666666692</v>
      </c>
      <c r="U200" s="21">
        <v>0.52843749999999978</v>
      </c>
      <c r="V200" s="21">
        <v>0.42050000000000032</v>
      </c>
      <c r="W200" s="21">
        <v>0.4264999999999996</v>
      </c>
      <c r="X200" s="21">
        <v>0.36762500000000037</v>
      </c>
      <c r="Y200" s="21">
        <v>0.13654166666666676</v>
      </c>
      <c r="Z200" s="23">
        <f>AVERAGE(Q200,U200)</f>
        <v>0.44886458333333318</v>
      </c>
      <c r="AA200" s="23">
        <f>AVERAGE(R200:T200,V200:X200)</f>
        <v>0.46213541666666669</v>
      </c>
      <c r="AB200" s="23">
        <f t="shared" si="3"/>
        <v>0.45972253787878786</v>
      </c>
    </row>
    <row r="201" spans="1:28">
      <c r="A201" s="9">
        <v>43908</v>
      </c>
      <c r="B201" s="3"/>
      <c r="C201" s="3"/>
      <c r="D201" s="3"/>
      <c r="E201" s="3"/>
      <c r="F201" s="3"/>
      <c r="G201" s="19">
        <v>43908</v>
      </c>
      <c r="H201" s="20">
        <v>58.208333333333336</v>
      </c>
      <c r="I201" s="20">
        <v>80.291666666666686</v>
      </c>
      <c r="J201" s="20">
        <v>10.597916666666668</v>
      </c>
      <c r="K201" s="20">
        <v>0</v>
      </c>
      <c r="L201" s="20">
        <v>154.20833333333334</v>
      </c>
      <c r="M201" s="20">
        <v>1.2916666666666667</v>
      </c>
      <c r="N201" s="20">
        <v>0</v>
      </c>
      <c r="O201" s="20">
        <v>7.2729166666666663</v>
      </c>
      <c r="P201" s="10">
        <v>0.26643627566450007</v>
      </c>
      <c r="Q201" s="21">
        <v>0.36706250000000012</v>
      </c>
      <c r="R201" s="21">
        <v>0.47293750000000023</v>
      </c>
      <c r="S201" s="21">
        <v>0.53364583333333393</v>
      </c>
      <c r="T201" s="21">
        <v>0.54668749999999999</v>
      </c>
      <c r="U201" s="21">
        <v>0.52668750000000031</v>
      </c>
      <c r="V201" s="21">
        <v>0.41935416666666692</v>
      </c>
      <c r="W201" s="21">
        <v>0.42512500000000003</v>
      </c>
      <c r="X201" s="21">
        <v>0.36662499999999998</v>
      </c>
      <c r="Y201" s="21">
        <v>0.13641304347826094</v>
      </c>
      <c r="Z201" s="23">
        <f>AVERAGE(Q201,U201)</f>
        <v>0.44687500000000024</v>
      </c>
      <c r="AA201" s="23">
        <f>AVERAGE(R201:T201,V201:X201)</f>
        <v>0.46072916666666686</v>
      </c>
      <c r="AB201" s="23">
        <f t="shared" si="3"/>
        <v>0.45821022727272748</v>
      </c>
    </row>
    <row r="202" spans="1:28">
      <c r="A202" s="9">
        <v>43909</v>
      </c>
      <c r="B202" s="3"/>
      <c r="C202" s="3"/>
      <c r="D202" s="3"/>
      <c r="E202" s="3"/>
      <c r="F202" s="3"/>
      <c r="G202" s="19">
        <v>43909</v>
      </c>
      <c r="H202" s="20">
        <v>200.02083333333334</v>
      </c>
      <c r="I202" s="20">
        <v>56.233333333333327</v>
      </c>
      <c r="J202" s="20">
        <v>14.375000000000002</v>
      </c>
      <c r="K202" s="20">
        <v>0</v>
      </c>
      <c r="L202" s="20">
        <v>211.79166666666666</v>
      </c>
      <c r="M202" s="20">
        <v>6.395833333333333</v>
      </c>
      <c r="N202" s="20">
        <v>0.45833333333333331</v>
      </c>
      <c r="O202" s="20">
        <v>5.2916666666666661</v>
      </c>
      <c r="P202" s="10">
        <v>0.79642434573591825</v>
      </c>
      <c r="Q202" s="21">
        <v>0.36600000000000005</v>
      </c>
      <c r="R202" s="21">
        <v>0.47191666666666676</v>
      </c>
      <c r="S202" s="21">
        <v>0.53295833333333331</v>
      </c>
      <c r="T202" s="21">
        <v>0.54564583333333372</v>
      </c>
      <c r="U202" s="21">
        <v>0.52729166666666671</v>
      </c>
      <c r="V202" s="21">
        <v>0.41877083333333348</v>
      </c>
      <c r="W202" s="21">
        <v>0.42358333333333292</v>
      </c>
      <c r="X202" s="21">
        <v>0.36562499999999981</v>
      </c>
      <c r="Y202" s="21">
        <v>0.13535135135135129</v>
      </c>
      <c r="Z202" s="23">
        <f>AVERAGE(Q202,U202)</f>
        <v>0.44664583333333341</v>
      </c>
      <c r="AA202" s="23">
        <f>AVERAGE(R202:T202,V202:X202)</f>
        <v>0.45975000000000005</v>
      </c>
      <c r="AB202" s="23">
        <f t="shared" si="3"/>
        <v>0.45736742424242427</v>
      </c>
    </row>
    <row r="203" spans="1:28">
      <c r="A203" s="9">
        <v>43910</v>
      </c>
      <c r="B203" s="3"/>
      <c r="C203" s="3"/>
      <c r="D203" s="3"/>
      <c r="E203" s="3"/>
      <c r="F203" s="3"/>
      <c r="G203" s="19">
        <v>43910</v>
      </c>
      <c r="H203" s="20">
        <v>218.20833333333334</v>
      </c>
      <c r="I203" s="20">
        <v>65.079166666666666</v>
      </c>
      <c r="J203" s="20">
        <v>16.197916666666661</v>
      </c>
      <c r="K203" s="20">
        <v>0</v>
      </c>
      <c r="L203" s="20">
        <v>215.27083333333334</v>
      </c>
      <c r="M203" s="20">
        <v>10.3125</v>
      </c>
      <c r="N203" s="20">
        <v>1.2708333333333333</v>
      </c>
      <c r="O203" s="20">
        <v>9.2854166666666664</v>
      </c>
      <c r="P203" s="10">
        <v>0.73107550114578101</v>
      </c>
      <c r="Q203" s="21">
        <v>0.3675416666666666</v>
      </c>
      <c r="R203" s="21">
        <v>0.47443750000000023</v>
      </c>
      <c r="S203" s="21">
        <v>0.53568749999999998</v>
      </c>
      <c r="T203" s="21">
        <v>0.54666666666666675</v>
      </c>
      <c r="U203" s="21">
        <v>0.53035416666666635</v>
      </c>
      <c r="V203" s="21">
        <v>0.41968750000000027</v>
      </c>
      <c r="W203" s="21">
        <v>0.42316666666666652</v>
      </c>
      <c r="X203" s="21">
        <v>0.36441666666666689</v>
      </c>
      <c r="Y203" s="21">
        <v>0.13292592592592592</v>
      </c>
      <c r="Z203" s="23">
        <f>AVERAGE(Q203,U203)</f>
        <v>0.44894791666666645</v>
      </c>
      <c r="AA203" s="23">
        <f>AVERAGE(R203:T203,V203:X203)</f>
        <v>0.4606770833333334</v>
      </c>
      <c r="AB203" s="23">
        <f t="shared" si="3"/>
        <v>0.4585445075757576</v>
      </c>
    </row>
    <row r="204" spans="1:28">
      <c r="A204" s="9">
        <v>43911</v>
      </c>
      <c r="B204" s="3"/>
      <c r="C204" s="3"/>
      <c r="D204" s="3"/>
      <c r="E204" s="3"/>
      <c r="F204" s="3"/>
      <c r="G204" s="19">
        <v>43911</v>
      </c>
      <c r="H204" s="20">
        <v>212.6875</v>
      </c>
      <c r="I204" s="20">
        <v>53.683333333333358</v>
      </c>
      <c r="J204" s="20">
        <v>20.662500000000005</v>
      </c>
      <c r="K204" s="20">
        <v>0</v>
      </c>
      <c r="L204" s="20">
        <v>236.04166666666666</v>
      </c>
      <c r="M204" s="20">
        <v>17.083333333333332</v>
      </c>
      <c r="N204" s="20">
        <v>3.4166666666666665</v>
      </c>
      <c r="O204" s="20">
        <v>8.7895833333333346</v>
      </c>
      <c r="P204" s="10">
        <v>1.3736051176552639</v>
      </c>
      <c r="Q204" s="21">
        <v>0.36812499999999998</v>
      </c>
      <c r="R204" s="21">
        <v>0.4768750000000001</v>
      </c>
      <c r="S204" s="21">
        <v>0.5389166666666666</v>
      </c>
      <c r="T204" s="21">
        <v>0.54935416666666692</v>
      </c>
      <c r="U204" s="21">
        <v>0.53250000000000008</v>
      </c>
      <c r="V204" s="21">
        <v>0.41927083333333309</v>
      </c>
      <c r="W204" s="21">
        <v>0.42241666666666661</v>
      </c>
      <c r="X204" s="21">
        <v>0.36333333333333323</v>
      </c>
      <c r="Y204" s="21">
        <v>0.13020833333333334</v>
      </c>
      <c r="Z204" s="23">
        <f>AVERAGE(Q204,U204)</f>
        <v>0.4503125</v>
      </c>
      <c r="AA204" s="23">
        <f>AVERAGE(R204:T204,V204:X204)</f>
        <v>0.46169444444444441</v>
      </c>
      <c r="AB204" s="23">
        <f t="shared" si="3"/>
        <v>0.45962499999999995</v>
      </c>
    </row>
    <row r="205" spans="1:28">
      <c r="A205" s="9">
        <v>43912</v>
      </c>
      <c r="B205" s="3"/>
      <c r="C205" s="3"/>
      <c r="D205" s="3"/>
      <c r="E205" s="3"/>
      <c r="F205" s="3"/>
      <c r="G205" s="19">
        <v>43912</v>
      </c>
      <c r="H205" s="20">
        <v>198.20833333333334</v>
      </c>
      <c r="I205" s="20">
        <v>56.4</v>
      </c>
      <c r="J205" s="20">
        <v>20.291666666666668</v>
      </c>
      <c r="K205" s="20">
        <v>0</v>
      </c>
      <c r="L205" s="20">
        <v>247.625</v>
      </c>
      <c r="M205" s="20">
        <v>6.125</v>
      </c>
      <c r="N205" s="20">
        <v>0.6875</v>
      </c>
      <c r="O205" s="20">
        <v>10.772916666666667</v>
      </c>
      <c r="P205" s="10">
        <v>1.1580827919251051</v>
      </c>
      <c r="Q205" s="21">
        <v>0.36510416666666662</v>
      </c>
      <c r="R205" s="21">
        <v>0.47720833333333329</v>
      </c>
      <c r="S205" s="21">
        <v>0.54066666666666674</v>
      </c>
      <c r="T205" s="21">
        <v>0.55099999999999949</v>
      </c>
      <c r="U205" s="21">
        <v>0.53064583333333315</v>
      </c>
      <c r="V205" s="21">
        <v>0.4154166666666666</v>
      </c>
      <c r="W205" s="21">
        <v>0.42018749999999988</v>
      </c>
      <c r="X205" s="21">
        <v>0.36125000000000002</v>
      </c>
      <c r="Y205" s="21">
        <v>0.12662162162162161</v>
      </c>
      <c r="Z205" s="23">
        <f>AVERAGE(Q205,U205)</f>
        <v>0.44787499999999991</v>
      </c>
      <c r="AA205" s="23">
        <f>AVERAGE(R205:T205,V205:X205)</f>
        <v>0.460954861111111</v>
      </c>
      <c r="AB205" s="23">
        <f t="shared" si="3"/>
        <v>0.45857670454545441</v>
      </c>
    </row>
    <row r="206" spans="1:28">
      <c r="A206" s="9">
        <v>43913</v>
      </c>
      <c r="B206" s="3"/>
      <c r="C206" s="3"/>
      <c r="D206" s="3"/>
      <c r="E206" s="3"/>
      <c r="F206" s="3"/>
      <c r="G206" s="19">
        <v>43913</v>
      </c>
      <c r="H206" s="20">
        <v>109.5625</v>
      </c>
      <c r="I206" s="20">
        <v>69.549999999999983</v>
      </c>
      <c r="J206" s="20">
        <v>16.645833333333325</v>
      </c>
      <c r="K206" s="20">
        <v>0</v>
      </c>
      <c r="L206" s="20">
        <v>227.83333333333334</v>
      </c>
      <c r="M206" s="20">
        <v>8.6875</v>
      </c>
      <c r="N206" s="20">
        <v>1.3125</v>
      </c>
      <c r="O206" s="20">
        <v>10.916666666666666</v>
      </c>
      <c r="P206" s="10">
        <v>0.6089704374276802</v>
      </c>
      <c r="Q206" s="21">
        <v>0.35916666666666658</v>
      </c>
      <c r="R206" s="21">
        <v>0.47614583333333343</v>
      </c>
      <c r="S206" s="21">
        <v>0.54104166666666642</v>
      </c>
      <c r="T206" s="21">
        <v>0.55302083333333385</v>
      </c>
      <c r="U206" s="21">
        <v>0.52527083333333346</v>
      </c>
      <c r="V206" s="21">
        <v>0.41027083333333331</v>
      </c>
      <c r="W206" s="21">
        <v>0.41781249999999998</v>
      </c>
      <c r="X206" s="21">
        <v>0.35933333333333345</v>
      </c>
      <c r="Y206" s="21">
        <v>0.12351724137931036</v>
      </c>
      <c r="Z206" s="23">
        <f>AVERAGE(Q206,U206)</f>
        <v>0.44221874999999999</v>
      </c>
      <c r="AA206" s="23">
        <f>AVERAGE(R206:T206,V206:X206)</f>
        <v>0.45960416666666676</v>
      </c>
      <c r="AB206" s="23">
        <f t="shared" si="3"/>
        <v>0.45644318181818189</v>
      </c>
    </row>
    <row r="207" spans="1:28">
      <c r="A207" s="9">
        <v>43914</v>
      </c>
      <c r="B207" s="3"/>
      <c r="C207" s="3"/>
      <c r="D207" s="3"/>
      <c r="E207" s="3"/>
      <c r="F207" s="3"/>
      <c r="G207" s="19">
        <v>43914</v>
      </c>
      <c r="H207" s="20">
        <v>187.66666666666666</v>
      </c>
      <c r="I207" s="20">
        <v>73.204166666666666</v>
      </c>
      <c r="J207" s="20">
        <v>16.339583333333334</v>
      </c>
      <c r="K207" s="20">
        <v>0</v>
      </c>
      <c r="L207" s="20">
        <v>214.125</v>
      </c>
      <c r="M207" s="20">
        <v>10.4375</v>
      </c>
      <c r="N207" s="20">
        <v>2.2708333333333335</v>
      </c>
      <c r="O207" s="20">
        <v>11.154166666666669</v>
      </c>
      <c r="P207" s="10">
        <v>0.5867426070356152</v>
      </c>
      <c r="Q207" s="21">
        <v>0.35025000000000023</v>
      </c>
      <c r="R207" s="21">
        <v>0.47066666666666684</v>
      </c>
      <c r="S207" s="21">
        <v>0.53770833333333368</v>
      </c>
      <c r="T207" s="21">
        <v>0.55204166666666621</v>
      </c>
      <c r="U207" s="21">
        <v>0.51687499999999986</v>
      </c>
      <c r="V207" s="21">
        <v>0.40358333333333296</v>
      </c>
      <c r="W207" s="21">
        <v>0.41416666666666702</v>
      </c>
      <c r="X207" s="21">
        <v>0.35725000000000001</v>
      </c>
      <c r="Y207" s="21">
        <v>0.12160000000000001</v>
      </c>
      <c r="Z207" s="23">
        <f>AVERAGE(Q207,U207)</f>
        <v>0.43356250000000007</v>
      </c>
      <c r="AA207" s="23">
        <f>AVERAGE(R207:T207,V207:X207)</f>
        <v>0.45590277777777782</v>
      </c>
      <c r="AB207" s="23">
        <f t="shared" si="3"/>
        <v>0.45184090909090918</v>
      </c>
    </row>
    <row r="208" spans="1:28">
      <c r="A208" s="9">
        <v>43915</v>
      </c>
      <c r="B208" s="3"/>
      <c r="C208" s="3"/>
      <c r="D208" s="3"/>
      <c r="E208" s="3"/>
      <c r="F208" s="3"/>
      <c r="G208" s="19">
        <v>43915</v>
      </c>
      <c r="H208" s="20">
        <v>197.75</v>
      </c>
      <c r="I208" s="20">
        <v>69.799999999999983</v>
      </c>
      <c r="J208" s="20">
        <v>18.739583333333329</v>
      </c>
      <c r="K208" s="20">
        <v>0</v>
      </c>
      <c r="L208" s="20">
        <v>234.35416666666666</v>
      </c>
      <c r="M208" s="20">
        <v>16.354166666666668</v>
      </c>
      <c r="N208" s="20">
        <v>3.0208333333333335</v>
      </c>
      <c r="O208" s="20">
        <v>12.710416666666667</v>
      </c>
      <c r="P208" s="10">
        <v>0.72397141150127553</v>
      </c>
      <c r="Q208" s="21">
        <v>0.34418750000000015</v>
      </c>
      <c r="R208" s="21">
        <v>0.46712500000000018</v>
      </c>
      <c r="S208" s="21">
        <v>0.53579166666666656</v>
      </c>
      <c r="T208" s="21">
        <v>0.55075000000000029</v>
      </c>
      <c r="U208" s="21">
        <v>0.51143750000000021</v>
      </c>
      <c r="V208" s="21">
        <v>0.39656249999999993</v>
      </c>
      <c r="W208" s="21">
        <v>0.40916666666666646</v>
      </c>
      <c r="X208" s="21">
        <v>0.35393750000000007</v>
      </c>
      <c r="Y208" s="21">
        <v>0.1202222222222222</v>
      </c>
      <c r="Z208" s="23">
        <f>AVERAGE(Q208,U208)</f>
        <v>0.42781250000000015</v>
      </c>
      <c r="AA208" s="23">
        <f>AVERAGE(R208:T208,V208:X208)</f>
        <v>0.45222222222222225</v>
      </c>
      <c r="AB208" s="23">
        <f t="shared" si="3"/>
        <v>0.44778409090909099</v>
      </c>
    </row>
    <row r="209" spans="1:28">
      <c r="A209" s="9">
        <v>43916</v>
      </c>
      <c r="B209" s="3"/>
      <c r="C209" s="3"/>
      <c r="D209" s="3"/>
      <c r="E209" s="3"/>
      <c r="F209" s="3"/>
      <c r="G209" s="19">
        <v>43916</v>
      </c>
      <c r="H209" s="20">
        <v>211.9375</v>
      </c>
      <c r="I209" s="20">
        <v>67.260416666666671</v>
      </c>
      <c r="J209" s="20">
        <v>19.854166666666661</v>
      </c>
      <c r="K209" s="20">
        <v>0</v>
      </c>
      <c r="L209" s="20">
        <v>235.75</v>
      </c>
      <c r="M209" s="20">
        <v>11.958333333333334</v>
      </c>
      <c r="N209" s="20">
        <v>1.375</v>
      </c>
      <c r="O209" s="20">
        <v>13.066666666666665</v>
      </c>
      <c r="P209" s="10">
        <v>0.87978841168709421</v>
      </c>
      <c r="Q209" s="21">
        <v>0.33683333333333337</v>
      </c>
      <c r="R209" s="21">
        <v>0.46304166666666652</v>
      </c>
      <c r="S209" s="21">
        <v>0.53400000000000014</v>
      </c>
      <c r="T209" s="21">
        <v>0.55041666666666678</v>
      </c>
      <c r="U209" s="21">
        <v>0.50462499999999999</v>
      </c>
      <c r="V209" s="21">
        <v>0.38814583333333319</v>
      </c>
      <c r="W209" s="21">
        <v>0.40325000000000011</v>
      </c>
      <c r="X209" s="21">
        <v>0.3501875000000001</v>
      </c>
      <c r="Y209" s="21">
        <v>0.11866666666666664</v>
      </c>
      <c r="Z209" s="23">
        <f>AVERAGE(Q209,U209)</f>
        <v>0.42072916666666671</v>
      </c>
      <c r="AA209" s="23">
        <f>AVERAGE(R209:T209,V209:X209)</f>
        <v>0.44817361111111115</v>
      </c>
      <c r="AB209" s="23">
        <f t="shared" si="3"/>
        <v>0.4431837121212121</v>
      </c>
    </row>
    <row r="210" spans="1:28">
      <c r="A210" s="9">
        <v>43917</v>
      </c>
      <c r="B210" s="3"/>
      <c r="C210" s="3"/>
      <c r="D210" s="3"/>
      <c r="E210" s="3"/>
      <c r="F210" s="3"/>
      <c r="G210" s="19">
        <v>43917</v>
      </c>
      <c r="H210" s="20">
        <v>155.77083333333334</v>
      </c>
      <c r="I210" s="20">
        <v>70.056249999999991</v>
      </c>
      <c r="J210" s="20">
        <v>19.152083333333334</v>
      </c>
      <c r="K210" s="20">
        <v>0</v>
      </c>
      <c r="L210" s="20">
        <v>223.29166666666666</v>
      </c>
      <c r="M210" s="20">
        <v>9.7916666666666661</v>
      </c>
      <c r="N210" s="20">
        <v>1.25</v>
      </c>
      <c r="O210" s="20">
        <v>13.277083333333335</v>
      </c>
      <c r="P210" s="10">
        <v>0.7286982166919812</v>
      </c>
      <c r="Q210" s="21">
        <v>0.32874999999999982</v>
      </c>
      <c r="R210" s="21">
        <v>0.45816666666666633</v>
      </c>
      <c r="S210" s="21">
        <v>0.53135416666666679</v>
      </c>
      <c r="T210" s="21">
        <v>0.54947916666666696</v>
      </c>
      <c r="U210" s="21">
        <v>0.49706250000000002</v>
      </c>
      <c r="V210" s="21">
        <v>0.37933333333333324</v>
      </c>
      <c r="W210" s="21">
        <v>0.39620833333333333</v>
      </c>
      <c r="X210" s="21">
        <v>0.34574999999999995</v>
      </c>
      <c r="Y210" s="21">
        <v>0.11686486486486486</v>
      </c>
      <c r="Z210" s="23">
        <f>AVERAGE(Q210,U210)</f>
        <v>0.41290624999999992</v>
      </c>
      <c r="AA210" s="23">
        <f>AVERAGE(R210:T210,V210:X210)</f>
        <v>0.44338194444444445</v>
      </c>
      <c r="AB210" s="23">
        <f t="shared" si="3"/>
        <v>0.43784090909090911</v>
      </c>
    </row>
    <row r="211" spans="1:28">
      <c r="A211" s="9">
        <v>43918</v>
      </c>
      <c r="B211" s="3"/>
      <c r="C211" s="3"/>
      <c r="D211" s="3"/>
      <c r="E211" s="3"/>
      <c r="F211" s="3"/>
      <c r="G211" s="19">
        <v>43918</v>
      </c>
      <c r="H211" s="20">
        <v>23.875</v>
      </c>
      <c r="I211" s="20">
        <v>88.916666666666671</v>
      </c>
      <c r="J211" s="20">
        <v>10.208333333333334</v>
      </c>
      <c r="K211" s="20">
        <v>1.5999999999999999</v>
      </c>
      <c r="L211" s="20">
        <v>227.375</v>
      </c>
      <c r="M211" s="20">
        <v>8.7291666666666661</v>
      </c>
      <c r="N211" s="20">
        <v>0.97916666666666663</v>
      </c>
      <c r="O211" s="20">
        <v>8.4229166666666657</v>
      </c>
      <c r="P211" s="10">
        <v>0.1472783696682271</v>
      </c>
      <c r="Q211" s="21">
        <v>0.31916666666666671</v>
      </c>
      <c r="R211" s="21">
        <v>0.45047916666666671</v>
      </c>
      <c r="S211" s="21">
        <v>0.52654166666666646</v>
      </c>
      <c r="T211" s="21">
        <v>0.54739583333333341</v>
      </c>
      <c r="U211" s="21">
        <v>0.4856458333333335</v>
      </c>
      <c r="V211" s="21">
        <v>0.37212500000000026</v>
      </c>
      <c r="W211" s="21">
        <v>0.39137500000000003</v>
      </c>
      <c r="X211" s="21">
        <v>0.34264583333333354</v>
      </c>
      <c r="Y211" s="21">
        <v>0.11311111111111115</v>
      </c>
      <c r="Z211" s="23">
        <f>AVERAGE(Q211,U211)</f>
        <v>0.40240625000000008</v>
      </c>
      <c r="AA211" s="23">
        <f>AVERAGE(R211:T211,V211:X211)</f>
        <v>0.43842708333333341</v>
      </c>
      <c r="AB211" s="23">
        <f t="shared" si="3"/>
        <v>0.43187784090909104</v>
      </c>
    </row>
    <row r="212" spans="1:28">
      <c r="A212" s="9">
        <v>43919</v>
      </c>
      <c r="B212" s="3"/>
      <c r="C212" s="3"/>
      <c r="D212" s="3"/>
      <c r="E212" s="3"/>
      <c r="F212" s="3"/>
      <c r="G212" s="19">
        <v>43919</v>
      </c>
      <c r="H212" s="20">
        <v>42.583333333333336</v>
      </c>
      <c r="I212" s="20">
        <v>91.610416666666652</v>
      </c>
      <c r="J212" s="20">
        <v>7.6729166666666666</v>
      </c>
      <c r="K212" s="20">
        <v>1.7999999999999998</v>
      </c>
      <c r="L212" s="20">
        <v>231.54166666666666</v>
      </c>
      <c r="M212" s="20">
        <v>4.041666666666667</v>
      </c>
      <c r="N212" s="20">
        <v>8.3333333333333329E-2</v>
      </c>
      <c r="O212" s="20">
        <v>6.3645833333333313</v>
      </c>
      <c r="P212" s="10">
        <v>9.1826790560749882E-2</v>
      </c>
      <c r="Q212" s="21">
        <v>0.31327083333333344</v>
      </c>
      <c r="R212" s="21">
        <v>0.44097916666666664</v>
      </c>
      <c r="S212" s="21">
        <v>0.51874999999999993</v>
      </c>
      <c r="T212" s="21">
        <v>0.54281250000000003</v>
      </c>
      <c r="U212" s="21">
        <v>0.47400000000000014</v>
      </c>
      <c r="V212" s="21">
        <v>0.36804166666666666</v>
      </c>
      <c r="W212" s="21">
        <v>0.38887499999999992</v>
      </c>
      <c r="X212" s="21">
        <v>0.34170833333333323</v>
      </c>
      <c r="Y212" s="21">
        <v>0.12447916666666665</v>
      </c>
      <c r="Z212" s="23">
        <f>AVERAGE(Q212,U212)</f>
        <v>0.39363541666666679</v>
      </c>
      <c r="AA212" s="23">
        <f>AVERAGE(R212:T212,V212:X212)</f>
        <v>0.43352777777777773</v>
      </c>
      <c r="AB212" s="23">
        <f t="shared" si="3"/>
        <v>0.42627462121212123</v>
      </c>
    </row>
    <row r="213" spans="1:28">
      <c r="A213" s="9">
        <v>43920</v>
      </c>
      <c r="B213" s="3"/>
      <c r="C213" s="3"/>
      <c r="D213" s="3"/>
      <c r="E213" s="3"/>
      <c r="F213" s="3"/>
      <c r="G213" s="19">
        <v>43920</v>
      </c>
      <c r="H213" s="20">
        <v>76.8125</v>
      </c>
      <c r="I213" s="20">
        <v>86.093749999999986</v>
      </c>
      <c r="J213" s="20">
        <v>8.9374999999999982</v>
      </c>
      <c r="K213" s="20">
        <v>0.2</v>
      </c>
      <c r="L213" s="20">
        <v>232.08333333333334</v>
      </c>
      <c r="M213" s="20">
        <v>5.770833333333333</v>
      </c>
      <c r="N213" s="20">
        <v>0.125</v>
      </c>
      <c r="O213" s="20">
        <v>6.6625000000000005</v>
      </c>
      <c r="P213" s="10">
        <v>0.17520703755611602</v>
      </c>
      <c r="Q213" s="21">
        <v>0.31006249999999974</v>
      </c>
      <c r="R213" s="21">
        <v>0.43395833333333295</v>
      </c>
      <c r="S213" s="21">
        <v>0.51181250000000056</v>
      </c>
      <c r="T213" s="21">
        <v>0.53695833333333354</v>
      </c>
      <c r="U213" s="21">
        <v>0.46700000000000008</v>
      </c>
      <c r="V213" s="21">
        <v>0.36358333333333337</v>
      </c>
      <c r="W213" s="21">
        <v>0.38533333333333314</v>
      </c>
      <c r="X213" s="21">
        <v>0.33906249999999982</v>
      </c>
      <c r="Y213" s="21">
        <v>0.12425000000000001</v>
      </c>
      <c r="Z213" s="23">
        <f>AVERAGE(Q213,U213)</f>
        <v>0.38853124999999988</v>
      </c>
      <c r="AA213" s="23">
        <f>AVERAGE(R213:T213,V213:X213)</f>
        <v>0.42845138888888895</v>
      </c>
      <c r="AB213" s="23">
        <f t="shared" si="3"/>
        <v>0.42119318181818188</v>
      </c>
    </row>
    <row r="214" spans="1:28">
      <c r="A214" s="9">
        <v>43921</v>
      </c>
      <c r="B214" s="3"/>
      <c r="C214" s="3"/>
      <c r="D214" s="3"/>
      <c r="E214" s="3"/>
      <c r="F214" s="3"/>
      <c r="G214" s="19">
        <v>43921</v>
      </c>
      <c r="H214" s="20">
        <v>234.125</v>
      </c>
      <c r="I214" s="20">
        <v>67.722916666666677</v>
      </c>
      <c r="J214" s="20">
        <v>14.160416666666665</v>
      </c>
      <c r="K214" s="20">
        <v>0</v>
      </c>
      <c r="L214" s="20">
        <v>198.64583333333334</v>
      </c>
      <c r="M214" s="20">
        <v>5.416666666666667</v>
      </c>
      <c r="N214" s="20">
        <v>0.41666666666666669</v>
      </c>
      <c r="O214" s="20">
        <v>7.625</v>
      </c>
      <c r="P214" s="10">
        <v>0.66547207780281026</v>
      </c>
      <c r="Q214" s="21">
        <v>0.3074166666666665</v>
      </c>
      <c r="R214" s="21">
        <v>0.42912500000000003</v>
      </c>
      <c r="S214" s="21">
        <v>0.5069583333333334</v>
      </c>
      <c r="T214" s="21">
        <v>0.5314374999999999</v>
      </c>
      <c r="U214" s="21">
        <v>0.46377083333333297</v>
      </c>
      <c r="V214" s="21">
        <v>0.35918749999999994</v>
      </c>
      <c r="W214" s="21">
        <v>0.3801250000000001</v>
      </c>
      <c r="X214" s="21">
        <v>0.33495833333333364</v>
      </c>
      <c r="Y214" s="21">
        <v>0.12029729729729734</v>
      </c>
      <c r="Z214" s="23">
        <f>AVERAGE(Q214,U214)</f>
        <v>0.38559374999999974</v>
      </c>
      <c r="AA214" s="23">
        <f>AVERAGE(R214:T214,V214:X214)</f>
        <v>0.42363194444444452</v>
      </c>
      <c r="AB214" s="23">
        <f t="shared" si="3"/>
        <v>0.41671590909090905</v>
      </c>
    </row>
    <row r="215" spans="1:28">
      <c r="A215" s="9">
        <v>43922</v>
      </c>
      <c r="B215" s="3"/>
      <c r="C215" s="3"/>
      <c r="D215" s="3"/>
      <c r="E215" s="3"/>
      <c r="F215" s="3"/>
      <c r="G215" s="19">
        <v>43922</v>
      </c>
      <c r="H215" s="20">
        <v>48.166666666666664</v>
      </c>
      <c r="I215" s="20">
        <v>85.752083333333317</v>
      </c>
      <c r="J215" s="20">
        <v>12.279166666666667</v>
      </c>
      <c r="K215" s="20">
        <v>0.4</v>
      </c>
      <c r="L215" s="20">
        <v>209.77083333333334</v>
      </c>
      <c r="M215" s="20">
        <v>5.958333333333333</v>
      </c>
      <c r="N215" s="20">
        <v>0.5625</v>
      </c>
      <c r="O215" s="20">
        <v>9.9208333333333343</v>
      </c>
      <c r="P215" s="10">
        <v>0.21057889176020972</v>
      </c>
      <c r="Q215" s="21">
        <v>0.30543750000000003</v>
      </c>
      <c r="R215" s="21">
        <v>0.42716666666666664</v>
      </c>
      <c r="S215" s="21">
        <v>0.50587500000000007</v>
      </c>
      <c r="T215" s="21">
        <v>0.52802083333333372</v>
      </c>
      <c r="U215" s="21">
        <v>0.46166666666666661</v>
      </c>
      <c r="V215" s="21">
        <v>0.35527083333333315</v>
      </c>
      <c r="W215" s="21">
        <v>0.37512499999999999</v>
      </c>
      <c r="X215" s="21">
        <v>0.33091666666666669</v>
      </c>
      <c r="Y215" s="21">
        <v>0.11695238095238089</v>
      </c>
      <c r="Z215" s="23">
        <f>AVERAGE(Q215,U215)</f>
        <v>0.38355208333333335</v>
      </c>
      <c r="AA215" s="23">
        <f>AVERAGE(R215:T215,V215:X215)</f>
        <v>0.42039583333333336</v>
      </c>
      <c r="AB215" s="23">
        <f t="shared" si="3"/>
        <v>0.41369696969696973</v>
      </c>
    </row>
    <row r="216" spans="1:28">
      <c r="A216" s="9">
        <v>43923</v>
      </c>
      <c r="B216" s="3"/>
      <c r="C216" s="3"/>
      <c r="D216" s="3"/>
      <c r="E216" s="3"/>
      <c r="F216" s="3"/>
      <c r="G216" s="19">
        <v>43923</v>
      </c>
      <c r="H216" s="20">
        <v>30.479166666666668</v>
      </c>
      <c r="I216" s="20">
        <v>95.21875</v>
      </c>
      <c r="J216" s="20">
        <v>10.74375</v>
      </c>
      <c r="K216" s="20">
        <v>1.9</v>
      </c>
      <c r="L216" s="20">
        <v>231.25</v>
      </c>
      <c r="M216" s="20">
        <v>5.333333333333333</v>
      </c>
      <c r="N216" s="20">
        <v>0.35416666666666669</v>
      </c>
      <c r="O216" s="20">
        <v>10.010416666666666</v>
      </c>
      <c r="P216" s="10">
        <v>6.3064634680728385E-2</v>
      </c>
      <c r="Q216" s="21">
        <v>0.30220833333333313</v>
      </c>
      <c r="R216" s="21">
        <v>0.42287500000000017</v>
      </c>
      <c r="S216" s="21">
        <v>0.50281249999999977</v>
      </c>
      <c r="T216" s="21">
        <v>0.52589583333333301</v>
      </c>
      <c r="U216" s="21">
        <v>0.45827083333333324</v>
      </c>
      <c r="V216" s="21">
        <v>0.35374999999999984</v>
      </c>
      <c r="W216" s="21">
        <v>0.37395833333333345</v>
      </c>
      <c r="X216" s="21">
        <v>0.32985416666666678</v>
      </c>
      <c r="Y216" s="21">
        <v>0.1158333333333333</v>
      </c>
      <c r="Z216" s="23">
        <f>AVERAGE(Q216,U216)</f>
        <v>0.38023958333333319</v>
      </c>
      <c r="AA216" s="23">
        <f>AVERAGE(R216:T216,V216:X216)</f>
        <v>0.41819097222222218</v>
      </c>
      <c r="AB216" s="23">
        <f t="shared" si="3"/>
        <v>0.41129071969696962</v>
      </c>
    </row>
    <row r="217" spans="1:28">
      <c r="A217" s="9">
        <v>43924</v>
      </c>
      <c r="B217" s="3"/>
      <c r="C217" s="3"/>
      <c r="D217" s="3"/>
      <c r="E217" s="3"/>
      <c r="F217" s="3"/>
      <c r="G217" s="19">
        <v>43924</v>
      </c>
      <c r="H217" s="20">
        <v>54.916666666666664</v>
      </c>
      <c r="I217" s="20">
        <v>92.175000000000011</v>
      </c>
      <c r="J217" s="20">
        <v>8.9312500000000004</v>
      </c>
      <c r="K217" s="20">
        <v>1</v>
      </c>
      <c r="L217" s="20">
        <v>205.02083333333334</v>
      </c>
      <c r="M217" s="20">
        <v>4.354166666666667</v>
      </c>
      <c r="N217" s="20">
        <v>6.25E-2</v>
      </c>
      <c r="O217" s="20">
        <v>7.6833333333333345</v>
      </c>
      <c r="P217" s="10">
        <v>9.7337113424867852E-2</v>
      </c>
      <c r="Q217" s="21">
        <v>0.2995833333333332</v>
      </c>
      <c r="R217" s="21">
        <v>0.41889583333333347</v>
      </c>
      <c r="S217" s="21">
        <v>0.49950000000000033</v>
      </c>
      <c r="T217" s="21">
        <v>0.52256249999999971</v>
      </c>
      <c r="U217" s="21">
        <v>0.4546041666666667</v>
      </c>
      <c r="V217" s="21">
        <v>0.35214583333333299</v>
      </c>
      <c r="W217" s="21">
        <v>0.37258333333333327</v>
      </c>
      <c r="X217" s="21">
        <v>0.32906249999999992</v>
      </c>
      <c r="Y217" s="21">
        <v>0.11580851063829782</v>
      </c>
      <c r="Z217" s="23">
        <f>AVERAGE(Q217,U217)</f>
        <v>0.37709374999999995</v>
      </c>
      <c r="AA217" s="23">
        <f>AVERAGE(R217:T217,V217:X217)</f>
        <v>0.41579166666666662</v>
      </c>
      <c r="AB217" s="23">
        <f t="shared" si="3"/>
        <v>0.40875568181818173</v>
      </c>
    </row>
    <row r="218" spans="1:28">
      <c r="A218" s="9">
        <v>43925</v>
      </c>
      <c r="B218" s="3"/>
      <c r="C218" s="3"/>
      <c r="D218" s="3"/>
      <c r="E218" s="3"/>
      <c r="F218" s="3"/>
      <c r="G218" s="19">
        <v>43925</v>
      </c>
      <c r="H218" s="20">
        <v>36.5</v>
      </c>
      <c r="I218" s="20">
        <v>89.304166666666674</v>
      </c>
      <c r="J218" s="20">
        <v>8.5333333333333368</v>
      </c>
      <c r="K218" s="20">
        <v>0</v>
      </c>
      <c r="L218" s="20">
        <v>195.54166666666666</v>
      </c>
      <c r="M218" s="20">
        <v>3.4375</v>
      </c>
      <c r="N218" s="20">
        <v>0</v>
      </c>
      <c r="O218" s="20">
        <v>6.8500000000000005</v>
      </c>
      <c r="P218" s="10">
        <v>0.12296387100042511</v>
      </c>
      <c r="Q218" s="21">
        <v>0.2969166666666665</v>
      </c>
      <c r="R218" s="21">
        <v>0.41470833333333323</v>
      </c>
      <c r="S218" s="21">
        <v>0.4956666666666667</v>
      </c>
      <c r="T218" s="21">
        <v>0.51902083333333338</v>
      </c>
      <c r="U218" s="21">
        <v>0.45068749999999985</v>
      </c>
      <c r="V218" s="21">
        <v>0.34958333333333336</v>
      </c>
      <c r="W218" s="21">
        <v>0.3703749999999999</v>
      </c>
      <c r="X218" s="21">
        <v>0.32718750000000019</v>
      </c>
      <c r="Y218" s="21">
        <v>0.11504166666666681</v>
      </c>
      <c r="Z218" s="23">
        <f>AVERAGE(Q218,U218)</f>
        <v>0.3738020833333332</v>
      </c>
      <c r="AA218" s="23">
        <f>AVERAGE(R218:T218,V218:X218)</f>
        <v>0.4127569444444445</v>
      </c>
      <c r="AB218" s="23">
        <f t="shared" si="3"/>
        <v>0.40567424242424244</v>
      </c>
    </row>
    <row r="219" spans="1:28">
      <c r="A219" s="9">
        <v>43926</v>
      </c>
      <c r="B219" s="3"/>
      <c r="C219" s="3"/>
      <c r="D219" s="3"/>
      <c r="E219" s="3"/>
      <c r="F219" s="3"/>
      <c r="G219" s="19">
        <v>43926</v>
      </c>
      <c r="H219" s="20">
        <v>28.5</v>
      </c>
      <c r="I219" s="20">
        <v>91.652083333333351</v>
      </c>
      <c r="J219" s="20">
        <v>8.25</v>
      </c>
      <c r="K219" s="20">
        <v>1.1000000000000001</v>
      </c>
      <c r="L219" s="20">
        <v>123.9375</v>
      </c>
      <c r="M219" s="20">
        <v>2.4583333333333335</v>
      </c>
      <c r="N219" s="20">
        <v>0</v>
      </c>
      <c r="O219" s="20">
        <v>6.95</v>
      </c>
      <c r="P219" s="10">
        <v>9.4597963732529378E-2</v>
      </c>
      <c r="Q219" s="21">
        <v>0.29450000000000015</v>
      </c>
      <c r="R219" s="21">
        <v>0.41058333333333308</v>
      </c>
      <c r="S219" s="21">
        <v>0.49200000000000005</v>
      </c>
      <c r="T219" s="21">
        <v>0.51510416666666681</v>
      </c>
      <c r="U219" s="21">
        <v>0.4476041666666663</v>
      </c>
      <c r="V219" s="21">
        <v>0.34764583333333327</v>
      </c>
      <c r="W219" s="21">
        <v>0.3687708333333331</v>
      </c>
      <c r="X219" s="21">
        <v>0.32554166666666634</v>
      </c>
      <c r="Y219" s="21">
        <v>0.11441666666666671</v>
      </c>
      <c r="Z219" s="23">
        <f>AVERAGE(Q219,U219)</f>
        <v>0.37105208333333323</v>
      </c>
      <c r="AA219" s="23">
        <f>AVERAGE(R219:T219,V219:X219)</f>
        <v>0.40994097222222209</v>
      </c>
      <c r="AB219" s="23">
        <f t="shared" si="3"/>
        <v>0.40287026515151508</v>
      </c>
    </row>
    <row r="220" spans="1:28">
      <c r="A220" s="9">
        <v>43927</v>
      </c>
      <c r="B220" s="3"/>
      <c r="C220" s="3"/>
      <c r="D220" s="3"/>
      <c r="E220" s="3"/>
      <c r="F220" s="3"/>
      <c r="G220" s="19">
        <v>43927</v>
      </c>
      <c r="H220" s="20">
        <v>58.208333333333336</v>
      </c>
      <c r="I220" s="20">
        <v>86.004166666666649</v>
      </c>
      <c r="J220" s="20">
        <v>9.2666666666666675</v>
      </c>
      <c r="K220" s="20">
        <v>0.2</v>
      </c>
      <c r="L220" s="20">
        <v>254.16666666666666</v>
      </c>
      <c r="M220" s="20">
        <v>2.125</v>
      </c>
      <c r="N220" s="20">
        <v>0</v>
      </c>
      <c r="O220" s="20">
        <v>6.9562499999999998</v>
      </c>
      <c r="P220" s="10">
        <v>0.17780428443086627</v>
      </c>
      <c r="Q220" s="21">
        <v>0.29349999999999987</v>
      </c>
      <c r="R220" s="21">
        <v>0.40714583333333332</v>
      </c>
      <c r="S220" s="21">
        <v>0.48868749999999977</v>
      </c>
      <c r="T220" s="21">
        <v>0.510625</v>
      </c>
      <c r="U220" s="21">
        <v>0.44535416666666688</v>
      </c>
      <c r="V220" s="21">
        <v>0.34579166666666672</v>
      </c>
      <c r="W220" s="21">
        <v>0.3668749999999999</v>
      </c>
      <c r="X220" s="21">
        <v>0.32331249999999973</v>
      </c>
      <c r="Y220" s="21">
        <v>0.11433333333333338</v>
      </c>
      <c r="Z220" s="23">
        <f>AVERAGE(Q220,U220)</f>
        <v>0.36942708333333341</v>
      </c>
      <c r="AA220" s="23">
        <f>AVERAGE(R220:T220,V220:X220)</f>
        <v>0.40707291666666662</v>
      </c>
      <c r="AB220" s="23">
        <f t="shared" si="3"/>
        <v>0.4002282196969697</v>
      </c>
    </row>
    <row r="221" spans="1:28">
      <c r="A221" s="9">
        <v>43928</v>
      </c>
      <c r="B221" s="3"/>
      <c r="C221" s="3"/>
      <c r="D221" s="3"/>
      <c r="E221" s="3"/>
      <c r="F221" s="3"/>
      <c r="G221" s="19">
        <v>43928</v>
      </c>
      <c r="H221" s="20">
        <v>81.583333333333329</v>
      </c>
      <c r="I221" s="20">
        <v>79.072916666666657</v>
      </c>
      <c r="J221" s="20">
        <v>10.839583333333335</v>
      </c>
      <c r="K221" s="20">
        <v>0.2</v>
      </c>
      <c r="L221" s="20">
        <v>167.10416666666666</v>
      </c>
      <c r="M221" s="20">
        <v>1.7916666666666667</v>
      </c>
      <c r="N221" s="20">
        <v>0</v>
      </c>
      <c r="O221" s="20">
        <v>7.1812499999999986</v>
      </c>
      <c r="P221" s="10">
        <v>0.29820034018092767</v>
      </c>
      <c r="Q221" s="21">
        <v>0.29233333333333328</v>
      </c>
      <c r="R221" s="21">
        <v>0.40404166666666669</v>
      </c>
      <c r="S221" s="21">
        <v>0.48581250000000004</v>
      </c>
      <c r="T221" s="21">
        <v>0.50660416666666663</v>
      </c>
      <c r="U221" s="21">
        <v>0.44414583333333341</v>
      </c>
      <c r="V221" s="21">
        <v>0.34316666666666684</v>
      </c>
      <c r="W221" s="21">
        <v>0.36347916666666685</v>
      </c>
      <c r="X221" s="21">
        <v>0.32054166666666695</v>
      </c>
      <c r="Y221" s="21">
        <v>0.11435416666666674</v>
      </c>
      <c r="Z221" s="23">
        <f>AVERAGE(Q221,U221)</f>
        <v>0.36823958333333334</v>
      </c>
      <c r="AA221" s="23">
        <f>AVERAGE(R221:T221,V221:X221)</f>
        <v>0.40394097222222242</v>
      </c>
      <c r="AB221" s="23">
        <f t="shared" si="3"/>
        <v>0.39744981060606077</v>
      </c>
    </row>
    <row r="222" spans="1:28">
      <c r="A222" s="9">
        <v>43929</v>
      </c>
      <c r="B222" s="3"/>
      <c r="C222" s="3"/>
      <c r="D222" s="3"/>
      <c r="E222" s="3"/>
      <c r="F222" s="3"/>
      <c r="G222" s="19">
        <v>43929</v>
      </c>
      <c r="H222" s="20">
        <v>45.270833333333336</v>
      </c>
      <c r="I222" s="20">
        <v>91.760416666666643</v>
      </c>
      <c r="J222" s="20">
        <v>10.627083333333333</v>
      </c>
      <c r="K222" s="20">
        <v>15.299999999999997</v>
      </c>
      <c r="L222" s="20">
        <v>187.27083333333334</v>
      </c>
      <c r="M222" s="20">
        <v>3.3958333333333335</v>
      </c>
      <c r="N222" s="20">
        <v>6.25E-2</v>
      </c>
      <c r="O222" s="20">
        <v>9.3083333333333318</v>
      </c>
      <c r="P222" s="10">
        <v>0.11101689694565332</v>
      </c>
      <c r="Q222" s="21">
        <v>0.30454166666666643</v>
      </c>
      <c r="R222" s="21">
        <v>0.4190416666666667</v>
      </c>
      <c r="S222" s="21">
        <v>0.4954583333333335</v>
      </c>
      <c r="T222" s="21">
        <v>0.52925</v>
      </c>
      <c r="U222" s="21">
        <v>0.47443750000000012</v>
      </c>
      <c r="V222" s="21">
        <v>0.37237499999999985</v>
      </c>
      <c r="W222" s="21">
        <v>0.36737500000000001</v>
      </c>
      <c r="X222" s="21">
        <v>0.31900000000000039</v>
      </c>
      <c r="Y222" s="21">
        <v>0.18454166666666671</v>
      </c>
      <c r="Z222" s="23">
        <f>AVERAGE(Q222,U222)</f>
        <v>0.38948958333333328</v>
      </c>
      <c r="AA222" s="23">
        <f>AVERAGE(R222:T222,V222:X222)</f>
        <v>0.41708333333333342</v>
      </c>
      <c r="AB222" s="23">
        <f t="shared" si="3"/>
        <v>0.41206628787878796</v>
      </c>
    </row>
    <row r="223" spans="1:28">
      <c r="A223" s="9">
        <v>43930</v>
      </c>
      <c r="B223" s="3"/>
      <c r="C223" s="3"/>
      <c r="D223" s="3"/>
      <c r="E223" s="3"/>
      <c r="F223" s="3"/>
      <c r="G223" s="19">
        <v>43930</v>
      </c>
      <c r="H223" s="20">
        <v>102.45833333333333</v>
      </c>
      <c r="I223" s="20">
        <v>88.972916666666677</v>
      </c>
      <c r="J223" s="20">
        <v>12.285416666666665</v>
      </c>
      <c r="K223" s="20">
        <v>0.60000000000000009</v>
      </c>
      <c r="L223" s="20">
        <v>237.02083333333334</v>
      </c>
      <c r="M223" s="20">
        <v>7.041666666666667</v>
      </c>
      <c r="N223" s="20">
        <v>0.95833333333333337</v>
      </c>
      <c r="O223" s="20">
        <v>10.454166666666667</v>
      </c>
      <c r="P223" s="10">
        <v>0.17464138557556907</v>
      </c>
      <c r="Q223" s="21">
        <v>0.30679166666666652</v>
      </c>
      <c r="R223" s="21">
        <v>0.41835416666666664</v>
      </c>
      <c r="S223" s="21">
        <v>0.49666666666666637</v>
      </c>
      <c r="T223" s="21">
        <v>0.53220833333333295</v>
      </c>
      <c r="U223" s="21">
        <v>0.48118750000000016</v>
      </c>
      <c r="V223" s="21">
        <v>0.37710416666666674</v>
      </c>
      <c r="W223" s="21">
        <v>0.37110416666666662</v>
      </c>
      <c r="X223" s="21">
        <v>0.3190208333333337</v>
      </c>
      <c r="Y223" s="21">
        <v>0.19074999999999998</v>
      </c>
      <c r="Z223" s="23">
        <f>AVERAGE(Q223,U223)</f>
        <v>0.39398958333333334</v>
      </c>
      <c r="AA223" s="23">
        <f>AVERAGE(R223:T223,V223:X223)</f>
        <v>0.41907638888888882</v>
      </c>
      <c r="AB223" s="23">
        <f t="shared" si="3"/>
        <v>0.4145151515151515</v>
      </c>
    </row>
    <row r="224" spans="1:28">
      <c r="A224" s="9">
        <v>43931</v>
      </c>
      <c r="B224" s="3"/>
      <c r="C224" s="3"/>
      <c r="D224" s="3"/>
      <c r="E224" s="3"/>
      <c r="F224" s="3"/>
      <c r="G224" s="19">
        <v>43931</v>
      </c>
      <c r="H224" s="20">
        <v>86.8125</v>
      </c>
      <c r="I224" s="20">
        <v>86.522916666666632</v>
      </c>
      <c r="J224" s="20">
        <v>16.291666666666668</v>
      </c>
      <c r="K224" s="20">
        <v>0.4</v>
      </c>
      <c r="L224" s="20">
        <v>227.45833333333334</v>
      </c>
      <c r="M224" s="20">
        <v>11.0625</v>
      </c>
      <c r="N224" s="20">
        <v>2.4791666666666665</v>
      </c>
      <c r="O224" s="20">
        <v>13.956250000000002</v>
      </c>
      <c r="P224" s="10">
        <v>0.27457361507661576</v>
      </c>
      <c r="Q224" s="21">
        <v>0.30639583333333326</v>
      </c>
      <c r="R224" s="21">
        <v>0.41727083333333342</v>
      </c>
      <c r="S224" s="21">
        <v>0.49622916666666655</v>
      </c>
      <c r="T224" s="21">
        <v>0.53027083333333347</v>
      </c>
      <c r="U224" s="21">
        <v>0.48212500000000008</v>
      </c>
      <c r="V224" s="21">
        <v>0.37341666666666656</v>
      </c>
      <c r="W224" s="21">
        <v>0.36968749999999978</v>
      </c>
      <c r="X224" s="21">
        <v>0.31879166666666681</v>
      </c>
      <c r="Y224" s="21">
        <v>0.18002499999999994</v>
      </c>
      <c r="Z224" s="23">
        <f>AVERAGE(Q224,U224)</f>
        <v>0.39426041666666667</v>
      </c>
      <c r="AA224" s="23">
        <f>AVERAGE(R224:T224,V224:X224)</f>
        <v>0.4176111111111111</v>
      </c>
      <c r="AB224" s="23">
        <f t="shared" si="3"/>
        <v>0.4133655303030303</v>
      </c>
    </row>
    <row r="225" spans="1:28">
      <c r="A225" s="9">
        <v>43932</v>
      </c>
      <c r="B225" s="3"/>
      <c r="C225" s="3"/>
      <c r="D225" s="3"/>
      <c r="E225" s="3"/>
      <c r="F225" s="3"/>
      <c r="G225" s="19">
        <v>43932</v>
      </c>
      <c r="H225" s="20">
        <v>151.41666666666666</v>
      </c>
      <c r="I225" s="20">
        <v>73.879166666666677</v>
      </c>
      <c r="J225" s="20">
        <v>15.300000000000002</v>
      </c>
      <c r="K225" s="20">
        <v>0</v>
      </c>
      <c r="L225" s="20">
        <v>219.83333333333334</v>
      </c>
      <c r="M225" s="20">
        <v>5.5625</v>
      </c>
      <c r="N225" s="20">
        <v>0.10416666666666667</v>
      </c>
      <c r="O225" s="20">
        <v>10.354166666666668</v>
      </c>
      <c r="P225" s="10">
        <v>0.5180901020978782</v>
      </c>
      <c r="Q225" s="21">
        <v>0.30531250000000004</v>
      </c>
      <c r="R225" s="21">
        <v>0.41672916666666654</v>
      </c>
      <c r="S225" s="21">
        <v>0.4967916666666663</v>
      </c>
      <c r="T225" s="21">
        <v>0.52908333333333279</v>
      </c>
      <c r="U225" s="21">
        <v>0.48202083333333362</v>
      </c>
      <c r="V225" s="21">
        <v>0.36685416666666687</v>
      </c>
      <c r="W225" s="21">
        <v>0.36789583333333326</v>
      </c>
      <c r="X225" s="21">
        <v>0.31820833333333337</v>
      </c>
      <c r="Y225" s="21">
        <v>0.16899999999999993</v>
      </c>
      <c r="Z225" s="23">
        <f>AVERAGE(Q225,U225)</f>
        <v>0.39366666666666683</v>
      </c>
      <c r="AA225" s="23">
        <f>AVERAGE(R225:T225,V225:X225)</f>
        <v>0.41592708333333311</v>
      </c>
      <c r="AB225" s="23">
        <f t="shared" si="3"/>
        <v>0.41187973484848472</v>
      </c>
    </row>
    <row r="226" spans="1:28">
      <c r="A226" s="9">
        <v>43933</v>
      </c>
      <c r="B226" s="3"/>
      <c r="C226" s="3"/>
      <c r="D226" s="3"/>
      <c r="E226" s="3"/>
      <c r="F226" s="3"/>
      <c r="G226" s="19">
        <v>43933</v>
      </c>
      <c r="H226" s="20">
        <v>172.33333333333334</v>
      </c>
      <c r="I226" s="20">
        <v>65.637500000000003</v>
      </c>
      <c r="J226" s="20">
        <v>11.275</v>
      </c>
      <c r="K226" s="20">
        <v>2</v>
      </c>
      <c r="L226" s="20">
        <v>232.20833333333334</v>
      </c>
      <c r="M226" s="20">
        <v>8.75</v>
      </c>
      <c r="N226" s="20">
        <v>1.1041666666666667</v>
      </c>
      <c r="O226" s="20">
        <v>4.6250000000000009</v>
      </c>
      <c r="P226" s="10">
        <v>0.52069977790460897</v>
      </c>
      <c r="Q226" s="21">
        <v>0.29997916666666669</v>
      </c>
      <c r="R226" s="21">
        <v>0.41216666666666651</v>
      </c>
      <c r="S226" s="21">
        <v>0.49395833333333355</v>
      </c>
      <c r="T226" s="21">
        <v>0.52631250000000007</v>
      </c>
      <c r="U226" s="21">
        <v>0.47543749999999974</v>
      </c>
      <c r="V226" s="21">
        <v>0.35683333333333334</v>
      </c>
      <c r="W226" s="21">
        <v>0.3643958333333332</v>
      </c>
      <c r="X226" s="21">
        <v>0.31639583333333327</v>
      </c>
      <c r="Y226" s="21">
        <v>0.1573333333333333</v>
      </c>
      <c r="Z226" s="23">
        <f>AVERAGE(Q226,U226)</f>
        <v>0.38770833333333321</v>
      </c>
      <c r="AA226" s="23">
        <f>AVERAGE(R226:T226,V226:X226)</f>
        <v>0.41167708333333336</v>
      </c>
      <c r="AB226" s="23">
        <f t="shared" si="3"/>
        <v>0.40731912878787879</v>
      </c>
    </row>
    <row r="227" spans="1:28">
      <c r="A227" s="9">
        <v>43934</v>
      </c>
      <c r="B227" s="3"/>
      <c r="C227" s="3"/>
      <c r="D227" s="3"/>
      <c r="E227" s="3"/>
      <c r="F227" s="3"/>
      <c r="G227" s="19">
        <v>43934</v>
      </c>
      <c r="H227" s="20">
        <v>52.104166666666664</v>
      </c>
      <c r="I227" s="20">
        <v>68.037499999999994</v>
      </c>
      <c r="J227" s="20">
        <v>10.737499999999997</v>
      </c>
      <c r="K227" s="20">
        <v>0.2</v>
      </c>
      <c r="L227" s="20">
        <v>221.16666666666666</v>
      </c>
      <c r="M227" s="20">
        <v>4.729166666666667</v>
      </c>
      <c r="N227" s="20">
        <v>0.20833333333333334</v>
      </c>
      <c r="O227" s="20">
        <v>4.9375</v>
      </c>
      <c r="P227" s="10">
        <v>0.42331027632243123</v>
      </c>
      <c r="Q227" s="21">
        <v>0.29533333333333356</v>
      </c>
      <c r="R227" s="21">
        <v>0.4065833333333333</v>
      </c>
      <c r="S227" s="21">
        <v>0.48964583333333334</v>
      </c>
      <c r="T227" s="21">
        <v>0.52135416666666645</v>
      </c>
      <c r="U227" s="21">
        <v>0.46822916666666686</v>
      </c>
      <c r="V227" s="21">
        <v>0.34868749999999998</v>
      </c>
      <c r="W227" s="21">
        <v>0.36052083333333335</v>
      </c>
      <c r="X227" s="21">
        <v>0.31433333333333341</v>
      </c>
      <c r="Y227" s="21">
        <v>0.14747999999999994</v>
      </c>
      <c r="Z227" s="23">
        <f>AVERAGE(Q227,U227)</f>
        <v>0.38178125000000018</v>
      </c>
      <c r="AA227" s="23">
        <f>AVERAGE(R227:T227,V227:X227)</f>
        <v>0.40685416666666657</v>
      </c>
      <c r="AB227" s="23">
        <f t="shared" si="3"/>
        <v>0.40229545454545451</v>
      </c>
    </row>
    <row r="228" spans="1:28">
      <c r="A228" s="9">
        <v>43935</v>
      </c>
      <c r="B228" s="3"/>
      <c r="C228" s="3"/>
      <c r="D228" s="3"/>
      <c r="E228" s="3"/>
      <c r="F228" s="3"/>
      <c r="G228" s="19">
        <v>43935</v>
      </c>
      <c r="H228" s="20">
        <v>246.97916666666666</v>
      </c>
      <c r="I228" s="20">
        <v>64.67291666666668</v>
      </c>
      <c r="J228" s="20">
        <v>15.09375</v>
      </c>
      <c r="K228" s="20">
        <v>0</v>
      </c>
      <c r="L228" s="20">
        <v>232.75</v>
      </c>
      <c r="M228" s="20">
        <v>5.75</v>
      </c>
      <c r="N228" s="20">
        <v>0.45833333333333331</v>
      </c>
      <c r="O228" s="20">
        <v>7.7687500000000007</v>
      </c>
      <c r="P228" s="10">
        <v>0.77634030237338536</v>
      </c>
      <c r="Q228" s="21">
        <v>0.29212500000000002</v>
      </c>
      <c r="R228" s="21">
        <v>0.40131249999999996</v>
      </c>
      <c r="S228" s="21">
        <v>0.48522916666666704</v>
      </c>
      <c r="T228" s="21">
        <v>0.51604166666666706</v>
      </c>
      <c r="U228" s="21">
        <v>0.4620416666666663</v>
      </c>
      <c r="V228" s="21">
        <v>0.34349999999999986</v>
      </c>
      <c r="W228" s="21">
        <v>0.35668749999999977</v>
      </c>
      <c r="X228" s="21">
        <v>0.31191666666666668</v>
      </c>
      <c r="Y228" s="21">
        <v>0.14437209302325579</v>
      </c>
      <c r="Z228" s="23">
        <f>AVERAGE(Q228,U228)</f>
        <v>0.37708333333333316</v>
      </c>
      <c r="AA228" s="23">
        <f>AVERAGE(R228:T228,V228:X228)</f>
        <v>0.40244791666666679</v>
      </c>
      <c r="AB228" s="23">
        <f t="shared" si="3"/>
        <v>0.39783617424242435</v>
      </c>
    </row>
    <row r="229" spans="1:28">
      <c r="A229" s="9">
        <v>43936</v>
      </c>
      <c r="B229" s="3">
        <v>612.53847328530458</v>
      </c>
      <c r="C229" s="3">
        <v>431.87524599052591</v>
      </c>
      <c r="D229" s="3">
        <v>443.9550870406419</v>
      </c>
      <c r="E229" s="3">
        <v>419.11531616125529</v>
      </c>
      <c r="F229" s="3">
        <v>323.27802858769661</v>
      </c>
      <c r="G229" s="19">
        <v>43936</v>
      </c>
      <c r="H229" s="20">
        <v>241.58333333333334</v>
      </c>
      <c r="I229" s="20">
        <v>64.925000000000026</v>
      </c>
      <c r="J229" s="20">
        <v>18.835416666666667</v>
      </c>
      <c r="K229" s="20">
        <v>0</v>
      </c>
      <c r="L229" s="20">
        <v>223.04166666666666</v>
      </c>
      <c r="M229" s="20">
        <v>11.145833333333334</v>
      </c>
      <c r="N229" s="20">
        <v>1.3958333333333333</v>
      </c>
      <c r="O229" s="20">
        <v>11.76041666666667</v>
      </c>
      <c r="P229" s="10">
        <v>0.87846752659360272</v>
      </c>
      <c r="Q229" s="21">
        <v>0.29035416666666658</v>
      </c>
      <c r="R229" s="21">
        <v>0.39912499999999995</v>
      </c>
      <c r="S229" s="21">
        <v>0.48414583333333355</v>
      </c>
      <c r="T229" s="21">
        <v>0.51093749999999993</v>
      </c>
      <c r="U229" s="21">
        <v>0.45841666666666697</v>
      </c>
      <c r="V229" s="21">
        <v>0.33935416666666662</v>
      </c>
      <c r="W229" s="21">
        <v>0.35241666666666666</v>
      </c>
      <c r="X229" s="21">
        <v>0.30877083333333333</v>
      </c>
      <c r="Y229" s="21">
        <v>0.13809523809523808</v>
      </c>
      <c r="Z229" s="23">
        <f>AVERAGE(Q229,U229)</f>
        <v>0.3743854166666668</v>
      </c>
      <c r="AA229" s="23">
        <f>AVERAGE(R229:T229,V229:X229)</f>
        <v>0.39912500000000001</v>
      </c>
      <c r="AB229" s="23">
        <f t="shared" si="3"/>
        <v>0.39462689393939399</v>
      </c>
    </row>
    <row r="230" spans="1:28">
      <c r="A230" s="9">
        <v>43937</v>
      </c>
      <c r="B230" s="3">
        <v>572.83331022587822</v>
      </c>
      <c r="C230" s="3">
        <v>398.9527666231055</v>
      </c>
      <c r="D230" s="3">
        <v>381.22715528770561</v>
      </c>
      <c r="E230" s="3">
        <v>390.47930023008115</v>
      </c>
      <c r="F230" s="3">
        <v>308.38890143435032</v>
      </c>
      <c r="G230" s="19">
        <v>43937</v>
      </c>
      <c r="H230" s="20">
        <v>209.08333333333334</v>
      </c>
      <c r="I230" s="20">
        <v>71.245833333333323</v>
      </c>
      <c r="J230" s="20">
        <v>20.383333333333336</v>
      </c>
      <c r="K230" s="20">
        <v>0</v>
      </c>
      <c r="L230" s="20">
        <v>238.52083333333334</v>
      </c>
      <c r="M230" s="20">
        <v>12</v>
      </c>
      <c r="N230" s="20">
        <v>1.9583333333333333</v>
      </c>
      <c r="O230" s="20">
        <v>14.577083333333327</v>
      </c>
      <c r="P230" s="10">
        <v>0.8120170496059621</v>
      </c>
      <c r="Q230" s="21">
        <v>0.28672916666666687</v>
      </c>
      <c r="R230" s="21">
        <v>0.39714583333333336</v>
      </c>
      <c r="S230" s="21">
        <v>0.4838541666666667</v>
      </c>
      <c r="T230" s="21">
        <v>0.50595833333333318</v>
      </c>
      <c r="U230" s="21">
        <v>0.45395833333333374</v>
      </c>
      <c r="V230" s="21">
        <v>0.33631250000000007</v>
      </c>
      <c r="W230" s="21">
        <v>0.34916666666666668</v>
      </c>
      <c r="X230" s="21">
        <v>0.30589583333333337</v>
      </c>
      <c r="Y230" s="21">
        <v>0.13222580645161292</v>
      </c>
      <c r="Z230" s="23">
        <f>AVERAGE(Q230,U230)</f>
        <v>0.3703437500000003</v>
      </c>
      <c r="AA230" s="23">
        <f>AVERAGE(R230:T230,V230:X230)</f>
        <v>0.3963888888888889</v>
      </c>
      <c r="AB230" s="23">
        <f t="shared" si="3"/>
        <v>0.39165340909090918</v>
      </c>
    </row>
    <row r="231" spans="1:28">
      <c r="A231" s="9">
        <v>43938</v>
      </c>
      <c r="B231" s="3">
        <v>593.1147477214646</v>
      </c>
      <c r="C231" s="3">
        <v>390.18286957028607</v>
      </c>
      <c r="D231" s="3">
        <v>370.38872073828151</v>
      </c>
      <c r="E231" s="3">
        <v>374.26661810917227</v>
      </c>
      <c r="F231" s="3">
        <v>308.05133683454977</v>
      </c>
      <c r="G231" s="19">
        <v>43938</v>
      </c>
      <c r="H231" s="20">
        <v>189.27083333333334</v>
      </c>
      <c r="I231" s="20">
        <v>72.914583333333312</v>
      </c>
      <c r="J231" s="20">
        <v>20.775000000000006</v>
      </c>
      <c r="K231" s="20">
        <v>0</v>
      </c>
      <c r="L231" s="20">
        <v>239.10416666666666</v>
      </c>
      <c r="M231" s="20">
        <v>12.104166666666666</v>
      </c>
      <c r="N231" s="20">
        <v>2.375</v>
      </c>
      <c r="O231" s="20">
        <v>15.443749999999996</v>
      </c>
      <c r="P231" s="10">
        <v>0.73545626119869623</v>
      </c>
      <c r="Q231" s="21">
        <v>0.28233333333333305</v>
      </c>
      <c r="R231" s="21">
        <v>0.39441666666666664</v>
      </c>
      <c r="S231" s="21">
        <v>0.48291666666666683</v>
      </c>
      <c r="T231" s="21">
        <v>0.50010416666666657</v>
      </c>
      <c r="U231" s="21">
        <v>0.44910416666666636</v>
      </c>
      <c r="V231" s="21">
        <v>0.33337499999999998</v>
      </c>
      <c r="W231" s="21">
        <v>0.34608333333333324</v>
      </c>
      <c r="X231" s="21">
        <v>0.30320833333333341</v>
      </c>
      <c r="Y231" s="21">
        <v>0.12718181818181815</v>
      </c>
      <c r="Z231" s="23">
        <f>AVERAGE(Q231,U231)</f>
        <v>0.3657187499999997</v>
      </c>
      <c r="AA231" s="23">
        <f>AVERAGE(R231:T231,V231:X231)</f>
        <v>0.39335069444444448</v>
      </c>
      <c r="AB231" s="23">
        <f t="shared" si="3"/>
        <v>0.38832670454545448</v>
      </c>
    </row>
    <row r="232" spans="1:28">
      <c r="A232" s="9">
        <v>43939</v>
      </c>
      <c r="B232" s="3">
        <v>622.59204437719131</v>
      </c>
      <c r="C232" s="3">
        <v>391.68837017498538</v>
      </c>
      <c r="D232" s="3">
        <v>404.48915176377409</v>
      </c>
      <c r="E232" s="3">
        <v>376.41540402354769</v>
      </c>
      <c r="F232" s="3">
        <v>300.87959820101031</v>
      </c>
      <c r="G232" s="19">
        <v>43939</v>
      </c>
      <c r="H232" s="20">
        <v>176.41666666666666</v>
      </c>
      <c r="I232" s="20">
        <v>72.108333333333306</v>
      </c>
      <c r="J232" s="20">
        <v>20.5625</v>
      </c>
      <c r="K232" s="20">
        <v>0</v>
      </c>
      <c r="L232" s="20">
        <v>225.02083333333334</v>
      </c>
      <c r="M232" s="20">
        <v>15.1875</v>
      </c>
      <c r="N232" s="20">
        <v>2.3125</v>
      </c>
      <c r="O232" s="20">
        <v>15.029166666666667</v>
      </c>
      <c r="P232" s="10">
        <v>0.75559846271427566</v>
      </c>
      <c r="Q232" s="21">
        <v>0.27733333333333349</v>
      </c>
      <c r="R232" s="21">
        <v>0.38956250000000003</v>
      </c>
      <c r="S232" s="21">
        <v>0.48016666666666707</v>
      </c>
      <c r="T232" s="21">
        <v>0.49304166666666682</v>
      </c>
      <c r="U232" s="21">
        <v>0.44341666666666657</v>
      </c>
      <c r="V232" s="21">
        <v>0.33002083333333332</v>
      </c>
      <c r="W232" s="21">
        <v>0.34260416666666665</v>
      </c>
      <c r="X232" s="21">
        <v>0.30052083333333329</v>
      </c>
      <c r="Y232" s="21">
        <v>0.12247999999999999</v>
      </c>
      <c r="Z232" s="23">
        <f>AVERAGE(Q232,U232)</f>
        <v>0.360375</v>
      </c>
      <c r="AA232" s="23">
        <f>AVERAGE(R232:T232,V232:X232)</f>
        <v>0.38931944444444455</v>
      </c>
      <c r="AB232" s="23">
        <f t="shared" si="3"/>
        <v>0.38405681818181819</v>
      </c>
    </row>
    <row r="233" spans="1:28">
      <c r="A233" s="9">
        <v>43940</v>
      </c>
      <c r="B233" s="3">
        <v>310.50103678402991</v>
      </c>
      <c r="C233" s="3">
        <v>209.08722764642488</v>
      </c>
      <c r="D233" s="3">
        <v>166.33068343764171</v>
      </c>
      <c r="E233" s="3">
        <v>209.61656172076124</v>
      </c>
      <c r="F233" s="3">
        <v>185.93753713985538</v>
      </c>
      <c r="G233" s="19">
        <v>43940</v>
      </c>
      <c r="H233" s="20">
        <v>85.104166666666671</v>
      </c>
      <c r="I233" s="20">
        <v>83.833333333333314</v>
      </c>
      <c r="J233" s="20">
        <v>17.249999999999996</v>
      </c>
      <c r="K233" s="20">
        <v>0</v>
      </c>
      <c r="L233" s="20">
        <v>236.02083333333334</v>
      </c>
      <c r="M233" s="20">
        <v>5.6875</v>
      </c>
      <c r="N233" s="20">
        <v>0.125</v>
      </c>
      <c r="O233" s="20">
        <v>14.424999999999997</v>
      </c>
      <c r="P233" s="10">
        <v>0.33848774804680049</v>
      </c>
      <c r="Q233" s="21">
        <v>0.27293750000000022</v>
      </c>
      <c r="R233" s="21">
        <v>0.38479166666666659</v>
      </c>
      <c r="S233" s="21">
        <v>0.47675000000000028</v>
      </c>
      <c r="T233" s="21">
        <v>0.48658333333333353</v>
      </c>
      <c r="U233" s="21">
        <v>0.43756249999999991</v>
      </c>
      <c r="V233" s="21">
        <v>0.32714583333333352</v>
      </c>
      <c r="W233" s="21">
        <v>0.34025000000000011</v>
      </c>
      <c r="X233" s="21">
        <v>0.2982708333333336</v>
      </c>
      <c r="Y233" s="21">
        <v>0.11966666666666666</v>
      </c>
      <c r="Z233" s="23">
        <f>AVERAGE(Q233,U233)</f>
        <v>0.35525000000000007</v>
      </c>
      <c r="AA233" s="23">
        <f>AVERAGE(R233:T233,V233:X233)</f>
        <v>0.38563194444444454</v>
      </c>
      <c r="AB233" s="23">
        <f t="shared" si="3"/>
        <v>0.38010795454545471</v>
      </c>
    </row>
    <row r="234" spans="1:28">
      <c r="A234" s="9">
        <v>43941</v>
      </c>
      <c r="B234" s="3">
        <v>444.46648708860164</v>
      </c>
      <c r="C234" s="3">
        <v>315.83614490042419</v>
      </c>
      <c r="D234" s="3">
        <v>364.16068931733849</v>
      </c>
      <c r="E234" s="3">
        <v>332.26541817833026</v>
      </c>
      <c r="F234" s="3">
        <v>255.89754219276637</v>
      </c>
      <c r="G234" s="19">
        <v>43941</v>
      </c>
      <c r="H234" s="20">
        <v>201.79166666666666</v>
      </c>
      <c r="I234" s="20">
        <v>77.902083333333351</v>
      </c>
      <c r="J234" s="20">
        <v>19.602083333333333</v>
      </c>
      <c r="K234" s="20">
        <v>1.2</v>
      </c>
      <c r="L234" s="20">
        <v>227.54166666666666</v>
      </c>
      <c r="M234" s="20">
        <v>8.5416666666666661</v>
      </c>
      <c r="N234" s="20">
        <v>0.54166666666666663</v>
      </c>
      <c r="O234" s="20">
        <v>15.2875</v>
      </c>
      <c r="P234" s="10">
        <v>0.5995692640711846</v>
      </c>
      <c r="Q234" s="21">
        <v>0.27004166666666674</v>
      </c>
      <c r="R234" s="21">
        <v>0.37981250000000005</v>
      </c>
      <c r="S234" s="21">
        <v>0.47243749999999979</v>
      </c>
      <c r="T234" s="21">
        <v>0.47989583333333291</v>
      </c>
      <c r="U234" s="21">
        <v>0.4339374999999997</v>
      </c>
      <c r="V234" s="21">
        <v>0.32487499999999991</v>
      </c>
      <c r="W234" s="21">
        <v>0.33739583333333356</v>
      </c>
      <c r="X234" s="21">
        <v>0.29589583333333336</v>
      </c>
      <c r="Y234" s="21">
        <v>0.11912499999999999</v>
      </c>
      <c r="Z234" s="23">
        <f>AVERAGE(Q234,U234)</f>
        <v>0.35198958333333319</v>
      </c>
      <c r="AA234" s="23">
        <f>AVERAGE(R234:T234,V234:X234)</f>
        <v>0.38171874999999994</v>
      </c>
      <c r="AB234" s="23">
        <f t="shared" si="3"/>
        <v>0.37631344696969693</v>
      </c>
    </row>
    <row r="235" spans="1:28">
      <c r="A235" s="9">
        <v>43942</v>
      </c>
      <c r="B235" s="3">
        <v>211.99938619035203</v>
      </c>
      <c r="C235" s="3">
        <v>124.68128564826797</v>
      </c>
      <c r="D235" s="3">
        <v>98.203342450105183</v>
      </c>
      <c r="E235" s="3">
        <v>137.74637063348021</v>
      </c>
      <c r="F235" s="3">
        <v>116.8187887570359</v>
      </c>
      <c r="G235" s="19">
        <v>43942</v>
      </c>
      <c r="H235" s="20">
        <v>65.770833333333329</v>
      </c>
      <c r="I235" s="20">
        <v>84.143749999999997</v>
      </c>
      <c r="J235" s="20">
        <v>13.870833333333325</v>
      </c>
      <c r="K235" s="20">
        <v>0</v>
      </c>
      <c r="L235" s="20">
        <v>188.25</v>
      </c>
      <c r="M235" s="20">
        <v>6.458333333333333</v>
      </c>
      <c r="N235" s="20">
        <v>0.25</v>
      </c>
      <c r="O235" s="20">
        <v>11.218750000000005</v>
      </c>
      <c r="P235" s="10">
        <v>0.25623449394215947</v>
      </c>
      <c r="Q235" s="21">
        <v>0.26620833333333344</v>
      </c>
      <c r="R235" s="21">
        <v>0.3738333333333333</v>
      </c>
      <c r="S235" s="21">
        <v>0.46764583333333337</v>
      </c>
      <c r="T235" s="21">
        <v>0.47270833333333329</v>
      </c>
      <c r="U235" s="21">
        <v>0.42877083333333316</v>
      </c>
      <c r="V235" s="21">
        <v>0.32222916666666651</v>
      </c>
      <c r="W235" s="21">
        <v>0.33512500000000017</v>
      </c>
      <c r="X235" s="21">
        <v>0.29404166666666659</v>
      </c>
      <c r="Y235" s="21">
        <v>0.11547916666666676</v>
      </c>
      <c r="Z235" s="23">
        <f>AVERAGE(Q235,U235)</f>
        <v>0.3474895833333333</v>
      </c>
      <c r="AA235" s="23">
        <f>AVERAGE(R235:T235,V235:X235)</f>
        <v>0.3775972222222222</v>
      </c>
      <c r="AB235" s="23">
        <f t="shared" si="3"/>
        <v>0.37212310606060611</v>
      </c>
    </row>
    <row r="236" spans="1:28">
      <c r="A236" s="9">
        <v>43943</v>
      </c>
      <c r="B236" s="3">
        <v>177.76268344712946</v>
      </c>
      <c r="C236" s="3">
        <v>100.89533705225274</v>
      </c>
      <c r="D236" s="3">
        <v>79.649461637058053</v>
      </c>
      <c r="E236" s="3">
        <v>120.31242296281324</v>
      </c>
      <c r="F236" s="3">
        <v>100.11404323051211</v>
      </c>
      <c r="G236" s="19">
        <v>43943</v>
      </c>
      <c r="H236" s="20">
        <v>54.041666666666664</v>
      </c>
      <c r="I236" s="20">
        <v>84.766666666666637</v>
      </c>
      <c r="J236" s="20">
        <v>10.96875</v>
      </c>
      <c r="K236" s="20">
        <v>0</v>
      </c>
      <c r="L236" s="20">
        <v>192</v>
      </c>
      <c r="M236" s="20">
        <v>5.479166666666667</v>
      </c>
      <c r="N236" s="20">
        <v>0.10416666666666667</v>
      </c>
      <c r="O236" s="20">
        <v>8.4541666666666693</v>
      </c>
      <c r="P236" s="10">
        <v>0.20816893889979401</v>
      </c>
      <c r="Q236" s="21">
        <v>0.26208333333333306</v>
      </c>
      <c r="R236" s="21">
        <v>0.36739583333333337</v>
      </c>
      <c r="S236" s="21">
        <v>0.46133333333333315</v>
      </c>
      <c r="T236" s="21">
        <v>0.46629166666666677</v>
      </c>
      <c r="U236" s="21">
        <v>0.4222916666666669</v>
      </c>
      <c r="V236" s="21">
        <v>0.31929166666666681</v>
      </c>
      <c r="W236" s="21">
        <v>0.33302083333333349</v>
      </c>
      <c r="X236" s="21">
        <v>0.29268749999999993</v>
      </c>
      <c r="Y236" s="21">
        <v>0.11406250000000004</v>
      </c>
      <c r="Z236" s="23">
        <f>AVERAGE(Q236,U236)</f>
        <v>0.34218749999999998</v>
      </c>
      <c r="AA236" s="23">
        <f>AVERAGE(R236:T236,V236:X236)</f>
        <v>0.37333680555555554</v>
      </c>
      <c r="AB236" s="23">
        <f t="shared" si="3"/>
        <v>0.36767329545454547</v>
      </c>
    </row>
    <row r="237" spans="1:28">
      <c r="A237" s="9">
        <v>43944</v>
      </c>
      <c r="B237" s="3">
        <v>45.087348702554308</v>
      </c>
      <c r="C237" s="3">
        <v>45.001841982004642</v>
      </c>
      <c r="D237" s="3">
        <v>19.167921109751198</v>
      </c>
      <c r="E237" s="3">
        <v>64.955745765605357</v>
      </c>
      <c r="F237" s="3">
        <v>51.17046712865006</v>
      </c>
      <c r="G237" s="19">
        <v>43944</v>
      </c>
      <c r="H237" s="20">
        <v>27.75</v>
      </c>
      <c r="I237" s="20">
        <v>85.935416666666683</v>
      </c>
      <c r="J237" s="20">
        <v>8.1062500000000011</v>
      </c>
      <c r="K237" s="20">
        <v>0.89999999999999991</v>
      </c>
      <c r="L237" s="20">
        <v>211.4375</v>
      </c>
      <c r="M237" s="20">
        <v>4.541666666666667</v>
      </c>
      <c r="N237" s="20">
        <v>0</v>
      </c>
      <c r="O237" s="20">
        <v>5.8604166666666657</v>
      </c>
      <c r="P237" s="10">
        <v>0.15592820820607642</v>
      </c>
      <c r="Q237" s="21">
        <v>0.25845833333333318</v>
      </c>
      <c r="R237" s="21">
        <v>0.36104166666666665</v>
      </c>
      <c r="S237" s="21">
        <v>0.45495833333333363</v>
      </c>
      <c r="T237" s="21">
        <v>0.45993749999999989</v>
      </c>
      <c r="U237" s="21">
        <v>0.41652083333333345</v>
      </c>
      <c r="V237" s="21">
        <v>0.31658333333333338</v>
      </c>
      <c r="W237" s="21">
        <v>0.33016666666666694</v>
      </c>
      <c r="X237" s="21">
        <v>0.29068749999999977</v>
      </c>
      <c r="Y237" s="39" t="e">
        <f>#REF!*0.5711-0.0033</f>
        <v>#REF!</v>
      </c>
      <c r="Z237" s="23">
        <f>AVERAGE(Q237,U237)</f>
        <v>0.33748958333333334</v>
      </c>
      <c r="AA237" s="23">
        <f>AVERAGE(R237:T237,V237:X237)</f>
        <v>0.36889583333333337</v>
      </c>
      <c r="AB237" s="23">
        <f t="shared" si="3"/>
        <v>0.36318560606060607</v>
      </c>
    </row>
    <row r="238" spans="1:28">
      <c r="A238" s="9">
        <v>43945</v>
      </c>
      <c r="B238" s="3">
        <v>286.22007612374983</v>
      </c>
      <c r="C238" s="3">
        <v>187.11559899725185</v>
      </c>
      <c r="D238" s="3">
        <v>170.58288995787964</v>
      </c>
      <c r="E238" s="3">
        <v>220.47601862732952</v>
      </c>
      <c r="F238" s="3">
        <v>170.20158038617063</v>
      </c>
      <c r="G238" s="19">
        <v>43945</v>
      </c>
      <c r="H238" s="20">
        <v>94.645833333333329</v>
      </c>
      <c r="I238" s="20">
        <v>75.939583333333317</v>
      </c>
      <c r="J238" s="20">
        <v>9.6458333333333357</v>
      </c>
      <c r="K238" s="20">
        <v>0</v>
      </c>
      <c r="L238" s="20">
        <v>217.10416666666666</v>
      </c>
      <c r="M238" s="20">
        <v>3.1041666666666665</v>
      </c>
      <c r="N238" s="20">
        <v>0</v>
      </c>
      <c r="O238" s="20">
        <v>5.4187500000000002</v>
      </c>
      <c r="P238" s="10">
        <v>0.31781058749788488</v>
      </c>
      <c r="Q238" s="21">
        <v>0.25533333333333358</v>
      </c>
      <c r="R238" s="21">
        <v>0.35499999999999993</v>
      </c>
      <c r="S238" s="21">
        <v>0.44818750000000018</v>
      </c>
      <c r="T238" s="21">
        <v>0.45356249999999992</v>
      </c>
      <c r="U238" s="21">
        <v>0.41170833333333351</v>
      </c>
      <c r="V238" s="21">
        <v>0.31375000000000025</v>
      </c>
      <c r="W238" s="21">
        <v>0.32752083333333348</v>
      </c>
      <c r="X238" s="21">
        <v>0.28879166666666684</v>
      </c>
      <c r="Y238" s="39" t="e">
        <f>#REF!*0.5711-0.0033</f>
        <v>#REF!</v>
      </c>
      <c r="Z238" s="23">
        <f>AVERAGE(Q238,U238)</f>
        <v>0.33352083333333354</v>
      </c>
      <c r="AA238" s="23">
        <f>AVERAGE(R238:T238,V238:X238)</f>
        <v>0.36446875000000012</v>
      </c>
      <c r="AB238" s="23">
        <f t="shared" si="3"/>
        <v>0.35884185606060615</v>
      </c>
    </row>
    <row r="239" spans="1:28">
      <c r="A239" s="9">
        <v>43946</v>
      </c>
      <c r="B239" s="3">
        <v>113.1450781279828</v>
      </c>
      <c r="C239" s="3">
        <v>85.570069307239734</v>
      </c>
      <c r="D239" s="3">
        <v>66.73564298020689</v>
      </c>
      <c r="E239" s="3">
        <v>100.20479065398273</v>
      </c>
      <c r="F239" s="3">
        <v>69.40585293183959</v>
      </c>
      <c r="G239" s="19">
        <v>43946</v>
      </c>
      <c r="H239" s="20">
        <v>62.375</v>
      </c>
      <c r="I239" s="20">
        <v>85.247916666666683</v>
      </c>
      <c r="J239" s="20">
        <v>9.2062499999999954</v>
      </c>
      <c r="K239" s="20">
        <v>5.1000000000000005</v>
      </c>
      <c r="L239" s="20">
        <v>169.04166666666666</v>
      </c>
      <c r="M239" s="20">
        <v>1.6041666666666667</v>
      </c>
      <c r="N239" s="20">
        <v>0</v>
      </c>
      <c r="O239" s="20">
        <v>6.7687500000000016</v>
      </c>
      <c r="P239" s="10">
        <v>0.18589292031522034</v>
      </c>
      <c r="Q239" s="21">
        <v>0.25475000000000009</v>
      </c>
      <c r="R239" s="21">
        <v>0.35072916666666654</v>
      </c>
      <c r="S239" s="21">
        <v>0.44327083333333345</v>
      </c>
      <c r="T239" s="21">
        <v>0.44764583333333352</v>
      </c>
      <c r="U239" s="21">
        <v>0.40960416666666671</v>
      </c>
      <c r="V239" s="21">
        <v>0.31241666666666662</v>
      </c>
      <c r="W239" s="21">
        <v>0.32460416666666664</v>
      </c>
      <c r="X239" s="21">
        <v>0.28654166666666647</v>
      </c>
      <c r="Y239" s="21">
        <v>0.11</v>
      </c>
      <c r="Z239" s="23">
        <f>AVERAGE(Q239,U239)</f>
        <v>0.3321770833333334</v>
      </c>
      <c r="AA239" s="23">
        <f>AVERAGE(R239:T239,V239:X239)</f>
        <v>0.36086805555555551</v>
      </c>
      <c r="AB239" s="23">
        <f t="shared" si="3"/>
        <v>0.35565151515151516</v>
      </c>
    </row>
    <row r="240" spans="1:28">
      <c r="A240" s="9">
        <v>43947</v>
      </c>
      <c r="B240" s="3">
        <v>432.34753385434129</v>
      </c>
      <c r="C240" s="3">
        <v>246.99108245266922</v>
      </c>
      <c r="D240" s="3">
        <v>290.40695205716332</v>
      </c>
      <c r="E240" s="3">
        <v>277.77879514850883</v>
      </c>
      <c r="F240" s="3">
        <v>195.96297982472589</v>
      </c>
      <c r="G240" s="19">
        <v>43947</v>
      </c>
      <c r="H240" s="20">
        <v>192.95833333333334</v>
      </c>
      <c r="I240" s="20">
        <v>62.970833333333331</v>
      </c>
      <c r="J240" s="20">
        <v>13.222916666666665</v>
      </c>
      <c r="K240" s="20">
        <v>0.2</v>
      </c>
      <c r="L240" s="20">
        <v>168.60416666666666</v>
      </c>
      <c r="M240" s="20">
        <v>3.6458333333333335</v>
      </c>
      <c r="N240" s="20">
        <v>2.0833333333333332E-2</v>
      </c>
      <c r="O240" s="20">
        <v>4.8166666666666647</v>
      </c>
      <c r="P240" s="10">
        <v>0.7516583625633676</v>
      </c>
      <c r="Q240" s="21">
        <v>0.25325000000000003</v>
      </c>
      <c r="R240" s="21">
        <v>0.3470208333333335</v>
      </c>
      <c r="S240" s="21">
        <v>0.43885416666666693</v>
      </c>
      <c r="T240" s="21">
        <v>0.44322916666666717</v>
      </c>
      <c r="U240" s="21">
        <v>0.40770833333333317</v>
      </c>
      <c r="V240" s="21">
        <v>0.3109166666666669</v>
      </c>
      <c r="W240" s="21">
        <v>0.32297916666666643</v>
      </c>
      <c r="X240" s="21">
        <v>0.28479166666666661</v>
      </c>
      <c r="Y240" s="21">
        <v>0.13366666666666671</v>
      </c>
      <c r="Z240" s="23">
        <f>AVERAGE(Q240,U240)</f>
        <v>0.3304791666666666</v>
      </c>
      <c r="AA240" s="23">
        <f>AVERAGE(R240:T240,V240:X240)</f>
        <v>0.35796527777777792</v>
      </c>
      <c r="AB240" s="23">
        <f t="shared" si="3"/>
        <v>0.35296780303030317</v>
      </c>
    </row>
    <row r="241" spans="1:28">
      <c r="A241" s="9">
        <v>43948</v>
      </c>
      <c r="B241" s="3">
        <v>497.46995770254739</v>
      </c>
      <c r="C241" s="3">
        <v>329.18749184754233</v>
      </c>
      <c r="D241" s="3">
        <v>388.28801082788931</v>
      </c>
      <c r="E241" s="3">
        <v>325.08797934002246</v>
      </c>
      <c r="F241" s="3">
        <v>222.34460868249639</v>
      </c>
      <c r="G241" s="19">
        <v>43948</v>
      </c>
      <c r="H241" s="20">
        <v>247.72916666666666</v>
      </c>
      <c r="I241" s="20">
        <v>42.093749999999993</v>
      </c>
      <c r="J241" s="20">
        <v>17.318750000000001</v>
      </c>
      <c r="K241" s="20">
        <v>0</v>
      </c>
      <c r="L241" s="20">
        <v>239.39583333333334</v>
      </c>
      <c r="M241" s="20">
        <v>3.875</v>
      </c>
      <c r="N241" s="20">
        <v>0.10416666666666667</v>
      </c>
      <c r="O241" s="20">
        <v>3.027083333333334</v>
      </c>
      <c r="P241" s="10">
        <v>1.3564982296622903</v>
      </c>
      <c r="Q241" s="21">
        <v>0.25266666666666676</v>
      </c>
      <c r="R241" s="21">
        <v>0.34350000000000008</v>
      </c>
      <c r="S241" s="21">
        <v>0.43529166666666669</v>
      </c>
      <c r="T241" s="21">
        <v>0.4373333333333333</v>
      </c>
      <c r="U241" s="21">
        <v>0.4082291666666667</v>
      </c>
      <c r="V241" s="21">
        <v>0.31002083333333347</v>
      </c>
      <c r="W241" s="21">
        <v>0.32056250000000025</v>
      </c>
      <c r="X241" s="21">
        <v>0.28204166666666686</v>
      </c>
      <c r="Y241" s="21">
        <v>0.12113043478260868</v>
      </c>
      <c r="Z241" s="23">
        <f>AVERAGE(Q241,U241)</f>
        <v>0.33044791666666673</v>
      </c>
      <c r="AA241" s="23">
        <f>AVERAGE(R241:T241,V241:X241)</f>
        <v>0.35479166666666678</v>
      </c>
      <c r="AB241" s="23">
        <f t="shared" si="3"/>
        <v>0.35036553030303041</v>
      </c>
    </row>
    <row r="242" spans="1:28">
      <c r="A242" s="9">
        <v>43949</v>
      </c>
      <c r="B242" s="3">
        <v>562.36552366240267</v>
      </c>
      <c r="C242" s="3">
        <v>341.71020830797499</v>
      </c>
      <c r="D242" s="3">
        <v>360.7328221891774</v>
      </c>
      <c r="E242" s="3">
        <v>312.75717647303952</v>
      </c>
      <c r="F242" s="3">
        <v>232.26306308675129</v>
      </c>
      <c r="G242" s="19">
        <v>43949</v>
      </c>
      <c r="H242" s="20">
        <v>251.47916666666666</v>
      </c>
      <c r="I242" s="20">
        <v>40.866666666666667</v>
      </c>
      <c r="J242" s="20">
        <v>19.079166666666666</v>
      </c>
      <c r="K242" s="20">
        <v>0</v>
      </c>
      <c r="L242" s="20">
        <v>217.14583333333334</v>
      </c>
      <c r="M242" s="20">
        <v>7.9375</v>
      </c>
      <c r="N242" s="20">
        <v>2.0833333333333335</v>
      </c>
      <c r="O242" s="20">
        <v>4.8187499999999996</v>
      </c>
      <c r="P242" s="10">
        <v>1.4377365737029784</v>
      </c>
      <c r="Q242" s="21">
        <v>0.25191666666666673</v>
      </c>
      <c r="R242" s="21">
        <v>0.34054166666666652</v>
      </c>
      <c r="S242" s="21">
        <v>0.4326458333333334</v>
      </c>
      <c r="T242" s="21">
        <v>0.43254166666666655</v>
      </c>
      <c r="U242" s="21">
        <v>0.40856249999999972</v>
      </c>
      <c r="V242" s="21">
        <v>0.30962499999999965</v>
      </c>
      <c r="W242" s="21">
        <v>0.31879166666666664</v>
      </c>
      <c r="X242" s="21">
        <v>0.27983333333333343</v>
      </c>
      <c r="Y242" s="21">
        <v>0.11542307692307693</v>
      </c>
      <c r="Z242" s="23">
        <f>AVERAGE(Q242,U242)</f>
        <v>0.33023958333333325</v>
      </c>
      <c r="AA242" s="23">
        <f>AVERAGE(R242:T242,V242:X242)</f>
        <v>0.35232986111111103</v>
      </c>
      <c r="AB242" s="23">
        <f t="shared" si="3"/>
        <v>0.3483134469696969</v>
      </c>
    </row>
    <row r="243" spans="1:28">
      <c r="A243" s="9">
        <v>43950</v>
      </c>
      <c r="B243" s="3">
        <v>370.48270127761992</v>
      </c>
      <c r="C243" s="3">
        <v>254.30204863590609</v>
      </c>
      <c r="D243" s="3">
        <v>230.16066085227715</v>
      </c>
      <c r="E243" s="3">
        <v>233.87484013561132</v>
      </c>
      <c r="F243" s="3">
        <v>179.49166617971505</v>
      </c>
      <c r="G243" s="19">
        <v>43950</v>
      </c>
      <c r="H243" s="20">
        <v>165.4375</v>
      </c>
      <c r="I243" s="20">
        <v>53.039583333333319</v>
      </c>
      <c r="J243" s="20">
        <v>19.212500000000002</v>
      </c>
      <c r="K243" s="20">
        <v>0</v>
      </c>
      <c r="L243" s="20">
        <v>233.72916666666666</v>
      </c>
      <c r="M243" s="20">
        <v>14.75</v>
      </c>
      <c r="N243" s="20">
        <v>3.1458333333333335</v>
      </c>
      <c r="O243" s="20">
        <v>9.2416666666666671</v>
      </c>
      <c r="P243" s="10">
        <v>1.0711967969800062</v>
      </c>
      <c r="Q243" s="21">
        <v>0.25089583333333326</v>
      </c>
      <c r="R243" s="21">
        <v>0.33779166666666671</v>
      </c>
      <c r="S243" s="21">
        <v>0.43037499999999967</v>
      </c>
      <c r="T243" s="21">
        <v>0.42785416666666637</v>
      </c>
      <c r="U243" s="21">
        <v>0.40795833333333348</v>
      </c>
      <c r="V243" s="21">
        <v>0.30874999999999991</v>
      </c>
      <c r="W243" s="21">
        <v>0.31702083333333358</v>
      </c>
      <c r="X243" s="21">
        <v>0.27797916666666639</v>
      </c>
      <c r="Y243" s="21">
        <v>0.11099999999999999</v>
      </c>
      <c r="Z243" s="23">
        <f>AVERAGE(Q243,U243)</f>
        <v>0.32942708333333337</v>
      </c>
      <c r="AA243" s="23">
        <f>AVERAGE(R243:T243,V243:X243)</f>
        <v>0.34996180555555539</v>
      </c>
      <c r="AB243" s="23">
        <f t="shared" si="3"/>
        <v>0.3462282196969696</v>
      </c>
    </row>
    <row r="244" spans="1:28">
      <c r="A244" s="9">
        <v>43951</v>
      </c>
      <c r="B244" s="3">
        <v>312.67476925065426</v>
      </c>
      <c r="C244" s="3">
        <v>241.4992270033874</v>
      </c>
      <c r="D244" s="3">
        <v>213.87045648824059</v>
      </c>
      <c r="E244" s="3">
        <v>231.35302931686692</v>
      </c>
      <c r="F244" s="3">
        <v>177.9711675080944</v>
      </c>
      <c r="G244" s="19">
        <v>43951</v>
      </c>
      <c r="H244" s="20">
        <v>138.22916666666666</v>
      </c>
      <c r="I244" s="20">
        <v>78.27500000000002</v>
      </c>
      <c r="J244" s="20">
        <v>18.239583333333339</v>
      </c>
      <c r="K244" s="20">
        <v>27.999999999999996</v>
      </c>
      <c r="L244" s="20">
        <v>229.1875</v>
      </c>
      <c r="M244" s="20">
        <v>8.0833333333333339</v>
      </c>
      <c r="N244" s="20">
        <v>0.70833333333333337</v>
      </c>
      <c r="O244" s="20">
        <v>14.05833333333333</v>
      </c>
      <c r="P244" s="10">
        <v>0.53860055007579777</v>
      </c>
      <c r="Q244" s="21">
        <v>0.26987500000000003</v>
      </c>
      <c r="R244" s="21">
        <v>0.34493750000000012</v>
      </c>
      <c r="S244" s="21">
        <v>0.43458333333333332</v>
      </c>
      <c r="T244" s="21">
        <v>0.43352083333333336</v>
      </c>
      <c r="U244" s="21">
        <v>0.42433333333333328</v>
      </c>
      <c r="V244" s="21">
        <v>0.31685416666666671</v>
      </c>
      <c r="W244" s="21">
        <v>0.3171874999999999</v>
      </c>
      <c r="X244" s="21">
        <v>0.2774166666666667</v>
      </c>
      <c r="Y244" s="21">
        <v>0.14307692307692305</v>
      </c>
      <c r="Z244" s="23">
        <f>AVERAGE(Q244,U244)</f>
        <v>0.34710416666666666</v>
      </c>
      <c r="AA244" s="23">
        <f>AVERAGE(R244:T244,V244:X244)</f>
        <v>0.35408333333333336</v>
      </c>
      <c r="AB244" s="23">
        <f t="shared" si="3"/>
        <v>0.35281439393939396</v>
      </c>
    </row>
    <row r="245" spans="1:28">
      <c r="A245" s="9">
        <v>43952</v>
      </c>
      <c r="B245" s="3">
        <v>322.17125086981554</v>
      </c>
      <c r="C245" s="3">
        <v>237.07039271520915</v>
      </c>
      <c r="D245" s="3">
        <v>229.1619322622619</v>
      </c>
      <c r="E245" s="3">
        <v>236.87699561158252</v>
      </c>
      <c r="F245" s="3">
        <v>180.30317434317502</v>
      </c>
      <c r="G245" s="19">
        <v>43952</v>
      </c>
      <c r="H245" s="20">
        <v>208.52083333333334</v>
      </c>
      <c r="I245" s="20">
        <v>82.69583333333334</v>
      </c>
      <c r="J245" s="20">
        <v>18.354166666666661</v>
      </c>
      <c r="K245" s="20">
        <v>12.499999999999998</v>
      </c>
      <c r="L245" s="20">
        <v>220.08333333333334</v>
      </c>
      <c r="M245" s="20">
        <v>3.5416666666666665</v>
      </c>
      <c r="N245" s="20">
        <v>0.20833333333333334</v>
      </c>
      <c r="O245" s="20">
        <v>14.75</v>
      </c>
      <c r="P245" s="10">
        <v>0.52470192246064673</v>
      </c>
      <c r="Q245" s="21">
        <v>0.31922916666666662</v>
      </c>
      <c r="R245" s="21">
        <v>0.37754166666666672</v>
      </c>
      <c r="S245" s="21">
        <v>0.45935416666666656</v>
      </c>
      <c r="T245" s="21">
        <v>0.4807291666666666</v>
      </c>
      <c r="U245" s="21">
        <v>0.49162500000000003</v>
      </c>
      <c r="V245" s="21">
        <v>0.34202083333333338</v>
      </c>
      <c r="W245" s="21">
        <v>0.33054166666666662</v>
      </c>
      <c r="X245" s="21">
        <v>0.28672916666666676</v>
      </c>
      <c r="Y245" s="21">
        <v>0.21371999999999999</v>
      </c>
      <c r="Z245" s="23">
        <f>AVERAGE(Q245,U245)</f>
        <v>0.40542708333333333</v>
      </c>
      <c r="AA245" s="23">
        <f>AVERAGE(R245:T245,V245:X245)</f>
        <v>0.37948611111111114</v>
      </c>
      <c r="AB245" s="23">
        <f t="shared" si="3"/>
        <v>0.38420265151515154</v>
      </c>
    </row>
    <row r="246" spans="1:28">
      <c r="A246" s="9">
        <v>43953</v>
      </c>
      <c r="B246" s="3">
        <v>329.57353544663317</v>
      </c>
      <c r="C246" s="3">
        <v>258.67338335244489</v>
      </c>
      <c r="D246" s="3">
        <v>232.00369436788515</v>
      </c>
      <c r="E246" s="3">
        <v>239.16215656348345</v>
      </c>
      <c r="F246" s="3">
        <v>185.74289989860227</v>
      </c>
      <c r="G246" s="19">
        <v>43953</v>
      </c>
      <c r="H246" s="20">
        <v>186.95833333333334</v>
      </c>
      <c r="I246" s="20">
        <v>85.872916666666654</v>
      </c>
      <c r="J246" s="20">
        <v>17.925000000000001</v>
      </c>
      <c r="K246" s="20">
        <v>17.3</v>
      </c>
      <c r="L246" s="20">
        <v>190.79166666666666</v>
      </c>
      <c r="M246" s="20">
        <v>3.2708333333333335</v>
      </c>
      <c r="N246" s="20">
        <v>0.1875</v>
      </c>
      <c r="O246" s="20">
        <v>15.162500000000003</v>
      </c>
      <c r="P246" s="10">
        <v>0.40148235915889718</v>
      </c>
      <c r="Q246" s="21">
        <v>0.31750000000000006</v>
      </c>
      <c r="R246" s="21">
        <v>0.39050000000000012</v>
      </c>
      <c r="S246" s="21">
        <v>0.47589583333333318</v>
      </c>
      <c r="T246" s="21">
        <v>0.52795833333333331</v>
      </c>
      <c r="U246" s="21">
        <v>0.54925000000000013</v>
      </c>
      <c r="V246" s="21">
        <v>0.35429166666666662</v>
      </c>
      <c r="W246" s="21">
        <v>0.34260416666666643</v>
      </c>
      <c r="X246" s="21">
        <v>0.29824999999999996</v>
      </c>
      <c r="Y246" s="21">
        <v>0.23943750000000003</v>
      </c>
      <c r="Z246" s="23">
        <f>AVERAGE(Q246,U246)</f>
        <v>0.43337500000000007</v>
      </c>
      <c r="AA246" s="23">
        <f>AVERAGE(R246:T246,V246:X246)</f>
        <v>0.39824999999999994</v>
      </c>
      <c r="AB246" s="23">
        <f t="shared" si="3"/>
        <v>0.40463636363636357</v>
      </c>
    </row>
    <row r="247" spans="1:28">
      <c r="A247" s="9">
        <v>43954</v>
      </c>
      <c r="B247" s="3">
        <v>443.20998136027168</v>
      </c>
      <c r="C247" s="3">
        <v>370.25110130398764</v>
      </c>
      <c r="D247" s="3">
        <v>409.60090559359054</v>
      </c>
      <c r="E247" s="3">
        <v>330.95124291748385</v>
      </c>
      <c r="F247" s="3">
        <v>260.74732241590851</v>
      </c>
      <c r="G247" s="19">
        <v>43954</v>
      </c>
      <c r="H247" s="20">
        <v>238.125</v>
      </c>
      <c r="I247" s="20">
        <v>79.281249999999986</v>
      </c>
      <c r="J247" s="20">
        <v>20.914583333333336</v>
      </c>
      <c r="K247" s="20">
        <v>0</v>
      </c>
      <c r="L247" s="20">
        <v>158.60416666666666</v>
      </c>
      <c r="M247" s="20">
        <v>4.895833333333333</v>
      </c>
      <c r="N247" s="20">
        <v>0.6875</v>
      </c>
      <c r="O247" s="20">
        <v>16.752083333333328</v>
      </c>
      <c r="P247" s="10">
        <v>0.67646842257452533</v>
      </c>
      <c r="Q247" s="21">
        <v>0.32172916666666668</v>
      </c>
      <c r="R247" s="21">
        <v>0.39506250000000009</v>
      </c>
      <c r="S247" s="21">
        <v>0.48658333333333331</v>
      </c>
      <c r="T247" s="21">
        <v>0.54400000000000048</v>
      </c>
      <c r="U247" s="21">
        <v>0.56897916666666626</v>
      </c>
      <c r="V247" s="21">
        <v>0.36087499999999983</v>
      </c>
      <c r="W247" s="21">
        <v>0.35162499999999991</v>
      </c>
      <c r="X247" s="21">
        <v>0.30983333333333346</v>
      </c>
      <c r="Y247" s="21">
        <v>0.24196296296296291</v>
      </c>
      <c r="Z247" s="23">
        <f>AVERAGE(Q247,U247)</f>
        <v>0.4453541666666665</v>
      </c>
      <c r="AA247" s="23">
        <f>AVERAGE(R247:T247,V247:X247)</f>
        <v>0.4079965277777779</v>
      </c>
      <c r="AB247" s="23">
        <f t="shared" si="3"/>
        <v>0.41478882575757581</v>
      </c>
    </row>
    <row r="248" spans="1:28">
      <c r="A248" s="9">
        <v>43955</v>
      </c>
      <c r="B248" s="3">
        <v>673.05128481625616</v>
      </c>
      <c r="C248" s="3">
        <v>470.94479402571932</v>
      </c>
      <c r="D248" s="3">
        <v>570.33182825266397</v>
      </c>
      <c r="E248" s="3">
        <v>387.09331966492488</v>
      </c>
      <c r="F248" s="3">
        <v>316.86634343807395</v>
      </c>
      <c r="G248" s="19">
        <v>43955</v>
      </c>
      <c r="H248" s="20">
        <v>251.27083333333334</v>
      </c>
      <c r="I248" s="20">
        <v>70.7</v>
      </c>
      <c r="J248" s="20">
        <v>24.397916666666674</v>
      </c>
      <c r="K248" s="20">
        <v>0</v>
      </c>
      <c r="L248" s="20">
        <v>233.16666666666666</v>
      </c>
      <c r="M248" s="20">
        <v>12.75</v>
      </c>
      <c r="N248" s="20">
        <v>1.6458333333333333</v>
      </c>
      <c r="O248" s="20">
        <v>18.293749999999999</v>
      </c>
      <c r="P248" s="10">
        <v>1.0149771739138371</v>
      </c>
      <c r="Q248" s="21">
        <v>0.31208333333333343</v>
      </c>
      <c r="R248" s="21">
        <v>0.39287499999999986</v>
      </c>
      <c r="S248" s="21">
        <v>0.48716666666666669</v>
      </c>
      <c r="T248" s="21">
        <v>0.54120833333333351</v>
      </c>
      <c r="U248" s="21">
        <v>0.56068749999999978</v>
      </c>
      <c r="V248" s="21">
        <v>0.35399999999999993</v>
      </c>
      <c r="W248" s="21">
        <v>0.35197916666666645</v>
      </c>
      <c r="X248" s="21">
        <v>0.30966666666666637</v>
      </c>
      <c r="Y248" s="21">
        <v>0.21966666666666668</v>
      </c>
      <c r="Z248" s="23">
        <f>AVERAGE(Q248,U248)</f>
        <v>0.43638541666666664</v>
      </c>
      <c r="AA248" s="23">
        <f>AVERAGE(R248:T248,V248:X248)</f>
        <v>0.40614930555555545</v>
      </c>
      <c r="AB248" s="23">
        <f t="shared" si="3"/>
        <v>0.41164678030303026</v>
      </c>
    </row>
    <row r="249" spans="1:28">
      <c r="A249" s="9">
        <v>43956</v>
      </c>
      <c r="B249" s="3">
        <v>745.2795908031967</v>
      </c>
      <c r="C249" s="3">
        <v>453.89182748014639</v>
      </c>
      <c r="D249" s="3">
        <v>537.57539200386873</v>
      </c>
      <c r="E249" s="3">
        <v>376.79557732736896</v>
      </c>
      <c r="F249" s="3">
        <v>311.0694315172322</v>
      </c>
      <c r="G249" s="19">
        <v>43956</v>
      </c>
      <c r="H249" s="20">
        <v>241.04166666666666</v>
      </c>
      <c r="I249" s="20">
        <v>60.235416666666659</v>
      </c>
      <c r="J249" s="20">
        <v>25.197916666666661</v>
      </c>
      <c r="K249" s="20">
        <v>0</v>
      </c>
      <c r="L249" s="20">
        <v>234.5</v>
      </c>
      <c r="M249" s="20">
        <v>9.0625</v>
      </c>
      <c r="N249" s="20">
        <v>1.3541666666666667</v>
      </c>
      <c r="O249" s="20">
        <v>16.264583333333331</v>
      </c>
      <c r="P249" s="10">
        <v>1.428374145840664</v>
      </c>
      <c r="Q249" s="21">
        <v>0.30181250000000009</v>
      </c>
      <c r="R249" s="21">
        <v>0.39043750000000021</v>
      </c>
      <c r="S249" s="21">
        <v>0.48685416666666653</v>
      </c>
      <c r="T249" s="21">
        <v>0.53720833333333318</v>
      </c>
      <c r="U249" s="21">
        <v>0.5474583333333336</v>
      </c>
      <c r="V249" s="21">
        <v>0.34308333333333324</v>
      </c>
      <c r="W249" s="21">
        <v>0.34958333333333336</v>
      </c>
      <c r="X249" s="21">
        <v>0.30795833333333322</v>
      </c>
      <c r="Y249" s="21">
        <v>0.19411111111111112</v>
      </c>
      <c r="Z249" s="23">
        <f>AVERAGE(Q249,U249)</f>
        <v>0.42463541666666682</v>
      </c>
      <c r="AA249" s="23">
        <f>AVERAGE(R249:T249,V249:X249)</f>
        <v>0.40252083333333322</v>
      </c>
      <c r="AB249" s="23">
        <f t="shared" si="3"/>
        <v>0.40654166666666663</v>
      </c>
    </row>
    <row r="250" spans="1:28">
      <c r="A250" s="9">
        <v>43957</v>
      </c>
      <c r="B250" s="3">
        <v>797.92540149240267</v>
      </c>
      <c r="C250" s="3">
        <v>499.63421819351333</v>
      </c>
      <c r="D250" s="3">
        <v>572.20443608301252</v>
      </c>
      <c r="E250" s="3">
        <v>416.78710839320485</v>
      </c>
      <c r="F250" s="3">
        <v>329.71088860476772</v>
      </c>
      <c r="G250" s="19">
        <v>43957</v>
      </c>
      <c r="H250" s="20">
        <v>260.41666666666669</v>
      </c>
      <c r="I250" s="20">
        <v>46.520833333333343</v>
      </c>
      <c r="J250" s="20">
        <v>27.718749999999996</v>
      </c>
      <c r="K250" s="20">
        <v>0</v>
      </c>
      <c r="L250" s="20">
        <v>238.97916666666666</v>
      </c>
      <c r="M250" s="20">
        <v>17.291666666666668</v>
      </c>
      <c r="N250" s="20">
        <v>4.395833333333333</v>
      </c>
      <c r="O250" s="20">
        <v>14.962499999999997</v>
      </c>
      <c r="P250" s="10">
        <v>2.0779951544584025</v>
      </c>
      <c r="Q250" s="21">
        <v>0.29037499999999999</v>
      </c>
      <c r="R250" s="21">
        <v>0.38622916666666662</v>
      </c>
      <c r="S250" s="21">
        <v>0.48404166666666648</v>
      </c>
      <c r="T250" s="21">
        <v>0.52908333333333335</v>
      </c>
      <c r="U250" s="21">
        <v>0.52445833333333358</v>
      </c>
      <c r="V250" s="21">
        <v>0.33243749999999994</v>
      </c>
      <c r="W250" s="21">
        <v>0.34458333333333324</v>
      </c>
      <c r="X250" s="21">
        <v>0.30458333333333332</v>
      </c>
      <c r="Y250" s="21">
        <v>0.17310344827586205</v>
      </c>
      <c r="Z250" s="23">
        <f>AVERAGE(Q250,U250)</f>
        <v>0.40741666666666676</v>
      </c>
      <c r="AA250" s="23">
        <f>AVERAGE(R250:T250,V250:X250)</f>
        <v>0.39682638888888883</v>
      </c>
      <c r="AB250" s="23">
        <f t="shared" si="3"/>
        <v>0.39875189393939392</v>
      </c>
    </row>
    <row r="251" spans="1:28">
      <c r="A251" s="9">
        <v>43958</v>
      </c>
      <c r="B251" s="3">
        <v>822.1247467631996</v>
      </c>
      <c r="C251" s="3">
        <v>499.11025477988323</v>
      </c>
      <c r="D251" s="3">
        <v>549.11156426544983</v>
      </c>
      <c r="E251" s="3">
        <v>455.44653804035067</v>
      </c>
      <c r="F251" s="3">
        <v>346.73107467043593</v>
      </c>
      <c r="G251" s="19">
        <v>43958</v>
      </c>
      <c r="H251" s="20">
        <v>260.375</v>
      </c>
      <c r="I251" s="20">
        <v>38.104166666666664</v>
      </c>
      <c r="J251" s="20">
        <v>29.268749999999997</v>
      </c>
      <c r="K251" s="20">
        <v>0</v>
      </c>
      <c r="L251" s="20">
        <v>232.79166666666666</v>
      </c>
      <c r="M251" s="20">
        <v>17.541666666666668</v>
      </c>
      <c r="N251" s="20">
        <v>3.6666666666666665</v>
      </c>
      <c r="O251" s="20">
        <v>13.002083333333331</v>
      </c>
      <c r="P251" s="10">
        <v>2.6513565643342383</v>
      </c>
      <c r="Q251" s="21">
        <v>0.27912500000000023</v>
      </c>
      <c r="R251" s="21">
        <v>0.38068750000000001</v>
      </c>
      <c r="S251" s="21">
        <v>0.47935416666666647</v>
      </c>
      <c r="T251" s="21">
        <v>0.51510416666666681</v>
      </c>
      <c r="U251" s="21">
        <v>0.4936875</v>
      </c>
      <c r="V251" s="21">
        <v>0.32408333333333322</v>
      </c>
      <c r="W251" s="21">
        <v>0.33847916666666689</v>
      </c>
      <c r="X251" s="21">
        <v>0.30018750000000011</v>
      </c>
      <c r="Y251" s="21">
        <v>0.15026086956521736</v>
      </c>
      <c r="Z251" s="23">
        <f>AVERAGE(Q251,U251)</f>
        <v>0.38640625000000012</v>
      </c>
      <c r="AA251" s="23">
        <f>AVERAGE(R251:T251,V251:X251)</f>
        <v>0.38964930555555566</v>
      </c>
      <c r="AB251" s="23">
        <f t="shared" si="3"/>
        <v>0.38905965909090917</v>
      </c>
    </row>
    <row r="252" spans="1:28">
      <c r="A252" s="9">
        <v>43959</v>
      </c>
      <c r="B252" s="3">
        <v>739.46418076210182</v>
      </c>
      <c r="C252" s="3">
        <v>444.15746175492609</v>
      </c>
      <c r="D252" s="3">
        <v>462.92371652927301</v>
      </c>
      <c r="E252" s="3">
        <v>405.53485289375556</v>
      </c>
      <c r="F252" s="3">
        <v>354.30584413673557</v>
      </c>
      <c r="G252" s="19">
        <v>43959</v>
      </c>
      <c r="H252" s="20">
        <v>266.5625</v>
      </c>
      <c r="I252" s="20">
        <v>39.072916666666671</v>
      </c>
      <c r="J252" s="20">
        <v>29.022916666666671</v>
      </c>
      <c r="K252" s="20">
        <v>0</v>
      </c>
      <c r="L252" s="20">
        <v>230.95833333333334</v>
      </c>
      <c r="M252" s="20">
        <v>13.354166666666666</v>
      </c>
      <c r="N252" s="20">
        <v>2.9583333333333335</v>
      </c>
      <c r="O252" s="20">
        <v>12.970833333333337</v>
      </c>
      <c r="P252" s="10">
        <v>2.5666203821095546</v>
      </c>
      <c r="Q252" s="21">
        <v>0.26989583333333339</v>
      </c>
      <c r="R252" s="21">
        <v>0.37372916666666661</v>
      </c>
      <c r="S252" s="21">
        <v>0.47381249999999975</v>
      </c>
      <c r="T252" s="21">
        <v>0.49572916666666655</v>
      </c>
      <c r="U252" s="21">
        <v>0.46772916666666636</v>
      </c>
      <c r="V252" s="21">
        <v>0.31889583333333343</v>
      </c>
      <c r="W252" s="21">
        <v>0.33258333333333345</v>
      </c>
      <c r="X252" s="21">
        <v>0.29535416666666653</v>
      </c>
      <c r="Y252" s="21">
        <v>0.13552173913043475</v>
      </c>
      <c r="Z252" s="23">
        <f>AVERAGE(Q252,U252)</f>
        <v>0.36881249999999988</v>
      </c>
      <c r="AA252" s="23">
        <f>AVERAGE(R252:T252,V252:X252)</f>
        <v>0.38168402777777771</v>
      </c>
      <c r="AB252" s="23">
        <f t="shared" si="3"/>
        <v>0.37934374999999992</v>
      </c>
    </row>
    <row r="253" spans="1:28">
      <c r="A253" s="9">
        <v>43960</v>
      </c>
      <c r="B253" s="3">
        <v>571.25068718222099</v>
      </c>
      <c r="C253" s="3">
        <v>427.12687869262282</v>
      </c>
      <c r="D253" s="3">
        <v>449.2320250576538</v>
      </c>
      <c r="E253" s="3">
        <v>377.18271246213556</v>
      </c>
      <c r="F253" s="3">
        <v>334.89613557517515</v>
      </c>
      <c r="G253" s="19">
        <v>43960</v>
      </c>
      <c r="H253" s="20">
        <v>266.47916666666669</v>
      </c>
      <c r="I253" s="20">
        <v>51.59375</v>
      </c>
      <c r="J253" s="20">
        <v>26.668749999999999</v>
      </c>
      <c r="K253" s="20">
        <v>0</v>
      </c>
      <c r="L253" s="20">
        <v>228.33333333333334</v>
      </c>
      <c r="M253" s="20">
        <v>12.541666666666666</v>
      </c>
      <c r="N253" s="20">
        <v>1.375</v>
      </c>
      <c r="O253" s="20">
        <v>14.095833333333337</v>
      </c>
      <c r="P253" s="10">
        <v>1.9406293191005999</v>
      </c>
      <c r="Q253" s="21">
        <v>0.26245833333333335</v>
      </c>
      <c r="R253" s="21">
        <v>0.36560416666666673</v>
      </c>
      <c r="S253" s="21">
        <v>0.46687499999999998</v>
      </c>
      <c r="T253" s="21">
        <v>0.47845833333333315</v>
      </c>
      <c r="U253" s="21">
        <v>0.44977083333333329</v>
      </c>
      <c r="V253" s="21">
        <v>0.31597916666666659</v>
      </c>
      <c r="W253" s="21">
        <v>0.32793749999999994</v>
      </c>
      <c r="X253" s="21">
        <v>0.29116666666666641</v>
      </c>
      <c r="Y253" s="21">
        <v>0.12712499999999996</v>
      </c>
      <c r="Z253" s="23">
        <f>AVERAGE(Q253,U253)</f>
        <v>0.35611458333333335</v>
      </c>
      <c r="AA253" s="23">
        <f>AVERAGE(R253:T253,V253:X253)</f>
        <v>0.37433680555555543</v>
      </c>
      <c r="AB253" s="23">
        <f t="shared" si="3"/>
        <v>0.37102367424242416</v>
      </c>
    </row>
    <row r="254" spans="1:28">
      <c r="A254" s="9">
        <v>43961</v>
      </c>
      <c r="B254" s="3">
        <v>516.81694333406324</v>
      </c>
      <c r="C254" s="3">
        <v>360.09959034164331</v>
      </c>
      <c r="D254" s="3">
        <v>339.27311986180172</v>
      </c>
      <c r="E254" s="3">
        <v>305.63038641644619</v>
      </c>
      <c r="F254" s="3">
        <v>276.46450482639432</v>
      </c>
      <c r="G254" s="19">
        <v>43961</v>
      </c>
      <c r="H254" s="20">
        <v>167.97916666666666</v>
      </c>
      <c r="I254" s="20">
        <v>67.637499999999974</v>
      </c>
      <c r="J254" s="20">
        <v>20.825000000000003</v>
      </c>
      <c r="K254" s="20">
        <v>0</v>
      </c>
      <c r="L254" s="20">
        <v>225.375</v>
      </c>
      <c r="M254" s="20">
        <v>7.645833333333333</v>
      </c>
      <c r="N254" s="20">
        <v>0.77083333333333337</v>
      </c>
      <c r="O254" s="20">
        <v>14.46875</v>
      </c>
      <c r="P254" s="10">
        <v>0.84952965248729972</v>
      </c>
      <c r="Q254" s="21">
        <v>0.25602083333333336</v>
      </c>
      <c r="R254" s="21">
        <v>0.35706250000000006</v>
      </c>
      <c r="S254" s="21">
        <v>0.4587499999999996</v>
      </c>
      <c r="T254" s="21">
        <v>0.4644583333333332</v>
      </c>
      <c r="U254" s="21">
        <v>0.43562500000000015</v>
      </c>
      <c r="V254" s="21">
        <v>0.3128749999999999</v>
      </c>
      <c r="W254" s="21">
        <v>0.32454166666666645</v>
      </c>
      <c r="X254" s="21">
        <v>0.28779166666666672</v>
      </c>
      <c r="Y254" s="21">
        <v>0.11894117647058822</v>
      </c>
      <c r="Z254" s="23">
        <f>AVERAGE(Q254,U254)</f>
        <v>0.34582291666666676</v>
      </c>
      <c r="AA254" s="23">
        <f>AVERAGE(R254:T254,V254:X254)</f>
        <v>0.36757986111111102</v>
      </c>
      <c r="AB254" s="23">
        <f t="shared" si="3"/>
        <v>0.36362405303030298</v>
      </c>
    </row>
    <row r="255" spans="1:28">
      <c r="A255" s="9">
        <v>43962</v>
      </c>
      <c r="B255" s="3">
        <v>452.31820806271736</v>
      </c>
      <c r="C255" s="3">
        <v>228.31584162907484</v>
      </c>
      <c r="D255" s="3">
        <v>246.62001355482326</v>
      </c>
      <c r="E255" s="3">
        <v>215.38186925594329</v>
      </c>
      <c r="F255" s="3">
        <v>185.22577082090245</v>
      </c>
      <c r="G255" s="19">
        <v>43962</v>
      </c>
      <c r="H255" s="20">
        <v>151.39583333333334</v>
      </c>
      <c r="I255" s="20">
        <v>75.895833333333314</v>
      </c>
      <c r="J255" s="20">
        <v>19.562500000000004</v>
      </c>
      <c r="K255" s="20">
        <v>11.299999999999999</v>
      </c>
      <c r="L255" s="20">
        <v>210.1875</v>
      </c>
      <c r="M255" s="20">
        <v>7.104166666666667</v>
      </c>
      <c r="N255" s="20">
        <v>0.27083333333333331</v>
      </c>
      <c r="O255" s="20">
        <v>14.854166666666666</v>
      </c>
      <c r="P255" s="10">
        <v>0.59737628498286055</v>
      </c>
      <c r="Q255" s="21">
        <v>0.26002083333333326</v>
      </c>
      <c r="R255" s="21">
        <v>0.35297916666666668</v>
      </c>
      <c r="S255" s="21">
        <v>0.45022916666666668</v>
      </c>
      <c r="T255" s="21">
        <v>0.45587500000000003</v>
      </c>
      <c r="U255" s="21">
        <v>0.43541666666666656</v>
      </c>
      <c r="V255" s="21">
        <v>0.31379166666666675</v>
      </c>
      <c r="W255" s="21">
        <v>0.3225416666666665</v>
      </c>
      <c r="X255" s="21">
        <v>0.28564583333333327</v>
      </c>
      <c r="Y255" s="21">
        <v>0.17817241379310347</v>
      </c>
      <c r="Z255" s="23">
        <f>AVERAGE(Q255,U255)</f>
        <v>0.34771874999999991</v>
      </c>
      <c r="AA255" s="23">
        <f>AVERAGE(R255:T255,V255:X255)</f>
        <v>0.36351041666666667</v>
      </c>
      <c r="AB255" s="23">
        <f t="shared" si="3"/>
        <v>0.36063920454545456</v>
      </c>
    </row>
    <row r="256" spans="1:28">
      <c r="A256" s="9">
        <v>43963</v>
      </c>
      <c r="B256" s="3">
        <v>456.61121654042262</v>
      </c>
      <c r="C256" s="3">
        <v>278.66210144427555</v>
      </c>
      <c r="D256" s="3">
        <v>230.43972110725022</v>
      </c>
      <c r="E256" s="3">
        <v>214.88713665027271</v>
      </c>
      <c r="F256" s="3">
        <v>212.86974753284244</v>
      </c>
      <c r="G256" s="19">
        <v>43963</v>
      </c>
      <c r="H256" s="20">
        <v>108.8125</v>
      </c>
      <c r="I256" s="20">
        <v>72.472916666666677</v>
      </c>
      <c r="J256" s="20">
        <v>17.964583333333326</v>
      </c>
      <c r="K256" s="20">
        <v>0</v>
      </c>
      <c r="L256" s="20">
        <v>201.35416666666666</v>
      </c>
      <c r="M256" s="20">
        <v>5.833333333333333</v>
      </c>
      <c r="N256" s="20">
        <v>0.375</v>
      </c>
      <c r="O256" s="20">
        <v>12.887499999999996</v>
      </c>
      <c r="P256" s="10">
        <v>0.5830936900139444</v>
      </c>
      <c r="Q256" s="21">
        <v>0.25410416666666663</v>
      </c>
      <c r="R256" s="21">
        <v>0.34870833333333323</v>
      </c>
      <c r="S256" s="21">
        <v>0.44437500000000013</v>
      </c>
      <c r="T256" s="21">
        <v>0.4502083333333331</v>
      </c>
      <c r="U256" s="21">
        <v>0.43099999999999961</v>
      </c>
      <c r="V256" s="21">
        <v>0.31279166666666636</v>
      </c>
      <c r="W256" s="21">
        <v>0.3212916666666667</v>
      </c>
      <c r="X256" s="21">
        <v>0.28460416666666699</v>
      </c>
      <c r="Y256" s="21">
        <v>0.1497727272727272</v>
      </c>
      <c r="Z256" s="23">
        <f>AVERAGE(Q256,U256)</f>
        <v>0.34255208333333309</v>
      </c>
      <c r="AA256" s="23">
        <f>AVERAGE(R256:T256,V256:X256)</f>
        <v>0.36032986111111115</v>
      </c>
      <c r="AB256" s="23">
        <f t="shared" si="3"/>
        <v>0.35709753787878784</v>
      </c>
    </row>
    <row r="257" spans="1:28">
      <c r="A257" s="9">
        <v>43964</v>
      </c>
      <c r="B257" s="3">
        <v>651.41308107922896</v>
      </c>
      <c r="C257" s="3">
        <v>401.09389554328902</v>
      </c>
      <c r="D257" s="3">
        <v>368.59771623562449</v>
      </c>
      <c r="E257" s="3">
        <v>308.52277186191515</v>
      </c>
      <c r="F257" s="3">
        <v>314.93577352703193</v>
      </c>
      <c r="G257" s="19">
        <v>43964</v>
      </c>
      <c r="H257" s="20">
        <v>203.6875</v>
      </c>
      <c r="I257" s="20">
        <v>73.997916666666654</v>
      </c>
      <c r="J257" s="20">
        <v>22.216666666666665</v>
      </c>
      <c r="K257" s="20">
        <v>0</v>
      </c>
      <c r="L257" s="20">
        <v>231.64583333333334</v>
      </c>
      <c r="M257" s="20">
        <v>19.416666666666668</v>
      </c>
      <c r="N257" s="20">
        <v>5.395833333333333</v>
      </c>
      <c r="O257" s="20">
        <v>17.162499999999998</v>
      </c>
      <c r="P257" s="10">
        <v>0.77101966255554544</v>
      </c>
      <c r="Q257" s="21">
        <v>0.25208333333333327</v>
      </c>
      <c r="R257" s="21">
        <v>0.34520833333333328</v>
      </c>
      <c r="S257" s="21">
        <v>0.43991666666666657</v>
      </c>
      <c r="T257" s="21">
        <v>0.44339583333333338</v>
      </c>
      <c r="U257" s="21">
        <v>0.42756249999999979</v>
      </c>
      <c r="V257" s="21">
        <v>0.31112500000000004</v>
      </c>
      <c r="W257" s="21">
        <v>0.31925000000000009</v>
      </c>
      <c r="X257" s="21">
        <v>0.28320833333333323</v>
      </c>
      <c r="Y257" s="21">
        <v>0.14174468085106381</v>
      </c>
      <c r="Z257" s="23">
        <f>AVERAGE(Q257,U257)</f>
        <v>0.33982291666666653</v>
      </c>
      <c r="AA257" s="23">
        <f>AVERAGE(R257:T257,V257:X257)</f>
        <v>0.3570173611111111</v>
      </c>
      <c r="AB257" s="23">
        <f t="shared" si="3"/>
        <v>0.35389109848484851</v>
      </c>
    </row>
    <row r="258" spans="1:28">
      <c r="A258" s="9">
        <v>43965</v>
      </c>
      <c r="B258" s="3">
        <v>638.04770415704809</v>
      </c>
      <c r="C258" s="3">
        <v>402.06313958625918</v>
      </c>
      <c r="D258" s="3">
        <v>367.14289784841588</v>
      </c>
      <c r="E258" s="3">
        <v>304.89818308354796</v>
      </c>
      <c r="F258" s="3">
        <v>332.17486573185732</v>
      </c>
      <c r="G258" s="19">
        <v>43965</v>
      </c>
      <c r="H258" s="20">
        <v>215.625</v>
      </c>
      <c r="I258" s="20">
        <v>67.756250000000009</v>
      </c>
      <c r="J258" s="20">
        <v>23.027083333333323</v>
      </c>
      <c r="K258" s="20">
        <v>0</v>
      </c>
      <c r="L258" s="20">
        <v>236.02083333333334</v>
      </c>
      <c r="M258" s="20">
        <v>7.958333333333333</v>
      </c>
      <c r="N258" s="20">
        <v>0.97916666666666663</v>
      </c>
      <c r="O258" s="20">
        <v>16.341666666666665</v>
      </c>
      <c r="P258" s="10">
        <v>1.0125076451467236</v>
      </c>
      <c r="Q258" s="21">
        <v>0.24991666666666665</v>
      </c>
      <c r="R258" s="21">
        <v>0.34254166666666658</v>
      </c>
      <c r="S258" s="21">
        <v>0.43729166666666641</v>
      </c>
      <c r="T258" s="21">
        <v>0.43595833333333317</v>
      </c>
      <c r="U258" s="21">
        <v>0.42437499999999967</v>
      </c>
      <c r="V258" s="21">
        <v>0.31050000000000022</v>
      </c>
      <c r="W258" s="21">
        <v>0.31754166666666689</v>
      </c>
      <c r="X258" s="21">
        <v>0.28106249999999972</v>
      </c>
      <c r="Y258" s="21">
        <v>0.13020833333333334</v>
      </c>
      <c r="Z258" s="23">
        <f>AVERAGE(Q258,U258)</f>
        <v>0.33714583333333314</v>
      </c>
      <c r="AA258" s="23">
        <f>AVERAGE(R258:T258,V258:X258)</f>
        <v>0.35414930555555552</v>
      </c>
      <c r="AB258" s="23">
        <f t="shared" si="3"/>
        <v>0.3510577651515151</v>
      </c>
    </row>
    <row r="259" spans="1:28">
      <c r="A259" s="9">
        <v>43966</v>
      </c>
      <c r="B259" s="3">
        <v>562.4644680318595</v>
      </c>
      <c r="C259" s="3">
        <v>272.39138700531754</v>
      </c>
      <c r="D259" s="3">
        <v>284.4319212033264</v>
      </c>
      <c r="E259" s="3">
        <v>266.86346738830474</v>
      </c>
      <c r="F259" s="3">
        <v>270.94808334787064</v>
      </c>
      <c r="G259" s="19">
        <v>43966</v>
      </c>
      <c r="H259" s="20">
        <v>198.83333333333334</v>
      </c>
      <c r="I259" s="20">
        <v>73.416666666666671</v>
      </c>
      <c r="J259" s="20">
        <v>21.216666666666669</v>
      </c>
      <c r="K259" s="20">
        <v>9.5</v>
      </c>
      <c r="L259" s="20">
        <v>227.04166666666666</v>
      </c>
      <c r="M259" s="20">
        <v>5.5625</v>
      </c>
      <c r="N259" s="20">
        <v>0.35416666666666669</v>
      </c>
      <c r="O259" s="20">
        <v>15.827083333333333</v>
      </c>
      <c r="P259" s="10">
        <v>0.80369608200246112</v>
      </c>
      <c r="Q259" s="21">
        <v>0.24862500000000007</v>
      </c>
      <c r="R259" s="21">
        <v>0.3402291666666668</v>
      </c>
      <c r="S259" s="21">
        <v>0.43402083333333308</v>
      </c>
      <c r="T259" s="21">
        <v>0.43179166666666652</v>
      </c>
      <c r="U259" s="21">
        <v>0.42375000000000007</v>
      </c>
      <c r="V259" s="21">
        <v>0.31095833333333356</v>
      </c>
      <c r="W259" s="21">
        <v>0.31635416666666688</v>
      </c>
      <c r="X259" s="21">
        <v>0.27964583333333337</v>
      </c>
      <c r="Y259" s="21">
        <v>0.18177083333333333</v>
      </c>
      <c r="Z259" s="23">
        <f>AVERAGE(Q259,U259)</f>
        <v>0.33618750000000008</v>
      </c>
      <c r="AA259" s="23">
        <f>AVERAGE(R259:T259,V259:X259)</f>
        <v>0.35216666666666674</v>
      </c>
      <c r="AB259" s="23">
        <f t="shared" si="3"/>
        <v>0.34926136363636373</v>
      </c>
    </row>
    <row r="260" spans="1:28">
      <c r="A260" s="9">
        <v>43967</v>
      </c>
      <c r="B260" s="3">
        <v>643.0482498263375</v>
      </c>
      <c r="C260" s="3">
        <v>310.95972854264909</v>
      </c>
      <c r="D260" s="3">
        <v>320.53969564127163</v>
      </c>
      <c r="E260" s="3">
        <v>278.98655994133276</v>
      </c>
      <c r="F260" s="3">
        <v>251.28832673419231</v>
      </c>
      <c r="G260" s="19">
        <v>43967</v>
      </c>
      <c r="H260" s="20">
        <v>200.35416666666666</v>
      </c>
      <c r="I260" s="20">
        <v>71.591666666666669</v>
      </c>
      <c r="J260" s="20">
        <v>22.137500000000003</v>
      </c>
      <c r="K260" s="20">
        <v>0.2</v>
      </c>
      <c r="L260" s="20">
        <v>232.60416666666666</v>
      </c>
      <c r="M260" s="20">
        <v>6.104166666666667</v>
      </c>
      <c r="N260" s="20">
        <v>0.20833333333333334</v>
      </c>
      <c r="O260" s="20">
        <v>16.429166666666667</v>
      </c>
      <c r="P260" s="10">
        <v>0.84092451406757951</v>
      </c>
      <c r="Q260" s="21">
        <v>0.24852083333333316</v>
      </c>
      <c r="R260" s="21">
        <v>0.33908333333333301</v>
      </c>
      <c r="S260" s="21">
        <v>0.43239583333333337</v>
      </c>
      <c r="T260" s="21">
        <v>0.42885416666666659</v>
      </c>
      <c r="U260" s="21">
        <v>0.4229583333333336</v>
      </c>
      <c r="V260" s="21">
        <v>0.31033333333333352</v>
      </c>
      <c r="W260" s="21">
        <v>0.3151666666666666</v>
      </c>
      <c r="X260" s="21">
        <v>0.27881250000000019</v>
      </c>
      <c r="Y260" s="21">
        <v>0.15620833333333328</v>
      </c>
      <c r="Z260" s="23">
        <f>AVERAGE(Q260,U260)</f>
        <v>0.33573958333333337</v>
      </c>
      <c r="AA260" s="23">
        <f>AVERAGE(R260:T260,V260:X260)</f>
        <v>0.35077430555555561</v>
      </c>
      <c r="AB260" s="23">
        <f t="shared" si="3"/>
        <v>0.34804071969696976</v>
      </c>
    </row>
    <row r="261" spans="1:28">
      <c r="A261" s="9">
        <v>43968</v>
      </c>
      <c r="B261" s="3">
        <v>178.74479678134367</v>
      </c>
      <c r="C261" s="3">
        <v>88.136477300571215</v>
      </c>
      <c r="D261" s="3">
        <v>84.513411519424423</v>
      </c>
      <c r="E261" s="3">
        <v>96.176030666314858</v>
      </c>
      <c r="F261" s="3">
        <v>86.406194239018006</v>
      </c>
      <c r="G261" s="19">
        <v>43968</v>
      </c>
      <c r="H261" s="20">
        <v>99.0625</v>
      </c>
      <c r="I261" s="20">
        <v>88.400000000000034</v>
      </c>
      <c r="J261" s="20">
        <v>17.595833333333328</v>
      </c>
      <c r="K261" s="20">
        <v>11.5</v>
      </c>
      <c r="L261" s="20">
        <v>215.14583333333334</v>
      </c>
      <c r="M261" s="20">
        <v>1.8125</v>
      </c>
      <c r="N261" s="20">
        <v>0</v>
      </c>
      <c r="O261" s="20">
        <v>15.554166666666662</v>
      </c>
      <c r="P261" s="10">
        <v>0.25709240959669238</v>
      </c>
      <c r="Q261" s="21">
        <v>0.24779166666666652</v>
      </c>
      <c r="R261" s="21">
        <v>0.33641666666666681</v>
      </c>
      <c r="S261" s="21">
        <v>0.42981249999999971</v>
      </c>
      <c r="T261" s="21">
        <v>0.42656249999999951</v>
      </c>
      <c r="U261" s="21">
        <v>0.41920833333333335</v>
      </c>
      <c r="V261" s="21">
        <v>0.30993750000000003</v>
      </c>
      <c r="W261" s="21">
        <v>0.31425000000000008</v>
      </c>
      <c r="X261" s="21">
        <v>0.27777083333333336</v>
      </c>
      <c r="Y261" s="21">
        <v>0.18058333333333335</v>
      </c>
      <c r="Z261" s="23">
        <f>AVERAGE(Q261,U261)</f>
        <v>0.33349999999999991</v>
      </c>
      <c r="AA261" s="23">
        <f>AVERAGE(R261:T261,V261:X261)</f>
        <v>0.34912499999999991</v>
      </c>
      <c r="AB261" s="23">
        <f t="shared" si="3"/>
        <v>0.34628409090909079</v>
      </c>
    </row>
    <row r="262" spans="1:28">
      <c r="A262" s="9">
        <v>43969</v>
      </c>
      <c r="B262" s="3">
        <v>647.11171438269457</v>
      </c>
      <c r="C262" s="3">
        <v>292.93399192293958</v>
      </c>
      <c r="D262" s="3">
        <v>340.37708242325846</v>
      </c>
      <c r="E262" s="3">
        <v>306.67099111588658</v>
      </c>
      <c r="F262" s="3">
        <v>272.10617525550248</v>
      </c>
      <c r="G262" s="19">
        <v>43969</v>
      </c>
      <c r="H262" s="20">
        <v>266.8125</v>
      </c>
      <c r="I262" s="20">
        <v>65.349999999999994</v>
      </c>
      <c r="J262" s="20">
        <v>21.635416666666671</v>
      </c>
      <c r="K262" s="20">
        <v>0</v>
      </c>
      <c r="L262" s="20">
        <v>212.375</v>
      </c>
      <c r="M262" s="20">
        <v>3.8958333333333335</v>
      </c>
      <c r="N262" s="20">
        <v>0.10416666666666667</v>
      </c>
      <c r="O262" s="20">
        <v>13.310416666666667</v>
      </c>
      <c r="P262" s="10">
        <v>1.1595179633070989</v>
      </c>
      <c r="Q262" s="21">
        <v>0.24770833333333322</v>
      </c>
      <c r="R262" s="21">
        <v>0.3353125000000004</v>
      </c>
      <c r="S262" s="21">
        <v>0.42752083333333318</v>
      </c>
      <c r="T262" s="21">
        <v>0.42485416666666631</v>
      </c>
      <c r="U262" s="21">
        <v>0.41789583333333313</v>
      </c>
      <c r="V262" s="21">
        <v>0.30918749999999973</v>
      </c>
      <c r="W262" s="21">
        <v>0.31347916666666686</v>
      </c>
      <c r="X262" s="21">
        <v>0.27741666666666642</v>
      </c>
      <c r="Y262" s="21">
        <v>0.19387500000000005</v>
      </c>
      <c r="Z262" s="23">
        <f>AVERAGE(Q262,U262)</f>
        <v>0.33280208333333317</v>
      </c>
      <c r="AA262" s="23">
        <f>AVERAGE(R262:T262,V262:X262)</f>
        <v>0.3479618055555555</v>
      </c>
      <c r="AB262" s="23">
        <f t="shared" ref="AB262:AB325" si="4">(Z262*10+AA262*45)/55</f>
        <v>0.34520549242424231</v>
      </c>
    </row>
    <row r="263" spans="1:28">
      <c r="A263" s="9">
        <v>43970</v>
      </c>
      <c r="B263" s="3">
        <v>560.70997344779175</v>
      </c>
      <c r="C263" s="3">
        <v>253.98390795427531</v>
      </c>
      <c r="D263" s="3">
        <v>246.7960796785531</v>
      </c>
      <c r="E263" s="3">
        <v>244.55477991830452</v>
      </c>
      <c r="F263" s="3">
        <v>302.95439344288366</v>
      </c>
      <c r="G263" s="19">
        <v>43970</v>
      </c>
      <c r="H263" s="20">
        <v>144.83333333333334</v>
      </c>
      <c r="I263" s="20">
        <v>72.399999999999991</v>
      </c>
      <c r="J263" s="20">
        <v>21.545833333333334</v>
      </c>
      <c r="K263" s="20">
        <v>13.2</v>
      </c>
      <c r="L263" s="20">
        <v>216.58333333333334</v>
      </c>
      <c r="M263" s="20">
        <v>9.375</v>
      </c>
      <c r="N263" s="20">
        <v>1.5</v>
      </c>
      <c r="O263" s="20">
        <v>16.191666666666666</v>
      </c>
      <c r="P263" s="10">
        <v>0.7414286302599411</v>
      </c>
      <c r="Q263" s="21">
        <v>0.24779166666666672</v>
      </c>
      <c r="R263" s="21">
        <v>0.33458333333333323</v>
      </c>
      <c r="S263" s="21">
        <v>0.42614583333333339</v>
      </c>
      <c r="T263" s="21">
        <v>0.42266666666666675</v>
      </c>
      <c r="U263" s="21">
        <v>0.41752083333333362</v>
      </c>
      <c r="V263" s="21">
        <v>0.30868749999999995</v>
      </c>
      <c r="W263" s="21">
        <v>0.31235416666666643</v>
      </c>
      <c r="X263" s="21">
        <v>0.27656249999999999</v>
      </c>
      <c r="Y263" s="21">
        <v>0.166625</v>
      </c>
      <c r="Z263" s="23">
        <f>AVERAGE(Q263,U263)</f>
        <v>0.33265625000000015</v>
      </c>
      <c r="AA263" s="23">
        <f>AVERAGE(R263:T263,V263:X263)</f>
        <v>0.34683333333333333</v>
      </c>
      <c r="AB263" s="23">
        <f t="shared" si="4"/>
        <v>0.34425568181818189</v>
      </c>
    </row>
    <row r="264" spans="1:28">
      <c r="A264" s="9">
        <v>43971</v>
      </c>
      <c r="B264" s="3">
        <v>584.03680638463322</v>
      </c>
      <c r="C264" s="3">
        <v>296.31259123383842</v>
      </c>
      <c r="D264" s="3">
        <v>314.42209102767163</v>
      </c>
      <c r="E264" s="3">
        <v>293.3668220735608</v>
      </c>
      <c r="F264" s="3">
        <v>302.68153401510773</v>
      </c>
      <c r="G264" s="19">
        <v>43971</v>
      </c>
      <c r="H264" s="20">
        <v>180.14583333333334</v>
      </c>
      <c r="I264" s="20">
        <v>77.627083333333331</v>
      </c>
      <c r="J264" s="20">
        <v>23.635416666666668</v>
      </c>
      <c r="K264" s="20">
        <v>0.5</v>
      </c>
      <c r="L264" s="20">
        <v>230.54166666666666</v>
      </c>
      <c r="M264" s="20">
        <v>8.25</v>
      </c>
      <c r="N264" s="20">
        <v>0.85416666666666663</v>
      </c>
      <c r="O264" s="20">
        <v>19.250000000000004</v>
      </c>
      <c r="P264" s="10">
        <v>0.74059744913919745</v>
      </c>
      <c r="Q264" s="21">
        <v>0.2616458333333333</v>
      </c>
      <c r="R264" s="21">
        <v>0.34562500000000007</v>
      </c>
      <c r="S264" s="21">
        <v>0.42654166666666665</v>
      </c>
      <c r="T264" s="21">
        <v>0.422645833333333</v>
      </c>
      <c r="U264" s="21">
        <v>0.42993750000000036</v>
      </c>
      <c r="V264" s="21">
        <v>0.30991666666666684</v>
      </c>
      <c r="W264" s="21">
        <v>0.31197916666666647</v>
      </c>
      <c r="X264" s="21">
        <v>0.27583333333333321</v>
      </c>
      <c r="Y264" s="21">
        <v>0.21647500000000006</v>
      </c>
      <c r="Z264" s="23">
        <f>AVERAGE(Q264,U264)</f>
        <v>0.34579166666666683</v>
      </c>
      <c r="AA264" s="23">
        <f>AVERAGE(R264:T264,V264:X264)</f>
        <v>0.34875694444444433</v>
      </c>
      <c r="AB264" s="23">
        <f t="shared" si="4"/>
        <v>0.34821780303030297</v>
      </c>
    </row>
    <row r="265" spans="1:28">
      <c r="A265" s="9">
        <v>43972</v>
      </c>
      <c r="B265" s="3">
        <v>332.22280288736357</v>
      </c>
      <c r="C265" s="3">
        <v>209.00609310400054</v>
      </c>
      <c r="D265" s="3">
        <v>157.67557860960073</v>
      </c>
      <c r="E265" s="3">
        <v>181.11943180434088</v>
      </c>
      <c r="F265" s="3">
        <v>179.20262790287856</v>
      </c>
      <c r="G265" s="19">
        <v>43972</v>
      </c>
      <c r="H265" s="20">
        <v>91.416666666666671</v>
      </c>
      <c r="I265" s="20">
        <v>85.308333333333323</v>
      </c>
      <c r="J265" s="20">
        <v>20.602083333333333</v>
      </c>
      <c r="K265" s="20">
        <v>7.1</v>
      </c>
      <c r="L265" s="20">
        <v>163.0625</v>
      </c>
      <c r="M265" s="20">
        <v>4.208333333333333</v>
      </c>
      <c r="N265" s="20">
        <v>2.0833333333333332E-2</v>
      </c>
      <c r="O265" s="20">
        <v>17.977083333333329</v>
      </c>
      <c r="P265" s="10">
        <v>0.37525099445971888</v>
      </c>
      <c r="Q265" s="21">
        <v>0.26672916666666685</v>
      </c>
      <c r="R265" s="21">
        <v>0.35606249999999989</v>
      </c>
      <c r="S265" s="21">
        <v>0.43412500000000026</v>
      </c>
      <c r="T265" s="21">
        <v>0.42556249999999984</v>
      </c>
      <c r="U265" s="21">
        <v>0.4501666666666666</v>
      </c>
      <c r="V265" s="21">
        <v>0.31168749999999984</v>
      </c>
      <c r="W265" s="21">
        <v>0.31333333333333341</v>
      </c>
      <c r="X265" s="21">
        <v>0.27637499999999965</v>
      </c>
      <c r="Y265" s="21">
        <v>0.22602325581395347</v>
      </c>
      <c r="Z265" s="23">
        <f>AVERAGE(Q265,U265)</f>
        <v>0.35844791666666675</v>
      </c>
      <c r="AA265" s="23">
        <f>AVERAGE(R265:T265,V265:X265)</f>
        <v>0.35285763888888882</v>
      </c>
      <c r="AB265" s="23">
        <f t="shared" si="4"/>
        <v>0.353874053030303</v>
      </c>
    </row>
    <row r="266" spans="1:28">
      <c r="A266" s="9">
        <v>43973</v>
      </c>
      <c r="B266" s="3">
        <v>537.81895680985906</v>
      </c>
      <c r="C266" s="3">
        <v>300.38125110856413</v>
      </c>
      <c r="D266" s="3">
        <v>262.13295074464628</v>
      </c>
      <c r="E266" s="3">
        <v>236.51800096992363</v>
      </c>
      <c r="F266" s="3">
        <v>217.29184445598835</v>
      </c>
      <c r="G266" s="19">
        <v>43973</v>
      </c>
      <c r="H266" s="20">
        <v>120.83333333333333</v>
      </c>
      <c r="I266" s="20">
        <v>79.643750000000011</v>
      </c>
      <c r="J266" s="20">
        <v>19.235416666666662</v>
      </c>
      <c r="K266" s="20">
        <v>0.7</v>
      </c>
      <c r="L266" s="20">
        <v>175.8125</v>
      </c>
      <c r="M266" s="20">
        <v>2.6458333333333335</v>
      </c>
      <c r="N266" s="20">
        <v>0</v>
      </c>
      <c r="O266" s="20">
        <v>15.483333333333336</v>
      </c>
      <c r="P266" s="10">
        <v>0.48758419530153557</v>
      </c>
      <c r="Q266" s="21">
        <v>0.26170833333333332</v>
      </c>
      <c r="R266" s="21">
        <v>0.35093750000000012</v>
      </c>
      <c r="S266" s="21">
        <v>0.43254166666666682</v>
      </c>
      <c r="T266" s="21">
        <v>0.42712499999999975</v>
      </c>
      <c r="U266" s="21">
        <v>0.44197916666666659</v>
      </c>
      <c r="V266" s="21">
        <v>0.31097916666666675</v>
      </c>
      <c r="W266" s="21">
        <v>0.31416666666666665</v>
      </c>
      <c r="X266" s="21">
        <v>0.27699999999999975</v>
      </c>
      <c r="Y266" s="21">
        <v>0.20413157894736841</v>
      </c>
      <c r="Z266" s="23">
        <f>AVERAGE(Q266,U266)</f>
        <v>0.35184374999999996</v>
      </c>
      <c r="AA266" s="23">
        <f>AVERAGE(R266:T266,V266:X266)</f>
        <v>0.35212500000000002</v>
      </c>
      <c r="AB266" s="23">
        <f t="shared" si="4"/>
        <v>0.35207386363636367</v>
      </c>
    </row>
    <row r="267" spans="1:28">
      <c r="A267" s="9">
        <v>43974</v>
      </c>
      <c r="B267" s="3">
        <v>376.79702214538713</v>
      </c>
      <c r="C267" s="3">
        <v>200.71965564622917</v>
      </c>
      <c r="D267" s="3">
        <v>137.7489629151477</v>
      </c>
      <c r="E267" s="3">
        <v>145.89842952111587</v>
      </c>
      <c r="F267" s="3">
        <v>136.06641890011252</v>
      </c>
      <c r="G267" s="19">
        <v>43974</v>
      </c>
      <c r="H267" s="20">
        <v>58.395833333333336</v>
      </c>
      <c r="I267" s="20">
        <v>73.331250000000026</v>
      </c>
      <c r="J267" s="20">
        <v>18.579166666666669</v>
      </c>
      <c r="K267" s="20">
        <v>0</v>
      </c>
      <c r="L267" s="20">
        <v>112.20833333333333</v>
      </c>
      <c r="M267" s="20">
        <v>0.3125</v>
      </c>
      <c r="N267" s="20">
        <v>0</v>
      </c>
      <c r="O267" s="20">
        <v>13.68125</v>
      </c>
      <c r="P267" s="10">
        <v>0.57999059396266039</v>
      </c>
      <c r="Q267" s="21">
        <v>0.25650000000000023</v>
      </c>
      <c r="R267" s="21">
        <v>0.34518749999999998</v>
      </c>
      <c r="S267" s="21">
        <v>0.42999999999999966</v>
      </c>
      <c r="T267" s="21">
        <v>0.42656249999999951</v>
      </c>
      <c r="U267" s="21">
        <v>0.4331041666666664</v>
      </c>
      <c r="V267" s="21">
        <v>0.30997916666666669</v>
      </c>
      <c r="W267" s="21">
        <v>0.31452083333333331</v>
      </c>
      <c r="X267" s="21">
        <v>0.27695833333333314</v>
      </c>
      <c r="Y267" s="21">
        <v>0.18107999999999994</v>
      </c>
      <c r="Z267" s="23">
        <f>AVERAGE(Q267,U267)</f>
        <v>0.34480208333333329</v>
      </c>
      <c r="AA267" s="23">
        <f>AVERAGE(R267:T267,V267:X267)</f>
        <v>0.35053472222222209</v>
      </c>
      <c r="AB267" s="23">
        <f t="shared" si="4"/>
        <v>0.3494924242424241</v>
      </c>
    </row>
    <row r="268" spans="1:28">
      <c r="A268" s="9">
        <v>43975</v>
      </c>
      <c r="B268" s="3">
        <v>24.542270169966262</v>
      </c>
      <c r="C268" s="3">
        <v>4.1928251502278195</v>
      </c>
      <c r="D268" s="3">
        <v>1.1670253499741889</v>
      </c>
      <c r="E268" s="3">
        <v>6.3049476465571769E-2</v>
      </c>
      <c r="F268" s="3">
        <v>0</v>
      </c>
      <c r="G268" s="19">
        <v>43975</v>
      </c>
      <c r="H268" s="20">
        <v>39.604166666666664</v>
      </c>
      <c r="I268" s="20">
        <v>89.32083333333334</v>
      </c>
      <c r="J268" s="20">
        <v>15.539583333333333</v>
      </c>
      <c r="K268" s="20">
        <v>37.9</v>
      </c>
      <c r="L268" s="20">
        <v>235.66666666666666</v>
      </c>
      <c r="M268" s="20">
        <v>1.875</v>
      </c>
      <c r="N268" s="20">
        <v>0</v>
      </c>
      <c r="O268" s="20">
        <v>13.72291666666667</v>
      </c>
      <c r="P268" s="10">
        <v>0.19487178246824735</v>
      </c>
      <c r="Q268" s="21">
        <v>0.26956249999999987</v>
      </c>
      <c r="R268" s="21">
        <v>0.36629166666666668</v>
      </c>
      <c r="S268" s="21">
        <v>0.43941666666666662</v>
      </c>
      <c r="T268" s="21">
        <v>0.44579166666666664</v>
      </c>
      <c r="U268" s="21">
        <v>0.48447916666666674</v>
      </c>
      <c r="V268" s="21">
        <v>0.31254166666666666</v>
      </c>
      <c r="W268" s="21">
        <v>0.31439583333333337</v>
      </c>
      <c r="X268" s="21">
        <v>0.27579166666666671</v>
      </c>
      <c r="Y268" s="21">
        <v>0.22833333333333336</v>
      </c>
      <c r="Z268" s="23">
        <f>AVERAGE(Q268,U268)</f>
        <v>0.37702083333333331</v>
      </c>
      <c r="AA268" s="23">
        <f>AVERAGE(R268:T268,V268:X268)</f>
        <v>0.35903819444444446</v>
      </c>
      <c r="AB268" s="23">
        <f t="shared" si="4"/>
        <v>0.36230776515151514</v>
      </c>
    </row>
    <row r="269" spans="1:28">
      <c r="A269" s="9">
        <v>43976</v>
      </c>
      <c r="B269" s="3">
        <v>334.75968850128555</v>
      </c>
      <c r="C269" s="3">
        <v>117.30579449981634</v>
      </c>
      <c r="D269" s="3">
        <v>179.33252283691544</v>
      </c>
      <c r="E269" s="3">
        <v>153.62458802744632</v>
      </c>
      <c r="F269" s="3">
        <v>119.59616962965899</v>
      </c>
      <c r="G269" s="19">
        <v>43976</v>
      </c>
      <c r="H269" s="20">
        <v>115.60416666666667</v>
      </c>
      <c r="I269" s="20">
        <v>84.504166666666663</v>
      </c>
      <c r="J269" s="20">
        <v>16.266666666666669</v>
      </c>
      <c r="K269" s="20">
        <v>3.8000000000000003</v>
      </c>
      <c r="L269" s="20">
        <v>183.0625</v>
      </c>
      <c r="M269" s="20">
        <v>4.208333333333333</v>
      </c>
      <c r="N269" s="20">
        <v>0</v>
      </c>
      <c r="O269" s="20">
        <v>13.520833333333336</v>
      </c>
      <c r="P269" s="10">
        <v>0.3174508855994907</v>
      </c>
      <c r="Q269" s="21">
        <v>0.28668750000000004</v>
      </c>
      <c r="R269" s="21">
        <v>0.39547916666666655</v>
      </c>
      <c r="S269" s="21">
        <v>0.46916666666666673</v>
      </c>
      <c r="T269" s="21">
        <v>0.49322916666666644</v>
      </c>
      <c r="U269" s="21">
        <v>0.54983333333333351</v>
      </c>
      <c r="V269" s="21">
        <v>0.35189583333333324</v>
      </c>
      <c r="W269" s="21">
        <v>0.31731250000000005</v>
      </c>
      <c r="X269" s="21">
        <v>0.27447916666666683</v>
      </c>
      <c r="Y269" s="21">
        <v>0.25800000000000001</v>
      </c>
      <c r="Z269" s="23">
        <f>AVERAGE(Q269,U269)</f>
        <v>0.4182604166666668</v>
      </c>
      <c r="AA269" s="23">
        <f>AVERAGE(R269:T269,V269:X269)</f>
        <v>0.38359375000000001</v>
      </c>
      <c r="AB269" s="23">
        <f t="shared" si="4"/>
        <v>0.38989678030303032</v>
      </c>
    </row>
    <row r="270" spans="1:28">
      <c r="A270" s="9">
        <v>43977</v>
      </c>
      <c r="B270" s="3">
        <v>493.47583472833236</v>
      </c>
      <c r="C270" s="3">
        <v>196.6709111432838</v>
      </c>
      <c r="D270" s="3">
        <v>259.07576846884882</v>
      </c>
      <c r="E270" s="3">
        <v>198.95120174641838</v>
      </c>
      <c r="F270" s="3">
        <v>174.16233289521094</v>
      </c>
      <c r="G270" s="19">
        <v>43977</v>
      </c>
      <c r="H270" s="20">
        <v>95.791666666666671</v>
      </c>
      <c r="I270" s="20">
        <v>74.529166666666669</v>
      </c>
      <c r="J270" s="20">
        <v>16.022916666666667</v>
      </c>
      <c r="K270" s="20">
        <v>0</v>
      </c>
      <c r="L270" s="20">
        <v>190.16666666666666</v>
      </c>
      <c r="M270" s="20">
        <v>2.1666666666666665</v>
      </c>
      <c r="N270" s="20">
        <v>0</v>
      </c>
      <c r="O270" s="20">
        <v>11.385416666666664</v>
      </c>
      <c r="P270" s="10">
        <v>0.4901249099171025</v>
      </c>
      <c r="Q270" s="21">
        <v>0.28156249999999972</v>
      </c>
      <c r="R270" s="21">
        <v>0.38995833333333341</v>
      </c>
      <c r="S270" s="21">
        <v>0.46862500000000001</v>
      </c>
      <c r="T270" s="21">
        <v>0.49031249999999998</v>
      </c>
      <c r="U270" s="21">
        <v>0.54062499999999991</v>
      </c>
      <c r="V270" s="21">
        <v>0.34716666666666679</v>
      </c>
      <c r="W270" s="21">
        <v>0.32033333333333325</v>
      </c>
      <c r="X270" s="21">
        <v>0.27560416666666659</v>
      </c>
      <c r="Y270" s="21">
        <v>0.23385416666666684</v>
      </c>
      <c r="Z270" s="23">
        <f>AVERAGE(Q270,U270)</f>
        <v>0.41109374999999981</v>
      </c>
      <c r="AA270" s="23">
        <f>AVERAGE(R270:T270,V270:X270)</f>
        <v>0.38200000000000006</v>
      </c>
      <c r="AB270" s="23">
        <f t="shared" si="4"/>
        <v>0.38728977272727272</v>
      </c>
    </row>
    <row r="271" spans="1:28">
      <c r="A271" s="9">
        <v>43978</v>
      </c>
      <c r="B271" s="3">
        <v>300.75032433422558</v>
      </c>
      <c r="C271" s="3">
        <v>121.93546506834822</v>
      </c>
      <c r="D271" s="3">
        <v>152.61686057341842</v>
      </c>
      <c r="E271" s="3">
        <v>126.59000618830727</v>
      </c>
      <c r="F271" s="3">
        <v>110.09423389293819</v>
      </c>
      <c r="G271" s="19">
        <v>43978</v>
      </c>
      <c r="H271" s="20">
        <v>68.708333333333329</v>
      </c>
      <c r="I271" s="20">
        <v>78.208333333333357</v>
      </c>
      <c r="J271" s="20">
        <v>15.049999999999997</v>
      </c>
      <c r="K271" s="20">
        <v>0</v>
      </c>
      <c r="L271" s="20">
        <v>211.66666666666666</v>
      </c>
      <c r="M271" s="20">
        <v>2.9583333333333335</v>
      </c>
      <c r="N271" s="20">
        <v>0</v>
      </c>
      <c r="O271" s="20">
        <v>11.222916666666665</v>
      </c>
      <c r="P271" s="10">
        <v>0.3829310511770842</v>
      </c>
      <c r="Q271" s="21">
        <v>0.27804166666666646</v>
      </c>
      <c r="R271" s="21">
        <v>0.38531250000000011</v>
      </c>
      <c r="S271" s="21">
        <v>0.46497916666666667</v>
      </c>
      <c r="T271" s="21">
        <v>0.48708333333333348</v>
      </c>
      <c r="U271" s="21">
        <v>0.53199999999999992</v>
      </c>
      <c r="V271" s="21">
        <v>0.34241666666666654</v>
      </c>
      <c r="W271" s="21">
        <v>0.32241666666666674</v>
      </c>
      <c r="X271" s="21">
        <v>0.27639583333333306</v>
      </c>
      <c r="Y271" s="21">
        <v>0.22145833333333342</v>
      </c>
      <c r="Z271" s="23">
        <f>AVERAGE(Q271,U271)</f>
        <v>0.40502083333333316</v>
      </c>
      <c r="AA271" s="23">
        <f>AVERAGE(R271:T271,V271:X271)</f>
        <v>0.37976736111111103</v>
      </c>
      <c r="AB271" s="23">
        <f t="shared" si="4"/>
        <v>0.38435890151515145</v>
      </c>
    </row>
    <row r="272" spans="1:28">
      <c r="A272" s="9">
        <v>43979</v>
      </c>
      <c r="B272" s="3">
        <v>83.723102193682109</v>
      </c>
      <c r="C272" s="3">
        <v>47.535539775264645</v>
      </c>
      <c r="D272" s="3">
        <v>47.540200947494021</v>
      </c>
      <c r="E272" s="3">
        <v>47.482068345448688</v>
      </c>
      <c r="F272" s="3">
        <v>43.733522881455116</v>
      </c>
      <c r="G272" s="19">
        <v>43979</v>
      </c>
      <c r="H272" s="20">
        <v>46.895833333333336</v>
      </c>
      <c r="I272" s="20">
        <v>88.512499999999989</v>
      </c>
      <c r="J272" s="20">
        <v>14.625</v>
      </c>
      <c r="K272" s="20">
        <v>1.5</v>
      </c>
      <c r="L272" s="20">
        <v>255.875</v>
      </c>
      <c r="M272" s="20">
        <v>1.8333333333333333</v>
      </c>
      <c r="N272" s="20">
        <v>4.1666666666666664E-2</v>
      </c>
      <c r="O272" s="20">
        <v>12.733333333333333</v>
      </c>
      <c r="P272" s="10">
        <v>0.19397741541052704</v>
      </c>
      <c r="Q272" s="21">
        <v>0.27670833333333306</v>
      </c>
      <c r="R272" s="21">
        <v>0.38191666666666668</v>
      </c>
      <c r="S272" s="21">
        <v>0.4623333333333331</v>
      </c>
      <c r="T272" s="21">
        <v>0.48472916666666704</v>
      </c>
      <c r="U272" s="21">
        <v>0.52608333333333301</v>
      </c>
      <c r="V272" s="21">
        <v>0.33962500000000012</v>
      </c>
      <c r="W272" s="21">
        <v>0.32354166666666667</v>
      </c>
      <c r="X272" s="21">
        <v>0.27687499999999976</v>
      </c>
      <c r="Y272" s="21">
        <v>0.21595833333333334</v>
      </c>
      <c r="Z272" s="23">
        <f>AVERAGE(Q272,U272)</f>
        <v>0.40139583333333306</v>
      </c>
      <c r="AA272" s="23">
        <f>AVERAGE(R272:T272,V272:X272)</f>
        <v>0.3781701388888889</v>
      </c>
      <c r="AB272" s="23">
        <f t="shared" si="4"/>
        <v>0.38239299242424241</v>
      </c>
    </row>
    <row r="273" spans="1:28">
      <c r="A273" s="9">
        <v>43980</v>
      </c>
      <c r="B273" s="3">
        <v>415.84831253303076</v>
      </c>
      <c r="C273" s="3">
        <v>248.53500603878447</v>
      </c>
      <c r="D273" s="3">
        <v>191.5286300938555</v>
      </c>
      <c r="E273" s="3">
        <v>220.18450467925862</v>
      </c>
      <c r="F273" s="3">
        <v>150.63515192950149</v>
      </c>
      <c r="G273" s="19">
        <v>43980</v>
      </c>
      <c r="H273" s="20">
        <v>164.33333333333334</v>
      </c>
      <c r="I273" s="20">
        <v>85.620833333333337</v>
      </c>
      <c r="J273" s="20">
        <v>17.906249999999996</v>
      </c>
      <c r="K273" s="20">
        <v>26.899999999999995</v>
      </c>
      <c r="L273" s="20">
        <v>227.6875</v>
      </c>
      <c r="M273" s="20">
        <v>2.3333333333333335</v>
      </c>
      <c r="N273" s="20">
        <v>8.3333333333333329E-2</v>
      </c>
      <c r="O273" s="20">
        <v>15.262500000000001</v>
      </c>
      <c r="P273" s="10">
        <v>0.36162511515581458</v>
      </c>
      <c r="Q273" s="21">
        <v>0.30497916666666641</v>
      </c>
      <c r="R273" s="21">
        <v>0.41704166666666637</v>
      </c>
      <c r="S273" s="21">
        <v>0.49887499999999979</v>
      </c>
      <c r="T273" s="21">
        <v>0.54314583333333333</v>
      </c>
      <c r="U273" s="21">
        <v>0.57381249999999939</v>
      </c>
      <c r="V273" s="21">
        <v>0.38647916666666687</v>
      </c>
      <c r="W273" s="21">
        <v>0.3317708333333334</v>
      </c>
      <c r="X273" s="21">
        <v>0.27591666666666653</v>
      </c>
      <c r="Y273" s="21">
        <v>0.26595454545454539</v>
      </c>
      <c r="Z273" s="23">
        <f>AVERAGE(Q273,U273)</f>
        <v>0.43939583333333287</v>
      </c>
      <c r="AA273" s="23">
        <f>AVERAGE(R273:T273,V273:X273)</f>
        <v>0.40887152777777769</v>
      </c>
      <c r="AB273" s="23">
        <f t="shared" si="4"/>
        <v>0.41442140151515139</v>
      </c>
    </row>
    <row r="274" spans="1:28">
      <c r="A274" s="9">
        <v>43981</v>
      </c>
      <c r="B274" s="3">
        <v>648.18478940289765</v>
      </c>
      <c r="C274" s="3">
        <v>361.0839279213539</v>
      </c>
      <c r="D274" s="3">
        <v>358.45517444137454</v>
      </c>
      <c r="E274" s="3">
        <v>304.43787914484011</v>
      </c>
      <c r="F274" s="3">
        <v>227.47325507753439</v>
      </c>
      <c r="G274" s="19">
        <v>43981</v>
      </c>
      <c r="H274" s="20">
        <v>217.83333333333334</v>
      </c>
      <c r="I274" s="20">
        <v>79.429166666666674</v>
      </c>
      <c r="J274" s="20">
        <v>21.610416666666666</v>
      </c>
      <c r="K274" s="20">
        <v>0</v>
      </c>
      <c r="L274" s="20">
        <v>236.91666666666666</v>
      </c>
      <c r="M274" s="20">
        <v>5.666666666666667</v>
      </c>
      <c r="N274" s="20">
        <v>0.85416666666666663</v>
      </c>
      <c r="O274" s="20">
        <v>17.537499999999994</v>
      </c>
      <c r="P274" s="10">
        <v>0.64971893967697325</v>
      </c>
      <c r="Q274" s="21">
        <v>0.30268750000000016</v>
      </c>
      <c r="R274" s="21">
        <v>0.42041666666666649</v>
      </c>
      <c r="S274" s="21">
        <v>0.50793750000000015</v>
      </c>
      <c r="T274" s="21">
        <v>0.5518333333333334</v>
      </c>
      <c r="U274" s="21">
        <v>0.57787500000000014</v>
      </c>
      <c r="V274" s="21">
        <v>0.38879166666666681</v>
      </c>
      <c r="W274" s="21">
        <v>0.3426249999999999</v>
      </c>
      <c r="X274" s="21">
        <v>0.27783333333333349</v>
      </c>
      <c r="Y274" s="21">
        <v>0.23604651162790702</v>
      </c>
      <c r="Z274" s="23">
        <f>AVERAGE(Q274,U274)</f>
        <v>0.44028125000000018</v>
      </c>
      <c r="AA274" s="23">
        <f>AVERAGE(R274:T274,V274:X274)</f>
        <v>0.41490625000000003</v>
      </c>
      <c r="AB274" s="23">
        <f t="shared" si="4"/>
        <v>0.41951988636363635</v>
      </c>
    </row>
    <row r="275" spans="1:28">
      <c r="A275" s="9">
        <v>43982</v>
      </c>
      <c r="B275" s="3">
        <v>502.36770329573557</v>
      </c>
      <c r="C275" s="3">
        <v>271.73490621716576</v>
      </c>
      <c r="D275" s="3">
        <v>265.26330338094397</v>
      </c>
      <c r="E275" s="3">
        <v>215.34397508922322</v>
      </c>
      <c r="F275" s="3">
        <v>192.963988910263</v>
      </c>
      <c r="G275" s="19">
        <v>43982</v>
      </c>
      <c r="H275" s="20">
        <v>185.85416666666666</v>
      </c>
      <c r="I275" s="20">
        <v>83.454166666666694</v>
      </c>
      <c r="J275" s="20">
        <v>21.252083333333328</v>
      </c>
      <c r="K275" s="20">
        <v>8.5</v>
      </c>
      <c r="L275" s="20">
        <v>232.10416666666666</v>
      </c>
      <c r="M275" s="20">
        <v>6.25</v>
      </c>
      <c r="N275" s="20">
        <v>0.22916666666666666</v>
      </c>
      <c r="O275" s="20">
        <v>18.110416666666662</v>
      </c>
      <c r="P275" s="10">
        <v>0.49201314926699125</v>
      </c>
      <c r="Q275" s="21">
        <v>0.29822916666666677</v>
      </c>
      <c r="R275" s="21">
        <v>0.41722916666666654</v>
      </c>
      <c r="S275" s="21">
        <v>0.50702083333333337</v>
      </c>
      <c r="T275" s="21">
        <v>0.54891666666666694</v>
      </c>
      <c r="U275" s="21">
        <v>0.57393749999999999</v>
      </c>
      <c r="V275" s="21">
        <v>0.38137500000000008</v>
      </c>
      <c r="W275" s="21">
        <v>0.3468124999999998</v>
      </c>
      <c r="X275" s="21">
        <v>0.28037500000000021</v>
      </c>
      <c r="Y275" s="21">
        <v>0.23469565217391306</v>
      </c>
      <c r="Z275" s="23">
        <f>AVERAGE(Q275,U275)</f>
        <v>0.43608333333333338</v>
      </c>
      <c r="AA275" s="23">
        <f>AVERAGE(R275:T275,V275:X275)</f>
        <v>0.41362152777777778</v>
      </c>
      <c r="AB275" s="23">
        <f t="shared" si="4"/>
        <v>0.41770549242424243</v>
      </c>
    </row>
    <row r="276" spans="1:28">
      <c r="A276" s="9">
        <v>43983</v>
      </c>
      <c r="B276" s="3">
        <v>429.70953108973634</v>
      </c>
      <c r="C276" s="3">
        <v>264.8744704396056</v>
      </c>
      <c r="D276" s="3">
        <v>236.63606209511104</v>
      </c>
      <c r="E276" s="3">
        <v>225.08509076919546</v>
      </c>
      <c r="F276" s="3">
        <v>203.84295599011125</v>
      </c>
      <c r="G276" s="19">
        <v>43983</v>
      </c>
      <c r="H276" s="20">
        <v>132.0625</v>
      </c>
      <c r="I276" s="20">
        <v>85.527083333333337</v>
      </c>
      <c r="J276" s="20">
        <v>20.310416666666665</v>
      </c>
      <c r="K276" s="20">
        <v>37.800000000000004</v>
      </c>
      <c r="L276" s="20">
        <v>200.77083333333334</v>
      </c>
      <c r="M276" s="20">
        <v>3.5625</v>
      </c>
      <c r="N276" s="20">
        <v>0.10416666666666667</v>
      </c>
      <c r="O276" s="20">
        <v>17.658333333333335</v>
      </c>
      <c r="P276" s="10">
        <v>0.39882309781260533</v>
      </c>
      <c r="Q276" s="21">
        <v>0.3053958333333332</v>
      </c>
      <c r="R276" s="21">
        <v>0.42322916666666655</v>
      </c>
      <c r="S276" s="21">
        <v>0.51345833333333302</v>
      </c>
      <c r="T276" s="21">
        <v>0.5557291666666665</v>
      </c>
      <c r="U276" s="21">
        <v>0.58083333333333365</v>
      </c>
      <c r="V276" s="21">
        <v>0.38693749999999999</v>
      </c>
      <c r="W276" s="21">
        <v>0.35608333333333347</v>
      </c>
      <c r="X276" s="21">
        <v>0.28389583333333351</v>
      </c>
      <c r="Y276" s="21">
        <v>0.26362222222222215</v>
      </c>
      <c r="Z276" s="23">
        <f>AVERAGE(Q276,U276)</f>
        <v>0.44311458333333342</v>
      </c>
      <c r="AA276" s="23">
        <f>AVERAGE(R276:T276,V276:X276)</f>
        <v>0.41988888888888881</v>
      </c>
      <c r="AB276" s="23">
        <f t="shared" si="4"/>
        <v>0.42411174242424232</v>
      </c>
    </row>
    <row r="277" spans="1:28">
      <c r="A277" s="9">
        <v>43984</v>
      </c>
      <c r="B277" s="3">
        <v>383.27503957097764</v>
      </c>
      <c r="C277" s="3">
        <v>191.36128712290505</v>
      </c>
      <c r="D277" s="3">
        <v>253.50628970669658</v>
      </c>
      <c r="E277" s="3">
        <v>198.96974509918107</v>
      </c>
      <c r="F277" s="3">
        <v>168.59810190489205</v>
      </c>
      <c r="G277" s="19">
        <v>43984</v>
      </c>
      <c r="H277" s="20">
        <v>160.52083333333334</v>
      </c>
      <c r="I277" s="20">
        <v>84.116666666666674</v>
      </c>
      <c r="J277" s="20">
        <v>19.645833333333332</v>
      </c>
      <c r="K277" s="20">
        <v>11</v>
      </c>
      <c r="L277" s="20">
        <v>167.64583333333334</v>
      </c>
      <c r="M277" s="20">
        <v>4.041666666666667</v>
      </c>
      <c r="N277" s="20">
        <v>4.1666666666666664E-2</v>
      </c>
      <c r="O277" s="20">
        <v>16.743749999999995</v>
      </c>
      <c r="P277" s="10">
        <v>0.40335967405977752</v>
      </c>
      <c r="Q277" s="21">
        <v>0.40304166666666658</v>
      </c>
      <c r="R277" s="21">
        <v>0.5307708333333333</v>
      </c>
      <c r="S277" s="21">
        <v>0.59222916666666636</v>
      </c>
      <c r="T277" s="21">
        <v>0.61106250000000029</v>
      </c>
      <c r="U277" s="21">
        <v>0.60850000000000004</v>
      </c>
      <c r="V277" s="21">
        <v>0.48695833333333322</v>
      </c>
      <c r="W277" s="21">
        <v>0.46579166666666638</v>
      </c>
      <c r="X277" s="21">
        <v>0.39825000000000005</v>
      </c>
      <c r="Y277" s="21">
        <v>0.31240740740740736</v>
      </c>
      <c r="Z277" s="23">
        <f>AVERAGE(Q277,U277)</f>
        <v>0.50577083333333328</v>
      </c>
      <c r="AA277" s="23">
        <f>AVERAGE(R277:T277,V277:X277)</f>
        <v>0.51417708333333323</v>
      </c>
      <c r="AB277" s="23">
        <f t="shared" si="4"/>
        <v>0.51264867424242422</v>
      </c>
    </row>
    <row r="278" spans="1:28">
      <c r="A278" s="9">
        <v>43985</v>
      </c>
      <c r="B278" s="3">
        <v>667.23231924498873</v>
      </c>
      <c r="C278" s="3">
        <v>273.37893445538299</v>
      </c>
      <c r="D278" s="3">
        <v>352.13830748693141</v>
      </c>
      <c r="E278" s="3">
        <v>291.79649409696941</v>
      </c>
      <c r="F278" s="3">
        <v>213.95124216317564</v>
      </c>
      <c r="G278" s="19">
        <v>43985</v>
      </c>
      <c r="H278" s="20">
        <v>215.79166666666666</v>
      </c>
      <c r="I278" s="20">
        <v>75.112499999999997</v>
      </c>
      <c r="J278" s="20">
        <v>18.906249999999996</v>
      </c>
      <c r="K278" s="20">
        <v>20.399999999999999</v>
      </c>
      <c r="L278" s="20">
        <v>170.60416666666666</v>
      </c>
      <c r="M278" s="20">
        <v>3.3958333333333335</v>
      </c>
      <c r="N278" s="20">
        <v>4.1666666666666664E-2</v>
      </c>
      <c r="O278" s="20">
        <v>14.079166666666666</v>
      </c>
      <c r="P278" s="10">
        <v>0.64668562769425808</v>
      </c>
      <c r="Q278" s="21">
        <v>0.40837499999999993</v>
      </c>
      <c r="R278" s="21">
        <v>0.53439583333333329</v>
      </c>
      <c r="S278" s="21">
        <v>0.59141666666666659</v>
      </c>
      <c r="T278" s="21">
        <v>0.60450000000000015</v>
      </c>
      <c r="U278" s="21">
        <v>0.60456250000000011</v>
      </c>
      <c r="V278" s="21">
        <v>0.48235416666666686</v>
      </c>
      <c r="W278" s="21">
        <v>0.4698333333333331</v>
      </c>
      <c r="X278" s="21">
        <v>0.40604166666666641</v>
      </c>
      <c r="Y278" s="21">
        <v>0.29108108108108105</v>
      </c>
      <c r="Z278" s="23">
        <f>AVERAGE(Q278,U278)</f>
        <v>0.50646875000000002</v>
      </c>
      <c r="AA278" s="23">
        <f>AVERAGE(R278:T278,V278:X278)</f>
        <v>0.51475694444444442</v>
      </c>
      <c r="AB278" s="23">
        <f t="shared" si="4"/>
        <v>0.51324999999999998</v>
      </c>
    </row>
    <row r="279" spans="1:28">
      <c r="A279" s="9">
        <v>43986</v>
      </c>
      <c r="B279" s="3">
        <v>284.83403137148201</v>
      </c>
      <c r="C279" s="3">
        <v>215.36529332617803</v>
      </c>
      <c r="D279" s="3">
        <v>166.01556657329709</v>
      </c>
      <c r="E279" s="3">
        <v>177.71564748660637</v>
      </c>
      <c r="F279" s="3">
        <v>135.77790109189527</v>
      </c>
      <c r="G279" s="19">
        <v>43986</v>
      </c>
      <c r="H279" s="20">
        <v>111.8125</v>
      </c>
      <c r="I279" s="20">
        <v>87.952083333333348</v>
      </c>
      <c r="J279" s="20">
        <v>19.743749999999995</v>
      </c>
      <c r="K279" s="20">
        <v>12.699999999999998</v>
      </c>
      <c r="L279" s="20">
        <v>206.97916666666666</v>
      </c>
      <c r="M279" s="20">
        <v>2.5</v>
      </c>
      <c r="N279" s="20">
        <v>2.0833333333333332E-2</v>
      </c>
      <c r="O279" s="20">
        <v>17.600000000000001</v>
      </c>
      <c r="P279" s="10">
        <v>0.31120557225899503</v>
      </c>
      <c r="Q279" s="21">
        <v>0.41760416666666655</v>
      </c>
      <c r="R279" s="21">
        <v>0.53902083333333295</v>
      </c>
      <c r="S279" s="21">
        <v>0.59314583333333326</v>
      </c>
      <c r="T279" s="21">
        <v>0.60125000000000006</v>
      </c>
      <c r="U279" s="21">
        <v>0.60627083333333343</v>
      </c>
      <c r="V279" s="21">
        <v>0.48245833333333338</v>
      </c>
      <c r="W279" s="21">
        <v>0.46777083333333352</v>
      </c>
      <c r="X279" s="21">
        <v>0.40085416666666668</v>
      </c>
      <c r="Y279" s="21">
        <v>0.27875757575757582</v>
      </c>
      <c r="Z279" s="23">
        <f>AVERAGE(Q279,U279)</f>
        <v>0.51193749999999993</v>
      </c>
      <c r="AA279" s="23">
        <f>AVERAGE(R279:T279,V279:X279)</f>
        <v>0.51408333333333334</v>
      </c>
      <c r="AB279" s="23">
        <f t="shared" si="4"/>
        <v>0.5136931818181818</v>
      </c>
    </row>
    <row r="280" spans="1:28">
      <c r="A280" s="9">
        <v>43987</v>
      </c>
      <c r="B280" s="3">
        <v>649.9419531362563</v>
      </c>
      <c r="C280" s="3">
        <v>319.58564854890034</v>
      </c>
      <c r="D280" s="3">
        <v>308.11014119116737</v>
      </c>
      <c r="E280" s="3">
        <v>330.80265623877699</v>
      </c>
      <c r="F280" s="3">
        <v>255.83588795980756</v>
      </c>
      <c r="G280" s="19">
        <v>43987</v>
      </c>
      <c r="H280" s="20">
        <v>167</v>
      </c>
      <c r="I280" s="20">
        <v>76.258333333333368</v>
      </c>
      <c r="J280" s="20">
        <v>20.254166666666666</v>
      </c>
      <c r="K280" s="20">
        <v>6.7</v>
      </c>
      <c r="L280" s="20">
        <v>228.79166666666666</v>
      </c>
      <c r="M280" s="20">
        <v>2.375</v>
      </c>
      <c r="N280" s="20">
        <v>0</v>
      </c>
      <c r="O280" s="20">
        <v>15.381250000000001</v>
      </c>
      <c r="P280" s="10">
        <v>0.67649717557716815</v>
      </c>
      <c r="Q280" s="21">
        <v>0.42856250000000023</v>
      </c>
      <c r="R280" s="21">
        <v>0.5428333333333335</v>
      </c>
      <c r="S280" s="21">
        <v>0.5957916666666665</v>
      </c>
      <c r="T280" s="21">
        <v>0.60518750000000021</v>
      </c>
      <c r="U280" s="21">
        <v>0.60785416666666692</v>
      </c>
      <c r="V280" s="21">
        <v>0.48568749999999977</v>
      </c>
      <c r="W280" s="21">
        <v>0.47120833333333301</v>
      </c>
      <c r="X280" s="21">
        <v>0.40437500000000015</v>
      </c>
      <c r="Y280" s="21">
        <v>0.27087499999999992</v>
      </c>
      <c r="Z280" s="23">
        <f>AVERAGE(Q280,U280)</f>
        <v>0.5182083333333336</v>
      </c>
      <c r="AA280" s="23">
        <f>AVERAGE(R280:T280,V280:X280)</f>
        <v>0.51751388888888883</v>
      </c>
      <c r="AB280" s="23">
        <f t="shared" si="4"/>
        <v>0.51764015151515153</v>
      </c>
    </row>
    <row r="281" spans="1:28">
      <c r="A281" s="9">
        <v>43988</v>
      </c>
      <c r="B281" s="3">
        <v>422.01312712780719</v>
      </c>
      <c r="C281" s="3">
        <v>274.00813228236586</v>
      </c>
      <c r="D281" s="3">
        <v>239.72523570870584</v>
      </c>
      <c r="E281" s="3">
        <v>223.45242620206736</v>
      </c>
      <c r="F281" s="3">
        <v>198.15399390620328</v>
      </c>
      <c r="G281" s="19">
        <v>43988</v>
      </c>
      <c r="H281" s="20">
        <v>108.5</v>
      </c>
      <c r="I281" s="20">
        <v>83.129166666666649</v>
      </c>
      <c r="J281" s="20">
        <v>20.172916666666669</v>
      </c>
      <c r="K281" s="20">
        <v>5.0000000000000009</v>
      </c>
      <c r="L281" s="20">
        <v>216.14583333333334</v>
      </c>
      <c r="M281" s="20">
        <v>2.375</v>
      </c>
      <c r="N281" s="20">
        <v>8.3333333333333329E-2</v>
      </c>
      <c r="O281" s="20">
        <v>17.158333333333331</v>
      </c>
      <c r="P281" s="10">
        <v>0.42601798167952526</v>
      </c>
      <c r="Q281" s="21">
        <v>0.41466666666666652</v>
      </c>
      <c r="R281" s="21">
        <v>0.5282708333333328</v>
      </c>
      <c r="S281" s="21">
        <v>0.58622916666666658</v>
      </c>
      <c r="T281" s="21">
        <v>0.59429166666666655</v>
      </c>
      <c r="U281" s="21">
        <v>0.59729166666666655</v>
      </c>
      <c r="V281" s="21">
        <v>0.46708333333333329</v>
      </c>
      <c r="W281" s="21">
        <v>0.46558333333333307</v>
      </c>
      <c r="X281" s="21">
        <v>0.3970416666666669</v>
      </c>
      <c r="Y281" s="21">
        <v>0.24764583333333354</v>
      </c>
      <c r="Z281" s="23">
        <f>AVERAGE(Q281,U281)</f>
        <v>0.50597916666666654</v>
      </c>
      <c r="AA281" s="23">
        <f>AVERAGE(R281:T281,V281:X281)</f>
        <v>0.50641666666666663</v>
      </c>
      <c r="AB281" s="23">
        <f t="shared" si="4"/>
        <v>0.50633712121212116</v>
      </c>
    </row>
    <row r="282" spans="1:28">
      <c r="A282" s="9">
        <v>43989</v>
      </c>
      <c r="B282" s="3">
        <v>344.87667549387902</v>
      </c>
      <c r="C282" s="3">
        <v>290.56193092277061</v>
      </c>
      <c r="D282" s="3">
        <v>200.66531059203112</v>
      </c>
      <c r="E282" s="3">
        <v>186.73608773000359</v>
      </c>
      <c r="F282" s="3">
        <v>183.63992728442315</v>
      </c>
      <c r="G282" s="19">
        <v>43989</v>
      </c>
      <c r="H282" s="20">
        <v>132.625</v>
      </c>
      <c r="I282" s="20">
        <v>88.931249999999977</v>
      </c>
      <c r="J282" s="20">
        <v>21.443749999999994</v>
      </c>
      <c r="K282" s="20">
        <v>26.200000000000003</v>
      </c>
      <c r="L282" s="20">
        <v>217.66666666666666</v>
      </c>
      <c r="M282" s="20">
        <v>3.6041666666666665</v>
      </c>
      <c r="N282" s="20">
        <v>4.1666666666666664E-2</v>
      </c>
      <c r="O282" s="20">
        <v>19.391666666666662</v>
      </c>
      <c r="P282" s="10">
        <v>0.34072439735635318</v>
      </c>
      <c r="Q282" s="21">
        <v>0.42912499999999998</v>
      </c>
      <c r="R282" s="21">
        <v>0.54256249999999984</v>
      </c>
      <c r="S282" s="21">
        <v>0.59627083333333353</v>
      </c>
      <c r="T282" s="21">
        <v>0.60252083333333351</v>
      </c>
      <c r="U282" s="21">
        <v>0.61393749999999991</v>
      </c>
      <c r="V282" s="21">
        <v>0.48974999999999991</v>
      </c>
      <c r="W282" s="21">
        <v>0.47112499999999979</v>
      </c>
      <c r="X282" s="21">
        <v>0.40085416666666673</v>
      </c>
      <c r="Y282" s="21">
        <v>0.27347916666666677</v>
      </c>
      <c r="Z282" s="23">
        <f>AVERAGE(Q282,U282)</f>
        <v>0.52153125</v>
      </c>
      <c r="AA282" s="23">
        <f>AVERAGE(R282:T282,V282:X282)</f>
        <v>0.51718055555555553</v>
      </c>
      <c r="AB282" s="23">
        <f t="shared" si="4"/>
        <v>0.51797159090909095</v>
      </c>
    </row>
    <row r="283" spans="1:28">
      <c r="A283" s="9">
        <v>43990</v>
      </c>
      <c r="B283" s="3">
        <v>202.46896233763471</v>
      </c>
      <c r="C283" s="3">
        <v>136.24654150783547</v>
      </c>
      <c r="D283" s="3">
        <v>108.60726769615955</v>
      </c>
      <c r="E283" s="3">
        <v>121.27265967314678</v>
      </c>
      <c r="F283" s="3">
        <v>106.89057537809033</v>
      </c>
      <c r="G283" s="19">
        <v>43990</v>
      </c>
      <c r="H283" s="20">
        <v>88.145833333333329</v>
      </c>
      <c r="I283" s="20">
        <v>91.850000000000023</v>
      </c>
      <c r="J283" s="20">
        <v>20.924999999999994</v>
      </c>
      <c r="K283" s="20">
        <v>13.299999999999997</v>
      </c>
      <c r="L283" s="20">
        <v>225.72916666666666</v>
      </c>
      <c r="M283" s="20">
        <v>3.2916666666666665</v>
      </c>
      <c r="N283" s="20">
        <v>4.1666666666666664E-2</v>
      </c>
      <c r="O283" s="20">
        <v>19.497916666666672</v>
      </c>
      <c r="P283" s="10">
        <v>0.21918820743302914</v>
      </c>
      <c r="Q283" s="21">
        <v>0.45587499999999997</v>
      </c>
      <c r="R283" s="21">
        <v>0.55525000000000013</v>
      </c>
      <c r="S283" s="21">
        <v>0.60387499999999994</v>
      </c>
      <c r="T283" s="21">
        <v>0.6151041666666669</v>
      </c>
      <c r="U283" s="21">
        <v>0.61785416666666626</v>
      </c>
      <c r="V283" s="21">
        <v>0.5055624999999998</v>
      </c>
      <c r="W283" s="21">
        <v>0.4812916666666669</v>
      </c>
      <c r="X283" s="21">
        <v>0.42281249999999998</v>
      </c>
      <c r="Y283" s="21">
        <v>0.31941666666666668</v>
      </c>
      <c r="Z283" s="23">
        <f>AVERAGE(Q283,U283)</f>
        <v>0.53686458333333309</v>
      </c>
      <c r="AA283" s="23">
        <f>AVERAGE(R283:T283,V283:X283)</f>
        <v>0.53064930555555556</v>
      </c>
      <c r="AB283" s="23">
        <f t="shared" si="4"/>
        <v>0.531779356060606</v>
      </c>
    </row>
    <row r="284" spans="1:28">
      <c r="A284" s="9">
        <v>43991</v>
      </c>
      <c r="B284" s="3">
        <v>286.31863959512043</v>
      </c>
      <c r="C284" s="3">
        <v>268.61284004456439</v>
      </c>
      <c r="D284" s="3">
        <v>207.17417499480783</v>
      </c>
      <c r="E284" s="3">
        <v>154.05109840132837</v>
      </c>
      <c r="F284" s="3">
        <v>183.87621214396307</v>
      </c>
      <c r="G284" s="19">
        <v>43991</v>
      </c>
      <c r="H284" s="20">
        <v>120.58333333333333</v>
      </c>
      <c r="I284" s="20">
        <v>85.554166666666674</v>
      </c>
      <c r="J284" s="20">
        <v>20.772916666666656</v>
      </c>
      <c r="K284" s="20">
        <v>2.1</v>
      </c>
      <c r="L284" s="20">
        <v>236.97916666666666</v>
      </c>
      <c r="M284" s="20">
        <v>0.9375</v>
      </c>
      <c r="N284" s="20">
        <v>0</v>
      </c>
      <c r="O284" s="20">
        <v>18.160416666666666</v>
      </c>
      <c r="P284" s="10">
        <v>0.38573067647061876</v>
      </c>
      <c r="Q284" s="21">
        <v>0.43595833333333306</v>
      </c>
      <c r="R284" s="21">
        <v>0.53989583333333324</v>
      </c>
      <c r="S284" s="21">
        <v>0.59497916666666673</v>
      </c>
      <c r="T284" s="21">
        <v>0.60191666666666699</v>
      </c>
      <c r="U284" s="21">
        <v>0.60870833333333341</v>
      </c>
      <c r="V284" s="21">
        <v>0.48316666666666702</v>
      </c>
      <c r="W284" s="21">
        <v>0.47204166666666653</v>
      </c>
      <c r="X284" s="21">
        <v>0.40727083333333364</v>
      </c>
      <c r="Y284" s="21">
        <v>0.25872916666666684</v>
      </c>
      <c r="Z284" s="23">
        <f>AVERAGE(Q284,U284)</f>
        <v>0.52233333333333321</v>
      </c>
      <c r="AA284" s="23">
        <f>AVERAGE(R284:T284,V284:X284)</f>
        <v>0.51654513888888898</v>
      </c>
      <c r="AB284" s="23">
        <f t="shared" si="4"/>
        <v>0.51759753787878793</v>
      </c>
    </row>
    <row r="285" spans="1:28">
      <c r="A285" s="9">
        <v>43992</v>
      </c>
      <c r="B285" s="3">
        <v>195.7039812682211</v>
      </c>
      <c r="C285" s="3">
        <v>161.08862478671</v>
      </c>
      <c r="D285" s="3">
        <v>104.40587286585536</v>
      </c>
      <c r="E285" s="3">
        <v>93.003901497930414</v>
      </c>
      <c r="F285" s="3">
        <v>116.75396433690884</v>
      </c>
      <c r="G285" s="19">
        <v>43992</v>
      </c>
      <c r="H285" s="20">
        <v>96.458333333333329</v>
      </c>
      <c r="I285" s="20">
        <v>90.49166666666666</v>
      </c>
      <c r="J285" s="20">
        <v>20.720833333333335</v>
      </c>
      <c r="K285" s="20">
        <v>46.900000000000006</v>
      </c>
      <c r="L285" s="20">
        <v>196.9375</v>
      </c>
      <c r="M285" s="20">
        <v>3.4375</v>
      </c>
      <c r="N285" s="20">
        <v>0.29166666666666669</v>
      </c>
      <c r="O285" s="20">
        <v>19.060416666666672</v>
      </c>
      <c r="P285" s="10">
        <v>0.24690244428610442</v>
      </c>
      <c r="Q285" s="21">
        <v>0.47116666666666651</v>
      </c>
      <c r="R285" s="21">
        <v>0.56079166666666647</v>
      </c>
      <c r="S285" s="21">
        <v>0.60872916666666688</v>
      </c>
      <c r="T285" s="21">
        <v>0.62520833333333325</v>
      </c>
      <c r="U285" s="21">
        <v>0.62062499999999987</v>
      </c>
      <c r="V285" s="21">
        <v>0.50970833333333332</v>
      </c>
      <c r="W285" s="21">
        <v>0.48435416666666681</v>
      </c>
      <c r="X285" s="21">
        <v>0.43422916666666683</v>
      </c>
      <c r="Y285" s="21">
        <v>0.38535416666666661</v>
      </c>
      <c r="Z285" s="23">
        <f>AVERAGE(Q285,U285)</f>
        <v>0.54589583333333325</v>
      </c>
      <c r="AA285" s="23">
        <f>AVERAGE(R285:T285,V285:X285)</f>
        <v>0.53717013888888887</v>
      </c>
      <c r="AB285" s="23">
        <f t="shared" si="4"/>
        <v>0.53875662878787878</v>
      </c>
    </row>
    <row r="286" spans="1:28">
      <c r="A286" s="9">
        <v>43993</v>
      </c>
      <c r="B286" s="3">
        <v>536.5174614821434</v>
      </c>
      <c r="C286" s="3">
        <v>491.74184327720508</v>
      </c>
      <c r="D286" s="3">
        <v>363.45177650216056</v>
      </c>
      <c r="E286" s="3">
        <v>222.4425446212575</v>
      </c>
      <c r="F286" s="3">
        <v>302.47682555849991</v>
      </c>
      <c r="G286" s="19">
        <v>43993</v>
      </c>
      <c r="H286" s="20">
        <v>182.70833333333334</v>
      </c>
      <c r="I286" s="20">
        <v>81.654166666666683</v>
      </c>
      <c r="J286" s="20">
        <v>23.604166666666661</v>
      </c>
      <c r="K286" s="20">
        <v>0</v>
      </c>
      <c r="L286" s="20">
        <v>235.20833333333334</v>
      </c>
      <c r="M286" s="20">
        <v>13.9375</v>
      </c>
      <c r="N286" s="20">
        <v>3</v>
      </c>
      <c r="O286" s="20">
        <v>20.206250000000008</v>
      </c>
      <c r="P286" s="10">
        <v>0.5646302120616371</v>
      </c>
      <c r="Q286" s="21">
        <v>0.44320833333333326</v>
      </c>
      <c r="R286" s="21">
        <v>0.5433958333333333</v>
      </c>
      <c r="S286" s="21">
        <v>0.59720833333333367</v>
      </c>
      <c r="T286" s="21">
        <v>0.60483333333333322</v>
      </c>
      <c r="U286" s="21">
        <v>0.61141666666666661</v>
      </c>
      <c r="V286" s="21">
        <v>0.48593749999999997</v>
      </c>
      <c r="W286" s="21">
        <v>0.47437500000000005</v>
      </c>
      <c r="X286" s="21">
        <v>0.40962499999999974</v>
      </c>
      <c r="Y286" s="21">
        <v>0.26289583333333327</v>
      </c>
      <c r="Z286" s="23">
        <f>AVERAGE(Q286,U286)</f>
        <v>0.52731249999999996</v>
      </c>
      <c r="AA286" s="23">
        <f>AVERAGE(R286:T286,V286:X286)</f>
        <v>0.51922916666666663</v>
      </c>
      <c r="AB286" s="23">
        <f t="shared" si="4"/>
        <v>0.52069886363636364</v>
      </c>
    </row>
    <row r="287" spans="1:28">
      <c r="A287" s="9">
        <v>43994</v>
      </c>
      <c r="B287" s="3">
        <v>604.54785236330019</v>
      </c>
      <c r="C287" s="3">
        <v>476.07815792707953</v>
      </c>
      <c r="D287" s="3">
        <v>360.02326207344743</v>
      </c>
      <c r="E287" s="3">
        <v>217.88511954122043</v>
      </c>
      <c r="F287" s="3">
        <v>329.04617522698032</v>
      </c>
      <c r="G287" s="19">
        <v>43994</v>
      </c>
      <c r="H287" s="20">
        <v>160.08333333333334</v>
      </c>
      <c r="I287" s="20">
        <v>79.543750000000017</v>
      </c>
      <c r="J287" s="20">
        <v>24.052083333333329</v>
      </c>
      <c r="K287" s="20">
        <v>0</v>
      </c>
      <c r="L287" s="20">
        <v>237.54166666666666</v>
      </c>
      <c r="M287" s="20">
        <v>11.625</v>
      </c>
      <c r="N287" s="20">
        <v>2.0416666666666665</v>
      </c>
      <c r="O287" s="20">
        <v>20.224999999999998</v>
      </c>
      <c r="P287" s="10">
        <v>0.64310839568854916</v>
      </c>
      <c r="Q287" s="21">
        <v>0.43083333333333296</v>
      </c>
      <c r="R287" s="21">
        <v>0.53368749999999998</v>
      </c>
      <c r="S287" s="21">
        <v>0.59191666666666654</v>
      </c>
      <c r="T287" s="21">
        <v>0.59958333333333336</v>
      </c>
      <c r="U287" s="21">
        <v>0.60429166666666678</v>
      </c>
      <c r="V287" s="21">
        <v>0.47312499999999974</v>
      </c>
      <c r="W287" s="21">
        <v>0.47016666666666662</v>
      </c>
      <c r="X287" s="21">
        <v>0.40454166666666674</v>
      </c>
      <c r="Y287" s="21">
        <v>0.24510416666666671</v>
      </c>
      <c r="Z287" s="23">
        <f>AVERAGE(Q287,U287)</f>
        <v>0.51756249999999993</v>
      </c>
      <c r="AA287" s="23">
        <f>AVERAGE(R287:T287,V287:X287)</f>
        <v>0.51217013888888885</v>
      </c>
      <c r="AB287" s="23">
        <f t="shared" si="4"/>
        <v>0.51315056818181815</v>
      </c>
    </row>
    <row r="288" spans="1:28">
      <c r="A288" s="9">
        <v>43995</v>
      </c>
      <c r="B288" s="3">
        <v>299.93937758740537</v>
      </c>
      <c r="C288" s="3">
        <v>208.27871277966761</v>
      </c>
      <c r="D288" s="3">
        <v>122.00508674237818</v>
      </c>
      <c r="E288" s="3">
        <v>103.95085633083718</v>
      </c>
      <c r="F288" s="3">
        <v>86.712558742308573</v>
      </c>
      <c r="G288" s="19">
        <v>43995</v>
      </c>
      <c r="H288" s="20">
        <v>101.10416666666667</v>
      </c>
      <c r="I288" s="20">
        <v>91.554166666666688</v>
      </c>
      <c r="J288" s="20">
        <v>21.964583333333341</v>
      </c>
      <c r="K288" s="20">
        <v>87.4</v>
      </c>
      <c r="L288" s="20">
        <v>219.89583333333334</v>
      </c>
      <c r="M288" s="20">
        <v>5.1875</v>
      </c>
      <c r="N288" s="20">
        <v>0.91666666666666663</v>
      </c>
      <c r="O288" s="20">
        <v>20.460416666666671</v>
      </c>
      <c r="P288" s="10">
        <v>0.25362595126241533</v>
      </c>
      <c r="Q288" s="21">
        <v>0.47981249999999998</v>
      </c>
      <c r="R288" s="21">
        <v>0.56806249999999991</v>
      </c>
      <c r="S288" s="21">
        <v>0.61231250000000015</v>
      </c>
      <c r="T288" s="21">
        <v>0.62568749999999984</v>
      </c>
      <c r="U288" s="21">
        <v>0.62493750000000003</v>
      </c>
      <c r="V288" s="21">
        <v>0.5238124999999999</v>
      </c>
      <c r="W288" s="21">
        <v>0.49022916666666677</v>
      </c>
      <c r="X288" s="21">
        <v>0.43629166666666674</v>
      </c>
      <c r="Y288" s="21">
        <v>0.34945833333333337</v>
      </c>
      <c r="Z288" s="23">
        <f>AVERAGE(Q288,U288)</f>
        <v>0.55237500000000006</v>
      </c>
      <c r="AA288" s="23">
        <f>AVERAGE(R288:T288,V288:X288)</f>
        <v>0.5427326388888889</v>
      </c>
      <c r="AB288" s="23">
        <f t="shared" si="4"/>
        <v>0.54448579545454545</v>
      </c>
    </row>
    <row r="289" spans="1:28">
      <c r="A289" s="9">
        <v>43996</v>
      </c>
      <c r="B289" s="3">
        <v>383.73017025658532</v>
      </c>
      <c r="C289" s="3">
        <v>185.49693809639615</v>
      </c>
      <c r="D289" s="3">
        <v>124.90775367799056</v>
      </c>
      <c r="E289" s="3">
        <v>110.98679824997889</v>
      </c>
      <c r="F289" s="3">
        <v>88.941232873587992</v>
      </c>
      <c r="G289" s="19">
        <v>43996</v>
      </c>
      <c r="H289" s="20">
        <v>112.79166666666667</v>
      </c>
      <c r="I289" s="20">
        <v>92.114583333333314</v>
      </c>
      <c r="J289" s="20">
        <v>21.302083333333332</v>
      </c>
      <c r="K289" s="20">
        <v>75.600000000000009</v>
      </c>
      <c r="L289" s="20">
        <v>218.33333333333334</v>
      </c>
      <c r="M289" s="20">
        <v>3.0416666666666665</v>
      </c>
      <c r="N289" s="20">
        <v>0</v>
      </c>
      <c r="O289" s="20">
        <v>19.891666666666662</v>
      </c>
      <c r="P289" s="10">
        <v>0.23043177625057898</v>
      </c>
      <c r="Q289" s="21">
        <v>0.51420833333333338</v>
      </c>
      <c r="R289" s="21">
        <v>0.58437499999999976</v>
      </c>
      <c r="S289" s="21">
        <v>0.6221875</v>
      </c>
      <c r="T289" s="21">
        <v>0.64008333333333323</v>
      </c>
      <c r="U289" s="21">
        <v>0.63247916666666659</v>
      </c>
      <c r="V289" s="21">
        <v>0.54289583333333336</v>
      </c>
      <c r="W289" s="21">
        <v>0.49868750000000001</v>
      </c>
      <c r="X289" s="21">
        <v>0.45872916666666647</v>
      </c>
      <c r="Y289" s="21">
        <v>0.44960416666666664</v>
      </c>
      <c r="Z289" s="23">
        <f>AVERAGE(Q289,U289)</f>
        <v>0.57334375000000004</v>
      </c>
      <c r="AA289" s="23">
        <f>AVERAGE(R289:T289,V289:X289)</f>
        <v>0.5578263888888888</v>
      </c>
      <c r="AB289" s="23">
        <f t="shared" si="4"/>
        <v>0.56064772727272716</v>
      </c>
    </row>
    <row r="290" spans="1:28">
      <c r="A290" s="9">
        <v>43997</v>
      </c>
      <c r="B290" s="3">
        <v>591.15190276062037</v>
      </c>
      <c r="C290" s="3">
        <v>369.79004645491597</v>
      </c>
      <c r="D290" s="3">
        <v>297.65149027097345</v>
      </c>
      <c r="E290" s="3">
        <v>212.42216661665273</v>
      </c>
      <c r="F290" s="3">
        <v>227.09793185418243</v>
      </c>
      <c r="G290" s="19">
        <v>43997</v>
      </c>
      <c r="H290" s="20">
        <v>206</v>
      </c>
      <c r="I290" s="20">
        <v>86.177083333333329</v>
      </c>
      <c r="J290" s="20">
        <v>22.537500000000005</v>
      </c>
      <c r="K290" s="20">
        <v>10.899999999999999</v>
      </c>
      <c r="L290" s="20">
        <v>229.5</v>
      </c>
      <c r="M290" s="20">
        <v>7.145833333333333</v>
      </c>
      <c r="N290" s="20">
        <v>1.0833333333333333</v>
      </c>
      <c r="O290" s="20">
        <v>19.960416666666671</v>
      </c>
      <c r="P290" s="10">
        <v>0.43152882039223833</v>
      </c>
      <c r="Q290" s="21">
        <v>0.47258333333333313</v>
      </c>
      <c r="R290" s="21">
        <v>0.56293749999999998</v>
      </c>
      <c r="S290" s="21">
        <v>0.60875000000000024</v>
      </c>
      <c r="T290" s="21">
        <v>0.61766666666666648</v>
      </c>
      <c r="U290" s="21">
        <v>0.62429166666666647</v>
      </c>
      <c r="V290" s="21">
        <v>0.5119583333333334</v>
      </c>
      <c r="W290" s="21">
        <v>0.48406250000000028</v>
      </c>
      <c r="X290" s="21">
        <v>0.42314583333333355</v>
      </c>
      <c r="Y290" s="21">
        <v>0.2930416666666667</v>
      </c>
      <c r="Z290" s="23">
        <f>AVERAGE(Q290,U290)</f>
        <v>0.5484374999999998</v>
      </c>
      <c r="AA290" s="23">
        <f>AVERAGE(R290:T290,V290:X290)</f>
        <v>0.53475347222222236</v>
      </c>
      <c r="AB290" s="23">
        <f t="shared" si="4"/>
        <v>0.53724147727272731</v>
      </c>
    </row>
    <row r="291" spans="1:28">
      <c r="A291" s="9">
        <v>43998</v>
      </c>
      <c r="B291" s="3">
        <v>539.76307550088563</v>
      </c>
      <c r="C291" s="3">
        <v>416.3241731179474</v>
      </c>
      <c r="D291" s="3">
        <v>324.68615035777248</v>
      </c>
      <c r="E291" s="3">
        <v>209.93250893001738</v>
      </c>
      <c r="F291" s="3">
        <v>238.28873834778173</v>
      </c>
      <c r="G291" s="19">
        <v>43998</v>
      </c>
      <c r="H291" s="20">
        <v>164.875</v>
      </c>
      <c r="I291" s="20">
        <v>84.125000000000014</v>
      </c>
      <c r="J291" s="20">
        <v>22.372916666666669</v>
      </c>
      <c r="K291" s="20">
        <v>0.9</v>
      </c>
      <c r="L291" s="20">
        <v>231.14583333333334</v>
      </c>
      <c r="M291" s="20">
        <v>18.25</v>
      </c>
      <c r="N291" s="20">
        <v>3.75</v>
      </c>
      <c r="O291" s="20">
        <v>19.487500000000004</v>
      </c>
      <c r="P291" s="10">
        <v>0.45552833883335503</v>
      </c>
      <c r="Q291" s="21">
        <v>0.44856250000000003</v>
      </c>
      <c r="R291" s="21">
        <v>0.54552083333333334</v>
      </c>
      <c r="S291" s="21">
        <v>0.59879166666666661</v>
      </c>
      <c r="T291" s="21">
        <v>0.60616666666666696</v>
      </c>
      <c r="U291" s="21">
        <v>0.61347916666666646</v>
      </c>
      <c r="V291" s="21">
        <v>0.49189583333333342</v>
      </c>
      <c r="W291" s="21">
        <v>0.47543749999999968</v>
      </c>
      <c r="X291" s="21">
        <v>0.41108333333333325</v>
      </c>
      <c r="Y291" s="21">
        <v>0.25887499999999991</v>
      </c>
      <c r="Z291" s="23">
        <f>AVERAGE(Q291,U291)</f>
        <v>0.53102083333333328</v>
      </c>
      <c r="AA291" s="23">
        <f>AVERAGE(R291:T291,V291:X291)</f>
        <v>0.52148263888888879</v>
      </c>
      <c r="AB291" s="23">
        <f t="shared" si="4"/>
        <v>0.52321685606060597</v>
      </c>
    </row>
    <row r="292" spans="1:28">
      <c r="A292" s="9">
        <v>43999</v>
      </c>
      <c r="B292" s="3">
        <v>615.32068335315546</v>
      </c>
      <c r="C292" s="3">
        <v>490.86575258887967</v>
      </c>
      <c r="D292" s="3">
        <v>382.84017224497205</v>
      </c>
      <c r="E292" s="3">
        <v>229.5819526863381</v>
      </c>
      <c r="F292" s="3">
        <v>275.89885771087307</v>
      </c>
      <c r="G292" s="19">
        <v>43999</v>
      </c>
      <c r="H292" s="20">
        <v>166.16666666666666</v>
      </c>
      <c r="I292" s="20">
        <v>81.33541666666666</v>
      </c>
      <c r="J292" s="20">
        <v>23.695833333333329</v>
      </c>
      <c r="K292" s="20">
        <v>0</v>
      </c>
      <c r="L292" s="20">
        <v>235.10416666666666</v>
      </c>
      <c r="M292" s="20">
        <v>16.270833333333332</v>
      </c>
      <c r="N292" s="20">
        <v>3.4375</v>
      </c>
      <c r="O292" s="20">
        <v>20.252083333333335</v>
      </c>
      <c r="P292" s="10">
        <v>0.56958878597171181</v>
      </c>
      <c r="Q292" s="21">
        <v>0.43679166666666641</v>
      </c>
      <c r="R292" s="21">
        <v>0.53591666666666671</v>
      </c>
      <c r="S292" s="21">
        <v>0.59293750000000001</v>
      </c>
      <c r="T292" s="21">
        <v>0.60099999999999998</v>
      </c>
      <c r="U292" s="21">
        <v>0.60616666666666674</v>
      </c>
      <c r="V292" s="21">
        <v>0.48247916666666696</v>
      </c>
      <c r="W292" s="21">
        <v>0.4714583333333337</v>
      </c>
      <c r="X292" s="21">
        <v>0.40702083333333355</v>
      </c>
      <c r="Y292" s="21">
        <v>0.24545833333333333</v>
      </c>
      <c r="Z292" s="23">
        <f>AVERAGE(Q292,U292)</f>
        <v>0.5214791666666666</v>
      </c>
      <c r="AA292" s="23">
        <f>AVERAGE(R292:T292,V292:X292)</f>
        <v>0.51513541666666673</v>
      </c>
      <c r="AB292" s="23">
        <f t="shared" si="4"/>
        <v>0.51628882575757584</v>
      </c>
    </row>
    <row r="293" spans="1:28">
      <c r="A293" s="9">
        <v>44000</v>
      </c>
      <c r="B293" s="3">
        <v>167.96763528308878</v>
      </c>
      <c r="C293" s="3">
        <v>126.89299038813175</v>
      </c>
      <c r="D293" s="3">
        <v>83.055293789023395</v>
      </c>
      <c r="E293" s="3">
        <v>69.141695594015474</v>
      </c>
      <c r="F293" s="3">
        <v>96.863648439232648</v>
      </c>
      <c r="G293" s="19">
        <v>44000</v>
      </c>
      <c r="H293" s="20">
        <v>83.5</v>
      </c>
      <c r="I293" s="20">
        <v>89.604166666666671</v>
      </c>
      <c r="J293" s="20">
        <v>19.364583333333332</v>
      </c>
      <c r="K293" s="20">
        <v>33.70000000000001</v>
      </c>
      <c r="L293" s="20">
        <v>133.85416666666666</v>
      </c>
      <c r="M293" s="20">
        <v>2.25</v>
      </c>
      <c r="N293" s="20">
        <v>8.3333333333333329E-2</v>
      </c>
      <c r="O293" s="20">
        <v>17.564583333333328</v>
      </c>
      <c r="P293" s="10">
        <v>0.24538701069511504</v>
      </c>
      <c r="Q293" s="21">
        <v>0.47812499999999997</v>
      </c>
      <c r="R293" s="21">
        <v>0.56689583333333327</v>
      </c>
      <c r="S293" s="21">
        <v>0.61097916666666685</v>
      </c>
      <c r="T293" s="21">
        <v>0.62447916666666659</v>
      </c>
      <c r="U293" s="21">
        <v>0.6270833333333331</v>
      </c>
      <c r="V293" s="21">
        <v>0.51883333333333348</v>
      </c>
      <c r="W293" s="21">
        <v>0.48672916666666671</v>
      </c>
      <c r="X293" s="21">
        <v>0.42575000000000013</v>
      </c>
      <c r="Y293" s="21">
        <v>0.30439583333333342</v>
      </c>
      <c r="Z293" s="23">
        <f>AVERAGE(Q293,U293)</f>
        <v>0.55260416666666656</v>
      </c>
      <c r="AA293" s="23">
        <f>AVERAGE(R293:T293,V293:X293)</f>
        <v>0.53894444444444456</v>
      </c>
      <c r="AB293" s="23">
        <f t="shared" si="4"/>
        <v>0.54142803030303033</v>
      </c>
    </row>
    <row r="294" spans="1:28">
      <c r="A294" s="9">
        <v>44001</v>
      </c>
      <c r="B294" s="3">
        <v>497.7802537281998</v>
      </c>
      <c r="C294" s="3">
        <v>419.44084617256993</v>
      </c>
      <c r="D294" s="3">
        <v>338.89324105411339</v>
      </c>
      <c r="E294" s="3">
        <v>181.52623363844734</v>
      </c>
      <c r="F294" s="3">
        <v>230.96835809319603</v>
      </c>
      <c r="G294" s="19">
        <v>44001</v>
      </c>
      <c r="H294" s="20">
        <v>137.1875</v>
      </c>
      <c r="I294" s="20">
        <v>86.18125000000002</v>
      </c>
      <c r="J294" s="20">
        <v>21.325000000000003</v>
      </c>
      <c r="K294" s="20">
        <v>0</v>
      </c>
      <c r="L294" s="20">
        <v>157.875</v>
      </c>
      <c r="M294" s="20">
        <v>6.75</v>
      </c>
      <c r="N294" s="20">
        <v>1.0833333333333333</v>
      </c>
      <c r="O294" s="20">
        <v>18.837500000000002</v>
      </c>
      <c r="P294" s="10">
        <v>0.38746013684442299</v>
      </c>
      <c r="Q294" s="21">
        <v>0.45285416666666656</v>
      </c>
      <c r="R294" s="21">
        <v>0.54827083333333337</v>
      </c>
      <c r="S294" s="21">
        <v>0.59972916666666687</v>
      </c>
      <c r="T294" s="21">
        <v>0.60758333333333325</v>
      </c>
      <c r="U294" s="21">
        <v>0.61599999999999977</v>
      </c>
      <c r="V294" s="21">
        <v>0.49620833333333292</v>
      </c>
      <c r="W294" s="21">
        <v>0.47793750000000018</v>
      </c>
      <c r="X294" s="21">
        <v>0.41233333333333344</v>
      </c>
      <c r="Y294" s="21">
        <v>0.26281250000000017</v>
      </c>
      <c r="Z294" s="23">
        <f>AVERAGE(Q294,U294)</f>
        <v>0.53442708333333311</v>
      </c>
      <c r="AA294" s="23">
        <f>AVERAGE(R294:T294,V294:X294)</f>
        <v>0.5236770833333334</v>
      </c>
      <c r="AB294" s="23">
        <f t="shared" si="4"/>
        <v>0.52563162878787884</v>
      </c>
    </row>
    <row r="295" spans="1:28">
      <c r="A295" s="9">
        <v>44002</v>
      </c>
      <c r="B295" s="3">
        <v>738.40535612373662</v>
      </c>
      <c r="C295" s="3">
        <v>593.71180230882862</v>
      </c>
      <c r="D295" s="3">
        <v>498.33270325135959</v>
      </c>
      <c r="E295" s="3">
        <v>262.30423731823839</v>
      </c>
      <c r="F295" s="3">
        <v>315.1258116696153</v>
      </c>
      <c r="G295" s="19">
        <v>44002</v>
      </c>
      <c r="H295" s="20">
        <v>189</v>
      </c>
      <c r="I295" s="20">
        <v>81.218750000000014</v>
      </c>
      <c r="J295" s="20">
        <v>23.835416666666671</v>
      </c>
      <c r="K295" s="20">
        <v>0</v>
      </c>
      <c r="L295" s="20">
        <v>231.08333333333334</v>
      </c>
      <c r="M295" s="20">
        <v>16.9375</v>
      </c>
      <c r="N295" s="20">
        <v>3.9583333333333335</v>
      </c>
      <c r="O295" s="20">
        <v>20.341666666666665</v>
      </c>
      <c r="P295" s="10">
        <v>0.58507081219512269</v>
      </c>
      <c r="Q295" s="21">
        <v>0.44066666666666676</v>
      </c>
      <c r="R295" s="21">
        <v>0.53881249999999981</v>
      </c>
      <c r="S295" s="21">
        <v>0.59462499999999974</v>
      </c>
      <c r="T295" s="21">
        <v>0.60206250000000028</v>
      </c>
      <c r="U295" s="21">
        <v>0.60947916666666679</v>
      </c>
      <c r="V295" s="21">
        <v>0.48639583333333358</v>
      </c>
      <c r="W295" s="21">
        <v>0.47347916666666667</v>
      </c>
      <c r="X295" s="21">
        <v>0.40785416666666691</v>
      </c>
      <c r="Y295" s="21">
        <v>0.24750000000000005</v>
      </c>
      <c r="Z295" s="23">
        <f>AVERAGE(Q295,U295)</f>
        <v>0.52507291666666678</v>
      </c>
      <c r="AA295" s="23">
        <f>AVERAGE(R295:T295,V295:X295)</f>
        <v>0.51720486111111108</v>
      </c>
      <c r="AB295" s="23">
        <f t="shared" si="4"/>
        <v>0.51863541666666668</v>
      </c>
    </row>
    <row r="296" spans="1:28">
      <c r="A296" s="9">
        <v>44003</v>
      </c>
      <c r="B296" s="3">
        <v>622.38821152557955</v>
      </c>
      <c r="C296" s="3">
        <v>450.03547332349092</v>
      </c>
      <c r="D296" s="3">
        <v>414.09191756996745</v>
      </c>
      <c r="E296" s="3">
        <v>212.08387074304534</v>
      </c>
      <c r="F296" s="3">
        <v>217.51532529440695</v>
      </c>
      <c r="G296" s="19">
        <v>44003</v>
      </c>
      <c r="H296" s="20">
        <v>176.60416666666666</v>
      </c>
      <c r="I296" s="20">
        <v>81.691666666666691</v>
      </c>
      <c r="J296" s="20">
        <v>24.054166666666674</v>
      </c>
      <c r="K296" s="20">
        <v>0</v>
      </c>
      <c r="L296" s="20">
        <v>238.6875</v>
      </c>
      <c r="M296" s="20">
        <v>14.5</v>
      </c>
      <c r="N296" s="20">
        <v>2.5625</v>
      </c>
      <c r="O296" s="20">
        <v>20.68333333333333</v>
      </c>
      <c r="P296" s="10">
        <v>0.56976949284976519</v>
      </c>
      <c r="Q296" s="21">
        <v>0.43006249999999996</v>
      </c>
      <c r="R296" s="21">
        <v>0.53116666666666623</v>
      </c>
      <c r="S296" s="21">
        <v>0.59010416666666687</v>
      </c>
      <c r="T296" s="21">
        <v>0.59862500000000041</v>
      </c>
      <c r="U296" s="21">
        <v>0.60293750000000024</v>
      </c>
      <c r="V296" s="21">
        <v>0.47758333333333308</v>
      </c>
      <c r="W296" s="21">
        <v>0.46987499999999988</v>
      </c>
      <c r="X296" s="21">
        <v>0.40404166666666685</v>
      </c>
      <c r="Y296" s="21">
        <v>0.23077083333333337</v>
      </c>
      <c r="Z296" s="23">
        <f>AVERAGE(Q296,U296)</f>
        <v>0.51650000000000007</v>
      </c>
      <c r="AA296" s="23">
        <f>AVERAGE(R296:T296,V296:X296)</f>
        <v>0.51189930555555563</v>
      </c>
      <c r="AB296" s="23">
        <f t="shared" si="4"/>
        <v>0.51273579545454562</v>
      </c>
    </row>
    <row r="297" spans="1:28">
      <c r="A297" s="9">
        <v>44004</v>
      </c>
      <c r="B297" s="3">
        <v>525.29660077784797</v>
      </c>
      <c r="C297" s="3">
        <v>385.08095717914932</v>
      </c>
      <c r="D297" s="3">
        <v>339.26966726712254</v>
      </c>
      <c r="E297" s="3">
        <v>183.54963461108534</v>
      </c>
      <c r="F297" s="3">
        <v>187.27211294375465</v>
      </c>
      <c r="G297" s="19">
        <v>44004</v>
      </c>
      <c r="H297" s="20">
        <v>119.64583333333333</v>
      </c>
      <c r="I297" s="20">
        <v>82.587499999999991</v>
      </c>
      <c r="J297" s="20">
        <v>23.274999999999995</v>
      </c>
      <c r="K297" s="20">
        <v>0.2</v>
      </c>
      <c r="L297" s="20">
        <v>237.95833333333334</v>
      </c>
      <c r="M297" s="20">
        <v>9.0625</v>
      </c>
      <c r="N297" s="20">
        <v>1.4375</v>
      </c>
      <c r="O297" s="20">
        <v>20.058333333333334</v>
      </c>
      <c r="P297" s="10">
        <v>0.52868193151200105</v>
      </c>
      <c r="Q297" s="21">
        <v>0.41993749999999991</v>
      </c>
      <c r="R297" s="21">
        <v>0.5247916666666661</v>
      </c>
      <c r="S297" s="21">
        <v>0.5860208333333331</v>
      </c>
      <c r="T297" s="21">
        <v>0.59556250000000033</v>
      </c>
      <c r="U297" s="21">
        <v>0.59600000000000009</v>
      </c>
      <c r="V297" s="21">
        <v>0.46993750000000017</v>
      </c>
      <c r="W297" s="21">
        <v>0.46637499999999971</v>
      </c>
      <c r="X297" s="21">
        <v>0.40081250000000024</v>
      </c>
      <c r="Y297" s="21">
        <v>0.2152916666666668</v>
      </c>
      <c r="Z297" s="23">
        <f>AVERAGE(Q297,U297)</f>
        <v>0.50796874999999997</v>
      </c>
      <c r="AA297" s="23">
        <f>AVERAGE(R297:T297,V297:X297)</f>
        <v>0.50724999999999998</v>
      </c>
      <c r="AB297" s="23">
        <f t="shared" si="4"/>
        <v>0.50738068181818174</v>
      </c>
    </row>
    <row r="298" spans="1:28">
      <c r="A298" s="9">
        <v>44005</v>
      </c>
      <c r="B298" s="3">
        <v>166.67529691502722</v>
      </c>
      <c r="C298" s="3">
        <v>112.09181013284774</v>
      </c>
      <c r="D298" s="3">
        <v>75.341535493042343</v>
      </c>
      <c r="E298" s="3">
        <v>65.946309681815279</v>
      </c>
      <c r="F298" s="3">
        <v>87.15819709446626</v>
      </c>
      <c r="G298" s="19">
        <v>44005</v>
      </c>
      <c r="H298" s="20">
        <v>80.25</v>
      </c>
      <c r="I298" s="20">
        <v>91.237500000000011</v>
      </c>
      <c r="J298" s="20">
        <v>20.791666666666668</v>
      </c>
      <c r="K298" s="20">
        <v>12.399999999999997</v>
      </c>
      <c r="L298" s="20">
        <v>227.41666666666666</v>
      </c>
      <c r="M298" s="20">
        <v>2.0833333333333335</v>
      </c>
      <c r="N298" s="20">
        <v>0</v>
      </c>
      <c r="O298" s="20">
        <v>19.277083333333334</v>
      </c>
      <c r="P298" s="10">
        <v>0.22886513168394088</v>
      </c>
      <c r="Q298" s="21">
        <v>0.41724999999999973</v>
      </c>
      <c r="R298" s="21">
        <v>0.52697916666666655</v>
      </c>
      <c r="S298" s="21">
        <v>0.5878958333333334</v>
      </c>
      <c r="T298" s="21">
        <v>0.59456249999999955</v>
      </c>
      <c r="U298" s="21">
        <v>0.59189583333333329</v>
      </c>
      <c r="V298" s="21">
        <v>0.46579166666666644</v>
      </c>
      <c r="W298" s="21">
        <v>0.46433333333333349</v>
      </c>
      <c r="X298" s="21">
        <v>0.39939583333333384</v>
      </c>
      <c r="Y298" s="21">
        <v>0.260625</v>
      </c>
      <c r="Z298" s="23">
        <f>AVERAGE(Q298,U298)</f>
        <v>0.50457291666666648</v>
      </c>
      <c r="AA298" s="23">
        <f>AVERAGE(R298:T298,V298:X298)</f>
        <v>0.50649305555555557</v>
      </c>
      <c r="AB298" s="23">
        <f t="shared" si="4"/>
        <v>0.50614393939393931</v>
      </c>
    </row>
    <row r="299" spans="1:28">
      <c r="A299" s="9">
        <v>44006</v>
      </c>
      <c r="B299" s="3">
        <v>42.131581392688553</v>
      </c>
      <c r="C299" s="3">
        <v>10.492724019927525</v>
      </c>
      <c r="D299" s="3">
        <v>4.0415606233610655</v>
      </c>
      <c r="E299" s="3">
        <v>8.024568247642911</v>
      </c>
      <c r="F299" s="3">
        <v>25.682174411568262</v>
      </c>
      <c r="G299" s="19">
        <v>44006</v>
      </c>
      <c r="H299" s="20">
        <v>80.916666666666671</v>
      </c>
      <c r="I299" s="20">
        <v>93.762499999999989</v>
      </c>
      <c r="J299" s="20">
        <v>20.022916666666667</v>
      </c>
      <c r="K299" s="20">
        <v>51.200000000000024</v>
      </c>
      <c r="L299" s="20">
        <v>171.125</v>
      </c>
      <c r="M299" s="20">
        <v>1.2916666666666667</v>
      </c>
      <c r="N299" s="20">
        <v>0</v>
      </c>
      <c r="O299" s="20">
        <v>18.970833333333335</v>
      </c>
      <c r="P299" s="10">
        <v>0.15191600159051757</v>
      </c>
      <c r="Q299" s="21">
        <v>0.48535416666666675</v>
      </c>
      <c r="R299" s="21">
        <v>0.56883333333333341</v>
      </c>
      <c r="S299" s="21">
        <v>0.61314583333333339</v>
      </c>
      <c r="T299" s="21">
        <v>0.62818749999999979</v>
      </c>
      <c r="U299" s="21">
        <v>0.62518750000000012</v>
      </c>
      <c r="V299" s="21">
        <v>0.52606249999999999</v>
      </c>
      <c r="W299" s="21">
        <v>0.48958333333333331</v>
      </c>
      <c r="X299" s="21">
        <v>0.43685416666666682</v>
      </c>
      <c r="Y299" s="21">
        <v>0.38379166666666648</v>
      </c>
      <c r="Z299" s="23">
        <f>AVERAGE(Q299,U299)</f>
        <v>0.55527083333333338</v>
      </c>
      <c r="AA299" s="23">
        <f>AVERAGE(R299:T299,V299:X299)</f>
        <v>0.5437777777777778</v>
      </c>
      <c r="AB299" s="23">
        <f t="shared" si="4"/>
        <v>0.54586742424242429</v>
      </c>
    </row>
    <row r="300" spans="1:28">
      <c r="A300" s="9">
        <v>44007</v>
      </c>
      <c r="B300" s="3">
        <v>644.28476387256592</v>
      </c>
      <c r="C300" s="3">
        <v>403.99035960753321</v>
      </c>
      <c r="D300" s="3">
        <v>402.79515682006269</v>
      </c>
      <c r="E300" s="3">
        <v>243.51174079578482</v>
      </c>
      <c r="F300" s="3">
        <v>277.87133443143432</v>
      </c>
      <c r="G300" s="19">
        <v>44007</v>
      </c>
      <c r="H300" s="20">
        <v>237.54166666666666</v>
      </c>
      <c r="I300" s="20">
        <v>81.324999999999989</v>
      </c>
      <c r="J300" s="20">
        <v>22.402083333333334</v>
      </c>
      <c r="K300" s="20">
        <v>0</v>
      </c>
      <c r="L300" s="20">
        <v>230.10416666666666</v>
      </c>
      <c r="M300" s="20">
        <v>3.1458333333333335</v>
      </c>
      <c r="N300" s="20">
        <v>0.27083333333333331</v>
      </c>
      <c r="O300" s="20">
        <v>18.706250000000001</v>
      </c>
      <c r="P300" s="10">
        <v>0.61139474585586717</v>
      </c>
      <c r="Q300" s="21">
        <v>0.45924999999999977</v>
      </c>
      <c r="R300" s="21">
        <v>0.55256249999999996</v>
      </c>
      <c r="S300" s="21">
        <v>0.60300000000000009</v>
      </c>
      <c r="T300" s="21">
        <v>0.61114583333333328</v>
      </c>
      <c r="U300" s="21">
        <v>0.61902083333333313</v>
      </c>
      <c r="V300" s="21">
        <v>0.50108333333333321</v>
      </c>
      <c r="W300" s="21">
        <v>0.4798124999999997</v>
      </c>
      <c r="X300" s="21">
        <v>0.41368749999999999</v>
      </c>
      <c r="Y300" s="21">
        <v>0.27483333333333332</v>
      </c>
      <c r="Z300" s="23">
        <f>AVERAGE(Q300,U300)</f>
        <v>0.53913541666666642</v>
      </c>
      <c r="AA300" s="23">
        <f>AVERAGE(R300:T300,V300:X300)</f>
        <v>0.52688194444444436</v>
      </c>
      <c r="AB300" s="23">
        <f t="shared" si="4"/>
        <v>0.52910984848484832</v>
      </c>
    </row>
    <row r="301" spans="1:28">
      <c r="A301" s="9">
        <v>44008</v>
      </c>
      <c r="B301" s="3">
        <v>660.69679006225192</v>
      </c>
      <c r="C301" s="3">
        <v>451.85330387349978</v>
      </c>
      <c r="D301" s="3">
        <v>401.07320404561995</v>
      </c>
      <c r="E301" s="3">
        <v>250.12224661482713</v>
      </c>
      <c r="F301" s="3">
        <v>269.97027814421222</v>
      </c>
      <c r="G301" s="19">
        <v>44008</v>
      </c>
      <c r="H301" s="20">
        <v>178.16666666666666</v>
      </c>
      <c r="I301" s="20">
        <v>82.808333333333351</v>
      </c>
      <c r="J301" s="20">
        <v>23.464583333333334</v>
      </c>
      <c r="K301" s="20">
        <v>2.5999999999999996</v>
      </c>
      <c r="L301" s="20">
        <v>234.79166666666666</v>
      </c>
      <c r="M301" s="20">
        <v>12.958333333333334</v>
      </c>
      <c r="N301" s="20">
        <v>2.3125</v>
      </c>
      <c r="O301" s="20">
        <v>20.297916666666662</v>
      </c>
      <c r="P301" s="10">
        <v>0.53241163955690018</v>
      </c>
      <c r="Q301" s="21">
        <v>0.44270833333333343</v>
      </c>
      <c r="R301" s="21">
        <v>0.54056250000000028</v>
      </c>
      <c r="S301" s="21">
        <v>0.59639583333333357</v>
      </c>
      <c r="T301" s="21">
        <v>0.60543749999999996</v>
      </c>
      <c r="U301" s="21">
        <v>0.61095833333333349</v>
      </c>
      <c r="V301" s="21">
        <v>0.4860833333333337</v>
      </c>
      <c r="W301" s="21">
        <v>0.47439583333333352</v>
      </c>
      <c r="X301" s="21">
        <v>0.40770833333333328</v>
      </c>
      <c r="Y301" s="21">
        <v>0.24993749999999995</v>
      </c>
      <c r="Z301" s="23">
        <f>AVERAGE(Q301,U301)</f>
        <v>0.52683333333333349</v>
      </c>
      <c r="AA301" s="23">
        <f>AVERAGE(R301:T301,V301:X301)</f>
        <v>0.51843055555555562</v>
      </c>
      <c r="AB301" s="23">
        <f t="shared" si="4"/>
        <v>0.51995833333333341</v>
      </c>
    </row>
    <row r="302" spans="1:28">
      <c r="A302" s="9">
        <v>44009</v>
      </c>
      <c r="B302" s="3">
        <v>645.36867202967233</v>
      </c>
      <c r="C302" s="3">
        <v>416.89835809565454</v>
      </c>
      <c r="D302" s="3">
        <v>378.6381557173076</v>
      </c>
      <c r="E302" s="3">
        <v>253.57019290358917</v>
      </c>
      <c r="F302" s="3">
        <v>330.29510535819651</v>
      </c>
      <c r="G302" s="19">
        <v>44009</v>
      </c>
      <c r="H302" s="20">
        <v>156.6875</v>
      </c>
      <c r="I302" s="20">
        <v>82.96041666666666</v>
      </c>
      <c r="J302" s="20">
        <v>23.404166666666665</v>
      </c>
      <c r="K302" s="20">
        <v>6.4</v>
      </c>
      <c r="L302" s="20">
        <v>227.83333333333334</v>
      </c>
      <c r="M302" s="20">
        <v>18.791666666666668</v>
      </c>
      <c r="N302" s="20">
        <v>5.041666666666667</v>
      </c>
      <c r="O302" s="20">
        <v>20.310416666666665</v>
      </c>
      <c r="P302" s="10">
        <v>0.50242844153624178</v>
      </c>
      <c r="Q302" s="21">
        <v>0.44622916666666695</v>
      </c>
      <c r="R302" s="21">
        <v>0.55133333333333356</v>
      </c>
      <c r="S302" s="21">
        <v>0.6023333333333335</v>
      </c>
      <c r="T302" s="21">
        <v>0.6085833333333337</v>
      </c>
      <c r="U302" s="21">
        <v>0.62472916666666667</v>
      </c>
      <c r="V302" s="21">
        <v>0.48583333333333362</v>
      </c>
      <c r="W302" s="21">
        <v>0.47187499999999999</v>
      </c>
      <c r="X302" s="21">
        <v>0.40575000000000006</v>
      </c>
      <c r="Y302" s="21">
        <v>0.2754791666666665</v>
      </c>
      <c r="Z302" s="23">
        <f>AVERAGE(Q302,U302)</f>
        <v>0.53547916666666684</v>
      </c>
      <c r="AA302" s="23">
        <f>AVERAGE(R302:T302,V302:X302)</f>
        <v>0.52095138888888914</v>
      </c>
      <c r="AB302" s="23">
        <f t="shared" si="4"/>
        <v>0.52359280303030331</v>
      </c>
    </row>
    <row r="303" spans="1:28">
      <c r="A303" s="9">
        <v>44010</v>
      </c>
      <c r="B303" s="3">
        <v>731.24791014036339</v>
      </c>
      <c r="C303" s="3">
        <v>467.65319172774326</v>
      </c>
      <c r="D303" s="3">
        <v>378.86695701022126</v>
      </c>
      <c r="E303" s="3">
        <v>259.48134160433756</v>
      </c>
      <c r="F303" s="3">
        <v>365.92296804178176</v>
      </c>
      <c r="G303" s="19">
        <v>44010</v>
      </c>
      <c r="H303" s="20">
        <v>159.95833333333334</v>
      </c>
      <c r="I303" s="20">
        <v>80.972916666666663</v>
      </c>
      <c r="J303" s="20">
        <v>23.975000000000009</v>
      </c>
      <c r="K303" s="20">
        <v>0</v>
      </c>
      <c r="L303" s="20">
        <v>232.75</v>
      </c>
      <c r="M303" s="20">
        <v>13.895833333333334</v>
      </c>
      <c r="N303" s="20">
        <v>2.7708333333333335</v>
      </c>
      <c r="O303" s="20">
        <v>20.481249999999999</v>
      </c>
      <c r="P303" s="10">
        <v>0.58103213173891732</v>
      </c>
      <c r="Q303" s="21">
        <v>0.43518750000000006</v>
      </c>
      <c r="R303" s="21">
        <v>0.53797916666666634</v>
      </c>
      <c r="S303" s="21">
        <v>0.59650000000000036</v>
      </c>
      <c r="T303" s="21">
        <v>0.60756250000000056</v>
      </c>
      <c r="U303" s="21">
        <v>0.61366666666666636</v>
      </c>
      <c r="V303" s="21">
        <v>0.47997916666666685</v>
      </c>
      <c r="W303" s="21">
        <v>0.46995833333333331</v>
      </c>
      <c r="X303" s="21">
        <v>0.40372916666666692</v>
      </c>
      <c r="Y303" s="21">
        <v>0.2508333333333333</v>
      </c>
      <c r="Z303" s="23">
        <f>AVERAGE(Q303,U303)</f>
        <v>0.52442708333333321</v>
      </c>
      <c r="AA303" s="23">
        <f>AVERAGE(R303:T303,V303:X303)</f>
        <v>0.51595138888888903</v>
      </c>
      <c r="AB303" s="23">
        <f t="shared" si="4"/>
        <v>0.51749242424242436</v>
      </c>
    </row>
    <row r="304" spans="1:28">
      <c r="A304" s="9">
        <v>44011</v>
      </c>
      <c r="B304" s="3">
        <v>814.9754650840664</v>
      </c>
      <c r="C304" s="3">
        <v>398.45306816146842</v>
      </c>
      <c r="D304" s="3">
        <v>374.77980273759908</v>
      </c>
      <c r="E304" s="3">
        <v>268.45990789511291</v>
      </c>
      <c r="F304" s="3">
        <v>333.59698278805877</v>
      </c>
      <c r="G304" s="19">
        <v>44011</v>
      </c>
      <c r="H304" s="20">
        <v>198.97916666666666</v>
      </c>
      <c r="I304" s="20">
        <v>79.670833333333334</v>
      </c>
      <c r="J304" s="20">
        <v>24.729166666666668</v>
      </c>
      <c r="K304" s="20">
        <v>0</v>
      </c>
      <c r="L304" s="20">
        <v>239.29166666666666</v>
      </c>
      <c r="M304" s="20">
        <v>10.020833333333334</v>
      </c>
      <c r="N304" s="20">
        <v>1.5833333333333333</v>
      </c>
      <c r="O304" s="20">
        <v>20.870833333333334</v>
      </c>
      <c r="P304" s="10">
        <v>0.6786145018004559</v>
      </c>
      <c r="Q304" s="21">
        <v>0.42435416666666687</v>
      </c>
      <c r="R304" s="21">
        <v>0.52987499999999976</v>
      </c>
      <c r="S304" s="21">
        <v>0.59085416666666679</v>
      </c>
      <c r="T304" s="21">
        <v>0.60385416666666658</v>
      </c>
      <c r="U304" s="21">
        <v>0.60520833333333335</v>
      </c>
      <c r="V304" s="21">
        <v>0.4705416666666668</v>
      </c>
      <c r="W304" s="21">
        <v>0.46579166666666644</v>
      </c>
      <c r="X304" s="21">
        <v>0.40052083333333321</v>
      </c>
      <c r="Y304" s="21">
        <v>0.23424999999999999</v>
      </c>
      <c r="Z304" s="23">
        <f>AVERAGE(Q304,U304)</f>
        <v>0.51478125000000008</v>
      </c>
      <c r="AA304" s="23">
        <f>AVERAGE(R304:T304,V304:X304)</f>
        <v>0.5102395833333333</v>
      </c>
      <c r="AB304" s="23">
        <f t="shared" si="4"/>
        <v>0.51106534090909095</v>
      </c>
    </row>
    <row r="305" spans="1:28">
      <c r="A305" s="9">
        <v>44012</v>
      </c>
      <c r="B305" s="3">
        <v>337.26767463480962</v>
      </c>
      <c r="C305" s="3">
        <v>79.375680749270856</v>
      </c>
      <c r="D305" s="3">
        <v>217.34675818552273</v>
      </c>
      <c r="E305" s="3">
        <v>181.54174026291784</v>
      </c>
      <c r="F305" s="3">
        <v>112.97566827514481</v>
      </c>
      <c r="G305" s="19">
        <v>44012</v>
      </c>
      <c r="H305" s="20">
        <v>154.04166666666666</v>
      </c>
      <c r="I305" s="20">
        <v>88.84375</v>
      </c>
      <c r="J305" s="20">
        <v>22.095833333333331</v>
      </c>
      <c r="K305" s="20">
        <v>85.40000000000002</v>
      </c>
      <c r="L305" s="20">
        <v>212.875</v>
      </c>
      <c r="M305" s="20">
        <v>3.8125</v>
      </c>
      <c r="N305" s="20">
        <v>0.29166666666666669</v>
      </c>
      <c r="O305" s="20">
        <v>20.043749999999992</v>
      </c>
      <c r="P305" s="10">
        <v>0.3508563819774142</v>
      </c>
      <c r="Q305" s="21">
        <v>0.51116666666666688</v>
      </c>
      <c r="R305" s="21">
        <v>0.58020833333333355</v>
      </c>
      <c r="S305" s="21">
        <v>0.6197499999999998</v>
      </c>
      <c r="T305" s="21">
        <v>0.64233333333333309</v>
      </c>
      <c r="U305" s="21">
        <v>0.63612499999999972</v>
      </c>
      <c r="V305" s="21">
        <v>0.54431249999999998</v>
      </c>
      <c r="W305" s="21">
        <v>0.4951666666666667</v>
      </c>
      <c r="X305" s="21">
        <v>0.44520833333333326</v>
      </c>
      <c r="Y305" s="21">
        <v>0.39304166666666673</v>
      </c>
      <c r="Z305" s="23">
        <f>AVERAGE(Q305,U305)</f>
        <v>0.5736458333333333</v>
      </c>
      <c r="AA305" s="23">
        <f>AVERAGE(R305:T305,V305:X305)</f>
        <v>0.55449652777777769</v>
      </c>
      <c r="AB305" s="23">
        <f t="shared" si="4"/>
        <v>0.55797821969696959</v>
      </c>
    </row>
    <row r="306" spans="1:28">
      <c r="A306" s="9">
        <v>44013</v>
      </c>
      <c r="B306" s="3">
        <v>288.36615687690397</v>
      </c>
      <c r="C306" s="3">
        <v>180.72255608008413</v>
      </c>
      <c r="D306" s="3">
        <v>163.02781825714902</v>
      </c>
      <c r="E306" s="3">
        <v>162.12128765931109</v>
      </c>
      <c r="F306" s="3">
        <v>143.05983525268596</v>
      </c>
      <c r="G306" s="19">
        <v>44013</v>
      </c>
      <c r="H306" s="20">
        <v>112.64583333333333</v>
      </c>
      <c r="I306" s="20">
        <v>89.081250000000026</v>
      </c>
      <c r="J306" s="20">
        <v>21.710416666666671</v>
      </c>
      <c r="K306" s="20">
        <v>43.600000000000009</v>
      </c>
      <c r="L306" s="20">
        <v>228</v>
      </c>
      <c r="M306" s="20">
        <v>3.4166666666666665</v>
      </c>
      <c r="N306" s="20">
        <v>0.14583333333333334</v>
      </c>
      <c r="O306" s="20">
        <v>19.752083333333335</v>
      </c>
      <c r="P306" s="10">
        <v>0.31432713426432329</v>
      </c>
      <c r="Q306" s="21">
        <v>0.51770833333333344</v>
      </c>
      <c r="R306" s="21">
        <v>0.58254166666666662</v>
      </c>
      <c r="S306" s="21">
        <v>0.62210416666666646</v>
      </c>
      <c r="T306" s="21">
        <v>0.64549999999999985</v>
      </c>
      <c r="U306" s="21">
        <v>0.63868750000000019</v>
      </c>
      <c r="V306" s="21">
        <v>0.5522083333333333</v>
      </c>
      <c r="W306" s="21">
        <v>0.50035416666666643</v>
      </c>
      <c r="X306" s="21">
        <v>0.45139583333333327</v>
      </c>
      <c r="Y306" s="21">
        <v>0.41431249999999992</v>
      </c>
      <c r="Z306" s="23">
        <f>AVERAGE(Q306,U306)</f>
        <v>0.57819791666666687</v>
      </c>
      <c r="AA306" s="23">
        <f>AVERAGE(R306:T306,V306:X306)</f>
        <v>0.559017361111111</v>
      </c>
      <c r="AB306" s="23">
        <f t="shared" si="4"/>
        <v>0.56250473484848473</v>
      </c>
    </row>
    <row r="307" spans="1:28">
      <c r="A307" s="9">
        <v>44014</v>
      </c>
      <c r="B307" s="3">
        <v>186.77519015367355</v>
      </c>
      <c r="C307" s="3">
        <v>139.40792347552792</v>
      </c>
      <c r="D307" s="3">
        <v>85.270361005371328</v>
      </c>
      <c r="E307" s="3">
        <v>148.27491340932968</v>
      </c>
      <c r="F307" s="3">
        <v>146.94059670733674</v>
      </c>
      <c r="G307" s="19">
        <v>44014</v>
      </c>
      <c r="H307" s="20">
        <v>93.75</v>
      </c>
      <c r="I307" s="20">
        <v>91.441666666666649</v>
      </c>
      <c r="J307" s="20">
        <v>20.606249999999996</v>
      </c>
      <c r="K307" s="20">
        <v>24.9</v>
      </c>
      <c r="L307" s="20">
        <v>236.33333333333334</v>
      </c>
      <c r="M307" s="20">
        <v>1.1875</v>
      </c>
      <c r="N307" s="20">
        <v>0</v>
      </c>
      <c r="O307" s="20">
        <v>19.122916666666669</v>
      </c>
      <c r="P307" s="10">
        <v>0.22162517101712151</v>
      </c>
      <c r="Q307" s="21">
        <v>0.50233333333333341</v>
      </c>
      <c r="R307" s="21">
        <v>0.57550000000000001</v>
      </c>
      <c r="S307" s="21">
        <v>0.61666666666666659</v>
      </c>
      <c r="T307" s="21">
        <v>0.63849999999999996</v>
      </c>
      <c r="U307" s="21">
        <v>0.63583333333333336</v>
      </c>
      <c r="V307" s="21">
        <v>0.53612499999999985</v>
      </c>
      <c r="W307" s="21">
        <v>0.49449999999999994</v>
      </c>
      <c r="X307" s="21">
        <v>0.43618750000000017</v>
      </c>
      <c r="Y307" s="21">
        <v>0.36610416666666667</v>
      </c>
      <c r="Z307" s="23">
        <f>AVERAGE(Q307,U307)</f>
        <v>0.56908333333333339</v>
      </c>
      <c r="AA307" s="23">
        <f>AVERAGE(R307:T307,V307:X307)</f>
        <v>0.54957986111111101</v>
      </c>
      <c r="AB307" s="23">
        <f t="shared" si="4"/>
        <v>0.55312594696969686</v>
      </c>
    </row>
    <row r="308" spans="1:28">
      <c r="A308" s="9">
        <v>44015</v>
      </c>
      <c r="B308" s="3">
        <v>602.76139563028596</v>
      </c>
      <c r="C308" s="3">
        <v>509.89334067160513</v>
      </c>
      <c r="D308" s="3">
        <v>359.95482645092272</v>
      </c>
      <c r="E308" s="3">
        <v>346.08663800412762</v>
      </c>
      <c r="F308" s="3">
        <v>390.33140597224138</v>
      </c>
      <c r="G308" s="19">
        <v>44015</v>
      </c>
      <c r="H308" s="20">
        <v>171.91666666666666</v>
      </c>
      <c r="I308" s="20">
        <v>85.789583333333326</v>
      </c>
      <c r="J308" s="20">
        <v>22.737500000000008</v>
      </c>
      <c r="K308" s="20">
        <v>0.2</v>
      </c>
      <c r="L308" s="20">
        <v>244.5625</v>
      </c>
      <c r="M308" s="20">
        <v>3.8125</v>
      </c>
      <c r="N308" s="20">
        <v>0.5625</v>
      </c>
      <c r="O308" s="20">
        <v>20.091666666666665</v>
      </c>
      <c r="P308" s="10">
        <v>0.45126961678542715</v>
      </c>
      <c r="Q308" s="21">
        <v>0.46927083333333347</v>
      </c>
      <c r="R308" s="21">
        <v>0.55566666666666642</v>
      </c>
      <c r="S308" s="21">
        <v>0.60439583333333324</v>
      </c>
      <c r="T308" s="21">
        <v>0.61968749999999984</v>
      </c>
      <c r="U308" s="21">
        <v>0.62414583333333284</v>
      </c>
      <c r="V308" s="21">
        <v>0.50666666666666649</v>
      </c>
      <c r="W308" s="21">
        <v>0.48270833333333346</v>
      </c>
      <c r="X308" s="21">
        <v>0.41499999999999976</v>
      </c>
      <c r="Y308" s="21">
        <v>0.27489583333333339</v>
      </c>
      <c r="Z308" s="23">
        <f>AVERAGE(Q308,U308)</f>
        <v>0.54670833333333313</v>
      </c>
      <c r="AA308" s="23">
        <f>AVERAGE(R308:T308,V308:X308)</f>
        <v>0.53068749999999987</v>
      </c>
      <c r="AB308" s="23">
        <f t="shared" si="4"/>
        <v>0.53360037878787869</v>
      </c>
    </row>
    <row r="309" spans="1:28">
      <c r="A309" s="9">
        <v>44016</v>
      </c>
      <c r="B309" s="3">
        <v>730.89654982685738</v>
      </c>
      <c r="C309" s="3">
        <v>554.31890270988333</v>
      </c>
      <c r="D309" s="3">
        <v>407.87288505299966</v>
      </c>
      <c r="E309" s="3">
        <v>358.37768495265294</v>
      </c>
      <c r="F309" s="3">
        <v>405.56284721270941</v>
      </c>
      <c r="G309" s="19">
        <v>44016</v>
      </c>
      <c r="H309" s="20">
        <v>168.02083333333334</v>
      </c>
      <c r="I309" s="20">
        <v>81.38333333333334</v>
      </c>
      <c r="J309" s="20">
        <v>23.266666666666666</v>
      </c>
      <c r="K309" s="20">
        <v>0</v>
      </c>
      <c r="L309" s="20">
        <v>235.75</v>
      </c>
      <c r="M309" s="20">
        <v>12.020833333333334</v>
      </c>
      <c r="N309" s="20">
        <v>1.9583333333333333</v>
      </c>
      <c r="O309" s="20">
        <v>19.814583333333335</v>
      </c>
      <c r="P309" s="10">
        <v>0.56396467312652476</v>
      </c>
      <c r="Q309" s="21">
        <v>0.45516666666666672</v>
      </c>
      <c r="R309" s="21">
        <v>0.54658333333333375</v>
      </c>
      <c r="S309" s="21">
        <v>0.59914583333333327</v>
      </c>
      <c r="T309" s="21">
        <v>0.6146874999999995</v>
      </c>
      <c r="U309" s="21">
        <v>0.61629166666666635</v>
      </c>
      <c r="V309" s="21">
        <v>0.4956041666666664</v>
      </c>
      <c r="W309" s="21">
        <v>0.47822916666666643</v>
      </c>
      <c r="X309" s="21">
        <v>0.41041666666666687</v>
      </c>
      <c r="Y309" s="21">
        <v>0.25593750000000004</v>
      </c>
      <c r="Z309" s="23">
        <f>AVERAGE(Q309,U309)</f>
        <v>0.53572916666666659</v>
      </c>
      <c r="AA309" s="23">
        <f>AVERAGE(R309:T309,V309:X309)</f>
        <v>0.52411111111111108</v>
      </c>
      <c r="AB309" s="23">
        <f t="shared" si="4"/>
        <v>0.5262234848484848</v>
      </c>
    </row>
    <row r="310" spans="1:28">
      <c r="A310" s="9">
        <v>44017</v>
      </c>
      <c r="B310" s="3">
        <v>716.49324952315169</v>
      </c>
      <c r="C310" s="3">
        <v>470.04724684007823</v>
      </c>
      <c r="D310" s="3">
        <v>427.53928310318173</v>
      </c>
      <c r="E310" s="3">
        <v>341.3398036187549</v>
      </c>
      <c r="F310" s="3">
        <v>393.23291072928237</v>
      </c>
      <c r="G310" s="19">
        <v>44017</v>
      </c>
      <c r="H310" s="20">
        <v>213.27083333333334</v>
      </c>
      <c r="I310" s="20">
        <v>80.806250000000006</v>
      </c>
      <c r="J310" s="20">
        <v>23.835416666666674</v>
      </c>
      <c r="K310" s="20">
        <v>13.799999999999999</v>
      </c>
      <c r="L310" s="20">
        <v>230.60416666666666</v>
      </c>
      <c r="M310" s="20">
        <v>14.770833333333334</v>
      </c>
      <c r="N310" s="20">
        <v>2.8958333333333335</v>
      </c>
      <c r="O310" s="20">
        <v>20.235416666666662</v>
      </c>
      <c r="P310" s="10">
        <v>0.61076213379201849</v>
      </c>
      <c r="Q310" s="21">
        <v>0.44514583333333352</v>
      </c>
      <c r="R310" s="21">
        <v>0.53800000000000014</v>
      </c>
      <c r="S310" s="21">
        <v>0.59422916666666692</v>
      </c>
      <c r="T310" s="21">
        <v>0.6107291666666671</v>
      </c>
      <c r="U310" s="21">
        <v>0.60839583333333336</v>
      </c>
      <c r="V310" s="21">
        <v>0.48543750000000041</v>
      </c>
      <c r="W310" s="21">
        <v>0.47377083333333303</v>
      </c>
      <c r="X310" s="21">
        <v>0.40677083333333347</v>
      </c>
      <c r="Y310" s="21">
        <v>0.24375000000000002</v>
      </c>
      <c r="Z310" s="23">
        <f>AVERAGE(Q310,U310)</f>
        <v>0.52677083333333341</v>
      </c>
      <c r="AA310" s="23">
        <f>AVERAGE(R310:T310,V310:X310)</f>
        <v>0.51815625000000021</v>
      </c>
      <c r="AB310" s="23">
        <f t="shared" si="4"/>
        <v>0.51972253787878808</v>
      </c>
    </row>
    <row r="311" spans="1:28">
      <c r="A311" s="9">
        <v>44018</v>
      </c>
      <c r="B311" s="3">
        <v>745.76936530437729</v>
      </c>
      <c r="C311" s="3">
        <v>426.15620411446434</v>
      </c>
      <c r="D311" s="3">
        <v>439.21765148789171</v>
      </c>
      <c r="E311" s="3">
        <v>353.88302046369722</v>
      </c>
      <c r="F311" s="3">
        <v>389.71154114170633</v>
      </c>
      <c r="G311" s="19">
        <v>44018</v>
      </c>
      <c r="H311" s="20">
        <v>239.75</v>
      </c>
      <c r="I311" s="20">
        <v>81.27916666666664</v>
      </c>
      <c r="J311" s="20">
        <v>24.408333333333335</v>
      </c>
      <c r="K311" s="20">
        <v>0</v>
      </c>
      <c r="L311" s="20">
        <v>230.77083333333334</v>
      </c>
      <c r="M311" s="20">
        <v>13.458333333333334</v>
      </c>
      <c r="N311" s="20">
        <v>2.1875</v>
      </c>
      <c r="O311" s="20">
        <v>20.891666666666669</v>
      </c>
      <c r="P311" s="10">
        <v>0.61266443819946625</v>
      </c>
      <c r="Q311" s="21">
        <v>0.47335416666666669</v>
      </c>
      <c r="R311" s="21">
        <v>0.55795833333333333</v>
      </c>
      <c r="S311" s="21">
        <v>0.60495833333333315</v>
      </c>
      <c r="T311" s="21">
        <v>0.61410416666666634</v>
      </c>
      <c r="U311" s="21">
        <v>0.62283333333333324</v>
      </c>
      <c r="V311" s="21">
        <v>0.48202083333333373</v>
      </c>
      <c r="W311" s="21">
        <v>0.46947916666666628</v>
      </c>
      <c r="X311" s="21">
        <v>0.40466666666666645</v>
      </c>
      <c r="Y311" s="21">
        <v>0.27797916666666683</v>
      </c>
      <c r="Z311" s="23">
        <f>AVERAGE(Q311,U311)</f>
        <v>0.54809374999999994</v>
      </c>
      <c r="AA311" s="23">
        <f>AVERAGE(R311:T311,V311:X311)</f>
        <v>0.5221979166666666</v>
      </c>
      <c r="AB311" s="23">
        <f t="shared" si="4"/>
        <v>0.52690624999999991</v>
      </c>
    </row>
    <row r="312" spans="1:28">
      <c r="A312" s="9">
        <v>44019</v>
      </c>
      <c r="B312" s="3">
        <v>699.42877018698243</v>
      </c>
      <c r="C312" s="3">
        <v>387.78183093215785</v>
      </c>
      <c r="D312" s="3">
        <v>406.25600597580342</v>
      </c>
      <c r="E312" s="3">
        <v>308.32942672587126</v>
      </c>
      <c r="F312" s="3">
        <v>350.99401291896322</v>
      </c>
      <c r="G312" s="19">
        <v>44019</v>
      </c>
      <c r="H312" s="20">
        <v>179.8125</v>
      </c>
      <c r="I312" s="20">
        <v>81.268749999999997</v>
      </c>
      <c r="J312" s="20">
        <v>24.487500000000008</v>
      </c>
      <c r="K312" s="20">
        <v>0</v>
      </c>
      <c r="L312" s="20">
        <v>234.97916666666666</v>
      </c>
      <c r="M312" s="20">
        <v>14.583333333333334</v>
      </c>
      <c r="N312" s="20">
        <v>2.7916666666666665</v>
      </c>
      <c r="O312" s="20">
        <v>21.010416666666668</v>
      </c>
      <c r="P312" s="10">
        <v>0.60092258282422339</v>
      </c>
      <c r="Q312" s="21">
        <v>0.44831250000000011</v>
      </c>
      <c r="R312" s="21">
        <v>0.54385416666666686</v>
      </c>
      <c r="S312" s="21">
        <v>0.59764583333333354</v>
      </c>
      <c r="T312" s="21">
        <v>0.6114791666666668</v>
      </c>
      <c r="U312" s="21">
        <v>0.61197916666666663</v>
      </c>
      <c r="V312" s="21">
        <v>0.47543749999999974</v>
      </c>
      <c r="W312" s="21">
        <v>0.46637499999999998</v>
      </c>
      <c r="X312" s="21">
        <v>0.4018333333333331</v>
      </c>
      <c r="Y312" s="21">
        <v>0.24816666666666667</v>
      </c>
      <c r="Z312" s="23">
        <f>AVERAGE(Q312,U312)</f>
        <v>0.53014583333333332</v>
      </c>
      <c r="AA312" s="23">
        <f>AVERAGE(R312:T312,V312:X312)</f>
        <v>0.5161041666666667</v>
      </c>
      <c r="AB312" s="23">
        <f t="shared" si="4"/>
        <v>0.51865719696969703</v>
      </c>
    </row>
    <row r="313" spans="1:28">
      <c r="A313" s="9">
        <v>44020</v>
      </c>
      <c r="B313" s="3">
        <v>412.74813881830443</v>
      </c>
      <c r="C313" s="3">
        <v>234.9485451642656</v>
      </c>
      <c r="D313" s="3">
        <v>242.99510784775754</v>
      </c>
      <c r="E313" s="3">
        <v>197.05884457505277</v>
      </c>
      <c r="F313" s="3">
        <v>224.51516614443258</v>
      </c>
      <c r="G313" s="19">
        <v>44020</v>
      </c>
      <c r="H313" s="20">
        <v>124.70833333333333</v>
      </c>
      <c r="I313" s="20">
        <v>86.585416666666674</v>
      </c>
      <c r="J313" s="20">
        <v>23.254166666666659</v>
      </c>
      <c r="K313" s="20">
        <v>60.4</v>
      </c>
      <c r="L313" s="20">
        <v>237.89583333333334</v>
      </c>
      <c r="M313" s="20">
        <v>7.75</v>
      </c>
      <c r="N313" s="20">
        <v>0.27083333333333331</v>
      </c>
      <c r="O313" s="20">
        <v>20.806249999999999</v>
      </c>
      <c r="P313" s="10">
        <v>0.41121547311655005</v>
      </c>
      <c r="Q313" s="21">
        <v>0.45093749999999999</v>
      </c>
      <c r="R313" s="21">
        <v>0.54383333333333339</v>
      </c>
      <c r="S313" s="21">
        <v>0.59762499999999996</v>
      </c>
      <c r="T313" s="21">
        <v>0.61214583333333317</v>
      </c>
      <c r="U313" s="21">
        <v>0.60989583333333353</v>
      </c>
      <c r="V313" s="21">
        <v>0.48383333333333328</v>
      </c>
      <c r="W313" s="21">
        <v>0.46891666666666643</v>
      </c>
      <c r="X313" s="21">
        <v>0.40485416666666668</v>
      </c>
      <c r="Y313" s="21">
        <v>0.26183333333333331</v>
      </c>
      <c r="Z313" s="23">
        <f>AVERAGE(Q313,U313)</f>
        <v>0.53041666666666676</v>
      </c>
      <c r="AA313" s="23">
        <f>AVERAGE(R313:T313,V313:X313)</f>
        <v>0.51853472222222219</v>
      </c>
      <c r="AB313" s="23">
        <f t="shared" si="4"/>
        <v>0.52069507575757579</v>
      </c>
    </row>
    <row r="314" spans="1:28">
      <c r="A314" s="9">
        <v>44021</v>
      </c>
      <c r="B314" s="3">
        <v>369.70981052313061</v>
      </c>
      <c r="C314" s="3">
        <v>189.68011986617879</v>
      </c>
      <c r="D314" s="3">
        <v>146.75532343340339</v>
      </c>
      <c r="E314" s="3">
        <v>146.95947031509411</v>
      </c>
      <c r="F314" s="3">
        <v>150.6484222175032</v>
      </c>
      <c r="G314" s="19">
        <v>44021</v>
      </c>
      <c r="H314" s="20">
        <v>124.25</v>
      </c>
      <c r="I314" s="20">
        <v>90.989583333333357</v>
      </c>
      <c r="J314" s="20">
        <v>21.860416666666669</v>
      </c>
      <c r="K314" s="20">
        <v>29.599999999999994</v>
      </c>
      <c r="L314" s="20">
        <v>246.66666666666666</v>
      </c>
      <c r="M314" s="20">
        <v>2.0625</v>
      </c>
      <c r="N314" s="20">
        <v>4.1666666666666664E-2</v>
      </c>
      <c r="O314" s="20">
        <v>20.227083333333336</v>
      </c>
      <c r="P314" s="10">
        <v>0.26960611975409032</v>
      </c>
      <c r="Q314" s="21">
        <v>0.51804166666666662</v>
      </c>
      <c r="R314" s="21">
        <v>0.58158333333333345</v>
      </c>
      <c r="S314" s="21">
        <v>0.62010416666666635</v>
      </c>
      <c r="T314" s="21">
        <v>0.64108333333333334</v>
      </c>
      <c r="U314" s="21">
        <v>0.63462500000000011</v>
      </c>
      <c r="V314" s="21">
        <v>0.53606249999999989</v>
      </c>
      <c r="W314" s="21">
        <v>0.49520833333333331</v>
      </c>
      <c r="X314" s="21">
        <v>0.44416666666666699</v>
      </c>
      <c r="Y314" s="21">
        <v>0.38889583333333338</v>
      </c>
      <c r="Z314" s="23">
        <f>AVERAGE(Q314,U314)</f>
        <v>0.57633333333333336</v>
      </c>
      <c r="AA314" s="23">
        <f>AVERAGE(R314:T314,V314:X314)</f>
        <v>0.55303472222222216</v>
      </c>
      <c r="AB314" s="23">
        <f t="shared" si="4"/>
        <v>0.55727083333333327</v>
      </c>
    </row>
    <row r="315" spans="1:28">
      <c r="A315" s="9">
        <v>44022</v>
      </c>
      <c r="B315" s="3">
        <v>188.91457609217511</v>
      </c>
      <c r="C315" s="3">
        <v>181.11824922685238</v>
      </c>
      <c r="D315" s="3">
        <v>114.35746152793443</v>
      </c>
      <c r="E315" s="3">
        <v>139.00066001551284</v>
      </c>
      <c r="F315" s="3">
        <v>177.10061400623792</v>
      </c>
      <c r="G315" s="19">
        <v>44022</v>
      </c>
      <c r="H315" s="20">
        <v>98.145833333333329</v>
      </c>
      <c r="I315" s="20">
        <v>89.925000000000011</v>
      </c>
      <c r="J315" s="20">
        <v>22.287499999999998</v>
      </c>
      <c r="K315" s="20">
        <v>0.89999999999999991</v>
      </c>
      <c r="L315" s="20">
        <v>226.64583333333334</v>
      </c>
      <c r="M315" s="20">
        <v>8.0416666666666661</v>
      </c>
      <c r="N315" s="20">
        <v>0.70833333333333337</v>
      </c>
      <c r="O315" s="20">
        <v>20.522916666666664</v>
      </c>
      <c r="P315" s="10">
        <v>0.27988866573543997</v>
      </c>
      <c r="Q315" s="21">
        <v>0.48891666666666689</v>
      </c>
      <c r="R315" s="21">
        <v>0.56847916666666665</v>
      </c>
      <c r="S315" s="21">
        <v>0.61262499999999998</v>
      </c>
      <c r="T315" s="21">
        <v>0.62677083333333317</v>
      </c>
      <c r="U315" s="21">
        <v>0.63164583333333324</v>
      </c>
      <c r="V315" s="21">
        <v>0.51989583333333333</v>
      </c>
      <c r="W315" s="21">
        <v>0.48604166666666665</v>
      </c>
      <c r="X315" s="21">
        <v>0.41806250000000017</v>
      </c>
      <c r="Y315" s="21">
        <v>0.29068750000000004</v>
      </c>
      <c r="Z315" s="23">
        <f>AVERAGE(Q315,U315)</f>
        <v>0.56028125000000006</v>
      </c>
      <c r="AA315" s="23">
        <f>AVERAGE(R315:T315,V315:X315)</f>
        <v>0.53864583333333327</v>
      </c>
      <c r="AB315" s="23">
        <f t="shared" si="4"/>
        <v>0.54257954545454534</v>
      </c>
    </row>
    <row r="316" spans="1:28">
      <c r="A316" s="9">
        <v>44023</v>
      </c>
      <c r="B316" s="3">
        <v>482.17688252706392</v>
      </c>
      <c r="C316" s="3">
        <v>373.78482946613076</v>
      </c>
      <c r="D316" s="3">
        <v>259.36467093541631</v>
      </c>
      <c r="E316" s="3">
        <v>231.51862455223431</v>
      </c>
      <c r="F316" s="3">
        <v>305.00424622518165</v>
      </c>
      <c r="G316" s="19">
        <v>44023</v>
      </c>
      <c r="H316" s="20">
        <v>123.52083333333333</v>
      </c>
      <c r="I316" s="20">
        <v>85.88333333333334</v>
      </c>
      <c r="J316" s="20">
        <v>22.491666666666664</v>
      </c>
      <c r="K316" s="20">
        <v>0.4</v>
      </c>
      <c r="L316" s="20">
        <v>231</v>
      </c>
      <c r="M316" s="20">
        <v>13.229166666666666</v>
      </c>
      <c r="N316" s="20">
        <v>2.3333333333333335</v>
      </c>
      <c r="O316" s="20">
        <v>19.989583333333336</v>
      </c>
      <c r="P316" s="10">
        <v>0.39204073573279724</v>
      </c>
      <c r="Q316" s="21">
        <v>0.46835416666666657</v>
      </c>
      <c r="R316" s="21">
        <v>0.55604166666666643</v>
      </c>
      <c r="S316" s="21">
        <v>0.60550000000000015</v>
      </c>
      <c r="T316" s="21">
        <v>0.62041666666666639</v>
      </c>
      <c r="U316" s="21">
        <v>0.62356249999999969</v>
      </c>
      <c r="V316" s="21">
        <v>0.50941666666666696</v>
      </c>
      <c r="W316" s="21">
        <v>0.48300000000000032</v>
      </c>
      <c r="X316" s="21">
        <v>0.41520833333333357</v>
      </c>
      <c r="Y316" s="21">
        <v>0.26952083333333315</v>
      </c>
      <c r="Z316" s="23">
        <f>AVERAGE(Q316,U316)</f>
        <v>0.5459583333333331</v>
      </c>
      <c r="AA316" s="23">
        <f>AVERAGE(R316:T316,V316:X316)</f>
        <v>0.53159722222222228</v>
      </c>
      <c r="AB316" s="23">
        <f t="shared" si="4"/>
        <v>0.5342083333333334</v>
      </c>
    </row>
    <row r="317" spans="1:28">
      <c r="A317" s="9">
        <v>44024</v>
      </c>
      <c r="B317" s="3">
        <v>0.70723436448018795</v>
      </c>
      <c r="C317" s="3">
        <v>27.154135649735768</v>
      </c>
      <c r="D317" s="3">
        <v>1.9845536699587787</v>
      </c>
      <c r="E317" s="3">
        <v>12.207699019107118</v>
      </c>
      <c r="F317" s="3">
        <v>37.159990747673675</v>
      </c>
      <c r="G317" s="19">
        <v>44024</v>
      </c>
      <c r="H317" s="20">
        <v>62.5625</v>
      </c>
      <c r="I317" s="20">
        <v>91.089583333333351</v>
      </c>
      <c r="J317" s="20">
        <v>20.618749999999999</v>
      </c>
      <c r="K317" s="20">
        <v>7.8000000000000007</v>
      </c>
      <c r="L317" s="20">
        <v>224.64583333333334</v>
      </c>
      <c r="M317" s="20">
        <v>6.791666666666667</v>
      </c>
      <c r="N317" s="20">
        <v>0.66666666666666663</v>
      </c>
      <c r="O317" s="20">
        <v>19.108333333333334</v>
      </c>
      <c r="P317" s="10">
        <v>0.21816361632211209</v>
      </c>
      <c r="Q317" s="21">
        <v>0.47737500000000005</v>
      </c>
      <c r="R317" s="21">
        <v>0.55639583333333331</v>
      </c>
      <c r="S317" s="21">
        <v>0.60414583333333338</v>
      </c>
      <c r="T317" s="21">
        <v>0.61860416666666673</v>
      </c>
      <c r="U317" s="21">
        <v>0.61950000000000005</v>
      </c>
      <c r="V317" s="21">
        <v>0.50177083333333383</v>
      </c>
      <c r="W317" s="21">
        <v>0.48129166666666712</v>
      </c>
      <c r="X317" s="21">
        <v>0.4135625</v>
      </c>
      <c r="Y317" s="21">
        <v>0.2809166666666667</v>
      </c>
      <c r="Z317" s="23">
        <f>AVERAGE(Q317,U317)</f>
        <v>0.54843750000000002</v>
      </c>
      <c r="AA317" s="23">
        <f>AVERAGE(R317:T317,V317:X317)</f>
        <v>0.52929513888888902</v>
      </c>
      <c r="AB317" s="23">
        <f t="shared" si="4"/>
        <v>0.53277556818181826</v>
      </c>
    </row>
    <row r="318" spans="1:28">
      <c r="A318" s="9">
        <v>44025</v>
      </c>
      <c r="B318" s="3">
        <v>124.69518235736024</v>
      </c>
      <c r="C318" s="3">
        <v>110.7392058761356</v>
      </c>
      <c r="D318" s="3">
        <v>82.661093190808316</v>
      </c>
      <c r="E318" s="3">
        <v>112.47508151170058</v>
      </c>
      <c r="F318" s="3">
        <v>173.15766649447323</v>
      </c>
      <c r="G318" s="19">
        <v>44025</v>
      </c>
      <c r="H318" s="20">
        <v>79.166666666666671</v>
      </c>
      <c r="I318" s="20">
        <v>90.791666666666686</v>
      </c>
      <c r="J318" s="20">
        <v>20.572916666666661</v>
      </c>
      <c r="K318" s="20">
        <v>2.5</v>
      </c>
      <c r="L318" s="20">
        <v>228.70833333333334</v>
      </c>
      <c r="M318" s="20">
        <v>8.6458333333333339</v>
      </c>
      <c r="N318" s="20">
        <v>1.3125</v>
      </c>
      <c r="O318" s="20">
        <v>18.991666666666671</v>
      </c>
      <c r="P318" s="10">
        <v>0.23078927416350936</v>
      </c>
      <c r="Q318" s="21">
        <v>0.48677083333333337</v>
      </c>
      <c r="R318" s="21">
        <v>0.56356250000000019</v>
      </c>
      <c r="S318" s="21">
        <v>0.6091875000000001</v>
      </c>
      <c r="T318" s="21">
        <v>0.62343749999999964</v>
      </c>
      <c r="U318" s="21">
        <v>0.62645833333333323</v>
      </c>
      <c r="V318" s="21">
        <v>0.50433333333333352</v>
      </c>
      <c r="W318" s="21">
        <v>0.48066666666666685</v>
      </c>
      <c r="X318" s="21">
        <v>0.41331249999999997</v>
      </c>
      <c r="Y318" s="21">
        <v>0.28141666666666665</v>
      </c>
      <c r="Z318" s="23">
        <f>AVERAGE(Q318,U318)</f>
        <v>0.55661458333333336</v>
      </c>
      <c r="AA318" s="23">
        <f>AVERAGE(R318:T318,V318:X318)</f>
        <v>0.53241666666666676</v>
      </c>
      <c r="AB318" s="23">
        <f t="shared" si="4"/>
        <v>0.53681628787878799</v>
      </c>
    </row>
    <row r="319" spans="1:28">
      <c r="A319" s="9">
        <v>44026</v>
      </c>
      <c r="B319" s="3">
        <v>804.11076354215515</v>
      </c>
      <c r="C319" s="3">
        <v>427.84154364324701</v>
      </c>
      <c r="D319" s="3">
        <v>435.4372883289351</v>
      </c>
      <c r="E319" s="3">
        <v>334.9969668639356</v>
      </c>
      <c r="F319" s="3">
        <v>447.7036885817717</v>
      </c>
      <c r="G319" s="19">
        <v>44026</v>
      </c>
      <c r="H319" s="20">
        <v>225.97916666666666</v>
      </c>
      <c r="I319" s="20">
        <v>78.722916666666649</v>
      </c>
      <c r="J319" s="20">
        <v>23.77291666666666</v>
      </c>
      <c r="K319" s="20">
        <v>0</v>
      </c>
      <c r="L319" s="20">
        <v>238.3125</v>
      </c>
      <c r="M319" s="20">
        <v>12.125</v>
      </c>
      <c r="N319" s="20">
        <v>1.7708333333333333</v>
      </c>
      <c r="O319" s="20">
        <v>19.747916666666665</v>
      </c>
      <c r="P319" s="10">
        <v>0.66749529574709843</v>
      </c>
      <c r="Q319" s="21">
        <v>0.46872916666666659</v>
      </c>
      <c r="R319" s="21">
        <v>0.55352083333333357</v>
      </c>
      <c r="S319" s="21">
        <v>0.60352083333333373</v>
      </c>
      <c r="T319" s="21">
        <v>0.61912499999999981</v>
      </c>
      <c r="U319" s="21">
        <v>0.62210416666666613</v>
      </c>
      <c r="V319" s="21">
        <v>0.50193750000000015</v>
      </c>
      <c r="W319" s="21">
        <v>0.47849999999999993</v>
      </c>
      <c r="X319" s="21">
        <v>0.4116041666666666</v>
      </c>
      <c r="Y319" s="21">
        <v>0.26325000000000004</v>
      </c>
      <c r="Z319" s="23">
        <f>AVERAGE(Q319,U319)</f>
        <v>0.54541666666666633</v>
      </c>
      <c r="AA319" s="23">
        <f>AVERAGE(R319:T319,V319:X319)</f>
        <v>0.52803472222222225</v>
      </c>
      <c r="AB319" s="23">
        <f t="shared" si="4"/>
        <v>0.53119507575757563</v>
      </c>
    </row>
    <row r="320" spans="1:28">
      <c r="A320" s="9">
        <v>44027</v>
      </c>
      <c r="B320" s="3">
        <v>704.95115951700564</v>
      </c>
      <c r="C320" s="3">
        <v>430.67413896374978</v>
      </c>
      <c r="D320" s="3">
        <v>427.49470414575131</v>
      </c>
      <c r="E320" s="3">
        <v>330.79823051139186</v>
      </c>
      <c r="F320" s="3">
        <v>414.26812884118181</v>
      </c>
      <c r="G320" s="19">
        <v>44027</v>
      </c>
      <c r="H320" s="20">
        <v>178.64583333333334</v>
      </c>
      <c r="I320" s="20">
        <v>79.708333333333357</v>
      </c>
      <c r="J320" s="20">
        <v>23.952083333333338</v>
      </c>
      <c r="K320" s="20">
        <v>0</v>
      </c>
      <c r="L320" s="20">
        <v>235.52083333333334</v>
      </c>
      <c r="M320" s="20">
        <v>13.1875</v>
      </c>
      <c r="N320" s="20">
        <v>2.0625</v>
      </c>
      <c r="O320" s="20">
        <v>20.147916666666664</v>
      </c>
      <c r="P320" s="10">
        <v>0.63393720076048399</v>
      </c>
      <c r="Q320" s="21">
        <v>0.45252083333333354</v>
      </c>
      <c r="R320" s="21">
        <v>0.54314583333333355</v>
      </c>
      <c r="S320" s="21">
        <v>0.59781249999999986</v>
      </c>
      <c r="T320" s="21">
        <v>0.61427083333333277</v>
      </c>
      <c r="U320" s="21">
        <v>0.61306249999999995</v>
      </c>
      <c r="V320" s="21">
        <v>0.49045833333333366</v>
      </c>
      <c r="W320" s="21">
        <v>0.47414583333333327</v>
      </c>
      <c r="X320" s="21">
        <v>0.40814583333333321</v>
      </c>
      <c r="Y320" s="21">
        <v>0.24397916666666666</v>
      </c>
      <c r="Z320" s="23">
        <f>AVERAGE(Q320,U320)</f>
        <v>0.53279166666666677</v>
      </c>
      <c r="AA320" s="23">
        <f>AVERAGE(R320:T320,V320:X320)</f>
        <v>0.52132986111111101</v>
      </c>
      <c r="AB320" s="23">
        <f t="shared" si="4"/>
        <v>0.52341382575757567</v>
      </c>
    </row>
    <row r="321" spans="1:28">
      <c r="A321" s="9">
        <v>44028</v>
      </c>
      <c r="B321" s="3">
        <v>652.67090805847238</v>
      </c>
      <c r="C321" s="3">
        <v>400.22490606968353</v>
      </c>
      <c r="D321" s="3">
        <v>371.50338638737543</v>
      </c>
      <c r="E321" s="3">
        <v>280.2967691446637</v>
      </c>
      <c r="F321" s="3">
        <v>376.37743345602524</v>
      </c>
      <c r="G321" s="19">
        <v>44028</v>
      </c>
      <c r="H321" s="20">
        <v>174.875</v>
      </c>
      <c r="I321" s="20">
        <v>79.539583333333326</v>
      </c>
      <c r="J321" s="20">
        <v>24.324999999999992</v>
      </c>
      <c r="K321" s="20">
        <v>0</v>
      </c>
      <c r="L321" s="20">
        <v>232.47916666666666</v>
      </c>
      <c r="M321" s="20">
        <v>16.6875</v>
      </c>
      <c r="N321" s="20">
        <v>3.4791666666666665</v>
      </c>
      <c r="O321" s="20">
        <v>20.493750000000002</v>
      </c>
      <c r="P321" s="10">
        <v>0.64899537056313794</v>
      </c>
      <c r="Q321" s="21">
        <v>0.4384791666666667</v>
      </c>
      <c r="R321" s="21">
        <v>0.53470833333333323</v>
      </c>
      <c r="S321" s="21">
        <v>0.59160416666666693</v>
      </c>
      <c r="T321" s="21">
        <v>0.61025000000000029</v>
      </c>
      <c r="U321" s="21">
        <v>0.6036041666666665</v>
      </c>
      <c r="V321" s="21">
        <v>0.4788958333333333</v>
      </c>
      <c r="W321" s="21">
        <v>0.46883333333333327</v>
      </c>
      <c r="X321" s="21">
        <v>0.40447916666666678</v>
      </c>
      <c r="Y321" s="21">
        <v>0.22793750000000002</v>
      </c>
      <c r="Z321" s="23">
        <f>AVERAGE(Q321,U321)</f>
        <v>0.52104166666666663</v>
      </c>
      <c r="AA321" s="23">
        <f>AVERAGE(R321:T321,V321:X321)</f>
        <v>0.51479513888888895</v>
      </c>
      <c r="AB321" s="23">
        <f t="shared" si="4"/>
        <v>0.51593087121212122</v>
      </c>
    </row>
    <row r="322" spans="1:28">
      <c r="A322" s="9">
        <v>44029</v>
      </c>
      <c r="B322" s="3">
        <v>545.98886173230323</v>
      </c>
      <c r="C322" s="3">
        <v>252.03347514359726</v>
      </c>
      <c r="D322" s="3">
        <v>272.88590424623169</v>
      </c>
      <c r="E322" s="3">
        <v>231.03799879385843</v>
      </c>
      <c r="F322" s="3">
        <v>274.76501583561054</v>
      </c>
      <c r="G322" s="19">
        <v>44029</v>
      </c>
      <c r="H322" s="20">
        <v>138.85416666666666</v>
      </c>
      <c r="I322" s="20">
        <v>82.456250000000026</v>
      </c>
      <c r="J322" s="20">
        <v>23.450000000000003</v>
      </c>
      <c r="K322" s="20">
        <v>3.2</v>
      </c>
      <c r="L322" s="20">
        <v>227.10416666666666</v>
      </c>
      <c r="M322" s="20">
        <v>15.75</v>
      </c>
      <c r="N322" s="20">
        <v>2.75</v>
      </c>
      <c r="O322" s="20">
        <v>20.239583333333339</v>
      </c>
      <c r="P322" s="10">
        <v>0.52293851556651827</v>
      </c>
      <c r="Q322" s="21">
        <v>0.42172916666666688</v>
      </c>
      <c r="R322" s="21">
        <v>0.52579166666666632</v>
      </c>
      <c r="S322" s="21">
        <v>0.58456249999999976</v>
      </c>
      <c r="T322" s="21">
        <v>0.60554166666666653</v>
      </c>
      <c r="U322" s="21">
        <v>0.59081249999999985</v>
      </c>
      <c r="V322" s="21">
        <v>0.46674999999999961</v>
      </c>
      <c r="W322" s="21">
        <v>0.46239583333333312</v>
      </c>
      <c r="X322" s="21">
        <v>0.40006249999999993</v>
      </c>
      <c r="Y322" s="21">
        <v>0.21031250000000001</v>
      </c>
      <c r="Z322" s="23">
        <f>AVERAGE(Q322,U322)</f>
        <v>0.50627083333333334</v>
      </c>
      <c r="AA322" s="23">
        <f>AVERAGE(R322:T322,V322:X322)</f>
        <v>0.5075173611111109</v>
      </c>
      <c r="AB322" s="23">
        <f t="shared" si="4"/>
        <v>0.50729071969696948</v>
      </c>
    </row>
    <row r="323" spans="1:28">
      <c r="A323" s="9">
        <v>44030</v>
      </c>
      <c r="B323" s="3">
        <v>554.30380821701397</v>
      </c>
      <c r="C323" s="3">
        <v>256.74189757543644</v>
      </c>
      <c r="D323" s="3">
        <v>271.64677536858085</v>
      </c>
      <c r="E323" s="3">
        <v>305.26756702805915</v>
      </c>
      <c r="F323" s="3">
        <v>276.96719020345671</v>
      </c>
      <c r="G323" s="19">
        <v>44030</v>
      </c>
      <c r="H323" s="20">
        <v>182.35416666666666</v>
      </c>
      <c r="I323" s="20">
        <v>81.950000000000017</v>
      </c>
      <c r="J323" s="20">
        <v>23.356250000000006</v>
      </c>
      <c r="K323" s="20">
        <v>1.7</v>
      </c>
      <c r="L323" s="20">
        <v>235.72916666666666</v>
      </c>
      <c r="M323" s="20">
        <v>11.645833333333334</v>
      </c>
      <c r="N323" s="20">
        <v>1.2291666666666667</v>
      </c>
      <c r="O323" s="20">
        <v>20.025000000000002</v>
      </c>
      <c r="P323" s="10">
        <v>0.54615648517103221</v>
      </c>
      <c r="Q323" s="21">
        <v>0.4056041666666666</v>
      </c>
      <c r="R323" s="21">
        <v>0.51831249999999995</v>
      </c>
      <c r="S323" s="21">
        <v>0.5775625000000002</v>
      </c>
      <c r="T323" s="21">
        <v>0.60068749999999993</v>
      </c>
      <c r="U323" s="21">
        <v>0.57783333333333364</v>
      </c>
      <c r="V323" s="21">
        <v>0.45641666666666697</v>
      </c>
      <c r="W323" s="21">
        <v>0.45579166666666676</v>
      </c>
      <c r="X323" s="21">
        <v>0.39549999999999996</v>
      </c>
      <c r="Y323" s="21">
        <v>0.2246666666666666</v>
      </c>
      <c r="Z323" s="23">
        <f>AVERAGE(Q323,U323)</f>
        <v>0.49171875000000009</v>
      </c>
      <c r="AA323" s="23">
        <f>AVERAGE(R323:T323,V323:X323)</f>
        <v>0.50071180555555561</v>
      </c>
      <c r="AB323" s="23">
        <f t="shared" si="4"/>
        <v>0.49907670454545461</v>
      </c>
    </row>
    <row r="324" spans="1:28">
      <c r="A324" s="9">
        <v>44031</v>
      </c>
      <c r="B324" s="3">
        <v>360.50084478401646</v>
      </c>
      <c r="C324" s="3">
        <v>215.74183819842852</v>
      </c>
      <c r="D324" s="3">
        <v>253.07033532699538</v>
      </c>
      <c r="E324" s="3">
        <v>195.51962313925605</v>
      </c>
      <c r="F324" s="3">
        <v>187.28069519356356</v>
      </c>
      <c r="G324" s="19">
        <v>44031</v>
      </c>
      <c r="H324" s="20">
        <v>124.20833333333333</v>
      </c>
      <c r="I324" s="20">
        <v>85.610416666666694</v>
      </c>
      <c r="J324" s="20">
        <v>21.558333333333326</v>
      </c>
      <c r="K324" s="20">
        <v>41.900000000000006</v>
      </c>
      <c r="L324" s="20">
        <v>221.6875</v>
      </c>
      <c r="M324" s="20">
        <v>3.625</v>
      </c>
      <c r="N324" s="20">
        <v>0.10416666666666667</v>
      </c>
      <c r="O324" s="20">
        <v>18.960416666666667</v>
      </c>
      <c r="P324" s="10">
        <v>0.39686972402933041</v>
      </c>
      <c r="Q324" s="21">
        <v>0.47772916666666676</v>
      </c>
      <c r="R324" s="21">
        <v>0.55729166666666663</v>
      </c>
      <c r="S324" s="21">
        <v>0.60310416666666677</v>
      </c>
      <c r="T324" s="21">
        <v>0.62497916666666631</v>
      </c>
      <c r="U324" s="21">
        <v>0.61552083333333341</v>
      </c>
      <c r="V324" s="21">
        <v>0.51118750000000002</v>
      </c>
      <c r="W324" s="21">
        <v>0.47870833333333324</v>
      </c>
      <c r="X324" s="21">
        <v>0.41529166666666684</v>
      </c>
      <c r="Y324" s="21">
        <v>0.30547916666666658</v>
      </c>
      <c r="Z324" s="23">
        <f>AVERAGE(Q324,U324)</f>
        <v>0.54662500000000014</v>
      </c>
      <c r="AA324" s="23">
        <f>AVERAGE(R324:T324,V324:X324)</f>
        <v>0.53176041666666662</v>
      </c>
      <c r="AB324" s="23">
        <f t="shared" si="4"/>
        <v>0.53446306818181821</v>
      </c>
    </row>
    <row r="325" spans="1:28">
      <c r="A325" s="9">
        <v>44032</v>
      </c>
      <c r="B325" s="3">
        <v>60.648795493582</v>
      </c>
      <c r="C325" s="3">
        <v>29.903361679292356</v>
      </c>
      <c r="D325" s="3">
        <v>53.647993468475484</v>
      </c>
      <c r="E325" s="3">
        <v>31.471289825841271</v>
      </c>
      <c r="F325" s="3">
        <v>41.754285288733421</v>
      </c>
      <c r="G325" s="19">
        <v>44032</v>
      </c>
      <c r="H325" s="20">
        <v>64.229166666666671</v>
      </c>
      <c r="I325" s="20">
        <v>93.399999999999991</v>
      </c>
      <c r="J325" s="20">
        <v>19.522916666666664</v>
      </c>
      <c r="K325" s="20">
        <v>10.299999999999999</v>
      </c>
      <c r="L325" s="20">
        <v>248.3125</v>
      </c>
      <c r="M325" s="20">
        <v>2.1458333333333335</v>
      </c>
      <c r="N325" s="20">
        <v>0.125</v>
      </c>
      <c r="O325" s="20">
        <v>18.418750000000003</v>
      </c>
      <c r="P325" s="10">
        <v>0.15417672323297646</v>
      </c>
      <c r="Q325" s="21">
        <v>0.47656250000000006</v>
      </c>
      <c r="R325" s="21">
        <v>0.55704166666666688</v>
      </c>
      <c r="S325" s="21">
        <v>0.60293749999999946</v>
      </c>
      <c r="T325" s="21">
        <v>0.62022916666666639</v>
      </c>
      <c r="U325" s="21">
        <v>0.61995833333333317</v>
      </c>
      <c r="V325" s="21">
        <v>0.50685416666666649</v>
      </c>
      <c r="W325" s="21">
        <v>0.48277083333333309</v>
      </c>
      <c r="X325" s="21">
        <v>0.41472916666666676</v>
      </c>
      <c r="Y325" s="21">
        <v>0.28608333333333341</v>
      </c>
      <c r="Z325" s="23">
        <f>AVERAGE(Q325,U325)</f>
        <v>0.54826041666666658</v>
      </c>
      <c r="AA325" s="23">
        <f>AVERAGE(R325:T325,V325:X325)</f>
        <v>0.53076041666666651</v>
      </c>
      <c r="AB325" s="23">
        <f t="shared" si="4"/>
        <v>0.53394223484848469</v>
      </c>
    </row>
    <row r="326" spans="1:28">
      <c r="A326" s="9">
        <v>44033</v>
      </c>
      <c r="B326" s="3">
        <v>454.29229475281761</v>
      </c>
      <c r="C326" s="3">
        <v>213.08490399687963</v>
      </c>
      <c r="D326" s="3">
        <v>299.22300182453574</v>
      </c>
      <c r="E326" s="3">
        <v>236.69116778092985</v>
      </c>
      <c r="F326" s="3">
        <v>252.45289530568675</v>
      </c>
      <c r="G326" s="19">
        <v>44033</v>
      </c>
      <c r="H326" s="20">
        <v>119.89583333333333</v>
      </c>
      <c r="I326" s="20">
        <v>86.422916666666694</v>
      </c>
      <c r="J326" s="20">
        <v>21.704166666666669</v>
      </c>
      <c r="K326" s="20">
        <v>0.2</v>
      </c>
      <c r="L326" s="20">
        <v>229.66666666666666</v>
      </c>
      <c r="M326" s="20">
        <v>19.1875</v>
      </c>
      <c r="N326" s="20">
        <v>3.7916666666666665</v>
      </c>
      <c r="O326" s="20">
        <v>19.318749999999998</v>
      </c>
      <c r="P326" s="10">
        <v>0.3625778638346398</v>
      </c>
      <c r="Q326" s="21">
        <v>0.48729166666666662</v>
      </c>
      <c r="R326" s="21">
        <v>0.56439583333333332</v>
      </c>
      <c r="S326" s="21">
        <v>0.60802083333333368</v>
      </c>
      <c r="T326" s="21">
        <v>0.62806249999999997</v>
      </c>
      <c r="U326" s="21">
        <v>0.62752083333333331</v>
      </c>
      <c r="V326" s="21">
        <v>0.52197916666666688</v>
      </c>
      <c r="W326" s="21">
        <v>0.48631250000000054</v>
      </c>
      <c r="X326" s="21">
        <v>0.41881250000000003</v>
      </c>
      <c r="Y326" s="21">
        <v>0.29033333333333339</v>
      </c>
      <c r="Z326" s="23">
        <f>AVERAGE(Q326,U326)</f>
        <v>0.55740624999999999</v>
      </c>
      <c r="AA326" s="23">
        <f>AVERAGE(R326:T326,V326:X326)</f>
        <v>0.53793055555555569</v>
      </c>
      <c r="AB326" s="23">
        <f t="shared" ref="AB326:AB389" si="5">(Z326*10+AA326*45)/55</f>
        <v>0.54147159090909103</v>
      </c>
    </row>
    <row r="327" spans="1:28">
      <c r="A327" s="9">
        <v>44034</v>
      </c>
      <c r="B327" s="3">
        <v>702.27783565280322</v>
      </c>
      <c r="C327" s="3">
        <v>293.00340544039301</v>
      </c>
      <c r="D327" s="3">
        <v>428.9789408469303</v>
      </c>
      <c r="E327" s="3">
        <v>275.9632592221821</v>
      </c>
      <c r="F327" s="3">
        <v>364.09352579054712</v>
      </c>
      <c r="G327" s="19">
        <v>44034</v>
      </c>
      <c r="H327" s="20">
        <v>164.70833333333334</v>
      </c>
      <c r="I327" s="20">
        <v>82.768750000000026</v>
      </c>
      <c r="J327" s="20">
        <v>22.395833333333332</v>
      </c>
      <c r="K327" s="20">
        <v>0</v>
      </c>
      <c r="L327" s="20">
        <v>231.41666666666666</v>
      </c>
      <c r="M327" s="20">
        <v>19.125</v>
      </c>
      <c r="N327" s="20">
        <v>3.9791666666666665</v>
      </c>
      <c r="O327" s="20">
        <v>19.289583333333333</v>
      </c>
      <c r="P327" s="10">
        <v>0.47944696431909378</v>
      </c>
      <c r="Q327" s="21">
        <v>0.46308333333333329</v>
      </c>
      <c r="R327" s="21">
        <v>0.55031250000000009</v>
      </c>
      <c r="S327" s="21">
        <v>0.60002083333333345</v>
      </c>
      <c r="T327" s="21">
        <v>0.6169791666666663</v>
      </c>
      <c r="U327" s="21">
        <v>0.61760416666666629</v>
      </c>
      <c r="V327" s="21">
        <v>0.50385416666666671</v>
      </c>
      <c r="W327" s="21">
        <v>0.48112500000000019</v>
      </c>
      <c r="X327" s="21">
        <v>0.41399999999999976</v>
      </c>
      <c r="Y327" s="21">
        <v>0.2644375000000001</v>
      </c>
      <c r="Z327" s="23">
        <f>AVERAGE(Q327,U327)</f>
        <v>0.54034374999999979</v>
      </c>
      <c r="AA327" s="23">
        <f>AVERAGE(R327:T327,V327:X327)</f>
        <v>0.52771527777777771</v>
      </c>
      <c r="AB327" s="23">
        <f t="shared" si="5"/>
        <v>0.53001136363636359</v>
      </c>
    </row>
    <row r="328" spans="1:28">
      <c r="A328" s="9">
        <v>44035</v>
      </c>
      <c r="B328" s="3">
        <v>888.58749752899848</v>
      </c>
      <c r="C328" s="3">
        <v>417.62997154237399</v>
      </c>
      <c r="D328" s="3">
        <v>570.73992876035663</v>
      </c>
      <c r="E328" s="3">
        <v>318.77275101318389</v>
      </c>
      <c r="F328" s="3">
        <v>477.05836783841067</v>
      </c>
      <c r="G328" s="19">
        <v>44035</v>
      </c>
      <c r="H328" s="20">
        <v>239.64583333333334</v>
      </c>
      <c r="I328" s="20">
        <v>78.34999999999998</v>
      </c>
      <c r="J328" s="20">
        <v>23.974999999999998</v>
      </c>
      <c r="K328" s="20">
        <v>0</v>
      </c>
      <c r="L328" s="20">
        <v>232.27083333333334</v>
      </c>
      <c r="M328" s="20">
        <v>18.333333333333332</v>
      </c>
      <c r="N328" s="20">
        <v>3.875</v>
      </c>
      <c r="O328" s="20">
        <v>19.862500000000004</v>
      </c>
      <c r="P328" s="10">
        <v>0.69277424931038434</v>
      </c>
      <c r="Q328" s="21">
        <v>0.44787500000000002</v>
      </c>
      <c r="R328" s="21">
        <v>0.54052083333333367</v>
      </c>
      <c r="S328" s="21">
        <v>0.5936458333333331</v>
      </c>
      <c r="T328" s="21">
        <v>0.6124583333333331</v>
      </c>
      <c r="U328" s="21">
        <v>0.60962500000000042</v>
      </c>
      <c r="V328" s="21">
        <v>0.49197916666666702</v>
      </c>
      <c r="W328" s="21">
        <v>0.47549999999999998</v>
      </c>
      <c r="X328" s="21">
        <v>0.40989583333333329</v>
      </c>
      <c r="Y328" s="21">
        <v>0.24500000000000008</v>
      </c>
      <c r="Z328" s="23">
        <f>AVERAGE(Q328,U328)</f>
        <v>0.52875000000000028</v>
      </c>
      <c r="AA328" s="23">
        <f>AVERAGE(R328:T328,V328:X328)</f>
        <v>0.52066666666666661</v>
      </c>
      <c r="AB328" s="23">
        <f t="shared" si="5"/>
        <v>0.52213636363636362</v>
      </c>
    </row>
    <row r="329" spans="1:28">
      <c r="A329" s="9">
        <v>44036</v>
      </c>
      <c r="B329" s="3">
        <v>856.61768955996365</v>
      </c>
      <c r="C329" s="3">
        <v>408.89226343539036</v>
      </c>
      <c r="D329" s="3">
        <v>485.65135785721787</v>
      </c>
      <c r="E329" s="3">
        <v>320.88457679325944</v>
      </c>
      <c r="F329" s="3">
        <v>426.49261939186721</v>
      </c>
      <c r="G329" s="19">
        <v>44036</v>
      </c>
      <c r="H329" s="20">
        <v>257.3125</v>
      </c>
      <c r="I329" s="20">
        <v>77.970833333333346</v>
      </c>
      <c r="J329" s="20">
        <v>24.731250000000003</v>
      </c>
      <c r="K329" s="20">
        <v>0</v>
      </c>
      <c r="L329" s="20">
        <v>234.64583333333334</v>
      </c>
      <c r="M329" s="20">
        <v>15.645833333333334</v>
      </c>
      <c r="N329" s="20">
        <v>2.9166666666666665</v>
      </c>
      <c r="O329" s="20">
        <v>20.512500000000003</v>
      </c>
      <c r="P329" s="10">
        <v>0.73631827289622664</v>
      </c>
      <c r="Q329" s="21">
        <v>0.43020833333333347</v>
      </c>
      <c r="R329" s="21">
        <v>0.53074999999999972</v>
      </c>
      <c r="S329" s="21">
        <v>0.58577083333333291</v>
      </c>
      <c r="T329" s="21">
        <v>0.60758333333333336</v>
      </c>
      <c r="U329" s="21">
        <v>0.59870833333333329</v>
      </c>
      <c r="V329" s="21">
        <v>0.47729166666666645</v>
      </c>
      <c r="W329" s="21">
        <v>0.46781249999999991</v>
      </c>
      <c r="X329" s="21">
        <v>0.40491666666666676</v>
      </c>
      <c r="Y329" s="21">
        <v>0.22208333333333338</v>
      </c>
      <c r="Z329" s="23">
        <f>AVERAGE(Q329,U329)</f>
        <v>0.51445833333333335</v>
      </c>
      <c r="AA329" s="23">
        <f>AVERAGE(R329:T329,V329:X329)</f>
        <v>0.51235416666666656</v>
      </c>
      <c r="AB329" s="23">
        <f t="shared" si="5"/>
        <v>0.51273674242424239</v>
      </c>
    </row>
    <row r="330" spans="1:28">
      <c r="A330" s="9">
        <v>44037</v>
      </c>
      <c r="B330" s="3">
        <v>743.97952249720322</v>
      </c>
      <c r="C330" s="3">
        <v>293.91697450477386</v>
      </c>
      <c r="D330" s="3">
        <v>356.15809503094647</v>
      </c>
      <c r="E330" s="3">
        <v>302.99943618469274</v>
      </c>
      <c r="F330" s="3">
        <v>366.76405934830245</v>
      </c>
      <c r="G330" s="19">
        <v>44037</v>
      </c>
      <c r="H330" s="20">
        <v>204.35416666666666</v>
      </c>
      <c r="I330" s="20">
        <v>79.060416666666654</v>
      </c>
      <c r="J330" s="20">
        <v>24.997916666666665</v>
      </c>
      <c r="K330" s="20">
        <v>0</v>
      </c>
      <c r="L330" s="20">
        <v>232.20833333333334</v>
      </c>
      <c r="M330" s="20">
        <v>11.770833333333334</v>
      </c>
      <c r="N330" s="20">
        <v>2</v>
      </c>
      <c r="O330" s="20">
        <v>21.008333333333333</v>
      </c>
      <c r="P330" s="10">
        <v>0.711602201324954</v>
      </c>
      <c r="Q330" s="21">
        <v>0.40806249999999972</v>
      </c>
      <c r="R330" s="21">
        <v>0.52091666666666681</v>
      </c>
      <c r="S330" s="21">
        <v>0.57620833333333343</v>
      </c>
      <c r="T330" s="21">
        <v>0.60212500000000002</v>
      </c>
      <c r="U330" s="21">
        <v>0.58347916666666655</v>
      </c>
      <c r="V330" s="21">
        <v>0.46054166666666685</v>
      </c>
      <c r="W330" s="21">
        <v>0.45835416666666701</v>
      </c>
      <c r="X330" s="21">
        <v>0.39845833333333308</v>
      </c>
      <c r="Y330" s="21">
        <v>0.19620833333333329</v>
      </c>
      <c r="Z330" s="23">
        <f>AVERAGE(Q330,U330)</f>
        <v>0.49577083333333316</v>
      </c>
      <c r="AA330" s="23">
        <f>AVERAGE(R330:T330,V330:X330)</f>
        <v>0.5027673611111112</v>
      </c>
      <c r="AB330" s="23">
        <f t="shared" si="5"/>
        <v>0.50149526515151521</v>
      </c>
    </row>
    <row r="331" spans="1:28">
      <c r="A331" s="9">
        <v>44038</v>
      </c>
      <c r="B331" s="3">
        <v>116.55407339931818</v>
      </c>
      <c r="C331" s="3">
        <v>40.940346148075164</v>
      </c>
      <c r="D331" s="3">
        <v>55.085868970790052</v>
      </c>
      <c r="E331" s="3">
        <v>64.145048882833677</v>
      </c>
      <c r="F331" s="3">
        <v>139.32084206951319</v>
      </c>
      <c r="G331" s="19">
        <v>44038</v>
      </c>
      <c r="H331" s="20">
        <v>80.895833333333329</v>
      </c>
      <c r="I331" s="20">
        <v>86.61875000000002</v>
      </c>
      <c r="J331" s="20">
        <v>21.993750000000002</v>
      </c>
      <c r="K331" s="20">
        <v>7.3</v>
      </c>
      <c r="L331" s="20">
        <v>196.72916666666666</v>
      </c>
      <c r="M331" s="20">
        <v>6.1875</v>
      </c>
      <c r="N331" s="20">
        <v>0.72916666666666663</v>
      </c>
      <c r="O331" s="20">
        <v>19.641666666666669</v>
      </c>
      <c r="P331" s="10">
        <v>0.36401359057331417</v>
      </c>
      <c r="Q331" s="21">
        <v>0.39066666666666672</v>
      </c>
      <c r="R331" s="21">
        <v>0.51335416666666689</v>
      </c>
      <c r="S331" s="21">
        <v>0.56968749999999979</v>
      </c>
      <c r="T331" s="21">
        <v>0.59725000000000017</v>
      </c>
      <c r="U331" s="21">
        <v>0.57043750000000004</v>
      </c>
      <c r="V331" s="21">
        <v>0.44977083333333345</v>
      </c>
      <c r="W331" s="21">
        <v>0.45156250000000026</v>
      </c>
      <c r="X331" s="21">
        <v>0.39325000000000004</v>
      </c>
      <c r="Y331" s="21">
        <v>0.21112499999999998</v>
      </c>
      <c r="Z331" s="23">
        <f>AVERAGE(Q331,U331)</f>
        <v>0.48055208333333338</v>
      </c>
      <c r="AA331" s="23">
        <f>AVERAGE(R331:T331,V331:X331)</f>
        <v>0.49581250000000004</v>
      </c>
      <c r="AB331" s="23">
        <f t="shared" si="5"/>
        <v>0.4930378787878788</v>
      </c>
    </row>
    <row r="332" spans="1:28">
      <c r="A332" s="9">
        <v>44039</v>
      </c>
      <c r="B332" s="3">
        <v>779.75839480063769</v>
      </c>
      <c r="C332" s="3">
        <v>523.07829429143032</v>
      </c>
      <c r="D332" s="3">
        <v>592.75022607206438</v>
      </c>
      <c r="E332" s="3">
        <v>352.81035419614574</v>
      </c>
      <c r="F332" s="3">
        <v>432.82765577199973</v>
      </c>
      <c r="G332" s="19">
        <v>44039</v>
      </c>
      <c r="H332" s="20">
        <v>291.97916666666669</v>
      </c>
      <c r="I332" s="20">
        <v>69.70208333333332</v>
      </c>
      <c r="J332" s="20">
        <v>23.341666666666665</v>
      </c>
      <c r="K332" s="20">
        <v>0</v>
      </c>
      <c r="L332" s="20">
        <v>177.97916666666666</v>
      </c>
      <c r="M332" s="20">
        <v>3.8125</v>
      </c>
      <c r="N332" s="20">
        <v>0.125</v>
      </c>
      <c r="O332" s="20">
        <v>16.712499999999995</v>
      </c>
      <c r="P332" s="10">
        <v>1.1070419800310576</v>
      </c>
      <c r="Q332" s="21">
        <v>0.37743750000000009</v>
      </c>
      <c r="R332" s="21">
        <v>0.50489583333333343</v>
      </c>
      <c r="S332" s="21">
        <v>0.56310416666666663</v>
      </c>
      <c r="T332" s="21">
        <v>0.59020833333333289</v>
      </c>
      <c r="U332" s="21">
        <v>0.55887499999999968</v>
      </c>
      <c r="V332" s="21">
        <v>0.44131250000000005</v>
      </c>
      <c r="W332" s="21">
        <v>0.44591666666666668</v>
      </c>
      <c r="X332" s="21">
        <v>0.38895833333333329</v>
      </c>
      <c r="Y332" s="21">
        <v>0.21954166666666677</v>
      </c>
      <c r="Z332" s="23">
        <f>AVERAGE(Q332,U332)</f>
        <v>0.46815624999999988</v>
      </c>
      <c r="AA332" s="23">
        <f>AVERAGE(R332:T332,V332:X332)</f>
        <v>0.4890659722222222</v>
      </c>
      <c r="AB332" s="23">
        <f t="shared" si="5"/>
        <v>0.48526420454545449</v>
      </c>
    </row>
    <row r="333" spans="1:28">
      <c r="A333" s="9">
        <v>44040</v>
      </c>
      <c r="B333" s="3">
        <v>836.15506082313743</v>
      </c>
      <c r="C333" s="3">
        <v>404.85203558394488</v>
      </c>
      <c r="D333" s="3">
        <v>600.95322848669468</v>
      </c>
      <c r="E333" s="3">
        <v>372.74676694484378</v>
      </c>
      <c r="F333" s="3">
        <v>384.6535803433589</v>
      </c>
      <c r="G333" s="19">
        <v>44040</v>
      </c>
      <c r="H333" s="20">
        <v>274.85416666666669</v>
      </c>
      <c r="I333" s="20">
        <v>67.783333333333317</v>
      </c>
      <c r="J333" s="20">
        <v>23.958333333333332</v>
      </c>
      <c r="K333" s="20">
        <v>0</v>
      </c>
      <c r="L333" s="20">
        <v>226.02083333333334</v>
      </c>
      <c r="M333" s="20">
        <v>2.0833333333333335</v>
      </c>
      <c r="N333" s="20">
        <v>0</v>
      </c>
      <c r="O333" s="20">
        <v>17.202083333333334</v>
      </c>
      <c r="P333" s="10">
        <v>1.1201982685885747</v>
      </c>
      <c r="Q333" s="21">
        <v>0.35004166666666675</v>
      </c>
      <c r="R333" s="21">
        <v>0.48720833333333341</v>
      </c>
      <c r="S333" s="21">
        <v>0.54906250000000023</v>
      </c>
      <c r="T333" s="21">
        <v>0.57520833333333332</v>
      </c>
      <c r="U333" s="21">
        <v>0.5393958333333333</v>
      </c>
      <c r="V333" s="21">
        <v>0.42197916666666674</v>
      </c>
      <c r="W333" s="21">
        <v>0.43043750000000019</v>
      </c>
      <c r="X333" s="21">
        <v>0.37866666666666665</v>
      </c>
      <c r="Y333" s="21">
        <v>0.18804166666666666</v>
      </c>
      <c r="Z333" s="23">
        <f>AVERAGE(Q333,U333)</f>
        <v>0.44471875000000005</v>
      </c>
      <c r="AA333" s="23">
        <f>AVERAGE(R333:T333,V333:X333)</f>
        <v>0.47376041666666674</v>
      </c>
      <c r="AB333" s="23">
        <f t="shared" si="5"/>
        <v>0.46848011363636372</v>
      </c>
    </row>
    <row r="334" spans="1:28">
      <c r="A334" s="9">
        <v>44041</v>
      </c>
      <c r="B334" s="3">
        <v>816.12395340107423</v>
      </c>
      <c r="C334" s="3">
        <v>421.59848984340607</v>
      </c>
      <c r="D334" s="3">
        <v>530.24786180437866</v>
      </c>
      <c r="E334" s="3">
        <v>388.00052261243087</v>
      </c>
      <c r="F334" s="3">
        <v>344.38991758173449</v>
      </c>
      <c r="G334" s="19">
        <v>44041</v>
      </c>
      <c r="H334" s="20">
        <v>257.33333333333331</v>
      </c>
      <c r="I334" s="20">
        <v>72.814583333333346</v>
      </c>
      <c r="J334" s="20">
        <v>24.068749999999994</v>
      </c>
      <c r="K334" s="20">
        <v>0</v>
      </c>
      <c r="L334" s="20">
        <v>213.375</v>
      </c>
      <c r="M334" s="20">
        <v>5.5</v>
      </c>
      <c r="N334" s="20">
        <v>0.27083333333333331</v>
      </c>
      <c r="O334" s="20">
        <v>18.568750000000005</v>
      </c>
      <c r="P334" s="10">
        <v>0.92438723048514182</v>
      </c>
      <c r="Q334" s="21">
        <v>0.32508333333333328</v>
      </c>
      <c r="R334" s="21">
        <v>0.46712499999999985</v>
      </c>
      <c r="S334" s="21">
        <v>0.53406249999999977</v>
      </c>
      <c r="T334" s="21">
        <v>0.5570624999999999</v>
      </c>
      <c r="U334" s="21">
        <v>0.5187291666666668</v>
      </c>
      <c r="V334" s="21">
        <v>0.40320833333333339</v>
      </c>
      <c r="W334" s="21">
        <v>0.41239583333333329</v>
      </c>
      <c r="X334" s="21">
        <v>0.36662500000000015</v>
      </c>
      <c r="Y334" s="21">
        <v>0.16160416666666663</v>
      </c>
      <c r="Z334" s="23">
        <f>AVERAGE(Q334,U334)</f>
        <v>0.42190625000000004</v>
      </c>
      <c r="AA334" s="23">
        <f>AVERAGE(R334:T334,V334:X334)</f>
        <v>0.45674652777777774</v>
      </c>
      <c r="AB334" s="23">
        <f t="shared" si="5"/>
        <v>0.45041193181818179</v>
      </c>
    </row>
    <row r="335" spans="1:28">
      <c r="A335" s="9">
        <v>44042</v>
      </c>
      <c r="B335" s="3">
        <v>785.61257919988236</v>
      </c>
      <c r="C335" s="3">
        <v>422.65420820298408</v>
      </c>
      <c r="D335" s="3">
        <v>500.41593502753193</v>
      </c>
      <c r="E335" s="3">
        <v>391.98893022435777</v>
      </c>
      <c r="F335" s="3">
        <v>266.52455640036612</v>
      </c>
      <c r="G335" s="19">
        <v>44042</v>
      </c>
      <c r="H335" s="20">
        <v>259.125</v>
      </c>
      <c r="I335" s="20">
        <v>73.983333333333306</v>
      </c>
      <c r="J335" s="20">
        <v>24.527083333333337</v>
      </c>
      <c r="K335" s="20">
        <v>0</v>
      </c>
      <c r="L335" s="20">
        <v>237.45833333333334</v>
      </c>
      <c r="M335" s="20">
        <v>7.666666666666667</v>
      </c>
      <c r="N335" s="20">
        <v>0.39583333333333331</v>
      </c>
      <c r="O335" s="20">
        <v>19.283333333333324</v>
      </c>
      <c r="P335" s="10">
        <v>0.8969768416974605</v>
      </c>
      <c r="Q335" s="21">
        <v>0.30266666666666664</v>
      </c>
      <c r="R335" s="21">
        <v>0.44585416666666666</v>
      </c>
      <c r="S335" s="21">
        <v>0.51883333333333359</v>
      </c>
      <c r="T335" s="21">
        <v>0.5368124999999998</v>
      </c>
      <c r="U335" s="21">
        <v>0.49964583333333329</v>
      </c>
      <c r="V335" s="21">
        <v>0.38585416666666655</v>
      </c>
      <c r="W335" s="21">
        <v>0.39462500000000023</v>
      </c>
      <c r="X335" s="21">
        <v>0.35416666666666669</v>
      </c>
      <c r="Y335" s="21">
        <v>0.14449999999999996</v>
      </c>
      <c r="Z335" s="23">
        <f>AVERAGE(Q335,U335)</f>
        <v>0.40115624999999999</v>
      </c>
      <c r="AA335" s="23">
        <f>AVERAGE(R335:T335,V335:X335)</f>
        <v>0.4393576388888889</v>
      </c>
      <c r="AB335" s="23">
        <f t="shared" si="5"/>
        <v>0.43241193181818188</v>
      </c>
    </row>
    <row r="336" spans="1:28">
      <c r="A336" s="9">
        <v>44043</v>
      </c>
      <c r="B336" s="3">
        <v>706.20491742749005</v>
      </c>
      <c r="C336" s="3">
        <v>435.97569370127894</v>
      </c>
      <c r="D336" s="3">
        <v>440.27000597063807</v>
      </c>
      <c r="E336" s="3">
        <v>376.50882315255154</v>
      </c>
      <c r="F336" s="3">
        <v>243.24186202052363</v>
      </c>
      <c r="G336" s="19">
        <v>44043</v>
      </c>
      <c r="H336" s="20">
        <v>214.41666666666666</v>
      </c>
      <c r="I336" s="20">
        <v>75.560416666666654</v>
      </c>
      <c r="J336" s="20">
        <v>24.518749999999997</v>
      </c>
      <c r="K336" s="20">
        <v>0</v>
      </c>
      <c r="L336" s="20">
        <v>228.10416666666666</v>
      </c>
      <c r="M336" s="20">
        <v>6.354166666666667</v>
      </c>
      <c r="N336" s="20">
        <v>0.39583333333333331</v>
      </c>
      <c r="O336" s="20">
        <v>19.654166666666665</v>
      </c>
      <c r="P336" s="10">
        <v>0.84287571545245532</v>
      </c>
      <c r="Q336" s="21">
        <v>0.28612499999999996</v>
      </c>
      <c r="R336" s="21">
        <v>0.42543749999999986</v>
      </c>
      <c r="S336" s="21">
        <v>0.50433333333333319</v>
      </c>
      <c r="T336" s="21">
        <v>0.51756250000000004</v>
      </c>
      <c r="U336" s="21">
        <v>0.48339583333333341</v>
      </c>
      <c r="V336" s="21">
        <v>0.37158333333333315</v>
      </c>
      <c r="W336" s="21">
        <v>0.38031250000000005</v>
      </c>
      <c r="X336" s="21">
        <v>0.3426249999999999</v>
      </c>
      <c r="Y336" s="21">
        <v>0.13472916666666676</v>
      </c>
      <c r="Z336" s="23">
        <f>AVERAGE(Q336,U336)</f>
        <v>0.38476041666666672</v>
      </c>
      <c r="AA336" s="23">
        <f>AVERAGE(R336:T336,V336:X336)</f>
        <v>0.42364236111111103</v>
      </c>
      <c r="AB336" s="23">
        <f t="shared" si="5"/>
        <v>0.41657291666666657</v>
      </c>
    </row>
    <row r="337" spans="1:28">
      <c r="A337" s="9">
        <v>44044</v>
      </c>
      <c r="B337" s="3">
        <v>558.89835501970686</v>
      </c>
      <c r="C337" s="3">
        <v>380.61889229151166</v>
      </c>
      <c r="D337" s="3">
        <v>340.05819551223328</v>
      </c>
      <c r="E337" s="3">
        <v>306.8079682882402</v>
      </c>
      <c r="F337" s="3">
        <v>201.05138795898864</v>
      </c>
      <c r="G337" s="19">
        <v>44044</v>
      </c>
      <c r="H337" s="20">
        <v>153.16666666666666</v>
      </c>
      <c r="I337" s="20">
        <v>78.28958333333334</v>
      </c>
      <c r="J337" s="20">
        <v>23.462500000000006</v>
      </c>
      <c r="K337" s="20">
        <v>8.8000000000000007</v>
      </c>
      <c r="L337" s="20">
        <v>236.25</v>
      </c>
      <c r="M337" s="20">
        <v>3.7708333333333335</v>
      </c>
      <c r="N337" s="20">
        <v>0.125</v>
      </c>
      <c r="O337" s="20">
        <v>19.285416666666659</v>
      </c>
      <c r="P337" s="10">
        <v>0.693545799922341</v>
      </c>
      <c r="Q337" s="21">
        <v>0.2759375</v>
      </c>
      <c r="R337" s="21">
        <v>0.40733333333333333</v>
      </c>
      <c r="S337" s="21">
        <v>0.49137500000000006</v>
      </c>
      <c r="T337" s="21">
        <v>0.50064583333333323</v>
      </c>
      <c r="U337" s="21">
        <v>0.47743750000000013</v>
      </c>
      <c r="V337" s="21">
        <v>0.36889583333333337</v>
      </c>
      <c r="W337" s="21">
        <v>0.37054166666666677</v>
      </c>
      <c r="X337" s="21">
        <v>0.33310416666666687</v>
      </c>
      <c r="Y337" s="21">
        <v>0.14481250000000004</v>
      </c>
      <c r="Z337" s="23">
        <f>AVERAGE(Q337,U337)</f>
        <v>0.37668750000000006</v>
      </c>
      <c r="AA337" s="23">
        <f>AVERAGE(R337:T337,V337:X337)</f>
        <v>0.41198263888888897</v>
      </c>
      <c r="AB337" s="23">
        <f t="shared" si="5"/>
        <v>0.40556534090909097</v>
      </c>
    </row>
    <row r="338" spans="1:28">
      <c r="A338" s="9">
        <v>44045</v>
      </c>
      <c r="B338" s="3">
        <v>338.90397380406517</v>
      </c>
      <c r="C338" s="3">
        <v>198.10146010604086</v>
      </c>
      <c r="D338" s="3">
        <v>185.32579237571107</v>
      </c>
      <c r="E338" s="3">
        <v>211.78420395748344</v>
      </c>
      <c r="F338" s="3">
        <v>181.4089754676794</v>
      </c>
      <c r="G338" s="19">
        <v>44045</v>
      </c>
      <c r="H338" s="20">
        <v>142.77083333333334</v>
      </c>
      <c r="I338" s="20">
        <v>88.233333333333391</v>
      </c>
      <c r="J338" s="20">
        <v>22.179166666666664</v>
      </c>
      <c r="K338" s="20">
        <v>13.7</v>
      </c>
      <c r="L338" s="20">
        <v>234.39583333333334</v>
      </c>
      <c r="M338" s="20">
        <v>2.7291666666666665</v>
      </c>
      <c r="N338" s="20">
        <v>4.1666666666666664E-2</v>
      </c>
      <c r="O338" s="20">
        <v>20.002083333333328</v>
      </c>
      <c r="P338" s="10">
        <v>0.36315269896688385</v>
      </c>
      <c r="Q338" s="21">
        <v>0.27995833333333336</v>
      </c>
      <c r="R338" s="21">
        <v>0.39954166666666663</v>
      </c>
      <c r="S338" s="21">
        <v>0.48347916666666696</v>
      </c>
      <c r="T338" s="21">
        <v>0.4909375000000003</v>
      </c>
      <c r="U338" s="21">
        <v>0.50127083333333311</v>
      </c>
      <c r="V338" s="21">
        <v>0.3801666666666666</v>
      </c>
      <c r="W338" s="21">
        <v>0.36937499999999984</v>
      </c>
      <c r="X338" s="21">
        <v>0.32808333333333323</v>
      </c>
      <c r="Y338" s="21">
        <v>0.24283333333333337</v>
      </c>
      <c r="Z338" s="23">
        <f>AVERAGE(Q338,U338)</f>
        <v>0.39061458333333321</v>
      </c>
      <c r="AA338" s="23">
        <f>AVERAGE(R338:T338,V338:X338)</f>
        <v>0.40859722222222228</v>
      </c>
      <c r="AB338" s="23">
        <f t="shared" si="5"/>
        <v>0.4053276515151516</v>
      </c>
    </row>
    <row r="339" spans="1:28">
      <c r="A339" s="9">
        <v>44046</v>
      </c>
      <c r="B339" s="3">
        <v>99.136390392041449</v>
      </c>
      <c r="C339" s="3">
        <v>70.628541196155183</v>
      </c>
      <c r="D339" s="3">
        <v>57.236407644428922</v>
      </c>
      <c r="E339" s="3">
        <v>96.176693853725268</v>
      </c>
      <c r="F339" s="3">
        <v>93.20995314746088</v>
      </c>
      <c r="G339" s="19">
        <v>44046</v>
      </c>
      <c r="H339" s="20">
        <v>104.02083333333333</v>
      </c>
      <c r="I339" s="20">
        <v>92.45</v>
      </c>
      <c r="J339" s="20">
        <v>20.972916666666666</v>
      </c>
      <c r="K339" s="20">
        <v>12.2</v>
      </c>
      <c r="L339" s="20">
        <v>227.97916666666666</v>
      </c>
      <c r="M339" s="20">
        <v>2.7916666666666665</v>
      </c>
      <c r="N339" s="20">
        <v>4.1666666666666664E-2</v>
      </c>
      <c r="O339" s="20">
        <v>19.68333333333333</v>
      </c>
      <c r="P339" s="10">
        <v>0.19547116230165407</v>
      </c>
      <c r="Q339" s="21">
        <v>0.3031875</v>
      </c>
      <c r="R339" s="21">
        <v>0.40335416666666662</v>
      </c>
      <c r="S339" s="21">
        <v>0.48420833333333341</v>
      </c>
      <c r="T339" s="21">
        <v>0.48897916666666652</v>
      </c>
      <c r="U339" s="21">
        <v>0.52879166666666666</v>
      </c>
      <c r="V339" s="21">
        <v>0.3761666666666667</v>
      </c>
      <c r="W339" s="21">
        <v>0.36966666666666642</v>
      </c>
      <c r="X339" s="21">
        <v>0.32697916666666665</v>
      </c>
      <c r="Y339" s="21">
        <v>0.26035416666666672</v>
      </c>
      <c r="Z339" s="23">
        <f>AVERAGE(Q339,U339)</f>
        <v>0.41598958333333336</v>
      </c>
      <c r="AA339" s="23">
        <f>AVERAGE(R339:T339,V339:X339)</f>
        <v>0.40822569444444445</v>
      </c>
      <c r="AB339" s="23">
        <f t="shared" si="5"/>
        <v>0.40963731060606062</v>
      </c>
    </row>
    <row r="340" spans="1:28">
      <c r="A340" s="9">
        <v>44047</v>
      </c>
      <c r="B340" s="3">
        <v>406.58979231171094</v>
      </c>
      <c r="C340" s="3">
        <v>355.71545800447262</v>
      </c>
      <c r="D340" s="3">
        <v>217.42269153525766</v>
      </c>
      <c r="E340" s="3">
        <v>295.6019889298783</v>
      </c>
      <c r="F340" s="3">
        <v>271.6489643962704</v>
      </c>
      <c r="G340" s="19">
        <v>44047</v>
      </c>
      <c r="H340" s="20">
        <v>136.10416666666666</v>
      </c>
      <c r="I340" s="20">
        <v>86.218749999999986</v>
      </c>
      <c r="J340" s="20">
        <v>22.368750000000002</v>
      </c>
      <c r="K340" s="20">
        <v>0.2</v>
      </c>
      <c r="L340" s="20">
        <v>213.14583333333334</v>
      </c>
      <c r="M340" s="20">
        <v>2.7708333333333335</v>
      </c>
      <c r="N340" s="20">
        <v>0.10416666666666667</v>
      </c>
      <c r="O340" s="20">
        <v>19.818750000000005</v>
      </c>
      <c r="P340" s="10">
        <v>0.42443003886107133</v>
      </c>
      <c r="Q340" s="21">
        <v>0.39091666666666675</v>
      </c>
      <c r="R340" s="21">
        <v>0.4297500000000003</v>
      </c>
      <c r="S340" s="21">
        <v>0.5130625000000002</v>
      </c>
      <c r="T340" s="21">
        <v>0.49477083333333294</v>
      </c>
      <c r="U340" s="21">
        <v>0.59320833333333345</v>
      </c>
      <c r="V340" s="21">
        <v>0.41508333333333325</v>
      </c>
      <c r="W340" s="21">
        <v>0.37202083333333319</v>
      </c>
      <c r="X340" s="21">
        <v>0.32702083333333332</v>
      </c>
      <c r="Y340" s="21">
        <v>0.2725625000000001</v>
      </c>
      <c r="Z340" s="23">
        <f>AVERAGE(Q340,U340)</f>
        <v>0.49206250000000007</v>
      </c>
      <c r="AA340" s="23">
        <f>AVERAGE(R340:T340,V340:X340)</f>
        <v>0.42528472222222219</v>
      </c>
      <c r="AB340" s="23">
        <f t="shared" si="5"/>
        <v>0.43742613636363636</v>
      </c>
    </row>
    <row r="341" spans="1:28">
      <c r="A341" s="9">
        <v>44048</v>
      </c>
      <c r="B341" s="3">
        <v>680.72698960521211</v>
      </c>
      <c r="C341" s="3">
        <v>481.19771937798254</v>
      </c>
      <c r="D341" s="3">
        <v>465.14744886978315</v>
      </c>
      <c r="E341" s="3">
        <v>394.72432519864003</v>
      </c>
      <c r="F341" s="3">
        <v>356.49521224820603</v>
      </c>
      <c r="G341" s="19">
        <v>44048</v>
      </c>
      <c r="H341" s="20">
        <v>205.79166666666666</v>
      </c>
      <c r="I341" s="20">
        <v>77.491666666666688</v>
      </c>
      <c r="J341" s="20">
        <v>24.345833333333331</v>
      </c>
      <c r="K341" s="20">
        <v>0</v>
      </c>
      <c r="L341" s="20">
        <v>228.10416666666666</v>
      </c>
      <c r="M341" s="20">
        <v>5.5</v>
      </c>
      <c r="N341" s="20">
        <v>0.375</v>
      </c>
      <c r="O341" s="20">
        <v>19.941666666666663</v>
      </c>
      <c r="P341" s="10">
        <v>0.76496044162125487</v>
      </c>
      <c r="Q341" s="21">
        <v>0.35843749999999996</v>
      </c>
      <c r="R341" s="21">
        <v>0.42583333333333306</v>
      </c>
      <c r="S341" s="21">
        <v>0.50495833333333329</v>
      </c>
      <c r="T341" s="21">
        <v>0.49202083333333296</v>
      </c>
      <c r="U341" s="21">
        <v>0.57954166666666662</v>
      </c>
      <c r="V341" s="21">
        <v>0.39864583333333364</v>
      </c>
      <c r="W341" s="21">
        <v>0.37189583333333326</v>
      </c>
      <c r="X341" s="21">
        <v>0.32675000000000004</v>
      </c>
      <c r="Y341" s="21">
        <v>0.24475</v>
      </c>
      <c r="Z341" s="23">
        <f>AVERAGE(Q341,U341)</f>
        <v>0.46898958333333329</v>
      </c>
      <c r="AA341" s="23">
        <f>AVERAGE(R341:T341,V341:X341)</f>
        <v>0.42001736111111104</v>
      </c>
      <c r="AB341" s="23">
        <f t="shared" si="5"/>
        <v>0.42892140151515151</v>
      </c>
    </row>
    <row r="342" spans="1:28">
      <c r="A342" s="9">
        <v>44049</v>
      </c>
      <c r="B342" s="3">
        <v>456.30031913865525</v>
      </c>
      <c r="C342" s="3">
        <v>298.54137515393285</v>
      </c>
      <c r="D342" s="3">
        <v>251.95360495936288</v>
      </c>
      <c r="E342" s="3">
        <v>271.38024711742202</v>
      </c>
      <c r="F342" s="3">
        <v>270.85973978297676</v>
      </c>
      <c r="G342" s="19">
        <v>44049</v>
      </c>
      <c r="H342" s="20">
        <v>135.75</v>
      </c>
      <c r="I342" s="20">
        <v>83.293749999999989</v>
      </c>
      <c r="J342" s="20">
        <v>22.743750000000002</v>
      </c>
      <c r="K342" s="20">
        <v>0</v>
      </c>
      <c r="L342" s="20">
        <v>231.29166666666666</v>
      </c>
      <c r="M342" s="20">
        <v>8.3958333333333339</v>
      </c>
      <c r="N342" s="20">
        <v>0.77083333333333337</v>
      </c>
      <c r="O342" s="20">
        <v>19.708333333333336</v>
      </c>
      <c r="P342" s="10">
        <v>0.48399098595726397</v>
      </c>
      <c r="Q342" s="21">
        <v>0.32875000000000004</v>
      </c>
      <c r="R342" s="21">
        <v>0.42010416666666689</v>
      </c>
      <c r="S342" s="21">
        <v>0.4973541666666666</v>
      </c>
      <c r="T342" s="21">
        <v>0.48906250000000001</v>
      </c>
      <c r="U342" s="21">
        <v>0.56195833333333323</v>
      </c>
      <c r="V342" s="21">
        <v>0.38304166666666667</v>
      </c>
      <c r="W342" s="21">
        <v>0.37018750000000006</v>
      </c>
      <c r="X342" s="21">
        <v>0.32549999999999968</v>
      </c>
      <c r="Y342" s="21">
        <v>0.22168749999999993</v>
      </c>
      <c r="Z342" s="23">
        <f>AVERAGE(Q342,U342)</f>
        <v>0.44535416666666661</v>
      </c>
      <c r="AA342" s="23">
        <f>AVERAGE(R342:T342,V342:X342)</f>
        <v>0.41420833333333329</v>
      </c>
      <c r="AB342" s="23">
        <f t="shared" si="5"/>
        <v>0.41987121212121209</v>
      </c>
    </row>
    <row r="343" spans="1:28">
      <c r="A343" s="9">
        <v>44050</v>
      </c>
      <c r="B343" s="3">
        <v>528.25066369359467</v>
      </c>
      <c r="C343" s="3">
        <v>269.05459146014562</v>
      </c>
      <c r="D343" s="3">
        <v>196.40735746575086</v>
      </c>
      <c r="E343" s="3">
        <v>278.5116418531104</v>
      </c>
      <c r="F343" s="3">
        <v>203.96269445001525</v>
      </c>
      <c r="G343" s="19">
        <v>44050</v>
      </c>
      <c r="H343" s="20">
        <v>144.95833333333334</v>
      </c>
      <c r="I343" s="20">
        <v>82.874999999999986</v>
      </c>
      <c r="J343" s="20">
        <v>22.733333333333331</v>
      </c>
      <c r="K343" s="20">
        <v>0</v>
      </c>
      <c r="L343" s="20">
        <v>232.9375</v>
      </c>
      <c r="M343" s="20">
        <v>12.229166666666666</v>
      </c>
      <c r="N343" s="20">
        <v>1.2291666666666667</v>
      </c>
      <c r="O343" s="20">
        <v>19.618749999999999</v>
      </c>
      <c r="P343" s="10">
        <v>0.49445379789817001</v>
      </c>
      <c r="Q343" s="21">
        <v>0.30820833333333331</v>
      </c>
      <c r="R343" s="21">
        <v>0.41185416666666663</v>
      </c>
      <c r="S343" s="21">
        <v>0.4899166666666665</v>
      </c>
      <c r="T343" s="21">
        <v>0.48535416666666692</v>
      </c>
      <c r="U343" s="21">
        <v>0.54208333333333336</v>
      </c>
      <c r="V343" s="21">
        <v>0.3735208333333333</v>
      </c>
      <c r="W343" s="21">
        <v>0.3687500000000003</v>
      </c>
      <c r="X343" s="21">
        <v>0.3241041666666668</v>
      </c>
      <c r="Y343" s="21">
        <v>0.20150000000000004</v>
      </c>
      <c r="Z343" s="23">
        <f>AVERAGE(Q343,U343)</f>
        <v>0.42514583333333333</v>
      </c>
      <c r="AA343" s="23">
        <f>AVERAGE(R343:T343,V343:X343)</f>
        <v>0.40891666666666676</v>
      </c>
      <c r="AB343" s="23">
        <f t="shared" si="5"/>
        <v>0.41186742424242428</v>
      </c>
    </row>
    <row r="344" spans="1:28">
      <c r="A344" s="9">
        <v>44051</v>
      </c>
      <c r="B344" s="3">
        <v>573.15710172144054</v>
      </c>
      <c r="C344" s="3">
        <v>235.82744449280904</v>
      </c>
      <c r="D344" s="3">
        <v>184.30079297554337</v>
      </c>
      <c r="E344" s="3">
        <v>282.68341176423939</v>
      </c>
      <c r="F344" s="3">
        <v>116.86693096849154</v>
      </c>
      <c r="G344" s="19">
        <v>44051</v>
      </c>
      <c r="H344" s="20">
        <v>188.47916666666666</v>
      </c>
      <c r="I344" s="20">
        <v>82.533333333333317</v>
      </c>
      <c r="J344" s="20">
        <v>23.308333333333334</v>
      </c>
      <c r="K344" s="20">
        <v>33.900000000000006</v>
      </c>
      <c r="L344" s="20">
        <v>238.47916666666666</v>
      </c>
      <c r="M344" s="20">
        <v>10.604166666666666</v>
      </c>
      <c r="N344" s="20">
        <v>1.1458333333333333</v>
      </c>
      <c r="O344" s="20">
        <v>20.045833333333327</v>
      </c>
      <c r="P344" s="10">
        <v>0.55065683506795216</v>
      </c>
      <c r="Q344" s="21">
        <v>0.30918750000000017</v>
      </c>
      <c r="R344" s="21">
        <v>0.40729166666666661</v>
      </c>
      <c r="S344" s="21">
        <v>0.48812499999999986</v>
      </c>
      <c r="T344" s="21">
        <v>0.48793749999999969</v>
      </c>
      <c r="U344" s="21">
        <v>0.52887500000000021</v>
      </c>
      <c r="V344" s="21">
        <v>0.37443750000000015</v>
      </c>
      <c r="W344" s="21">
        <v>0.36527083333333327</v>
      </c>
      <c r="X344" s="21">
        <v>0.32095833333333346</v>
      </c>
      <c r="Y344" s="21">
        <v>0.20412500000000003</v>
      </c>
      <c r="Z344" s="23">
        <f>AVERAGE(Q344,U344)</f>
        <v>0.41903125000000019</v>
      </c>
      <c r="AA344" s="23">
        <f>AVERAGE(R344:T344,V344:X344)</f>
        <v>0.40733680555555551</v>
      </c>
      <c r="AB344" s="23">
        <f t="shared" si="5"/>
        <v>0.40946306818181816</v>
      </c>
    </row>
    <row r="345" spans="1:28">
      <c r="A345" s="9">
        <v>44052</v>
      </c>
      <c r="B345" s="3">
        <v>325.96463321758188</v>
      </c>
      <c r="C345" s="3">
        <v>76.186499533154958</v>
      </c>
      <c r="D345" s="3">
        <v>124.98770227439026</v>
      </c>
      <c r="E345" s="3">
        <v>162.81255332580238</v>
      </c>
      <c r="F345" s="3">
        <v>197.08525520649638</v>
      </c>
      <c r="G345" s="19">
        <v>44052</v>
      </c>
      <c r="H345" s="20">
        <v>113.0625</v>
      </c>
      <c r="I345" s="20">
        <v>91.116666666666688</v>
      </c>
      <c r="J345" s="20">
        <v>21.125</v>
      </c>
      <c r="K345" s="20">
        <v>45.900000000000013</v>
      </c>
      <c r="L345" s="20">
        <v>253.25</v>
      </c>
      <c r="M345" s="20">
        <v>4.4375</v>
      </c>
      <c r="N345" s="20">
        <v>2.0833333333333332E-2</v>
      </c>
      <c r="O345" s="20">
        <v>19.556249999999999</v>
      </c>
      <c r="P345" s="10">
        <v>0.24657902403725693</v>
      </c>
      <c r="Q345" s="21">
        <v>0.47606249999999989</v>
      </c>
      <c r="R345" s="21">
        <v>0.54956249999999984</v>
      </c>
      <c r="S345" s="21">
        <v>0.60087500000000016</v>
      </c>
      <c r="T345" s="21">
        <v>0.62433333333333296</v>
      </c>
      <c r="U345" s="21">
        <v>0.62454166666666644</v>
      </c>
      <c r="V345" s="21">
        <v>0.52470833333333333</v>
      </c>
      <c r="W345" s="21">
        <v>0.45347916666666682</v>
      </c>
      <c r="X345" s="21">
        <v>0.39572916666666652</v>
      </c>
      <c r="Y345" s="21">
        <v>0.3738541666666666</v>
      </c>
      <c r="Z345" s="23">
        <f>AVERAGE(Q345,U345)</f>
        <v>0.55030208333333319</v>
      </c>
      <c r="AA345" s="23">
        <f>AVERAGE(R345:T345,V345:X345)</f>
        <v>0.52478124999999987</v>
      </c>
      <c r="AB345" s="23">
        <f t="shared" si="5"/>
        <v>0.52942140151515138</v>
      </c>
    </row>
    <row r="346" spans="1:28">
      <c r="A346" s="9">
        <v>44053</v>
      </c>
      <c r="B346" s="3">
        <v>613.31618902564048</v>
      </c>
      <c r="C346" s="3">
        <v>320.06657797655504</v>
      </c>
      <c r="D346" s="3">
        <v>433.52597543170884</v>
      </c>
      <c r="E346" s="3">
        <v>359.64541959516811</v>
      </c>
      <c r="F346" s="3">
        <v>437.90384436009867</v>
      </c>
      <c r="G346" s="19">
        <v>44053</v>
      </c>
      <c r="H346" s="20">
        <v>198.4375</v>
      </c>
      <c r="I346" s="20">
        <v>81.679166666666646</v>
      </c>
      <c r="J346" s="20">
        <v>24.095833333333335</v>
      </c>
      <c r="K346" s="20">
        <v>0</v>
      </c>
      <c r="L346" s="20">
        <v>231.47916666666666</v>
      </c>
      <c r="M346" s="20">
        <v>4.9375</v>
      </c>
      <c r="N346" s="20">
        <v>0.10416666666666667</v>
      </c>
      <c r="O346" s="20">
        <v>20.554166666666667</v>
      </c>
      <c r="P346" s="10">
        <v>0.63512456321903499</v>
      </c>
      <c r="Q346" s="21">
        <v>0.44437499999999969</v>
      </c>
      <c r="R346" s="21">
        <v>0.54622916666666665</v>
      </c>
      <c r="S346" s="21">
        <v>0.59389583333333307</v>
      </c>
      <c r="T346" s="21">
        <v>0.60731250000000025</v>
      </c>
      <c r="U346" s="21">
        <v>0.61362499999999986</v>
      </c>
      <c r="V346" s="21">
        <v>0.50502083333333347</v>
      </c>
      <c r="W346" s="21">
        <v>0.47608333333333341</v>
      </c>
      <c r="X346" s="21">
        <v>0.41027083333333331</v>
      </c>
      <c r="Y346" s="21">
        <v>0.28016666666666662</v>
      </c>
      <c r="Z346" s="23">
        <f>AVERAGE(Q346,U346)</f>
        <v>0.5289999999999998</v>
      </c>
      <c r="AA346" s="23">
        <f>AVERAGE(R346:T346,V346:X346)</f>
        <v>0.52313541666666674</v>
      </c>
      <c r="AB346" s="23">
        <f t="shared" si="5"/>
        <v>0.52420170454545456</v>
      </c>
    </row>
    <row r="347" spans="1:28">
      <c r="A347" s="9">
        <v>44054</v>
      </c>
      <c r="B347" s="3">
        <v>521.85057308467651</v>
      </c>
      <c r="C347" s="3">
        <v>253.60867575057233</v>
      </c>
      <c r="D347" s="3">
        <v>386.01381429902278</v>
      </c>
      <c r="E347" s="3">
        <v>304.12747838966641</v>
      </c>
      <c r="F347" s="3">
        <v>412.64287384499318</v>
      </c>
      <c r="G347" s="19">
        <v>44054</v>
      </c>
      <c r="H347" s="20">
        <v>163.125</v>
      </c>
      <c r="I347" s="20">
        <v>83.310416666666711</v>
      </c>
      <c r="J347" s="20">
        <v>23.866666666666664</v>
      </c>
      <c r="K347" s="20">
        <v>0</v>
      </c>
      <c r="L347" s="20">
        <v>229.97916666666666</v>
      </c>
      <c r="M347" s="20">
        <v>10.083333333333334</v>
      </c>
      <c r="N347" s="20">
        <v>1.9166666666666667</v>
      </c>
      <c r="O347" s="20">
        <v>20.772916666666664</v>
      </c>
      <c r="P347" s="10">
        <v>0.53040773961314969</v>
      </c>
      <c r="Q347" s="21">
        <v>0.42860416666666651</v>
      </c>
      <c r="R347" s="21">
        <v>0.53527083333333314</v>
      </c>
      <c r="S347" s="21">
        <v>0.58706249999999949</v>
      </c>
      <c r="T347" s="21">
        <v>0.60179166666666706</v>
      </c>
      <c r="U347" s="21">
        <v>0.60575000000000023</v>
      </c>
      <c r="V347" s="21">
        <v>0.49077083333333321</v>
      </c>
      <c r="W347" s="21">
        <v>0.47091666666666671</v>
      </c>
      <c r="X347" s="21">
        <v>0.40549999999999975</v>
      </c>
      <c r="Y347" s="21">
        <v>0.25310416666666663</v>
      </c>
      <c r="Z347" s="23">
        <f>AVERAGE(Q347,U347)</f>
        <v>0.51717708333333334</v>
      </c>
      <c r="AA347" s="23">
        <f>AVERAGE(R347:T347,V347:X347)</f>
        <v>0.51521874999999995</v>
      </c>
      <c r="AB347" s="23">
        <f t="shared" si="5"/>
        <v>0.51557481060606059</v>
      </c>
    </row>
    <row r="348" spans="1:28">
      <c r="A348" s="9">
        <v>44055</v>
      </c>
      <c r="B348" s="3">
        <v>296.08062403636302</v>
      </c>
      <c r="C348" s="3">
        <v>148.27802539405201</v>
      </c>
      <c r="D348" s="3">
        <v>230.27552852302608</v>
      </c>
      <c r="E348" s="3">
        <v>229.79619879981652</v>
      </c>
      <c r="F348" s="3">
        <v>346.3757760716307</v>
      </c>
      <c r="G348" s="19">
        <v>44055</v>
      </c>
      <c r="H348" s="20">
        <v>105.47916666666667</v>
      </c>
      <c r="I348" s="20">
        <v>86.558333333333337</v>
      </c>
      <c r="J348" s="20">
        <v>22.439583333333335</v>
      </c>
      <c r="K348" s="20">
        <v>5.0000000000000009</v>
      </c>
      <c r="L348" s="20">
        <v>228.6875</v>
      </c>
      <c r="M348" s="20">
        <v>16.9375</v>
      </c>
      <c r="N348" s="20">
        <v>4.666666666666667</v>
      </c>
      <c r="O348" s="20">
        <v>20.072916666666668</v>
      </c>
      <c r="P348" s="10">
        <v>0.37070695676012827</v>
      </c>
      <c r="Q348" s="21">
        <v>0.4166249999999998</v>
      </c>
      <c r="R348" s="21">
        <v>0.52743749999999967</v>
      </c>
      <c r="S348" s="21">
        <v>0.58197916666666616</v>
      </c>
      <c r="T348" s="21">
        <v>0.5988541666666668</v>
      </c>
      <c r="U348" s="21">
        <v>0.59812500000000013</v>
      </c>
      <c r="V348" s="21">
        <v>0.48264583333333305</v>
      </c>
      <c r="W348" s="21">
        <v>0.46722916666666703</v>
      </c>
      <c r="X348" s="21">
        <v>0.40302083333333338</v>
      </c>
      <c r="Y348" s="21">
        <v>0.26162500000000005</v>
      </c>
      <c r="Z348" s="23">
        <f>AVERAGE(Q348,U348)</f>
        <v>0.50737499999999991</v>
      </c>
      <c r="AA348" s="23">
        <f>AVERAGE(R348:T348,V348:X348)</f>
        <v>0.51019444444444451</v>
      </c>
      <c r="AB348" s="23">
        <f t="shared" si="5"/>
        <v>0.50968181818181812</v>
      </c>
    </row>
    <row r="349" spans="1:28">
      <c r="A349" s="9">
        <v>44056</v>
      </c>
      <c r="B349" s="3">
        <v>356.11944963799311</v>
      </c>
      <c r="C349" s="3">
        <v>159.02410936389987</v>
      </c>
      <c r="D349" s="3">
        <v>284.22488266432231</v>
      </c>
      <c r="E349" s="3">
        <v>267.12139682855383</v>
      </c>
      <c r="F349" s="3">
        <v>399.36205778212667</v>
      </c>
      <c r="G349" s="19">
        <v>44056</v>
      </c>
      <c r="H349" s="20">
        <v>108.20833333333333</v>
      </c>
      <c r="I349" s="20">
        <v>85.760416666666686</v>
      </c>
      <c r="J349" s="20">
        <v>22.133333333333336</v>
      </c>
      <c r="K349" s="20">
        <v>12.999999999999998</v>
      </c>
      <c r="L349" s="20">
        <v>227.3125</v>
      </c>
      <c r="M349" s="20">
        <v>16.6875</v>
      </c>
      <c r="N349" s="20">
        <v>3.875</v>
      </c>
      <c r="O349" s="20">
        <v>19.604166666666664</v>
      </c>
      <c r="P349" s="10">
        <v>0.38882099322142288</v>
      </c>
      <c r="Q349" s="21">
        <v>0.45722916666666658</v>
      </c>
      <c r="R349" s="21">
        <v>0.54791666666666639</v>
      </c>
      <c r="S349" s="21">
        <v>0.59685416666666669</v>
      </c>
      <c r="T349" s="21">
        <v>0.61197916666666641</v>
      </c>
      <c r="U349" s="21">
        <v>0.61585416666666659</v>
      </c>
      <c r="V349" s="21">
        <v>0.50227083333333356</v>
      </c>
      <c r="W349" s="21">
        <v>0.46750000000000019</v>
      </c>
      <c r="X349" s="21">
        <v>0.40266666666666673</v>
      </c>
      <c r="Y349" s="21">
        <v>0.2891875000000001</v>
      </c>
      <c r="Z349" s="23">
        <f>AVERAGE(Q349,U349)</f>
        <v>0.53654166666666658</v>
      </c>
      <c r="AA349" s="23">
        <f>AVERAGE(R349:T349,V349:X349)</f>
        <v>0.52153125</v>
      </c>
      <c r="AB349" s="23">
        <f t="shared" si="5"/>
        <v>0.52426041666666667</v>
      </c>
    </row>
    <row r="350" spans="1:28">
      <c r="A350" s="9">
        <v>44057</v>
      </c>
      <c r="B350" s="3">
        <v>622.84470797059566</v>
      </c>
      <c r="C350" s="3">
        <v>352.85298673735707</v>
      </c>
      <c r="D350" s="3">
        <v>469.42805964306609</v>
      </c>
      <c r="E350" s="3">
        <v>386.18680442326308</v>
      </c>
      <c r="F350" s="3">
        <v>484.0430754041397</v>
      </c>
      <c r="G350" s="19">
        <v>44057</v>
      </c>
      <c r="H350" s="20">
        <v>189.875</v>
      </c>
      <c r="I350" s="20">
        <v>81.27291666666666</v>
      </c>
      <c r="J350" s="20">
        <v>22.516666666666669</v>
      </c>
      <c r="K350" s="20">
        <v>0.7</v>
      </c>
      <c r="L350" s="20">
        <v>232.64583333333334</v>
      </c>
      <c r="M350" s="20">
        <v>14.541666666666666</v>
      </c>
      <c r="N350" s="20">
        <v>2.9791666666666665</v>
      </c>
      <c r="O350" s="20">
        <v>19.062499999999996</v>
      </c>
      <c r="P350" s="10">
        <v>0.53972713872306666</v>
      </c>
      <c r="Q350" s="21">
        <v>0.44314583333333341</v>
      </c>
      <c r="R350" s="21">
        <v>0.54370833333333335</v>
      </c>
      <c r="S350" s="21">
        <v>0.59339583333333346</v>
      </c>
      <c r="T350" s="21">
        <v>0.60839583333333336</v>
      </c>
      <c r="U350" s="21">
        <v>0.61187500000000006</v>
      </c>
      <c r="V350" s="21">
        <v>0.49647916666666658</v>
      </c>
      <c r="W350" s="21">
        <v>0.46900000000000031</v>
      </c>
      <c r="X350" s="21">
        <v>0.40433333333333349</v>
      </c>
      <c r="Y350" s="21">
        <v>0.2694375</v>
      </c>
      <c r="Z350" s="23">
        <f>AVERAGE(Q350,U350)</f>
        <v>0.52751041666666676</v>
      </c>
      <c r="AA350" s="23">
        <f>AVERAGE(R350:T350,V350:X350)</f>
        <v>0.51921875000000017</v>
      </c>
      <c r="AB350" s="23">
        <f t="shared" si="5"/>
        <v>0.52072632575757594</v>
      </c>
    </row>
    <row r="351" spans="1:28">
      <c r="A351" s="9">
        <v>44058</v>
      </c>
      <c r="B351" s="3">
        <v>498.63011507891406</v>
      </c>
      <c r="C351" s="3">
        <v>329.47750497027107</v>
      </c>
      <c r="D351" s="3">
        <v>350.18821008231873</v>
      </c>
      <c r="E351" s="3">
        <v>301.97018572699704</v>
      </c>
      <c r="F351" s="3">
        <v>415.6897544661594</v>
      </c>
      <c r="G351" s="19">
        <v>44058</v>
      </c>
      <c r="H351" s="20">
        <v>134.5625</v>
      </c>
      <c r="I351" s="20">
        <v>83.381249999999994</v>
      </c>
      <c r="J351" s="20">
        <v>21.747916666666669</v>
      </c>
      <c r="K351" s="20">
        <v>0</v>
      </c>
      <c r="L351" s="20">
        <v>228.4375</v>
      </c>
      <c r="M351" s="20">
        <v>15.375</v>
      </c>
      <c r="N351" s="20">
        <v>3.4166666666666665</v>
      </c>
      <c r="O351" s="20">
        <v>18.783333333333339</v>
      </c>
      <c r="P351" s="10">
        <v>0.44261854498555647</v>
      </c>
      <c r="Q351" s="21">
        <v>0.42658333333333359</v>
      </c>
      <c r="R351" s="21">
        <v>0.5321874999999997</v>
      </c>
      <c r="S351" s="21">
        <v>0.58504166666666635</v>
      </c>
      <c r="T351" s="21">
        <v>0.60237500000000022</v>
      </c>
      <c r="U351" s="21">
        <v>0.60266666666666668</v>
      </c>
      <c r="V351" s="21">
        <v>0.48308333333333359</v>
      </c>
      <c r="W351" s="21">
        <v>0.46485416666666651</v>
      </c>
      <c r="X351" s="21">
        <v>0.40143749999999967</v>
      </c>
      <c r="Y351" s="21">
        <v>0.24810416666666676</v>
      </c>
      <c r="Z351" s="23">
        <f>AVERAGE(Q351,U351)</f>
        <v>0.51462500000000011</v>
      </c>
      <c r="AA351" s="23">
        <f>AVERAGE(R351:T351,V351:X351)</f>
        <v>0.51149652777777765</v>
      </c>
      <c r="AB351" s="23">
        <f t="shared" si="5"/>
        <v>0.51206534090909084</v>
      </c>
    </row>
    <row r="352" spans="1:28">
      <c r="A352" s="9">
        <v>44059</v>
      </c>
      <c r="B352" s="3">
        <v>457.83347480920247</v>
      </c>
      <c r="C352" s="3">
        <v>247.90642715647871</v>
      </c>
      <c r="D352" s="3">
        <v>292.80739516575858</v>
      </c>
      <c r="E352" s="3">
        <v>261.78417909986103</v>
      </c>
      <c r="F352" s="3">
        <v>348.63981811879705</v>
      </c>
      <c r="G352" s="19">
        <v>44059</v>
      </c>
      <c r="H352" s="20">
        <v>113.27083333333333</v>
      </c>
      <c r="I352" s="20">
        <v>84.452083333333348</v>
      </c>
      <c r="J352" s="20">
        <v>21.158333333333339</v>
      </c>
      <c r="K352" s="20">
        <v>1.9</v>
      </c>
      <c r="L352" s="20">
        <v>230.64583333333334</v>
      </c>
      <c r="M352" s="20">
        <v>15.291666666666666</v>
      </c>
      <c r="N352" s="20">
        <v>3.3958333333333335</v>
      </c>
      <c r="O352" s="20">
        <v>18.402083333333334</v>
      </c>
      <c r="P352" s="10">
        <v>0.40152166393080302</v>
      </c>
      <c r="Q352" s="21">
        <v>0.41331249999999997</v>
      </c>
      <c r="R352" s="21">
        <v>0.52312499999999962</v>
      </c>
      <c r="S352" s="21">
        <v>0.57768750000000024</v>
      </c>
      <c r="T352" s="21">
        <v>0.59754166666666675</v>
      </c>
      <c r="U352" s="21">
        <v>0.59370833333333317</v>
      </c>
      <c r="V352" s="21">
        <v>0.47377083333333331</v>
      </c>
      <c r="W352" s="21">
        <v>0.46004166666666685</v>
      </c>
      <c r="X352" s="21">
        <v>0.39835416666666701</v>
      </c>
      <c r="Y352" s="21">
        <v>0.2348124999999999</v>
      </c>
      <c r="Z352" s="23">
        <f>AVERAGE(Q352,U352)</f>
        <v>0.50351041666666663</v>
      </c>
      <c r="AA352" s="23">
        <f>AVERAGE(R352:T352,V352:X352)</f>
        <v>0.50508680555555563</v>
      </c>
      <c r="AB352" s="23">
        <f t="shared" si="5"/>
        <v>0.50480018939393945</v>
      </c>
    </row>
    <row r="353" spans="1:28">
      <c r="A353" s="9">
        <v>44060</v>
      </c>
      <c r="B353" s="3">
        <v>169.87637321403329</v>
      </c>
      <c r="C353" s="3">
        <v>130.52083921064298</v>
      </c>
      <c r="D353" s="3">
        <v>115.21676622819191</v>
      </c>
      <c r="E353" s="3">
        <v>136.34838924297648</v>
      </c>
      <c r="F353" s="3">
        <v>181.92280836239024</v>
      </c>
      <c r="G353" s="19">
        <v>44060</v>
      </c>
      <c r="H353" s="20">
        <v>116.625</v>
      </c>
      <c r="I353" s="20">
        <v>89.481249999999989</v>
      </c>
      <c r="J353" s="20">
        <v>19.7</v>
      </c>
      <c r="K353" s="20">
        <v>14.399999999999999</v>
      </c>
      <c r="L353" s="20">
        <v>230.02083333333334</v>
      </c>
      <c r="M353" s="20">
        <v>12.041666666666666</v>
      </c>
      <c r="N353" s="20">
        <v>2.3333333333333335</v>
      </c>
      <c r="O353" s="20">
        <v>17.908333333333335</v>
      </c>
      <c r="P353" s="10">
        <v>0.24647521651074347</v>
      </c>
      <c r="Q353" s="21">
        <v>0.40889583333333329</v>
      </c>
      <c r="R353" s="21">
        <v>0.5227708333333333</v>
      </c>
      <c r="S353" s="21">
        <v>0.57929166666666687</v>
      </c>
      <c r="T353" s="21">
        <v>0.59729166666666655</v>
      </c>
      <c r="U353" s="21">
        <v>0.5924583333333332</v>
      </c>
      <c r="V353" s="21">
        <v>0.46618749999999998</v>
      </c>
      <c r="W353" s="21">
        <v>0.45602083333333288</v>
      </c>
      <c r="X353" s="21">
        <v>0.39520833333333311</v>
      </c>
      <c r="Y353" s="21">
        <v>0.25156249999999997</v>
      </c>
      <c r="Z353" s="23">
        <f>AVERAGE(Q353,U353)</f>
        <v>0.50067708333333327</v>
      </c>
      <c r="AA353" s="23">
        <f>AVERAGE(R353:T353,V353:X353)</f>
        <v>0.50279513888888883</v>
      </c>
      <c r="AB353" s="23">
        <f t="shared" si="5"/>
        <v>0.5024100378787878</v>
      </c>
    </row>
    <row r="354" spans="1:28">
      <c r="A354" s="9">
        <v>44061</v>
      </c>
      <c r="B354" s="3">
        <v>265.16559750237576</v>
      </c>
      <c r="C354" s="3">
        <v>244.84418027897181</v>
      </c>
      <c r="D354" s="3">
        <v>178.0390783766322</v>
      </c>
      <c r="E354" s="3">
        <v>248.73817977213699</v>
      </c>
      <c r="F354" s="3">
        <v>231.4425881386814</v>
      </c>
      <c r="G354" s="19">
        <v>44061</v>
      </c>
      <c r="H354" s="20">
        <v>150.16666666666666</v>
      </c>
      <c r="I354" s="20">
        <v>88.806250000000034</v>
      </c>
      <c r="J354" s="20">
        <v>19.824999999999999</v>
      </c>
      <c r="K354" s="20">
        <v>26.599999999999998</v>
      </c>
      <c r="L354" s="20">
        <v>226.85416666666666</v>
      </c>
      <c r="M354" s="20">
        <v>5.083333333333333</v>
      </c>
      <c r="N354" s="20">
        <v>0.29166666666666669</v>
      </c>
      <c r="O354" s="20">
        <v>17.843750000000004</v>
      </c>
      <c r="P354" s="10">
        <v>0.28641641689057273</v>
      </c>
      <c r="Q354" s="21">
        <v>0.43025000000000008</v>
      </c>
      <c r="R354" s="21">
        <v>0.54456250000000006</v>
      </c>
      <c r="S354" s="21">
        <v>0.59900000000000009</v>
      </c>
      <c r="T354" s="21">
        <v>0.61710416666666679</v>
      </c>
      <c r="U354" s="21">
        <v>0.62060416666666651</v>
      </c>
      <c r="V354" s="21">
        <v>0.48685416666666659</v>
      </c>
      <c r="W354" s="21">
        <v>0.46514583333333331</v>
      </c>
      <c r="X354" s="21">
        <v>0.40787500000000004</v>
      </c>
      <c r="Y354" s="21">
        <v>0.30899999999999989</v>
      </c>
      <c r="Z354" s="23">
        <f>AVERAGE(Q354,U354)</f>
        <v>0.52542708333333332</v>
      </c>
      <c r="AA354" s="23">
        <f>AVERAGE(R354:T354,V354:X354)</f>
        <v>0.52009027777777783</v>
      </c>
      <c r="AB354" s="23">
        <f t="shared" si="5"/>
        <v>0.52106060606060611</v>
      </c>
    </row>
    <row r="355" spans="1:28">
      <c r="A355" s="9">
        <v>44062</v>
      </c>
      <c r="B355" s="3">
        <v>521.04321618565905</v>
      </c>
      <c r="C355" s="3">
        <v>414.76017756554637</v>
      </c>
      <c r="D355" s="3">
        <v>331.98573422180669</v>
      </c>
      <c r="E355" s="3">
        <v>373.66001617211089</v>
      </c>
      <c r="F355" s="3">
        <v>338.2720674573564</v>
      </c>
      <c r="G355" s="19">
        <v>44062</v>
      </c>
      <c r="H355" s="20">
        <v>198.8125</v>
      </c>
      <c r="I355" s="20">
        <v>83.052083333333343</v>
      </c>
      <c r="J355" s="20">
        <v>20.999999999999996</v>
      </c>
      <c r="K355" s="20">
        <v>0</v>
      </c>
      <c r="L355" s="20">
        <v>241.16666666666666</v>
      </c>
      <c r="M355" s="20">
        <v>2.4375</v>
      </c>
      <c r="N355" s="20">
        <v>0</v>
      </c>
      <c r="O355" s="20">
        <v>17.764583333333341</v>
      </c>
      <c r="P355" s="10">
        <v>0.52000560092051795</v>
      </c>
      <c r="Q355" s="21">
        <v>0.46481249999999957</v>
      </c>
      <c r="R355" s="21">
        <v>0.55933333333333302</v>
      </c>
      <c r="S355" s="21">
        <v>0.60329166666666656</v>
      </c>
      <c r="T355" s="21">
        <v>0.61933333333333296</v>
      </c>
      <c r="U355" s="21">
        <v>0.62137500000000012</v>
      </c>
      <c r="V355" s="21">
        <v>0.51745833333333346</v>
      </c>
      <c r="W355" s="21">
        <v>0.48216666666666647</v>
      </c>
      <c r="X355" s="21">
        <v>0.41927083333333309</v>
      </c>
      <c r="Y355" s="21">
        <v>0.29110416666666677</v>
      </c>
      <c r="Z355" s="23">
        <f>AVERAGE(Q355,U355)</f>
        <v>0.54309374999999982</v>
      </c>
      <c r="AA355" s="23">
        <f>AVERAGE(R355:T355,V355:X355)</f>
        <v>0.5334756944444442</v>
      </c>
      <c r="AB355" s="23">
        <f t="shared" si="5"/>
        <v>0.53522443181818158</v>
      </c>
    </row>
    <row r="356" spans="1:28">
      <c r="A356" s="9">
        <v>44063</v>
      </c>
      <c r="B356" s="3">
        <v>654.41526053046607</v>
      </c>
      <c r="C356" s="3">
        <v>493.0104608251479</v>
      </c>
      <c r="D356" s="3">
        <v>487.29194525938647</v>
      </c>
      <c r="E356" s="3">
        <v>387.98313587188204</v>
      </c>
      <c r="F356" s="3">
        <v>505.88465264490446</v>
      </c>
      <c r="G356" s="19">
        <v>44063</v>
      </c>
      <c r="H356" s="20">
        <v>194.95833333333334</v>
      </c>
      <c r="I356" s="20">
        <v>78.895833333333329</v>
      </c>
      <c r="J356" s="20">
        <v>22.620833333333341</v>
      </c>
      <c r="K356" s="20">
        <v>0</v>
      </c>
      <c r="L356" s="20">
        <v>229.54166666666666</v>
      </c>
      <c r="M356" s="20">
        <v>2.9375</v>
      </c>
      <c r="N356" s="20">
        <v>0</v>
      </c>
      <c r="O356" s="20">
        <v>18.587500000000002</v>
      </c>
      <c r="P356" s="10">
        <v>0.65442685817700619</v>
      </c>
      <c r="Q356" s="21">
        <v>0.44566666666666688</v>
      </c>
      <c r="R356" s="21">
        <v>0.54466666666666685</v>
      </c>
      <c r="S356" s="21">
        <v>0.59433333333333327</v>
      </c>
      <c r="T356" s="21">
        <v>0.60958333333333337</v>
      </c>
      <c r="U356" s="21">
        <v>0.61216666666666708</v>
      </c>
      <c r="V356" s="21">
        <v>0.49658333333333321</v>
      </c>
      <c r="W356" s="21">
        <v>0.47404166666666625</v>
      </c>
      <c r="X356" s="21">
        <v>0.40947916666666662</v>
      </c>
      <c r="Y356" s="21">
        <v>0.26150000000000001</v>
      </c>
      <c r="Z356" s="23">
        <f>AVERAGE(Q356,U356)</f>
        <v>0.52891666666666692</v>
      </c>
      <c r="AA356" s="23">
        <f>AVERAGE(R356:T356,V356:X356)</f>
        <v>0.52144791666666668</v>
      </c>
      <c r="AB356" s="23">
        <f t="shared" si="5"/>
        <v>0.5228058712121213</v>
      </c>
    </row>
    <row r="357" spans="1:28">
      <c r="A357" s="9">
        <v>44064</v>
      </c>
      <c r="B357" s="3">
        <v>497.70062228930914</v>
      </c>
      <c r="C357" s="3">
        <v>374.9838701464696</v>
      </c>
      <c r="D357" s="3">
        <v>445.60611622534259</v>
      </c>
      <c r="E357" s="3">
        <v>335.32693346953903</v>
      </c>
      <c r="F357" s="3">
        <v>351.48339654025284</v>
      </c>
      <c r="G357" s="19">
        <v>44064</v>
      </c>
      <c r="H357" s="20">
        <v>155.6875</v>
      </c>
      <c r="I357" s="20">
        <v>84.102083333333312</v>
      </c>
      <c r="J357" s="20">
        <v>22.014583333333338</v>
      </c>
      <c r="K357" s="20">
        <v>0</v>
      </c>
      <c r="L357" s="20">
        <v>226.20833333333334</v>
      </c>
      <c r="M357" s="20">
        <v>4.229166666666667</v>
      </c>
      <c r="N357" s="20">
        <v>0.20833333333333334</v>
      </c>
      <c r="O357" s="20">
        <v>19.091666666666658</v>
      </c>
      <c r="P357" s="10">
        <v>0.46711770270670278</v>
      </c>
      <c r="Q357" s="21">
        <v>0.431458333333333</v>
      </c>
      <c r="R357" s="21">
        <v>0.53558333333333363</v>
      </c>
      <c r="S357" s="21">
        <v>0.58777083333333313</v>
      </c>
      <c r="T357" s="21">
        <v>0.60556249999999967</v>
      </c>
      <c r="U357" s="21">
        <v>0.60502083333333367</v>
      </c>
      <c r="V357" s="21">
        <v>0.48497916666666679</v>
      </c>
      <c r="W357" s="21">
        <v>0.46920833333333317</v>
      </c>
      <c r="X357" s="21">
        <v>0.40581249999999991</v>
      </c>
      <c r="Y357" s="21">
        <v>0.24224999999999999</v>
      </c>
      <c r="Z357" s="23">
        <f>AVERAGE(Q357,U357)</f>
        <v>0.51823958333333331</v>
      </c>
      <c r="AA357" s="23">
        <f>AVERAGE(R357:T357,V357:X357)</f>
        <v>0.51481944444444439</v>
      </c>
      <c r="AB357" s="23">
        <f t="shared" si="5"/>
        <v>0.51544128787878774</v>
      </c>
    </row>
    <row r="358" spans="1:28">
      <c r="A358" s="9">
        <v>44065</v>
      </c>
      <c r="B358" s="3">
        <v>569.43367309603855</v>
      </c>
      <c r="C358" s="3">
        <v>408.74041516531292</v>
      </c>
      <c r="D358" s="3">
        <v>674.90945506157868</v>
      </c>
      <c r="E358" s="3">
        <v>402.67482164517645</v>
      </c>
      <c r="F358" s="3">
        <v>402.51849348958336</v>
      </c>
      <c r="G358" s="19">
        <v>44065</v>
      </c>
      <c r="H358" s="20">
        <v>210.64583333333334</v>
      </c>
      <c r="I358" s="20">
        <v>78.662500000000023</v>
      </c>
      <c r="J358" s="20">
        <v>22.687499999999989</v>
      </c>
      <c r="K358" s="20">
        <v>0</v>
      </c>
      <c r="L358" s="20">
        <v>237.79166666666666</v>
      </c>
      <c r="M358" s="20">
        <v>10.083333333333334</v>
      </c>
      <c r="N358" s="20">
        <v>1.5</v>
      </c>
      <c r="O358" s="20">
        <v>18.627083333333335</v>
      </c>
      <c r="P358" s="10">
        <v>0.64895494101892581</v>
      </c>
      <c r="Q358" s="21">
        <v>0.41472916666666654</v>
      </c>
      <c r="R358" s="21">
        <v>0.52599999999999991</v>
      </c>
      <c r="S358" s="21">
        <v>0.57945833333333352</v>
      </c>
      <c r="T358" s="21">
        <v>0.60087500000000038</v>
      </c>
      <c r="U358" s="21">
        <v>0.59537499999999999</v>
      </c>
      <c r="V358" s="21">
        <v>0.47377083333333331</v>
      </c>
      <c r="W358" s="21">
        <v>0.4635624999999996</v>
      </c>
      <c r="X358" s="21">
        <v>0.40172916666666664</v>
      </c>
      <c r="Y358" s="21">
        <v>0.22622916666666668</v>
      </c>
      <c r="Z358" s="23">
        <f>AVERAGE(Q358,U358)</f>
        <v>0.50505208333333329</v>
      </c>
      <c r="AA358" s="23">
        <f>AVERAGE(R358:T358,V358:X358)</f>
        <v>0.50756597222222222</v>
      </c>
      <c r="AB358" s="23">
        <f t="shared" si="5"/>
        <v>0.50710890151515153</v>
      </c>
    </row>
    <row r="359" spans="1:28">
      <c r="A359" s="9">
        <v>44066</v>
      </c>
      <c r="B359" s="3">
        <v>589.95212734153279</v>
      </c>
      <c r="C359" s="3">
        <v>429.90311964065421</v>
      </c>
      <c r="D359" s="3">
        <v>818.13809379997247</v>
      </c>
      <c r="E359" s="3">
        <v>422.03528304364937</v>
      </c>
      <c r="F359" s="3">
        <v>509.57129208696836</v>
      </c>
      <c r="G359" s="19">
        <v>44066</v>
      </c>
      <c r="H359" s="20">
        <v>214.35416666666666</v>
      </c>
      <c r="I359" s="20">
        <v>76.722916666666663</v>
      </c>
      <c r="J359" s="20">
        <v>23.402083333333337</v>
      </c>
      <c r="K359" s="20">
        <v>0</v>
      </c>
      <c r="L359" s="20">
        <v>232.04166666666666</v>
      </c>
      <c r="M359" s="20">
        <v>14</v>
      </c>
      <c r="N359" s="20">
        <v>2.5833333333333335</v>
      </c>
      <c r="O359" s="20">
        <v>18.945833333333329</v>
      </c>
      <c r="P359" s="10">
        <v>0.71917145793861126</v>
      </c>
      <c r="Q359" s="21">
        <v>0.38745833333333324</v>
      </c>
      <c r="R359" s="21">
        <v>0.51268750000000007</v>
      </c>
      <c r="S359" s="21">
        <v>0.5666041666666668</v>
      </c>
      <c r="T359" s="21">
        <v>0.59247916666666656</v>
      </c>
      <c r="U359" s="21">
        <v>0.58110416666666687</v>
      </c>
      <c r="V359" s="21">
        <v>0.4574791666666666</v>
      </c>
      <c r="W359" s="21">
        <v>0.45327083333333373</v>
      </c>
      <c r="X359" s="21">
        <v>0.39504166666666679</v>
      </c>
      <c r="Y359" s="21">
        <v>0.20233333333333334</v>
      </c>
      <c r="Z359" s="23">
        <f>AVERAGE(Q359,U359)</f>
        <v>0.48428125000000005</v>
      </c>
      <c r="AA359" s="23">
        <f>AVERAGE(R359:T359,V359:X359)</f>
        <v>0.4962604166666667</v>
      </c>
      <c r="AB359" s="23">
        <f t="shared" si="5"/>
        <v>0.49408238636363638</v>
      </c>
    </row>
    <row r="360" spans="1:28">
      <c r="A360" s="9">
        <v>44067</v>
      </c>
      <c r="B360" s="3">
        <v>341.53149885971732</v>
      </c>
      <c r="C360" s="3">
        <v>195.7763317652286</v>
      </c>
      <c r="D360" s="3">
        <v>583.07691419858577</v>
      </c>
      <c r="E360" s="3">
        <v>243.43302339906919</v>
      </c>
      <c r="F360" s="3">
        <v>387.52846053931768</v>
      </c>
      <c r="G360" s="19">
        <v>44067</v>
      </c>
      <c r="H360" s="20">
        <v>149.8125</v>
      </c>
      <c r="I360" s="20">
        <v>82.070833333333326</v>
      </c>
      <c r="J360" s="20">
        <v>22.677083333333332</v>
      </c>
      <c r="K360" s="20">
        <v>0</v>
      </c>
      <c r="L360" s="20">
        <v>252.5625</v>
      </c>
      <c r="M360" s="20">
        <v>6.5625</v>
      </c>
      <c r="N360" s="20">
        <v>0.33333333333333331</v>
      </c>
      <c r="O360" s="20">
        <v>19.350000000000005</v>
      </c>
      <c r="P360" s="10">
        <v>0.53633439450765186</v>
      </c>
      <c r="Q360" s="21">
        <v>0.35749999999999998</v>
      </c>
      <c r="R360" s="21">
        <v>0.49739583333333354</v>
      </c>
      <c r="S360" s="21">
        <v>0.55499999999999938</v>
      </c>
      <c r="T360" s="21">
        <v>0.58139583333333344</v>
      </c>
      <c r="U360" s="21">
        <v>0.56577083333333344</v>
      </c>
      <c r="V360" s="21">
        <v>0.44170833333333331</v>
      </c>
      <c r="W360" s="21">
        <v>0.44183333333333358</v>
      </c>
      <c r="X360" s="21">
        <v>0.38654166666666656</v>
      </c>
      <c r="Y360" s="21">
        <v>0.17812499999999998</v>
      </c>
      <c r="Z360" s="23">
        <f>AVERAGE(Q360,U360)</f>
        <v>0.46163541666666674</v>
      </c>
      <c r="AA360" s="23">
        <f>AVERAGE(R360:T360,V360:X360)</f>
        <v>0.48397916666666663</v>
      </c>
      <c r="AB360" s="23">
        <f t="shared" si="5"/>
        <v>0.47991666666666666</v>
      </c>
    </row>
    <row r="361" spans="1:28">
      <c r="A361" s="9">
        <v>44068</v>
      </c>
      <c r="B361" s="3">
        <v>655.09419565650205</v>
      </c>
      <c r="C361" s="3">
        <v>374.32185753922482</v>
      </c>
      <c r="D361" s="3">
        <v>913.19362992461549</v>
      </c>
      <c r="E361" s="3">
        <v>449.73803515435873</v>
      </c>
      <c r="F361" s="3">
        <v>622.69704243245508</v>
      </c>
      <c r="G361" s="19">
        <v>44068</v>
      </c>
      <c r="H361" s="20">
        <v>285.14583333333331</v>
      </c>
      <c r="I361" s="20">
        <v>65.58541666666666</v>
      </c>
      <c r="J361" s="20">
        <v>23.722916666666659</v>
      </c>
      <c r="K361" s="20">
        <v>0</v>
      </c>
      <c r="L361" s="20">
        <v>187.20833333333334</v>
      </c>
      <c r="M361" s="20">
        <v>3.6458333333333335</v>
      </c>
      <c r="N361" s="20">
        <v>0</v>
      </c>
      <c r="O361" s="20">
        <v>16.085416666666667</v>
      </c>
      <c r="P361" s="10">
        <v>1.2245262537789239</v>
      </c>
      <c r="Q361" s="21">
        <v>0.33356250000000015</v>
      </c>
      <c r="R361" s="21">
        <v>0.47997916666666668</v>
      </c>
      <c r="S361" s="21">
        <v>0.5425416666666667</v>
      </c>
      <c r="T361" s="21">
        <v>0.56689583333333304</v>
      </c>
      <c r="U361" s="21">
        <v>0.54737500000000006</v>
      </c>
      <c r="V361" s="21">
        <v>0.42597916666666663</v>
      </c>
      <c r="W361" s="21">
        <v>0.42952083333333335</v>
      </c>
      <c r="X361" s="21">
        <v>0.37812499999999988</v>
      </c>
      <c r="Y361" s="21">
        <v>0.16068749999999996</v>
      </c>
      <c r="Z361" s="23">
        <f>AVERAGE(Q361,U361)</f>
        <v>0.44046875000000008</v>
      </c>
      <c r="AA361" s="23">
        <f>AVERAGE(R361:T361,V361:X361)</f>
        <v>0.4705069444444443</v>
      </c>
      <c r="AB361" s="23">
        <f t="shared" si="5"/>
        <v>0.46504545454545443</v>
      </c>
    </row>
    <row r="362" spans="1:28">
      <c r="A362" s="9">
        <v>44069</v>
      </c>
      <c r="B362" s="3">
        <v>623.8179109381208</v>
      </c>
      <c r="C362" s="3">
        <v>390.59319212709067</v>
      </c>
      <c r="D362" s="3">
        <v>686.4645662952596</v>
      </c>
      <c r="E362" s="3">
        <v>451.34756525103217</v>
      </c>
      <c r="F362" s="3">
        <v>430.19564554990097</v>
      </c>
      <c r="G362" s="19">
        <v>44069</v>
      </c>
      <c r="H362" s="20">
        <v>289.1875</v>
      </c>
      <c r="I362" s="20">
        <v>57.204166666666687</v>
      </c>
      <c r="J362" s="20">
        <v>23.818749999999998</v>
      </c>
      <c r="K362" s="20">
        <v>0</v>
      </c>
      <c r="L362" s="20">
        <v>248.85416666666666</v>
      </c>
      <c r="M362" s="20">
        <v>2.5208333333333335</v>
      </c>
      <c r="N362" s="20">
        <v>2.0833333333333332E-2</v>
      </c>
      <c r="O362" s="20">
        <v>14.05208333333333</v>
      </c>
      <c r="P362" s="10">
        <v>1.5071725417553348</v>
      </c>
      <c r="Q362" s="21">
        <v>0.3035208333333333</v>
      </c>
      <c r="R362" s="21">
        <v>0.45235416666666667</v>
      </c>
      <c r="S362" s="21">
        <v>0.52116666666666689</v>
      </c>
      <c r="T362" s="21">
        <v>0.54187499999999988</v>
      </c>
      <c r="U362" s="21">
        <v>0.51952083333333354</v>
      </c>
      <c r="V362" s="21">
        <v>0.39912500000000001</v>
      </c>
      <c r="W362" s="21">
        <v>0.40872916666666653</v>
      </c>
      <c r="X362" s="21">
        <v>0.36293749999999997</v>
      </c>
      <c r="Y362" s="21">
        <v>0.14332258064516132</v>
      </c>
      <c r="Z362" s="23">
        <f>AVERAGE(Q362,U362)</f>
        <v>0.41152083333333345</v>
      </c>
      <c r="AA362" s="23">
        <f>AVERAGE(R362:T362,V362:X362)</f>
        <v>0.44769791666666664</v>
      </c>
      <c r="AB362" s="23">
        <f t="shared" si="5"/>
        <v>0.44112026515151515</v>
      </c>
    </row>
    <row r="363" spans="1:28">
      <c r="A363" s="9">
        <v>44070</v>
      </c>
      <c r="B363" s="3">
        <v>611.3424620208059</v>
      </c>
      <c r="C363" s="3">
        <v>385.43295966769307</v>
      </c>
      <c r="D363" s="3">
        <v>537.94311767972283</v>
      </c>
      <c r="E363" s="3">
        <v>431.47778696947</v>
      </c>
      <c r="F363" s="3">
        <v>284.92900595759431</v>
      </c>
      <c r="G363" s="19">
        <v>44070</v>
      </c>
      <c r="H363" s="20">
        <v>273.64583333333331</v>
      </c>
      <c r="I363" s="20">
        <v>66.533333333333331</v>
      </c>
      <c r="J363" s="20">
        <v>23.885416666666671</v>
      </c>
      <c r="K363" s="20">
        <v>0</v>
      </c>
      <c r="L363" s="20">
        <v>207.10416666666666</v>
      </c>
      <c r="M363" s="20">
        <v>6.0625</v>
      </c>
      <c r="N363" s="20">
        <v>0.875</v>
      </c>
      <c r="O363" s="20">
        <v>16.889583333333334</v>
      </c>
      <c r="P363" s="10">
        <v>1.1256118135842317</v>
      </c>
      <c r="Q363" s="21">
        <v>0.28310416666666671</v>
      </c>
      <c r="R363" s="21">
        <v>0.42620833333333352</v>
      </c>
      <c r="S363" s="21">
        <v>0.50129166666666669</v>
      </c>
      <c r="T363" s="21">
        <v>0.51458333333333339</v>
      </c>
      <c r="U363" s="21">
        <v>0.49579166666666641</v>
      </c>
      <c r="V363" s="21">
        <v>0.37829166666666664</v>
      </c>
      <c r="W363" s="21">
        <v>0.38972916666666663</v>
      </c>
      <c r="X363" s="21">
        <v>0.34939583333333329</v>
      </c>
      <c r="Y363" s="21">
        <v>0.13099999999999998</v>
      </c>
      <c r="Z363" s="23">
        <f>AVERAGE(Q363,U363)</f>
        <v>0.38944791666666656</v>
      </c>
      <c r="AA363" s="23">
        <f>AVERAGE(R363:T363,V363:X363)</f>
        <v>0.42658333333333337</v>
      </c>
      <c r="AB363" s="23">
        <f t="shared" si="5"/>
        <v>0.41983143939393947</v>
      </c>
    </row>
    <row r="364" spans="1:28">
      <c r="A364" s="9">
        <v>44071</v>
      </c>
      <c r="B364" s="3">
        <v>456.81291316740061</v>
      </c>
      <c r="C364" s="3">
        <v>282.67990943737129</v>
      </c>
      <c r="D364" s="3">
        <v>418.46828304972308</v>
      </c>
      <c r="E364" s="3">
        <v>362.15327871311945</v>
      </c>
      <c r="F364" s="3">
        <v>268.49350582421067</v>
      </c>
      <c r="G364" s="19">
        <v>44071</v>
      </c>
      <c r="H364" s="20">
        <v>170.875</v>
      </c>
      <c r="I364" s="20">
        <v>73.760416666666686</v>
      </c>
      <c r="J364" s="20">
        <v>23.887499999999999</v>
      </c>
      <c r="K364" s="20">
        <v>0</v>
      </c>
      <c r="L364" s="20">
        <v>229.08333333333334</v>
      </c>
      <c r="M364" s="20">
        <v>6.979166666666667</v>
      </c>
      <c r="N364" s="20">
        <v>0.5625</v>
      </c>
      <c r="O364" s="20">
        <v>18.835416666666667</v>
      </c>
      <c r="P364" s="10">
        <v>0.813013433523889</v>
      </c>
      <c r="Q364" s="21">
        <v>0.27039583333333334</v>
      </c>
      <c r="R364" s="21">
        <v>0.40527083333333302</v>
      </c>
      <c r="S364" s="21">
        <v>0.48462500000000025</v>
      </c>
      <c r="T364" s="21">
        <v>0.49318750000000017</v>
      </c>
      <c r="U364" s="21">
        <v>0.47854166666666659</v>
      </c>
      <c r="V364" s="21">
        <v>0.3635000000000001</v>
      </c>
      <c r="W364" s="21">
        <v>0.37539583333333321</v>
      </c>
      <c r="X364" s="21">
        <v>0.33777083333333341</v>
      </c>
      <c r="Y364" s="21">
        <v>0.12256249999999996</v>
      </c>
      <c r="Z364" s="23">
        <f>AVERAGE(Q364,U364)</f>
        <v>0.37446874999999996</v>
      </c>
      <c r="AA364" s="23">
        <f>AVERAGE(R364:T364,V364:X364)</f>
        <v>0.40995833333333337</v>
      </c>
      <c r="AB364" s="23">
        <f t="shared" si="5"/>
        <v>0.40350568181818186</v>
      </c>
    </row>
    <row r="365" spans="1:28">
      <c r="A365" s="9">
        <v>44072</v>
      </c>
      <c r="B365" s="3">
        <v>336.21771621963364</v>
      </c>
      <c r="C365" s="3">
        <v>246.07439556362041</v>
      </c>
      <c r="D365" s="3">
        <v>380.38335636595264</v>
      </c>
      <c r="E365" s="3">
        <v>298.18171464417986</v>
      </c>
      <c r="F365" s="3">
        <v>397.97839189830972</v>
      </c>
      <c r="G365" s="19">
        <v>44072</v>
      </c>
      <c r="H365" s="20">
        <v>225.125</v>
      </c>
      <c r="I365" s="20">
        <v>78.779166666666683</v>
      </c>
      <c r="J365" s="20">
        <v>22.454166666666662</v>
      </c>
      <c r="K365" s="20">
        <v>6.6</v>
      </c>
      <c r="L365" s="20">
        <v>237.25</v>
      </c>
      <c r="M365" s="20">
        <v>6.666666666666667</v>
      </c>
      <c r="N365" s="20">
        <v>0.27083333333333331</v>
      </c>
      <c r="O365" s="20">
        <v>18.389583333333331</v>
      </c>
      <c r="P365" s="10">
        <v>0.65231515662623962</v>
      </c>
      <c r="Q365" s="21">
        <v>0.26379166666666681</v>
      </c>
      <c r="R365" s="21">
        <v>0.39104166666666673</v>
      </c>
      <c r="S365" s="21">
        <v>0.47187499999999999</v>
      </c>
      <c r="T365" s="21">
        <v>0.47825000000000001</v>
      </c>
      <c r="U365" s="21">
        <v>0.48908333333333331</v>
      </c>
      <c r="V365" s="21">
        <v>0.35560416666666667</v>
      </c>
      <c r="W365" s="21">
        <v>0.36708333333333337</v>
      </c>
      <c r="X365" s="21">
        <v>0.32945833333333324</v>
      </c>
      <c r="Y365" s="21">
        <v>0.13133333333333333</v>
      </c>
      <c r="Z365" s="23">
        <f>AVERAGE(Q365,U365)</f>
        <v>0.37643750000000009</v>
      </c>
      <c r="AA365" s="23">
        <f>AVERAGE(R365:T365,V365:X365)</f>
        <v>0.39888541666666666</v>
      </c>
      <c r="AB365" s="23">
        <f t="shared" si="5"/>
        <v>0.39480397727272726</v>
      </c>
    </row>
    <row r="366" spans="1:28">
      <c r="A366" s="9">
        <v>44073</v>
      </c>
      <c r="B366" s="3">
        <v>443.74240170601331</v>
      </c>
      <c r="C366" s="3">
        <v>298.43649201606877</v>
      </c>
      <c r="D366" s="3">
        <v>470.68789029889558</v>
      </c>
      <c r="E366" s="3">
        <v>338.42439922235536</v>
      </c>
      <c r="F366" s="3">
        <v>461.37199388963199</v>
      </c>
      <c r="G366" s="19">
        <v>44073</v>
      </c>
      <c r="H366" s="20">
        <v>225.77083333333334</v>
      </c>
      <c r="I366" s="20">
        <v>76.106249999999989</v>
      </c>
      <c r="J366" s="20">
        <v>23.6875</v>
      </c>
      <c r="K366" s="20">
        <v>0</v>
      </c>
      <c r="L366" s="20">
        <v>234</v>
      </c>
      <c r="M366" s="20">
        <v>7.708333333333333</v>
      </c>
      <c r="N366" s="20">
        <v>0.52083333333333337</v>
      </c>
      <c r="O366" s="20">
        <v>18.987500000000001</v>
      </c>
      <c r="P366" s="10">
        <v>0.77439546046441043</v>
      </c>
      <c r="Q366" s="21">
        <v>0.25979166666666659</v>
      </c>
      <c r="R366" s="21">
        <v>0.37970833333333348</v>
      </c>
      <c r="S366" s="21">
        <v>0.45962499999999978</v>
      </c>
      <c r="T366" s="21">
        <v>0.46589583333333318</v>
      </c>
      <c r="U366" s="21">
        <v>0.47245833333333337</v>
      </c>
      <c r="V366" s="21">
        <v>0.34960416666666672</v>
      </c>
      <c r="W366" s="21">
        <v>0.36062500000000003</v>
      </c>
      <c r="X366" s="21">
        <v>0.32231250000000006</v>
      </c>
      <c r="Y366" s="21">
        <v>0.14199999999999999</v>
      </c>
      <c r="Z366" s="23">
        <f>AVERAGE(Q366,U366)</f>
        <v>0.36612499999999998</v>
      </c>
      <c r="AA366" s="23">
        <f>AVERAGE(R366:T366,V366:X366)</f>
        <v>0.38962847222222224</v>
      </c>
      <c r="AB366" s="23">
        <f t="shared" si="5"/>
        <v>0.38535511363636366</v>
      </c>
    </row>
    <row r="367" spans="1:28">
      <c r="A367" s="9">
        <v>44074</v>
      </c>
      <c r="B367" s="3">
        <v>466.73836505825693</v>
      </c>
      <c r="C367" s="3">
        <v>387.08696420797389</v>
      </c>
      <c r="D367" s="3">
        <v>505.1719509976225</v>
      </c>
      <c r="E367" s="3">
        <v>375.02709107889592</v>
      </c>
      <c r="F367" s="3">
        <v>490.28778280761605</v>
      </c>
      <c r="G367" s="19">
        <v>44074</v>
      </c>
      <c r="H367" s="20">
        <v>240.25</v>
      </c>
      <c r="I367" s="20">
        <v>69.504166666666649</v>
      </c>
      <c r="J367" s="20">
        <v>24.241666666666664</v>
      </c>
      <c r="K367" s="20">
        <v>0</v>
      </c>
      <c r="L367" s="20">
        <v>231.79166666666666</v>
      </c>
      <c r="M367" s="20">
        <v>3.9166666666666665</v>
      </c>
      <c r="N367" s="20">
        <v>0.14583333333333334</v>
      </c>
      <c r="O367" s="20">
        <v>17.881249999999998</v>
      </c>
      <c r="P367" s="10">
        <v>1.0534122207005441</v>
      </c>
      <c r="Q367" s="21">
        <v>0.25452083333333353</v>
      </c>
      <c r="R367" s="21">
        <v>0.36708333333333348</v>
      </c>
      <c r="S367" s="21">
        <v>0.44768750000000007</v>
      </c>
      <c r="T367" s="21">
        <v>0.45297916666666693</v>
      </c>
      <c r="U367" s="21">
        <v>0.4542500000000001</v>
      </c>
      <c r="V367" s="21">
        <v>0.34316666666666662</v>
      </c>
      <c r="W367" s="21">
        <v>0.35310416666666661</v>
      </c>
      <c r="X367" s="21">
        <v>0.31443750000000015</v>
      </c>
      <c r="Y367" s="21">
        <v>0.12542857142857142</v>
      </c>
      <c r="Z367" s="23">
        <f>AVERAGE(Q367,U367)</f>
        <v>0.35438541666666679</v>
      </c>
      <c r="AA367" s="23">
        <f>AVERAGE(R367:T367,V367:X367)</f>
        <v>0.37974305555555565</v>
      </c>
      <c r="AB367" s="23">
        <f t="shared" si="5"/>
        <v>0.37513257575757591</v>
      </c>
    </row>
    <row r="368" spans="1:28">
      <c r="A368" s="9">
        <v>44075</v>
      </c>
      <c r="B368" s="3">
        <v>405.21276794495941</v>
      </c>
      <c r="C368" s="3">
        <v>391.65351122318992</v>
      </c>
      <c r="D368" s="3">
        <v>470.09701746958928</v>
      </c>
      <c r="E368" s="3">
        <v>418.95748784722235</v>
      </c>
      <c r="F368" s="3">
        <v>450.41678540356173</v>
      </c>
      <c r="G368" s="19">
        <v>44075</v>
      </c>
      <c r="H368" s="20">
        <v>191.91666666666666</v>
      </c>
      <c r="I368" s="20">
        <v>72.070833333333354</v>
      </c>
      <c r="J368" s="20">
        <v>23.881250000000005</v>
      </c>
      <c r="K368" s="20">
        <v>0</v>
      </c>
      <c r="L368" s="20">
        <v>225.02083333333334</v>
      </c>
      <c r="M368" s="20">
        <v>3.0833333333333335</v>
      </c>
      <c r="N368" s="20">
        <v>0.14583333333333334</v>
      </c>
      <c r="O368" s="20">
        <v>18.164583333333329</v>
      </c>
      <c r="P368" s="10">
        <v>0.94910748691109825</v>
      </c>
      <c r="Q368" s="21">
        <v>0.24997916666666645</v>
      </c>
      <c r="R368" s="21">
        <v>0.3570208333333334</v>
      </c>
      <c r="S368" s="21">
        <v>0.43810416666666679</v>
      </c>
      <c r="T368" s="21">
        <v>0.44197916666666703</v>
      </c>
      <c r="U368" s="21">
        <v>0.44227083333333334</v>
      </c>
      <c r="V368" s="21">
        <v>0.33752083333333366</v>
      </c>
      <c r="W368" s="21">
        <v>0.34672916666666675</v>
      </c>
      <c r="X368" s="21">
        <v>0.30762499999999998</v>
      </c>
      <c r="Y368" s="21">
        <v>0.1176</v>
      </c>
      <c r="Z368" s="23">
        <f>AVERAGE(Q368,U368)</f>
        <v>0.3461249999999999</v>
      </c>
      <c r="AA368" s="23">
        <f>AVERAGE(R368:T368,V368:X368)</f>
        <v>0.37149652777777792</v>
      </c>
      <c r="AB368" s="23">
        <f t="shared" si="5"/>
        <v>0.36688352272727282</v>
      </c>
    </row>
    <row r="369" spans="1:28">
      <c r="A369" s="9">
        <v>44076</v>
      </c>
      <c r="B369" s="3">
        <v>334.81286586864769</v>
      </c>
      <c r="C369" s="3">
        <v>353.90957499762055</v>
      </c>
      <c r="D369" s="3">
        <v>478.81072010553498</v>
      </c>
      <c r="E369" s="3">
        <v>446.06160325384184</v>
      </c>
      <c r="F369" s="3">
        <v>420.06591634321393</v>
      </c>
      <c r="G369" s="19">
        <v>44076</v>
      </c>
      <c r="H369" s="20">
        <v>256.45833333333331</v>
      </c>
      <c r="I369" s="20">
        <v>70.739583333333329</v>
      </c>
      <c r="J369" s="20">
        <v>24.668749999999999</v>
      </c>
      <c r="K369" s="20">
        <v>0.5</v>
      </c>
      <c r="L369" s="20">
        <v>202.25</v>
      </c>
      <c r="M369" s="20">
        <v>3.7291666666666665</v>
      </c>
      <c r="N369" s="20">
        <v>0.1875</v>
      </c>
      <c r="O369" s="20">
        <v>18.389583333333334</v>
      </c>
      <c r="P369" s="10">
        <v>1.1199542459123231</v>
      </c>
      <c r="Q369" s="21">
        <v>0.24629166666666649</v>
      </c>
      <c r="R369" s="21">
        <v>0.34862500000000013</v>
      </c>
      <c r="S369" s="21">
        <v>0.43047916666666658</v>
      </c>
      <c r="T369" s="21">
        <v>0.43322916666666633</v>
      </c>
      <c r="U369" s="21">
        <v>0.43414583333333301</v>
      </c>
      <c r="V369" s="21">
        <v>0.33312499999999995</v>
      </c>
      <c r="W369" s="21">
        <v>0.34102083333333327</v>
      </c>
      <c r="X369" s="21">
        <v>0.30141666666666661</v>
      </c>
      <c r="Y369" s="21">
        <v>0.115</v>
      </c>
      <c r="Z369" s="23">
        <f>AVERAGE(Q369,U369)</f>
        <v>0.34021874999999974</v>
      </c>
      <c r="AA369" s="23">
        <f>AVERAGE(R369:T369,V369:X369)</f>
        <v>0.36464930555555547</v>
      </c>
      <c r="AB369" s="23">
        <f t="shared" si="5"/>
        <v>0.36020738636363625</v>
      </c>
    </row>
    <row r="370" spans="1:28">
      <c r="A370" s="9">
        <v>44077</v>
      </c>
      <c r="B370" s="3">
        <v>164.10447185281456</v>
      </c>
      <c r="C370" s="3">
        <v>170.4072437629307</v>
      </c>
      <c r="D370" s="3">
        <v>216.37226673633737</v>
      </c>
      <c r="E370" s="3">
        <v>274.35878875938073</v>
      </c>
      <c r="F370" s="3">
        <v>243.91455378900696</v>
      </c>
      <c r="G370" s="19">
        <v>44077</v>
      </c>
      <c r="H370" s="20">
        <v>106.08333333333333</v>
      </c>
      <c r="I370" s="20">
        <v>83.999999999999986</v>
      </c>
      <c r="J370" s="20">
        <v>21.887499999999999</v>
      </c>
      <c r="K370" s="20">
        <v>0.2</v>
      </c>
      <c r="L370" s="20">
        <v>193.97916666666666</v>
      </c>
      <c r="M370" s="20">
        <v>2.8958333333333335</v>
      </c>
      <c r="N370" s="20">
        <v>2.0833333333333332E-2</v>
      </c>
      <c r="O370" s="20">
        <v>18.977083333333329</v>
      </c>
      <c r="P370" s="10">
        <v>0.44841211900930383</v>
      </c>
      <c r="Q370" s="21">
        <v>0.24429166666666657</v>
      </c>
      <c r="R370" s="21">
        <v>0.34302083333333333</v>
      </c>
      <c r="S370" s="21">
        <v>0.42570833333333313</v>
      </c>
      <c r="T370" s="21">
        <v>0.42839583333333325</v>
      </c>
      <c r="U370" s="21">
        <v>0.42966666666666681</v>
      </c>
      <c r="V370" s="21">
        <v>0.33070833333333344</v>
      </c>
      <c r="W370" s="21">
        <v>0.33739583333333334</v>
      </c>
      <c r="X370" s="21">
        <v>0.29718749999999988</v>
      </c>
      <c r="Y370" s="21">
        <v>0.111</v>
      </c>
      <c r="Z370" s="23">
        <f>AVERAGE(Q370,U370)</f>
        <v>0.33697916666666672</v>
      </c>
      <c r="AA370" s="23">
        <f>AVERAGE(R370:T370,V370:X370)</f>
        <v>0.36040277777777768</v>
      </c>
      <c r="AB370" s="23">
        <f t="shared" si="5"/>
        <v>0.35614393939393935</v>
      </c>
    </row>
    <row r="371" spans="1:28">
      <c r="A371" s="9">
        <v>44078</v>
      </c>
      <c r="B371" s="3">
        <v>304.35771082005743</v>
      </c>
      <c r="C371" s="3">
        <v>347.87841244801416</v>
      </c>
      <c r="D371" s="3">
        <v>358.62687689419732</v>
      </c>
      <c r="E371" s="3">
        <v>439.80413688764435</v>
      </c>
      <c r="F371" s="3">
        <v>397.82413054995652</v>
      </c>
      <c r="G371" s="19">
        <v>44078</v>
      </c>
      <c r="H371" s="20">
        <v>213.125</v>
      </c>
      <c r="I371" s="20">
        <v>73.822916666666643</v>
      </c>
      <c r="J371" s="20">
        <v>23.714583333333326</v>
      </c>
      <c r="K371" s="20">
        <v>0</v>
      </c>
      <c r="L371" s="20">
        <v>236.45833333333334</v>
      </c>
      <c r="M371" s="20">
        <v>8.2291666666666661</v>
      </c>
      <c r="N371" s="20">
        <v>0.6875</v>
      </c>
      <c r="O371" s="20">
        <v>18.566666666666663</v>
      </c>
      <c r="P371" s="10">
        <v>0.83531737074946644</v>
      </c>
      <c r="Q371" s="21">
        <v>0.24183333333333326</v>
      </c>
      <c r="R371" s="21">
        <v>0.33712500000000006</v>
      </c>
      <c r="S371" s="21">
        <v>0.42108333333333331</v>
      </c>
      <c r="T371" s="21">
        <v>0.42389583333333358</v>
      </c>
      <c r="U371" s="21">
        <v>0.42566666666666647</v>
      </c>
      <c r="V371" s="21">
        <v>0.32789583333333339</v>
      </c>
      <c r="W371" s="21">
        <v>0.33385416666666673</v>
      </c>
      <c r="X371" s="21">
        <v>0.29402083333333323</v>
      </c>
      <c r="Y371" s="21">
        <v>0.111</v>
      </c>
      <c r="Z371" s="23">
        <f>AVERAGE(Q371,U371)</f>
        <v>0.33374999999999988</v>
      </c>
      <c r="AA371" s="23">
        <f>AVERAGE(R371:T371,V371:X371)</f>
        <v>0.35631250000000003</v>
      </c>
      <c r="AB371" s="23">
        <f t="shared" si="5"/>
        <v>0.35221022727272727</v>
      </c>
    </row>
    <row r="372" spans="1:28">
      <c r="A372" s="9">
        <v>44079</v>
      </c>
      <c r="B372" s="3">
        <v>194.20297578875039</v>
      </c>
      <c r="C372" s="3">
        <v>174.32068824186945</v>
      </c>
      <c r="D372" s="3">
        <v>136.15598668991032</v>
      </c>
      <c r="E372" s="3">
        <v>222.33029121234324</v>
      </c>
      <c r="F372" s="3">
        <v>168.9092988506705</v>
      </c>
      <c r="G372" s="19">
        <v>44079</v>
      </c>
      <c r="H372" s="20">
        <v>176.625</v>
      </c>
      <c r="I372" s="20">
        <v>83.295833333333348</v>
      </c>
      <c r="J372" s="20">
        <v>22.777083333333334</v>
      </c>
      <c r="K372" s="20">
        <v>6.8000000000000007</v>
      </c>
      <c r="L372" s="20">
        <v>229.89583333333334</v>
      </c>
      <c r="M372" s="20">
        <v>7.416666666666667</v>
      </c>
      <c r="N372" s="20">
        <v>1.2916666666666667</v>
      </c>
      <c r="O372" s="20">
        <v>19.643749999999997</v>
      </c>
      <c r="P372" s="10">
        <v>0.51909976696176019</v>
      </c>
      <c r="Q372" s="21">
        <v>0.24085416666666656</v>
      </c>
      <c r="R372" s="21">
        <v>0.33260416666666687</v>
      </c>
      <c r="S372" s="21">
        <v>0.41712500000000025</v>
      </c>
      <c r="T372" s="21">
        <v>0.42006250000000006</v>
      </c>
      <c r="U372" s="21">
        <v>0.42352083333333318</v>
      </c>
      <c r="V372" s="21">
        <v>0.32560416666666631</v>
      </c>
      <c r="W372" s="21">
        <v>0.330166666666667</v>
      </c>
      <c r="X372" s="21">
        <v>0.2897916666666665</v>
      </c>
      <c r="Y372" s="21">
        <v>0.12972727272727272</v>
      </c>
      <c r="Z372" s="23">
        <f>AVERAGE(Q372,U372)</f>
        <v>0.33218749999999986</v>
      </c>
      <c r="AA372" s="23">
        <f>AVERAGE(R372:T372,V372:X372)</f>
        <v>0.35255902777777787</v>
      </c>
      <c r="AB372" s="23">
        <f t="shared" si="5"/>
        <v>0.34885511363636373</v>
      </c>
    </row>
    <row r="373" spans="1:28">
      <c r="A373" s="9">
        <v>44080</v>
      </c>
      <c r="B373" s="3">
        <v>46.927709894689848</v>
      </c>
      <c r="C373" s="3">
        <v>53.626999841588642</v>
      </c>
      <c r="D373" s="3">
        <v>54.317732174244057</v>
      </c>
      <c r="E373" s="3">
        <v>178.16884116394883</v>
      </c>
      <c r="F373" s="3">
        <v>99.052755655438787</v>
      </c>
      <c r="G373" s="19">
        <v>44080</v>
      </c>
      <c r="H373" s="20">
        <v>84.270833333333329</v>
      </c>
      <c r="I373" s="20">
        <v>87.197916666666629</v>
      </c>
      <c r="J373" s="20">
        <v>20.110416666666662</v>
      </c>
      <c r="K373" s="20">
        <v>48.400000000000013</v>
      </c>
      <c r="L373" s="20">
        <v>196.35416666666666</v>
      </c>
      <c r="M373" s="20">
        <v>4.458333333333333</v>
      </c>
      <c r="N373" s="20">
        <v>0.3125</v>
      </c>
      <c r="O373" s="20">
        <v>17.854166666666664</v>
      </c>
      <c r="P373" s="10">
        <v>0.31355872293256254</v>
      </c>
      <c r="Q373" s="21">
        <v>0.37495833333333345</v>
      </c>
      <c r="R373" s="21">
        <v>0.4411041666666668</v>
      </c>
      <c r="S373" s="21">
        <v>0.53314583333333332</v>
      </c>
      <c r="T373" s="21">
        <v>0.55818750000000017</v>
      </c>
      <c r="U373" s="21">
        <v>0.57222916666666668</v>
      </c>
      <c r="V373" s="21">
        <v>0.43162500000000009</v>
      </c>
      <c r="W373" s="21">
        <v>0.35693750000000007</v>
      </c>
      <c r="X373" s="21">
        <v>0.30252083333333307</v>
      </c>
      <c r="Y373" s="21">
        <v>0.25856249999999997</v>
      </c>
      <c r="Z373" s="23">
        <f>AVERAGE(Q373,U373)</f>
        <v>0.47359375000000004</v>
      </c>
      <c r="AA373" s="23">
        <f>AVERAGE(R373:T373,V373:X373)</f>
        <v>0.43725347222222227</v>
      </c>
      <c r="AB373" s="23">
        <f t="shared" si="5"/>
        <v>0.44386079545454554</v>
      </c>
    </row>
    <row r="374" spans="1:28">
      <c r="A374" s="9">
        <v>44081</v>
      </c>
      <c r="B374" s="3">
        <v>246.14827995906052</v>
      </c>
      <c r="C374" s="3">
        <v>212.78471358619092</v>
      </c>
      <c r="D374" s="3">
        <v>269.89565623619535</v>
      </c>
      <c r="E374" s="3">
        <v>263.16198143759283</v>
      </c>
      <c r="F374" s="3">
        <v>172.17959012250847</v>
      </c>
      <c r="G374" s="19">
        <v>44081</v>
      </c>
      <c r="H374" s="20">
        <v>121.29166666666667</v>
      </c>
      <c r="I374" s="20">
        <v>80.939583333333331</v>
      </c>
      <c r="J374" s="20">
        <v>20.372916666666665</v>
      </c>
      <c r="K374" s="20">
        <v>0</v>
      </c>
      <c r="L374" s="20">
        <v>198.39583333333334</v>
      </c>
      <c r="M374" s="20">
        <v>3.3958333333333335</v>
      </c>
      <c r="N374" s="20">
        <v>0</v>
      </c>
      <c r="O374" s="20">
        <v>16.927083333333332</v>
      </c>
      <c r="P374" s="10">
        <v>0.4819711981961981</v>
      </c>
      <c r="Q374" s="21">
        <v>0.37745833333333323</v>
      </c>
      <c r="R374" s="21">
        <v>0.45718750000000047</v>
      </c>
      <c r="S374" s="21">
        <v>0.55174999999999985</v>
      </c>
      <c r="T374" s="21">
        <v>0.58091666666666653</v>
      </c>
      <c r="U374" s="21">
        <v>0.58527083333333307</v>
      </c>
      <c r="V374" s="21">
        <v>0.43731249999999999</v>
      </c>
      <c r="W374" s="21">
        <v>0.37354166666666672</v>
      </c>
      <c r="X374" s="21">
        <v>0.30608333333333304</v>
      </c>
      <c r="Y374" s="21">
        <v>0.23264583333333341</v>
      </c>
      <c r="Z374" s="23">
        <f>AVERAGE(Q374,U374)</f>
        <v>0.48136458333333315</v>
      </c>
      <c r="AA374" s="23">
        <f>AVERAGE(R374:T374,V374:X374)</f>
        <v>0.45113194444444443</v>
      </c>
      <c r="AB374" s="23">
        <f t="shared" si="5"/>
        <v>0.45662878787878786</v>
      </c>
    </row>
    <row r="375" spans="1:28">
      <c r="A375" s="9">
        <v>44082</v>
      </c>
      <c r="B375" s="3">
        <v>234.15086405198545</v>
      </c>
      <c r="C375" s="3">
        <v>190.69429820235266</v>
      </c>
      <c r="D375" s="3">
        <v>251.8348069892246</v>
      </c>
      <c r="E375" s="3">
        <v>188.28303997246351</v>
      </c>
      <c r="F375" s="3">
        <v>223.10252071376331</v>
      </c>
      <c r="G375" s="19">
        <v>44082</v>
      </c>
      <c r="H375" s="20">
        <v>106.54166666666667</v>
      </c>
      <c r="I375" s="20">
        <v>86.09375</v>
      </c>
      <c r="J375" s="20">
        <v>20.329166666666676</v>
      </c>
      <c r="K375" s="20">
        <v>2.8</v>
      </c>
      <c r="L375" s="20">
        <v>201.60416666666666</v>
      </c>
      <c r="M375" s="20">
        <v>1.2916666666666667</v>
      </c>
      <c r="N375" s="20">
        <v>2.0833333333333332E-2</v>
      </c>
      <c r="O375" s="20">
        <v>17.827083333333331</v>
      </c>
      <c r="P375" s="10">
        <v>0.36350155857399752</v>
      </c>
      <c r="Q375" s="21">
        <v>0.36300000000000016</v>
      </c>
      <c r="R375" s="21">
        <v>0.4489374999999996</v>
      </c>
      <c r="S375" s="21">
        <v>0.54308333333333325</v>
      </c>
      <c r="T375" s="21">
        <v>0.57260416666666658</v>
      </c>
      <c r="U375" s="21">
        <v>0.57554166666666673</v>
      </c>
      <c r="V375" s="21">
        <v>0.42377083333333337</v>
      </c>
      <c r="W375" s="21">
        <v>0.37345833333333323</v>
      </c>
      <c r="X375" s="21">
        <v>0.30710416666666673</v>
      </c>
      <c r="Y375" s="21">
        <v>0.22018749999999998</v>
      </c>
      <c r="Z375" s="23">
        <f>AVERAGE(Q375,U375)</f>
        <v>0.46927083333333341</v>
      </c>
      <c r="AA375" s="23">
        <f>AVERAGE(R375:T375,V375:X375)</f>
        <v>0.44482638888888887</v>
      </c>
      <c r="AB375" s="23">
        <f t="shared" si="5"/>
        <v>0.44927083333333334</v>
      </c>
    </row>
    <row r="376" spans="1:28">
      <c r="A376" s="9">
        <v>44083</v>
      </c>
      <c r="B376" s="3">
        <v>328.79834336209285</v>
      </c>
      <c r="C376" s="3">
        <v>327.95700333592788</v>
      </c>
      <c r="D376" s="3">
        <v>332.89531933738198</v>
      </c>
      <c r="E376" s="3">
        <v>335.70882203777057</v>
      </c>
      <c r="F376" s="3">
        <v>303.54580068490804</v>
      </c>
      <c r="G376" s="19">
        <v>44083</v>
      </c>
      <c r="H376" s="20">
        <v>199.64583333333334</v>
      </c>
      <c r="I376" s="20">
        <v>82.170833333333334</v>
      </c>
      <c r="J376" s="20">
        <v>22.497916666666658</v>
      </c>
      <c r="K376" s="20">
        <v>0.7</v>
      </c>
      <c r="L376" s="20">
        <v>228.08333333333334</v>
      </c>
      <c r="M376" s="20">
        <v>5.083333333333333</v>
      </c>
      <c r="N376" s="20">
        <v>0.45833333333333331</v>
      </c>
      <c r="O376" s="20">
        <v>19.054166666666664</v>
      </c>
      <c r="P376" s="10">
        <v>0.57077725915487598</v>
      </c>
      <c r="Q376" s="21">
        <v>0.3504374999999999</v>
      </c>
      <c r="R376" s="21">
        <v>0.44356250000000036</v>
      </c>
      <c r="S376" s="21">
        <v>0.53585416666666652</v>
      </c>
      <c r="T376" s="21">
        <v>0.56485416666666655</v>
      </c>
      <c r="U376" s="21">
        <v>0.56677083333333333</v>
      </c>
      <c r="V376" s="21">
        <v>0.41168749999999976</v>
      </c>
      <c r="W376" s="21">
        <v>0.37139583333333331</v>
      </c>
      <c r="X376" s="21">
        <v>0.30770833333333342</v>
      </c>
      <c r="Y376" s="21">
        <v>0.21797916666666664</v>
      </c>
      <c r="Z376" s="23">
        <f>AVERAGE(Q376,U376)</f>
        <v>0.45860416666666659</v>
      </c>
      <c r="AA376" s="23">
        <f>AVERAGE(R376:T376,V376:X376)</f>
        <v>0.43917708333333327</v>
      </c>
      <c r="AB376" s="23">
        <f t="shared" si="5"/>
        <v>0.44270928030303031</v>
      </c>
    </row>
    <row r="377" spans="1:28">
      <c r="A377" s="9">
        <v>44084</v>
      </c>
      <c r="B377" s="3">
        <v>11.53159826625126</v>
      </c>
      <c r="C377" s="3">
        <v>4.4104698626164556</v>
      </c>
      <c r="D377" s="3">
        <v>0.39482510707073881</v>
      </c>
      <c r="E377" s="3">
        <v>5.4977500740572864</v>
      </c>
      <c r="F377" s="3">
        <v>4.5044646849428807</v>
      </c>
      <c r="G377" s="19">
        <v>44084</v>
      </c>
      <c r="H377" s="20">
        <v>55.4375</v>
      </c>
      <c r="I377" s="20">
        <v>90.777083333333351</v>
      </c>
      <c r="J377" s="20">
        <v>20.658333333333328</v>
      </c>
      <c r="K377" s="20">
        <v>23.999999999999996</v>
      </c>
      <c r="L377" s="20">
        <v>235.10416666666666</v>
      </c>
      <c r="M377" s="20">
        <v>4.8125</v>
      </c>
      <c r="N377" s="20">
        <v>0.52083333333333337</v>
      </c>
      <c r="O377" s="20">
        <v>19.087499999999995</v>
      </c>
      <c r="P377" s="10">
        <v>0.22590761274817439</v>
      </c>
      <c r="Q377" s="21">
        <v>0.36039583333333347</v>
      </c>
      <c r="R377" s="21">
        <v>0.47202083333333356</v>
      </c>
      <c r="S377" s="21">
        <v>0.55787500000000012</v>
      </c>
      <c r="T377" s="21">
        <v>0.58277083333333313</v>
      </c>
      <c r="U377" s="21">
        <v>0.58216666666666661</v>
      </c>
      <c r="V377" s="21">
        <v>0.43925000000000008</v>
      </c>
      <c r="W377" s="21">
        <v>0.38643749999999993</v>
      </c>
      <c r="X377" s="21">
        <v>0.32429166666666664</v>
      </c>
      <c r="Y377" s="21">
        <v>0.25570833333333332</v>
      </c>
      <c r="Z377" s="23">
        <f>AVERAGE(Q377,U377)</f>
        <v>0.47128125000000004</v>
      </c>
      <c r="AA377" s="23">
        <f>AVERAGE(R377:T377,V377:X377)</f>
        <v>0.46044097222222219</v>
      </c>
      <c r="AB377" s="23">
        <f t="shared" si="5"/>
        <v>0.46241193181818185</v>
      </c>
    </row>
    <row r="378" spans="1:28">
      <c r="A378" s="9">
        <v>44085</v>
      </c>
      <c r="B378" s="3">
        <v>62.138171960150565</v>
      </c>
      <c r="C378" s="3">
        <v>164.81417361465327</v>
      </c>
      <c r="D378" s="3">
        <v>124.81222298373844</v>
      </c>
      <c r="E378" s="3">
        <v>198.72219603509802</v>
      </c>
      <c r="F378" s="3">
        <v>182.98470224218033</v>
      </c>
      <c r="G378" s="19">
        <v>44085</v>
      </c>
      <c r="H378" s="20">
        <v>92.854166666666671</v>
      </c>
      <c r="I378" s="20">
        <v>88.66249999999998</v>
      </c>
      <c r="J378" s="20">
        <v>20.183333333333334</v>
      </c>
      <c r="K378" s="20">
        <v>0.8</v>
      </c>
      <c r="L378" s="20">
        <v>274.60416666666669</v>
      </c>
      <c r="M378" s="20">
        <v>2.9166666666666665</v>
      </c>
      <c r="N378" s="20">
        <v>2.0833333333333332E-2</v>
      </c>
      <c r="O378" s="20">
        <v>18.231249999999999</v>
      </c>
      <c r="P378" s="10">
        <v>0.27932895142493969</v>
      </c>
      <c r="Q378" s="21">
        <v>0.385125</v>
      </c>
      <c r="R378" s="21">
        <v>0.50652083333333364</v>
      </c>
      <c r="S378" s="21">
        <v>0.58610416666666632</v>
      </c>
      <c r="T378" s="21">
        <v>0.60225000000000006</v>
      </c>
      <c r="U378" s="21">
        <v>0.60366666666666668</v>
      </c>
      <c r="V378" s="21">
        <v>0.46910416666666649</v>
      </c>
      <c r="W378" s="21">
        <v>0.41295833333333332</v>
      </c>
      <c r="X378" s="21">
        <v>0.33918749999999992</v>
      </c>
      <c r="Y378" s="21">
        <v>0.2613125</v>
      </c>
      <c r="Z378" s="23">
        <f>AVERAGE(Q378,U378)</f>
        <v>0.49439583333333337</v>
      </c>
      <c r="AA378" s="23">
        <f>AVERAGE(R378:T378,V378:X378)</f>
        <v>0.48602083333333329</v>
      </c>
      <c r="AB378" s="23">
        <f t="shared" si="5"/>
        <v>0.48754356060606058</v>
      </c>
    </row>
    <row r="379" spans="1:28">
      <c r="A379" s="9">
        <v>44086</v>
      </c>
      <c r="B379" s="3">
        <v>3.8432451468160522</v>
      </c>
      <c r="C379" s="3">
        <v>11.674251689819503</v>
      </c>
      <c r="D379" s="3">
        <v>1.4275282413389436</v>
      </c>
      <c r="E379" s="3">
        <v>34.994421425617524</v>
      </c>
      <c r="F379" s="3">
        <v>19.708359913231547</v>
      </c>
      <c r="G379" s="19">
        <v>44086</v>
      </c>
      <c r="H379" s="20">
        <v>47.6875</v>
      </c>
      <c r="I379" s="20">
        <v>94.28125</v>
      </c>
      <c r="J379" s="20">
        <v>17.954166666666662</v>
      </c>
      <c r="K379" s="20">
        <v>2.1999999999999997</v>
      </c>
      <c r="L379" s="20">
        <v>223.66666666666666</v>
      </c>
      <c r="M379" s="20">
        <v>2.2291666666666665</v>
      </c>
      <c r="N379" s="20">
        <v>0</v>
      </c>
      <c r="O379" s="20">
        <v>17.018750000000008</v>
      </c>
      <c r="P379" s="10">
        <v>0.11919354633972611</v>
      </c>
      <c r="Q379" s="21">
        <v>0.37985416666666666</v>
      </c>
      <c r="R379" s="21">
        <v>0.50056249999999969</v>
      </c>
      <c r="S379" s="21">
        <v>0.58166666666666633</v>
      </c>
      <c r="T379" s="21">
        <v>0.59791666666666743</v>
      </c>
      <c r="U379" s="21">
        <v>0.59802083333333367</v>
      </c>
      <c r="V379" s="21">
        <v>0.46050000000000008</v>
      </c>
      <c r="W379" s="21">
        <v>0.41241666666666671</v>
      </c>
      <c r="X379" s="21">
        <v>0.33947916666666672</v>
      </c>
      <c r="Y379" s="21">
        <v>0.25491666666666685</v>
      </c>
      <c r="Z379" s="23">
        <f>AVERAGE(Q379,U379)</f>
        <v>0.48893750000000014</v>
      </c>
      <c r="AA379" s="23">
        <f>AVERAGE(R379:T379,V379:X379)</f>
        <v>0.4820902777777778</v>
      </c>
      <c r="AB379" s="23">
        <f t="shared" si="5"/>
        <v>0.48333522727272732</v>
      </c>
    </row>
    <row r="380" spans="1:28">
      <c r="A380" s="9">
        <v>44087</v>
      </c>
      <c r="B380" s="3">
        <v>3.2317529698242109</v>
      </c>
      <c r="C380" s="3">
        <v>3.7775841245162637E-3</v>
      </c>
      <c r="D380" s="3">
        <v>0.24109640895470455</v>
      </c>
      <c r="E380" s="3">
        <v>26.990110986395518</v>
      </c>
      <c r="F380" s="3">
        <v>17.236927878751906</v>
      </c>
      <c r="G380" s="19">
        <v>44087</v>
      </c>
      <c r="H380" s="20">
        <v>41.854166666666664</v>
      </c>
      <c r="I380" s="20">
        <v>95.589583333333351</v>
      </c>
      <c r="J380" s="20">
        <v>18.497916666666661</v>
      </c>
      <c r="K380" s="20">
        <v>43.599999999999994</v>
      </c>
      <c r="L380" s="20">
        <v>243.33333333333334</v>
      </c>
      <c r="M380" s="20">
        <v>2.6041666666666665</v>
      </c>
      <c r="N380" s="20">
        <v>0</v>
      </c>
      <c r="O380" s="20">
        <v>17.77708333333333</v>
      </c>
      <c r="P380" s="10">
        <v>9.4567658149389514E-2</v>
      </c>
      <c r="Q380" s="21">
        <v>0.43552083333333336</v>
      </c>
      <c r="R380" s="21">
        <v>0.5368750000000001</v>
      </c>
      <c r="S380" s="21">
        <v>0.59887499999999971</v>
      </c>
      <c r="T380" s="21">
        <v>0.62372916666666633</v>
      </c>
      <c r="U380" s="21">
        <v>0.61239583333333314</v>
      </c>
      <c r="V380" s="21">
        <v>0.49318750000000006</v>
      </c>
      <c r="W380" s="21">
        <v>0.43920833333333342</v>
      </c>
      <c r="X380" s="21">
        <v>0.37229166666666652</v>
      </c>
      <c r="Y380" s="21">
        <v>0.32104166666666678</v>
      </c>
      <c r="Z380" s="23">
        <f>AVERAGE(Q380,U380)</f>
        <v>0.5239583333333333</v>
      </c>
      <c r="AA380" s="23">
        <f>AVERAGE(R380:T380,V380:X380)</f>
        <v>0.51069444444444434</v>
      </c>
      <c r="AB380" s="23">
        <f t="shared" si="5"/>
        <v>0.51310606060606045</v>
      </c>
    </row>
    <row r="381" spans="1:28">
      <c r="A381" s="9">
        <v>44088</v>
      </c>
      <c r="B381" s="3">
        <v>7.9219345754469233</v>
      </c>
      <c r="C381" s="3">
        <v>0.20713035898104695</v>
      </c>
      <c r="D381" s="3">
        <v>0.8038685918569094</v>
      </c>
      <c r="E381" s="3">
        <v>15.296596807026067</v>
      </c>
      <c r="F381" s="3">
        <v>2.8286900337095342</v>
      </c>
      <c r="G381" s="19">
        <v>44088</v>
      </c>
      <c r="H381" s="20">
        <v>37.958333333333336</v>
      </c>
      <c r="I381" s="20">
        <v>96.270833333333314</v>
      </c>
      <c r="J381" s="20">
        <v>16.735416666666666</v>
      </c>
      <c r="K381" s="20">
        <v>97.100000000000023</v>
      </c>
      <c r="L381" s="20">
        <v>249.08333333333334</v>
      </c>
      <c r="M381" s="20">
        <v>1.4583333333333333</v>
      </c>
      <c r="N381" s="20">
        <v>0</v>
      </c>
      <c r="O381" s="20">
        <v>16.139583333333327</v>
      </c>
      <c r="P381" s="10">
        <v>7.2009670918615348E-2</v>
      </c>
      <c r="Q381" s="21">
        <v>0.50268750000000018</v>
      </c>
      <c r="R381" s="21">
        <v>0.57522916666666657</v>
      </c>
      <c r="S381" s="21">
        <v>0.6170416666666666</v>
      </c>
      <c r="T381" s="21">
        <v>0.6378541666666665</v>
      </c>
      <c r="U381" s="21">
        <v>0.62543749999999987</v>
      </c>
      <c r="V381" s="21">
        <v>0.57381250000000006</v>
      </c>
      <c r="W381" s="21">
        <v>0.50675000000000014</v>
      </c>
      <c r="X381" s="21">
        <v>0.46283333333333326</v>
      </c>
      <c r="Y381" s="21">
        <v>0.52543749999999978</v>
      </c>
      <c r="Z381" s="23">
        <f>AVERAGE(Q381,U381)</f>
        <v>0.56406250000000002</v>
      </c>
      <c r="AA381" s="23">
        <f>AVERAGE(R381:T381,V381:X381)</f>
        <v>0.56225347222222222</v>
      </c>
      <c r="AB381" s="23">
        <f t="shared" si="5"/>
        <v>0.56258238636363633</v>
      </c>
    </row>
    <row r="382" spans="1:28">
      <c r="A382" s="9">
        <v>44089</v>
      </c>
      <c r="B382" s="3">
        <v>6.4327104311299754</v>
      </c>
      <c r="C382" s="3">
        <v>0</v>
      </c>
      <c r="D382" s="3">
        <v>3.0043449196130845</v>
      </c>
      <c r="E382" s="3">
        <v>11.58223776802334</v>
      </c>
      <c r="F382" s="3">
        <v>6.7145658986482903</v>
      </c>
      <c r="G382" s="19">
        <v>44089</v>
      </c>
      <c r="H382" s="20">
        <v>28.083333333333332</v>
      </c>
      <c r="I382" s="20">
        <v>96.779166666666683</v>
      </c>
      <c r="J382" s="20">
        <v>17.541666666666668</v>
      </c>
      <c r="K382" s="20">
        <v>22.699999999999996</v>
      </c>
      <c r="L382" s="20">
        <v>254.66666666666666</v>
      </c>
      <c r="M382" s="20">
        <v>0.625</v>
      </c>
      <c r="N382" s="20">
        <v>0</v>
      </c>
      <c r="O382" s="20">
        <v>17.016666666666666</v>
      </c>
      <c r="P382" s="10">
        <v>6.5064293796034026E-2</v>
      </c>
      <c r="Q382" s="21">
        <v>0.46877083333333314</v>
      </c>
      <c r="R382" s="21">
        <v>0.55808333333333315</v>
      </c>
      <c r="S382" s="21">
        <v>0.60343749999999985</v>
      </c>
      <c r="T382" s="21">
        <v>0.62118749999999967</v>
      </c>
      <c r="U382" s="21">
        <v>0.61768749999999961</v>
      </c>
      <c r="V382" s="21">
        <v>0.5291458333333332</v>
      </c>
      <c r="W382" s="21">
        <v>0.4824583333333336</v>
      </c>
      <c r="X382" s="21">
        <v>0.43020833333333347</v>
      </c>
      <c r="Y382" s="21">
        <v>0.31506250000000002</v>
      </c>
      <c r="Z382" s="23">
        <f>AVERAGE(Q382,U382)</f>
        <v>0.54322916666666643</v>
      </c>
      <c r="AA382" s="23">
        <f>AVERAGE(R382:T382,V382:X382)</f>
        <v>0.53742013888888873</v>
      </c>
      <c r="AB382" s="23">
        <f t="shared" si="5"/>
        <v>0.53847632575757554</v>
      </c>
    </row>
    <row r="383" spans="1:28">
      <c r="A383" s="9">
        <v>44090</v>
      </c>
      <c r="B383" s="3">
        <v>8.3607692024527918</v>
      </c>
      <c r="C383" s="3">
        <v>0.18373273021255862</v>
      </c>
      <c r="D383" s="3">
        <v>3.4730667275687854</v>
      </c>
      <c r="E383" s="3">
        <v>11.285320901181821</v>
      </c>
      <c r="F383" s="3">
        <v>23.64624231050999</v>
      </c>
      <c r="G383" s="19">
        <v>44090</v>
      </c>
      <c r="H383" s="20">
        <v>47.6875</v>
      </c>
      <c r="I383" s="20">
        <v>95.512499999999989</v>
      </c>
      <c r="J383" s="20">
        <v>17.422916666666659</v>
      </c>
      <c r="K383" s="20">
        <v>57.60000000000003</v>
      </c>
      <c r="L383" s="20">
        <v>208.16666666666666</v>
      </c>
      <c r="M383" s="20">
        <v>2</v>
      </c>
      <c r="N383" s="20">
        <v>0</v>
      </c>
      <c r="O383" s="20">
        <v>16.693749999999998</v>
      </c>
      <c r="P383" s="10">
        <v>9.2639622869281638E-2</v>
      </c>
      <c r="Q383" s="21">
        <v>0.49104166666666643</v>
      </c>
      <c r="R383" s="21">
        <v>0.56770833333333326</v>
      </c>
      <c r="S383" s="21">
        <v>0.61064583333333333</v>
      </c>
      <c r="T383" s="21">
        <v>0.63206249999999964</v>
      </c>
      <c r="U383" s="21">
        <v>0.6220833333333331</v>
      </c>
      <c r="V383" s="21">
        <v>0.55237499999999973</v>
      </c>
      <c r="W383" s="21">
        <v>0.49516666666666692</v>
      </c>
      <c r="X383" s="21">
        <v>0.45102083333333343</v>
      </c>
      <c r="Y383" s="21">
        <v>0.46347916666666628</v>
      </c>
      <c r="Z383" s="23">
        <f>AVERAGE(Q383,U383)</f>
        <v>0.55656249999999974</v>
      </c>
      <c r="AA383" s="23">
        <f>AVERAGE(R383:T383,V383:X383)</f>
        <v>0.55149652777777769</v>
      </c>
      <c r="AB383" s="23">
        <f t="shared" si="5"/>
        <v>0.55241761363636355</v>
      </c>
    </row>
    <row r="384" spans="1:28">
      <c r="A384" s="9">
        <v>44091</v>
      </c>
      <c r="B384" s="3">
        <v>93.91909269527369</v>
      </c>
      <c r="C384" s="3">
        <v>0.11233844274415555</v>
      </c>
      <c r="D384" s="3">
        <v>19.555713806342258</v>
      </c>
      <c r="E384" s="3">
        <v>3.0707091191468119</v>
      </c>
      <c r="F384" s="3">
        <v>104.39340861632205</v>
      </c>
      <c r="G384" s="19">
        <v>44091</v>
      </c>
      <c r="H384" s="20">
        <v>54.541666666666664</v>
      </c>
      <c r="I384" s="20">
        <v>93.11875000000002</v>
      </c>
      <c r="J384" s="20">
        <v>16.608333333333331</v>
      </c>
      <c r="K384" s="20">
        <v>69.600000000000023</v>
      </c>
      <c r="L384" s="20">
        <v>177.27083333333334</v>
      </c>
      <c r="M384" s="20">
        <v>3.7708333333333335</v>
      </c>
      <c r="N384" s="20">
        <v>0</v>
      </c>
      <c r="O384" s="20">
        <v>15.48124999999999</v>
      </c>
      <c r="P384" s="10">
        <v>0.12772949917834575</v>
      </c>
      <c r="Q384" s="21">
        <v>0.50406249999999997</v>
      </c>
      <c r="R384" s="21">
        <v>0.5671666666666666</v>
      </c>
      <c r="S384" s="21">
        <v>0.60931250000000015</v>
      </c>
      <c r="T384" s="21">
        <v>0.62900000000000011</v>
      </c>
      <c r="U384" s="21">
        <v>0.62439583333333315</v>
      </c>
      <c r="V384" s="21">
        <v>0.55445833333333316</v>
      </c>
      <c r="W384" s="21">
        <v>0.49616666666666687</v>
      </c>
      <c r="X384" s="21">
        <v>0.45020833333333349</v>
      </c>
      <c r="Y384" s="21">
        <v>0.45031249999999995</v>
      </c>
      <c r="Z384" s="23">
        <f>AVERAGE(Q384,U384)</f>
        <v>0.56422916666666656</v>
      </c>
      <c r="AA384" s="23">
        <f>AVERAGE(R384:T384,V384:X384)</f>
        <v>0.55105208333333333</v>
      </c>
      <c r="AB384" s="23">
        <f t="shared" si="5"/>
        <v>0.5534479166666666</v>
      </c>
    </row>
    <row r="385" spans="1:28">
      <c r="A385" s="9">
        <v>44092</v>
      </c>
      <c r="B385" s="3">
        <v>102.94503845179466</v>
      </c>
      <c r="C385" s="3">
        <v>147.86485296969312</v>
      </c>
      <c r="D385" s="3">
        <v>129.72645215753423</v>
      </c>
      <c r="E385" s="3">
        <v>103.83735511475147</v>
      </c>
      <c r="F385" s="3">
        <v>188.44472299660362</v>
      </c>
      <c r="G385" s="19">
        <v>44092</v>
      </c>
      <c r="H385" s="20">
        <v>86</v>
      </c>
      <c r="I385" s="20">
        <v>86.356250000000003</v>
      </c>
      <c r="J385" s="20">
        <v>15.956249999999997</v>
      </c>
      <c r="K385" s="20">
        <v>0</v>
      </c>
      <c r="L385" s="20">
        <v>230.5625</v>
      </c>
      <c r="M385" s="20">
        <v>3.0833333333333335</v>
      </c>
      <c r="N385" s="20">
        <v>0</v>
      </c>
      <c r="O385" s="20">
        <v>13.652083333333337</v>
      </c>
      <c r="P385" s="10">
        <v>0.25914933858694983</v>
      </c>
      <c r="Q385" s="21">
        <v>0.44347916666666665</v>
      </c>
      <c r="R385" s="21">
        <v>0.53712500000000019</v>
      </c>
      <c r="S385" s="21">
        <v>0.58906249999999949</v>
      </c>
      <c r="T385" s="21">
        <v>0.60060416666666672</v>
      </c>
      <c r="U385" s="21">
        <v>0.60552083333333317</v>
      </c>
      <c r="V385" s="21">
        <v>0.50706250000000008</v>
      </c>
      <c r="W385" s="21">
        <v>0.47197916666666678</v>
      </c>
      <c r="X385" s="21">
        <v>0.41193750000000001</v>
      </c>
      <c r="Y385" s="21">
        <v>0.27095833333333341</v>
      </c>
      <c r="Z385" s="23">
        <f>AVERAGE(Q385,U385)</f>
        <v>0.52449999999999997</v>
      </c>
      <c r="AA385" s="23">
        <f>AVERAGE(R385:T385,V385:X385)</f>
        <v>0.51962847222222219</v>
      </c>
      <c r="AB385" s="23">
        <f t="shared" si="5"/>
        <v>0.52051420454545461</v>
      </c>
    </row>
    <row r="386" spans="1:28">
      <c r="A386" s="9">
        <v>44093</v>
      </c>
      <c r="B386" s="3">
        <v>0.3302675575984374</v>
      </c>
      <c r="C386" s="3">
        <v>16.911800992071282</v>
      </c>
      <c r="D386" s="3">
        <v>2.7859856983981288</v>
      </c>
      <c r="E386" s="3">
        <v>6.2329992551002498</v>
      </c>
      <c r="F386" s="3">
        <v>47.610041377783382</v>
      </c>
      <c r="G386" s="19">
        <v>44093</v>
      </c>
      <c r="H386" s="20">
        <v>72.75</v>
      </c>
      <c r="I386" s="20">
        <v>91.870833333333337</v>
      </c>
      <c r="J386" s="20">
        <v>15.766666666666671</v>
      </c>
      <c r="K386" s="20">
        <v>3.0000000000000004</v>
      </c>
      <c r="L386" s="20">
        <v>221.8125</v>
      </c>
      <c r="M386" s="20">
        <v>2</v>
      </c>
      <c r="N386" s="20">
        <v>0</v>
      </c>
      <c r="O386" s="20">
        <v>14.445833333333335</v>
      </c>
      <c r="P386" s="10">
        <v>0.14395205491153151</v>
      </c>
      <c r="Q386" s="21">
        <v>0.44060416666666663</v>
      </c>
      <c r="R386" s="21">
        <v>0.53116666666666668</v>
      </c>
      <c r="S386" s="21">
        <v>0.58418749999999964</v>
      </c>
      <c r="T386" s="21">
        <v>0.595291666666667</v>
      </c>
      <c r="U386" s="21">
        <v>0.60064583333333321</v>
      </c>
      <c r="V386" s="21">
        <v>0.50062499999999999</v>
      </c>
      <c r="W386" s="21">
        <v>0.46772916666666636</v>
      </c>
      <c r="X386" s="21">
        <v>0.40691666666666654</v>
      </c>
      <c r="Y386" s="21">
        <v>0.26768750000000008</v>
      </c>
      <c r="Z386" s="23">
        <f>AVERAGE(Q386,U386)</f>
        <v>0.52062499999999989</v>
      </c>
      <c r="AA386" s="23">
        <f>AVERAGE(R386:T386,V386:X386)</f>
        <v>0.51431944444444444</v>
      </c>
      <c r="AB386" s="23">
        <f t="shared" si="5"/>
        <v>0.51546590909090906</v>
      </c>
    </row>
    <row r="387" spans="1:28">
      <c r="A387" s="9">
        <v>44094</v>
      </c>
      <c r="B387" s="3">
        <v>140.30264269887402</v>
      </c>
      <c r="C387" s="3">
        <v>252.44498225079369</v>
      </c>
      <c r="D387" s="3">
        <v>207.7444450551443</v>
      </c>
      <c r="E387" s="3">
        <v>253.13625456481026</v>
      </c>
      <c r="F387" s="3">
        <v>225.12306180165805</v>
      </c>
      <c r="G387" s="19">
        <v>44094</v>
      </c>
      <c r="H387" s="20">
        <v>116.41666666666667</v>
      </c>
      <c r="I387" s="20">
        <v>89.466666666666683</v>
      </c>
      <c r="J387" s="20">
        <v>18.916666666666664</v>
      </c>
      <c r="K387" s="20">
        <v>1.2</v>
      </c>
      <c r="L387" s="20">
        <v>219.08333333333334</v>
      </c>
      <c r="M387" s="20">
        <v>5.4375</v>
      </c>
      <c r="N387" s="20">
        <v>0.60416666666666663</v>
      </c>
      <c r="O387" s="20">
        <v>17.070833333333333</v>
      </c>
      <c r="P387" s="10">
        <v>0.2580243093805582</v>
      </c>
      <c r="Q387" s="21">
        <v>0.4479999999999999</v>
      </c>
      <c r="R387" s="21">
        <v>0.5366875000000001</v>
      </c>
      <c r="S387" s="21">
        <v>0.58810416666666665</v>
      </c>
      <c r="T387" s="21">
        <v>0.59606250000000005</v>
      </c>
      <c r="U387" s="21">
        <v>0.60210416666666722</v>
      </c>
      <c r="V387" s="21">
        <v>0.49849999999999967</v>
      </c>
      <c r="W387" s="21">
        <v>0.46618749999999992</v>
      </c>
      <c r="X387" s="21">
        <v>0.40474999999999978</v>
      </c>
      <c r="Y387" s="21">
        <v>0.26545833333333335</v>
      </c>
      <c r="Z387" s="23">
        <f>AVERAGE(Q387,U387)</f>
        <v>0.52505208333333353</v>
      </c>
      <c r="AA387" s="23">
        <f>AVERAGE(R387:T387,V387:X387)</f>
        <v>0.515048611111111</v>
      </c>
      <c r="AB387" s="23">
        <f t="shared" si="5"/>
        <v>0.51686742424242416</v>
      </c>
    </row>
    <row r="388" spans="1:28">
      <c r="A388" s="9">
        <v>44095</v>
      </c>
      <c r="B388" s="3">
        <v>202.16793789253646</v>
      </c>
      <c r="C388" s="3">
        <v>293.03856148702891</v>
      </c>
      <c r="D388" s="3">
        <v>221.53212651478842</v>
      </c>
      <c r="E388" s="3">
        <v>238.0758585184189</v>
      </c>
      <c r="F388" s="3">
        <v>165.93092290582214</v>
      </c>
      <c r="G388" s="19">
        <v>44095</v>
      </c>
      <c r="H388" s="20">
        <v>130.0625</v>
      </c>
      <c r="I388" s="20">
        <v>87.537500000000023</v>
      </c>
      <c r="J388" s="20">
        <v>20.218750000000004</v>
      </c>
      <c r="K388" s="20">
        <v>0.2</v>
      </c>
      <c r="L388" s="20">
        <v>234.14583333333334</v>
      </c>
      <c r="M388" s="20">
        <v>11.666666666666666</v>
      </c>
      <c r="N388" s="20">
        <v>1.9375</v>
      </c>
      <c r="O388" s="20">
        <v>18.020833333333339</v>
      </c>
      <c r="P388" s="10">
        <v>0.31866418686983872</v>
      </c>
      <c r="Q388" s="21">
        <v>0.43704166666666677</v>
      </c>
      <c r="R388" s="21">
        <v>0.5305624999999996</v>
      </c>
      <c r="S388" s="21">
        <v>0.58535416666666629</v>
      </c>
      <c r="T388" s="21">
        <v>0.59518750000000042</v>
      </c>
      <c r="U388" s="21">
        <v>0.60185416666666647</v>
      </c>
      <c r="V388" s="21">
        <v>0.49622916666666655</v>
      </c>
      <c r="W388" s="21">
        <v>0.46489583333333312</v>
      </c>
      <c r="X388" s="21">
        <v>0.40316666666666673</v>
      </c>
      <c r="Y388" s="21">
        <v>0.26047916666666654</v>
      </c>
      <c r="Z388" s="23">
        <f>AVERAGE(Q388,U388)</f>
        <v>0.51944791666666656</v>
      </c>
      <c r="AA388" s="23">
        <f>AVERAGE(R388:T388,V388:X388)</f>
        <v>0.51256597222222211</v>
      </c>
      <c r="AB388" s="23">
        <f t="shared" si="5"/>
        <v>0.51381723484848474</v>
      </c>
    </row>
    <row r="389" spans="1:28">
      <c r="A389" s="9">
        <v>44096</v>
      </c>
      <c r="B389" s="3">
        <v>8.7191779855263292</v>
      </c>
      <c r="C389" s="3">
        <v>67.821894843991771</v>
      </c>
      <c r="D389" s="3">
        <v>25.173095302445766</v>
      </c>
      <c r="E389" s="3">
        <v>113.15646541193911</v>
      </c>
      <c r="F389" s="3">
        <v>29.801524051236033</v>
      </c>
      <c r="G389" s="19">
        <v>44096</v>
      </c>
      <c r="H389" s="20">
        <v>57.0625</v>
      </c>
      <c r="I389" s="20">
        <v>89.597916666666677</v>
      </c>
      <c r="J389" s="20">
        <v>17.44583333333334</v>
      </c>
      <c r="K389" s="20">
        <v>15.299999999999999</v>
      </c>
      <c r="L389" s="20">
        <v>199.08333333333334</v>
      </c>
      <c r="M389" s="20">
        <v>3.5</v>
      </c>
      <c r="N389" s="20">
        <v>0.10416666666666667</v>
      </c>
      <c r="O389" s="20">
        <v>15.700000000000003</v>
      </c>
      <c r="P389" s="10">
        <v>0.2116112430015821</v>
      </c>
      <c r="Q389" s="21">
        <v>0.45985416666666651</v>
      </c>
      <c r="R389" s="21">
        <v>0.54810416666666661</v>
      </c>
      <c r="S389" s="21">
        <v>0.59666666666666679</v>
      </c>
      <c r="T389" s="21">
        <v>0.60910416666666689</v>
      </c>
      <c r="U389" s="21">
        <v>0.61372916666666644</v>
      </c>
      <c r="V389" s="21">
        <v>0.51641666666666663</v>
      </c>
      <c r="W389" s="21">
        <v>0.47179166666666661</v>
      </c>
      <c r="X389" s="21">
        <v>0.4098541666666668</v>
      </c>
      <c r="Y389" s="21">
        <v>0.28931249999999992</v>
      </c>
      <c r="Z389" s="23">
        <f>AVERAGE(Q389,U389)</f>
        <v>0.53679166666666644</v>
      </c>
      <c r="AA389" s="23">
        <f>AVERAGE(R389:T389,V389:X389)</f>
        <v>0.52532291666666675</v>
      </c>
      <c r="AB389" s="23">
        <f t="shared" si="5"/>
        <v>0.52740814393939406</v>
      </c>
    </row>
    <row r="390" spans="1:28">
      <c r="A390" s="9">
        <v>44097</v>
      </c>
      <c r="B390" s="3">
        <v>30.073486948225863</v>
      </c>
      <c r="C390" s="3">
        <v>119.31638355683479</v>
      </c>
      <c r="D390" s="3">
        <v>49.526321475161687</v>
      </c>
      <c r="E390" s="3">
        <v>131.18725591154336</v>
      </c>
      <c r="F390" s="3">
        <v>43.667305770012753</v>
      </c>
      <c r="G390" s="19">
        <v>44097</v>
      </c>
      <c r="H390" s="20">
        <v>71.166666666666671</v>
      </c>
      <c r="I390" s="20">
        <v>88.441666666666649</v>
      </c>
      <c r="J390" s="20">
        <v>15.958333333333336</v>
      </c>
      <c r="K390" s="20">
        <v>0.4</v>
      </c>
      <c r="L390" s="20">
        <v>241.875</v>
      </c>
      <c r="M390" s="20">
        <v>2.3333333333333335</v>
      </c>
      <c r="N390" s="20">
        <v>0</v>
      </c>
      <c r="O390" s="20">
        <v>14.029166666666669</v>
      </c>
      <c r="P390" s="10">
        <v>0.21442741072654561</v>
      </c>
      <c r="Q390" s="21">
        <v>0.44408333333333377</v>
      </c>
      <c r="R390" s="21">
        <v>0.53808333333333325</v>
      </c>
      <c r="S390" s="21">
        <v>0.58991666666666664</v>
      </c>
      <c r="T390" s="21">
        <v>0.60145833333333354</v>
      </c>
      <c r="U390" s="21">
        <v>0.60725000000000029</v>
      </c>
      <c r="V390" s="21">
        <v>0.50941666666666663</v>
      </c>
      <c r="W390" s="21">
        <v>0.47152083333333333</v>
      </c>
      <c r="X390" s="21">
        <v>0.40956250000000005</v>
      </c>
      <c r="Y390" s="21">
        <v>0.26762500000000006</v>
      </c>
      <c r="Z390" s="23">
        <f>AVERAGE(Q390,U390)</f>
        <v>0.52566666666666706</v>
      </c>
      <c r="AA390" s="23">
        <f>AVERAGE(R390:T390,V390:X390)</f>
        <v>0.51999305555555564</v>
      </c>
      <c r="AB390" s="23">
        <f t="shared" ref="AB390:AB453" si="6">(Z390*10+AA390*45)/55</f>
        <v>0.52102462121212134</v>
      </c>
    </row>
    <row r="391" spans="1:28">
      <c r="A391" s="9">
        <v>44098</v>
      </c>
      <c r="B391" s="3">
        <v>98.920788184544023</v>
      </c>
      <c r="C391" s="3">
        <v>228.16239019940139</v>
      </c>
      <c r="D391" s="3">
        <v>115.01584398156417</v>
      </c>
      <c r="E391" s="3">
        <v>267.97890256470549</v>
      </c>
      <c r="F391" s="3">
        <v>74.261358841231868</v>
      </c>
      <c r="G391" s="19">
        <v>44098</v>
      </c>
      <c r="H391" s="20">
        <v>77.104166666666671</v>
      </c>
      <c r="I391" s="20">
        <v>88.752083333333317</v>
      </c>
      <c r="J391" s="20">
        <v>16.845833333333335</v>
      </c>
      <c r="K391" s="20">
        <v>0</v>
      </c>
      <c r="L391" s="20">
        <v>232.66666666666666</v>
      </c>
      <c r="M391" s="20">
        <v>3.3958333333333335</v>
      </c>
      <c r="N391" s="20">
        <v>0.33333333333333331</v>
      </c>
      <c r="O391" s="20">
        <v>14.943749999999994</v>
      </c>
      <c r="P391" s="10">
        <v>0.22779546995063379</v>
      </c>
      <c r="Q391" s="21">
        <v>0.43583333333333335</v>
      </c>
      <c r="R391" s="21">
        <v>0.5310625000000001</v>
      </c>
      <c r="S391" s="21">
        <v>0.58462499999999951</v>
      </c>
      <c r="T391" s="21">
        <v>0.59670833333333306</v>
      </c>
      <c r="U391" s="21">
        <v>0.60183333333333289</v>
      </c>
      <c r="V391" s="21">
        <v>0.50222916666666673</v>
      </c>
      <c r="W391" s="21">
        <v>0.46781250000000024</v>
      </c>
      <c r="X391" s="21">
        <v>0.40604166666666686</v>
      </c>
      <c r="Y391" s="21">
        <v>0.26729166666666682</v>
      </c>
      <c r="Z391" s="23">
        <f>AVERAGE(Q391,U391)</f>
        <v>0.51883333333333315</v>
      </c>
      <c r="AA391" s="23">
        <f>AVERAGE(R391:T391,V391:X391)</f>
        <v>0.51474652777777774</v>
      </c>
      <c r="AB391" s="23">
        <f t="shared" si="6"/>
        <v>0.51548958333333328</v>
      </c>
    </row>
    <row r="392" spans="1:28">
      <c r="A392" s="9">
        <v>44099</v>
      </c>
      <c r="B392" s="3">
        <v>3.8763558166327163</v>
      </c>
      <c r="C392" s="3">
        <v>13.003240922865157</v>
      </c>
      <c r="D392" s="3">
        <v>0</v>
      </c>
      <c r="E392" s="3">
        <v>26.216983430508375</v>
      </c>
      <c r="F392" s="3">
        <v>0.33987313241374034</v>
      </c>
      <c r="G392" s="19">
        <v>44099</v>
      </c>
      <c r="H392" s="20">
        <v>30.125</v>
      </c>
      <c r="I392" s="20">
        <v>94.433333333333337</v>
      </c>
      <c r="J392" s="20">
        <v>16.664583333333329</v>
      </c>
      <c r="K392" s="20">
        <v>7.0000000000000009</v>
      </c>
      <c r="L392" s="20">
        <v>221.85416666666666</v>
      </c>
      <c r="M392" s="20">
        <v>6.333333333333333</v>
      </c>
      <c r="N392" s="20">
        <v>0.47916666666666669</v>
      </c>
      <c r="O392" s="20">
        <v>15.758333333333335</v>
      </c>
      <c r="P392" s="10">
        <v>0.1067190687811977</v>
      </c>
      <c r="Q392" s="21">
        <v>0.4357083333333332</v>
      </c>
      <c r="R392" s="21">
        <v>0.52924999999999978</v>
      </c>
      <c r="S392" s="21">
        <v>0.58241666666666692</v>
      </c>
      <c r="T392" s="21">
        <v>0.59422916666666692</v>
      </c>
      <c r="U392" s="21">
        <v>0.5994791666666669</v>
      </c>
      <c r="V392" s="21">
        <v>0.49966666666666665</v>
      </c>
      <c r="W392" s="21">
        <v>0.46600000000000014</v>
      </c>
      <c r="X392" s="21">
        <v>0.40443750000000006</v>
      </c>
      <c r="Y392" s="21">
        <v>0.27866666666666662</v>
      </c>
      <c r="Z392" s="23">
        <f>AVERAGE(Q392,U392)</f>
        <v>0.51759375000000007</v>
      </c>
      <c r="AA392" s="23">
        <f>AVERAGE(R392:T392,V392:X392)</f>
        <v>0.51266666666666683</v>
      </c>
      <c r="AB392" s="23">
        <f t="shared" si="6"/>
        <v>0.51356250000000014</v>
      </c>
    </row>
    <row r="393" spans="1:28">
      <c r="A393" s="9">
        <v>44100</v>
      </c>
      <c r="B393" s="3">
        <v>10.575390200299095</v>
      </c>
      <c r="C393" s="3">
        <v>91.99748399305625</v>
      </c>
      <c r="D393" s="3">
        <v>65.727859274766161</v>
      </c>
      <c r="E393" s="3">
        <v>213.66753260036887</v>
      </c>
      <c r="F393" s="3">
        <v>96.318743702841289</v>
      </c>
      <c r="G393" s="19">
        <v>44100</v>
      </c>
      <c r="H393" s="20">
        <v>78.333333333333329</v>
      </c>
      <c r="I393" s="20">
        <v>91.074999999999946</v>
      </c>
      <c r="J393" s="20">
        <v>15.862500000000002</v>
      </c>
      <c r="K393" s="20">
        <v>1.5</v>
      </c>
      <c r="L393" s="20">
        <v>217.22916666666666</v>
      </c>
      <c r="M393" s="20">
        <v>3.0208333333333335</v>
      </c>
      <c r="N393" s="20">
        <v>0</v>
      </c>
      <c r="O393" s="20">
        <v>14.381249999999994</v>
      </c>
      <c r="P393" s="10">
        <v>0.16897277508301992</v>
      </c>
      <c r="Q393" s="21">
        <v>0.46150000000000019</v>
      </c>
      <c r="R393" s="21">
        <v>0.55037500000000017</v>
      </c>
      <c r="S393" s="21">
        <v>0.59535416666666685</v>
      </c>
      <c r="T393" s="21">
        <v>0.60445833333333365</v>
      </c>
      <c r="U393" s="21">
        <v>0.60837500000000044</v>
      </c>
      <c r="V393" s="21">
        <v>0.50458333333333338</v>
      </c>
      <c r="W393" s="21">
        <v>0.46662499999999985</v>
      </c>
      <c r="X393" s="21">
        <v>0.40522916666666636</v>
      </c>
      <c r="Y393" s="21">
        <v>0.2959374999999998</v>
      </c>
      <c r="Z393" s="23">
        <f>AVERAGE(Q393,U393)</f>
        <v>0.53493750000000029</v>
      </c>
      <c r="AA393" s="23">
        <f>AVERAGE(R393:T393,V393:X393)</f>
        <v>0.52110416666666659</v>
      </c>
      <c r="AB393" s="23">
        <f t="shared" si="6"/>
        <v>0.52361931818181817</v>
      </c>
    </row>
    <row r="394" spans="1:28">
      <c r="A394" s="9">
        <v>44101</v>
      </c>
      <c r="B394" s="3">
        <v>4.6431206129588061</v>
      </c>
      <c r="C394" s="3">
        <v>70.169787432100861</v>
      </c>
      <c r="D394" s="3">
        <v>50.83010299720862</v>
      </c>
      <c r="E394" s="3">
        <v>161.22173965442346</v>
      </c>
      <c r="F394" s="3">
        <v>75.637577177780884</v>
      </c>
      <c r="G394" s="19">
        <v>44101</v>
      </c>
      <c r="H394" s="20">
        <v>53.083333333333336</v>
      </c>
      <c r="I394" s="20">
        <v>90.754166666666649</v>
      </c>
      <c r="J394" s="20">
        <v>15.099999999999994</v>
      </c>
      <c r="K394" s="20">
        <v>0.8</v>
      </c>
      <c r="L394" s="20">
        <v>225.29166666666666</v>
      </c>
      <c r="M394" s="20">
        <v>4.041666666666667</v>
      </c>
      <c r="N394" s="20">
        <v>4.1666666666666664E-2</v>
      </c>
      <c r="O394" s="20">
        <v>13.583333333333336</v>
      </c>
      <c r="P394" s="10">
        <v>0.16265835851057875</v>
      </c>
      <c r="Q394" s="21">
        <v>0.44172916666666651</v>
      </c>
      <c r="R394" s="21">
        <v>0.53695833333333332</v>
      </c>
      <c r="S394" s="21">
        <v>0.58741666666666636</v>
      </c>
      <c r="T394" s="21">
        <v>0.59900000000000009</v>
      </c>
      <c r="U394" s="21">
        <v>0.60362500000000019</v>
      </c>
      <c r="V394" s="21">
        <v>0.50495833333333329</v>
      </c>
      <c r="W394" s="21">
        <v>0.46743749999999978</v>
      </c>
      <c r="X394" s="21">
        <v>0.40552083333333333</v>
      </c>
      <c r="Y394" s="21">
        <v>0.28570833333333356</v>
      </c>
      <c r="Z394" s="23">
        <f>AVERAGE(Q394,U394)</f>
        <v>0.5226770833333334</v>
      </c>
      <c r="AA394" s="23">
        <f>AVERAGE(R394:T394,V394:X394)</f>
        <v>0.51688194444444446</v>
      </c>
      <c r="AB394" s="23">
        <f t="shared" si="6"/>
        <v>0.51793560606060607</v>
      </c>
    </row>
    <row r="395" spans="1:28">
      <c r="A395" s="9">
        <v>44102</v>
      </c>
      <c r="B395" s="3">
        <v>0.26969745972493475</v>
      </c>
      <c r="C395" s="3">
        <v>29.45274035385258</v>
      </c>
      <c r="D395" s="3">
        <v>24.186200309278714</v>
      </c>
      <c r="E395" s="3">
        <v>85.505149341301433</v>
      </c>
      <c r="F395" s="3">
        <v>44.998876078798922</v>
      </c>
      <c r="G395" s="19">
        <v>44102</v>
      </c>
      <c r="H395" s="20">
        <v>49.020833333333336</v>
      </c>
      <c r="I395" s="20">
        <v>94.356250000000003</v>
      </c>
      <c r="J395" s="20">
        <v>16.808333333333326</v>
      </c>
      <c r="K395" s="20">
        <v>3.5000000000000004</v>
      </c>
      <c r="L395" s="20">
        <v>220.29166666666666</v>
      </c>
      <c r="M395" s="20">
        <v>6.270833333333333</v>
      </c>
      <c r="N395" s="20">
        <v>0.47916666666666669</v>
      </c>
      <c r="O395" s="20">
        <v>15.887500000000001</v>
      </c>
      <c r="P395" s="10">
        <v>0.11186196167926539</v>
      </c>
      <c r="Q395" s="21">
        <v>0.45199999999999996</v>
      </c>
      <c r="R395" s="21">
        <v>0.53795833333333365</v>
      </c>
      <c r="S395" s="21">
        <v>0.58681250000000007</v>
      </c>
      <c r="T395" s="21">
        <v>0.59625000000000028</v>
      </c>
      <c r="U395" s="21">
        <v>0.60549999999999971</v>
      </c>
      <c r="V395" s="21">
        <v>0.50439583333333349</v>
      </c>
      <c r="W395" s="21">
        <v>0.46625000000000011</v>
      </c>
      <c r="X395" s="21">
        <v>0.40500000000000003</v>
      </c>
      <c r="Y395" s="21">
        <v>0.28906250000000011</v>
      </c>
      <c r="Z395" s="23">
        <f>AVERAGE(Q395,U395)</f>
        <v>0.52874999999999983</v>
      </c>
      <c r="AA395" s="23">
        <f>AVERAGE(R395:T395,V395:X395)</f>
        <v>0.5161111111111113</v>
      </c>
      <c r="AB395" s="23">
        <f t="shared" si="6"/>
        <v>0.51840909090909104</v>
      </c>
    </row>
    <row r="396" spans="1:28">
      <c r="A396" s="9">
        <v>44103</v>
      </c>
      <c r="B396" s="3">
        <v>68.730605026930277</v>
      </c>
      <c r="C396" s="3">
        <v>120.61821490689587</v>
      </c>
      <c r="D396" s="3">
        <v>138.91205254870786</v>
      </c>
      <c r="E396" s="3">
        <v>229.46338729209361</v>
      </c>
      <c r="F396" s="3">
        <v>173.09220891202605</v>
      </c>
      <c r="G396" s="19">
        <v>44103</v>
      </c>
      <c r="H396" s="20">
        <v>83.520833333333329</v>
      </c>
      <c r="I396" s="20">
        <v>90.764583333333306</v>
      </c>
      <c r="J396" s="20">
        <v>17.195833333333336</v>
      </c>
      <c r="K396" s="20">
        <v>9.5999999999999979</v>
      </c>
      <c r="L396" s="20">
        <v>239.1875</v>
      </c>
      <c r="M396" s="20">
        <v>3.625</v>
      </c>
      <c r="N396" s="20">
        <v>0.14583333333333334</v>
      </c>
      <c r="O396" s="20">
        <v>15.625</v>
      </c>
      <c r="P396" s="10">
        <v>0.19218795022856749</v>
      </c>
      <c r="Q396" s="21">
        <v>0.47174999999999973</v>
      </c>
      <c r="R396" s="21">
        <v>0.55545833333333339</v>
      </c>
      <c r="S396" s="21">
        <v>0.5987083333333334</v>
      </c>
      <c r="T396" s="21">
        <v>0.612375</v>
      </c>
      <c r="U396" s="21">
        <v>0.61556249999999979</v>
      </c>
      <c r="V396" s="21">
        <v>0.52695833333333308</v>
      </c>
      <c r="W396" s="21">
        <v>0.47575000000000012</v>
      </c>
      <c r="X396" s="21">
        <v>0.41560416666666661</v>
      </c>
      <c r="Y396" s="21">
        <v>0.30791666666666667</v>
      </c>
      <c r="Z396" s="23">
        <f>AVERAGE(Q396,U396)</f>
        <v>0.54365624999999973</v>
      </c>
      <c r="AA396" s="23">
        <f>AVERAGE(R396:T396,V396:X396)</f>
        <v>0.53080902777777783</v>
      </c>
      <c r="AB396" s="23">
        <f t="shared" si="6"/>
        <v>0.53314488636363644</v>
      </c>
    </row>
    <row r="397" spans="1:28">
      <c r="A397" s="9">
        <v>44104</v>
      </c>
      <c r="B397" s="3">
        <v>153.84372910512474</v>
      </c>
      <c r="C397" s="3">
        <v>329.28166919062909</v>
      </c>
      <c r="D397" s="3">
        <v>273.80446726559541</v>
      </c>
      <c r="E397" s="3">
        <v>325.33711621470809</v>
      </c>
      <c r="F397" s="3">
        <v>260.61286097862956</v>
      </c>
      <c r="G397" s="19">
        <v>44104</v>
      </c>
      <c r="H397" s="20">
        <v>96.916666666666671</v>
      </c>
      <c r="I397" s="20">
        <v>84.831250000000026</v>
      </c>
      <c r="J397" s="20">
        <v>17.425000000000001</v>
      </c>
      <c r="K397" s="20">
        <v>0.2</v>
      </c>
      <c r="L397" s="20">
        <v>238.5625</v>
      </c>
      <c r="M397" s="20">
        <v>3.0208333333333335</v>
      </c>
      <c r="N397" s="20">
        <v>2.0833333333333332E-2</v>
      </c>
      <c r="O397" s="20">
        <v>14.762499999999994</v>
      </c>
      <c r="P397" s="10">
        <v>0.32498057476171205</v>
      </c>
      <c r="Q397" s="21">
        <v>0.44704166666666673</v>
      </c>
      <c r="R397" s="21">
        <v>0.53937500000000016</v>
      </c>
      <c r="S397" s="21">
        <v>0.58866666666666612</v>
      </c>
      <c r="T397" s="21">
        <v>0.59977083333333336</v>
      </c>
      <c r="U397" s="21">
        <v>0.60564583333333322</v>
      </c>
      <c r="V397" s="21">
        <v>0.5088750000000003</v>
      </c>
      <c r="W397" s="21">
        <v>0.47039583333333335</v>
      </c>
      <c r="X397" s="21">
        <v>0.40877083333333325</v>
      </c>
      <c r="Y397" s="21">
        <v>0.28685416666666658</v>
      </c>
      <c r="Z397" s="23">
        <f>AVERAGE(Q397,U397)</f>
        <v>0.52634375</v>
      </c>
      <c r="AA397" s="23">
        <f>AVERAGE(R397:T397,V397:X397)</f>
        <v>0.51930902777777777</v>
      </c>
      <c r="AB397" s="23">
        <f t="shared" si="6"/>
        <v>0.52058806818181813</v>
      </c>
    </row>
    <row r="398" spans="1:28">
      <c r="A398" s="9">
        <v>44105</v>
      </c>
      <c r="B398" s="3">
        <v>1.4744264349466809</v>
      </c>
      <c r="C398" s="3">
        <v>10.579282822083419</v>
      </c>
      <c r="D398" s="3">
        <v>1.5866320930685098</v>
      </c>
      <c r="E398" s="3">
        <v>14.82085855612695</v>
      </c>
      <c r="F398" s="3">
        <v>4.2811074947203993</v>
      </c>
      <c r="G398" s="19">
        <v>44105</v>
      </c>
      <c r="H398" s="20">
        <v>33.645833333333336</v>
      </c>
      <c r="I398" s="20">
        <v>95.210416666666632</v>
      </c>
      <c r="J398" s="20">
        <v>17.170833333333334</v>
      </c>
      <c r="K398" s="20">
        <v>1.4</v>
      </c>
      <c r="L398" s="20">
        <v>228.22916666666666</v>
      </c>
      <c r="M398" s="20">
        <v>4.958333333333333</v>
      </c>
      <c r="N398" s="20">
        <v>0.25</v>
      </c>
      <c r="O398" s="20">
        <v>16.387500000000003</v>
      </c>
      <c r="P398" s="10">
        <v>9.399218529727027E-2</v>
      </c>
      <c r="Q398" s="21">
        <v>0.44081249999999977</v>
      </c>
      <c r="R398" s="21">
        <v>0.53356250000000049</v>
      </c>
      <c r="S398" s="21">
        <v>0.58545833333333375</v>
      </c>
      <c r="T398" s="21">
        <v>0.59643749999999984</v>
      </c>
      <c r="U398" s="21">
        <v>0.60210416666666666</v>
      </c>
      <c r="V398" s="21">
        <v>0.50341666666666662</v>
      </c>
      <c r="W398" s="21">
        <v>0.46795833333333331</v>
      </c>
      <c r="X398" s="21">
        <v>0.40597916666666672</v>
      </c>
      <c r="Y398" s="21">
        <v>0.28506249999999983</v>
      </c>
      <c r="Z398" s="23">
        <f>AVERAGE(Q398,U398)</f>
        <v>0.52145833333333325</v>
      </c>
      <c r="AA398" s="23">
        <f>AVERAGE(R398:T398,V398:X398)</f>
        <v>0.51546875000000003</v>
      </c>
      <c r="AB398" s="23">
        <f t="shared" si="6"/>
        <v>0.51655776515151519</v>
      </c>
    </row>
    <row r="399" spans="1:28">
      <c r="A399" s="9">
        <v>44106</v>
      </c>
      <c r="B399" s="3">
        <v>171.04392092411095</v>
      </c>
      <c r="C399" s="3">
        <v>344.0346769909961</v>
      </c>
      <c r="D399" s="3">
        <v>278.02229248083887</v>
      </c>
      <c r="E399" s="3">
        <v>440.77768554815452</v>
      </c>
      <c r="F399" s="3">
        <v>309.24713559226007</v>
      </c>
      <c r="G399" s="19">
        <v>44106</v>
      </c>
      <c r="H399" s="20">
        <v>113.4375</v>
      </c>
      <c r="I399" s="20">
        <v>86.733333333333334</v>
      </c>
      <c r="J399" s="20">
        <v>20.795833333333324</v>
      </c>
      <c r="K399" s="20">
        <v>0.89999999999999991</v>
      </c>
      <c r="L399" s="20">
        <v>234.0625</v>
      </c>
      <c r="M399" s="20">
        <v>14.354166666666666</v>
      </c>
      <c r="N399" s="20">
        <v>2.7916666666666665</v>
      </c>
      <c r="O399" s="20">
        <v>18.443750000000005</v>
      </c>
      <c r="P399" s="10">
        <v>0.34971332741970568</v>
      </c>
      <c r="Q399" s="21">
        <v>0.44768750000000002</v>
      </c>
      <c r="R399" s="21">
        <v>0.53368750000000043</v>
      </c>
      <c r="S399" s="21">
        <v>0.58470833333333327</v>
      </c>
      <c r="T399" s="21">
        <v>0.59518750000000031</v>
      </c>
      <c r="U399" s="21">
        <v>0.60543750000000063</v>
      </c>
      <c r="V399" s="21">
        <v>0.50183333333333324</v>
      </c>
      <c r="W399" s="21">
        <v>0.46687500000000021</v>
      </c>
      <c r="X399" s="21">
        <v>0.4044999999999998</v>
      </c>
      <c r="Y399" s="21">
        <v>0.28604166666666669</v>
      </c>
      <c r="Z399" s="23">
        <f>AVERAGE(Q399,U399)</f>
        <v>0.52656250000000027</v>
      </c>
      <c r="AA399" s="23">
        <f>AVERAGE(R399:T399,V399:X399)</f>
        <v>0.51446527777777795</v>
      </c>
      <c r="AB399" s="23">
        <f t="shared" si="6"/>
        <v>0.51666477272727296</v>
      </c>
    </row>
    <row r="400" spans="1:28">
      <c r="A400" s="9">
        <v>44107</v>
      </c>
      <c r="B400" s="3">
        <v>232.48122368991775</v>
      </c>
      <c r="C400" s="3">
        <v>465.45346614116198</v>
      </c>
      <c r="D400" s="3">
        <v>336.64541240683496</v>
      </c>
      <c r="E400" s="3">
        <v>410.9382582939117</v>
      </c>
      <c r="F400" s="3">
        <v>375.06047909604956</v>
      </c>
      <c r="G400" s="19">
        <v>44107</v>
      </c>
      <c r="H400" s="20">
        <v>119.47916666666667</v>
      </c>
      <c r="I400" s="20">
        <v>83.35208333333334</v>
      </c>
      <c r="J400" s="20">
        <v>22.120833333333337</v>
      </c>
      <c r="K400" s="20">
        <v>0</v>
      </c>
      <c r="L400" s="20">
        <v>231.52083333333334</v>
      </c>
      <c r="M400" s="20">
        <v>12.416666666666666</v>
      </c>
      <c r="N400" s="20">
        <v>2.1458333333333335</v>
      </c>
      <c r="O400" s="20">
        <v>19.091666666666669</v>
      </c>
      <c r="P400" s="10">
        <v>0.46969517153563012</v>
      </c>
      <c r="Q400" s="21">
        <v>0.43910416666666641</v>
      </c>
      <c r="R400" s="21">
        <v>0.53120833333333339</v>
      </c>
      <c r="S400" s="21">
        <v>0.58281249999999973</v>
      </c>
      <c r="T400" s="21">
        <v>0.59381250000000008</v>
      </c>
      <c r="U400" s="21">
        <v>0.60379166666666706</v>
      </c>
      <c r="V400" s="21">
        <v>0.49800000000000022</v>
      </c>
      <c r="W400" s="21">
        <v>0.46506249999999977</v>
      </c>
      <c r="X400" s="21">
        <v>0.40225000000000005</v>
      </c>
      <c r="Y400" s="21">
        <v>0.27770833333333339</v>
      </c>
      <c r="Z400" s="23">
        <f>AVERAGE(Q400,U400)</f>
        <v>0.52144791666666679</v>
      </c>
      <c r="AA400" s="23">
        <f>AVERAGE(R400:T400,V400:X400)</f>
        <v>0.51219097222222221</v>
      </c>
      <c r="AB400" s="23">
        <f t="shared" si="6"/>
        <v>0.51387405303030298</v>
      </c>
    </row>
    <row r="401" spans="1:28">
      <c r="A401" s="9">
        <v>44108</v>
      </c>
      <c r="B401" s="3">
        <v>2.0579570439709887</v>
      </c>
      <c r="C401" s="3">
        <v>24.813322683854899</v>
      </c>
      <c r="D401" s="3">
        <v>5.3921675386801242</v>
      </c>
      <c r="E401" s="3">
        <v>68.678353232865163</v>
      </c>
      <c r="F401" s="3">
        <v>48.451259872781513</v>
      </c>
      <c r="G401" s="19">
        <v>44108</v>
      </c>
      <c r="H401" s="20">
        <v>38.583333333333336</v>
      </c>
      <c r="I401" s="20">
        <v>91.616666666666674</v>
      </c>
      <c r="J401" s="20">
        <v>16.5</v>
      </c>
      <c r="K401" s="20">
        <v>3.1000000000000005</v>
      </c>
      <c r="L401" s="20">
        <v>202.875</v>
      </c>
      <c r="M401" s="20">
        <v>4.604166666666667</v>
      </c>
      <c r="N401" s="20">
        <v>6.25E-2</v>
      </c>
      <c r="O401" s="20">
        <v>15.116666666666669</v>
      </c>
      <c r="P401" s="10">
        <v>0.15742772069978681</v>
      </c>
      <c r="Q401" s="21">
        <v>0.43289583333333331</v>
      </c>
      <c r="R401" s="21">
        <v>0.52720833333333317</v>
      </c>
      <c r="S401" s="21">
        <v>0.58162499999999961</v>
      </c>
      <c r="T401" s="21">
        <v>0.59368750000000015</v>
      </c>
      <c r="U401" s="21">
        <v>0.59997916666666673</v>
      </c>
      <c r="V401" s="21">
        <v>0.49570833333333358</v>
      </c>
      <c r="W401" s="21">
        <v>0.46502083333333322</v>
      </c>
      <c r="X401" s="21">
        <v>0.40177083333333324</v>
      </c>
      <c r="Y401" s="21">
        <v>0.2822708333333333</v>
      </c>
      <c r="Z401" s="23">
        <f>AVERAGE(Q401,U401)</f>
        <v>0.51643749999999999</v>
      </c>
      <c r="AA401" s="23">
        <f>AVERAGE(R401:T401,V401:X401)</f>
        <v>0.51083680555555555</v>
      </c>
      <c r="AB401" s="23">
        <f t="shared" si="6"/>
        <v>0.5118551136363636</v>
      </c>
    </row>
    <row r="402" spans="1:28">
      <c r="A402" s="9">
        <v>44109</v>
      </c>
      <c r="B402" s="3">
        <v>5.2331207960517077</v>
      </c>
      <c r="C402" s="3">
        <v>67.629953828078712</v>
      </c>
      <c r="D402" s="3">
        <v>17.664448742610965</v>
      </c>
      <c r="E402" s="3">
        <v>134.46474928949257</v>
      </c>
      <c r="F402" s="3">
        <v>106.90645911418524</v>
      </c>
      <c r="G402" s="19">
        <v>44109</v>
      </c>
      <c r="H402" s="20">
        <v>50.916666666666664</v>
      </c>
      <c r="I402" s="20">
        <v>91.243749999999977</v>
      </c>
      <c r="J402" s="20">
        <v>13.393749999999995</v>
      </c>
      <c r="K402" s="20">
        <v>0.89999999999999991</v>
      </c>
      <c r="L402" s="20">
        <v>198.39583333333334</v>
      </c>
      <c r="M402" s="20">
        <v>4.645833333333333</v>
      </c>
      <c r="N402" s="20">
        <v>6.25E-2</v>
      </c>
      <c r="O402" s="20">
        <v>11.993749999999999</v>
      </c>
      <c r="P402" s="10">
        <v>0.13719330875408661</v>
      </c>
      <c r="Q402" s="21">
        <v>0.42599999999999971</v>
      </c>
      <c r="R402" s="21">
        <v>0.52106249999999965</v>
      </c>
      <c r="S402" s="21">
        <v>0.57722916666666657</v>
      </c>
      <c r="T402" s="21">
        <v>0.5918125000000003</v>
      </c>
      <c r="U402" s="21">
        <v>0.59283333333333343</v>
      </c>
      <c r="V402" s="21">
        <v>0.49177083333333305</v>
      </c>
      <c r="W402" s="21">
        <v>0.46347916666666661</v>
      </c>
      <c r="X402" s="21">
        <v>0.4006874999999997</v>
      </c>
      <c r="Y402" s="21">
        <v>0.27579166666666705</v>
      </c>
      <c r="Z402" s="23">
        <f>AVERAGE(Q402,U402)</f>
        <v>0.50941666666666663</v>
      </c>
      <c r="AA402" s="23">
        <f>AVERAGE(R402:T402,V402:X402)</f>
        <v>0.50767361111111098</v>
      </c>
      <c r="AB402" s="23">
        <f t="shared" si="6"/>
        <v>0.50799053030303021</v>
      </c>
    </row>
    <row r="403" spans="1:28">
      <c r="A403" s="9">
        <v>44110</v>
      </c>
      <c r="B403" s="3">
        <v>11.12341045254438</v>
      </c>
      <c r="C403" s="3">
        <v>126.25339744937413</v>
      </c>
      <c r="D403" s="3">
        <v>58.367046402318856</v>
      </c>
      <c r="E403" s="3">
        <v>169.06752885287719</v>
      </c>
      <c r="F403" s="3">
        <v>178.95720633831638</v>
      </c>
      <c r="G403" s="19">
        <v>44110</v>
      </c>
      <c r="H403" s="20">
        <v>56.104166666666664</v>
      </c>
      <c r="I403" s="20">
        <v>90.797916666666666</v>
      </c>
      <c r="J403" s="20">
        <v>12.17708333333333</v>
      </c>
      <c r="K403" s="20">
        <v>0.60000000000000009</v>
      </c>
      <c r="L403" s="20">
        <v>231.45833333333334</v>
      </c>
      <c r="M403" s="20">
        <v>4.395833333333333</v>
      </c>
      <c r="N403" s="20">
        <v>0</v>
      </c>
      <c r="O403" s="20">
        <v>10.679166666666665</v>
      </c>
      <c r="P403" s="10">
        <v>0.13756485686660683</v>
      </c>
      <c r="Q403" s="21">
        <v>0.41931249999999998</v>
      </c>
      <c r="R403" s="21">
        <v>0.51450000000000029</v>
      </c>
      <c r="S403" s="21">
        <v>0.5716458333333333</v>
      </c>
      <c r="T403" s="21">
        <v>0.58814583333333303</v>
      </c>
      <c r="U403" s="21">
        <v>0.58589583333333362</v>
      </c>
      <c r="V403" s="21">
        <v>0.48729166666666668</v>
      </c>
      <c r="W403" s="21">
        <v>0.460979166666667</v>
      </c>
      <c r="X403" s="21">
        <v>0.39925000000000027</v>
      </c>
      <c r="Y403" s="21">
        <v>0.27254166666666685</v>
      </c>
      <c r="Z403" s="23">
        <f>AVERAGE(Q403,U403)</f>
        <v>0.50260416666666674</v>
      </c>
      <c r="AA403" s="23">
        <f>AVERAGE(R403:T403,V403:X403)</f>
        <v>0.50363541666666678</v>
      </c>
      <c r="AB403" s="23">
        <f t="shared" si="6"/>
        <v>0.50344791666666677</v>
      </c>
    </row>
    <row r="404" spans="1:28">
      <c r="A404" s="9">
        <v>44111</v>
      </c>
      <c r="B404" s="3">
        <v>26.961820375931403</v>
      </c>
      <c r="C404" s="3">
        <v>178.04413660576225</v>
      </c>
      <c r="D404" s="3">
        <v>153.05542502818489</v>
      </c>
      <c r="E404" s="3">
        <v>272.96092300806384</v>
      </c>
      <c r="F404" s="3">
        <v>234.83785620774395</v>
      </c>
      <c r="G404" s="19">
        <v>44111</v>
      </c>
      <c r="H404" s="20">
        <v>60.166666666666664</v>
      </c>
      <c r="I404" s="20">
        <v>88.256250000000009</v>
      </c>
      <c r="J404" s="20">
        <v>13.13125</v>
      </c>
      <c r="K404" s="20">
        <v>0.4</v>
      </c>
      <c r="L404" s="20">
        <v>221.47916666666666</v>
      </c>
      <c r="M404" s="20">
        <v>2.1875</v>
      </c>
      <c r="N404" s="20">
        <v>0</v>
      </c>
      <c r="O404" s="20">
        <v>11.175000000000002</v>
      </c>
      <c r="P404" s="10">
        <v>0.19137339812726539</v>
      </c>
      <c r="Q404" s="21">
        <v>0.41506250000000011</v>
      </c>
      <c r="R404" s="21">
        <v>0.50964583333333324</v>
      </c>
      <c r="S404" s="21">
        <v>0.56706250000000025</v>
      </c>
      <c r="T404" s="21">
        <v>0.58433333333333304</v>
      </c>
      <c r="U404" s="21">
        <v>0.58160416666666637</v>
      </c>
      <c r="V404" s="21">
        <v>0.48364583333333333</v>
      </c>
      <c r="W404" s="21">
        <v>0.45829166666666676</v>
      </c>
      <c r="X404" s="21">
        <v>0.39725000000000016</v>
      </c>
      <c r="Y404" s="21">
        <v>0.26964583333333325</v>
      </c>
      <c r="Z404" s="23">
        <f>AVERAGE(Q404,U404)</f>
        <v>0.49833333333333324</v>
      </c>
      <c r="AA404" s="23">
        <f>AVERAGE(R404:T404,V404:X404)</f>
        <v>0.50003819444444442</v>
      </c>
      <c r="AB404" s="23">
        <f t="shared" si="6"/>
        <v>0.49972821969696962</v>
      </c>
    </row>
    <row r="405" spans="1:28">
      <c r="A405" s="9">
        <v>44112</v>
      </c>
      <c r="B405" s="3">
        <v>25.364077705428766</v>
      </c>
      <c r="C405" s="3">
        <v>125.51685318637028</v>
      </c>
      <c r="D405" s="3">
        <v>106.03556138862757</v>
      </c>
      <c r="E405" s="3">
        <v>200.88400152661887</v>
      </c>
      <c r="F405" s="3">
        <v>164.39495650102964</v>
      </c>
      <c r="G405" s="19">
        <v>44112</v>
      </c>
      <c r="H405" s="20">
        <v>47.916666666666664</v>
      </c>
      <c r="I405" s="20">
        <v>89.012499999999974</v>
      </c>
      <c r="J405" s="20">
        <v>13.839583333333332</v>
      </c>
      <c r="K405" s="20">
        <v>0.2</v>
      </c>
      <c r="L405" s="20">
        <v>234.14583333333334</v>
      </c>
      <c r="M405" s="20">
        <v>2.6875</v>
      </c>
      <c r="N405" s="20">
        <v>4.1666666666666664E-2</v>
      </c>
      <c r="O405" s="20">
        <v>12.043750000000001</v>
      </c>
      <c r="P405" s="10">
        <v>0.17849102765144112</v>
      </c>
      <c r="Q405" s="21">
        <v>0.41168750000000015</v>
      </c>
      <c r="R405" s="21">
        <v>0.5068125</v>
      </c>
      <c r="S405" s="21">
        <v>0.5631458333333339</v>
      </c>
      <c r="T405" s="21">
        <v>0.58085416666666589</v>
      </c>
      <c r="U405" s="21">
        <v>0.57931250000000045</v>
      </c>
      <c r="V405" s="21">
        <v>0.48102083333333345</v>
      </c>
      <c r="W405" s="21">
        <v>0.45643749999999977</v>
      </c>
      <c r="X405" s="21">
        <v>0.39510416666666637</v>
      </c>
      <c r="Y405" s="21">
        <v>0.26483333333333331</v>
      </c>
      <c r="Z405" s="23">
        <f>AVERAGE(Q405,U405)</f>
        <v>0.49550000000000027</v>
      </c>
      <c r="AA405" s="23">
        <f>AVERAGE(R405:T405,V405:X405)</f>
        <v>0.49722916666666661</v>
      </c>
      <c r="AB405" s="23">
        <f t="shared" si="6"/>
        <v>0.49691477272727269</v>
      </c>
    </row>
    <row r="406" spans="1:28">
      <c r="A406" s="9">
        <v>44113</v>
      </c>
      <c r="B406" s="3">
        <v>223.80736842188799</v>
      </c>
      <c r="C406" s="3">
        <v>423.26669061921575</v>
      </c>
      <c r="D406" s="3">
        <v>360.8174478172906</v>
      </c>
      <c r="E406" s="3">
        <v>473.18991702319238</v>
      </c>
      <c r="F406" s="3">
        <v>378.55684693220553</v>
      </c>
      <c r="G406" s="19">
        <v>44113</v>
      </c>
      <c r="H406" s="20">
        <v>114.39583333333333</v>
      </c>
      <c r="I406" s="20">
        <v>82.533333333333317</v>
      </c>
      <c r="J406" s="20">
        <v>14.920833333333334</v>
      </c>
      <c r="K406" s="20">
        <v>0</v>
      </c>
      <c r="L406" s="20">
        <v>240.3125</v>
      </c>
      <c r="M406" s="20">
        <v>3.4375</v>
      </c>
      <c r="N406" s="20">
        <v>0.125</v>
      </c>
      <c r="O406" s="20">
        <v>11.841666666666667</v>
      </c>
      <c r="P406" s="10">
        <v>0.33124684186052056</v>
      </c>
      <c r="Q406" s="21">
        <v>0.40729166666666666</v>
      </c>
      <c r="R406" s="21">
        <v>0.50345833333333301</v>
      </c>
      <c r="S406" s="21">
        <v>0.55912500000000021</v>
      </c>
      <c r="T406" s="21">
        <v>0.57795833333333346</v>
      </c>
      <c r="U406" s="21">
        <v>0.57650000000000035</v>
      </c>
      <c r="V406" s="21">
        <v>0.4778541666666663</v>
      </c>
      <c r="W406" s="21">
        <v>0.45362500000000017</v>
      </c>
      <c r="X406" s="21">
        <v>0.39289583333333306</v>
      </c>
      <c r="Y406" s="21">
        <v>0.25906250000000003</v>
      </c>
      <c r="Z406" s="23">
        <f>AVERAGE(Q406,U406)</f>
        <v>0.49189583333333353</v>
      </c>
      <c r="AA406" s="23">
        <f>AVERAGE(R406:T406,V406:X406)</f>
        <v>0.49415277777777772</v>
      </c>
      <c r="AB406" s="23">
        <f t="shared" si="6"/>
        <v>0.49374242424242426</v>
      </c>
    </row>
    <row r="407" spans="1:28">
      <c r="A407" s="9">
        <v>44114</v>
      </c>
      <c r="B407" s="3">
        <v>303.48945100904575</v>
      </c>
      <c r="C407" s="3">
        <v>554.39590631615613</v>
      </c>
      <c r="D407" s="3">
        <v>454.79598200504489</v>
      </c>
      <c r="E407" s="3">
        <v>525.80201809070979</v>
      </c>
      <c r="F407" s="3">
        <v>434.03164123080268</v>
      </c>
      <c r="G407" s="19">
        <v>44114</v>
      </c>
      <c r="H407" s="20">
        <v>153.45833333333334</v>
      </c>
      <c r="I407" s="20">
        <v>79.456249999999997</v>
      </c>
      <c r="J407" s="20">
        <v>16.185416666666665</v>
      </c>
      <c r="K407" s="20">
        <v>0</v>
      </c>
      <c r="L407" s="20">
        <v>225.77083333333334</v>
      </c>
      <c r="M407" s="20">
        <v>4.791666666666667</v>
      </c>
      <c r="N407" s="20">
        <v>8.3333333333333329E-2</v>
      </c>
      <c r="O407" s="20">
        <v>12.38958333333334</v>
      </c>
      <c r="P407" s="10">
        <v>0.43641562614044083</v>
      </c>
      <c r="Q407" s="21">
        <v>0.39922916666666652</v>
      </c>
      <c r="R407" s="21">
        <v>0.49939583333333321</v>
      </c>
      <c r="S407" s="21">
        <v>0.55304166666666654</v>
      </c>
      <c r="T407" s="21">
        <v>0.57422916666666646</v>
      </c>
      <c r="U407" s="21">
        <v>0.5728749999999998</v>
      </c>
      <c r="V407" s="21">
        <v>0.47324999999999995</v>
      </c>
      <c r="W407" s="21">
        <v>0.44897916666666693</v>
      </c>
      <c r="X407" s="21">
        <v>0.38941666666666674</v>
      </c>
      <c r="Y407" s="21">
        <v>0.24756250000000005</v>
      </c>
      <c r="Z407" s="23">
        <f>AVERAGE(Q407,U407)</f>
        <v>0.48605208333333316</v>
      </c>
      <c r="AA407" s="23">
        <f>AVERAGE(R407:T407,V407:X407)</f>
        <v>0.48971874999999992</v>
      </c>
      <c r="AB407" s="23">
        <f t="shared" si="6"/>
        <v>0.48905208333333328</v>
      </c>
    </row>
    <row r="408" spans="1:28">
      <c r="A408" s="9">
        <v>44115</v>
      </c>
      <c r="B408" s="3">
        <v>154.60693815492371</v>
      </c>
      <c r="C408" s="3">
        <v>376.5160310627416</v>
      </c>
      <c r="D408" s="3">
        <v>284.27938818013024</v>
      </c>
      <c r="E408" s="3">
        <v>365.10367680546887</v>
      </c>
      <c r="F408" s="3">
        <v>279.71731844160087</v>
      </c>
      <c r="G408" s="19">
        <v>44115</v>
      </c>
      <c r="H408" s="20">
        <v>87.708333333333329</v>
      </c>
      <c r="I408" s="20">
        <v>85.433333333333294</v>
      </c>
      <c r="J408" s="20">
        <v>15.081250000000004</v>
      </c>
      <c r="K408" s="20">
        <v>0</v>
      </c>
      <c r="L408" s="20">
        <v>254.9375</v>
      </c>
      <c r="M408" s="20">
        <v>3.0416666666666665</v>
      </c>
      <c r="N408" s="20">
        <v>0.125</v>
      </c>
      <c r="O408" s="20">
        <v>12.539583333333333</v>
      </c>
      <c r="P408" s="10">
        <v>0.28048425547789774</v>
      </c>
      <c r="Q408" s="21">
        <v>0.38881250000000006</v>
      </c>
      <c r="R408" s="21">
        <v>0.49368749999999989</v>
      </c>
      <c r="S408" s="21">
        <v>0.54783333333333384</v>
      </c>
      <c r="T408" s="21">
        <v>0.57054166666666661</v>
      </c>
      <c r="U408" s="21">
        <v>0.56714583333333357</v>
      </c>
      <c r="V408" s="21">
        <v>0.46770833333333334</v>
      </c>
      <c r="W408" s="21">
        <v>0.44464583333333341</v>
      </c>
      <c r="X408" s="21">
        <v>0.38558333333333322</v>
      </c>
      <c r="Y408" s="21">
        <v>0.23335416666666672</v>
      </c>
      <c r="Z408" s="23">
        <f>AVERAGE(Q408,U408)</f>
        <v>0.47797916666666684</v>
      </c>
      <c r="AA408" s="23">
        <f>AVERAGE(R408:T408,V408:X408)</f>
        <v>0.4850000000000001</v>
      </c>
      <c r="AB408" s="23">
        <f t="shared" si="6"/>
        <v>0.48372348484848493</v>
      </c>
    </row>
    <row r="409" spans="1:28">
      <c r="A409" s="9">
        <v>44116</v>
      </c>
      <c r="B409" s="3">
        <v>231.55227197490731</v>
      </c>
      <c r="C409" s="3">
        <v>514.03540955029803</v>
      </c>
      <c r="D409" s="3">
        <v>370.02310472233478</v>
      </c>
      <c r="E409" s="3">
        <v>402.71114625530925</v>
      </c>
      <c r="F409" s="3">
        <v>343.64075632823784</v>
      </c>
      <c r="G409" s="19">
        <v>44116</v>
      </c>
      <c r="H409" s="20">
        <v>96.729166666666671</v>
      </c>
      <c r="I409" s="20">
        <v>82.074999999999974</v>
      </c>
      <c r="J409" s="20">
        <v>16.706250000000001</v>
      </c>
      <c r="K409" s="20">
        <v>0</v>
      </c>
      <c r="L409" s="20">
        <v>255.91666666666666</v>
      </c>
      <c r="M409" s="20">
        <v>2.3125</v>
      </c>
      <c r="N409" s="20">
        <v>0.10416666666666667</v>
      </c>
      <c r="O409" s="20">
        <v>13.460416666666665</v>
      </c>
      <c r="P409" s="10">
        <v>0.38391649257586774</v>
      </c>
      <c r="Q409" s="21">
        <v>0.37864583333333329</v>
      </c>
      <c r="R409" s="21">
        <v>0.48754166666666671</v>
      </c>
      <c r="S409" s="21">
        <v>0.54243750000000024</v>
      </c>
      <c r="T409" s="21">
        <v>0.56597916666666637</v>
      </c>
      <c r="U409" s="21">
        <v>0.56120833333333342</v>
      </c>
      <c r="V409" s="21">
        <v>0.46208333333333301</v>
      </c>
      <c r="W409" s="21">
        <v>0.44022916666666689</v>
      </c>
      <c r="X409" s="21">
        <v>0.3826874999999999</v>
      </c>
      <c r="Y409" s="21">
        <v>0.22131249999999994</v>
      </c>
      <c r="Z409" s="23">
        <f>AVERAGE(Q409,U409)</f>
        <v>0.46992708333333333</v>
      </c>
      <c r="AA409" s="23">
        <f>AVERAGE(R409:T409,V409:X409)</f>
        <v>0.48015972222222225</v>
      </c>
      <c r="AB409" s="23">
        <f t="shared" si="6"/>
        <v>0.47829924242424243</v>
      </c>
    </row>
    <row r="410" spans="1:28">
      <c r="A410" s="9">
        <v>44117</v>
      </c>
      <c r="B410" s="3">
        <v>244.14952976208696</v>
      </c>
      <c r="C410" s="3">
        <v>555.4003792825531</v>
      </c>
      <c r="D410" s="3">
        <v>337.67838152940408</v>
      </c>
      <c r="E410" s="3">
        <v>267.17874124572376</v>
      </c>
      <c r="F410" s="3">
        <v>382.04954146198338</v>
      </c>
      <c r="G410" s="19">
        <v>44117</v>
      </c>
      <c r="H410" s="20">
        <v>101.41666666666667</v>
      </c>
      <c r="I410" s="20">
        <v>79.131249999999994</v>
      </c>
      <c r="J410" s="20">
        <v>16.497916666666665</v>
      </c>
      <c r="K410" s="20">
        <v>0</v>
      </c>
      <c r="L410" s="20">
        <v>226.83333333333334</v>
      </c>
      <c r="M410" s="20">
        <v>4.708333333333333</v>
      </c>
      <c r="N410" s="20">
        <v>6.25E-2</v>
      </c>
      <c r="O410" s="20">
        <v>12.785416666666668</v>
      </c>
      <c r="P410" s="10">
        <v>0.41592622814310221</v>
      </c>
      <c r="Q410" s="21">
        <v>0.36414583333333334</v>
      </c>
      <c r="R410" s="21">
        <v>0.4802499999999999</v>
      </c>
      <c r="S410" s="21">
        <v>0.53539583333333363</v>
      </c>
      <c r="T410" s="21">
        <v>0.56022916666666644</v>
      </c>
      <c r="U410" s="21">
        <v>0.55364583333333306</v>
      </c>
      <c r="V410" s="21">
        <v>0.45435416666666661</v>
      </c>
      <c r="W410" s="21">
        <v>0.43506249999999969</v>
      </c>
      <c r="X410" s="21">
        <v>0.37831250000000005</v>
      </c>
      <c r="Y410" s="21">
        <v>0.20629166666666665</v>
      </c>
      <c r="Z410" s="23">
        <f>AVERAGE(Q410,U410)</f>
        <v>0.45889583333333317</v>
      </c>
      <c r="AA410" s="23">
        <f>AVERAGE(R410:T410,V410:X410)</f>
        <v>0.47393402777777771</v>
      </c>
      <c r="AB410" s="23">
        <f t="shared" si="6"/>
        <v>0.47119981060606053</v>
      </c>
    </row>
    <row r="411" spans="1:28">
      <c r="A411" s="9">
        <v>44118</v>
      </c>
      <c r="B411" s="3">
        <v>27.292790585959857</v>
      </c>
      <c r="C411" s="3">
        <v>155.40690461608676</v>
      </c>
      <c r="D411" s="3">
        <v>55.894221243089085</v>
      </c>
      <c r="E411" s="3">
        <v>41.197964784973784</v>
      </c>
      <c r="F411" s="3">
        <v>112.49498404722623</v>
      </c>
      <c r="G411" s="19">
        <v>44118</v>
      </c>
      <c r="H411" s="20">
        <v>58.659574468085104</v>
      </c>
      <c r="I411" s="20">
        <v>89.068085106382981</v>
      </c>
      <c r="J411" s="20">
        <v>14.700000000000006</v>
      </c>
      <c r="K411" s="20">
        <v>2.1</v>
      </c>
      <c r="L411" s="20">
        <v>189.72340425531914</v>
      </c>
      <c r="M411" s="20">
        <v>3.4468085106382977</v>
      </c>
      <c r="N411" s="20">
        <v>0</v>
      </c>
      <c r="O411" s="20">
        <v>12.891489361702124</v>
      </c>
      <c r="P411" s="10">
        <v>0.1888703421726515</v>
      </c>
      <c r="Q411" s="21">
        <v>0.3520625</v>
      </c>
      <c r="R411" s="21">
        <v>0.4733958333333334</v>
      </c>
      <c r="S411" s="21">
        <v>0.5303958333333334</v>
      </c>
      <c r="T411" s="21">
        <v>0.55533333333333312</v>
      </c>
      <c r="U411" s="21">
        <v>0.54633333333333367</v>
      </c>
      <c r="V411" s="21">
        <v>0.44770833333333332</v>
      </c>
      <c r="W411" s="21">
        <v>0.43091666666666639</v>
      </c>
      <c r="X411" s="21">
        <v>0.37456250000000008</v>
      </c>
      <c r="Y411" s="21">
        <v>0.19460416666666666</v>
      </c>
      <c r="Z411" s="23">
        <f>AVERAGE(Q411,U411)</f>
        <v>0.44919791666666686</v>
      </c>
      <c r="AA411" s="23">
        <f>AVERAGE(R411:T411,V411:X411)</f>
        <v>0.46871874999999991</v>
      </c>
      <c r="AB411" s="23">
        <f t="shared" si="6"/>
        <v>0.46516950757575753</v>
      </c>
    </row>
    <row r="412" spans="1:28">
      <c r="A412" s="9">
        <v>44119</v>
      </c>
      <c r="B412" s="3">
        <v>4.7212653345720001</v>
      </c>
      <c r="C412" s="3">
        <v>41.385227653043991</v>
      </c>
      <c r="D412" s="3">
        <v>2.3545186422589652</v>
      </c>
      <c r="E412" s="3">
        <v>12.264767194858626</v>
      </c>
      <c r="F412" s="3">
        <v>4.366390362301078</v>
      </c>
      <c r="G412" s="19">
        <v>44119</v>
      </c>
      <c r="H412" s="20">
        <v>46.1875</v>
      </c>
      <c r="I412" s="20">
        <v>95.587499999999977</v>
      </c>
      <c r="J412" s="20">
        <v>13.031250000000005</v>
      </c>
      <c r="K412" s="20">
        <v>24.099999999999991</v>
      </c>
      <c r="L412" s="20">
        <v>168.25</v>
      </c>
      <c r="M412" s="20">
        <v>2.8125</v>
      </c>
      <c r="N412" s="20">
        <v>0</v>
      </c>
      <c r="O412" s="20">
        <v>12.34166666666667</v>
      </c>
      <c r="P412" s="10">
        <v>6.6673211073425692E-2</v>
      </c>
      <c r="Q412" s="21">
        <v>0.38485416666666689</v>
      </c>
      <c r="R412" s="21">
        <v>0.49589583333333348</v>
      </c>
      <c r="S412" s="21">
        <v>0.54760416666666634</v>
      </c>
      <c r="T412" s="21">
        <v>0.56158333333333388</v>
      </c>
      <c r="U412" s="21">
        <v>0.54675000000000018</v>
      </c>
      <c r="V412" s="21">
        <v>0.44731249999999978</v>
      </c>
      <c r="W412" s="21">
        <v>0.42999999999999977</v>
      </c>
      <c r="X412" s="21">
        <v>0.37431249999999999</v>
      </c>
      <c r="Y412" s="21">
        <v>0.29541666666666666</v>
      </c>
      <c r="Z412" s="23">
        <f>AVERAGE(Q412,U412)</f>
        <v>0.46580208333333351</v>
      </c>
      <c r="AA412" s="23">
        <f>AVERAGE(R412:T412,V412:X412)</f>
        <v>0.47611805555555553</v>
      </c>
      <c r="AB412" s="23">
        <f t="shared" si="6"/>
        <v>0.4742424242424243</v>
      </c>
    </row>
    <row r="413" spans="1:28">
      <c r="A413" s="9">
        <v>44120</v>
      </c>
      <c r="B413" s="3">
        <v>7.9935730161125029</v>
      </c>
      <c r="C413" s="3">
        <v>64.977878353758783</v>
      </c>
      <c r="D413" s="3">
        <v>55.802982370488927</v>
      </c>
      <c r="E413" s="3">
        <v>171.96354629661997</v>
      </c>
      <c r="F413" s="3">
        <v>94.92240765690542</v>
      </c>
      <c r="G413" s="19">
        <v>44120</v>
      </c>
      <c r="H413" s="20">
        <v>69.666666666666671</v>
      </c>
      <c r="I413" s="20">
        <v>90.510416666666643</v>
      </c>
      <c r="J413" s="20">
        <v>11.339583333333337</v>
      </c>
      <c r="K413" s="20">
        <v>6.5000000000000018</v>
      </c>
      <c r="L413" s="20">
        <v>199.89583333333334</v>
      </c>
      <c r="M413" s="20">
        <v>4.895833333333333</v>
      </c>
      <c r="N413" s="20">
        <v>0</v>
      </c>
      <c r="O413" s="20">
        <v>9.8062500000000004</v>
      </c>
      <c r="P413" s="10">
        <v>0.1298271931295652</v>
      </c>
      <c r="Q413" s="21">
        <v>0.45702083333333343</v>
      </c>
      <c r="R413" s="21">
        <v>0.54266666666666674</v>
      </c>
      <c r="S413" s="21">
        <v>0.58502083333333299</v>
      </c>
      <c r="T413" s="21">
        <v>0.60652083333333329</v>
      </c>
      <c r="U413" s="21">
        <v>0.58416666666666661</v>
      </c>
      <c r="V413" s="21">
        <v>0.44768750000000002</v>
      </c>
      <c r="W413" s="21">
        <v>0.43018749999999989</v>
      </c>
      <c r="X413" s="21">
        <v>0.3759791666666667</v>
      </c>
      <c r="Y413" s="21">
        <v>0.30431250000000004</v>
      </c>
      <c r="Z413" s="23">
        <f>AVERAGE(Q413,U413)</f>
        <v>0.52059374999999997</v>
      </c>
      <c r="AA413" s="23">
        <f>AVERAGE(R413:T413,V413:X413)</f>
        <v>0.49801041666666657</v>
      </c>
      <c r="AB413" s="23">
        <f t="shared" si="6"/>
        <v>0.50211647727272724</v>
      </c>
    </row>
    <row r="414" spans="1:28">
      <c r="A414" s="9">
        <v>44121</v>
      </c>
      <c r="B414" s="3">
        <v>5.0225869987457497</v>
      </c>
      <c r="C414" s="3">
        <v>73.363614609965197</v>
      </c>
      <c r="D414" s="3">
        <v>46.28268951396727</v>
      </c>
      <c r="E414" s="3">
        <v>162.9552269717621</v>
      </c>
      <c r="F414" s="3">
        <v>108.74770262618024</v>
      </c>
      <c r="G414" s="19">
        <v>44121</v>
      </c>
      <c r="H414" s="20">
        <v>52.5</v>
      </c>
      <c r="I414" s="20">
        <v>88.947916666666671</v>
      </c>
      <c r="J414" s="20">
        <v>10.1</v>
      </c>
      <c r="K414" s="20">
        <v>0.60000000000000009</v>
      </c>
      <c r="L414" s="20">
        <v>241.33333333333334</v>
      </c>
      <c r="M414" s="20">
        <v>2.7916666666666665</v>
      </c>
      <c r="N414" s="20">
        <v>0</v>
      </c>
      <c r="O414" s="20">
        <v>8.3395833333333318</v>
      </c>
      <c r="P414" s="10">
        <v>0.14001003519520558</v>
      </c>
      <c r="Q414" s="21">
        <v>0.43589583333333315</v>
      </c>
      <c r="R414" s="21">
        <v>0.52706249999999999</v>
      </c>
      <c r="S414" s="21">
        <v>0.57489583333333327</v>
      </c>
      <c r="T414" s="21">
        <v>0.59039583333333312</v>
      </c>
      <c r="U414" s="21">
        <v>0.58429166666666632</v>
      </c>
      <c r="V414" s="21">
        <v>0.45333333333333292</v>
      </c>
      <c r="W414" s="21">
        <v>0.43879166666666664</v>
      </c>
      <c r="X414" s="21">
        <v>0.39189583333333328</v>
      </c>
      <c r="Y414" s="21">
        <v>0.28831250000000014</v>
      </c>
      <c r="Z414" s="23">
        <f>AVERAGE(Q414,U414)</f>
        <v>0.51009374999999979</v>
      </c>
      <c r="AA414" s="23">
        <f>AVERAGE(R414:T414,V414:X414)</f>
        <v>0.49606249999999985</v>
      </c>
      <c r="AB414" s="23">
        <f t="shared" si="6"/>
        <v>0.4986136363636362</v>
      </c>
    </row>
    <row r="415" spans="1:28">
      <c r="A415" s="9">
        <v>44122</v>
      </c>
      <c r="B415" s="3">
        <v>65.475642364828175</v>
      </c>
      <c r="C415" s="3">
        <v>215.02810101672407</v>
      </c>
      <c r="D415" s="3">
        <v>155.60014117912186</v>
      </c>
      <c r="E415" s="3">
        <v>268.87683643262847</v>
      </c>
      <c r="F415" s="3">
        <v>229.07440837525078</v>
      </c>
      <c r="G415" s="19">
        <v>44122</v>
      </c>
      <c r="H415" s="20">
        <v>62.791666666666664</v>
      </c>
      <c r="I415" s="20">
        <v>87.03749999999998</v>
      </c>
      <c r="J415" s="20">
        <v>10.910416666666668</v>
      </c>
      <c r="K415" s="20">
        <v>0</v>
      </c>
      <c r="L415" s="20">
        <v>211.89583333333334</v>
      </c>
      <c r="M415" s="20">
        <v>2.75</v>
      </c>
      <c r="N415" s="20">
        <v>0</v>
      </c>
      <c r="O415" s="20">
        <v>8.7895833333333329</v>
      </c>
      <c r="P415" s="10">
        <v>0.18005371847142662</v>
      </c>
      <c r="Q415" s="21">
        <v>0.42695833333333333</v>
      </c>
      <c r="R415" s="21">
        <v>0.51912499999999995</v>
      </c>
      <c r="S415" s="21">
        <v>0.56945833333333362</v>
      </c>
      <c r="T415" s="21">
        <v>0.58462499999999962</v>
      </c>
      <c r="U415" s="21">
        <v>0.58027083333333263</v>
      </c>
      <c r="V415" s="21">
        <v>0.45708333333333323</v>
      </c>
      <c r="W415" s="21">
        <v>0.44460416666666686</v>
      </c>
      <c r="X415" s="21">
        <v>0.3937500000000001</v>
      </c>
      <c r="Y415" s="21">
        <v>0.27925000000000005</v>
      </c>
      <c r="Z415" s="23">
        <f>AVERAGE(Q415,U415)</f>
        <v>0.50361458333333298</v>
      </c>
      <c r="AA415" s="23">
        <f>AVERAGE(R415:T415,V415:X415)</f>
        <v>0.49477430555555557</v>
      </c>
      <c r="AB415" s="23">
        <f t="shared" si="6"/>
        <v>0.49638162878787873</v>
      </c>
    </row>
    <row r="416" spans="1:28">
      <c r="A416" s="9">
        <v>44123</v>
      </c>
      <c r="B416" s="3">
        <v>175.40613943977729</v>
      </c>
      <c r="C416" s="3">
        <v>308.48222609057098</v>
      </c>
      <c r="D416" s="3">
        <v>243.6906950188789</v>
      </c>
      <c r="E416" s="3">
        <v>350.58150438488269</v>
      </c>
      <c r="F416" s="3">
        <v>295.07851955026501</v>
      </c>
      <c r="G416" s="19">
        <v>44123</v>
      </c>
      <c r="H416" s="20">
        <v>88.645833333333329</v>
      </c>
      <c r="I416" s="20">
        <v>83.583333333333329</v>
      </c>
      <c r="J416" s="20">
        <v>12.28125</v>
      </c>
      <c r="K416" s="20">
        <v>0</v>
      </c>
      <c r="L416" s="20">
        <v>179.04166666666666</v>
      </c>
      <c r="M416" s="20">
        <v>3.125</v>
      </c>
      <c r="N416" s="20">
        <v>0</v>
      </c>
      <c r="O416" s="20">
        <v>9.5083333333333329</v>
      </c>
      <c r="P416" s="10">
        <v>0.25217785357492384</v>
      </c>
      <c r="Q416" s="21">
        <v>0.4207291666666666</v>
      </c>
      <c r="R416" s="21">
        <v>0.51391666666666691</v>
      </c>
      <c r="S416" s="21">
        <v>0.56577083333333356</v>
      </c>
      <c r="T416" s="21">
        <v>0.58049999999999968</v>
      </c>
      <c r="U416" s="21">
        <v>0.57843750000000005</v>
      </c>
      <c r="V416" s="21">
        <v>0.45879166666666632</v>
      </c>
      <c r="W416" s="21">
        <v>0.44543749999999999</v>
      </c>
      <c r="X416" s="21">
        <v>0.39266666666666655</v>
      </c>
      <c r="Y416" s="21">
        <v>0.27072916666666674</v>
      </c>
      <c r="Z416" s="23">
        <f>AVERAGE(Q416,U416)</f>
        <v>0.49958333333333332</v>
      </c>
      <c r="AA416" s="23">
        <f>AVERAGE(R416:T416,V416:X416)</f>
        <v>0.49284722222222221</v>
      </c>
      <c r="AB416" s="23">
        <f t="shared" si="6"/>
        <v>0.4940719696969697</v>
      </c>
    </row>
    <row r="417" spans="1:28">
      <c r="A417" s="9">
        <v>44124</v>
      </c>
      <c r="B417" s="3">
        <v>5.0793917978391256</v>
      </c>
      <c r="C417" s="3">
        <v>34.027744250241774</v>
      </c>
      <c r="D417" s="3">
        <v>0.24869908263602519</v>
      </c>
      <c r="E417" s="3">
        <v>51.254724952444541</v>
      </c>
      <c r="F417" s="3">
        <v>18.472004365211099</v>
      </c>
      <c r="G417" s="19">
        <v>44124</v>
      </c>
      <c r="H417" s="20">
        <v>55.354166666666664</v>
      </c>
      <c r="I417" s="20">
        <v>91.847916666666663</v>
      </c>
      <c r="J417" s="20">
        <v>10.062499999999998</v>
      </c>
      <c r="K417" s="20">
        <v>5.1000000000000005</v>
      </c>
      <c r="L417" s="20">
        <v>227.66666666666666</v>
      </c>
      <c r="M417" s="20">
        <v>2.5625</v>
      </c>
      <c r="N417" s="20">
        <v>4.1666666666666664E-2</v>
      </c>
      <c r="O417" s="20">
        <v>8.7895833333333346</v>
      </c>
      <c r="P417" s="10">
        <v>0.10146554758154717</v>
      </c>
      <c r="Q417" s="21">
        <v>0.42162500000000014</v>
      </c>
      <c r="R417" s="21">
        <v>0.51300000000000001</v>
      </c>
      <c r="S417" s="21">
        <v>0.5646874999999999</v>
      </c>
      <c r="T417" s="21">
        <v>0.5786458333333333</v>
      </c>
      <c r="U417" s="21">
        <v>0.57593749999999977</v>
      </c>
      <c r="V417" s="21">
        <v>0.45970833333333383</v>
      </c>
      <c r="W417" s="21">
        <v>0.44562500000000016</v>
      </c>
      <c r="X417" s="21">
        <v>0.39212499999999983</v>
      </c>
      <c r="Y417" s="21">
        <v>0.28485416666666669</v>
      </c>
      <c r="Z417" s="23">
        <f>AVERAGE(Q417,U417)</f>
        <v>0.49878124999999995</v>
      </c>
      <c r="AA417" s="23">
        <f>AVERAGE(R417:T417,V417:X417)</f>
        <v>0.49229861111111112</v>
      </c>
      <c r="AB417" s="23">
        <f t="shared" si="6"/>
        <v>0.49347727272727271</v>
      </c>
    </row>
    <row r="418" spans="1:28">
      <c r="A418" s="9">
        <v>44125</v>
      </c>
      <c r="B418" s="3">
        <v>251.56829155919047</v>
      </c>
      <c r="C418" s="3">
        <v>449.86179433265164</v>
      </c>
      <c r="D418" s="3">
        <v>375.85980953968539</v>
      </c>
      <c r="E418" s="3">
        <v>548.10178057587643</v>
      </c>
      <c r="F418" s="3">
        <v>365.14468113179652</v>
      </c>
      <c r="G418" s="19">
        <v>44125</v>
      </c>
      <c r="H418" s="20">
        <v>165.97916666666666</v>
      </c>
      <c r="I418" s="20">
        <v>75.089583333333366</v>
      </c>
      <c r="J418" s="20">
        <v>12.875000000000005</v>
      </c>
      <c r="K418" s="20">
        <v>0.60000000000000009</v>
      </c>
      <c r="L418" s="20">
        <v>232.3125</v>
      </c>
      <c r="M418" s="20">
        <v>3.5833333333333335</v>
      </c>
      <c r="N418" s="20">
        <v>0</v>
      </c>
      <c r="O418" s="20">
        <v>8.1791666666666671</v>
      </c>
      <c r="P418" s="10">
        <v>0.44497322615553087</v>
      </c>
      <c r="Q418" s="21">
        <v>0.42845833333333322</v>
      </c>
      <c r="R418" s="21">
        <v>0.51687500000000008</v>
      </c>
      <c r="S418" s="21">
        <v>0.56566666666666643</v>
      </c>
      <c r="T418" s="21">
        <v>0.57662499999999983</v>
      </c>
      <c r="U418" s="21">
        <v>0.57524999999999959</v>
      </c>
      <c r="V418" s="21">
        <v>0.4583750000000002</v>
      </c>
      <c r="W418" s="21">
        <v>0.44416666666666677</v>
      </c>
      <c r="X418" s="21">
        <v>0.39077083333333329</v>
      </c>
      <c r="Y418" s="21">
        <v>0.28140476190476188</v>
      </c>
      <c r="Z418" s="23">
        <f>AVERAGE(Q418,U418)</f>
        <v>0.50185416666666638</v>
      </c>
      <c r="AA418" s="23">
        <f>AVERAGE(R418:T418,V418:X418)</f>
        <v>0.49207986111111107</v>
      </c>
      <c r="AB418" s="23">
        <f t="shared" si="6"/>
        <v>0.49385700757575746</v>
      </c>
    </row>
    <row r="419" spans="1:28">
      <c r="A419" s="9">
        <v>44126</v>
      </c>
      <c r="B419" s="3">
        <v>430.64263043650504</v>
      </c>
      <c r="C419" s="3">
        <v>590.41274084473594</v>
      </c>
      <c r="D419" s="3">
        <v>569.65614066691785</v>
      </c>
      <c r="E419" s="3">
        <v>800.81697294727326</v>
      </c>
      <c r="F419" s="3">
        <v>547.00227266593993</v>
      </c>
      <c r="G419" s="19">
        <v>44126</v>
      </c>
      <c r="H419" s="20">
        <v>212.0625</v>
      </c>
      <c r="I419" s="20">
        <v>56.762499999999996</v>
      </c>
      <c r="J419" s="20">
        <v>14.368750000000004</v>
      </c>
      <c r="K419" s="20">
        <v>0</v>
      </c>
      <c r="L419" s="20">
        <v>214.75</v>
      </c>
      <c r="M419" s="20">
        <v>4.104166666666667</v>
      </c>
      <c r="N419" s="20">
        <v>0.14583333333333334</v>
      </c>
      <c r="O419" s="20">
        <v>5.0062499999999988</v>
      </c>
      <c r="P419" s="10">
        <v>0.85058292519075918</v>
      </c>
      <c r="Q419" s="21">
        <v>0.41568749999999982</v>
      </c>
      <c r="R419" s="21">
        <v>0.50987500000000041</v>
      </c>
      <c r="S419" s="21">
        <v>0.55924999999999958</v>
      </c>
      <c r="T419" s="21">
        <v>0.5734999999999999</v>
      </c>
      <c r="U419" s="21">
        <v>0.57314583333333335</v>
      </c>
      <c r="V419" s="21">
        <v>0.45485416666666706</v>
      </c>
      <c r="W419" s="21">
        <v>0.44006250000000041</v>
      </c>
      <c r="X419" s="21">
        <v>0.38745833333333352</v>
      </c>
      <c r="Y419" s="21">
        <v>0.25533333333333336</v>
      </c>
      <c r="Z419" s="23">
        <f>AVERAGE(Q419,U419)</f>
        <v>0.49441666666666662</v>
      </c>
      <c r="AA419" s="23">
        <f>AVERAGE(R419:T419,V419:X419)</f>
        <v>0.4875000000000001</v>
      </c>
      <c r="AB419" s="23">
        <f t="shared" si="6"/>
        <v>0.48875757575757578</v>
      </c>
    </row>
    <row r="420" spans="1:28">
      <c r="A420" s="9">
        <v>44127</v>
      </c>
      <c r="B420" s="3">
        <v>408.41829567205355</v>
      </c>
      <c r="C420" s="3">
        <v>718.89162447301317</v>
      </c>
      <c r="D420" s="3">
        <v>579.13864131590731</v>
      </c>
      <c r="E420" s="3">
        <v>742.80866160710457</v>
      </c>
      <c r="F420" s="3">
        <v>566.09610466556842</v>
      </c>
      <c r="G420" s="19">
        <v>44127</v>
      </c>
      <c r="H420" s="20">
        <v>193.6875</v>
      </c>
      <c r="I420" s="20">
        <v>55.931250000000013</v>
      </c>
      <c r="J420" s="20">
        <v>14.856250000000001</v>
      </c>
      <c r="K420" s="20">
        <v>0</v>
      </c>
      <c r="L420" s="20">
        <v>212.39583333333334</v>
      </c>
      <c r="M420" s="20">
        <v>3.3958333333333335</v>
      </c>
      <c r="N420" s="20">
        <v>8.3333333333333329E-2</v>
      </c>
      <c r="O420" s="20">
        <v>5.4770833333333329</v>
      </c>
      <c r="P420" s="10">
        <v>0.86471895299777612</v>
      </c>
      <c r="Q420" s="21">
        <v>0.40116666666666667</v>
      </c>
      <c r="R420" s="21">
        <v>0.50104166666666683</v>
      </c>
      <c r="S420" s="21">
        <v>0.55004166666666732</v>
      </c>
      <c r="T420" s="21">
        <v>0.56908333333333327</v>
      </c>
      <c r="U420" s="21">
        <v>0.56691666666666662</v>
      </c>
      <c r="V420" s="21">
        <v>0.44902083333333359</v>
      </c>
      <c r="W420" s="21">
        <v>0.43543749999999953</v>
      </c>
      <c r="X420" s="21">
        <v>0.38339583333333332</v>
      </c>
      <c r="Y420" s="21">
        <v>0.24915000000000004</v>
      </c>
      <c r="Z420" s="23">
        <f>AVERAGE(Q420,U420)</f>
        <v>0.48404166666666665</v>
      </c>
      <c r="AA420" s="23">
        <f>AVERAGE(R420:T420,V420:X420)</f>
        <v>0.48133680555555558</v>
      </c>
      <c r="AB420" s="23">
        <f t="shared" si="6"/>
        <v>0.48182859848484849</v>
      </c>
    </row>
    <row r="421" spans="1:28">
      <c r="A421" s="9">
        <v>44128</v>
      </c>
      <c r="B421" s="3">
        <v>392.51419149188825</v>
      </c>
      <c r="C421" s="3">
        <v>638.27173242894241</v>
      </c>
      <c r="D421" s="3">
        <v>503.91593685250041</v>
      </c>
      <c r="E421" s="3">
        <v>515.27194172216798</v>
      </c>
      <c r="F421" s="3">
        <v>507.30568181345905</v>
      </c>
      <c r="G421" s="19">
        <v>44128</v>
      </c>
      <c r="H421" s="20">
        <v>180.0625</v>
      </c>
      <c r="I421" s="20">
        <v>62.287499999999987</v>
      </c>
      <c r="J421" s="20">
        <v>15.489583333333336</v>
      </c>
      <c r="K421" s="20">
        <v>0</v>
      </c>
      <c r="L421" s="20">
        <v>215.125</v>
      </c>
      <c r="M421" s="20">
        <v>4.666666666666667</v>
      </c>
      <c r="N421" s="20">
        <v>0.25</v>
      </c>
      <c r="O421" s="20">
        <v>7.9354166666666641</v>
      </c>
      <c r="P421" s="10">
        <v>0.74631909174273792</v>
      </c>
      <c r="Q421" s="21">
        <v>0.38658333333333345</v>
      </c>
      <c r="R421" s="21">
        <v>0.49258333333333354</v>
      </c>
      <c r="S421" s="21">
        <v>0.54127083333333303</v>
      </c>
      <c r="T421" s="21">
        <v>0.56404166666666666</v>
      </c>
      <c r="U421" s="21">
        <v>0.55914583333333312</v>
      </c>
      <c r="V421" s="21">
        <v>0.44212499999999993</v>
      </c>
      <c r="W421" s="21">
        <v>0.43</v>
      </c>
      <c r="X421" s="21">
        <v>0.37806249999999997</v>
      </c>
      <c r="Y421" s="21">
        <v>0.21838888888888891</v>
      </c>
      <c r="Z421" s="23">
        <f>AVERAGE(Q421,U421)</f>
        <v>0.47286458333333325</v>
      </c>
      <c r="AA421" s="23">
        <f>AVERAGE(R421:T421,V421:X421)</f>
        <v>0.47468055555555555</v>
      </c>
      <c r="AB421" s="23">
        <f t="shared" si="6"/>
        <v>0.47435037878787872</v>
      </c>
    </row>
    <row r="422" spans="1:28">
      <c r="A422" s="9">
        <v>44129</v>
      </c>
      <c r="B422" s="3">
        <v>411.41782807547139</v>
      </c>
      <c r="C422" s="3">
        <v>617.61398097028496</v>
      </c>
      <c r="D422" s="3">
        <v>498.81905268801052</v>
      </c>
      <c r="E422" s="3">
        <v>230.11727790840649</v>
      </c>
      <c r="F422" s="3">
        <v>484.1487274091981</v>
      </c>
      <c r="G422" s="19">
        <v>44129</v>
      </c>
      <c r="H422" s="20">
        <v>196.72916666666666</v>
      </c>
      <c r="I422" s="20">
        <v>65.916666666666671</v>
      </c>
      <c r="J422" s="20">
        <v>16.854166666666664</v>
      </c>
      <c r="K422" s="20">
        <v>0</v>
      </c>
      <c r="L422" s="20">
        <v>228.41666666666666</v>
      </c>
      <c r="M422" s="20">
        <v>6.125</v>
      </c>
      <c r="N422" s="20">
        <v>0.1875</v>
      </c>
      <c r="O422" s="20">
        <v>10.110416666666667</v>
      </c>
      <c r="P422" s="10">
        <v>0.73997325659041036</v>
      </c>
      <c r="Q422" s="21">
        <v>0.36875000000000019</v>
      </c>
      <c r="R422" s="21">
        <v>0.48281250000000009</v>
      </c>
      <c r="S422" s="21">
        <v>0.53291666666666626</v>
      </c>
      <c r="T422" s="21">
        <v>0.55816666666666637</v>
      </c>
      <c r="U422" s="21">
        <v>0.55025000000000013</v>
      </c>
      <c r="V422" s="21">
        <v>0.43472916666666667</v>
      </c>
      <c r="W422" s="21">
        <v>0.42406250000000023</v>
      </c>
      <c r="X422" s="21">
        <v>0.37254166666666655</v>
      </c>
      <c r="Y422" s="21">
        <v>0.19673333333333334</v>
      </c>
      <c r="Z422" s="23">
        <f>AVERAGE(Q422,U422)</f>
        <v>0.45950000000000013</v>
      </c>
      <c r="AA422" s="23">
        <f>AVERAGE(R422:T422,V422:X422)</f>
        <v>0.46753819444444433</v>
      </c>
      <c r="AB422" s="23">
        <f t="shared" si="6"/>
        <v>0.46607670454545452</v>
      </c>
    </row>
    <row r="423" spans="1:28">
      <c r="A423" s="9">
        <v>44130</v>
      </c>
      <c r="B423" s="3">
        <v>108.87167563500613</v>
      </c>
      <c r="C423" s="3">
        <v>256.66108296540676</v>
      </c>
      <c r="D423" s="3">
        <v>118.80923739521616</v>
      </c>
      <c r="E423" s="3">
        <v>3.585425078236113</v>
      </c>
      <c r="F423" s="3">
        <v>203.33863922654803</v>
      </c>
      <c r="G423" s="19">
        <v>44130</v>
      </c>
      <c r="H423" s="20">
        <v>64.895833333333329</v>
      </c>
      <c r="I423" s="20">
        <v>79.135416666666671</v>
      </c>
      <c r="J423" s="20">
        <v>15.277083333333332</v>
      </c>
      <c r="K423" s="20">
        <v>0</v>
      </c>
      <c r="L423" s="20">
        <v>214.60416666666666</v>
      </c>
      <c r="M423" s="20">
        <v>3.1666666666666665</v>
      </c>
      <c r="N423" s="20">
        <v>0</v>
      </c>
      <c r="O423" s="20">
        <v>11.660416666666663</v>
      </c>
      <c r="P423" s="10">
        <v>0.36815612260431924</v>
      </c>
      <c r="Q423" s="21">
        <v>0.35329166666666673</v>
      </c>
      <c r="R423" s="21">
        <v>0.47493749999999996</v>
      </c>
      <c r="S423" s="21">
        <v>0.52670833333333289</v>
      </c>
      <c r="T423" s="21">
        <v>0.55279166666666646</v>
      </c>
      <c r="U423" s="21">
        <v>0.54164583333333338</v>
      </c>
      <c r="V423" s="21">
        <v>0.42833333333333301</v>
      </c>
      <c r="W423" s="21">
        <v>0.41912499999999991</v>
      </c>
      <c r="X423" s="21">
        <v>0.3675000000000001</v>
      </c>
      <c r="Y423" s="39" t="e">
        <f>#REF!*0.5711-0.0033</f>
        <v>#REF!</v>
      </c>
      <c r="Z423" s="23">
        <f>AVERAGE(Q423,U423)</f>
        <v>0.44746875000000008</v>
      </c>
      <c r="AA423" s="23">
        <f>AVERAGE(R423:T423,V423:X423)</f>
        <v>0.46156597222222207</v>
      </c>
      <c r="AB423" s="23">
        <f t="shared" si="6"/>
        <v>0.45900284090909077</v>
      </c>
    </row>
    <row r="424" spans="1:28">
      <c r="A424" s="9">
        <v>44131</v>
      </c>
      <c r="B424" s="3">
        <v>117.34704990211344</v>
      </c>
      <c r="C424" s="3">
        <v>245.52805673209497</v>
      </c>
      <c r="D424" s="3">
        <v>131.15035300601684</v>
      </c>
      <c r="E424" s="3">
        <v>21.886865278820753</v>
      </c>
      <c r="F424" s="3">
        <v>177.06069102878169</v>
      </c>
      <c r="G424" s="19">
        <v>44131</v>
      </c>
      <c r="H424" s="20">
        <v>66.104166666666671</v>
      </c>
      <c r="I424" s="20">
        <v>85.654166666666654</v>
      </c>
      <c r="J424" s="20">
        <v>15.554166666666667</v>
      </c>
      <c r="K424" s="20">
        <v>0.7</v>
      </c>
      <c r="L424" s="20">
        <v>223.125</v>
      </c>
      <c r="M424" s="20">
        <v>3.5833333333333335</v>
      </c>
      <c r="N424" s="20">
        <v>0.27083333333333331</v>
      </c>
      <c r="O424" s="20">
        <v>13.102083333333335</v>
      </c>
      <c r="P424" s="10">
        <v>0.26779767549450356</v>
      </c>
      <c r="Q424" s="21">
        <v>0.34489583333333335</v>
      </c>
      <c r="R424" s="21">
        <v>0.46795833333333348</v>
      </c>
      <c r="S424" s="21">
        <v>0.52291666666666681</v>
      </c>
      <c r="T424" s="21">
        <v>0.5486458333333335</v>
      </c>
      <c r="U424" s="21">
        <v>0.53375000000000006</v>
      </c>
      <c r="V424" s="21">
        <v>0.42412500000000009</v>
      </c>
      <c r="W424" s="21">
        <v>0.41622916666666648</v>
      </c>
      <c r="X424" s="21">
        <v>0.36464583333333328</v>
      </c>
      <c r="Y424" s="21">
        <v>0.17299999999999999</v>
      </c>
      <c r="Z424" s="23">
        <f>AVERAGE(Q424,U424)</f>
        <v>0.43932291666666667</v>
      </c>
      <c r="AA424" s="23">
        <f>AVERAGE(R424:T424,V424:X424)</f>
        <v>0.45742013888888899</v>
      </c>
      <c r="AB424" s="23">
        <f t="shared" si="6"/>
        <v>0.45412973484848496</v>
      </c>
    </row>
    <row r="425" spans="1:28">
      <c r="A425" s="9">
        <v>44132</v>
      </c>
      <c r="B425" s="3">
        <v>7.40386295046891</v>
      </c>
      <c r="C425" s="3">
        <v>36.865333663685121</v>
      </c>
      <c r="D425" s="3">
        <v>17.77419784921959</v>
      </c>
      <c r="E425" s="3">
        <v>0</v>
      </c>
      <c r="F425" s="3">
        <v>7.3228839033786581</v>
      </c>
      <c r="G425" s="19">
        <v>44132</v>
      </c>
      <c r="H425" s="20">
        <v>36.041666666666664</v>
      </c>
      <c r="I425" s="20">
        <v>93.25208333333336</v>
      </c>
      <c r="J425" s="20">
        <v>12.856249999999998</v>
      </c>
      <c r="K425" s="20">
        <v>3.9000000000000004</v>
      </c>
      <c r="L425" s="20">
        <v>200.83333333333334</v>
      </c>
      <c r="M425" s="20">
        <v>3.1666666666666665</v>
      </c>
      <c r="N425" s="20">
        <v>0</v>
      </c>
      <c r="O425" s="20">
        <v>11.783333333333339</v>
      </c>
      <c r="P425" s="10">
        <v>0.1008143610352117</v>
      </c>
      <c r="Q425" s="21">
        <v>0.34052083333333333</v>
      </c>
      <c r="R425" s="21">
        <v>0.46339583333333301</v>
      </c>
      <c r="S425" s="21">
        <v>0.52147916666666683</v>
      </c>
      <c r="T425" s="21">
        <v>0.5455208333333339</v>
      </c>
      <c r="U425" s="21">
        <v>0.52885416666666674</v>
      </c>
      <c r="V425" s="21">
        <v>0.42302083333333357</v>
      </c>
      <c r="W425" s="21">
        <v>0.41499999999999954</v>
      </c>
      <c r="X425" s="21">
        <v>0.36302083333333296</v>
      </c>
      <c r="Y425" s="39" t="e">
        <f>#REF!*0.5711-0.0033</f>
        <v>#REF!</v>
      </c>
      <c r="Z425" s="23">
        <f>AVERAGE(Q425,U425)</f>
        <v>0.4346875</v>
      </c>
      <c r="AA425" s="23">
        <f>AVERAGE(R425:T425,V425:X425)</f>
        <v>0.45523958333333336</v>
      </c>
      <c r="AB425" s="23">
        <f t="shared" si="6"/>
        <v>0.45150284090909099</v>
      </c>
    </row>
    <row r="426" spans="1:28">
      <c r="A426" s="9">
        <v>44133</v>
      </c>
      <c r="B426" s="3">
        <v>34.212390422599057</v>
      </c>
      <c r="C426" s="3">
        <v>219.56560704930109</v>
      </c>
      <c r="D426" s="3">
        <v>65.167051553063871</v>
      </c>
      <c r="E426" s="3">
        <v>134.1407203789615</v>
      </c>
      <c r="F426" s="3">
        <v>171.48530367463911</v>
      </c>
      <c r="G426" s="19">
        <v>44133</v>
      </c>
      <c r="H426" s="20">
        <v>65.25</v>
      </c>
      <c r="I426" s="20">
        <v>88.954166666666666</v>
      </c>
      <c r="J426" s="20">
        <v>13.033333333333333</v>
      </c>
      <c r="K426" s="20">
        <v>0.8</v>
      </c>
      <c r="L426" s="20">
        <v>220.08333333333334</v>
      </c>
      <c r="M426" s="20">
        <v>2.7083333333333335</v>
      </c>
      <c r="N426" s="20">
        <v>0</v>
      </c>
      <c r="O426" s="20">
        <v>11.200000000000001</v>
      </c>
      <c r="P426" s="10">
        <v>0.17707378382858172</v>
      </c>
      <c r="Q426" s="21">
        <v>0.33618750000000036</v>
      </c>
      <c r="R426" s="21">
        <v>0.4582500000000001</v>
      </c>
      <c r="S426" s="21">
        <v>0.51852083333333321</v>
      </c>
      <c r="T426" s="21">
        <v>0.54206249999999978</v>
      </c>
      <c r="U426" s="21">
        <v>0.52289583333333278</v>
      </c>
      <c r="V426" s="21">
        <v>0.42037500000000011</v>
      </c>
      <c r="W426" s="21">
        <v>0.41379166666666672</v>
      </c>
      <c r="X426" s="21">
        <v>0.36191666666666672</v>
      </c>
      <c r="Y426" s="39" t="e">
        <f>#REF!*0.5711-0.0033</f>
        <v>#REF!</v>
      </c>
      <c r="Z426" s="23">
        <f>AVERAGE(Q426,U426)</f>
        <v>0.4295416666666666</v>
      </c>
      <c r="AA426" s="23">
        <f>AVERAGE(R426:T426,V426:X426)</f>
        <v>0.45248611111111114</v>
      </c>
      <c r="AB426" s="23">
        <f t="shared" si="6"/>
        <v>0.44831439393939393</v>
      </c>
    </row>
    <row r="427" spans="1:28">
      <c r="A427" s="9">
        <v>44134</v>
      </c>
      <c r="B427" s="3">
        <v>47.940490627102847</v>
      </c>
      <c r="C427" s="3">
        <v>204.52777233620628</v>
      </c>
      <c r="D427" s="3">
        <v>117.90633910552074</v>
      </c>
      <c r="E427" s="3">
        <v>214.34489248859049</v>
      </c>
      <c r="F427" s="3">
        <v>183.23655057869661</v>
      </c>
      <c r="G427" s="19">
        <v>44134</v>
      </c>
      <c r="H427" s="20">
        <v>86.5</v>
      </c>
      <c r="I427" s="20">
        <v>89.658333333333346</v>
      </c>
      <c r="J427" s="20">
        <v>15.370833333333335</v>
      </c>
      <c r="K427" s="20">
        <v>0.4</v>
      </c>
      <c r="L427" s="20">
        <v>252.60416666666666</v>
      </c>
      <c r="M427" s="20">
        <v>5.645833333333333</v>
      </c>
      <c r="N427" s="20">
        <v>0.25</v>
      </c>
      <c r="O427" s="20">
        <v>13.633333333333333</v>
      </c>
      <c r="P427" s="10">
        <v>0.19633115178058327</v>
      </c>
      <c r="Q427" s="21">
        <v>0.33427083333333313</v>
      </c>
      <c r="R427" s="21">
        <v>0.45466666666666683</v>
      </c>
      <c r="S427" s="21">
        <v>0.51595833333333341</v>
      </c>
      <c r="T427" s="21">
        <v>0.53820833333333329</v>
      </c>
      <c r="U427" s="21">
        <v>0.52022916666666652</v>
      </c>
      <c r="V427" s="21">
        <v>0.41874999999999973</v>
      </c>
      <c r="W427" s="21">
        <v>0.41177083333333342</v>
      </c>
      <c r="X427" s="21">
        <v>0.35945833333333338</v>
      </c>
      <c r="Y427" s="39" t="e">
        <f>#REF!*0.5711-0.0033</f>
        <v>#REF!</v>
      </c>
      <c r="Z427" s="23">
        <f>AVERAGE(Q427,U427)</f>
        <v>0.4272499999999998</v>
      </c>
      <c r="AA427" s="23">
        <f>AVERAGE(R427:T427,V427:X427)</f>
        <v>0.44980208333333332</v>
      </c>
      <c r="AB427" s="23">
        <f t="shared" si="6"/>
        <v>0.44570170454545449</v>
      </c>
    </row>
    <row r="428" spans="1:28">
      <c r="A428" s="9">
        <v>44135</v>
      </c>
      <c r="B428" s="3">
        <v>1.0865273671140163</v>
      </c>
      <c r="C428" s="3">
        <v>3.558457362599714</v>
      </c>
      <c r="D428" s="3">
        <v>0.28114852004462632</v>
      </c>
      <c r="E428" s="3">
        <v>1.5074383595512071</v>
      </c>
      <c r="F428" s="3">
        <v>2.6493375434945761</v>
      </c>
      <c r="G428" s="19">
        <v>44135</v>
      </c>
      <c r="H428" s="20">
        <v>22.520833333333332</v>
      </c>
      <c r="I428" s="20">
        <v>94.339583333333323</v>
      </c>
      <c r="J428" s="20">
        <v>14.327083333333325</v>
      </c>
      <c r="K428" s="20">
        <v>1.5999999999999999</v>
      </c>
      <c r="L428" s="20">
        <v>241.16666666666666</v>
      </c>
      <c r="M428" s="20">
        <v>4.520833333333333</v>
      </c>
      <c r="N428" s="20">
        <v>0.1875</v>
      </c>
      <c r="O428" s="20">
        <v>13.424999999999997</v>
      </c>
      <c r="P428" s="10">
        <v>9.3783007625374629E-2</v>
      </c>
      <c r="Q428" s="21">
        <v>0.33208333333333362</v>
      </c>
      <c r="R428" s="21">
        <v>0.45212500000000028</v>
      </c>
      <c r="S428" s="21">
        <v>0.51500000000000035</v>
      </c>
      <c r="T428" s="21">
        <v>0.53566666666666662</v>
      </c>
      <c r="U428" s="21">
        <v>0.51885416666666684</v>
      </c>
      <c r="V428" s="21">
        <v>0.41814583333333305</v>
      </c>
      <c r="W428" s="21">
        <v>0.41097916666666667</v>
      </c>
      <c r="X428" s="21">
        <v>0.35802083333333351</v>
      </c>
      <c r="Y428" s="39" t="e">
        <f>#REF!*0.5711-0.0033</f>
        <v>#REF!</v>
      </c>
      <c r="Z428" s="23">
        <f>AVERAGE(Q428,U428)</f>
        <v>0.42546875000000023</v>
      </c>
      <c r="AA428" s="23">
        <f>AVERAGE(R428:T428,V428:X428)</f>
        <v>0.44832291666666685</v>
      </c>
      <c r="AB428" s="23">
        <f t="shared" si="6"/>
        <v>0.44416761363636381</v>
      </c>
    </row>
    <row r="429" spans="1:28">
      <c r="A429" s="9">
        <v>44136</v>
      </c>
      <c r="B429" s="3">
        <v>11.672810599200291</v>
      </c>
      <c r="C429" s="2">
        <v>26.664172284515054</v>
      </c>
      <c r="D429" s="3">
        <v>0.21625350303454202</v>
      </c>
      <c r="E429" s="3">
        <v>26.034145952465391</v>
      </c>
      <c r="F429" s="3">
        <v>29.8295111942654</v>
      </c>
      <c r="G429" s="19">
        <v>44136</v>
      </c>
      <c r="H429" s="20">
        <v>29.854166666666668</v>
      </c>
      <c r="I429" s="20">
        <v>94.410416666666663</v>
      </c>
      <c r="J429" s="20">
        <v>11.510416666666666</v>
      </c>
      <c r="K429" s="20">
        <v>3.5000000000000009</v>
      </c>
      <c r="L429" s="20">
        <v>201.0625</v>
      </c>
      <c r="M429" s="20">
        <v>2.4583333333333335</v>
      </c>
      <c r="N429" s="20">
        <v>0</v>
      </c>
      <c r="O429" s="20">
        <v>10.641666666666664</v>
      </c>
      <c r="P429" s="10">
        <v>7.3736400570686852E-2</v>
      </c>
      <c r="Q429" s="21">
        <v>0.33018750000000019</v>
      </c>
      <c r="R429" s="21">
        <v>0.4499166666666668</v>
      </c>
      <c r="S429" s="21">
        <v>0.51420833333333338</v>
      </c>
      <c r="T429" s="21">
        <v>0.53381250000000036</v>
      </c>
      <c r="U429" s="21">
        <v>0.51479166666666698</v>
      </c>
      <c r="V429" s="21">
        <v>0.418375</v>
      </c>
      <c r="W429" s="21">
        <v>0.4108124999999998</v>
      </c>
      <c r="X429" s="21">
        <v>0.35850000000000021</v>
      </c>
      <c r="Y429" s="39" t="e">
        <f>#REF!*0.5711-0.0033</f>
        <v>#REF!</v>
      </c>
      <c r="Z429" s="23">
        <f>AVERAGE(Q429,U429)</f>
        <v>0.42248958333333358</v>
      </c>
      <c r="AA429" s="23">
        <f>AVERAGE(R429:T429,V429:X429)</f>
        <v>0.44760416666666675</v>
      </c>
      <c r="AB429" s="23">
        <f t="shared" si="6"/>
        <v>0.44303787878787887</v>
      </c>
    </row>
    <row r="430" spans="1:28">
      <c r="A430" s="9">
        <v>44137</v>
      </c>
      <c r="B430" s="3">
        <v>18.51380055462424</v>
      </c>
      <c r="C430" s="2">
        <v>236.70946376275009</v>
      </c>
      <c r="D430" s="3">
        <v>97.398269165395774</v>
      </c>
      <c r="E430" s="3">
        <v>231.11644577499521</v>
      </c>
      <c r="F430" s="3">
        <v>187.97801174559177</v>
      </c>
      <c r="G430" s="19">
        <v>44137</v>
      </c>
      <c r="H430" s="20">
        <v>51.645833333333336</v>
      </c>
      <c r="I430" s="20">
        <v>84.437500000000014</v>
      </c>
      <c r="J430" s="20">
        <v>9.7229166666666682</v>
      </c>
      <c r="K430" s="20">
        <v>1.5999999999999999</v>
      </c>
      <c r="L430" s="20">
        <v>219.89583333333334</v>
      </c>
      <c r="M430" s="20">
        <v>3.3958333333333335</v>
      </c>
      <c r="N430" s="20">
        <v>0</v>
      </c>
      <c r="O430" s="20">
        <v>7.1749999999999998</v>
      </c>
      <c r="P430" s="10">
        <v>0.19589438570469123</v>
      </c>
      <c r="Q430" s="21">
        <v>0.3256874999999998</v>
      </c>
      <c r="R430" s="21">
        <v>0.44560416666666675</v>
      </c>
      <c r="S430" s="21">
        <v>0.51027083333333312</v>
      </c>
      <c r="T430" s="21">
        <v>0.52983333333333349</v>
      </c>
      <c r="U430" s="21">
        <v>0.50785416666666661</v>
      </c>
      <c r="V430" s="21">
        <v>0.41495833333333326</v>
      </c>
      <c r="W430" s="21">
        <v>0.40893750000000012</v>
      </c>
      <c r="X430" s="21">
        <v>0.35704166666666654</v>
      </c>
      <c r="Y430" s="39" t="e">
        <f>#REF!*0.5711-0.0033</f>
        <v>#REF!</v>
      </c>
      <c r="Z430" s="23">
        <f>AVERAGE(Q430,U430)</f>
        <v>0.4167708333333332</v>
      </c>
      <c r="AA430" s="23">
        <f>AVERAGE(R430:T430,V430:X430)</f>
        <v>0.44444097222222217</v>
      </c>
      <c r="AB430" s="23">
        <f t="shared" si="6"/>
        <v>0.43941003787878774</v>
      </c>
    </row>
    <row r="431" spans="1:28">
      <c r="A431" s="9">
        <v>44138</v>
      </c>
      <c r="B431" s="3">
        <v>99.606495417973022</v>
      </c>
      <c r="C431" s="2">
        <v>269.61850104005833</v>
      </c>
      <c r="D431" s="3">
        <v>213.29197372896093</v>
      </c>
      <c r="E431" s="3">
        <v>263.24790181610848</v>
      </c>
      <c r="F431" s="3">
        <v>275.6171648774324</v>
      </c>
      <c r="G431" s="19">
        <v>44138</v>
      </c>
      <c r="H431" s="20">
        <v>81.020833333333329</v>
      </c>
      <c r="I431" s="20">
        <v>80.656250000000014</v>
      </c>
      <c r="J431" s="20">
        <v>9.6062499999999975</v>
      </c>
      <c r="K431" s="20">
        <v>0.4</v>
      </c>
      <c r="L431" s="20">
        <v>237.4375</v>
      </c>
      <c r="M431" s="20">
        <v>4.0625</v>
      </c>
      <c r="N431" s="20">
        <v>2.0833333333333332E-2</v>
      </c>
      <c r="O431" s="20">
        <v>6.3375000000000012</v>
      </c>
      <c r="P431" s="10">
        <v>0.24497329168460505</v>
      </c>
      <c r="Q431" s="21">
        <v>0.32156249999999997</v>
      </c>
      <c r="R431" s="21">
        <v>0.43935416666666693</v>
      </c>
      <c r="S431" s="21">
        <v>0.50518750000000001</v>
      </c>
      <c r="T431" s="21">
        <v>0.52339583333333317</v>
      </c>
      <c r="U431" s="21">
        <v>0.50225000000000031</v>
      </c>
      <c r="V431" s="21">
        <v>0.41083333333333316</v>
      </c>
      <c r="W431" s="21">
        <v>0.40587499999999993</v>
      </c>
      <c r="X431" s="21">
        <v>0.35360416666666666</v>
      </c>
      <c r="Y431" s="39" t="e">
        <f>#REF!*0.5711-0.0033</f>
        <v>#REF!</v>
      </c>
      <c r="Z431" s="23">
        <f>AVERAGE(Q431,U431)</f>
        <v>0.41190625000000014</v>
      </c>
      <c r="AA431" s="23">
        <f>AVERAGE(R431:T431,V431:X431)</f>
        <v>0.43970833333333331</v>
      </c>
      <c r="AB431" s="23">
        <f t="shared" si="6"/>
        <v>0.4346534090909091</v>
      </c>
    </row>
    <row r="432" spans="1:28">
      <c r="A432" s="9">
        <v>44139</v>
      </c>
      <c r="B432" s="3">
        <v>116.72392202656299</v>
      </c>
      <c r="C432" s="2">
        <v>124.59796051503275</v>
      </c>
      <c r="D432" s="3">
        <v>203.8998404861054</v>
      </c>
      <c r="E432" s="3">
        <v>121.65393528122706</v>
      </c>
      <c r="F432" s="3">
        <v>325.6721340624614</v>
      </c>
      <c r="G432" s="19">
        <v>44139</v>
      </c>
      <c r="H432" s="20">
        <v>77.354166666666671</v>
      </c>
      <c r="I432" s="20">
        <v>78.862500000000011</v>
      </c>
      <c r="J432" s="20">
        <v>9.970833333333335</v>
      </c>
      <c r="K432" s="20">
        <v>0</v>
      </c>
      <c r="L432" s="20">
        <v>232.5625</v>
      </c>
      <c r="M432" s="20">
        <v>3.5833333333333335</v>
      </c>
      <c r="N432" s="20">
        <v>8.3333333333333329E-2</v>
      </c>
      <c r="O432" s="20">
        <v>6.3833333333333329</v>
      </c>
      <c r="P432" s="10">
        <v>0.27453754222998328</v>
      </c>
      <c r="Q432" s="21">
        <v>0.31741666666666679</v>
      </c>
      <c r="R432" s="21">
        <v>0.4336666666666662</v>
      </c>
      <c r="S432" s="21">
        <v>0.5000625000000003</v>
      </c>
      <c r="T432" s="21">
        <v>0.51706249999999998</v>
      </c>
      <c r="U432" s="21">
        <v>0.49774999999999991</v>
      </c>
      <c r="V432" s="21">
        <v>0.40716666666666684</v>
      </c>
      <c r="W432" s="21">
        <v>0.40258333333333324</v>
      </c>
      <c r="X432" s="21">
        <v>0.35045833333333309</v>
      </c>
      <c r="Y432" s="21">
        <v>0.21647619047619054</v>
      </c>
      <c r="Z432" s="23">
        <f>AVERAGE(Q432,U432)</f>
        <v>0.40758333333333335</v>
      </c>
      <c r="AA432" s="23">
        <f>AVERAGE(R432:T432,V432:X432)</f>
        <v>0.43516666666666665</v>
      </c>
      <c r="AB432" s="23">
        <f t="shared" si="6"/>
        <v>0.43015151515151512</v>
      </c>
    </row>
    <row r="433" spans="1:28">
      <c r="A433" s="9">
        <v>44140</v>
      </c>
      <c r="B433" s="3">
        <v>2.6119237276486582</v>
      </c>
      <c r="C433" s="2">
        <v>0</v>
      </c>
      <c r="D433" s="3">
        <v>1.9391963886501374E-2</v>
      </c>
      <c r="E433" s="3">
        <v>0</v>
      </c>
      <c r="F433" s="3">
        <v>18.062674327803002</v>
      </c>
      <c r="G433" s="19">
        <v>44140</v>
      </c>
      <c r="H433" s="20">
        <v>28.4375</v>
      </c>
      <c r="I433" s="20">
        <v>94.512499999999989</v>
      </c>
      <c r="J433" s="20">
        <v>10.866666666666667</v>
      </c>
      <c r="K433" s="20">
        <v>1.7999999999999998</v>
      </c>
      <c r="L433" s="20">
        <v>242.91666666666666</v>
      </c>
      <c r="M433" s="20">
        <v>2.0833333333333335</v>
      </c>
      <c r="N433" s="20">
        <v>0</v>
      </c>
      <c r="O433" s="20">
        <v>10.016666666666666</v>
      </c>
      <c r="P433" s="10">
        <v>7.1481170229758542E-2</v>
      </c>
      <c r="Q433" s="21">
        <v>0.31545833333333351</v>
      </c>
      <c r="R433" s="21">
        <v>0.42977083333333299</v>
      </c>
      <c r="S433" s="21">
        <v>0.49702083333333319</v>
      </c>
      <c r="T433" s="21">
        <v>0.51289583333333366</v>
      </c>
      <c r="U433" s="21">
        <v>0.49564583333333273</v>
      </c>
      <c r="V433" s="21">
        <v>0.4054374999999999</v>
      </c>
      <c r="W433" s="21">
        <v>0.40027083333333319</v>
      </c>
      <c r="X433" s="21">
        <v>0.34900000000000014</v>
      </c>
      <c r="Y433" s="21">
        <v>0.21316666666666664</v>
      </c>
      <c r="Z433" s="23">
        <f>AVERAGE(Q433,U433)</f>
        <v>0.40555208333333315</v>
      </c>
      <c r="AA433" s="23">
        <f>AVERAGE(R433:T433,V433:X433)</f>
        <v>0.4323993055555555</v>
      </c>
      <c r="AB433" s="23">
        <f t="shared" si="6"/>
        <v>0.42751799242424238</v>
      </c>
    </row>
    <row r="434" spans="1:28">
      <c r="A434" s="9">
        <v>44141</v>
      </c>
      <c r="B434" s="3">
        <v>70.961114557808983</v>
      </c>
      <c r="C434" s="2">
        <v>161.95462114958463</v>
      </c>
      <c r="D434" s="3">
        <v>132.16725575506942</v>
      </c>
      <c r="E434" s="3">
        <v>158.12792535597015</v>
      </c>
      <c r="F434" s="3">
        <v>159.98681945649622</v>
      </c>
      <c r="G434" s="19">
        <v>44141</v>
      </c>
      <c r="H434" s="20">
        <v>86.375</v>
      </c>
      <c r="I434" s="20">
        <v>86.035416666666663</v>
      </c>
      <c r="J434" s="20">
        <v>11.806250000000006</v>
      </c>
      <c r="K434" s="20">
        <v>1.3</v>
      </c>
      <c r="L434" s="20">
        <v>195.375</v>
      </c>
      <c r="M434" s="20">
        <v>3.25</v>
      </c>
      <c r="N434" s="20">
        <v>0</v>
      </c>
      <c r="O434" s="20">
        <v>9.4416666666666682</v>
      </c>
      <c r="P434" s="10">
        <v>0.21336008449048158</v>
      </c>
      <c r="Q434" s="21">
        <v>0.31652083333333353</v>
      </c>
      <c r="R434" s="21">
        <v>0.42906249999999974</v>
      </c>
      <c r="S434" s="21">
        <v>0.4959583333333335</v>
      </c>
      <c r="T434" s="21">
        <v>0.51050000000000006</v>
      </c>
      <c r="U434" s="21">
        <v>0.49560416666666612</v>
      </c>
      <c r="V434" s="21">
        <v>0.40587500000000015</v>
      </c>
      <c r="W434" s="21">
        <v>0.39956250000000049</v>
      </c>
      <c r="X434" s="21">
        <v>0.34793750000000007</v>
      </c>
      <c r="Y434" s="21">
        <v>0.23506250000000001</v>
      </c>
      <c r="Z434" s="23">
        <f>AVERAGE(Q434,U434)</f>
        <v>0.40606249999999983</v>
      </c>
      <c r="AA434" s="23">
        <f>AVERAGE(R434:T434,V434:X434)</f>
        <v>0.43148263888888905</v>
      </c>
      <c r="AB434" s="23">
        <f t="shared" si="6"/>
        <v>0.42686079545454558</v>
      </c>
    </row>
    <row r="435" spans="1:28">
      <c r="A435" s="9">
        <v>44142</v>
      </c>
      <c r="B435" s="3">
        <v>310.08199110031342</v>
      </c>
      <c r="C435" s="2">
        <v>151.78667985689015</v>
      </c>
      <c r="D435" s="3">
        <v>489.63417395207637</v>
      </c>
      <c r="E435" s="3">
        <v>148.20023418950416</v>
      </c>
      <c r="F435" s="3">
        <v>344.04514650828776</v>
      </c>
      <c r="G435" s="19">
        <v>44142</v>
      </c>
      <c r="H435" s="20">
        <v>180.8125</v>
      </c>
      <c r="I435" s="20">
        <v>74.687499999999986</v>
      </c>
      <c r="J435" s="20">
        <v>13.599999999999996</v>
      </c>
      <c r="K435" s="20">
        <v>0</v>
      </c>
      <c r="L435" s="20">
        <v>244.16666666666666</v>
      </c>
      <c r="M435" s="20">
        <v>3.2083333333333335</v>
      </c>
      <c r="N435" s="20">
        <v>4.1666666666666664E-2</v>
      </c>
      <c r="O435" s="20">
        <v>8.78541666666667</v>
      </c>
      <c r="P435" s="10">
        <v>0.49526584147024072</v>
      </c>
      <c r="Q435" s="21">
        <v>0.31393750000000015</v>
      </c>
      <c r="R435" s="21">
        <v>0.42687499999999984</v>
      </c>
      <c r="S435" s="21">
        <v>0.49285416666666654</v>
      </c>
      <c r="T435" s="21">
        <v>0.50652083333333364</v>
      </c>
      <c r="U435" s="21">
        <v>0.49464583333333301</v>
      </c>
      <c r="V435" s="21">
        <v>0.4028958333333334</v>
      </c>
      <c r="W435" s="21">
        <v>0.39650000000000002</v>
      </c>
      <c r="X435" s="21">
        <v>0.34458333333333341</v>
      </c>
      <c r="Y435" s="21">
        <v>0.218</v>
      </c>
      <c r="Z435" s="23">
        <f>AVERAGE(Q435,U435)</f>
        <v>0.4042916666666666</v>
      </c>
      <c r="AA435" s="23">
        <f>AVERAGE(R435:T435,V435:X435)</f>
        <v>0.42837152777777782</v>
      </c>
      <c r="AB435" s="23">
        <f t="shared" si="6"/>
        <v>0.42399337121212122</v>
      </c>
    </row>
    <row r="436" spans="1:28">
      <c r="A436" s="9">
        <v>44143</v>
      </c>
      <c r="B436" s="3">
        <v>249.02601583399107</v>
      </c>
      <c r="C436" s="2">
        <v>64.714850896510455</v>
      </c>
      <c r="D436" s="3">
        <v>403.08827547755845</v>
      </c>
      <c r="E436" s="3">
        <v>63.185755610730766</v>
      </c>
      <c r="F436" s="3">
        <v>338.50078856313206</v>
      </c>
      <c r="G436" s="19">
        <v>44143</v>
      </c>
      <c r="H436" s="20">
        <v>130.4375</v>
      </c>
      <c r="I436" s="20">
        <v>74.847916666666649</v>
      </c>
      <c r="J436" s="20">
        <v>13.335416666666674</v>
      </c>
      <c r="K436" s="20">
        <v>0</v>
      </c>
      <c r="L436" s="20">
        <v>179.66666666666666</v>
      </c>
      <c r="M436" s="20">
        <v>2.0833333333333335</v>
      </c>
      <c r="N436" s="20">
        <v>2.0833333333333332E-2</v>
      </c>
      <c r="O436" s="20">
        <v>8.7395833333333339</v>
      </c>
      <c r="P436" s="10">
        <v>0.43988951388174308</v>
      </c>
      <c r="Q436" s="21">
        <v>0.30877083333333327</v>
      </c>
      <c r="R436" s="21">
        <v>0.42270833333333319</v>
      </c>
      <c r="S436" s="21">
        <v>0.48760416666666656</v>
      </c>
      <c r="T436" s="21">
        <v>0.50262500000000021</v>
      </c>
      <c r="U436" s="21">
        <v>0.4921458333333335</v>
      </c>
      <c r="V436" s="21">
        <v>0.3978750000000002</v>
      </c>
      <c r="W436" s="21">
        <v>0.39177083333333335</v>
      </c>
      <c r="X436" s="21">
        <v>0.34081249999999996</v>
      </c>
      <c r="Y436" s="39" t="e">
        <f>#REF!*0.5711-0.0033</f>
        <v>#REF!</v>
      </c>
      <c r="Z436" s="23">
        <f>AVERAGE(Q436,U436)</f>
        <v>0.40045833333333336</v>
      </c>
      <c r="AA436" s="23">
        <f>AVERAGE(R436:T436,V436:X436)</f>
        <v>0.42389930555555555</v>
      </c>
      <c r="AB436" s="23">
        <f t="shared" si="6"/>
        <v>0.41963731060606058</v>
      </c>
    </row>
    <row r="437" spans="1:28">
      <c r="A437" s="9">
        <v>44144</v>
      </c>
      <c r="B437" s="3">
        <v>384.36989485661445</v>
      </c>
      <c r="C437" s="2">
        <v>108.6759297314709</v>
      </c>
      <c r="D437" s="3">
        <v>725.16423016109479</v>
      </c>
      <c r="E437" s="3">
        <v>106.10811338749356</v>
      </c>
      <c r="F437" s="3">
        <v>653.47698805944412</v>
      </c>
      <c r="G437" s="19">
        <v>44144</v>
      </c>
      <c r="H437" s="20">
        <v>175.35416666666666</v>
      </c>
      <c r="I437" s="20">
        <v>53.45000000000001</v>
      </c>
      <c r="J437" s="20">
        <v>14.639583333333333</v>
      </c>
      <c r="K437" s="20">
        <v>0</v>
      </c>
      <c r="L437" s="20">
        <v>213.39583333333334</v>
      </c>
      <c r="M437" s="20">
        <v>3.3333333333333335</v>
      </c>
      <c r="N437" s="20">
        <v>6.25E-2</v>
      </c>
      <c r="O437" s="20">
        <v>4.3249999999999993</v>
      </c>
      <c r="P437" s="10">
        <v>0.88269616599950673</v>
      </c>
      <c r="Q437" s="21">
        <v>0.30181250000000009</v>
      </c>
      <c r="R437" s="21">
        <v>0.41645833333333315</v>
      </c>
      <c r="S437" s="21">
        <v>0.47987500000000027</v>
      </c>
      <c r="T437" s="21">
        <v>0.49781250000000005</v>
      </c>
      <c r="U437" s="21">
        <v>0.48662500000000003</v>
      </c>
      <c r="V437" s="21">
        <v>0.39006250000000015</v>
      </c>
      <c r="W437" s="21">
        <v>0.38508333333333317</v>
      </c>
      <c r="X437" s="21">
        <v>0.33600000000000013</v>
      </c>
      <c r="Y437" s="39" t="e">
        <f>#REF!*0.5711-0.0033</f>
        <v>#REF!</v>
      </c>
      <c r="Z437" s="23">
        <f>AVERAGE(Q437,U437)</f>
        <v>0.39421875000000006</v>
      </c>
      <c r="AA437" s="23">
        <f>AVERAGE(R437:T437,V437:X437)</f>
        <v>0.41754861111111113</v>
      </c>
      <c r="AB437" s="23">
        <f t="shared" si="6"/>
        <v>0.41330681818181814</v>
      </c>
    </row>
    <row r="438" spans="1:28">
      <c r="A438" s="9">
        <v>44145</v>
      </c>
      <c r="B438" s="3">
        <v>411.70218348460071</v>
      </c>
      <c r="C438" s="2">
        <v>156.52620522062463</v>
      </c>
      <c r="D438" s="3">
        <v>517.17441763323961</v>
      </c>
      <c r="E438" s="3">
        <v>152.82777311133043</v>
      </c>
      <c r="F438" s="3">
        <v>649.19170167990762</v>
      </c>
      <c r="G438" s="19">
        <v>44145</v>
      </c>
      <c r="H438" s="20">
        <v>188.83333333333334</v>
      </c>
      <c r="I438" s="20">
        <v>52.512499999999996</v>
      </c>
      <c r="J438" s="20">
        <v>14.235416666666666</v>
      </c>
      <c r="K438" s="20">
        <v>0</v>
      </c>
      <c r="L438" s="20">
        <v>196.9375</v>
      </c>
      <c r="M438" s="20">
        <v>3.0833333333333335</v>
      </c>
      <c r="N438" s="20">
        <v>0.125</v>
      </c>
      <c r="O438" s="20">
        <v>3.8000000000000003</v>
      </c>
      <c r="P438" s="10">
        <v>0.92180404086401158</v>
      </c>
      <c r="Q438" s="21">
        <v>0.29224999999999984</v>
      </c>
      <c r="R438" s="21">
        <v>0.40633333333333338</v>
      </c>
      <c r="S438" s="21">
        <v>0.4685208333333335</v>
      </c>
      <c r="T438" s="21">
        <v>0.49091666666666667</v>
      </c>
      <c r="U438" s="21">
        <v>0.47760416666666655</v>
      </c>
      <c r="V438" s="21">
        <v>0.37916666666666649</v>
      </c>
      <c r="W438" s="21">
        <v>0.37583333333333319</v>
      </c>
      <c r="X438" s="21">
        <v>0.32958333333333345</v>
      </c>
      <c r="Y438" s="21">
        <v>0.1613333333333333</v>
      </c>
      <c r="Z438" s="23">
        <f>AVERAGE(Q438,U438)</f>
        <v>0.3849270833333332</v>
      </c>
      <c r="AA438" s="23">
        <f>AVERAGE(R438:T438,V438:X438)</f>
        <v>0.4083923611111111</v>
      </c>
      <c r="AB438" s="23">
        <f t="shared" si="6"/>
        <v>0.40412594696969695</v>
      </c>
    </row>
    <row r="439" spans="1:28">
      <c r="A439" s="9">
        <v>44146</v>
      </c>
      <c r="B439" s="3">
        <v>417.9355292813745</v>
      </c>
      <c r="C439" s="2">
        <v>214.42438565458366</v>
      </c>
      <c r="D439" s="3">
        <v>345.21803616429804</v>
      </c>
      <c r="E439" s="3">
        <v>209.35792389629336</v>
      </c>
      <c r="F439" s="3">
        <v>643.10405776135519</v>
      </c>
      <c r="G439" s="19">
        <v>44146</v>
      </c>
      <c r="H439" s="20">
        <v>188.16666666666666</v>
      </c>
      <c r="I439" s="20">
        <v>54.120833333333316</v>
      </c>
      <c r="J439" s="20">
        <v>14.010416666666666</v>
      </c>
      <c r="K439" s="20">
        <v>0</v>
      </c>
      <c r="L439" s="20">
        <v>209.125</v>
      </c>
      <c r="M439" s="20">
        <v>2.3958333333333335</v>
      </c>
      <c r="N439" s="20">
        <v>0</v>
      </c>
      <c r="O439" s="20">
        <v>4.2250000000000014</v>
      </c>
      <c r="P439" s="10">
        <v>0.87638695739803463</v>
      </c>
      <c r="Q439" s="21">
        <v>0.28337500000000004</v>
      </c>
      <c r="R439" s="21">
        <v>0.39602083333333332</v>
      </c>
      <c r="S439" s="21">
        <v>0.45893749999999955</v>
      </c>
      <c r="T439" s="21">
        <v>0.48331250000000009</v>
      </c>
      <c r="U439" s="21">
        <v>0.46897916666666667</v>
      </c>
      <c r="V439" s="21">
        <v>0.3688958333333332</v>
      </c>
      <c r="W439" s="21">
        <v>0.36783333333333346</v>
      </c>
      <c r="X439" s="21">
        <v>0.32352083333333326</v>
      </c>
      <c r="Y439" s="21">
        <v>0.1529166666666667</v>
      </c>
      <c r="Z439" s="23">
        <f>AVERAGE(Q439,U439)</f>
        <v>0.37617708333333333</v>
      </c>
      <c r="AA439" s="23">
        <f>AVERAGE(R439:T439,V439:X439)</f>
        <v>0.39975347222222207</v>
      </c>
      <c r="AB439" s="23">
        <f t="shared" si="6"/>
        <v>0.39546685606060594</v>
      </c>
    </row>
    <row r="440" spans="1:28">
      <c r="A440" s="9">
        <v>44147</v>
      </c>
      <c r="B440" s="3">
        <v>389.25703356986105</v>
      </c>
      <c r="C440" s="2">
        <v>234.98445807690712</v>
      </c>
      <c r="D440" s="3">
        <v>333.14901872657629</v>
      </c>
      <c r="E440" s="3">
        <v>229.43219886438891</v>
      </c>
      <c r="F440" s="3">
        <v>580.19279061127952</v>
      </c>
      <c r="G440" s="19">
        <v>44147</v>
      </c>
      <c r="H440" s="20">
        <v>173.72916666666666</v>
      </c>
      <c r="I440" s="20">
        <v>59.677083333333336</v>
      </c>
      <c r="J440" s="20">
        <v>14.272916666666665</v>
      </c>
      <c r="K440" s="20">
        <v>0</v>
      </c>
      <c r="L440" s="20">
        <v>204.9375</v>
      </c>
      <c r="M440" s="20">
        <v>1.1041666666666667</v>
      </c>
      <c r="N440" s="20">
        <v>0</v>
      </c>
      <c r="O440" s="20">
        <v>5.9375</v>
      </c>
      <c r="P440" s="10">
        <v>0.79878502173037358</v>
      </c>
      <c r="Q440" s="21">
        <v>0.27672916666666669</v>
      </c>
      <c r="R440" s="21">
        <v>0.38714583333333347</v>
      </c>
      <c r="S440" s="21">
        <v>0.45145833333333335</v>
      </c>
      <c r="T440" s="21">
        <v>0.47633333333333305</v>
      </c>
      <c r="U440" s="21">
        <v>0.46133333333333332</v>
      </c>
      <c r="V440" s="21">
        <v>0.36068750000000005</v>
      </c>
      <c r="W440" s="21">
        <v>0.36181249999999993</v>
      </c>
      <c r="X440" s="21">
        <v>0.31837500000000024</v>
      </c>
      <c r="Y440" s="21">
        <v>0.14368749999999997</v>
      </c>
      <c r="Z440" s="23">
        <f>AVERAGE(Q440,U440)</f>
        <v>0.36903125000000003</v>
      </c>
      <c r="AA440" s="23">
        <f>AVERAGE(R440:T440,V440:X440)</f>
        <v>0.39263541666666663</v>
      </c>
      <c r="AB440" s="23">
        <f t="shared" si="6"/>
        <v>0.38834374999999999</v>
      </c>
    </row>
    <row r="441" spans="1:28">
      <c r="A441" s="9">
        <v>44148</v>
      </c>
      <c r="B441" s="3">
        <v>379.80012991759179</v>
      </c>
      <c r="C441" s="2">
        <v>251.44653414205521</v>
      </c>
      <c r="D441" s="3">
        <v>362.84802254419202</v>
      </c>
      <c r="E441" s="3">
        <v>245.50530574307285</v>
      </c>
      <c r="F441" s="3">
        <v>590.11655537828949</v>
      </c>
      <c r="G441" s="19">
        <v>44148</v>
      </c>
      <c r="H441" s="20">
        <v>174.83333333333334</v>
      </c>
      <c r="I441" s="20">
        <v>57.379166666666691</v>
      </c>
      <c r="J441" s="20">
        <v>14.974999999999996</v>
      </c>
      <c r="K441" s="20">
        <v>0</v>
      </c>
      <c r="L441" s="20">
        <v>214.52083333333334</v>
      </c>
      <c r="M441" s="20">
        <v>2.5416666666666665</v>
      </c>
      <c r="N441" s="20">
        <v>8.3333333333333329E-2</v>
      </c>
      <c r="O441" s="20">
        <v>5.9437499999999988</v>
      </c>
      <c r="P441" s="10">
        <v>0.86757433512385307</v>
      </c>
      <c r="Q441" s="21">
        <v>0.27127083333333324</v>
      </c>
      <c r="R441" s="21">
        <v>0.3792916666666668</v>
      </c>
      <c r="S441" s="21">
        <v>0.44477083333333328</v>
      </c>
      <c r="T441" s="21">
        <v>0.46968749999999987</v>
      </c>
      <c r="U441" s="21">
        <v>0.4548541666666665</v>
      </c>
      <c r="V441" s="21">
        <v>0.3538124999999997</v>
      </c>
      <c r="W441" s="21">
        <v>0.35627083333333309</v>
      </c>
      <c r="X441" s="21">
        <v>0.31360416666666674</v>
      </c>
      <c r="Y441" s="21">
        <v>0.13760714285714279</v>
      </c>
      <c r="Z441" s="23">
        <f>AVERAGE(Q441,U441)</f>
        <v>0.36306249999999984</v>
      </c>
      <c r="AA441" s="23">
        <f>AVERAGE(R441:T441,V441:X441)</f>
        <v>0.38623958333333325</v>
      </c>
      <c r="AB441" s="23">
        <f t="shared" si="6"/>
        <v>0.38202556818181804</v>
      </c>
    </row>
    <row r="442" spans="1:28">
      <c r="A442" s="9">
        <v>44149</v>
      </c>
      <c r="B442" s="3">
        <v>386.0731077623887</v>
      </c>
      <c r="C442" s="2">
        <v>255.20393733610723</v>
      </c>
      <c r="D442" s="3">
        <v>377.51987358068959</v>
      </c>
      <c r="E442" s="3">
        <v>249.1739282719266</v>
      </c>
      <c r="F442" s="3">
        <v>548.73710926943363</v>
      </c>
      <c r="G442" s="19">
        <v>44149</v>
      </c>
      <c r="H442" s="20">
        <v>180.33333333333334</v>
      </c>
      <c r="I442" s="20">
        <v>55.758333333333326</v>
      </c>
      <c r="J442" s="20">
        <v>14.16666666666667</v>
      </c>
      <c r="K442" s="20">
        <v>0</v>
      </c>
      <c r="L442" s="20">
        <v>204.54166666666666</v>
      </c>
      <c r="M442" s="20">
        <v>3.4166666666666665</v>
      </c>
      <c r="N442" s="20">
        <v>2.0833333333333332E-2</v>
      </c>
      <c r="O442" s="20">
        <v>5.0145833333333343</v>
      </c>
      <c r="P442" s="10">
        <v>0.82272313491469917</v>
      </c>
      <c r="Q442" s="21">
        <v>0.26616666666666672</v>
      </c>
      <c r="R442" s="21">
        <v>0.37116666666666648</v>
      </c>
      <c r="S442" s="21">
        <v>0.43835416666666638</v>
      </c>
      <c r="T442" s="21">
        <v>0.46327083333333335</v>
      </c>
      <c r="U442" s="21">
        <v>0.44791666666666657</v>
      </c>
      <c r="V442" s="21">
        <v>0.34770833333333334</v>
      </c>
      <c r="W442" s="21">
        <v>0.35129166666666656</v>
      </c>
      <c r="X442" s="21">
        <v>0.30922916666666661</v>
      </c>
      <c r="Y442" s="21">
        <v>0.13144444444444447</v>
      </c>
      <c r="Z442" s="23">
        <f>AVERAGE(Q442,U442)</f>
        <v>0.35704166666666665</v>
      </c>
      <c r="AA442" s="23">
        <f>AVERAGE(R442:T442,V442:X442)</f>
        <v>0.38017013888888873</v>
      </c>
      <c r="AB442" s="23">
        <f t="shared" si="6"/>
        <v>0.375964962121212</v>
      </c>
    </row>
    <row r="443" spans="1:28">
      <c r="A443" s="9">
        <v>44150</v>
      </c>
      <c r="B443" s="3">
        <v>422.8916254686323</v>
      </c>
      <c r="C443" s="2">
        <v>297.08678902966398</v>
      </c>
      <c r="D443" s="3">
        <v>428.97627865407145</v>
      </c>
      <c r="E443" s="3">
        <v>290.06716366887713</v>
      </c>
      <c r="F443" s="3">
        <v>514.95194230452057</v>
      </c>
      <c r="G443" s="19">
        <v>44150</v>
      </c>
      <c r="H443" s="20">
        <v>179.0625</v>
      </c>
      <c r="I443" s="20">
        <v>66.466666666666683</v>
      </c>
      <c r="J443" s="20">
        <v>14.339583333333332</v>
      </c>
      <c r="K443" s="20">
        <v>0</v>
      </c>
      <c r="L443" s="20">
        <v>229.9375</v>
      </c>
      <c r="M443" s="20">
        <v>5.875</v>
      </c>
      <c r="N443" s="20">
        <v>0.58333333333333337</v>
      </c>
      <c r="O443" s="20">
        <v>7.5583333333333336</v>
      </c>
      <c r="P443" s="10">
        <v>0.6816385243377111</v>
      </c>
      <c r="Q443" s="21">
        <v>0.26225000000000009</v>
      </c>
      <c r="R443" s="21">
        <v>0.36399999999999993</v>
      </c>
      <c r="S443" s="21">
        <v>0.43264583333333323</v>
      </c>
      <c r="T443" s="21">
        <v>0.45729166666666615</v>
      </c>
      <c r="U443" s="21">
        <v>0.442</v>
      </c>
      <c r="V443" s="21">
        <v>0.34314583333333332</v>
      </c>
      <c r="W443" s="21">
        <v>0.34766666666666679</v>
      </c>
      <c r="X443" s="21">
        <v>0.30554166666666677</v>
      </c>
      <c r="Y443" s="21">
        <v>0.12699999999999995</v>
      </c>
      <c r="Z443" s="23">
        <f>AVERAGE(Q443,U443)</f>
        <v>0.35212500000000002</v>
      </c>
      <c r="AA443" s="23">
        <f>AVERAGE(R443:T443,V443:X443)</f>
        <v>0.37504861111111104</v>
      </c>
      <c r="AB443" s="23">
        <f t="shared" si="6"/>
        <v>0.37088068181818185</v>
      </c>
    </row>
    <row r="444" spans="1:28">
      <c r="A444" s="9">
        <v>44151</v>
      </c>
      <c r="B444" s="3"/>
      <c r="C444" s="3"/>
      <c r="D444" s="3"/>
      <c r="E444" s="3"/>
      <c r="F444" s="3"/>
      <c r="G444" s="19">
        <v>44151</v>
      </c>
      <c r="H444" s="20">
        <v>139.35416666666666</v>
      </c>
      <c r="I444" s="20">
        <v>81.239583333333314</v>
      </c>
      <c r="J444" s="20">
        <v>16.431250000000002</v>
      </c>
      <c r="K444" s="20">
        <v>0</v>
      </c>
      <c r="L444" s="20">
        <v>199.54166666666666</v>
      </c>
      <c r="M444" s="20">
        <v>12</v>
      </c>
      <c r="N444" s="20">
        <v>2.2083333333333335</v>
      </c>
      <c r="O444" s="20">
        <v>13.00416666666667</v>
      </c>
      <c r="P444" s="10">
        <v>0.41735204329428055</v>
      </c>
      <c r="Q444" s="21">
        <v>0.26106250000000003</v>
      </c>
      <c r="R444" s="21">
        <v>0.35970833333333346</v>
      </c>
      <c r="S444" s="21">
        <v>0.42999999999999988</v>
      </c>
      <c r="T444" s="21">
        <v>0.45258333333333334</v>
      </c>
      <c r="U444" s="21">
        <v>0.44006250000000002</v>
      </c>
      <c r="V444" s="21">
        <v>0.34114583333333309</v>
      </c>
      <c r="W444" s="21">
        <v>0.34537500000000004</v>
      </c>
      <c r="X444" s="21">
        <v>0.30281249999999993</v>
      </c>
      <c r="Y444" s="21">
        <v>0.125</v>
      </c>
      <c r="Z444" s="23">
        <f>AVERAGE(Q444,U444)</f>
        <v>0.3505625</v>
      </c>
      <c r="AA444" s="23">
        <f>AVERAGE(R444:T444,V444:X444)</f>
        <v>0.37193749999999987</v>
      </c>
      <c r="AB444" s="23">
        <f t="shared" si="6"/>
        <v>0.36805113636363623</v>
      </c>
    </row>
    <row r="445" spans="1:28">
      <c r="A445" s="9">
        <v>44152</v>
      </c>
      <c r="B445" s="3"/>
      <c r="C445" s="3"/>
      <c r="D445" s="3"/>
      <c r="E445" s="3"/>
      <c r="F445" s="3"/>
      <c r="G445" s="19">
        <v>44152</v>
      </c>
      <c r="H445" s="20">
        <v>151.14583333333334</v>
      </c>
      <c r="I445" s="20">
        <v>80.02291666666666</v>
      </c>
      <c r="J445" s="20">
        <v>18.65208333333333</v>
      </c>
      <c r="K445" s="20">
        <v>0</v>
      </c>
      <c r="L445" s="20">
        <v>228.5625</v>
      </c>
      <c r="M445" s="20">
        <v>22.020833333333332</v>
      </c>
      <c r="N445" s="20">
        <v>4.5625</v>
      </c>
      <c r="O445" s="20">
        <v>14.966666666666663</v>
      </c>
      <c r="P445" s="10">
        <v>0.47676088726843452</v>
      </c>
      <c r="Q445" s="21">
        <v>0.26072916666666662</v>
      </c>
      <c r="R445" s="21">
        <v>0.35760416666666645</v>
      </c>
      <c r="S445" s="21">
        <v>0.43010416666666668</v>
      </c>
      <c r="T445" s="21">
        <v>0.45010416666666697</v>
      </c>
      <c r="U445" s="21">
        <v>0.44029166666666675</v>
      </c>
      <c r="V445" s="21">
        <v>0.34054166666666669</v>
      </c>
      <c r="W445" s="21">
        <v>0.34445833333333314</v>
      </c>
      <c r="X445" s="21">
        <v>0.30075000000000024</v>
      </c>
      <c r="Y445" s="21">
        <v>0.12483333333333335</v>
      </c>
      <c r="Z445" s="23">
        <f>AVERAGE(Q445,U445)</f>
        <v>0.35051041666666671</v>
      </c>
      <c r="AA445" s="23">
        <f>AVERAGE(R445:T445,V445:X445)</f>
        <v>0.37059375</v>
      </c>
      <c r="AB445" s="23">
        <f t="shared" si="6"/>
        <v>0.36694223484848487</v>
      </c>
    </row>
    <row r="446" spans="1:28">
      <c r="A446" s="9">
        <v>44153</v>
      </c>
      <c r="B446" s="3"/>
      <c r="C446" s="3"/>
      <c r="D446" s="3"/>
      <c r="E446" s="3"/>
      <c r="F446" s="3"/>
      <c r="G446" s="19">
        <v>44153</v>
      </c>
      <c r="H446" s="20">
        <v>176.47916666666666</v>
      </c>
      <c r="I446" s="20">
        <v>65.008333333333326</v>
      </c>
      <c r="J446" s="20">
        <v>19.402083333333334</v>
      </c>
      <c r="K446" s="20">
        <v>0</v>
      </c>
      <c r="L446" s="20">
        <v>240.5625</v>
      </c>
      <c r="M446" s="20">
        <v>17.333333333333332</v>
      </c>
      <c r="N446" s="20">
        <v>3.2291666666666665</v>
      </c>
      <c r="O446" s="20">
        <v>12.014583333333336</v>
      </c>
      <c r="P446" s="10">
        <v>0.89085677598249413</v>
      </c>
      <c r="Q446" s="21">
        <v>0.25856249999999986</v>
      </c>
      <c r="R446" s="21">
        <v>0.35493749999999974</v>
      </c>
      <c r="S446" s="21">
        <v>0.42943749999999997</v>
      </c>
      <c r="T446" s="21">
        <v>0.44770833333333365</v>
      </c>
      <c r="U446" s="21">
        <v>0.43849999999999995</v>
      </c>
      <c r="V446" s="21">
        <v>0.33945833333333325</v>
      </c>
      <c r="W446" s="21">
        <v>0.34316666666666684</v>
      </c>
      <c r="X446" s="21">
        <v>0.29937499999999989</v>
      </c>
      <c r="Y446" s="21">
        <v>0.12119230769230772</v>
      </c>
      <c r="Z446" s="23">
        <f>AVERAGE(Q446,U446)</f>
        <v>0.3485312499999999</v>
      </c>
      <c r="AA446" s="23">
        <f>AVERAGE(R446:T446,V446:X446)</f>
        <v>0.36901388888888892</v>
      </c>
      <c r="AB446" s="23">
        <f t="shared" si="6"/>
        <v>0.3652897727272727</v>
      </c>
    </row>
    <row r="447" spans="1:28">
      <c r="A447" s="9">
        <v>44154</v>
      </c>
      <c r="B447" s="3"/>
      <c r="C447" s="3"/>
      <c r="D447" s="3"/>
      <c r="E447" s="3"/>
      <c r="F447" s="3"/>
      <c r="G447" s="19">
        <v>44154</v>
      </c>
      <c r="H447" s="20">
        <v>155.04166666666666</v>
      </c>
      <c r="I447" s="20">
        <v>64.445833333333326</v>
      </c>
      <c r="J447" s="20">
        <v>17.341666666666665</v>
      </c>
      <c r="K447" s="20">
        <v>0</v>
      </c>
      <c r="L447" s="20">
        <v>235.89583333333334</v>
      </c>
      <c r="M447" s="20">
        <v>5.729166666666667</v>
      </c>
      <c r="N447" s="20">
        <v>0.41666666666666669</v>
      </c>
      <c r="O447" s="20">
        <v>10.022916666666667</v>
      </c>
      <c r="P447" s="10">
        <v>0.80519459540803207</v>
      </c>
      <c r="Q447" s="21">
        <v>0.25502083333333342</v>
      </c>
      <c r="R447" s="21">
        <v>0.35047916666666673</v>
      </c>
      <c r="S447" s="21">
        <v>0.42695833333333316</v>
      </c>
      <c r="T447" s="21">
        <v>0.44429166666666681</v>
      </c>
      <c r="U447" s="21">
        <v>0.43449999999999994</v>
      </c>
      <c r="V447" s="21">
        <v>0.33697916666666683</v>
      </c>
      <c r="W447" s="21">
        <v>0.34124999999999983</v>
      </c>
      <c r="X447" s="21">
        <v>0.29745833333333349</v>
      </c>
      <c r="Y447" s="21">
        <v>0.12466666666666662</v>
      </c>
      <c r="Z447" s="23">
        <f>AVERAGE(Q447,U447)</f>
        <v>0.34476041666666668</v>
      </c>
      <c r="AA447" s="23">
        <f>AVERAGE(R447:T447,V447:X447)</f>
        <v>0.36623611111111115</v>
      </c>
      <c r="AB447" s="23">
        <f t="shared" si="6"/>
        <v>0.36233143939393947</v>
      </c>
    </row>
    <row r="448" spans="1:28">
      <c r="A448" s="9">
        <v>44155</v>
      </c>
      <c r="B448" s="3"/>
      <c r="C448" s="3"/>
      <c r="D448" s="3"/>
      <c r="E448" s="3"/>
      <c r="F448" s="3"/>
      <c r="G448" s="19">
        <v>44155</v>
      </c>
      <c r="H448" s="20">
        <v>170.75</v>
      </c>
      <c r="I448" s="20">
        <v>69.408333333333346</v>
      </c>
      <c r="J448" s="20">
        <v>17.895833333333332</v>
      </c>
      <c r="K448" s="20">
        <v>0</v>
      </c>
      <c r="L448" s="20">
        <v>225.54166666666666</v>
      </c>
      <c r="M448" s="20">
        <v>12.145833333333334</v>
      </c>
      <c r="N448" s="20">
        <v>2.9791666666666665</v>
      </c>
      <c r="O448" s="20">
        <v>11.889583333333334</v>
      </c>
      <c r="P448" s="10">
        <v>0.69878500409608346</v>
      </c>
      <c r="Q448" s="21">
        <v>0.25270833333333331</v>
      </c>
      <c r="R448" s="21">
        <v>0.34714583333333326</v>
      </c>
      <c r="S448" s="21">
        <v>0.42452083333333318</v>
      </c>
      <c r="T448" s="21">
        <v>0.44014583333333307</v>
      </c>
      <c r="U448" s="21">
        <v>0.43152083333333319</v>
      </c>
      <c r="V448" s="21">
        <v>0.33493750000000017</v>
      </c>
      <c r="W448" s="21">
        <v>0.33920833333333311</v>
      </c>
      <c r="X448" s="21">
        <v>0.29545833333333343</v>
      </c>
      <c r="Y448" s="21">
        <v>0.11512500000000003</v>
      </c>
      <c r="Z448" s="23">
        <f>AVERAGE(Q448,U448)</f>
        <v>0.34211458333333322</v>
      </c>
      <c r="AA448" s="23">
        <f>AVERAGE(R448:T448,V448:X448)</f>
        <v>0.36356944444444439</v>
      </c>
      <c r="AB448" s="23">
        <f t="shared" si="6"/>
        <v>0.35966856060606062</v>
      </c>
    </row>
    <row r="449" spans="1:28">
      <c r="A449" s="9">
        <v>44156</v>
      </c>
      <c r="B449" s="3"/>
      <c r="C449" s="3"/>
      <c r="D449" s="3"/>
      <c r="E449" s="3"/>
      <c r="F449" s="3"/>
      <c r="G449" s="19">
        <v>44156</v>
      </c>
      <c r="H449" s="20">
        <v>163.60416666666666</v>
      </c>
      <c r="I449" s="20">
        <v>74.150000000000006</v>
      </c>
      <c r="J449" s="20">
        <v>17.427083333333336</v>
      </c>
      <c r="K449" s="20">
        <v>0</v>
      </c>
      <c r="L449" s="20">
        <v>239.875</v>
      </c>
      <c r="M449" s="20">
        <v>9.0208333333333339</v>
      </c>
      <c r="N449" s="20">
        <v>0.75</v>
      </c>
      <c r="O449" s="20">
        <v>12.347916666666663</v>
      </c>
      <c r="P449" s="10">
        <v>0.61157296291943175</v>
      </c>
      <c r="Q449" s="21">
        <v>0.25122916666666673</v>
      </c>
      <c r="R449" s="21">
        <v>0.34441666666666659</v>
      </c>
      <c r="S449" s="21">
        <v>0.42306249999999984</v>
      </c>
      <c r="T449" s="21">
        <v>0.43685416666666638</v>
      </c>
      <c r="U449" s="21">
        <v>0.43029166666666674</v>
      </c>
      <c r="V449" s="21">
        <v>0.33397916666666688</v>
      </c>
      <c r="W449" s="21">
        <v>0.33772916666666658</v>
      </c>
      <c r="X449" s="21">
        <v>0.29370833333333307</v>
      </c>
      <c r="Y449" s="21">
        <v>0.11425</v>
      </c>
      <c r="Z449" s="23">
        <f>AVERAGE(Q449,U449)</f>
        <v>0.34076041666666673</v>
      </c>
      <c r="AA449" s="23">
        <f>AVERAGE(R449:T449,V449:X449)</f>
        <v>0.36162499999999992</v>
      </c>
      <c r="AB449" s="23">
        <f t="shared" si="6"/>
        <v>0.35783143939393935</v>
      </c>
    </row>
    <row r="450" spans="1:28">
      <c r="A450" s="9">
        <v>44157</v>
      </c>
      <c r="B450" s="3"/>
      <c r="C450" s="3"/>
      <c r="D450" s="3"/>
      <c r="E450" s="3"/>
      <c r="F450" s="3"/>
      <c r="G450" s="19">
        <v>44157</v>
      </c>
      <c r="H450" s="20">
        <v>29.1875</v>
      </c>
      <c r="I450" s="20">
        <v>88.212499999999991</v>
      </c>
      <c r="J450" s="20">
        <v>10.077083333333329</v>
      </c>
      <c r="K450" s="20">
        <v>0</v>
      </c>
      <c r="L450" s="20">
        <v>227.1875</v>
      </c>
      <c r="M450" s="20">
        <v>6.375</v>
      </c>
      <c r="N450" s="20">
        <v>4.1666666666666664E-2</v>
      </c>
      <c r="O450" s="20">
        <v>8.2020833333333325</v>
      </c>
      <c r="P450" s="10">
        <v>0.148551482444329</v>
      </c>
      <c r="Q450" s="21">
        <v>0.24635416666666668</v>
      </c>
      <c r="R450" s="21">
        <v>0.34127083333333319</v>
      </c>
      <c r="S450" s="21">
        <v>0.42143750000000019</v>
      </c>
      <c r="T450" s="21">
        <v>0.43475000000000014</v>
      </c>
      <c r="U450" s="21">
        <v>0.42458333333333337</v>
      </c>
      <c r="V450" s="21">
        <v>0.33227083333333329</v>
      </c>
      <c r="W450" s="21">
        <v>0.33670833333333339</v>
      </c>
      <c r="X450" s="21">
        <v>0.29272916666666654</v>
      </c>
      <c r="Y450" s="21">
        <v>0.11051612903225806</v>
      </c>
      <c r="Z450" s="23">
        <f>AVERAGE(Q450,U450)</f>
        <v>0.33546875000000004</v>
      </c>
      <c r="AA450" s="23">
        <f>AVERAGE(R450:T450,V450:X450)</f>
        <v>0.35986111111111113</v>
      </c>
      <c r="AB450" s="23">
        <f t="shared" si="6"/>
        <v>0.3554261363636364</v>
      </c>
    </row>
    <row r="451" spans="1:28">
      <c r="A451" s="9">
        <v>44158</v>
      </c>
      <c r="B451" s="3"/>
      <c r="C451" s="3"/>
      <c r="D451" s="3"/>
      <c r="E451" s="3"/>
      <c r="F451" s="3"/>
      <c r="G451" s="19">
        <v>44158</v>
      </c>
      <c r="H451" s="20">
        <v>28.625</v>
      </c>
      <c r="I451" s="20">
        <v>95.15625</v>
      </c>
      <c r="J451" s="20">
        <v>5.654166666666665</v>
      </c>
      <c r="K451" s="20">
        <v>0.60000000000000009</v>
      </c>
      <c r="L451" s="20">
        <v>254.64583333333334</v>
      </c>
      <c r="M451" s="20">
        <v>4.104166666666667</v>
      </c>
      <c r="N451" s="20">
        <v>0</v>
      </c>
      <c r="O451" s="20">
        <v>4.9437499999999988</v>
      </c>
      <c r="P451" s="10">
        <v>4.4628717651223053E-2</v>
      </c>
      <c r="Q451" s="21">
        <v>0.23968750000000005</v>
      </c>
      <c r="R451" s="21">
        <v>0.33385416666666673</v>
      </c>
      <c r="S451" s="21">
        <v>0.41239583333333329</v>
      </c>
      <c r="T451" s="21">
        <v>0.43062499999999976</v>
      </c>
      <c r="U451" s="21">
        <v>0.41429166666666695</v>
      </c>
      <c r="V451" s="21">
        <v>0.32700000000000001</v>
      </c>
      <c r="W451" s="21">
        <v>0.33385416666666673</v>
      </c>
      <c r="X451" s="21">
        <v>0.2909374999999999</v>
      </c>
      <c r="Y451" s="21">
        <v>0.108</v>
      </c>
      <c r="Z451" s="23">
        <f>AVERAGE(Q451,U451)</f>
        <v>0.3269895833333335</v>
      </c>
      <c r="AA451" s="23">
        <f>AVERAGE(R451:T451,V451:X451)</f>
        <v>0.3547777777777778</v>
      </c>
      <c r="AB451" s="23">
        <f t="shared" si="6"/>
        <v>0.34972537878787885</v>
      </c>
    </row>
    <row r="452" spans="1:28">
      <c r="A452" s="9">
        <v>44159</v>
      </c>
      <c r="B452" s="3"/>
      <c r="C452" s="3"/>
      <c r="D452" s="3"/>
      <c r="E452" s="3"/>
      <c r="F452" s="3"/>
      <c r="G452" s="19">
        <v>44159</v>
      </c>
      <c r="H452" s="20">
        <v>48.375</v>
      </c>
      <c r="I452" s="20">
        <v>93.877083333333346</v>
      </c>
      <c r="J452" s="20">
        <v>9.9645833333333336</v>
      </c>
      <c r="K452" s="20">
        <v>0.4</v>
      </c>
      <c r="L452" s="20">
        <v>211.45833333333334</v>
      </c>
      <c r="M452" s="20">
        <v>3.25</v>
      </c>
      <c r="N452" s="20">
        <v>4.1666666666666664E-2</v>
      </c>
      <c r="O452" s="20">
        <v>8.9895833333333304</v>
      </c>
      <c r="P452" s="10">
        <v>8.7797014697346132E-2</v>
      </c>
      <c r="Q452" s="21">
        <v>0.23762500000000017</v>
      </c>
      <c r="R452" s="21">
        <v>0.32874999999999982</v>
      </c>
      <c r="S452" s="21">
        <v>0.40685416666666668</v>
      </c>
      <c r="T452" s="21">
        <v>0.42566666666666647</v>
      </c>
      <c r="U452" s="21">
        <v>0.40906250000000005</v>
      </c>
      <c r="V452" s="21">
        <v>0.32295833333333324</v>
      </c>
      <c r="W452" s="21">
        <v>0.3303958333333335</v>
      </c>
      <c r="X452" s="21">
        <v>0.2883333333333335</v>
      </c>
      <c r="Y452" s="21">
        <v>0.10875000000000011</v>
      </c>
      <c r="Z452" s="23">
        <f>AVERAGE(Q452,U452)</f>
        <v>0.3233437500000001</v>
      </c>
      <c r="AA452" s="23">
        <f>AVERAGE(R452:T452,V452:X452)</f>
        <v>0.35049305555555549</v>
      </c>
      <c r="AB452" s="23">
        <f t="shared" si="6"/>
        <v>0.34555681818181816</v>
      </c>
    </row>
    <row r="453" spans="1:28">
      <c r="A453" s="9">
        <v>44160</v>
      </c>
      <c r="B453" s="3"/>
      <c r="C453" s="3"/>
      <c r="D453" s="3"/>
      <c r="E453" s="3"/>
      <c r="F453" s="3"/>
      <c r="G453" s="19">
        <v>44160</v>
      </c>
      <c r="H453" s="20">
        <v>42.083333333333336</v>
      </c>
      <c r="I453" s="20">
        <v>89.506250000000009</v>
      </c>
      <c r="J453" s="20">
        <v>8.8958333333333339</v>
      </c>
      <c r="K453" s="20">
        <v>0</v>
      </c>
      <c r="L453" s="20">
        <v>255.4375</v>
      </c>
      <c r="M453" s="20">
        <v>6.125</v>
      </c>
      <c r="N453" s="20">
        <v>6.25E-2</v>
      </c>
      <c r="O453" s="20">
        <v>7.2479166666666659</v>
      </c>
      <c r="P453" s="10">
        <v>0.12361646927421766</v>
      </c>
      <c r="Q453" s="21">
        <v>0.23829166666666649</v>
      </c>
      <c r="R453" s="21">
        <v>0.32841666666666641</v>
      </c>
      <c r="S453" s="21">
        <v>0.40599999999999997</v>
      </c>
      <c r="T453" s="21">
        <v>0.42241666666666683</v>
      </c>
      <c r="U453" s="21">
        <v>0.40939583333333379</v>
      </c>
      <c r="V453" s="21">
        <v>0.32300000000000023</v>
      </c>
      <c r="W453" s="21">
        <v>0.32900000000000024</v>
      </c>
      <c r="X453" s="21">
        <v>0.28697916666666695</v>
      </c>
      <c r="Y453" s="21">
        <v>0.10906249999999994</v>
      </c>
      <c r="Z453" s="23">
        <f>AVERAGE(Q453,U453)</f>
        <v>0.32384375000000015</v>
      </c>
      <c r="AA453" s="23">
        <f>AVERAGE(R453:T453,V453:X453)</f>
        <v>0.3493020833333334</v>
      </c>
      <c r="AB453" s="23">
        <f t="shared" si="6"/>
        <v>0.34467329545454556</v>
      </c>
    </row>
    <row r="454" spans="1:28">
      <c r="A454" s="9">
        <v>44161</v>
      </c>
      <c r="B454" s="3"/>
      <c r="C454" s="3"/>
      <c r="D454" s="3"/>
      <c r="E454" s="3"/>
      <c r="F454" s="3"/>
      <c r="G454" s="19">
        <v>44161</v>
      </c>
      <c r="H454" s="20">
        <v>25.125</v>
      </c>
      <c r="I454" s="20">
        <v>90.793750000000031</v>
      </c>
      <c r="J454" s="20">
        <v>6.081249999999998</v>
      </c>
      <c r="K454" s="20">
        <v>0.2</v>
      </c>
      <c r="L454" s="20">
        <v>159.60416666666666</v>
      </c>
      <c r="M454" s="20">
        <v>3.8541666666666665</v>
      </c>
      <c r="N454" s="20">
        <v>0</v>
      </c>
      <c r="O454" s="20">
        <v>4.6687500000000011</v>
      </c>
      <c r="P454" s="10">
        <v>8.8436976400247003E-2</v>
      </c>
      <c r="Q454" s="21">
        <v>0.23537499999999992</v>
      </c>
      <c r="R454" s="21">
        <v>0.32489583333333327</v>
      </c>
      <c r="S454" s="21">
        <v>0.40331250000000018</v>
      </c>
      <c r="T454" s="21">
        <v>0.41987500000000005</v>
      </c>
      <c r="U454" s="21">
        <v>0.40495833333333309</v>
      </c>
      <c r="V454" s="21">
        <v>0.32068750000000013</v>
      </c>
      <c r="W454" s="21">
        <v>0.32764583333333336</v>
      </c>
      <c r="X454" s="21">
        <v>0.28566666666666657</v>
      </c>
      <c r="Y454" s="21">
        <v>0.10760465116279079</v>
      </c>
      <c r="Z454" s="23">
        <f>AVERAGE(Q454,U454)</f>
        <v>0.32016666666666649</v>
      </c>
      <c r="AA454" s="23">
        <f>AVERAGE(R454:T454,V454:X454)</f>
        <v>0.34701388888888896</v>
      </c>
      <c r="AB454" s="23">
        <f t="shared" ref="AB454:AB517" si="7">(Z454*10+AA454*45)/55</f>
        <v>0.34213257575757583</v>
      </c>
    </row>
    <row r="455" spans="1:28">
      <c r="A455" s="9">
        <v>44162</v>
      </c>
      <c r="B455" s="3"/>
      <c r="C455" s="3"/>
      <c r="D455" s="3"/>
      <c r="E455" s="3"/>
      <c r="F455" s="3"/>
      <c r="G455" s="19">
        <v>44162</v>
      </c>
      <c r="H455" s="20">
        <v>32.375</v>
      </c>
      <c r="I455" s="20">
        <v>90.666666666666671</v>
      </c>
      <c r="J455" s="20">
        <v>6.0770833333333343</v>
      </c>
      <c r="K455" s="20">
        <v>0.2</v>
      </c>
      <c r="L455" s="20">
        <v>195.375</v>
      </c>
      <c r="M455" s="20">
        <v>2.75</v>
      </c>
      <c r="N455" s="20">
        <v>2.0833333333333332E-2</v>
      </c>
      <c r="O455" s="20">
        <v>4.645833333333333</v>
      </c>
      <c r="P455" s="10">
        <v>9.1064318500785724E-2</v>
      </c>
      <c r="Q455" s="21">
        <v>0.23383333333333334</v>
      </c>
      <c r="R455" s="21">
        <v>0.32177083333333317</v>
      </c>
      <c r="S455" s="21">
        <v>0.39983333333333371</v>
      </c>
      <c r="T455" s="21">
        <v>0.41658333333333325</v>
      </c>
      <c r="U455" s="21">
        <v>0.40210416666666643</v>
      </c>
      <c r="V455" s="21">
        <v>0.3185416666666665</v>
      </c>
      <c r="W455" s="21">
        <v>0.32547916666666626</v>
      </c>
      <c r="X455" s="21">
        <v>0.28410416666666688</v>
      </c>
      <c r="Y455" s="21">
        <v>0.10700000000000011</v>
      </c>
      <c r="Z455" s="23">
        <f>AVERAGE(Q455,U455)</f>
        <v>0.31796874999999991</v>
      </c>
      <c r="AA455" s="23">
        <f>AVERAGE(R455:T455,V455:X455)</f>
        <v>0.34438541666666667</v>
      </c>
      <c r="AB455" s="23">
        <f t="shared" si="7"/>
        <v>0.33958238636363636</v>
      </c>
    </row>
    <row r="456" spans="1:28">
      <c r="A456" s="9">
        <v>44163</v>
      </c>
      <c r="B456" s="3"/>
      <c r="C456" s="3"/>
      <c r="D456" s="3"/>
      <c r="E456" s="3"/>
      <c r="F456" s="3"/>
      <c r="G456" s="19">
        <v>44163</v>
      </c>
      <c r="H456" s="20">
        <v>37.604166666666664</v>
      </c>
      <c r="I456" s="20">
        <v>87.204166666666666</v>
      </c>
      <c r="J456" s="20">
        <v>5.6291666666666664</v>
      </c>
      <c r="K456" s="20">
        <v>0.2</v>
      </c>
      <c r="L456" s="20">
        <v>218.25</v>
      </c>
      <c r="M456" s="20">
        <v>3.8541666666666665</v>
      </c>
      <c r="N456" s="20">
        <v>0</v>
      </c>
      <c r="O456" s="20">
        <v>3.6145833333333335</v>
      </c>
      <c r="P456" s="10">
        <v>0.12315103689994218</v>
      </c>
      <c r="Q456" s="21">
        <v>0.23297916666666674</v>
      </c>
      <c r="R456" s="21">
        <v>0.31935416666666705</v>
      </c>
      <c r="S456" s="21">
        <v>0.39727083333333352</v>
      </c>
      <c r="T456" s="21">
        <v>0.41372916666666654</v>
      </c>
      <c r="U456" s="21">
        <v>0.39966666666666706</v>
      </c>
      <c r="V456" s="21">
        <v>0.31704166666666694</v>
      </c>
      <c r="W456" s="21">
        <v>0.32406249999999998</v>
      </c>
      <c r="X456" s="21">
        <v>0.28277083333333336</v>
      </c>
      <c r="Y456" s="21">
        <v>0.10616666666666662</v>
      </c>
      <c r="Z456" s="23">
        <f>AVERAGE(Q456,U456)</f>
        <v>0.3163229166666669</v>
      </c>
      <c r="AA456" s="23">
        <f>AVERAGE(R456:T456,V456:X456)</f>
        <v>0.34237152777777785</v>
      </c>
      <c r="AB456" s="23">
        <f t="shared" si="7"/>
        <v>0.33763541666666674</v>
      </c>
    </row>
    <row r="457" spans="1:28">
      <c r="A457" s="9">
        <v>44164</v>
      </c>
      <c r="B457" s="3"/>
      <c r="C457" s="3"/>
      <c r="D457" s="3"/>
      <c r="E457" s="3"/>
      <c r="F457" s="3"/>
      <c r="G457" s="19">
        <v>44164</v>
      </c>
      <c r="H457" s="20">
        <v>38.0625</v>
      </c>
      <c r="I457" s="20">
        <v>84.681250000000006</v>
      </c>
      <c r="J457" s="20">
        <v>6.9395833333333306</v>
      </c>
      <c r="K457" s="20">
        <v>0</v>
      </c>
      <c r="L457" s="20">
        <v>228.5625</v>
      </c>
      <c r="M457" s="20">
        <v>3.5</v>
      </c>
      <c r="N457" s="20">
        <v>2.0833333333333332E-2</v>
      </c>
      <c r="O457" s="20">
        <v>4.5062500000000005</v>
      </c>
      <c r="P457" s="10">
        <v>0.15959322968504611</v>
      </c>
      <c r="Q457" s="21">
        <v>0.2324791666666669</v>
      </c>
      <c r="R457" s="21">
        <v>0.31752083333333336</v>
      </c>
      <c r="S457" s="21">
        <v>0.39527083333333307</v>
      </c>
      <c r="T457" s="21">
        <v>0.41110416666666655</v>
      </c>
      <c r="U457" s="21">
        <v>0.39860416666666687</v>
      </c>
      <c r="V457" s="21">
        <v>0.31552083333333319</v>
      </c>
      <c r="W457" s="21">
        <v>0.32245833333333301</v>
      </c>
      <c r="X457" s="21">
        <v>0.28120833333333328</v>
      </c>
      <c r="Y457" s="21">
        <v>0.10597916666666661</v>
      </c>
      <c r="Z457" s="23">
        <f>AVERAGE(Q457,U457)</f>
        <v>0.31554166666666689</v>
      </c>
      <c r="AA457" s="23">
        <f>AVERAGE(R457:T457,V457:X457)</f>
        <v>0.34051388888888878</v>
      </c>
      <c r="AB457" s="23">
        <f t="shared" si="7"/>
        <v>0.33597348484848483</v>
      </c>
    </row>
    <row r="458" spans="1:28">
      <c r="A458" s="9">
        <v>44165</v>
      </c>
      <c r="B458" s="3"/>
      <c r="C458" s="3"/>
      <c r="D458" s="3"/>
      <c r="E458" s="3"/>
      <c r="F458" s="3"/>
      <c r="G458" s="19">
        <v>44165</v>
      </c>
      <c r="H458" s="20">
        <v>50.6875</v>
      </c>
      <c r="I458" s="20">
        <v>84.17916666666666</v>
      </c>
      <c r="J458" s="20">
        <v>6.8604166666666657</v>
      </c>
      <c r="K458" s="20">
        <v>0.2</v>
      </c>
      <c r="L458" s="20">
        <v>242.29166666666666</v>
      </c>
      <c r="M458" s="20">
        <v>5.125</v>
      </c>
      <c r="N458" s="20">
        <v>8.3333333333333329E-2</v>
      </c>
      <c r="O458" s="20">
        <v>4.3125</v>
      </c>
      <c r="P458" s="10">
        <v>0.16817606623296277</v>
      </c>
      <c r="Q458" s="21">
        <v>0.23229166666666681</v>
      </c>
      <c r="R458" s="21">
        <v>0.31635416666666699</v>
      </c>
      <c r="S458" s="21">
        <v>0.39412500000000006</v>
      </c>
      <c r="T458" s="21">
        <v>0.40902083333333378</v>
      </c>
      <c r="U458" s="21">
        <v>0.39831250000000007</v>
      </c>
      <c r="V458" s="21">
        <v>0.31497916666666664</v>
      </c>
      <c r="W458" s="21">
        <v>0.3214999999999999</v>
      </c>
      <c r="X458" s="21">
        <v>0.2799791666666665</v>
      </c>
      <c r="Y458" s="21">
        <v>0.10543333333333331</v>
      </c>
      <c r="Z458" s="23">
        <f>AVERAGE(Q458,U458)</f>
        <v>0.31530208333333343</v>
      </c>
      <c r="AA458" s="23">
        <f>AVERAGE(R458:T458,V458:X458)</f>
        <v>0.33932638888888894</v>
      </c>
      <c r="AB458" s="23">
        <f t="shared" si="7"/>
        <v>0.33495833333333336</v>
      </c>
    </row>
    <row r="459" spans="1:28">
      <c r="A459" s="9">
        <v>44166</v>
      </c>
      <c r="B459" s="3"/>
      <c r="C459" s="3"/>
      <c r="D459" s="3"/>
      <c r="E459" s="3"/>
      <c r="F459" s="3"/>
      <c r="G459" s="19">
        <v>44166</v>
      </c>
      <c r="H459" s="20">
        <v>21.375</v>
      </c>
      <c r="I459" s="20">
        <v>93.862500000000011</v>
      </c>
      <c r="J459" s="20">
        <v>4.9979166666666659</v>
      </c>
      <c r="K459" s="20">
        <v>3.3000000000000012</v>
      </c>
      <c r="L459" s="20">
        <v>223.45833333333334</v>
      </c>
      <c r="M459" s="20">
        <v>4.833333333333333</v>
      </c>
      <c r="N459" s="20">
        <v>0.14583333333333334</v>
      </c>
      <c r="O459" s="20">
        <v>4.0916666666666677</v>
      </c>
      <c r="P459" s="10">
        <v>5.3689175891326095E-2</v>
      </c>
      <c r="Q459" s="21">
        <v>0.23160416666666669</v>
      </c>
      <c r="R459" s="21">
        <v>0.31535416666666649</v>
      </c>
      <c r="S459" s="21">
        <v>0.39268749999999991</v>
      </c>
      <c r="T459" s="21">
        <v>0.4076041666666666</v>
      </c>
      <c r="U459" s="21">
        <v>0.39668750000000047</v>
      </c>
      <c r="V459" s="21">
        <v>0.31410416666666668</v>
      </c>
      <c r="W459" s="21">
        <v>0.32079166666666664</v>
      </c>
      <c r="X459" s="21">
        <v>0.27833333333333354</v>
      </c>
      <c r="Y459" s="21">
        <v>0.11131249999999994</v>
      </c>
      <c r="Z459" s="23">
        <f>AVERAGE(Q459,U459)</f>
        <v>0.31414583333333357</v>
      </c>
      <c r="AA459" s="23">
        <f>AVERAGE(R459:T459,V459:X459)</f>
        <v>0.33814583333333331</v>
      </c>
      <c r="AB459" s="23">
        <f t="shared" si="7"/>
        <v>0.33378219696969696</v>
      </c>
    </row>
    <row r="460" spans="1:28">
      <c r="A460" s="9">
        <v>44167</v>
      </c>
      <c r="B460" s="3"/>
      <c r="C460" s="3"/>
      <c r="D460" s="3"/>
      <c r="E460" s="3"/>
      <c r="F460" s="3"/>
      <c r="G460" s="19">
        <v>44167</v>
      </c>
      <c r="H460" s="20">
        <v>16.875</v>
      </c>
      <c r="I460" s="20">
        <v>94.05625000000002</v>
      </c>
      <c r="J460" s="20">
        <v>4.4249999999999998</v>
      </c>
      <c r="K460" s="20">
        <v>1.7</v>
      </c>
      <c r="L460" s="20">
        <v>198.52083333333334</v>
      </c>
      <c r="M460" s="20">
        <v>3.1458333333333335</v>
      </c>
      <c r="N460" s="20">
        <v>0</v>
      </c>
      <c r="O460" s="20">
        <v>3.5437500000000006</v>
      </c>
      <c r="P460" s="10">
        <v>4.9462761851259064E-2</v>
      </c>
      <c r="Q460" s="21">
        <v>0.23095833333333327</v>
      </c>
      <c r="R460" s="21">
        <v>0.31347916666666686</v>
      </c>
      <c r="S460" s="21">
        <v>0.39066666666666688</v>
      </c>
      <c r="T460" s="21">
        <v>0.40583333333333355</v>
      </c>
      <c r="U460" s="21">
        <v>0.39497916666666621</v>
      </c>
      <c r="V460" s="21">
        <v>0.31297916666666686</v>
      </c>
      <c r="W460" s="21">
        <v>0.31956250000000042</v>
      </c>
      <c r="X460" s="21">
        <v>0.27716666666666645</v>
      </c>
      <c r="Y460" s="21">
        <v>0.12060416666666673</v>
      </c>
      <c r="Z460" s="23">
        <f>AVERAGE(Q460,U460)</f>
        <v>0.31296874999999974</v>
      </c>
      <c r="AA460" s="23">
        <f>AVERAGE(R460:T460,V460:X460)</f>
        <v>0.33661458333333344</v>
      </c>
      <c r="AB460" s="23">
        <f t="shared" si="7"/>
        <v>0.33231534090909093</v>
      </c>
    </row>
    <row r="461" spans="1:28">
      <c r="A461" s="9">
        <v>44168</v>
      </c>
      <c r="B461" s="3"/>
      <c r="C461" s="3"/>
      <c r="D461" s="3"/>
      <c r="E461" s="3"/>
      <c r="F461" s="3"/>
      <c r="G461" s="19">
        <v>44168</v>
      </c>
      <c r="H461" s="20">
        <v>33.270833333333336</v>
      </c>
      <c r="I461" s="20">
        <v>88.816666666666663</v>
      </c>
      <c r="J461" s="20">
        <v>3.5666666666666678</v>
      </c>
      <c r="K461" s="20">
        <v>0</v>
      </c>
      <c r="L461" s="20">
        <v>194.16666666666666</v>
      </c>
      <c r="M461" s="20">
        <v>4.645833333333333</v>
      </c>
      <c r="N461" s="20">
        <v>6.25E-2</v>
      </c>
      <c r="O461" s="20">
        <v>1.8833333333333326</v>
      </c>
      <c r="P461" s="10">
        <v>8.9225015428366292E-2</v>
      </c>
      <c r="Q461" s="21">
        <v>0.22981250000000017</v>
      </c>
      <c r="R461" s="21">
        <v>0.3111458333333334</v>
      </c>
      <c r="S461" s="21">
        <v>0.38827083333333351</v>
      </c>
      <c r="T461" s="21">
        <v>0.40352083333333327</v>
      </c>
      <c r="U461" s="21">
        <v>0.39320833333333366</v>
      </c>
      <c r="V461" s="21">
        <v>0.31193749999999987</v>
      </c>
      <c r="W461" s="21">
        <v>0.31870833333333337</v>
      </c>
      <c r="X461" s="21">
        <v>0.27697916666666644</v>
      </c>
      <c r="Y461" s="21">
        <v>0.11970212765957451</v>
      </c>
      <c r="Z461" s="23">
        <f>AVERAGE(Q461,U461)</f>
        <v>0.3115104166666669</v>
      </c>
      <c r="AA461" s="23">
        <f>AVERAGE(R461:T461,V461:X461)</f>
        <v>0.33509374999999997</v>
      </c>
      <c r="AB461" s="23">
        <f t="shared" si="7"/>
        <v>0.33080587121212124</v>
      </c>
    </row>
    <row r="462" spans="1:28">
      <c r="A462" s="9">
        <v>44169</v>
      </c>
      <c r="B462" s="3"/>
      <c r="C462" s="3"/>
      <c r="D462" s="3"/>
      <c r="E462" s="3"/>
      <c r="F462" s="3"/>
      <c r="G462" s="19">
        <v>44169</v>
      </c>
      <c r="H462" s="20">
        <v>40.854166666666664</v>
      </c>
      <c r="I462" s="20">
        <v>85.8020833333333</v>
      </c>
      <c r="J462" s="20">
        <v>2.4270833333333335</v>
      </c>
      <c r="K462" s="20">
        <v>0</v>
      </c>
      <c r="L462" s="20">
        <v>230.35416666666666</v>
      </c>
      <c r="M462" s="20">
        <v>5.041666666666667</v>
      </c>
      <c r="N462" s="20">
        <v>2.0833333333333332E-2</v>
      </c>
      <c r="O462" s="20">
        <v>0.27083333333333331</v>
      </c>
      <c r="P462" s="10">
        <v>0.10576716621289545</v>
      </c>
      <c r="Q462" s="21">
        <v>0.22885416666666644</v>
      </c>
      <c r="R462" s="21">
        <v>0.30939583333333298</v>
      </c>
      <c r="S462" s="21">
        <v>0.38597916666666671</v>
      </c>
      <c r="T462" s="21">
        <v>0.40122916666666636</v>
      </c>
      <c r="U462" s="21">
        <v>0.39139583333333317</v>
      </c>
      <c r="V462" s="21">
        <v>0.3104583333333335</v>
      </c>
      <c r="W462" s="21">
        <v>0.31756249999999997</v>
      </c>
      <c r="X462" s="21">
        <v>0.27618749999999992</v>
      </c>
      <c r="Y462" s="21">
        <v>0.11655555555555559</v>
      </c>
      <c r="Z462" s="23">
        <f>AVERAGE(Q462,U462)</f>
        <v>0.31012499999999982</v>
      </c>
      <c r="AA462" s="23">
        <f>AVERAGE(R462:T462,V462:X462)</f>
        <v>0.33346874999999992</v>
      </c>
      <c r="AB462" s="23">
        <f t="shared" si="7"/>
        <v>0.32922443181818173</v>
      </c>
    </row>
    <row r="463" spans="1:28">
      <c r="A463" s="9">
        <v>44170</v>
      </c>
      <c r="B463" s="3"/>
      <c r="C463" s="3"/>
      <c r="D463" s="3"/>
      <c r="E463" s="3"/>
      <c r="F463" s="3"/>
      <c r="G463" s="19">
        <v>44170</v>
      </c>
      <c r="H463" s="20">
        <v>63.020833333333336</v>
      </c>
      <c r="I463" s="20">
        <v>84.556249999999991</v>
      </c>
      <c r="J463" s="20">
        <v>4.147916666666668</v>
      </c>
      <c r="K463" s="20">
        <v>0</v>
      </c>
      <c r="L463" s="20">
        <v>234.5</v>
      </c>
      <c r="M463" s="20">
        <v>5.1875</v>
      </c>
      <c r="N463" s="20">
        <v>0.125</v>
      </c>
      <c r="O463" s="20">
        <v>1.6854166666666666</v>
      </c>
      <c r="P463" s="10">
        <v>0.14162671274732402</v>
      </c>
      <c r="Q463" s="21">
        <v>0.2284166666666666</v>
      </c>
      <c r="R463" s="21">
        <v>0.30756250000000013</v>
      </c>
      <c r="S463" s="21">
        <v>0.38443750000000015</v>
      </c>
      <c r="T463" s="21">
        <v>0.39897916666666688</v>
      </c>
      <c r="U463" s="21">
        <v>0.3906666666666665</v>
      </c>
      <c r="V463" s="21">
        <v>0.30974999999999991</v>
      </c>
      <c r="W463" s="21">
        <v>0.31645833333333367</v>
      </c>
      <c r="X463" s="21">
        <v>0.27502083333333355</v>
      </c>
      <c r="Y463" s="21">
        <v>0.11411111111111108</v>
      </c>
      <c r="Z463" s="23">
        <f>AVERAGE(Q463,U463)</f>
        <v>0.30954166666666655</v>
      </c>
      <c r="AA463" s="23">
        <f>AVERAGE(R463:T463,V463:X463)</f>
        <v>0.33203472222222236</v>
      </c>
      <c r="AB463" s="23">
        <f t="shared" si="7"/>
        <v>0.32794507575757587</v>
      </c>
    </row>
    <row r="464" spans="1:28">
      <c r="A464" s="9">
        <v>44171</v>
      </c>
      <c r="B464" s="3"/>
      <c r="C464" s="3"/>
      <c r="D464" s="3"/>
      <c r="E464" s="3"/>
      <c r="F464" s="3"/>
      <c r="G464" s="19">
        <v>44171</v>
      </c>
      <c r="H464" s="20">
        <v>19</v>
      </c>
      <c r="I464" s="20">
        <v>95.495833333333294</v>
      </c>
      <c r="J464" s="20">
        <v>4.8937499999999989</v>
      </c>
      <c r="K464" s="20">
        <v>1.5999999999999999</v>
      </c>
      <c r="L464" s="20">
        <v>209.04166666666666</v>
      </c>
      <c r="M464" s="20">
        <v>4.25</v>
      </c>
      <c r="N464" s="20">
        <v>0.125</v>
      </c>
      <c r="O464" s="20">
        <v>4.2354166666666675</v>
      </c>
      <c r="P464" s="10">
        <v>3.9172739305235654E-2</v>
      </c>
      <c r="Q464" s="21">
        <v>0.22968750000000024</v>
      </c>
      <c r="R464" s="21">
        <v>0.30799999999999988</v>
      </c>
      <c r="S464" s="21">
        <v>0.38412500000000022</v>
      </c>
      <c r="T464" s="21">
        <v>0.39799999999999985</v>
      </c>
      <c r="U464" s="21">
        <v>0.39193749999999977</v>
      </c>
      <c r="V464" s="21">
        <v>0.30931249999999977</v>
      </c>
      <c r="W464" s="21">
        <v>0.31600000000000028</v>
      </c>
      <c r="X464" s="21">
        <v>0.27358333333333329</v>
      </c>
      <c r="Y464" s="21">
        <v>0.11309756097560979</v>
      </c>
      <c r="Z464" s="23">
        <f>AVERAGE(Q464,U464)</f>
        <v>0.31081249999999999</v>
      </c>
      <c r="AA464" s="23">
        <f>AVERAGE(R464:T464,V464:X464)</f>
        <v>0.33150347222222226</v>
      </c>
      <c r="AB464" s="23">
        <f t="shared" si="7"/>
        <v>0.32774147727272729</v>
      </c>
    </row>
    <row r="465" spans="1:28">
      <c r="A465" s="9">
        <v>44172</v>
      </c>
      <c r="B465" s="3"/>
      <c r="C465" s="3"/>
      <c r="D465" s="3"/>
      <c r="E465" s="3"/>
      <c r="F465" s="3"/>
      <c r="G465" s="19">
        <v>44172</v>
      </c>
      <c r="H465" s="20">
        <v>16.041666666666668</v>
      </c>
      <c r="I465" s="20">
        <v>93.541666666666671</v>
      </c>
      <c r="J465" s="20">
        <v>3.7520833333333328</v>
      </c>
      <c r="K465" s="20">
        <v>0.4</v>
      </c>
      <c r="L465" s="20">
        <v>175.58333333333334</v>
      </c>
      <c r="M465" s="20">
        <v>2.1666666666666665</v>
      </c>
      <c r="N465" s="20">
        <v>0</v>
      </c>
      <c r="O465" s="20">
        <v>2.8020833333333344</v>
      </c>
      <c r="P465" s="10">
        <v>5.2330993928497133E-2</v>
      </c>
      <c r="Q465" s="21">
        <v>0.22912499999999983</v>
      </c>
      <c r="R465" s="21">
        <v>0.30697916666666675</v>
      </c>
      <c r="S465" s="21">
        <v>0.38349999999999967</v>
      </c>
      <c r="T465" s="21">
        <v>0.39697916666666683</v>
      </c>
      <c r="U465" s="21">
        <v>0.39106249999999987</v>
      </c>
      <c r="V465" s="21">
        <v>0.30902083333333302</v>
      </c>
      <c r="W465" s="21">
        <v>0.31577083333333344</v>
      </c>
      <c r="X465" s="21">
        <v>0.27333333333333326</v>
      </c>
      <c r="Y465" s="21">
        <v>0.11583333333333339</v>
      </c>
      <c r="Z465" s="23">
        <f>AVERAGE(Q465,U465)</f>
        <v>0.31009374999999983</v>
      </c>
      <c r="AA465" s="23">
        <f>AVERAGE(R465:T465,V465:X465)</f>
        <v>0.33093055555555545</v>
      </c>
      <c r="AB465" s="23">
        <f t="shared" si="7"/>
        <v>0.32714204545454534</v>
      </c>
    </row>
    <row r="466" spans="1:28">
      <c r="A466" s="9">
        <v>44173</v>
      </c>
      <c r="B466" s="3"/>
      <c r="C466" s="3"/>
      <c r="D466" s="3"/>
      <c r="E466" s="3"/>
      <c r="F466" s="3"/>
      <c r="G466" s="19">
        <v>44173</v>
      </c>
      <c r="H466" s="20">
        <v>57.666666666666664</v>
      </c>
      <c r="I466" s="20">
        <v>88.177083333333329</v>
      </c>
      <c r="J466" s="20">
        <v>5.1854166666666677</v>
      </c>
      <c r="K466" s="20">
        <v>0</v>
      </c>
      <c r="L466" s="20">
        <v>254.83333333333334</v>
      </c>
      <c r="M466" s="20">
        <v>4.416666666666667</v>
      </c>
      <c r="N466" s="20">
        <v>2.0833333333333332E-2</v>
      </c>
      <c r="O466" s="20">
        <v>3.337499999999999</v>
      </c>
      <c r="P466" s="10">
        <v>0.11148891545583965</v>
      </c>
      <c r="Q466" s="21">
        <v>0.22929166666666681</v>
      </c>
      <c r="R466" s="21">
        <v>0.30566666666666636</v>
      </c>
      <c r="S466" s="21">
        <v>0.38204166666666667</v>
      </c>
      <c r="T466" s="21">
        <v>0.39547916666666644</v>
      </c>
      <c r="U466" s="21">
        <v>0.39077083333333323</v>
      </c>
      <c r="V466" s="21">
        <v>0.3085833333333331</v>
      </c>
      <c r="W466" s="21">
        <v>0.31499999999999989</v>
      </c>
      <c r="X466" s="21">
        <v>0.2729791666666665</v>
      </c>
      <c r="Y466" s="21">
        <v>0.11491666666666676</v>
      </c>
      <c r="Z466" s="23">
        <f>AVERAGE(Q466,U466)</f>
        <v>0.31003125000000004</v>
      </c>
      <c r="AA466" s="23">
        <f>AVERAGE(R466:T466,V466:X466)</f>
        <v>0.32995833333333319</v>
      </c>
      <c r="AB466" s="23">
        <f t="shared" si="7"/>
        <v>0.32633522727272718</v>
      </c>
    </row>
    <row r="467" spans="1:28">
      <c r="A467" s="9">
        <v>44174</v>
      </c>
      <c r="B467" s="3"/>
      <c r="C467" s="3"/>
      <c r="D467" s="3"/>
      <c r="E467" s="3"/>
      <c r="F467" s="3"/>
      <c r="G467" s="19">
        <v>44174</v>
      </c>
      <c r="H467" s="20">
        <v>13.625</v>
      </c>
      <c r="I467" s="20">
        <v>96.233333333333348</v>
      </c>
      <c r="J467" s="20">
        <v>6.4041666666666694</v>
      </c>
      <c r="K467" s="20">
        <v>3.0000000000000004</v>
      </c>
      <c r="L467" s="20">
        <v>224.41666666666666</v>
      </c>
      <c r="M467" s="20">
        <v>3.2916666666666665</v>
      </c>
      <c r="N467" s="20">
        <v>2.0833333333333332E-2</v>
      </c>
      <c r="O467" s="20">
        <v>5.8333333333333357</v>
      </c>
      <c r="P467" s="10">
        <v>3.6257540217340851E-2</v>
      </c>
      <c r="Q467" s="21">
        <v>0.23043750000000005</v>
      </c>
      <c r="R467" s="21">
        <v>0.30629166666666668</v>
      </c>
      <c r="S467" s="21">
        <v>0.38243749999999982</v>
      </c>
      <c r="T467" s="21">
        <v>0.39499999999999974</v>
      </c>
      <c r="U467" s="21">
        <v>0.39235416666666684</v>
      </c>
      <c r="V467" s="21">
        <v>0.30810416666666657</v>
      </c>
      <c r="W467" s="21">
        <v>0.31499999999999989</v>
      </c>
      <c r="X467" s="21">
        <v>0.27175000000000032</v>
      </c>
      <c r="Y467" s="21">
        <v>0.11872916666666671</v>
      </c>
      <c r="Z467" s="23">
        <f>AVERAGE(Q467,U467)</f>
        <v>0.31139583333333343</v>
      </c>
      <c r="AA467" s="23">
        <f>AVERAGE(R467:T467,V467:X467)</f>
        <v>0.32976388888888886</v>
      </c>
      <c r="AB467" s="23">
        <f t="shared" si="7"/>
        <v>0.32642424242424239</v>
      </c>
    </row>
    <row r="468" spans="1:28">
      <c r="A468" s="9">
        <v>44175</v>
      </c>
      <c r="B468" s="3"/>
      <c r="C468" s="3"/>
      <c r="D468" s="3"/>
      <c r="E468" s="3"/>
      <c r="F468" s="3"/>
      <c r="G468" s="19">
        <v>44175</v>
      </c>
      <c r="H468" s="20">
        <v>21.333333333333332</v>
      </c>
      <c r="I468" s="20">
        <v>93.8125</v>
      </c>
      <c r="J468" s="20">
        <v>4.5479166666666684</v>
      </c>
      <c r="K468" s="20">
        <v>1</v>
      </c>
      <c r="L468" s="20">
        <v>180.125</v>
      </c>
      <c r="M468" s="20">
        <v>1.8958333333333333</v>
      </c>
      <c r="N468" s="20">
        <v>2.0833333333333332E-2</v>
      </c>
      <c r="O468" s="20">
        <v>3.6250000000000004</v>
      </c>
      <c r="P468" s="10">
        <v>5.3346311561002648E-2</v>
      </c>
      <c r="Q468" s="21">
        <v>0.23018750000000024</v>
      </c>
      <c r="R468" s="21">
        <v>0.3061249999999997</v>
      </c>
      <c r="S468" s="21">
        <v>0.38227083333333334</v>
      </c>
      <c r="T468" s="21">
        <v>0.39464583333333292</v>
      </c>
      <c r="U468" s="21">
        <v>0.39214583333333314</v>
      </c>
      <c r="V468" s="21">
        <v>0.30877083333333316</v>
      </c>
      <c r="W468" s="21">
        <v>0.31495833333333323</v>
      </c>
      <c r="X468" s="21">
        <v>0.27166666666666694</v>
      </c>
      <c r="Y468" s="21">
        <v>0.13222916666666659</v>
      </c>
      <c r="Z468" s="23">
        <f>AVERAGE(Q468,U468)</f>
        <v>0.3111666666666667</v>
      </c>
      <c r="AA468" s="23">
        <f>AVERAGE(R468:T468,V468:X468)</f>
        <v>0.32973958333333325</v>
      </c>
      <c r="AB468" s="23">
        <f t="shared" si="7"/>
        <v>0.32636268939393931</v>
      </c>
    </row>
    <row r="469" spans="1:28">
      <c r="A469" s="9">
        <v>44176</v>
      </c>
      <c r="B469" s="3"/>
      <c r="C469" s="3"/>
      <c r="D469" s="3"/>
      <c r="E469" s="3"/>
      <c r="F469" s="3"/>
      <c r="G469" s="19">
        <v>44176</v>
      </c>
      <c r="H469" s="20">
        <v>17.5</v>
      </c>
      <c r="I469" s="20">
        <v>96.514583333333306</v>
      </c>
      <c r="J469" s="20">
        <v>5.1187499999999995</v>
      </c>
      <c r="K469" s="20">
        <v>2.1999999999999997</v>
      </c>
      <c r="L469" s="20">
        <v>213.91666666666666</v>
      </c>
      <c r="M469" s="20">
        <v>1.3333333333333333</v>
      </c>
      <c r="N469" s="20">
        <v>0</v>
      </c>
      <c r="O469" s="20">
        <v>4.6083333333333334</v>
      </c>
      <c r="P469" s="10">
        <v>3.0713582662449876E-2</v>
      </c>
      <c r="Q469" s="21">
        <v>0.23002083333333359</v>
      </c>
      <c r="R469" s="21">
        <v>0.30527083333333316</v>
      </c>
      <c r="S469" s="21">
        <v>0.38112500000000016</v>
      </c>
      <c r="T469" s="21">
        <v>0.39391666666666664</v>
      </c>
      <c r="U469" s="21">
        <v>0.3920208333333331</v>
      </c>
      <c r="V469" s="21">
        <v>0.30750000000000005</v>
      </c>
      <c r="W469" s="21">
        <v>0.3143541666666666</v>
      </c>
      <c r="X469" s="21">
        <v>0.2710000000000003</v>
      </c>
      <c r="Y469" s="21">
        <v>0.14377083333333332</v>
      </c>
      <c r="Z469" s="23">
        <f>AVERAGE(Q469,U469)</f>
        <v>0.31102083333333336</v>
      </c>
      <c r="AA469" s="23">
        <f>AVERAGE(R469:T469,V469:X469)</f>
        <v>0.32886111111111122</v>
      </c>
      <c r="AB469" s="23">
        <f t="shared" si="7"/>
        <v>0.32561742424242435</v>
      </c>
    </row>
    <row r="470" spans="1:28">
      <c r="A470" s="9">
        <v>44177</v>
      </c>
      <c r="B470" s="3"/>
      <c r="C470" s="3"/>
      <c r="D470" s="3"/>
      <c r="E470" s="3"/>
      <c r="F470" s="3"/>
      <c r="G470" s="19">
        <v>44177</v>
      </c>
      <c r="H470" s="20">
        <v>18.979166666666668</v>
      </c>
      <c r="I470" s="20">
        <v>96.085416666666674</v>
      </c>
      <c r="J470" s="20">
        <v>5.2229166666666655</v>
      </c>
      <c r="K470" s="20">
        <v>1.5999999999999999</v>
      </c>
      <c r="L470" s="20">
        <v>185.0625</v>
      </c>
      <c r="M470" s="20">
        <v>1.375</v>
      </c>
      <c r="N470" s="20">
        <v>0</v>
      </c>
      <c r="O470" s="20">
        <v>4.6437500000000016</v>
      </c>
      <c r="P470" s="10">
        <v>3.4840588850235381E-2</v>
      </c>
      <c r="Q470" s="21">
        <v>0.23020833333333349</v>
      </c>
      <c r="R470" s="21">
        <v>0.30499999999999983</v>
      </c>
      <c r="S470" s="21">
        <v>0.38060416666666685</v>
      </c>
      <c r="T470" s="21">
        <v>0.39308333333333367</v>
      </c>
      <c r="U470" s="21">
        <v>0.39208333333333317</v>
      </c>
      <c r="V470" s="21">
        <v>0.3075208333333333</v>
      </c>
      <c r="W470" s="21">
        <v>0.31408333333333338</v>
      </c>
      <c r="X470" s="21">
        <v>0.2708958333333335</v>
      </c>
      <c r="Y470" s="21">
        <v>0.15935416666666671</v>
      </c>
      <c r="Z470" s="23">
        <f>AVERAGE(Q470,U470)</f>
        <v>0.31114583333333334</v>
      </c>
      <c r="AA470" s="23">
        <f>AVERAGE(R470:T470,V470:X470)</f>
        <v>0.32853125000000011</v>
      </c>
      <c r="AB470" s="23">
        <f t="shared" si="7"/>
        <v>0.32537026515151529</v>
      </c>
    </row>
    <row r="471" spans="1:28">
      <c r="A471" s="9">
        <v>44178</v>
      </c>
      <c r="B471" s="3"/>
      <c r="C471" s="3"/>
      <c r="D471" s="3"/>
      <c r="E471" s="3"/>
      <c r="F471" s="3"/>
      <c r="G471" s="19">
        <v>44178</v>
      </c>
      <c r="H471" s="20">
        <v>20.395833333333332</v>
      </c>
      <c r="I471" s="20">
        <v>95.822916666666686</v>
      </c>
      <c r="J471" s="20">
        <v>5.0750000000000002</v>
      </c>
      <c r="K471" s="20">
        <v>1.9999999999999998</v>
      </c>
      <c r="L471" s="20">
        <v>145.60416666666666</v>
      </c>
      <c r="M471" s="20">
        <v>2.2916666666666665</v>
      </c>
      <c r="N471" s="20">
        <v>0</v>
      </c>
      <c r="O471" s="20">
        <v>4.4562500000000016</v>
      </c>
      <c r="P471" s="10">
        <v>3.6739609797924025E-2</v>
      </c>
      <c r="Q471" s="21">
        <v>0.2309999999999999</v>
      </c>
      <c r="R471" s="21">
        <v>0.30499999999999983</v>
      </c>
      <c r="S471" s="21">
        <v>0.38018750000000029</v>
      </c>
      <c r="T471" s="21">
        <v>0.39237499999999986</v>
      </c>
      <c r="U471" s="21">
        <v>0.39272916666666696</v>
      </c>
      <c r="V471" s="21">
        <v>0.3073333333333334</v>
      </c>
      <c r="W471" s="21">
        <v>0.314</v>
      </c>
      <c r="X471" s="21">
        <v>0.27056249999999998</v>
      </c>
      <c r="Y471" s="21">
        <v>0.17685416666666656</v>
      </c>
      <c r="Z471" s="23">
        <f>AVERAGE(Q471,U471)</f>
        <v>0.31186458333333344</v>
      </c>
      <c r="AA471" s="23">
        <f>AVERAGE(R471:T471,V471:X471)</f>
        <v>0.32824305555555561</v>
      </c>
      <c r="AB471" s="23">
        <f t="shared" si="7"/>
        <v>0.32526515151515162</v>
      </c>
    </row>
    <row r="472" spans="1:28">
      <c r="A472" s="9">
        <v>44179</v>
      </c>
      <c r="B472" s="3"/>
      <c r="C472" s="3"/>
      <c r="D472" s="3"/>
      <c r="E472" s="3"/>
      <c r="F472" s="3"/>
      <c r="G472" s="19">
        <v>44179</v>
      </c>
      <c r="H472" s="20">
        <v>27.229166666666668</v>
      </c>
      <c r="I472" s="20">
        <v>93.839583333333351</v>
      </c>
      <c r="J472" s="20">
        <v>2.160416666666666</v>
      </c>
      <c r="K472" s="20">
        <v>1.2</v>
      </c>
      <c r="L472" s="20">
        <v>212.52083333333334</v>
      </c>
      <c r="M472" s="20">
        <v>4.354166666666667</v>
      </c>
      <c r="N472" s="20">
        <v>0</v>
      </c>
      <c r="O472" s="20">
        <v>1.26875</v>
      </c>
      <c r="P472" s="10">
        <v>4.4001778672470404E-2</v>
      </c>
      <c r="Q472" s="21">
        <v>0.23027083333333356</v>
      </c>
      <c r="R472" s="21">
        <v>0.30412500000000026</v>
      </c>
      <c r="S472" s="21">
        <v>0.37958333333333344</v>
      </c>
      <c r="T472" s="21">
        <v>0.39185416666666634</v>
      </c>
      <c r="U472" s="21">
        <v>0.39300000000000029</v>
      </c>
      <c r="V472" s="21">
        <v>0.30700000000000022</v>
      </c>
      <c r="W472" s="21">
        <v>0.314</v>
      </c>
      <c r="X472" s="21">
        <v>0.2703958333333335</v>
      </c>
      <c r="Y472" s="21">
        <v>0.20847916666666669</v>
      </c>
      <c r="Z472" s="23">
        <f>AVERAGE(Q472,U472)</f>
        <v>0.31163541666666694</v>
      </c>
      <c r="AA472" s="23">
        <f>AVERAGE(R472:T472,V472:X472)</f>
        <v>0.32782638888888899</v>
      </c>
      <c r="AB472" s="23">
        <f t="shared" si="7"/>
        <v>0.32488257575757584</v>
      </c>
    </row>
    <row r="473" spans="1:28">
      <c r="A473" s="9">
        <v>44180</v>
      </c>
      <c r="B473" s="3"/>
      <c r="C473" s="3"/>
      <c r="D473" s="3"/>
      <c r="E473" s="3"/>
      <c r="F473" s="3"/>
      <c r="G473" s="19">
        <v>44180</v>
      </c>
      <c r="H473" s="20">
        <v>27.520833333333332</v>
      </c>
      <c r="I473" s="20">
        <v>92.941666666666677</v>
      </c>
      <c r="J473" s="20">
        <v>-0.13541666666666663</v>
      </c>
      <c r="K473" s="20">
        <v>0.4</v>
      </c>
      <c r="L473" s="20">
        <v>212.5</v>
      </c>
      <c r="M473" s="20">
        <v>3.1041666666666665</v>
      </c>
      <c r="N473" s="20">
        <v>2.0833333333333332E-2</v>
      </c>
      <c r="O473" s="20">
        <v>-1.1479166666666665</v>
      </c>
      <c r="P473" s="10">
        <v>4.3312034491937233E-2</v>
      </c>
      <c r="Q473" s="21">
        <v>0.2285208333333332</v>
      </c>
      <c r="R473" s="21">
        <v>0.30177083333333327</v>
      </c>
      <c r="S473" s="21">
        <v>0.37722916666666695</v>
      </c>
      <c r="T473" s="21">
        <v>0.39047916666666677</v>
      </c>
      <c r="U473" s="21">
        <v>0.39149999999999974</v>
      </c>
      <c r="V473" s="21">
        <v>0.30549999999999988</v>
      </c>
      <c r="W473" s="21">
        <v>0.31287499999999996</v>
      </c>
      <c r="X473" s="21">
        <v>0.26987499999999981</v>
      </c>
      <c r="Y473" s="21">
        <v>0.19819230769230767</v>
      </c>
      <c r="Z473" s="23">
        <f>AVERAGE(Q473,U473)</f>
        <v>0.31001041666666646</v>
      </c>
      <c r="AA473" s="23">
        <f>AVERAGE(R473:T473,V473:X473)</f>
        <v>0.32628819444444446</v>
      </c>
      <c r="AB473" s="23">
        <f t="shared" si="7"/>
        <v>0.32332859848484846</v>
      </c>
    </row>
    <row r="474" spans="1:28">
      <c r="A474" s="9">
        <v>44181</v>
      </c>
      <c r="B474" s="3"/>
      <c r="C474" s="3"/>
      <c r="D474" s="3"/>
      <c r="E474" s="3"/>
      <c r="F474" s="3"/>
      <c r="G474" s="19">
        <v>44181</v>
      </c>
      <c r="H474" s="20">
        <v>29.6875</v>
      </c>
      <c r="I474" s="20">
        <v>89.818750000000009</v>
      </c>
      <c r="J474" s="20">
        <v>0.51666666666666672</v>
      </c>
      <c r="K474" s="20">
        <v>0</v>
      </c>
      <c r="L474" s="20">
        <v>219.20833333333334</v>
      </c>
      <c r="M474" s="20">
        <v>3.0833333333333335</v>
      </c>
      <c r="N474" s="20">
        <v>2.0833333333333332E-2</v>
      </c>
      <c r="O474" s="20">
        <v>-0.97291666666666654</v>
      </c>
      <c r="P474" s="10">
        <v>6.690368200667593E-2</v>
      </c>
      <c r="Q474" s="21">
        <v>0.22793749999999993</v>
      </c>
      <c r="R474" s="21">
        <v>0.29958333333333309</v>
      </c>
      <c r="S474" s="21">
        <v>0.3746666666666667</v>
      </c>
      <c r="T474" s="21">
        <v>0.38841666666666685</v>
      </c>
      <c r="U474" s="21">
        <v>0.39022916666666685</v>
      </c>
      <c r="V474" s="21">
        <v>0.30435416666666681</v>
      </c>
      <c r="W474" s="21">
        <v>0.31152083333333336</v>
      </c>
      <c r="X474" s="21">
        <v>0.26902083333333343</v>
      </c>
      <c r="Y474" s="21">
        <v>0.18942500000000004</v>
      </c>
      <c r="Z474" s="23">
        <f>AVERAGE(Q474,U474)</f>
        <v>0.30908333333333338</v>
      </c>
      <c r="AA474" s="23">
        <f>AVERAGE(R474:T474,V474:X474)</f>
        <v>0.32459375000000007</v>
      </c>
      <c r="AB474" s="23">
        <f t="shared" si="7"/>
        <v>0.32177367424242426</v>
      </c>
    </row>
    <row r="475" spans="1:28">
      <c r="A475" s="9">
        <v>44182</v>
      </c>
      <c r="B475" s="3"/>
      <c r="C475" s="3"/>
      <c r="D475" s="3"/>
      <c r="E475" s="3"/>
      <c r="F475" s="3"/>
      <c r="G475" s="19">
        <v>44182</v>
      </c>
      <c r="H475" s="20">
        <v>31.958333333333332</v>
      </c>
      <c r="I475" s="20">
        <v>91.164583333333326</v>
      </c>
      <c r="J475" s="20">
        <v>-0.37083333333333329</v>
      </c>
      <c r="K475" s="20">
        <v>0.2</v>
      </c>
      <c r="L475" s="20">
        <v>226.75</v>
      </c>
      <c r="M475" s="20">
        <v>3.375</v>
      </c>
      <c r="N475" s="20">
        <v>0</v>
      </c>
      <c r="O475" s="20">
        <v>-1.6583333333333334</v>
      </c>
      <c r="P475" s="10">
        <v>5.4211959950310022E-2</v>
      </c>
      <c r="Q475" s="21">
        <v>0.22810416666666655</v>
      </c>
      <c r="R475" s="21">
        <v>0.29837500000000006</v>
      </c>
      <c r="S475" s="21">
        <v>0.3730624999999998</v>
      </c>
      <c r="T475" s="21">
        <v>0.38649999999999979</v>
      </c>
      <c r="U475" s="21">
        <v>0.38927083333333301</v>
      </c>
      <c r="V475" s="21">
        <v>0.30345833333333372</v>
      </c>
      <c r="W475" s="21">
        <v>0.31041666666666684</v>
      </c>
      <c r="X475" s="21">
        <v>0.26825000000000015</v>
      </c>
      <c r="Y475" s="39" t="e">
        <f>#REF!*0.5711-0.0033</f>
        <v>#REF!</v>
      </c>
      <c r="Z475" s="23">
        <f>AVERAGE(Q475,U475)</f>
        <v>0.30868749999999978</v>
      </c>
      <c r="AA475" s="23">
        <f>AVERAGE(R475:T475,V475:X475)</f>
        <v>0.32334375000000004</v>
      </c>
      <c r="AB475" s="23">
        <f t="shared" si="7"/>
        <v>0.32067897727272726</v>
      </c>
    </row>
    <row r="476" spans="1:28">
      <c r="A476" s="9">
        <v>44183</v>
      </c>
      <c r="B476" s="3"/>
      <c r="C476" s="3"/>
      <c r="D476" s="3"/>
      <c r="E476" s="3"/>
      <c r="F476" s="3"/>
      <c r="G476" s="19">
        <v>44183</v>
      </c>
      <c r="H476" s="20">
        <v>51.041666666666664</v>
      </c>
      <c r="I476" s="20">
        <v>86.110416666666694</v>
      </c>
      <c r="J476" s="20">
        <v>0.85416666666666652</v>
      </c>
      <c r="K476" s="20">
        <v>0</v>
      </c>
      <c r="L476" s="20">
        <v>236.22916666666666</v>
      </c>
      <c r="M476" s="20">
        <v>4.479166666666667</v>
      </c>
      <c r="N476" s="20">
        <v>8.3333333333333329E-2</v>
      </c>
      <c r="O476" s="20">
        <v>-1.2583333333333326</v>
      </c>
      <c r="P476" s="10">
        <v>9.5774588902808586E-2</v>
      </c>
      <c r="Q476" s="21">
        <v>0.22843749999999977</v>
      </c>
      <c r="R476" s="21">
        <v>0.29743750000000008</v>
      </c>
      <c r="S476" s="21">
        <v>0.37193749999999998</v>
      </c>
      <c r="T476" s="21">
        <v>0.38506250000000009</v>
      </c>
      <c r="U476" s="21">
        <v>0.38943749999999994</v>
      </c>
      <c r="V476" s="21">
        <v>0.30272916666666683</v>
      </c>
      <c r="W476" s="21">
        <v>0.31000000000000011</v>
      </c>
      <c r="X476" s="21">
        <v>0.26727083333333318</v>
      </c>
      <c r="Y476" s="21">
        <v>0.17833333333333337</v>
      </c>
      <c r="Z476" s="23">
        <f>AVERAGE(Q476,U476)</f>
        <v>0.30893749999999986</v>
      </c>
      <c r="AA476" s="23">
        <f>AVERAGE(R476:T476,V476:X476)</f>
        <v>0.32240625000000006</v>
      </c>
      <c r="AB476" s="23">
        <f t="shared" si="7"/>
        <v>0.31995738636363635</v>
      </c>
    </row>
    <row r="477" spans="1:28">
      <c r="A477" s="9">
        <v>44184</v>
      </c>
      <c r="B477" s="3"/>
      <c r="C477" s="3"/>
      <c r="D477" s="3"/>
      <c r="E477" s="3"/>
      <c r="F477" s="3"/>
      <c r="G477" s="19">
        <v>44184</v>
      </c>
      <c r="H477" s="20">
        <v>34.645833333333336</v>
      </c>
      <c r="I477" s="20">
        <v>83.656250000000028</v>
      </c>
      <c r="J477" s="20">
        <v>0.12291666666666677</v>
      </c>
      <c r="K477" s="20">
        <v>0</v>
      </c>
      <c r="L477" s="20">
        <v>204.54166666666666</v>
      </c>
      <c r="M477" s="20">
        <v>4.6875</v>
      </c>
      <c r="N477" s="20">
        <v>0</v>
      </c>
      <c r="O477" s="20">
        <v>-2.3374999999999995</v>
      </c>
      <c r="P477" s="10">
        <v>0.1027343529573549</v>
      </c>
      <c r="Q477" s="21">
        <v>0.22870833333333307</v>
      </c>
      <c r="R477" s="21">
        <v>0.29712500000000019</v>
      </c>
      <c r="S477" s="21">
        <v>0.37135416666666671</v>
      </c>
      <c r="T477" s="21">
        <v>0.38452083333333337</v>
      </c>
      <c r="U477" s="21">
        <v>0.38945833333333324</v>
      </c>
      <c r="V477" s="21">
        <v>0.30285416666666681</v>
      </c>
      <c r="W477" s="21">
        <v>0.30966666666666648</v>
      </c>
      <c r="X477" s="21">
        <v>0.26689583333333328</v>
      </c>
      <c r="Y477" s="21">
        <v>0.17375675675675667</v>
      </c>
      <c r="Z477" s="23">
        <f>AVERAGE(Q477,U477)</f>
        <v>0.30908333333333315</v>
      </c>
      <c r="AA477" s="23">
        <f>AVERAGE(R477:T477,V477:X477)</f>
        <v>0.32206944444444452</v>
      </c>
      <c r="AB477" s="23">
        <f t="shared" si="7"/>
        <v>0.31970833333333337</v>
      </c>
    </row>
    <row r="478" spans="1:28">
      <c r="A478" s="9">
        <v>44185</v>
      </c>
      <c r="B478" s="3"/>
      <c r="C478" s="3"/>
      <c r="D478" s="3"/>
      <c r="E478" s="3"/>
      <c r="F478" s="3"/>
      <c r="G478" s="19">
        <v>44185</v>
      </c>
      <c r="H478" s="20"/>
      <c r="I478" s="20"/>
      <c r="J478" s="20"/>
      <c r="K478" s="20"/>
      <c r="L478" s="20"/>
      <c r="M478" s="20"/>
      <c r="N478" s="20"/>
      <c r="O478" s="20"/>
      <c r="P478" s="10">
        <v>0.14848026759848687</v>
      </c>
      <c r="Q478" s="21">
        <v>0.22854166666666662</v>
      </c>
      <c r="R478" s="21">
        <v>0.29658333333333348</v>
      </c>
      <c r="S478" s="21">
        <v>0.37004166666666644</v>
      </c>
      <c r="T478" s="21">
        <v>0.38381250000000011</v>
      </c>
      <c r="U478" s="21">
        <v>0.39002083333333326</v>
      </c>
      <c r="V478" s="21">
        <v>0.30241666666666678</v>
      </c>
      <c r="W478" s="21">
        <v>0.30899999999999972</v>
      </c>
      <c r="X478" s="21">
        <v>0.26624999999999999</v>
      </c>
      <c r="Y478" s="21">
        <v>0.16949999999999993</v>
      </c>
      <c r="Z478" s="23">
        <f>AVERAGE(Q478,U478)</f>
        <v>0.30928124999999995</v>
      </c>
      <c r="AA478" s="23">
        <f>AVERAGE(R478:T478,V478:X478)</f>
        <v>0.32135069444444442</v>
      </c>
      <c r="AB478" s="23">
        <f t="shared" si="7"/>
        <v>0.31915624999999997</v>
      </c>
    </row>
    <row r="479" spans="1:28">
      <c r="A479" s="9">
        <v>44186</v>
      </c>
      <c r="B479" s="3"/>
      <c r="C479" s="3"/>
      <c r="D479" s="3"/>
      <c r="E479" s="3"/>
      <c r="F479" s="3"/>
      <c r="G479" s="19">
        <v>44186</v>
      </c>
      <c r="H479" s="20"/>
      <c r="I479" s="20"/>
      <c r="J479" s="20"/>
      <c r="K479" s="20"/>
      <c r="L479" s="20"/>
      <c r="M479" s="20"/>
      <c r="N479" s="20"/>
      <c r="O479" s="20"/>
      <c r="P479" s="10"/>
      <c r="Q479" s="21">
        <v>0.23072916666666674</v>
      </c>
      <c r="R479" s="21">
        <v>0.29777083333333337</v>
      </c>
      <c r="S479" s="21">
        <v>0.37081249999999999</v>
      </c>
      <c r="T479" s="21">
        <v>0.38383333333333347</v>
      </c>
      <c r="U479" s="21">
        <v>0.39483333333333331</v>
      </c>
      <c r="V479" s="21">
        <v>0.30320833333333325</v>
      </c>
      <c r="W479" s="21">
        <v>0.30922916666666667</v>
      </c>
      <c r="X479" s="21">
        <v>0.26602083333333337</v>
      </c>
      <c r="Y479" s="21">
        <v>0.16302500000000003</v>
      </c>
      <c r="Z479" s="23">
        <f>AVERAGE(Q479,U479)</f>
        <v>0.31278125000000001</v>
      </c>
      <c r="AA479" s="23">
        <f>AVERAGE(R479:T479,V479:X479)</f>
        <v>0.3218125</v>
      </c>
      <c r="AB479" s="23">
        <f t="shared" si="7"/>
        <v>0.32017045454545456</v>
      </c>
    </row>
    <row r="480" spans="1:28">
      <c r="A480" s="9">
        <v>44187</v>
      </c>
      <c r="B480" s="3"/>
      <c r="C480" s="3"/>
      <c r="D480" s="3"/>
      <c r="E480" s="3"/>
      <c r="F480" s="3"/>
      <c r="G480" s="19">
        <v>44187</v>
      </c>
      <c r="H480" s="20"/>
      <c r="I480" s="20"/>
      <c r="J480" s="20"/>
      <c r="K480" s="20"/>
      <c r="L480" s="20"/>
      <c r="M480" s="20"/>
      <c r="N480" s="20"/>
      <c r="O480" s="20"/>
      <c r="P480" s="10"/>
      <c r="Q480" s="21">
        <v>0.23250000000000007</v>
      </c>
      <c r="R480" s="21">
        <v>0.3010000000000001</v>
      </c>
      <c r="S480" s="21">
        <v>0.3739791666666667</v>
      </c>
      <c r="T480" s="21">
        <v>0.38516666666666649</v>
      </c>
      <c r="U480" s="21">
        <v>0.39912500000000034</v>
      </c>
      <c r="V480" s="21">
        <v>0.30545833333333317</v>
      </c>
      <c r="W480" s="21">
        <v>0.3108541666666666</v>
      </c>
      <c r="X480" s="21">
        <v>0.26687499999999986</v>
      </c>
      <c r="Y480" s="21">
        <v>0.15621428571428572</v>
      </c>
      <c r="Z480" s="23">
        <f>AVERAGE(Q480,U480)</f>
        <v>0.31581250000000022</v>
      </c>
      <c r="AA480" s="23">
        <f>AVERAGE(R480:T480,V480:X480)</f>
        <v>0.32388888888888884</v>
      </c>
      <c r="AB480" s="23">
        <f t="shared" si="7"/>
        <v>0.32242045454545459</v>
      </c>
    </row>
    <row r="481" spans="1:28">
      <c r="A481" s="9">
        <v>44188</v>
      </c>
      <c r="B481" s="3"/>
      <c r="C481" s="3"/>
      <c r="D481" s="3"/>
      <c r="E481" s="3"/>
      <c r="F481" s="3"/>
      <c r="G481" s="19">
        <v>44188</v>
      </c>
      <c r="H481" s="20"/>
      <c r="I481" s="20"/>
      <c r="J481" s="20"/>
      <c r="K481" s="20"/>
      <c r="L481" s="20"/>
      <c r="M481" s="20"/>
      <c r="N481" s="20"/>
      <c r="O481" s="20"/>
      <c r="P481" s="10"/>
      <c r="Q481" s="21">
        <v>0.23233333333333347</v>
      </c>
      <c r="R481" s="21">
        <v>0.3010000000000001</v>
      </c>
      <c r="S481" s="21">
        <v>0.37410416666666668</v>
      </c>
      <c r="T481" s="21">
        <v>0.38597916666666632</v>
      </c>
      <c r="U481" s="21">
        <v>0.39925000000000027</v>
      </c>
      <c r="V481" s="21">
        <v>0.30583333333333301</v>
      </c>
      <c r="W481" s="21">
        <v>0.311</v>
      </c>
      <c r="X481" s="21">
        <v>0.26699999999999985</v>
      </c>
      <c r="Y481" s="21">
        <v>0.15035483870967734</v>
      </c>
      <c r="Z481" s="23">
        <f>AVERAGE(Q481,U481)</f>
        <v>0.31579166666666686</v>
      </c>
      <c r="AA481" s="23">
        <f>AVERAGE(R481:T481,V481:X481)</f>
        <v>0.32415277777777768</v>
      </c>
      <c r="AB481" s="23">
        <f t="shared" si="7"/>
        <v>0.3226325757575757</v>
      </c>
    </row>
    <row r="482" spans="1:28">
      <c r="A482" s="9">
        <v>44189</v>
      </c>
      <c r="B482" s="3"/>
      <c r="C482" s="3"/>
      <c r="D482" s="3"/>
      <c r="E482" s="3"/>
      <c r="F482" s="3"/>
      <c r="G482" s="19">
        <v>44189</v>
      </c>
      <c r="H482" s="20"/>
      <c r="I482" s="20"/>
      <c r="J482" s="20"/>
      <c r="K482" s="20"/>
      <c r="L482" s="20"/>
      <c r="M482" s="20"/>
      <c r="N482" s="20"/>
      <c r="O482" s="20"/>
      <c r="P482" s="10"/>
      <c r="Q482" s="21">
        <v>0.23225000000000021</v>
      </c>
      <c r="R482" s="21">
        <v>0.30070833333333347</v>
      </c>
      <c r="S482" s="21">
        <v>0.3742708333333335</v>
      </c>
      <c r="T482" s="21">
        <v>0.38599999999999962</v>
      </c>
      <c r="U482" s="21">
        <v>0.3994166666666667</v>
      </c>
      <c r="V482" s="21">
        <v>0.3058749999999999</v>
      </c>
      <c r="W482" s="21">
        <v>0.311</v>
      </c>
      <c r="X482" s="21">
        <v>0.26699999999999985</v>
      </c>
      <c r="Y482" s="21">
        <v>0.14610869565217383</v>
      </c>
      <c r="Z482" s="23">
        <f>AVERAGE(Q482,U482)</f>
        <v>0.31583333333333347</v>
      </c>
      <c r="AA482" s="23">
        <f>AVERAGE(R482:T482,V482:X482)</f>
        <v>0.32414236111111105</v>
      </c>
      <c r="AB482" s="23">
        <f t="shared" si="7"/>
        <v>0.32263162878787877</v>
      </c>
    </row>
    <row r="483" spans="1:28">
      <c r="A483" s="9">
        <v>44190</v>
      </c>
      <c r="B483" s="3"/>
      <c r="C483" s="3"/>
      <c r="D483" s="3"/>
      <c r="E483" s="3"/>
      <c r="F483" s="3"/>
      <c r="G483" s="19">
        <v>44190</v>
      </c>
      <c r="H483" s="20"/>
      <c r="I483" s="20"/>
      <c r="J483" s="20"/>
      <c r="K483" s="20"/>
      <c r="L483" s="20"/>
      <c r="M483" s="20"/>
      <c r="N483" s="20"/>
      <c r="O483" s="20"/>
      <c r="P483" s="10"/>
      <c r="Q483" s="21">
        <v>0.23256250000000023</v>
      </c>
      <c r="R483" s="21">
        <v>0.3010000000000001</v>
      </c>
      <c r="S483" s="21">
        <v>0.3746458333333334</v>
      </c>
      <c r="T483" s="21">
        <v>0.38599999999999962</v>
      </c>
      <c r="U483" s="21">
        <v>0.3998541666666669</v>
      </c>
      <c r="V483" s="21">
        <v>0.30570833333333297</v>
      </c>
      <c r="W483" s="21">
        <v>0.3113749999999999</v>
      </c>
      <c r="X483" s="21">
        <v>0.26681249999999984</v>
      </c>
      <c r="Y483" s="21">
        <v>0.14209677419354833</v>
      </c>
      <c r="Z483" s="23">
        <f>AVERAGE(Q483,U483)</f>
        <v>0.31620833333333354</v>
      </c>
      <c r="AA483" s="23">
        <f>AVERAGE(R483:T483,V483:X483)</f>
        <v>0.32425694444444436</v>
      </c>
      <c r="AB483" s="23">
        <f t="shared" si="7"/>
        <v>0.32279356060606057</v>
      </c>
    </row>
    <row r="484" spans="1:28">
      <c r="A484" s="9">
        <v>44191</v>
      </c>
      <c r="B484" s="3"/>
      <c r="C484" s="3"/>
      <c r="D484" s="3"/>
      <c r="E484" s="3"/>
      <c r="F484" s="3"/>
      <c r="G484" s="19">
        <v>44191</v>
      </c>
      <c r="H484" s="20"/>
      <c r="I484" s="20"/>
      <c r="J484" s="20"/>
      <c r="K484" s="20"/>
      <c r="L484" s="20"/>
      <c r="M484" s="20"/>
      <c r="N484" s="20"/>
      <c r="O484" s="20"/>
      <c r="P484" s="10"/>
      <c r="Q484" s="21">
        <v>0.23297916666666671</v>
      </c>
      <c r="R484" s="21">
        <v>0.3010000000000001</v>
      </c>
      <c r="S484" s="21">
        <v>0.37493749999999998</v>
      </c>
      <c r="T484" s="21">
        <v>0.38599999999999962</v>
      </c>
      <c r="U484" s="21">
        <v>0.40027083333333335</v>
      </c>
      <c r="V484" s="21">
        <v>0.3053958333333332</v>
      </c>
      <c r="W484" s="21">
        <v>0.31149999999999983</v>
      </c>
      <c r="X484" s="21">
        <v>0.26614583333333336</v>
      </c>
      <c r="Y484" s="21">
        <v>0.1408958333333333</v>
      </c>
      <c r="Z484" s="23">
        <f>AVERAGE(Q484,U484)</f>
        <v>0.31662500000000005</v>
      </c>
      <c r="AA484" s="23">
        <f>AVERAGE(R484:T484,V484:X484)</f>
        <v>0.32416319444444436</v>
      </c>
      <c r="AB484" s="23">
        <f t="shared" si="7"/>
        <v>0.32279261363636358</v>
      </c>
    </row>
    <row r="485" spans="1:28">
      <c r="A485" s="9">
        <v>44192</v>
      </c>
      <c r="B485" s="3"/>
      <c r="C485" s="3"/>
      <c r="D485" s="3"/>
      <c r="E485" s="3"/>
      <c r="F485" s="3"/>
      <c r="G485" s="19">
        <v>44192</v>
      </c>
      <c r="H485" s="20"/>
      <c r="I485" s="20"/>
      <c r="J485" s="20"/>
      <c r="K485" s="20"/>
      <c r="L485" s="20"/>
      <c r="M485" s="20"/>
      <c r="N485" s="20"/>
      <c r="O485" s="20"/>
      <c r="P485" s="10"/>
      <c r="Q485" s="21">
        <v>0.23266666666666672</v>
      </c>
      <c r="R485" s="21">
        <v>0.3005208333333334</v>
      </c>
      <c r="S485" s="21">
        <v>0.3742708333333335</v>
      </c>
      <c r="T485" s="21">
        <v>0.38599999999999962</v>
      </c>
      <c r="U485" s="21">
        <v>0.40008333333333357</v>
      </c>
      <c r="V485" s="21">
        <v>0.30545833333333311</v>
      </c>
      <c r="W485" s="21">
        <v>0.31154166666666661</v>
      </c>
      <c r="X485" s="21">
        <v>0.26637499999999992</v>
      </c>
      <c r="Y485" s="21">
        <v>0.14026086956521747</v>
      </c>
      <c r="Z485" s="23">
        <f>AVERAGE(Q485,U485)</f>
        <v>0.31637500000000013</v>
      </c>
      <c r="AA485" s="23">
        <f>AVERAGE(R485:T485,V485:X485)</f>
        <v>0.32402777777777775</v>
      </c>
      <c r="AB485" s="23">
        <f t="shared" si="7"/>
        <v>0.32263636363636367</v>
      </c>
    </row>
    <row r="486" spans="1:28">
      <c r="A486" s="9">
        <v>44193</v>
      </c>
      <c r="B486" s="3"/>
      <c r="C486" s="3"/>
      <c r="D486" s="3"/>
      <c r="E486" s="3"/>
      <c r="F486" s="3"/>
      <c r="G486" s="19">
        <v>44193</v>
      </c>
      <c r="H486" s="20"/>
      <c r="I486" s="20"/>
      <c r="J486" s="20"/>
      <c r="K486" s="20"/>
      <c r="L486" s="20"/>
      <c r="M486" s="20"/>
      <c r="N486" s="20"/>
      <c r="O486" s="20"/>
      <c r="P486" s="10"/>
      <c r="Q486" s="21">
        <v>0.23572916666666663</v>
      </c>
      <c r="R486" s="21">
        <v>0.30258333333333332</v>
      </c>
      <c r="S486" s="21">
        <v>0.37618750000000006</v>
      </c>
      <c r="T486" s="21">
        <v>0.38664583333333363</v>
      </c>
      <c r="U486" s="21">
        <v>0.40475</v>
      </c>
      <c r="V486" s="21">
        <v>0.30710416666666673</v>
      </c>
      <c r="W486" s="21">
        <v>0.31222916666666684</v>
      </c>
      <c r="X486" s="21">
        <v>0.26645833333333319</v>
      </c>
      <c r="Y486" s="21">
        <v>0.13823809523809524</v>
      </c>
      <c r="Z486" s="23">
        <f>AVERAGE(Q486,U486)</f>
        <v>0.3202395833333333</v>
      </c>
      <c r="AA486" s="23">
        <f>AVERAGE(R486:T486,V486:X486)</f>
        <v>0.32520138888888894</v>
      </c>
      <c r="AB486" s="23">
        <f t="shared" si="7"/>
        <v>0.32429924242424246</v>
      </c>
    </row>
    <row r="487" spans="1:28">
      <c r="A487" s="9">
        <v>44194</v>
      </c>
      <c r="B487" s="3"/>
      <c r="C487" s="3"/>
      <c r="D487" s="3"/>
      <c r="E487" s="3"/>
      <c r="F487" s="3"/>
      <c r="G487" s="19">
        <v>44194</v>
      </c>
      <c r="H487" s="20"/>
      <c r="I487" s="20"/>
      <c r="J487" s="20"/>
      <c r="K487" s="20"/>
      <c r="L487" s="20"/>
      <c r="M487" s="20"/>
      <c r="N487" s="20"/>
      <c r="O487" s="20"/>
      <c r="P487" s="10"/>
      <c r="Q487" s="21">
        <v>0.23541666666666669</v>
      </c>
      <c r="R487" s="21">
        <v>0.30431250000000015</v>
      </c>
      <c r="S487" s="21">
        <v>0.37883333333333319</v>
      </c>
      <c r="T487" s="21">
        <v>0.38868749999999963</v>
      </c>
      <c r="U487" s="21">
        <v>0.40564583333333304</v>
      </c>
      <c r="V487" s="21">
        <v>0.31016666666666676</v>
      </c>
      <c r="W487" s="21">
        <v>0.31375000000000008</v>
      </c>
      <c r="X487" s="21">
        <v>0.26779166666666682</v>
      </c>
      <c r="Y487" s="21">
        <v>0.1344166666666666</v>
      </c>
      <c r="Z487" s="23">
        <f>AVERAGE(Q487,U487)</f>
        <v>0.32053124999999988</v>
      </c>
      <c r="AA487" s="23">
        <f>AVERAGE(R487:T487,V487:X487)</f>
        <v>0.32725694444444448</v>
      </c>
      <c r="AB487" s="23">
        <f t="shared" si="7"/>
        <v>0.32603409090909091</v>
      </c>
    </row>
    <row r="488" spans="1:28">
      <c r="A488" s="9">
        <v>44195</v>
      </c>
      <c r="B488" s="3"/>
      <c r="C488" s="3"/>
      <c r="D488" s="3"/>
      <c r="E488" s="3"/>
      <c r="F488" s="3"/>
      <c r="G488" s="19">
        <v>44195</v>
      </c>
      <c r="H488" s="20"/>
      <c r="I488" s="20"/>
      <c r="J488" s="20"/>
      <c r="K488" s="20"/>
      <c r="L488" s="20"/>
      <c r="M488" s="20"/>
      <c r="N488" s="20"/>
      <c r="O488" s="20"/>
      <c r="P488" s="10"/>
      <c r="Q488" s="21">
        <v>0.23183333333333334</v>
      </c>
      <c r="R488" s="21">
        <v>0.30145833333333344</v>
      </c>
      <c r="S488" s="21">
        <v>0.37618749999999984</v>
      </c>
      <c r="T488" s="21">
        <v>0.38810416666666675</v>
      </c>
      <c r="U488" s="21">
        <v>0.40027083333333358</v>
      </c>
      <c r="V488" s="21">
        <v>0.30822916666666672</v>
      </c>
      <c r="W488" s="21">
        <v>0.31277083333333316</v>
      </c>
      <c r="X488" s="21">
        <v>0.26797916666666682</v>
      </c>
      <c r="Y488" s="21">
        <v>0.13077083333333336</v>
      </c>
      <c r="Z488" s="23">
        <f>AVERAGE(Q488,U488)</f>
        <v>0.31605208333333346</v>
      </c>
      <c r="AA488" s="23">
        <f>AVERAGE(R488:T488,V488:X488)</f>
        <v>0.32578819444444446</v>
      </c>
      <c r="AB488" s="23">
        <f t="shared" si="7"/>
        <v>0.32401799242424245</v>
      </c>
    </row>
    <row r="489" spans="1:28">
      <c r="A489" s="9">
        <v>44196</v>
      </c>
      <c r="B489" s="3"/>
      <c r="C489" s="3"/>
      <c r="D489" s="3"/>
      <c r="E489" s="3"/>
      <c r="F489" s="3"/>
      <c r="G489" s="19">
        <v>44196</v>
      </c>
      <c r="H489" s="20"/>
      <c r="I489" s="20"/>
      <c r="J489" s="20"/>
      <c r="K489" s="20"/>
      <c r="L489" s="20"/>
      <c r="M489" s="20"/>
      <c r="N489" s="20"/>
      <c r="O489" s="20"/>
      <c r="P489" s="10"/>
      <c r="Q489" s="21">
        <v>0.23004166666666684</v>
      </c>
      <c r="R489" s="21">
        <v>0.29866666666666675</v>
      </c>
      <c r="S489" s="21">
        <v>0.37293749999999987</v>
      </c>
      <c r="T489" s="21">
        <v>0.38608333333333328</v>
      </c>
      <c r="U489" s="21">
        <v>0.39631250000000035</v>
      </c>
      <c r="V489" s="21">
        <v>0.30564583333333323</v>
      </c>
      <c r="W489" s="21">
        <v>0.31104166666666672</v>
      </c>
      <c r="X489" s="21">
        <v>0.2669999999999999</v>
      </c>
      <c r="Y489" s="21">
        <v>0.12809090909090909</v>
      </c>
      <c r="Z489" s="23">
        <f>AVERAGE(Q489,U489)</f>
        <v>0.31317708333333361</v>
      </c>
      <c r="AA489" s="23">
        <f>AVERAGE(R489:T489,V489:X489)</f>
        <v>0.32356249999999992</v>
      </c>
      <c r="AB489" s="23">
        <f t="shared" si="7"/>
        <v>0.32167424242424242</v>
      </c>
    </row>
    <row r="490" spans="1:28">
      <c r="A490" s="9">
        <v>44197</v>
      </c>
      <c r="B490" s="3"/>
      <c r="C490" s="3"/>
      <c r="D490" s="3"/>
      <c r="E490" s="3"/>
      <c r="F490" s="3"/>
      <c r="G490" s="19">
        <v>44197</v>
      </c>
      <c r="H490" s="20"/>
      <c r="I490" s="20"/>
      <c r="J490" s="20"/>
      <c r="K490" s="20"/>
      <c r="L490" s="20"/>
      <c r="M490" s="20"/>
      <c r="N490" s="20"/>
      <c r="O490" s="20"/>
      <c r="P490" s="10"/>
      <c r="Q490" s="21">
        <v>0.22958333333333336</v>
      </c>
      <c r="R490" s="21">
        <v>0.29702083333333351</v>
      </c>
      <c r="S490" s="21">
        <v>0.37077083333333299</v>
      </c>
      <c r="T490" s="21">
        <v>0.38460416666666669</v>
      </c>
      <c r="U490" s="21">
        <v>0.39466666666666694</v>
      </c>
      <c r="V490" s="21">
        <v>0.30437500000000012</v>
      </c>
      <c r="W490" s="21">
        <v>0.30995833333333339</v>
      </c>
      <c r="X490" s="21">
        <v>0.26602083333333332</v>
      </c>
      <c r="Y490" s="21">
        <v>0.12622222222222215</v>
      </c>
      <c r="Z490" s="23">
        <f>AVERAGE(Q490,U490)</f>
        <v>0.31212500000000015</v>
      </c>
      <c r="AA490" s="23">
        <f>AVERAGE(R490:T490,V490:X490)</f>
        <v>0.32212499999999999</v>
      </c>
      <c r="AB490" s="23">
        <f t="shared" si="7"/>
        <v>0.32030681818181816</v>
      </c>
    </row>
    <row r="491" spans="1:28">
      <c r="A491" s="9">
        <v>44198</v>
      </c>
      <c r="B491" s="3"/>
      <c r="C491" s="3"/>
      <c r="D491" s="3"/>
      <c r="E491" s="3"/>
      <c r="F491" s="3"/>
      <c r="G491" s="19">
        <v>44198</v>
      </c>
      <c r="H491" s="20"/>
      <c r="I491" s="20"/>
      <c r="J491" s="20"/>
      <c r="K491" s="20"/>
      <c r="L491" s="20"/>
      <c r="M491" s="20"/>
      <c r="N491" s="20"/>
      <c r="O491" s="20"/>
      <c r="P491" s="10"/>
      <c r="Q491" s="21">
        <v>0.23093749999999993</v>
      </c>
      <c r="R491" s="21">
        <v>0.29722916666666682</v>
      </c>
      <c r="S491" s="21">
        <v>0.37100000000000016</v>
      </c>
      <c r="T491" s="21">
        <v>0.38400000000000017</v>
      </c>
      <c r="U491" s="21">
        <v>0.39614583333333359</v>
      </c>
      <c r="V491" s="21">
        <v>0.30443750000000008</v>
      </c>
      <c r="W491" s="21">
        <v>0.31000000000000011</v>
      </c>
      <c r="X491" s="21">
        <v>0.2652916666666667</v>
      </c>
      <c r="Y491" s="39" t="e">
        <f>#REF!*0.5711-0.0033</f>
        <v>#REF!</v>
      </c>
      <c r="Z491" s="23">
        <f>AVERAGE(Q491,U491)</f>
        <v>0.31354166666666677</v>
      </c>
      <c r="AA491" s="23">
        <f>AVERAGE(R491:T491,V491:X491)</f>
        <v>0.32199305555555569</v>
      </c>
      <c r="AB491" s="23">
        <f t="shared" si="7"/>
        <v>0.32045643939393953</v>
      </c>
    </row>
    <row r="492" spans="1:28">
      <c r="A492" s="9">
        <v>44199</v>
      </c>
      <c r="B492" s="3"/>
      <c r="C492" s="3"/>
      <c r="D492" s="3"/>
      <c r="E492" s="3"/>
      <c r="F492" s="3"/>
      <c r="G492" s="19">
        <v>44199</v>
      </c>
      <c r="H492" s="20"/>
      <c r="I492" s="20"/>
      <c r="J492" s="20"/>
      <c r="K492" s="20"/>
      <c r="L492" s="20"/>
      <c r="M492" s="20"/>
      <c r="N492" s="20"/>
      <c r="O492" s="20"/>
      <c r="P492" s="10"/>
      <c r="Q492" s="21">
        <v>0.2309999999999999</v>
      </c>
      <c r="R492" s="21">
        <v>0.2972916666666669</v>
      </c>
      <c r="S492" s="21">
        <v>0.37075000000000019</v>
      </c>
      <c r="T492" s="21">
        <v>0.38395833333333346</v>
      </c>
      <c r="U492" s="21">
        <v>0.39543749999999983</v>
      </c>
      <c r="V492" s="21">
        <v>0.30387500000000017</v>
      </c>
      <c r="W492" s="21">
        <v>0.3097499999999998</v>
      </c>
      <c r="X492" s="21">
        <v>0.26445833333333346</v>
      </c>
      <c r="Y492" s="39" t="e">
        <f>#REF!*0.5711-0.0033</f>
        <v>#REF!</v>
      </c>
      <c r="Z492" s="23">
        <f>AVERAGE(Q492,U492)</f>
        <v>0.31321874999999988</v>
      </c>
      <c r="AA492" s="23">
        <f>AVERAGE(R492:T492,V492:X492)</f>
        <v>0.32168055555555564</v>
      </c>
      <c r="AB492" s="23">
        <f t="shared" si="7"/>
        <v>0.3201420454545455</v>
      </c>
    </row>
    <row r="493" spans="1:28">
      <c r="A493" s="9">
        <v>44200</v>
      </c>
      <c r="B493" s="3"/>
      <c r="C493" s="3"/>
      <c r="D493" s="3"/>
      <c r="E493" s="3"/>
      <c r="F493" s="3"/>
      <c r="G493" s="19">
        <v>44200</v>
      </c>
      <c r="H493" s="20"/>
      <c r="I493" s="20"/>
      <c r="J493" s="20"/>
      <c r="K493" s="20"/>
      <c r="L493" s="20"/>
      <c r="M493" s="20"/>
      <c r="N493" s="20"/>
      <c r="O493" s="20"/>
      <c r="P493" s="10"/>
      <c r="Q493" s="21">
        <v>0.23070833333333332</v>
      </c>
      <c r="R493" s="21">
        <v>0.29700000000000021</v>
      </c>
      <c r="S493" s="21">
        <v>0.3700833333333331</v>
      </c>
      <c r="T493" s="21">
        <v>0.38306249999999958</v>
      </c>
      <c r="U493" s="21">
        <v>0.39454166666666657</v>
      </c>
      <c r="V493" s="21">
        <v>0.30241666666666661</v>
      </c>
      <c r="W493" s="21">
        <v>0.3092916666666663</v>
      </c>
      <c r="X493" s="21">
        <v>0.26377083333333334</v>
      </c>
      <c r="Y493" s="39" t="e">
        <f>#REF!*0.5711-0.0033</f>
        <v>#REF!</v>
      </c>
      <c r="Z493" s="23">
        <f>AVERAGE(Q493,U493)</f>
        <v>0.31262499999999993</v>
      </c>
      <c r="AA493" s="23">
        <f>AVERAGE(R493:T493,V493:X493)</f>
        <v>0.32093749999999982</v>
      </c>
      <c r="AB493" s="23">
        <f t="shared" si="7"/>
        <v>0.3194261363636362</v>
      </c>
    </row>
    <row r="494" spans="1:28">
      <c r="A494" s="9">
        <v>44201</v>
      </c>
      <c r="B494" s="3"/>
      <c r="C494" s="3"/>
      <c r="D494" s="3"/>
      <c r="E494" s="3"/>
      <c r="F494" s="3"/>
      <c r="G494" s="19">
        <v>44201</v>
      </c>
      <c r="H494" s="20"/>
      <c r="I494" s="20"/>
      <c r="J494" s="20"/>
      <c r="K494" s="20"/>
      <c r="L494" s="20"/>
      <c r="M494" s="20"/>
      <c r="N494" s="20"/>
      <c r="O494" s="20"/>
      <c r="P494" s="10"/>
      <c r="Q494" s="21">
        <v>0.23112499999999989</v>
      </c>
      <c r="R494" s="21">
        <v>0.29700000000000021</v>
      </c>
      <c r="S494" s="21">
        <v>0.36999999999999972</v>
      </c>
      <c r="T494" s="21">
        <v>0.38299999999999951</v>
      </c>
      <c r="U494" s="21">
        <v>0.39504166666666646</v>
      </c>
      <c r="V494" s="21">
        <v>0.30291666666666689</v>
      </c>
      <c r="W494" s="21">
        <v>0.30899999999999972</v>
      </c>
      <c r="X494" s="21">
        <v>0.26362499999999983</v>
      </c>
      <c r="Y494" s="21">
        <v>0.18483783783783783</v>
      </c>
      <c r="Z494" s="23">
        <f>AVERAGE(Q494,U494)</f>
        <v>0.31308333333333316</v>
      </c>
      <c r="AA494" s="23">
        <f>AVERAGE(R494:T494,V494:X494)</f>
        <v>0.32092361111111095</v>
      </c>
      <c r="AB494" s="23">
        <f t="shared" si="7"/>
        <v>0.31949810606060591</v>
      </c>
    </row>
    <row r="495" spans="1:28">
      <c r="A495" s="9">
        <v>44202</v>
      </c>
      <c r="B495" s="3"/>
      <c r="C495" s="3"/>
      <c r="D495" s="3"/>
      <c r="E495" s="3"/>
      <c r="F495" s="3"/>
      <c r="G495" s="19">
        <v>44202</v>
      </c>
      <c r="H495" s="20">
        <v>28.076923076923077</v>
      </c>
      <c r="I495" s="20">
        <v>94.402564102564099</v>
      </c>
      <c r="J495" s="20">
        <v>0.75128205128205117</v>
      </c>
      <c r="K495" s="20">
        <v>0.60000000000000009</v>
      </c>
      <c r="L495" s="20">
        <v>217.02564102564102</v>
      </c>
      <c r="M495" s="20">
        <v>3.4358974358974357</v>
      </c>
      <c r="N495" s="20">
        <v>0.12820512820512819</v>
      </c>
      <c r="O495" s="20">
        <v>-4.3589743589743608E-2</v>
      </c>
      <c r="P495" s="10">
        <v>3.6279950429882565E-2</v>
      </c>
      <c r="Q495" s="21">
        <v>0.2309999999999999</v>
      </c>
      <c r="R495" s="21">
        <v>0.29662499999999997</v>
      </c>
      <c r="S495" s="21">
        <v>0.36937499999999995</v>
      </c>
      <c r="T495" s="21">
        <v>0.38250000000000006</v>
      </c>
      <c r="U495" s="21">
        <v>0.39418749999999986</v>
      </c>
      <c r="V495" s="21">
        <v>0.30233333333333318</v>
      </c>
      <c r="W495" s="21">
        <v>0.30891666666666645</v>
      </c>
      <c r="X495" s="21">
        <v>0.26333333333333325</v>
      </c>
      <c r="Y495" s="21">
        <v>0.18681250000000008</v>
      </c>
      <c r="Z495" s="23">
        <f>AVERAGE(Q495,U495)</f>
        <v>0.31259374999999989</v>
      </c>
      <c r="AA495" s="23">
        <f>AVERAGE(R495:T495,V495:X495)</f>
        <v>0.32051388888888882</v>
      </c>
      <c r="AB495" s="23">
        <f t="shared" si="7"/>
        <v>0.31907386363636359</v>
      </c>
    </row>
    <row r="496" spans="1:28">
      <c r="A496" s="9">
        <v>44203</v>
      </c>
      <c r="B496" s="3"/>
      <c r="C496" s="3"/>
      <c r="D496" s="3"/>
      <c r="E496" s="3"/>
      <c r="F496" s="3"/>
      <c r="G496" s="19">
        <v>44203</v>
      </c>
      <c r="H496" s="20">
        <v>19.5</v>
      </c>
      <c r="I496" s="20">
        <v>93.293749999999989</v>
      </c>
      <c r="J496" s="20">
        <v>-1.3791666666666667</v>
      </c>
      <c r="K496" s="20">
        <v>0.2</v>
      </c>
      <c r="L496" s="20">
        <v>227.27083333333334</v>
      </c>
      <c r="M496" s="20">
        <v>4.916666666666667</v>
      </c>
      <c r="N496" s="20">
        <v>0.10416666666666667</v>
      </c>
      <c r="O496" s="20">
        <v>-2.3291666666666666</v>
      </c>
      <c r="P496" s="10">
        <v>3.7003657403551764E-2</v>
      </c>
      <c r="Q496" s="21">
        <v>0.23018750000000018</v>
      </c>
      <c r="R496" s="21">
        <v>0.29525000000000001</v>
      </c>
      <c r="S496" s="21">
        <v>0.36847916666666664</v>
      </c>
      <c r="T496" s="21">
        <v>0.3816666666666666</v>
      </c>
      <c r="U496" s="21">
        <v>0.39231249999999962</v>
      </c>
      <c r="V496" s="21">
        <v>0.30179166666666651</v>
      </c>
      <c r="W496" s="21">
        <v>0.30806249999999991</v>
      </c>
      <c r="X496" s="21">
        <v>0.26299999999999996</v>
      </c>
      <c r="Y496" s="21">
        <v>0.18734042553191493</v>
      </c>
      <c r="Z496" s="23">
        <f>AVERAGE(Q496,U496)</f>
        <v>0.31124999999999992</v>
      </c>
      <c r="AA496" s="23">
        <f>AVERAGE(R496:T496,V496:X496)</f>
        <v>0.31970833333333326</v>
      </c>
      <c r="AB496" s="23">
        <f t="shared" si="7"/>
        <v>0.31817045454545445</v>
      </c>
    </row>
    <row r="497" spans="1:28">
      <c r="A497" s="9">
        <v>44204</v>
      </c>
      <c r="B497" s="3"/>
      <c r="C497" s="3"/>
      <c r="D497" s="3"/>
      <c r="E497" s="3"/>
      <c r="F497" s="3"/>
      <c r="G497" s="19">
        <v>44204</v>
      </c>
      <c r="H497" s="20">
        <v>23.916666666666668</v>
      </c>
      <c r="I497" s="20">
        <v>90.470833333333346</v>
      </c>
      <c r="J497" s="20">
        <v>-2.9520833333333347</v>
      </c>
      <c r="K497" s="20">
        <v>0</v>
      </c>
      <c r="L497" s="20">
        <v>219.04166666666666</v>
      </c>
      <c r="M497" s="20">
        <v>4.604166666666667</v>
      </c>
      <c r="N497" s="20">
        <v>6.25E-2</v>
      </c>
      <c r="O497" s="20">
        <v>-4.3000000000000007</v>
      </c>
      <c r="P497" s="10">
        <v>4.7151724524248657E-2</v>
      </c>
      <c r="Q497" s="21">
        <v>0.22860416666666647</v>
      </c>
      <c r="R497" s="21">
        <v>0.29304166666666653</v>
      </c>
      <c r="S497" s="21">
        <v>0.36597916666666652</v>
      </c>
      <c r="T497" s="21">
        <v>0.38000000000000034</v>
      </c>
      <c r="U497" s="21">
        <v>0.38949999999999968</v>
      </c>
      <c r="V497" s="21">
        <v>0.30064583333333367</v>
      </c>
      <c r="W497" s="21">
        <v>0.30672916666666655</v>
      </c>
      <c r="X497" s="21">
        <v>0.26299999999999996</v>
      </c>
      <c r="Y497" s="21">
        <v>0.18381250000000005</v>
      </c>
      <c r="Z497" s="23">
        <f>AVERAGE(Q497,U497)</f>
        <v>0.30905208333333306</v>
      </c>
      <c r="AA497" s="23">
        <f>AVERAGE(R497:T497,V497:X497)</f>
        <v>0.31823263888888892</v>
      </c>
      <c r="AB497" s="23">
        <f t="shared" si="7"/>
        <v>0.31656344696969696</v>
      </c>
    </row>
    <row r="498" spans="1:28">
      <c r="A498" s="9">
        <v>44205</v>
      </c>
      <c r="B498" s="3"/>
      <c r="C498" s="3"/>
      <c r="D498" s="3"/>
      <c r="E498" s="3"/>
      <c r="F498" s="3"/>
      <c r="G498" s="19">
        <v>44205</v>
      </c>
      <c r="H498" s="20">
        <v>54.25</v>
      </c>
      <c r="I498" s="20">
        <v>78.566666666666663</v>
      </c>
      <c r="J498" s="20">
        <v>-1.5770833333333336</v>
      </c>
      <c r="K498" s="20">
        <v>0.2</v>
      </c>
      <c r="L498" s="20">
        <v>233.75</v>
      </c>
      <c r="M498" s="20">
        <v>3.9583333333333335</v>
      </c>
      <c r="N498" s="20">
        <v>2.0833333333333332E-2</v>
      </c>
      <c r="O498" s="20">
        <v>-4.9291666666666663</v>
      </c>
      <c r="P498" s="10">
        <v>0.12209767764246758</v>
      </c>
      <c r="Q498" s="21">
        <v>0.22852083333333309</v>
      </c>
      <c r="R498" s="21">
        <v>0.29175000000000001</v>
      </c>
      <c r="S498" s="21">
        <v>0.36420833333333374</v>
      </c>
      <c r="T498" s="21">
        <v>0.37829166666666664</v>
      </c>
      <c r="U498" s="21">
        <v>0.38887500000000008</v>
      </c>
      <c r="V498" s="21">
        <v>0.29960416666666673</v>
      </c>
      <c r="W498" s="21">
        <v>0.30535416666666648</v>
      </c>
      <c r="X498" s="21">
        <v>0.26210416666666697</v>
      </c>
      <c r="Y498" s="21">
        <v>0.1806521739130435</v>
      </c>
      <c r="Z498" s="23">
        <f>AVERAGE(Q498,U498)</f>
        <v>0.30869791666666657</v>
      </c>
      <c r="AA498" s="23">
        <f>AVERAGE(R498:T498,V498:X498)</f>
        <v>0.31688541666666675</v>
      </c>
      <c r="AB498" s="23">
        <f t="shared" si="7"/>
        <v>0.31539678030303031</v>
      </c>
    </row>
    <row r="499" spans="1:28">
      <c r="A499" s="9">
        <v>44206</v>
      </c>
      <c r="B499" s="3"/>
      <c r="C499" s="3"/>
      <c r="D499" s="3"/>
      <c r="E499" s="3"/>
      <c r="F499" s="3"/>
      <c r="G499" s="19">
        <v>44206</v>
      </c>
      <c r="H499" s="20">
        <v>33.604166666666664</v>
      </c>
      <c r="I499" s="20">
        <v>75.177083333333329</v>
      </c>
      <c r="J499" s="20">
        <v>-1.1937499999999996</v>
      </c>
      <c r="K499" s="20">
        <v>0</v>
      </c>
      <c r="L499" s="20">
        <v>199.4375</v>
      </c>
      <c r="M499" s="20">
        <v>4.020833333333333</v>
      </c>
      <c r="N499" s="20">
        <v>0</v>
      </c>
      <c r="O499" s="20">
        <v>-5.0687500000000005</v>
      </c>
      <c r="P499" s="10">
        <v>0.14028227452256437</v>
      </c>
      <c r="Q499" s="21">
        <v>0.2288958333333331</v>
      </c>
      <c r="R499" s="21">
        <v>0.29125000000000023</v>
      </c>
      <c r="S499" s="21">
        <v>0.36347916666666641</v>
      </c>
      <c r="T499" s="21">
        <v>0.37702083333333342</v>
      </c>
      <c r="U499" s="21">
        <v>0.38899999999999985</v>
      </c>
      <c r="V499" s="21">
        <v>0.29960416666666673</v>
      </c>
      <c r="W499" s="21">
        <v>0.30499999999999983</v>
      </c>
      <c r="X499" s="21">
        <v>0.26139583333333311</v>
      </c>
      <c r="Y499" s="21">
        <v>0.17587179487179494</v>
      </c>
      <c r="Z499" s="23">
        <f>AVERAGE(Q499,U499)</f>
        <v>0.30894791666666649</v>
      </c>
      <c r="AA499" s="23">
        <f>AVERAGE(R499:T499,V499:X499)</f>
        <v>0.31629166666666658</v>
      </c>
      <c r="AB499" s="23">
        <f t="shared" si="7"/>
        <v>0.3149564393939393</v>
      </c>
    </row>
    <row r="500" spans="1:28">
      <c r="A500" s="9">
        <v>44207</v>
      </c>
      <c r="B500" s="3"/>
      <c r="C500" s="3"/>
      <c r="D500" s="3"/>
      <c r="E500" s="3"/>
      <c r="F500" s="3"/>
      <c r="G500" s="19">
        <v>44207</v>
      </c>
      <c r="H500" s="20">
        <v>35.25</v>
      </c>
      <c r="I500" s="20">
        <v>80.558333333333323</v>
      </c>
      <c r="J500" s="20">
        <v>-1.252083333333333</v>
      </c>
      <c r="K500" s="20">
        <v>0.4</v>
      </c>
      <c r="L500" s="20">
        <v>202.27083333333334</v>
      </c>
      <c r="M500" s="20">
        <v>4.479166666666667</v>
      </c>
      <c r="N500" s="20">
        <v>0</v>
      </c>
      <c r="O500" s="20">
        <v>-4.2250000000000005</v>
      </c>
      <c r="P500" s="10">
        <v>0.11102442650166555</v>
      </c>
      <c r="Q500" s="21">
        <v>0.22858333333333311</v>
      </c>
      <c r="R500" s="21">
        <v>0.29041666666666638</v>
      </c>
      <c r="S500" s="21">
        <v>0.36270833333333313</v>
      </c>
      <c r="T500" s="21">
        <v>0.37610416666666663</v>
      </c>
      <c r="U500" s="21">
        <v>0.3885416666666664</v>
      </c>
      <c r="V500" s="21">
        <v>0.29881249999999998</v>
      </c>
      <c r="W500" s="21">
        <v>0.3046875</v>
      </c>
      <c r="X500" s="21">
        <v>0.26099999999999979</v>
      </c>
      <c r="Y500" s="21">
        <v>0.17256666666666665</v>
      </c>
      <c r="Z500" s="23">
        <f>AVERAGE(Q500,U500)</f>
        <v>0.30856249999999974</v>
      </c>
      <c r="AA500" s="23">
        <f>AVERAGE(R500:T500,V500:X500)</f>
        <v>0.31562152777777763</v>
      </c>
      <c r="AB500" s="23">
        <f t="shared" si="7"/>
        <v>0.31433806818181798</v>
      </c>
    </row>
    <row r="501" spans="1:28">
      <c r="A501" s="9">
        <v>44208</v>
      </c>
      <c r="B501" s="3"/>
      <c r="C501" s="3"/>
      <c r="D501" s="3"/>
      <c r="E501" s="3"/>
      <c r="F501" s="3"/>
      <c r="G501" s="19">
        <v>44208</v>
      </c>
      <c r="H501" s="20">
        <v>129.02083333333334</v>
      </c>
      <c r="I501" s="20">
        <v>52.79583333333332</v>
      </c>
      <c r="J501" s="20">
        <v>3.2166666666666672</v>
      </c>
      <c r="K501" s="20">
        <v>0</v>
      </c>
      <c r="L501" s="20">
        <v>162.33333333333334</v>
      </c>
      <c r="M501" s="20">
        <v>6.1875</v>
      </c>
      <c r="N501" s="20">
        <v>0.70833333333333337</v>
      </c>
      <c r="O501" s="20">
        <v>-6.887500000000002</v>
      </c>
      <c r="P501" s="10">
        <v>0.42675090022809731</v>
      </c>
      <c r="Q501" s="21">
        <v>0.23006250000000014</v>
      </c>
      <c r="R501" s="21">
        <v>0.2907708333333332</v>
      </c>
      <c r="S501" s="21">
        <v>0.36237500000000006</v>
      </c>
      <c r="T501" s="21">
        <v>0.37520833333333331</v>
      </c>
      <c r="U501" s="21">
        <v>0.39122916666666691</v>
      </c>
      <c r="V501" s="21">
        <v>0.29879166666666673</v>
      </c>
      <c r="W501" s="21">
        <v>0.30414583333333345</v>
      </c>
      <c r="X501" s="21">
        <v>0.26099999999999979</v>
      </c>
      <c r="Y501" s="21">
        <v>0.16718518518518521</v>
      </c>
      <c r="Z501" s="23">
        <f>AVERAGE(Q501,U501)</f>
        <v>0.31064583333333351</v>
      </c>
      <c r="AA501" s="23">
        <f>AVERAGE(R501:T501,V501:X501)</f>
        <v>0.3153819444444444</v>
      </c>
      <c r="AB501" s="23">
        <f t="shared" si="7"/>
        <v>0.31452083333333331</v>
      </c>
    </row>
    <row r="502" spans="1:28">
      <c r="A502" s="9">
        <v>44209</v>
      </c>
      <c r="B502" s="3"/>
      <c r="C502" s="3"/>
      <c r="D502" s="3"/>
      <c r="E502" s="3"/>
      <c r="F502" s="3"/>
      <c r="G502" s="19">
        <v>44209</v>
      </c>
      <c r="H502" s="20">
        <v>146.375</v>
      </c>
      <c r="I502" s="20">
        <v>50.60416666666665</v>
      </c>
      <c r="J502" s="20">
        <v>6.560416666666665</v>
      </c>
      <c r="K502" s="20">
        <v>0</v>
      </c>
      <c r="L502" s="20">
        <v>181.52083333333334</v>
      </c>
      <c r="M502" s="20">
        <v>3.9583333333333335</v>
      </c>
      <c r="N502" s="20">
        <v>8.3333333333333329E-2</v>
      </c>
      <c r="O502" s="20">
        <v>-3.2791666666666686</v>
      </c>
      <c r="P502" s="10">
        <v>0.54395172872547282</v>
      </c>
      <c r="Q502" s="21">
        <v>0.23324999999999999</v>
      </c>
      <c r="R502" s="21">
        <v>0.29414583333333338</v>
      </c>
      <c r="S502" s="21">
        <v>0.36543750000000008</v>
      </c>
      <c r="T502" s="21">
        <v>0.37595833333333317</v>
      </c>
      <c r="U502" s="21">
        <v>0.39789583333333328</v>
      </c>
      <c r="V502" s="21">
        <v>0.30141666666666672</v>
      </c>
      <c r="W502" s="21">
        <v>0.30518749999999978</v>
      </c>
      <c r="X502" s="21">
        <v>0.26102083333333315</v>
      </c>
      <c r="Y502" s="21">
        <v>0.1594883720930233</v>
      </c>
      <c r="Z502" s="23">
        <f>AVERAGE(Q502,U502)</f>
        <v>0.31557291666666665</v>
      </c>
      <c r="AA502" s="23">
        <f>AVERAGE(R502:T502,V502:X502)</f>
        <v>0.31719444444444433</v>
      </c>
      <c r="AB502" s="23">
        <f t="shared" si="7"/>
        <v>0.31689962121212106</v>
      </c>
    </row>
    <row r="503" spans="1:28">
      <c r="A503" s="9">
        <v>44210</v>
      </c>
      <c r="B503" s="3"/>
      <c r="C503" s="3"/>
      <c r="D503" s="3"/>
      <c r="E503" s="3"/>
      <c r="F503" s="3"/>
      <c r="G503" s="19">
        <v>44210</v>
      </c>
      <c r="H503" s="20">
        <v>146.375</v>
      </c>
      <c r="I503" s="20">
        <v>56.26874999999999</v>
      </c>
      <c r="J503" s="20">
        <v>7.770833333333333</v>
      </c>
      <c r="K503" s="20">
        <v>0</v>
      </c>
      <c r="L503" s="20">
        <v>142.8125</v>
      </c>
      <c r="M503" s="20">
        <v>2.75</v>
      </c>
      <c r="N503" s="20">
        <v>2.0833333333333332E-2</v>
      </c>
      <c r="O503" s="20">
        <v>-0.82500000000000029</v>
      </c>
      <c r="P503" s="10">
        <v>0.54148254646061955</v>
      </c>
      <c r="Q503" s="21">
        <v>0.23645833333333333</v>
      </c>
      <c r="R503" s="21">
        <v>0.29812500000000008</v>
      </c>
      <c r="S503" s="21">
        <v>0.36949999999999988</v>
      </c>
      <c r="T503" s="21">
        <v>0.37839583333333332</v>
      </c>
      <c r="U503" s="21">
        <v>0.40514583333333337</v>
      </c>
      <c r="V503" s="21">
        <v>0.30549999999999988</v>
      </c>
      <c r="W503" s="21">
        <v>0.30795833333333317</v>
      </c>
      <c r="X503" s="21">
        <v>0.26235416666666678</v>
      </c>
      <c r="Y503" s="21">
        <v>0.15118604651162795</v>
      </c>
      <c r="Z503" s="23">
        <f>AVERAGE(Q503,U503)</f>
        <v>0.32080208333333338</v>
      </c>
      <c r="AA503" s="23">
        <f>AVERAGE(R503:T503,V503:X503)</f>
        <v>0.32030555555555545</v>
      </c>
      <c r="AB503" s="23">
        <f t="shared" si="7"/>
        <v>0.32039583333333327</v>
      </c>
    </row>
    <row r="504" spans="1:28">
      <c r="A504" s="9">
        <v>44211</v>
      </c>
      <c r="B504" s="3"/>
      <c r="C504" s="3"/>
      <c r="D504" s="3"/>
      <c r="E504" s="3"/>
      <c r="F504" s="3"/>
      <c r="G504" s="19">
        <v>44211</v>
      </c>
      <c r="H504" s="20">
        <v>143.04166666666666</v>
      </c>
      <c r="I504" s="20">
        <v>61.687499999999979</v>
      </c>
      <c r="J504" s="20">
        <v>10.316666666666672</v>
      </c>
      <c r="K504" s="20">
        <v>0</v>
      </c>
      <c r="L504" s="20">
        <v>190.91666666666666</v>
      </c>
      <c r="M504" s="20">
        <v>3.7083333333333335</v>
      </c>
      <c r="N504" s="20">
        <v>0.3125</v>
      </c>
      <c r="O504" s="20">
        <v>2.9354166666666672</v>
      </c>
      <c r="P504" s="10">
        <v>0.56394200842651609</v>
      </c>
      <c r="Q504" s="21">
        <v>0.23883333333333337</v>
      </c>
      <c r="R504" s="21">
        <v>0.30166666666666681</v>
      </c>
      <c r="S504" s="21">
        <v>0.37377083333333316</v>
      </c>
      <c r="T504" s="21">
        <v>0.38110416666666685</v>
      </c>
      <c r="U504" s="21">
        <v>0.41079166666666689</v>
      </c>
      <c r="V504" s="21">
        <v>0.30883333333333324</v>
      </c>
      <c r="W504" s="21">
        <v>0.3101458333333334</v>
      </c>
      <c r="X504" s="21">
        <v>0.26352083333333315</v>
      </c>
      <c r="Y504" s="21">
        <v>0.14390697674418609</v>
      </c>
      <c r="Z504" s="23">
        <f>AVERAGE(Q504,U504)</f>
        <v>0.32481250000000012</v>
      </c>
      <c r="AA504" s="23">
        <f>AVERAGE(R504:T504,V504:X504)</f>
        <v>0.32317361111111109</v>
      </c>
      <c r="AB504" s="23">
        <f t="shared" si="7"/>
        <v>0.32347159090909089</v>
      </c>
    </row>
    <row r="505" spans="1:28">
      <c r="A505" s="9">
        <v>44212</v>
      </c>
      <c r="B505" s="3"/>
      <c r="C505" s="3"/>
      <c r="D505" s="3"/>
      <c r="E505" s="3"/>
      <c r="F505" s="3"/>
      <c r="G505" s="19">
        <v>44212</v>
      </c>
      <c r="H505" s="20">
        <v>7.916666666666667</v>
      </c>
      <c r="I505" s="20">
        <v>86.16249999999998</v>
      </c>
      <c r="J505" s="20">
        <v>6.3562499999999984</v>
      </c>
      <c r="K505" s="20">
        <v>4.0000000000000009</v>
      </c>
      <c r="L505" s="20">
        <v>187.83333333333334</v>
      </c>
      <c r="M505" s="20">
        <v>5.020833333333333</v>
      </c>
      <c r="N505" s="20">
        <v>0.16666666666666666</v>
      </c>
      <c r="O505" s="20">
        <v>4.0750000000000002</v>
      </c>
      <c r="P505" s="10">
        <v>0.14896417084695762</v>
      </c>
      <c r="Q505" s="21">
        <v>0.23910416666666659</v>
      </c>
      <c r="R505" s="21">
        <v>0.3046666666666667</v>
      </c>
      <c r="S505" s="21">
        <v>0.37756250000000008</v>
      </c>
      <c r="T505" s="21">
        <v>0.38433333333333358</v>
      </c>
      <c r="U505" s="21">
        <v>0.41262500000000019</v>
      </c>
      <c r="V505" s="21">
        <v>0.31100000000000022</v>
      </c>
      <c r="W505" s="21">
        <v>0.31275000000000019</v>
      </c>
      <c r="X505" s="21">
        <v>0.26460416666666675</v>
      </c>
      <c r="Y505" s="21">
        <v>0.14497916666666658</v>
      </c>
      <c r="Z505" s="23">
        <f>AVERAGE(Q505,U505)</f>
        <v>0.3258645833333334</v>
      </c>
      <c r="AA505" s="23">
        <f>AVERAGE(R505:T505,V505:X505)</f>
        <v>0.32581944444444455</v>
      </c>
      <c r="AB505" s="23">
        <f t="shared" si="7"/>
        <v>0.32582765151515158</v>
      </c>
    </row>
    <row r="506" spans="1:28">
      <c r="A506" s="9">
        <v>44213</v>
      </c>
      <c r="B506" s="3"/>
      <c r="C506" s="3"/>
      <c r="D506" s="3"/>
      <c r="E506" s="3"/>
      <c r="F506" s="3"/>
      <c r="G506" s="19">
        <v>44213</v>
      </c>
      <c r="H506" s="20">
        <v>32.916666666666664</v>
      </c>
      <c r="I506" s="20">
        <v>89.00624999999998</v>
      </c>
      <c r="J506" s="20">
        <v>1.0416666666666665</v>
      </c>
      <c r="K506" s="20">
        <v>1.9</v>
      </c>
      <c r="L506" s="20">
        <v>210.08333333333334</v>
      </c>
      <c r="M506" s="20">
        <v>5</v>
      </c>
      <c r="N506" s="20">
        <v>8.3333333333333329E-2</v>
      </c>
      <c r="O506" s="20">
        <v>-0.58125000000000004</v>
      </c>
      <c r="P506" s="10">
        <v>7.2752870018791452E-2</v>
      </c>
      <c r="Q506" s="21">
        <v>0.2347708333333334</v>
      </c>
      <c r="R506" s="21">
        <v>0.30133333333333351</v>
      </c>
      <c r="S506" s="21">
        <v>0.37452083333333341</v>
      </c>
      <c r="T506" s="21">
        <v>0.38477083333333328</v>
      </c>
      <c r="U506" s="21">
        <v>0.40541666666666637</v>
      </c>
      <c r="V506" s="21">
        <v>0.30847916666666664</v>
      </c>
      <c r="W506" s="21">
        <v>0.31206249999999991</v>
      </c>
      <c r="X506" s="21">
        <v>0.26504166666666679</v>
      </c>
      <c r="Y506" s="21">
        <v>0.17156250000000006</v>
      </c>
      <c r="Z506" s="23">
        <f>AVERAGE(Q506,U506)</f>
        <v>0.3200937499999999</v>
      </c>
      <c r="AA506" s="23">
        <f>AVERAGE(R506:T506,V506:X506)</f>
        <v>0.32436805555555559</v>
      </c>
      <c r="AB506" s="23">
        <f t="shared" si="7"/>
        <v>0.3235909090909091</v>
      </c>
    </row>
    <row r="507" spans="1:28">
      <c r="A507" s="9">
        <v>44214</v>
      </c>
      <c r="B507" s="3"/>
      <c r="C507" s="3"/>
      <c r="D507" s="3"/>
      <c r="E507" s="3"/>
      <c r="F507" s="3"/>
      <c r="G507" s="19">
        <v>44214</v>
      </c>
      <c r="H507" s="20">
        <v>162.72916666666666</v>
      </c>
      <c r="I507" s="20">
        <v>68.591666666666669</v>
      </c>
      <c r="J507" s="20">
        <v>5.6625000000000005</v>
      </c>
      <c r="K507" s="20">
        <v>0</v>
      </c>
      <c r="L507" s="20">
        <v>231.04166666666666</v>
      </c>
      <c r="M507" s="20">
        <v>3.6875</v>
      </c>
      <c r="N507" s="20">
        <v>0.125</v>
      </c>
      <c r="O507" s="20">
        <v>-0.51875000000000004</v>
      </c>
      <c r="P507" s="10">
        <v>0.40229180154050431</v>
      </c>
      <c r="Q507" s="21">
        <v>0.23452083333333351</v>
      </c>
      <c r="R507" s="21">
        <v>0.29929166666666662</v>
      </c>
      <c r="S507" s="21">
        <v>0.37141666666666656</v>
      </c>
      <c r="T507" s="21">
        <v>0.38308333333333305</v>
      </c>
      <c r="U507" s="21">
        <v>0.40466666666666673</v>
      </c>
      <c r="V507" s="21">
        <v>0.30645833333333333</v>
      </c>
      <c r="W507" s="21">
        <v>0.3103125000000001</v>
      </c>
      <c r="X507" s="21">
        <v>0.26464583333333341</v>
      </c>
      <c r="Y507" s="21">
        <v>0.18128888888888892</v>
      </c>
      <c r="Z507" s="23">
        <f>AVERAGE(Q507,U507)</f>
        <v>0.31959375000000012</v>
      </c>
      <c r="AA507" s="23">
        <f>AVERAGE(R507:T507,V507:X507)</f>
        <v>0.32253472222222218</v>
      </c>
      <c r="AB507" s="23">
        <f t="shared" si="7"/>
        <v>0.32200000000000001</v>
      </c>
    </row>
    <row r="508" spans="1:28">
      <c r="A508" s="9">
        <v>44215</v>
      </c>
      <c r="B508" s="3"/>
      <c r="C508" s="3"/>
      <c r="D508" s="3"/>
      <c r="E508" s="3"/>
      <c r="F508" s="3"/>
      <c r="G508" s="19">
        <v>44215</v>
      </c>
      <c r="H508" s="20">
        <v>153.47916666666666</v>
      </c>
      <c r="I508" s="20">
        <v>64.795833333333306</v>
      </c>
      <c r="J508" s="20">
        <v>8.5395833333333346</v>
      </c>
      <c r="K508" s="20">
        <v>0</v>
      </c>
      <c r="L508" s="20">
        <v>230.27083333333334</v>
      </c>
      <c r="M508" s="20">
        <v>12.083333333333334</v>
      </c>
      <c r="N508" s="20">
        <v>1.7083333333333333</v>
      </c>
      <c r="O508" s="20">
        <v>2.1750000000000007</v>
      </c>
      <c r="P508" s="10">
        <v>0.41976472859392172</v>
      </c>
      <c r="Q508" s="21">
        <v>0.23783333333333331</v>
      </c>
      <c r="R508" s="21">
        <v>0.30235416666666665</v>
      </c>
      <c r="S508" s="21">
        <v>0.37481249999999999</v>
      </c>
      <c r="T508" s="21">
        <v>0.38379166666666692</v>
      </c>
      <c r="U508" s="21">
        <v>0.41041666666666665</v>
      </c>
      <c r="V508" s="21">
        <v>0.3093749999999999</v>
      </c>
      <c r="W508" s="21">
        <v>0.31118749999999989</v>
      </c>
      <c r="X508" s="21">
        <v>0.26506250000000009</v>
      </c>
      <c r="Y508" s="21">
        <v>0.17397777777777779</v>
      </c>
      <c r="Z508" s="23">
        <f>AVERAGE(Q508,U508)</f>
        <v>0.324125</v>
      </c>
      <c r="AA508" s="23">
        <f>AVERAGE(R508:T508,V508:X508)</f>
        <v>0.32443055555555561</v>
      </c>
      <c r="AB508" s="23">
        <f t="shared" si="7"/>
        <v>0.32437500000000002</v>
      </c>
    </row>
    <row r="509" spans="1:28">
      <c r="A509" s="9">
        <v>44216</v>
      </c>
      <c r="B509" s="3"/>
      <c r="C509" s="3"/>
      <c r="D509" s="3"/>
      <c r="E509" s="3"/>
      <c r="F509" s="3"/>
      <c r="G509" s="19">
        <v>44216</v>
      </c>
      <c r="H509" s="20">
        <v>38.625</v>
      </c>
      <c r="I509" s="20">
        <v>80.15000000000002</v>
      </c>
      <c r="J509" s="20">
        <v>7.1645833333333329</v>
      </c>
      <c r="K509" s="20">
        <v>0.7</v>
      </c>
      <c r="L509" s="20">
        <v>230.1875</v>
      </c>
      <c r="M509" s="20">
        <v>4.625</v>
      </c>
      <c r="N509" s="20">
        <v>0.10416666666666667</v>
      </c>
      <c r="O509" s="20">
        <v>3.9395833333333328</v>
      </c>
      <c r="P509" s="10">
        <v>0.20679379691587149</v>
      </c>
      <c r="Q509" s="21">
        <v>0.23837499999999975</v>
      </c>
      <c r="R509" s="21">
        <v>0.30450000000000005</v>
      </c>
      <c r="S509" s="21">
        <v>0.37758333333333344</v>
      </c>
      <c r="T509" s="21">
        <v>0.38549999999999957</v>
      </c>
      <c r="U509" s="21">
        <v>0.41160416666666677</v>
      </c>
      <c r="V509" s="21">
        <v>0.31143750000000003</v>
      </c>
      <c r="W509" s="21">
        <v>0.31293750000000026</v>
      </c>
      <c r="X509" s="21">
        <v>0.26600000000000001</v>
      </c>
      <c r="Y509" s="21">
        <v>0.16570833333333335</v>
      </c>
      <c r="Z509" s="23">
        <f>AVERAGE(Q509,U509)</f>
        <v>0.32498958333333328</v>
      </c>
      <c r="AA509" s="23">
        <f>AVERAGE(R509:T509,V509:X509)</f>
        <v>0.32632638888888893</v>
      </c>
      <c r="AB509" s="23">
        <f t="shared" si="7"/>
        <v>0.32608333333333339</v>
      </c>
    </row>
    <row r="510" spans="1:28">
      <c r="A510" s="9">
        <v>44217</v>
      </c>
      <c r="B510" s="3"/>
      <c r="C510" s="3"/>
      <c r="D510" s="3"/>
      <c r="E510" s="3"/>
      <c r="F510" s="3"/>
      <c r="G510" s="19">
        <v>44217</v>
      </c>
      <c r="H510" s="20">
        <v>31.958333333333332</v>
      </c>
      <c r="I510" s="20">
        <v>88.299999999999969</v>
      </c>
      <c r="J510" s="20">
        <v>4.8937499999999998</v>
      </c>
      <c r="K510" s="20">
        <v>4.3000000000000007</v>
      </c>
      <c r="L510" s="20">
        <v>205.72916666666666</v>
      </c>
      <c r="M510" s="20">
        <v>1.9583333333333333</v>
      </c>
      <c r="N510" s="20">
        <v>0</v>
      </c>
      <c r="O510" s="20">
        <v>3.0874999999999999</v>
      </c>
      <c r="P510" s="10">
        <v>0.10547891798516379</v>
      </c>
      <c r="Q510" s="21">
        <v>0.23760416666666659</v>
      </c>
      <c r="R510" s="21">
        <v>0.30345833333333372</v>
      </c>
      <c r="S510" s="21">
        <v>0.37647916666666653</v>
      </c>
      <c r="T510" s="21">
        <v>0.38599999999999962</v>
      </c>
      <c r="U510" s="21">
        <v>0.40850000000000003</v>
      </c>
      <c r="V510" s="21">
        <v>0.30991666666666678</v>
      </c>
      <c r="W510" s="21">
        <v>0.31277083333333328</v>
      </c>
      <c r="X510" s="21">
        <v>0.26575000000000004</v>
      </c>
      <c r="Y510" s="21">
        <v>0.19995833333333335</v>
      </c>
      <c r="Z510" s="23">
        <f>AVERAGE(Q510,U510)</f>
        <v>0.3230520833333333</v>
      </c>
      <c r="AA510" s="23">
        <f>AVERAGE(R510:T510,V510:X510)</f>
        <v>0.32572916666666668</v>
      </c>
      <c r="AB510" s="23">
        <f t="shared" si="7"/>
        <v>0.32524242424242422</v>
      </c>
    </row>
    <row r="511" spans="1:28">
      <c r="A511" s="9">
        <v>44218</v>
      </c>
      <c r="B511" s="3"/>
      <c r="C511" s="3"/>
      <c r="D511" s="3"/>
      <c r="E511" s="3"/>
      <c r="F511" s="3"/>
      <c r="G511" s="19">
        <v>44218</v>
      </c>
      <c r="H511" s="20">
        <v>143.125</v>
      </c>
      <c r="I511" s="20">
        <v>75.687500000000014</v>
      </c>
      <c r="J511" s="20">
        <v>8.1604166666666664</v>
      </c>
      <c r="K511" s="20">
        <v>0.2</v>
      </c>
      <c r="L511" s="20">
        <v>242.14583333333334</v>
      </c>
      <c r="M511" s="20">
        <v>2.75</v>
      </c>
      <c r="N511" s="20">
        <v>6.25E-2</v>
      </c>
      <c r="O511" s="20">
        <v>3.504166666666666</v>
      </c>
      <c r="P511" s="10">
        <v>0.34714304898663301</v>
      </c>
      <c r="Q511" s="21">
        <v>0.23941666666666669</v>
      </c>
      <c r="R511" s="21">
        <v>0.30362499999999987</v>
      </c>
      <c r="S511" s="21">
        <v>0.37606250000000013</v>
      </c>
      <c r="T511" s="21">
        <v>0.38558333333333311</v>
      </c>
      <c r="U511" s="21">
        <v>0.41079166666666667</v>
      </c>
      <c r="V511" s="21">
        <v>0.3096666666666667</v>
      </c>
      <c r="W511" s="21">
        <v>0.31245833333333323</v>
      </c>
      <c r="X511" s="21">
        <v>0.26585416666666667</v>
      </c>
      <c r="Y511" s="21">
        <v>0.19844680851063837</v>
      </c>
      <c r="Z511" s="23">
        <f>AVERAGE(Q511,U511)</f>
        <v>0.32510416666666669</v>
      </c>
      <c r="AA511" s="23">
        <f>AVERAGE(R511:T511,V511:X511)</f>
        <v>0.32554166666666667</v>
      </c>
      <c r="AB511" s="23">
        <f t="shared" si="7"/>
        <v>0.32546212121212126</v>
      </c>
    </row>
    <row r="512" spans="1:28">
      <c r="A512" s="9">
        <v>44219</v>
      </c>
      <c r="B512" s="3"/>
      <c r="C512" s="3"/>
      <c r="D512" s="3"/>
      <c r="E512" s="3"/>
      <c r="F512" s="3"/>
      <c r="G512" s="19">
        <v>44219</v>
      </c>
      <c r="H512" s="20">
        <v>91.291666666666671</v>
      </c>
      <c r="I512" s="20">
        <v>82.506250000000009</v>
      </c>
      <c r="J512" s="20">
        <v>8.7979166666666675</v>
      </c>
      <c r="K512" s="20">
        <v>0.2</v>
      </c>
      <c r="L512" s="20">
        <v>231.75</v>
      </c>
      <c r="M512" s="20">
        <v>10.645833333333334</v>
      </c>
      <c r="N512" s="20">
        <v>2.1041666666666665</v>
      </c>
      <c r="O512" s="20">
        <v>5.7937499999999993</v>
      </c>
      <c r="P512" s="10">
        <v>0.24242231199481232</v>
      </c>
      <c r="Q512" s="21">
        <v>0.24125000000000008</v>
      </c>
      <c r="R512" s="21">
        <v>0.30635416666666654</v>
      </c>
      <c r="S512" s="21">
        <v>0.37947916666666637</v>
      </c>
      <c r="T512" s="21">
        <v>0.38722916666666701</v>
      </c>
      <c r="U512" s="21">
        <v>0.41412500000000024</v>
      </c>
      <c r="V512" s="21">
        <v>0.3126666666666667</v>
      </c>
      <c r="W512" s="21">
        <v>0.314</v>
      </c>
      <c r="X512" s="21">
        <v>0.26622916666666657</v>
      </c>
      <c r="Y512" s="21">
        <v>0.18816666666666659</v>
      </c>
      <c r="Z512" s="23">
        <f>AVERAGE(Q512,U512)</f>
        <v>0.32768750000000013</v>
      </c>
      <c r="AA512" s="23">
        <f>AVERAGE(R512:T512,V512:X512)</f>
        <v>0.32765972222222217</v>
      </c>
      <c r="AB512" s="23">
        <f t="shared" si="7"/>
        <v>0.32766477272727268</v>
      </c>
    </row>
    <row r="513" spans="1:28">
      <c r="A513" s="9">
        <v>44220</v>
      </c>
      <c r="B513" s="3"/>
      <c r="C513" s="3"/>
      <c r="D513" s="3"/>
      <c r="E513" s="3"/>
      <c r="F513" s="3"/>
      <c r="G513" s="19">
        <v>44220</v>
      </c>
      <c r="H513" s="20">
        <v>60.354166666666664</v>
      </c>
      <c r="I513" s="20">
        <v>80.424999999999983</v>
      </c>
      <c r="J513" s="20">
        <v>12.741666666666667</v>
      </c>
      <c r="K513" s="20">
        <v>0</v>
      </c>
      <c r="L513" s="20">
        <v>230.1875</v>
      </c>
      <c r="M513" s="20">
        <v>17.645833333333332</v>
      </c>
      <c r="N513" s="20">
        <v>4.541666666666667</v>
      </c>
      <c r="O513" s="20">
        <v>9.3812499999999996</v>
      </c>
      <c r="P513" s="10">
        <v>0.303253786478141</v>
      </c>
      <c r="Q513" s="21">
        <v>0.24287499999999992</v>
      </c>
      <c r="R513" s="21">
        <v>0.30847916666666653</v>
      </c>
      <c r="S513" s="21">
        <v>0.38177083333333317</v>
      </c>
      <c r="T513" s="21">
        <v>0.3888749999999998</v>
      </c>
      <c r="U513" s="21">
        <v>0.41660416666666644</v>
      </c>
      <c r="V513" s="21">
        <v>0.31395833333333339</v>
      </c>
      <c r="W513" s="21">
        <v>0.3149583333333334</v>
      </c>
      <c r="X513" s="21">
        <v>0.26725000000000015</v>
      </c>
      <c r="Y513" s="21">
        <v>0.18014893617021274</v>
      </c>
      <c r="Z513" s="23">
        <f>AVERAGE(Q513,U513)</f>
        <v>0.3297395833333332</v>
      </c>
      <c r="AA513" s="23">
        <f>AVERAGE(R513:T513,V513:X513)</f>
        <v>0.32921527777777776</v>
      </c>
      <c r="AB513" s="23">
        <f t="shared" si="7"/>
        <v>0.32931060606060603</v>
      </c>
    </row>
    <row r="514" spans="1:28">
      <c r="A514" s="9">
        <v>44221</v>
      </c>
      <c r="B514" s="3"/>
      <c r="C514" s="3"/>
      <c r="D514" s="3"/>
      <c r="E514" s="3"/>
      <c r="F514" s="3"/>
      <c r="G514" s="19">
        <v>44221</v>
      </c>
      <c r="H514" s="20">
        <v>49.520833333333336</v>
      </c>
      <c r="I514" s="20">
        <v>76.66458333333334</v>
      </c>
      <c r="J514" s="20">
        <v>8.6854166666666668</v>
      </c>
      <c r="K514" s="20">
        <v>0</v>
      </c>
      <c r="L514" s="20">
        <v>203.27083333333334</v>
      </c>
      <c r="M514" s="20">
        <v>6.104166666666667</v>
      </c>
      <c r="N514" s="20">
        <v>0.10416666666666667</v>
      </c>
      <c r="O514" s="20">
        <v>4.7270833333333337</v>
      </c>
      <c r="P514" s="10">
        <v>0.27113086464863428</v>
      </c>
      <c r="Q514" s="21">
        <v>0.24247916666666688</v>
      </c>
      <c r="R514" s="21">
        <v>0.30964583333333301</v>
      </c>
      <c r="S514" s="21">
        <v>0.38333333333333292</v>
      </c>
      <c r="T514" s="21">
        <v>0.39066666666666644</v>
      </c>
      <c r="U514" s="21">
        <v>0.41658333333333347</v>
      </c>
      <c r="V514" s="21">
        <v>0.31518749999999984</v>
      </c>
      <c r="W514" s="21">
        <v>0.31597916666666698</v>
      </c>
      <c r="X514" s="21">
        <v>0.26820833333333338</v>
      </c>
      <c r="Y514" s="21">
        <v>0.17104166666666668</v>
      </c>
      <c r="Z514" s="23">
        <f>AVERAGE(Q514,U514)</f>
        <v>0.32953125000000016</v>
      </c>
      <c r="AA514" s="23">
        <f>AVERAGE(R514:T514,V514:X514)</f>
        <v>0.33050347222222209</v>
      </c>
      <c r="AB514" s="23">
        <f t="shared" si="7"/>
        <v>0.33032670454545449</v>
      </c>
    </row>
    <row r="515" spans="1:28">
      <c r="A515" s="9">
        <v>44222</v>
      </c>
      <c r="B515" s="3"/>
      <c r="C515" s="3"/>
      <c r="D515" s="3"/>
      <c r="E515" s="3"/>
      <c r="F515" s="3"/>
      <c r="G515" s="19">
        <v>44222</v>
      </c>
      <c r="H515" s="20">
        <v>18.354166666666668</v>
      </c>
      <c r="I515" s="20">
        <v>90.40000000000002</v>
      </c>
      <c r="J515" s="20">
        <v>5.7687500000000016</v>
      </c>
      <c r="K515" s="20">
        <v>1</v>
      </c>
      <c r="L515" s="20">
        <v>223.97916666666666</v>
      </c>
      <c r="M515" s="20">
        <v>3.9583333333333335</v>
      </c>
      <c r="N515" s="20">
        <v>0</v>
      </c>
      <c r="O515" s="20">
        <v>4.3145833333333314</v>
      </c>
      <c r="P515" s="10">
        <v>8.8718215347846519E-2</v>
      </c>
      <c r="Q515" s="21">
        <v>0.24000000000000021</v>
      </c>
      <c r="R515" s="21">
        <v>0.3081875</v>
      </c>
      <c r="S515" s="21">
        <v>0.38212499999999999</v>
      </c>
      <c r="T515" s="21">
        <v>0.39099999999999974</v>
      </c>
      <c r="U515" s="21">
        <v>0.41300000000000009</v>
      </c>
      <c r="V515" s="21">
        <v>0.31395833333333345</v>
      </c>
      <c r="W515" s="21">
        <v>0.31595833333333356</v>
      </c>
      <c r="X515" s="21">
        <v>0.26858333333333351</v>
      </c>
      <c r="Y515" s="21">
        <v>0.1647708333333332</v>
      </c>
      <c r="Z515" s="23">
        <f>AVERAGE(Q515,U515)</f>
        <v>0.32650000000000012</v>
      </c>
      <c r="AA515" s="23">
        <f>AVERAGE(R515:T515,V515:X515)</f>
        <v>0.32996874999999998</v>
      </c>
      <c r="AB515" s="23">
        <f t="shared" si="7"/>
        <v>0.32933806818181816</v>
      </c>
    </row>
    <row r="516" spans="1:28">
      <c r="A516" s="9">
        <v>44223</v>
      </c>
      <c r="B516" s="3"/>
      <c r="C516" s="3"/>
      <c r="D516" s="3"/>
      <c r="E516" s="3"/>
      <c r="F516" s="3"/>
      <c r="G516" s="19">
        <v>44223</v>
      </c>
      <c r="H516" s="20">
        <v>25.9375</v>
      </c>
      <c r="I516" s="20">
        <v>94.512499999999989</v>
      </c>
      <c r="J516" s="20">
        <v>4.1499999999999977</v>
      </c>
      <c r="K516" s="20">
        <v>1.9999999999999998</v>
      </c>
      <c r="L516" s="20">
        <v>191.47916666666666</v>
      </c>
      <c r="M516" s="20">
        <v>3.9583333333333335</v>
      </c>
      <c r="N516" s="20">
        <v>4.1666666666666664E-2</v>
      </c>
      <c r="O516" s="20">
        <v>3.3437500000000004</v>
      </c>
      <c r="P516" s="10">
        <v>4.5107190898813036E-2</v>
      </c>
      <c r="Q516" s="21">
        <v>0.23889583333333339</v>
      </c>
      <c r="R516" s="21">
        <v>0.30641666666666634</v>
      </c>
      <c r="S516" s="21">
        <v>0.38020833333333376</v>
      </c>
      <c r="T516" s="21">
        <v>0.39020833333333355</v>
      </c>
      <c r="U516" s="21">
        <v>0.40999999999999992</v>
      </c>
      <c r="V516" s="21">
        <v>0.31124999999999992</v>
      </c>
      <c r="W516" s="21">
        <v>0.31497916666666653</v>
      </c>
      <c r="X516" s="21">
        <v>0.26725000000000004</v>
      </c>
      <c r="Y516" s="21">
        <v>0.17041666666666658</v>
      </c>
      <c r="Z516" s="23">
        <f>AVERAGE(Q516,U516)</f>
        <v>0.32444791666666667</v>
      </c>
      <c r="AA516" s="23">
        <f>AVERAGE(R516:T516,V516:X516)</f>
        <v>0.32838541666666665</v>
      </c>
      <c r="AB516" s="23">
        <f t="shared" si="7"/>
        <v>0.32766950757575758</v>
      </c>
    </row>
    <row r="517" spans="1:28">
      <c r="A517" s="9">
        <v>44224</v>
      </c>
      <c r="B517" s="3"/>
      <c r="C517" s="3"/>
      <c r="D517" s="3"/>
      <c r="E517" s="3"/>
      <c r="F517" s="3"/>
      <c r="G517" s="19">
        <v>44224</v>
      </c>
      <c r="H517" s="20">
        <v>44.5625</v>
      </c>
      <c r="I517" s="20">
        <v>79.791666666666671</v>
      </c>
      <c r="J517" s="20">
        <v>4.8874999999999993</v>
      </c>
      <c r="K517" s="20">
        <v>0</v>
      </c>
      <c r="L517" s="20">
        <v>220.70833333333334</v>
      </c>
      <c r="M517" s="20">
        <v>2.5625</v>
      </c>
      <c r="N517" s="20">
        <v>0</v>
      </c>
      <c r="O517" s="20">
        <v>1.6624999999999999</v>
      </c>
      <c r="P517" s="10">
        <v>0.17910505790136741</v>
      </c>
      <c r="Q517" s="21">
        <v>0.23752083333333321</v>
      </c>
      <c r="R517" s="21">
        <v>0.30483333333333323</v>
      </c>
      <c r="S517" s="21">
        <v>0.37822916666666678</v>
      </c>
      <c r="T517" s="21">
        <v>0.38900000000000001</v>
      </c>
      <c r="U517" s="21">
        <v>0.40729166666666689</v>
      </c>
      <c r="V517" s="21">
        <v>0.31060416666666674</v>
      </c>
      <c r="W517" s="21">
        <v>0.31402083333333336</v>
      </c>
      <c r="X517" s="21">
        <v>0.26704166666666657</v>
      </c>
      <c r="Y517" s="21">
        <v>0.17247916666666666</v>
      </c>
      <c r="Z517" s="23">
        <f>AVERAGE(Q517,U517)</f>
        <v>0.32240625000000006</v>
      </c>
      <c r="AA517" s="23">
        <f>AVERAGE(R517:T517,V517:X517)</f>
        <v>0.32728819444444446</v>
      </c>
      <c r="AB517" s="23">
        <f t="shared" si="7"/>
        <v>0.32640056818181817</v>
      </c>
    </row>
    <row r="518" spans="1:28">
      <c r="A518" s="9">
        <v>44225</v>
      </c>
      <c r="B518" s="3"/>
      <c r="C518" s="3"/>
      <c r="D518" s="3"/>
      <c r="E518" s="3"/>
      <c r="F518" s="3"/>
      <c r="G518" s="19">
        <v>44225</v>
      </c>
      <c r="H518" s="20">
        <v>19.25</v>
      </c>
      <c r="I518" s="20">
        <v>90.24375000000002</v>
      </c>
      <c r="J518" s="20">
        <v>4.9479166666666652</v>
      </c>
      <c r="K518" s="20">
        <v>2.2999999999999998</v>
      </c>
      <c r="L518" s="20">
        <v>214.0625</v>
      </c>
      <c r="M518" s="20">
        <v>5.395833333333333</v>
      </c>
      <c r="N518" s="20">
        <v>0.25</v>
      </c>
      <c r="O518" s="20">
        <v>3.4562500000000003</v>
      </c>
      <c r="P518" s="10">
        <v>8.531526783443065E-2</v>
      </c>
      <c r="Q518" s="21">
        <v>0.23791666666666653</v>
      </c>
      <c r="R518" s="21">
        <v>0.30437500000000012</v>
      </c>
      <c r="S518" s="21">
        <v>0.37747916666666681</v>
      </c>
      <c r="T518" s="21">
        <v>0.38800000000000018</v>
      </c>
      <c r="U518" s="21">
        <v>0.40645833333333337</v>
      </c>
      <c r="V518" s="21">
        <v>0.30991666666666656</v>
      </c>
      <c r="W518" s="21">
        <v>0.3137916666666668</v>
      </c>
      <c r="X518" s="21">
        <v>0.26639583333333328</v>
      </c>
      <c r="Y518" s="21">
        <v>0.17102083333333337</v>
      </c>
      <c r="Z518" s="23">
        <f>AVERAGE(Q518,U518)</f>
        <v>0.32218749999999996</v>
      </c>
      <c r="AA518" s="23">
        <f>AVERAGE(R518:T518,V518:X518)</f>
        <v>0.32665972222222228</v>
      </c>
      <c r="AB518" s="23">
        <f t="shared" ref="AB518:AB581" si="8">(Z518*10+AA518*45)/55</f>
        <v>0.32584659090909096</v>
      </c>
    </row>
    <row r="519" spans="1:28">
      <c r="A519" s="9">
        <v>44226</v>
      </c>
      <c r="B519" s="3"/>
      <c r="C519" s="3"/>
      <c r="D519" s="3"/>
      <c r="E519" s="3"/>
      <c r="F519" s="3"/>
      <c r="G519" s="19">
        <v>44226</v>
      </c>
      <c r="H519" s="20">
        <v>34.5625</v>
      </c>
      <c r="I519" s="20">
        <v>91.820833333333326</v>
      </c>
      <c r="J519" s="20">
        <v>4.831249999999998</v>
      </c>
      <c r="K519" s="20">
        <v>1.7999999999999998</v>
      </c>
      <c r="L519" s="20">
        <v>213.375</v>
      </c>
      <c r="M519" s="20">
        <v>3.0208333333333335</v>
      </c>
      <c r="N519" s="20">
        <v>0</v>
      </c>
      <c r="O519" s="20">
        <v>3.5916666666666663</v>
      </c>
      <c r="P519" s="10">
        <v>7.2566828771776795E-2</v>
      </c>
      <c r="Q519" s="21">
        <v>0.2384166666666668</v>
      </c>
      <c r="R519" s="21">
        <v>0.30402083333333346</v>
      </c>
      <c r="S519" s="21">
        <v>0.37689583333333326</v>
      </c>
      <c r="T519" s="21">
        <v>0.38750000000000018</v>
      </c>
      <c r="U519" s="21">
        <v>0.41627083333333342</v>
      </c>
      <c r="V519" s="21">
        <v>0.3094583333333335</v>
      </c>
      <c r="W519" s="21">
        <v>0.31308333333333355</v>
      </c>
      <c r="X519" s="21">
        <v>0.26600000000000001</v>
      </c>
      <c r="Y519" s="21">
        <v>0.21025000000000005</v>
      </c>
      <c r="Z519" s="23">
        <f>AVERAGE(Q519,U519)</f>
        <v>0.3273437500000001</v>
      </c>
      <c r="AA519" s="23">
        <f>AVERAGE(R519:T519,V519:X519)</f>
        <v>0.32615972222222234</v>
      </c>
      <c r="AB519" s="23">
        <f t="shared" si="8"/>
        <v>0.32637500000000008</v>
      </c>
    </row>
    <row r="520" spans="1:28">
      <c r="A520" s="9">
        <v>44227</v>
      </c>
      <c r="B520" s="3"/>
      <c r="C520" s="3"/>
      <c r="D520" s="3"/>
      <c r="E520" s="3"/>
      <c r="F520" s="3"/>
      <c r="G520" s="19">
        <v>44227</v>
      </c>
      <c r="H520" s="20">
        <v>15.708333333333334</v>
      </c>
      <c r="I520" s="20">
        <v>96.424999999999997</v>
      </c>
      <c r="J520" s="20">
        <v>5.025000000000003</v>
      </c>
      <c r="K520" s="20">
        <v>3.4000000000000008</v>
      </c>
      <c r="L520" s="20">
        <v>241.54166666666666</v>
      </c>
      <c r="M520" s="20">
        <v>1.7916666666666667</v>
      </c>
      <c r="N520" s="20">
        <v>0</v>
      </c>
      <c r="O520" s="20">
        <v>4.4937500000000012</v>
      </c>
      <c r="P520" s="10">
        <v>3.1224922734034894E-2</v>
      </c>
      <c r="Q520" s="21">
        <v>0.23906250000000015</v>
      </c>
      <c r="R520" s="21">
        <v>0.30408333333333343</v>
      </c>
      <c r="S520" s="21">
        <v>0.3768333333333333</v>
      </c>
      <c r="T520" s="21">
        <v>0.38718750000000024</v>
      </c>
      <c r="U520" s="21">
        <v>0.42479166666666651</v>
      </c>
      <c r="V520" s="21">
        <v>0.30906249999999974</v>
      </c>
      <c r="W520" s="21">
        <v>0.31300000000000022</v>
      </c>
      <c r="X520" s="21">
        <v>0.26560416666666681</v>
      </c>
      <c r="Y520" s="21">
        <v>0.22377083333333339</v>
      </c>
      <c r="Z520" s="23">
        <f>AVERAGE(Q520,U520)</f>
        <v>0.33192708333333332</v>
      </c>
      <c r="AA520" s="23">
        <f>AVERAGE(R520:T520,V520:X520)</f>
        <v>0.32596180555555565</v>
      </c>
      <c r="AB520" s="23">
        <f t="shared" si="8"/>
        <v>0.32704640151515157</v>
      </c>
    </row>
    <row r="521" spans="1:28">
      <c r="A521" s="9">
        <v>44228</v>
      </c>
      <c r="B521" s="3"/>
      <c r="C521" s="3"/>
      <c r="D521" s="3"/>
      <c r="E521" s="3"/>
      <c r="F521" s="3"/>
      <c r="G521" s="19">
        <v>44228</v>
      </c>
      <c r="H521" s="20">
        <v>54.458333333333336</v>
      </c>
      <c r="I521" s="20">
        <v>90.733333333333334</v>
      </c>
      <c r="J521" s="20">
        <v>7.2041666666666657</v>
      </c>
      <c r="K521" s="20">
        <v>1</v>
      </c>
      <c r="L521" s="20">
        <v>215.52083333333334</v>
      </c>
      <c r="M521" s="20">
        <v>3.1041666666666665</v>
      </c>
      <c r="N521" s="20">
        <v>2.0833333333333332E-2</v>
      </c>
      <c r="O521" s="20">
        <v>5.7291666666666652</v>
      </c>
      <c r="P521" s="10">
        <v>0.10597389224419247</v>
      </c>
      <c r="Q521" s="21">
        <v>0.24116666666666675</v>
      </c>
      <c r="R521" s="21">
        <v>0.30433333333333329</v>
      </c>
      <c r="S521" s="21">
        <v>0.37681249999999994</v>
      </c>
      <c r="T521" s="21">
        <v>0.38700000000000029</v>
      </c>
      <c r="U521" s="21">
        <v>0.43802083333333358</v>
      </c>
      <c r="V521" s="21">
        <v>0.31195833333333339</v>
      </c>
      <c r="W521" s="21">
        <v>0.31300000000000022</v>
      </c>
      <c r="X521" s="21">
        <v>0.26554166666666673</v>
      </c>
      <c r="Y521" s="21">
        <v>0.22933333333333339</v>
      </c>
      <c r="Z521" s="23">
        <f>AVERAGE(Q521,U521)</f>
        <v>0.33959375000000014</v>
      </c>
      <c r="AA521" s="23">
        <f>AVERAGE(R521:T521,V521:X521)</f>
        <v>0.32644097222222229</v>
      </c>
      <c r="AB521" s="23">
        <f t="shared" si="8"/>
        <v>0.32883238636363643</v>
      </c>
    </row>
    <row r="522" spans="1:28">
      <c r="A522" s="9">
        <v>44229</v>
      </c>
      <c r="B522" s="3"/>
      <c r="C522" s="3"/>
      <c r="D522" s="3"/>
      <c r="E522" s="3"/>
      <c r="F522" s="3"/>
      <c r="G522" s="19">
        <v>44229</v>
      </c>
      <c r="H522" s="20">
        <v>25.875</v>
      </c>
      <c r="I522" s="20">
        <v>95.956250000000054</v>
      </c>
      <c r="J522" s="20">
        <v>7.3645833333333321</v>
      </c>
      <c r="K522" s="20">
        <v>1.8999999999999997</v>
      </c>
      <c r="L522" s="20">
        <v>228.95833333333334</v>
      </c>
      <c r="M522" s="20">
        <v>3.3333333333333335</v>
      </c>
      <c r="N522" s="20">
        <v>0</v>
      </c>
      <c r="O522" s="20">
        <v>6.7520833333333314</v>
      </c>
      <c r="P522" s="10">
        <v>4.1983082023375168E-2</v>
      </c>
      <c r="Q522" s="21">
        <v>0.24543750000000006</v>
      </c>
      <c r="R522" s="21">
        <v>0.30624999999999997</v>
      </c>
      <c r="S522" s="21">
        <v>0.37879166666666647</v>
      </c>
      <c r="T522" s="21">
        <v>0.38770833333333354</v>
      </c>
      <c r="U522" s="21">
        <v>0.44220833333333354</v>
      </c>
      <c r="V522" s="21">
        <v>0.31612499999999999</v>
      </c>
      <c r="W522" s="21">
        <v>0.31379166666666669</v>
      </c>
      <c r="X522" s="21">
        <v>0.26556249999999998</v>
      </c>
      <c r="Y522" s="21">
        <v>0.22420833333333334</v>
      </c>
      <c r="Z522" s="23">
        <f>AVERAGE(Q522,U522)</f>
        <v>0.34382291666666681</v>
      </c>
      <c r="AA522" s="23">
        <f>AVERAGE(R522:T522,V522:X522)</f>
        <v>0.32803819444444443</v>
      </c>
      <c r="AB522" s="23">
        <f t="shared" si="8"/>
        <v>0.33090814393939399</v>
      </c>
    </row>
    <row r="523" spans="1:28">
      <c r="A523" s="9">
        <v>44230</v>
      </c>
      <c r="B523" s="3"/>
      <c r="C523" s="3"/>
      <c r="D523" s="3"/>
      <c r="E523" s="3"/>
      <c r="F523" s="3"/>
      <c r="G523" s="19">
        <v>44230</v>
      </c>
      <c r="H523" s="20">
        <v>30.020833333333332</v>
      </c>
      <c r="I523" s="20">
        <v>95.877083333333303</v>
      </c>
      <c r="J523" s="20">
        <v>8.1375000000000011</v>
      </c>
      <c r="K523" s="20">
        <v>0.60000000000000009</v>
      </c>
      <c r="L523" s="20">
        <v>145.5</v>
      </c>
      <c r="M523" s="20">
        <v>1.0416666666666667</v>
      </c>
      <c r="N523" s="20">
        <v>0</v>
      </c>
      <c r="O523" s="20">
        <v>7.5187499999999998</v>
      </c>
      <c r="P523" s="10">
        <v>4.6407078105184074E-2</v>
      </c>
      <c r="Q523" s="21">
        <v>0.25439583333333321</v>
      </c>
      <c r="R523" s="21">
        <v>0.30706250000000013</v>
      </c>
      <c r="S523" s="21">
        <v>0.37943749999999987</v>
      </c>
      <c r="T523" s="21">
        <v>0.38889583333333305</v>
      </c>
      <c r="U523" s="21">
        <v>0.44554166666666695</v>
      </c>
      <c r="V523" s="21">
        <v>0.32004166666666656</v>
      </c>
      <c r="W523" s="21">
        <v>0.314</v>
      </c>
      <c r="X523" s="21">
        <v>0.26593749999999999</v>
      </c>
      <c r="Y523" s="21">
        <v>0.22779166666666673</v>
      </c>
      <c r="Z523" s="23">
        <f>AVERAGE(Q523,U523)</f>
        <v>0.34996875000000005</v>
      </c>
      <c r="AA523" s="23">
        <f>AVERAGE(R523:T523,V523:X523)</f>
        <v>0.32922916666666663</v>
      </c>
      <c r="AB523" s="23">
        <f t="shared" si="8"/>
        <v>0.33299999999999996</v>
      </c>
    </row>
    <row r="524" spans="1:28">
      <c r="A524" s="9">
        <v>44231</v>
      </c>
      <c r="B524" s="3"/>
      <c r="C524" s="3"/>
      <c r="D524" s="3"/>
      <c r="E524" s="3"/>
      <c r="F524" s="3"/>
      <c r="G524" s="19">
        <v>44231</v>
      </c>
      <c r="H524" s="20">
        <v>58.833333333333336</v>
      </c>
      <c r="I524" s="20">
        <v>87.69583333333334</v>
      </c>
      <c r="J524" s="20">
        <v>11.745833333333332</v>
      </c>
      <c r="K524" s="20">
        <v>0.2</v>
      </c>
      <c r="L524" s="20">
        <v>236.70833333333334</v>
      </c>
      <c r="M524" s="20">
        <v>9.0833333333333339</v>
      </c>
      <c r="N524" s="20">
        <v>1.8125</v>
      </c>
      <c r="O524" s="20">
        <v>9.6458333333333321</v>
      </c>
      <c r="P524" s="10">
        <v>0.20244115610112365</v>
      </c>
      <c r="Q524" s="21">
        <v>0.26589583333333339</v>
      </c>
      <c r="R524" s="21">
        <v>0.30891666666666662</v>
      </c>
      <c r="S524" s="21">
        <v>0.38127083333333339</v>
      </c>
      <c r="T524" s="21">
        <v>0.38945833333333352</v>
      </c>
      <c r="U524" s="21">
        <v>0.4468750000000003</v>
      </c>
      <c r="V524" s="21">
        <v>0.32320833333333338</v>
      </c>
      <c r="W524" s="21">
        <v>0.31502083333333336</v>
      </c>
      <c r="X524" s="21">
        <v>0.26622916666666657</v>
      </c>
      <c r="Y524" s="21">
        <v>0.22097826086956526</v>
      </c>
      <c r="Z524" s="23">
        <f>AVERAGE(Q524,U524)</f>
        <v>0.35638541666666684</v>
      </c>
      <c r="AA524" s="23">
        <f>AVERAGE(R524:T524,V524:X524)</f>
        <v>0.33068402777777778</v>
      </c>
      <c r="AB524" s="23">
        <f t="shared" si="8"/>
        <v>0.33535700757575759</v>
      </c>
    </row>
    <row r="525" spans="1:28">
      <c r="A525" s="9">
        <v>44232</v>
      </c>
      <c r="B525" s="3"/>
      <c r="C525" s="3"/>
      <c r="D525" s="3"/>
      <c r="E525" s="3"/>
      <c r="F525" s="3"/>
      <c r="G525" s="19">
        <v>44232</v>
      </c>
      <c r="H525" s="20">
        <v>55.666666666666664</v>
      </c>
      <c r="I525" s="20">
        <v>79.041666666666657</v>
      </c>
      <c r="J525" s="20">
        <v>9.3312499999999989</v>
      </c>
      <c r="K525" s="20">
        <v>0</v>
      </c>
      <c r="L525" s="20">
        <v>212.85416666666666</v>
      </c>
      <c r="M525" s="20">
        <v>4.479166666666667</v>
      </c>
      <c r="N525" s="20">
        <v>0</v>
      </c>
      <c r="O525" s="20">
        <v>5.7854166666666664</v>
      </c>
      <c r="P525" s="10">
        <v>0.25775183001847479</v>
      </c>
      <c r="Q525" s="21">
        <v>0.27158333333333329</v>
      </c>
      <c r="R525" s="21">
        <v>0.31160416666666652</v>
      </c>
      <c r="S525" s="21">
        <v>0.38410416666666708</v>
      </c>
      <c r="T525" s="21">
        <v>0.39135416666666645</v>
      </c>
      <c r="U525" s="21">
        <v>0.4478541666666665</v>
      </c>
      <c r="V525" s="21">
        <v>0.32604166666666662</v>
      </c>
      <c r="W525" s="21">
        <v>0.31670833333333342</v>
      </c>
      <c r="X525" s="21">
        <v>0.26741666666666691</v>
      </c>
      <c r="Y525" s="21">
        <v>0.21241176470588233</v>
      </c>
      <c r="Z525" s="23">
        <f>AVERAGE(Q525,U525)</f>
        <v>0.35971874999999986</v>
      </c>
      <c r="AA525" s="23">
        <f>AVERAGE(R525:T525,V525:X525)</f>
        <v>0.33287152777777779</v>
      </c>
      <c r="AB525" s="23">
        <f t="shared" si="8"/>
        <v>0.33775284090909086</v>
      </c>
    </row>
    <row r="526" spans="1:28">
      <c r="A526" s="9">
        <v>44233</v>
      </c>
      <c r="B526" s="3"/>
      <c r="C526" s="3"/>
      <c r="D526" s="3"/>
      <c r="E526" s="3"/>
      <c r="F526" s="3"/>
      <c r="G526" s="19">
        <v>44233</v>
      </c>
      <c r="H526" s="20">
        <v>80.416666666666671</v>
      </c>
      <c r="I526" s="20">
        <v>85.681249999999991</v>
      </c>
      <c r="J526" s="20">
        <v>11.300000000000002</v>
      </c>
      <c r="K526" s="20">
        <v>0.2</v>
      </c>
      <c r="L526" s="20">
        <v>220.625</v>
      </c>
      <c r="M526" s="20">
        <v>7.145833333333333</v>
      </c>
      <c r="N526" s="20">
        <v>0.6875</v>
      </c>
      <c r="O526" s="20">
        <v>8.8062500000000039</v>
      </c>
      <c r="P526" s="10">
        <v>0.23909507768666494</v>
      </c>
      <c r="Q526" s="21">
        <v>0.27408333333333318</v>
      </c>
      <c r="R526" s="21">
        <v>0.31237500000000001</v>
      </c>
      <c r="S526" s="21">
        <v>0.38510416666666653</v>
      </c>
      <c r="T526" s="21">
        <v>0.39218749999999991</v>
      </c>
      <c r="U526" s="21">
        <v>0.44699999999999984</v>
      </c>
      <c r="V526" s="21">
        <v>0.32631249999999978</v>
      </c>
      <c r="W526" s="21">
        <v>0.31745833333333323</v>
      </c>
      <c r="X526" s="21">
        <v>0.26802083333333349</v>
      </c>
      <c r="Y526" s="21">
        <v>0.20521276595744692</v>
      </c>
      <c r="Z526" s="23">
        <f>AVERAGE(Q526,U526)</f>
        <v>0.36054166666666654</v>
      </c>
      <c r="AA526" s="23">
        <f>AVERAGE(R526:T526,V526:X526)</f>
        <v>0.3335763888888888</v>
      </c>
      <c r="AB526" s="23">
        <f t="shared" si="8"/>
        <v>0.33847916666666655</v>
      </c>
    </row>
    <row r="527" spans="1:28">
      <c r="A527" s="9">
        <v>44234</v>
      </c>
      <c r="B527" s="3"/>
      <c r="C527" s="3"/>
      <c r="D527" s="3"/>
      <c r="E527" s="3"/>
      <c r="F527" s="3"/>
      <c r="G527" s="19">
        <v>44234</v>
      </c>
      <c r="H527" s="20">
        <v>15.520833333333334</v>
      </c>
      <c r="I527" s="20">
        <v>90.010416666666671</v>
      </c>
      <c r="J527" s="20">
        <v>9.8458333333333332</v>
      </c>
      <c r="K527" s="20">
        <v>3.1000000000000005</v>
      </c>
      <c r="L527" s="20">
        <v>218.58333333333334</v>
      </c>
      <c r="M527" s="20">
        <v>6.125</v>
      </c>
      <c r="N527" s="20">
        <v>0.25</v>
      </c>
      <c r="O527" s="20">
        <v>8.25</v>
      </c>
      <c r="P527" s="10">
        <v>0.12958365931203833</v>
      </c>
      <c r="Q527" s="21">
        <v>0.27620833333333333</v>
      </c>
      <c r="R527" s="21">
        <v>0.31454166666666666</v>
      </c>
      <c r="S527" s="21">
        <v>0.38760416666666692</v>
      </c>
      <c r="T527" s="21">
        <v>0.39410416666666653</v>
      </c>
      <c r="U527" s="21">
        <v>0.44825000000000004</v>
      </c>
      <c r="V527" s="21">
        <v>0.32837499999999986</v>
      </c>
      <c r="W527" s="21">
        <v>0.31885416666666705</v>
      </c>
      <c r="X527" s="21">
        <v>0.26879166666666687</v>
      </c>
      <c r="Y527" s="21">
        <v>0.20258333333333334</v>
      </c>
      <c r="Z527" s="23">
        <f>AVERAGE(Q527,U527)</f>
        <v>0.36222916666666671</v>
      </c>
      <c r="AA527" s="23">
        <f>AVERAGE(R527:T527,V527:X527)</f>
        <v>0.33537847222222233</v>
      </c>
      <c r="AB527" s="23">
        <f t="shared" si="8"/>
        <v>0.34026041666666679</v>
      </c>
    </row>
    <row r="528" spans="1:28">
      <c r="A528" s="9">
        <v>44235</v>
      </c>
      <c r="B528" s="3"/>
      <c r="C528" s="3"/>
      <c r="D528" s="3"/>
      <c r="E528" s="3"/>
      <c r="F528" s="3"/>
      <c r="G528" s="19">
        <v>44235</v>
      </c>
      <c r="H528" s="20">
        <v>32.1875</v>
      </c>
      <c r="I528" s="20">
        <v>90.652083333333323</v>
      </c>
      <c r="J528" s="20">
        <v>7.1812500000000012</v>
      </c>
      <c r="K528" s="20">
        <v>3.3000000000000007</v>
      </c>
      <c r="L528" s="20">
        <v>229.33333333333334</v>
      </c>
      <c r="M528" s="20">
        <v>2.875</v>
      </c>
      <c r="N528" s="20">
        <v>8.3333333333333329E-2</v>
      </c>
      <c r="O528" s="20">
        <v>5.7458333333333336</v>
      </c>
      <c r="P528" s="10">
        <v>9.5673019860401262E-2</v>
      </c>
      <c r="Q528" s="21">
        <v>0.31262499999999999</v>
      </c>
      <c r="R528" s="21">
        <v>0.31495833333333345</v>
      </c>
      <c r="S528" s="21">
        <v>0.38658333333333306</v>
      </c>
      <c r="T528" s="21">
        <v>0.39491666666666631</v>
      </c>
      <c r="U528" s="21">
        <v>0.44766666666666638</v>
      </c>
      <c r="V528" s="21">
        <v>0.32679166666666676</v>
      </c>
      <c r="W528" s="21">
        <v>0.31900000000000039</v>
      </c>
      <c r="X528" s="21">
        <v>0.26895833333333347</v>
      </c>
      <c r="Y528" s="21">
        <v>0.23672916666666668</v>
      </c>
      <c r="Z528" s="23">
        <f>AVERAGE(Q528,U528)</f>
        <v>0.38014583333333318</v>
      </c>
      <c r="AA528" s="23">
        <f>AVERAGE(R528:T528,V528:X528)</f>
        <v>0.33520138888888895</v>
      </c>
      <c r="AB528" s="23">
        <f t="shared" si="8"/>
        <v>0.34337310606060606</v>
      </c>
    </row>
    <row r="529" spans="1:28">
      <c r="A529" s="9">
        <v>44236</v>
      </c>
      <c r="B529" s="3"/>
      <c r="C529" s="3"/>
      <c r="D529" s="3"/>
      <c r="E529" s="3"/>
      <c r="F529" s="3"/>
      <c r="G529" s="19">
        <v>44236</v>
      </c>
      <c r="H529" s="20">
        <v>35.333333333333336</v>
      </c>
      <c r="I529" s="20">
        <v>93.854166666666671</v>
      </c>
      <c r="J529" s="20">
        <v>6.7250000000000014</v>
      </c>
      <c r="K529" s="20">
        <v>7.0000000000000009</v>
      </c>
      <c r="L529" s="20">
        <v>102.9375</v>
      </c>
      <c r="M529" s="20">
        <v>1.0208333333333333</v>
      </c>
      <c r="N529" s="20">
        <v>0</v>
      </c>
      <c r="O529" s="20">
        <v>5.7979166666666657</v>
      </c>
      <c r="P529" s="10">
        <v>6.171955070228783E-2</v>
      </c>
      <c r="Q529" s="21">
        <v>0.40691666666666676</v>
      </c>
      <c r="R529" s="21">
        <v>0.33133333333333337</v>
      </c>
      <c r="S529" s="21">
        <v>0.3935833333333334</v>
      </c>
      <c r="T529" s="21">
        <v>0.39485416666666645</v>
      </c>
      <c r="U529" s="21">
        <v>0.45618750000000019</v>
      </c>
      <c r="V529" s="21">
        <v>0.3291458333333333</v>
      </c>
      <c r="W529" s="21">
        <v>0.31881250000000017</v>
      </c>
      <c r="X529" s="21">
        <v>0.2686041666666667</v>
      </c>
      <c r="Y529" s="21">
        <v>0.24612500000000012</v>
      </c>
      <c r="Z529" s="23">
        <f>AVERAGE(Q529,U529)</f>
        <v>0.4315520833333335</v>
      </c>
      <c r="AA529" s="23">
        <f>AVERAGE(R529:T529,V529:X529)</f>
        <v>0.33938888888888891</v>
      </c>
      <c r="AB529" s="23">
        <f t="shared" si="8"/>
        <v>0.35614583333333338</v>
      </c>
    </row>
    <row r="530" spans="1:28">
      <c r="A530" s="9">
        <v>44237</v>
      </c>
      <c r="B530" s="3"/>
      <c r="C530" s="3"/>
      <c r="D530" s="3"/>
      <c r="E530" s="3"/>
      <c r="F530" s="3"/>
      <c r="G530" s="19">
        <v>44237</v>
      </c>
      <c r="H530" s="20">
        <v>120.16666666666667</v>
      </c>
      <c r="I530" s="20">
        <v>83.783333333333317</v>
      </c>
      <c r="J530" s="20">
        <v>8.4437499999999996</v>
      </c>
      <c r="K530" s="20">
        <v>0.89999999999999991</v>
      </c>
      <c r="L530" s="20">
        <v>177.9375</v>
      </c>
      <c r="M530" s="20">
        <v>3.625</v>
      </c>
      <c r="N530" s="20">
        <v>0.10416666666666667</v>
      </c>
      <c r="O530" s="20">
        <v>5.6562499999999991</v>
      </c>
      <c r="P530" s="10">
        <v>0.21000384111512935</v>
      </c>
      <c r="Q530" s="21">
        <v>0.40443749999999973</v>
      </c>
      <c r="R530" s="21">
        <v>0.35052083333333317</v>
      </c>
      <c r="S530" s="21">
        <v>0.41510416666666655</v>
      </c>
      <c r="T530" s="21">
        <v>0.39504166666666646</v>
      </c>
      <c r="U530" s="21">
        <v>0.46004166666666674</v>
      </c>
      <c r="V530" s="21">
        <v>0.33741666666666664</v>
      </c>
      <c r="W530" s="21">
        <v>0.3186250000000001</v>
      </c>
      <c r="X530" s="21">
        <v>0.26879166666666671</v>
      </c>
      <c r="Y530" s="21">
        <v>0.23680000000000001</v>
      </c>
      <c r="Z530" s="23">
        <f>AVERAGE(Q530,U530)</f>
        <v>0.43223958333333323</v>
      </c>
      <c r="AA530" s="23">
        <f>AVERAGE(R530:T530,V530:X530)</f>
        <v>0.3475833333333333</v>
      </c>
      <c r="AB530" s="23">
        <f t="shared" si="8"/>
        <v>0.36297537878787872</v>
      </c>
    </row>
    <row r="531" spans="1:28">
      <c r="A531" s="9">
        <v>44238</v>
      </c>
      <c r="B531" s="3"/>
      <c r="C531" s="3"/>
      <c r="D531" s="3"/>
      <c r="E531" s="3"/>
      <c r="F531" s="3"/>
      <c r="G531" s="19">
        <v>44238</v>
      </c>
      <c r="H531" s="20">
        <v>47.375</v>
      </c>
      <c r="I531" s="20">
        <v>87.191666666666677</v>
      </c>
      <c r="J531" s="20">
        <v>6.9958333333333309</v>
      </c>
      <c r="K531" s="20">
        <v>0</v>
      </c>
      <c r="L531" s="20">
        <v>219.41666666666666</v>
      </c>
      <c r="M531" s="20">
        <v>2.5</v>
      </c>
      <c r="N531" s="20">
        <v>2.0833333333333332E-2</v>
      </c>
      <c r="O531" s="20">
        <v>4.96875</v>
      </c>
      <c r="P531" s="10">
        <v>0.13606592220369837</v>
      </c>
      <c r="Q531" s="21">
        <v>0.38989583333333339</v>
      </c>
      <c r="R531" s="21">
        <v>0.35443749999999968</v>
      </c>
      <c r="S531" s="21">
        <v>0.42474999999999996</v>
      </c>
      <c r="T531" s="21">
        <v>0.39639583333333323</v>
      </c>
      <c r="U531" s="21">
        <v>0.45804166666666651</v>
      </c>
      <c r="V531" s="21">
        <v>0.34124999999999978</v>
      </c>
      <c r="W531" s="21">
        <v>0.31900000000000039</v>
      </c>
      <c r="X531" s="21">
        <v>0.26900000000000007</v>
      </c>
      <c r="Y531" s="21">
        <v>0.22927083333333323</v>
      </c>
      <c r="Z531" s="23">
        <f>AVERAGE(Q531,U531)</f>
        <v>0.42396874999999995</v>
      </c>
      <c r="AA531" s="23">
        <f>AVERAGE(R531:T531,V531:X531)</f>
        <v>0.35080555555555554</v>
      </c>
      <c r="AB531" s="23">
        <f t="shared" si="8"/>
        <v>0.36410795454545453</v>
      </c>
    </row>
    <row r="532" spans="1:28">
      <c r="A532" s="9">
        <v>44239</v>
      </c>
      <c r="B532" s="3"/>
      <c r="C532" s="3"/>
      <c r="D532" s="3"/>
      <c r="E532" s="3"/>
      <c r="F532" s="3"/>
      <c r="G532" s="19">
        <v>44239</v>
      </c>
      <c r="H532" s="20">
        <v>69.541666666666671</v>
      </c>
      <c r="I532" s="20">
        <v>83.716666666666683</v>
      </c>
      <c r="J532" s="20">
        <v>9.1312499999999996</v>
      </c>
      <c r="K532" s="20">
        <v>0</v>
      </c>
      <c r="L532" s="20">
        <v>200.66666666666666</v>
      </c>
      <c r="M532" s="20">
        <v>2.6041666666666665</v>
      </c>
      <c r="N532" s="20">
        <v>6.25E-2</v>
      </c>
      <c r="O532" s="20">
        <v>6.4312499999999986</v>
      </c>
      <c r="P532" s="10">
        <v>0.20623062718647958</v>
      </c>
      <c r="Q532" s="21">
        <v>0.38443750000000015</v>
      </c>
      <c r="R532" s="21">
        <v>0.35500000000000004</v>
      </c>
      <c r="S532" s="21">
        <v>0.42685416666666659</v>
      </c>
      <c r="T532" s="21">
        <v>0.39699999999999996</v>
      </c>
      <c r="U532" s="21">
        <v>0.45716666666666655</v>
      </c>
      <c r="V532" s="21">
        <v>0.34097916666666667</v>
      </c>
      <c r="W532" s="21">
        <v>0.31912500000000033</v>
      </c>
      <c r="X532" s="21">
        <v>0.26906250000000004</v>
      </c>
      <c r="Y532" s="21">
        <v>0.22668085106382987</v>
      </c>
      <c r="Z532" s="23">
        <f>AVERAGE(Q532,U532)</f>
        <v>0.42080208333333335</v>
      </c>
      <c r="AA532" s="23">
        <f>AVERAGE(R532:T532,V532:X532)</f>
        <v>0.35133680555555563</v>
      </c>
      <c r="AB532" s="23">
        <f t="shared" si="8"/>
        <v>0.36396685606060614</v>
      </c>
    </row>
    <row r="533" spans="1:28">
      <c r="A533" s="9">
        <v>44240</v>
      </c>
      <c r="B533" s="3"/>
      <c r="C533" s="3"/>
      <c r="D533" s="3"/>
      <c r="E533" s="3"/>
      <c r="F533" s="3"/>
      <c r="G533" s="19">
        <v>44240</v>
      </c>
      <c r="H533" s="20">
        <v>24.375</v>
      </c>
      <c r="I533" s="20">
        <v>88.866666666666674</v>
      </c>
      <c r="J533" s="20">
        <v>9.7208333333333332</v>
      </c>
      <c r="K533" s="20">
        <v>0</v>
      </c>
      <c r="L533" s="20">
        <v>230.39583333333334</v>
      </c>
      <c r="M533" s="20">
        <v>4.291666666666667</v>
      </c>
      <c r="N533" s="20">
        <v>6.25E-2</v>
      </c>
      <c r="O533" s="20">
        <v>7.970833333333335</v>
      </c>
      <c r="P533" s="10">
        <v>0.13570926991924623</v>
      </c>
      <c r="Q533" s="21">
        <v>0.38168750000000012</v>
      </c>
      <c r="R533" s="21">
        <v>0.35627083333333309</v>
      </c>
      <c r="S533" s="21">
        <v>0.42862499999999987</v>
      </c>
      <c r="T533" s="21">
        <v>0.39814583333333337</v>
      </c>
      <c r="U533" s="21">
        <v>0.45752083333333315</v>
      </c>
      <c r="V533" s="21">
        <v>0.34162499999999985</v>
      </c>
      <c r="W533" s="21">
        <v>0.32014583333333341</v>
      </c>
      <c r="X533" s="21">
        <v>0.26979166666666643</v>
      </c>
      <c r="Y533" s="21">
        <v>0.22499999999999978</v>
      </c>
      <c r="Z533" s="23">
        <f>AVERAGE(Q533,U533)</f>
        <v>0.41960416666666667</v>
      </c>
      <c r="AA533" s="23">
        <f>AVERAGE(R533:T533,V533:X533)</f>
        <v>0.35243402777777771</v>
      </c>
      <c r="AB533" s="23">
        <f t="shared" si="8"/>
        <v>0.36464678030303022</v>
      </c>
    </row>
    <row r="534" spans="1:28">
      <c r="A534" s="9">
        <v>44241</v>
      </c>
      <c r="B534" s="3"/>
      <c r="C534" s="3"/>
      <c r="D534" s="3"/>
      <c r="E534" s="3"/>
      <c r="F534" s="3"/>
      <c r="G534" s="19">
        <v>44241</v>
      </c>
      <c r="H534" s="20">
        <v>167.97916666666666</v>
      </c>
      <c r="I534" s="20">
        <v>78.887499999999989</v>
      </c>
      <c r="J534" s="20">
        <v>12.041666666666663</v>
      </c>
      <c r="K534" s="20">
        <v>0</v>
      </c>
      <c r="L534" s="20">
        <v>134.1875</v>
      </c>
      <c r="M534" s="20">
        <v>6.4375</v>
      </c>
      <c r="N534" s="20">
        <v>0.79166666666666663</v>
      </c>
      <c r="O534" s="20">
        <v>8.2104166666666671</v>
      </c>
      <c r="P534" s="10">
        <v>0.3597565922240154</v>
      </c>
      <c r="Q534" s="21">
        <v>0.38106250000000014</v>
      </c>
      <c r="R534" s="21">
        <v>0.35797916666666657</v>
      </c>
      <c r="S534" s="21">
        <v>0.43014583333333317</v>
      </c>
      <c r="T534" s="21">
        <v>0.39910416666666698</v>
      </c>
      <c r="U534" s="21">
        <v>0.4597291666666668</v>
      </c>
      <c r="V534" s="21">
        <v>0.34199999999999992</v>
      </c>
      <c r="W534" s="21">
        <v>0.32110416666666641</v>
      </c>
      <c r="X534" s="21">
        <v>0.27008333333333318</v>
      </c>
      <c r="Y534" s="21">
        <v>0.22284090909090917</v>
      </c>
      <c r="Z534" s="23">
        <f>AVERAGE(Q534,U534)</f>
        <v>0.42039583333333347</v>
      </c>
      <c r="AA534" s="23">
        <f>AVERAGE(R534:T534,V534:X534)</f>
        <v>0.35340277777777768</v>
      </c>
      <c r="AB534" s="23">
        <f t="shared" si="8"/>
        <v>0.36558333333333326</v>
      </c>
    </row>
    <row r="535" spans="1:28">
      <c r="A535" s="9">
        <v>44242</v>
      </c>
      <c r="B535" s="3"/>
      <c r="C535" s="3"/>
      <c r="D535" s="3"/>
      <c r="E535" s="3"/>
      <c r="F535" s="3"/>
      <c r="G535" s="19">
        <v>44242</v>
      </c>
      <c r="H535" s="20">
        <v>75.354166666666671</v>
      </c>
      <c r="I535" s="20">
        <v>80.991666666666646</v>
      </c>
      <c r="J535" s="20">
        <v>12.797916666666664</v>
      </c>
      <c r="K535" s="20">
        <v>0</v>
      </c>
      <c r="L535" s="20">
        <v>224.875</v>
      </c>
      <c r="M535" s="20">
        <v>8.0208333333333339</v>
      </c>
      <c r="N535" s="20">
        <v>0.97916666666666663</v>
      </c>
      <c r="O535" s="20">
        <v>9.5166666666666693</v>
      </c>
      <c r="P535" s="10">
        <v>0.30421276294998428</v>
      </c>
      <c r="Q535" s="21">
        <v>0.3811041666666668</v>
      </c>
      <c r="R535" s="21">
        <v>0.36243750000000013</v>
      </c>
      <c r="S535" s="21">
        <v>0.43433333333333302</v>
      </c>
      <c r="T535" s="21">
        <v>0.4018958333333329</v>
      </c>
      <c r="U535" s="21">
        <v>0.46402083333333355</v>
      </c>
      <c r="V535" s="21">
        <v>0.34504166666666664</v>
      </c>
      <c r="W535" s="21">
        <v>0.32352083333333331</v>
      </c>
      <c r="X535" s="21">
        <v>0.2712291666666668</v>
      </c>
      <c r="Y535" s="21">
        <v>0.21799999999999997</v>
      </c>
      <c r="Z535" s="23">
        <f>AVERAGE(Q535,U535)</f>
        <v>0.42256250000000017</v>
      </c>
      <c r="AA535" s="23">
        <f>AVERAGE(R535:T535,V535:X535)</f>
        <v>0.35640972222222217</v>
      </c>
      <c r="AB535" s="23">
        <f t="shared" si="8"/>
        <v>0.36843749999999997</v>
      </c>
    </row>
    <row r="536" spans="1:28">
      <c r="A536" s="9">
        <v>44243</v>
      </c>
      <c r="B536" s="3"/>
      <c r="C536" s="3"/>
      <c r="D536" s="3"/>
      <c r="E536" s="3"/>
      <c r="F536" s="3"/>
      <c r="G536" s="19">
        <v>44243</v>
      </c>
      <c r="H536" s="20">
        <v>69.416666666666671</v>
      </c>
      <c r="I536" s="20">
        <v>80.77500000000002</v>
      </c>
      <c r="J536" s="20">
        <v>8.3249999999999993</v>
      </c>
      <c r="K536" s="20">
        <v>2.9000000000000004</v>
      </c>
      <c r="L536" s="20">
        <v>211.5</v>
      </c>
      <c r="M536" s="20">
        <v>5</v>
      </c>
      <c r="N536" s="20">
        <v>0</v>
      </c>
      <c r="O536" s="20">
        <v>5.0770833333333352</v>
      </c>
      <c r="P536" s="10">
        <v>0.22755224734315302</v>
      </c>
      <c r="Q536" s="21">
        <v>0.37560416666666674</v>
      </c>
      <c r="R536" s="21">
        <v>0.3628958333333332</v>
      </c>
      <c r="S536" s="21">
        <v>0.43527083333333327</v>
      </c>
      <c r="T536" s="21">
        <v>0.40472916666666664</v>
      </c>
      <c r="U536" s="21">
        <v>0.46162499999999995</v>
      </c>
      <c r="V536" s="21">
        <v>0.34499999999999992</v>
      </c>
      <c r="W536" s="21">
        <v>0.32485416666666639</v>
      </c>
      <c r="X536" s="21">
        <v>0.27197916666666672</v>
      </c>
      <c r="Y536" s="21">
        <v>0.23180952380952377</v>
      </c>
      <c r="Z536" s="23">
        <f>AVERAGE(Q536,U536)</f>
        <v>0.41861458333333335</v>
      </c>
      <c r="AA536" s="23">
        <f>AVERAGE(R536:T536,V536:X536)</f>
        <v>0.35745486111111102</v>
      </c>
      <c r="AB536" s="23">
        <f t="shared" si="8"/>
        <v>0.36857481060606057</v>
      </c>
    </row>
    <row r="537" spans="1:28">
      <c r="A537" s="9">
        <v>44244</v>
      </c>
      <c r="B537" s="3"/>
      <c r="C537" s="3"/>
      <c r="D537" s="3"/>
      <c r="E537" s="3"/>
      <c r="F537" s="3"/>
      <c r="G537" s="19">
        <v>44244</v>
      </c>
      <c r="H537" s="20">
        <v>117.375</v>
      </c>
      <c r="I537" s="20">
        <v>68.912499999999994</v>
      </c>
      <c r="J537" s="20">
        <v>9.3125</v>
      </c>
      <c r="K537" s="20">
        <v>0</v>
      </c>
      <c r="L537" s="20">
        <v>248.41666666666666</v>
      </c>
      <c r="M537" s="20">
        <v>3.2083333333333335</v>
      </c>
      <c r="N537" s="20">
        <v>0.10416666666666667</v>
      </c>
      <c r="O537" s="20">
        <v>3.5583333333333331</v>
      </c>
      <c r="P537" s="10">
        <v>0.40571714665711106</v>
      </c>
      <c r="Q537" s="21">
        <v>0.37220833333333325</v>
      </c>
      <c r="R537" s="21">
        <v>0.36193750000000019</v>
      </c>
      <c r="S537" s="21">
        <v>0.43399999999999994</v>
      </c>
      <c r="T537" s="21">
        <v>0.40500000000000003</v>
      </c>
      <c r="U537" s="21">
        <v>0.4596875000000003</v>
      </c>
      <c r="V537" s="21">
        <v>0.3435416666666668</v>
      </c>
      <c r="W537" s="21">
        <v>0.32456249999999986</v>
      </c>
      <c r="X537" s="21">
        <v>0.27285416666666656</v>
      </c>
      <c r="Y537" s="21">
        <v>0.22133333333333338</v>
      </c>
      <c r="Z537" s="23">
        <f>AVERAGE(Q537,U537)</f>
        <v>0.41594791666666675</v>
      </c>
      <c r="AA537" s="23">
        <f>AVERAGE(R537:T537,V537:X537)</f>
        <v>0.35698263888888887</v>
      </c>
      <c r="AB537" s="23">
        <f t="shared" si="8"/>
        <v>0.36770359848484846</v>
      </c>
    </row>
    <row r="538" spans="1:28">
      <c r="A538" s="9">
        <v>44245</v>
      </c>
      <c r="B538" s="3"/>
      <c r="C538" s="3"/>
      <c r="D538" s="3"/>
      <c r="E538" s="3"/>
      <c r="F538" s="3"/>
      <c r="G538" s="19">
        <v>44245</v>
      </c>
      <c r="H538" s="20">
        <v>42.104166666666664</v>
      </c>
      <c r="I538" s="20">
        <v>64.987499999999997</v>
      </c>
      <c r="J538" s="20">
        <v>8.6416666666666675</v>
      </c>
      <c r="K538" s="20">
        <v>0</v>
      </c>
      <c r="L538" s="20">
        <v>231.02083333333334</v>
      </c>
      <c r="M538" s="20">
        <v>4.416666666666667</v>
      </c>
      <c r="N538" s="20">
        <v>0.1875</v>
      </c>
      <c r="O538" s="20">
        <v>2.3916666666666662</v>
      </c>
      <c r="P538" s="10">
        <v>0.39552663906202629</v>
      </c>
      <c r="Q538" s="21">
        <v>0.37020833333333325</v>
      </c>
      <c r="R538" s="21">
        <v>0.36254166666666648</v>
      </c>
      <c r="S538" s="21">
        <v>0.43462500000000021</v>
      </c>
      <c r="T538" s="21">
        <v>0.40581249999999996</v>
      </c>
      <c r="U538" s="21">
        <v>0.45868749999999986</v>
      </c>
      <c r="V538" s="21">
        <v>0.34379166666666672</v>
      </c>
      <c r="W538" s="21">
        <v>0.32499999999999968</v>
      </c>
      <c r="X538" s="21">
        <v>0.27306249999999993</v>
      </c>
      <c r="Y538" s="21">
        <v>0.21362500000000015</v>
      </c>
      <c r="Z538" s="23">
        <f>AVERAGE(Q538,U538)</f>
        <v>0.41444791666666658</v>
      </c>
      <c r="AA538" s="23">
        <f>AVERAGE(R538:T538,V538:X538)</f>
        <v>0.35747222222222219</v>
      </c>
      <c r="AB538" s="23">
        <f t="shared" si="8"/>
        <v>0.36783143939393936</v>
      </c>
    </row>
    <row r="539" spans="1:28">
      <c r="A539" s="9">
        <v>44246</v>
      </c>
      <c r="B539" s="3"/>
      <c r="C539" s="3"/>
      <c r="D539" s="3"/>
      <c r="E539" s="3"/>
      <c r="F539" s="3"/>
      <c r="G539" s="19">
        <v>44246</v>
      </c>
      <c r="H539" s="20">
        <v>69.541666666666671</v>
      </c>
      <c r="I539" s="20">
        <v>75.4375</v>
      </c>
      <c r="J539" s="20">
        <v>8.9312499999999986</v>
      </c>
      <c r="K539" s="20">
        <v>0</v>
      </c>
      <c r="L539" s="20">
        <v>192.60416666666666</v>
      </c>
      <c r="M539" s="20">
        <v>2.5625</v>
      </c>
      <c r="N539" s="20">
        <v>0</v>
      </c>
      <c r="O539" s="20">
        <v>4.760416666666667</v>
      </c>
      <c r="P539" s="10">
        <v>0.29362964691311816</v>
      </c>
      <c r="Q539" s="21">
        <v>0.36741666666666667</v>
      </c>
      <c r="R539" s="21">
        <v>0.36125000000000013</v>
      </c>
      <c r="S539" s="21">
        <v>0.43358333333333338</v>
      </c>
      <c r="T539" s="21">
        <v>0.40599999999999997</v>
      </c>
      <c r="U539" s="21">
        <v>0.45570833333333355</v>
      </c>
      <c r="V539" s="21">
        <v>0.34231250000000019</v>
      </c>
      <c r="W539" s="21">
        <v>0.32479166666666648</v>
      </c>
      <c r="X539" s="21">
        <v>0.27302083333333316</v>
      </c>
      <c r="Y539" s="21">
        <v>0.20839583333333325</v>
      </c>
      <c r="Z539" s="23">
        <f>AVERAGE(Q539,U539)</f>
        <v>0.41156250000000011</v>
      </c>
      <c r="AA539" s="23">
        <f>AVERAGE(R539:T539,V539:X539)</f>
        <v>0.3568263888888889</v>
      </c>
      <c r="AB539" s="23">
        <f t="shared" si="8"/>
        <v>0.36677840909090914</v>
      </c>
    </row>
    <row r="540" spans="1:28">
      <c r="A540" s="9">
        <v>44247</v>
      </c>
      <c r="B540" s="3"/>
      <c r="C540" s="3"/>
      <c r="D540" s="3"/>
      <c r="E540" s="3"/>
      <c r="F540" s="3"/>
      <c r="G540" s="19">
        <v>44247</v>
      </c>
      <c r="H540" s="20">
        <v>67.541666666666671</v>
      </c>
      <c r="I540" s="20">
        <v>83.84375</v>
      </c>
      <c r="J540" s="20">
        <v>10.266666666666664</v>
      </c>
      <c r="K540" s="20">
        <v>0</v>
      </c>
      <c r="L540" s="20">
        <v>254.5</v>
      </c>
      <c r="M540" s="20">
        <v>1.5625</v>
      </c>
      <c r="N540" s="20">
        <v>0</v>
      </c>
      <c r="O540" s="20">
        <v>7.6083333333333334</v>
      </c>
      <c r="P540" s="10">
        <v>0.21378057512719131</v>
      </c>
      <c r="Q540" s="21">
        <v>0.36647916666666652</v>
      </c>
      <c r="R540" s="21">
        <v>0.36193750000000002</v>
      </c>
      <c r="S540" s="21">
        <v>0.43395833333333328</v>
      </c>
      <c r="T540" s="21">
        <v>0.40608333333333335</v>
      </c>
      <c r="U540" s="21">
        <v>0.45606249999999965</v>
      </c>
      <c r="V540" s="21">
        <v>0.34231250000000019</v>
      </c>
      <c r="W540" s="21">
        <v>0.32497916666666637</v>
      </c>
      <c r="X540" s="21">
        <v>0.27304166666666657</v>
      </c>
      <c r="Y540" s="21">
        <v>0.20523404255319161</v>
      </c>
      <c r="Z540" s="23">
        <f>AVERAGE(Q540,U540)</f>
        <v>0.41127083333333309</v>
      </c>
      <c r="AA540" s="23">
        <f>AVERAGE(R540:T540,V540:X540)</f>
        <v>0.35705208333333327</v>
      </c>
      <c r="AB540" s="23">
        <f t="shared" si="8"/>
        <v>0.36691003787878773</v>
      </c>
    </row>
    <row r="541" spans="1:28">
      <c r="A541" s="9">
        <v>44248</v>
      </c>
      <c r="B541" s="3"/>
      <c r="C541" s="3"/>
      <c r="D541" s="3"/>
      <c r="E541" s="3"/>
      <c r="F541" s="3"/>
      <c r="G541" s="19">
        <v>44248</v>
      </c>
      <c r="H541" s="20">
        <v>72.104166666666671</v>
      </c>
      <c r="I541" s="20">
        <v>83.50833333333334</v>
      </c>
      <c r="J541" s="20">
        <v>12.79166666666667</v>
      </c>
      <c r="K541" s="20">
        <v>0.2</v>
      </c>
      <c r="L541" s="20">
        <v>244.77083333333334</v>
      </c>
      <c r="M541" s="20">
        <v>4.395833333333333</v>
      </c>
      <c r="N541" s="20">
        <v>0.10416666666666667</v>
      </c>
      <c r="O541" s="20">
        <v>9.9770833333333311</v>
      </c>
      <c r="P541" s="10">
        <v>0.26393009674502033</v>
      </c>
      <c r="Q541" s="21">
        <v>0.3665000000000001</v>
      </c>
      <c r="R541" s="21">
        <v>0.36431250000000021</v>
      </c>
      <c r="S541" s="21">
        <v>0.43566666666666681</v>
      </c>
      <c r="T541" s="21">
        <v>0.40741666666666676</v>
      </c>
      <c r="U541" s="21">
        <v>0.4581458333333337</v>
      </c>
      <c r="V541" s="21">
        <v>0.34352083333333333</v>
      </c>
      <c r="W541" s="21">
        <v>0.32589583333333344</v>
      </c>
      <c r="X541" s="21">
        <v>0.27397916666666705</v>
      </c>
      <c r="Y541" s="21">
        <v>0.21518181818181806</v>
      </c>
      <c r="Z541" s="23">
        <f>AVERAGE(Q541,U541)</f>
        <v>0.41232291666666687</v>
      </c>
      <c r="AA541" s="23">
        <f>AVERAGE(R541:T541,V541:X541)</f>
        <v>0.35846527777777792</v>
      </c>
      <c r="AB541" s="23">
        <f t="shared" si="8"/>
        <v>0.36825757575757589</v>
      </c>
    </row>
    <row r="542" spans="1:28">
      <c r="A542" s="9">
        <v>44249</v>
      </c>
      <c r="B542" s="3"/>
      <c r="C542" s="3"/>
      <c r="D542" s="3"/>
      <c r="E542" s="3"/>
      <c r="F542" s="3"/>
      <c r="G542" s="19">
        <v>44249</v>
      </c>
      <c r="H542" s="20">
        <v>143.72916666666666</v>
      </c>
      <c r="I542" s="20">
        <v>83.50833333333334</v>
      </c>
      <c r="J542" s="20">
        <v>13.110416666666667</v>
      </c>
      <c r="K542" s="20">
        <v>0</v>
      </c>
      <c r="L542" s="20">
        <v>216.91666666666666</v>
      </c>
      <c r="M542" s="20">
        <v>3.9583333333333335</v>
      </c>
      <c r="N542" s="20">
        <v>0.35416666666666669</v>
      </c>
      <c r="O542" s="20">
        <v>10.033333333333331</v>
      </c>
      <c r="P542" s="10">
        <v>0.34093455084318713</v>
      </c>
      <c r="Q542" s="21">
        <v>0.36564583333333323</v>
      </c>
      <c r="R542" s="21">
        <v>0.3665416666666666</v>
      </c>
      <c r="S542" s="21">
        <v>0.43781249999999988</v>
      </c>
      <c r="T542" s="21">
        <v>0.40870833333333323</v>
      </c>
      <c r="U542" s="21">
        <v>0.46083333333333326</v>
      </c>
      <c r="V542" s="21">
        <v>0.34504166666666669</v>
      </c>
      <c r="W542" s="21">
        <v>0.32727083333333323</v>
      </c>
      <c r="X542" s="21">
        <v>0.27427083333333352</v>
      </c>
      <c r="Y542" s="21">
        <v>0.19775609756097562</v>
      </c>
      <c r="Z542" s="23">
        <f>AVERAGE(Q542,U542)</f>
        <v>0.41323958333333322</v>
      </c>
      <c r="AA542" s="23">
        <f>AVERAGE(R542:T542,V542:X542)</f>
        <v>0.35994097222222221</v>
      </c>
      <c r="AB542" s="23">
        <f t="shared" si="8"/>
        <v>0.3696316287878787</v>
      </c>
    </row>
    <row r="543" spans="1:28">
      <c r="A543" s="9">
        <v>44250</v>
      </c>
      <c r="B543" s="3"/>
      <c r="C543" s="3"/>
      <c r="D543" s="3"/>
      <c r="E543" s="3"/>
      <c r="F543" s="3"/>
      <c r="G543" s="19">
        <v>44250</v>
      </c>
      <c r="H543" s="20">
        <v>140.83333333333334</v>
      </c>
      <c r="I543" s="20">
        <v>77.256250000000023</v>
      </c>
      <c r="J543" s="20">
        <v>15.685416666666669</v>
      </c>
      <c r="K543" s="20">
        <v>0</v>
      </c>
      <c r="L543" s="20">
        <v>226.54166666666666</v>
      </c>
      <c r="M543" s="20">
        <v>9.8958333333333339</v>
      </c>
      <c r="N543" s="20">
        <v>1.3958333333333333</v>
      </c>
      <c r="O543" s="20">
        <v>11.454166666666666</v>
      </c>
      <c r="P543" s="10">
        <v>0.45911084527420026</v>
      </c>
      <c r="Q543" s="21">
        <v>0.36562500000000009</v>
      </c>
      <c r="R543" s="21">
        <v>0.3705416666666666</v>
      </c>
      <c r="S543" s="21">
        <v>0.4419583333333334</v>
      </c>
      <c r="T543" s="21">
        <v>0.4108124999999998</v>
      </c>
      <c r="U543" s="21">
        <v>0.46599999999999969</v>
      </c>
      <c r="V543" s="21">
        <v>0.34841666666666654</v>
      </c>
      <c r="W543" s="21">
        <v>0.32949999999999996</v>
      </c>
      <c r="X543" s="21">
        <v>0.27593749999999978</v>
      </c>
      <c r="Y543" s="21">
        <v>0.19210526315789472</v>
      </c>
      <c r="Z543" s="23">
        <f>AVERAGE(Q543,U543)</f>
        <v>0.41581249999999992</v>
      </c>
      <c r="AA543" s="23">
        <f>AVERAGE(R543:T543,V543:X543)</f>
        <v>0.36286111111111102</v>
      </c>
      <c r="AB543" s="23">
        <f t="shared" si="8"/>
        <v>0.37248863636363627</v>
      </c>
    </row>
    <row r="544" spans="1:28">
      <c r="A544" s="9">
        <v>44251</v>
      </c>
      <c r="B544" s="3"/>
      <c r="C544" s="3"/>
      <c r="D544" s="3"/>
      <c r="E544" s="3"/>
      <c r="F544" s="3"/>
      <c r="G544" s="19">
        <v>44251</v>
      </c>
      <c r="H544" s="20">
        <v>142.45833333333334</v>
      </c>
      <c r="I544" s="20">
        <v>73.752083333333317</v>
      </c>
      <c r="J544" s="20">
        <v>16.991666666666664</v>
      </c>
      <c r="K544" s="20">
        <v>0</v>
      </c>
      <c r="L544" s="20">
        <v>233.10416666666666</v>
      </c>
      <c r="M544" s="20">
        <v>14.645833333333334</v>
      </c>
      <c r="N544" s="20">
        <v>3.375</v>
      </c>
      <c r="O544" s="20">
        <v>12.0875</v>
      </c>
      <c r="P544" s="10">
        <v>0.5528110845120161</v>
      </c>
      <c r="Q544" s="21">
        <v>0.36293750000000008</v>
      </c>
      <c r="R544" s="21">
        <v>0.37293749999999998</v>
      </c>
      <c r="S544" s="21">
        <v>0.44537500000000024</v>
      </c>
      <c r="T544" s="21">
        <v>0.41387499999999977</v>
      </c>
      <c r="U544" s="21">
        <v>0.46833333333333332</v>
      </c>
      <c r="V544" s="21">
        <v>0.35043749999999996</v>
      </c>
      <c r="W544" s="21">
        <v>0.3320625000000002</v>
      </c>
      <c r="X544" s="21">
        <v>0.27743750000000028</v>
      </c>
      <c r="Y544" s="21">
        <v>0.1862</v>
      </c>
      <c r="Z544" s="23">
        <f>AVERAGE(Q544,U544)</f>
        <v>0.4156354166666667</v>
      </c>
      <c r="AA544" s="23">
        <f>AVERAGE(R544:T544,V544:X544)</f>
        <v>0.3653541666666667</v>
      </c>
      <c r="AB544" s="23">
        <f t="shared" si="8"/>
        <v>0.37449621212121215</v>
      </c>
    </row>
    <row r="545" spans="1:28">
      <c r="A545" s="9">
        <v>44252</v>
      </c>
      <c r="B545" s="3"/>
      <c r="C545" s="3"/>
      <c r="D545" s="3"/>
      <c r="E545" s="3"/>
      <c r="F545" s="3"/>
      <c r="G545" s="19">
        <v>44252</v>
      </c>
      <c r="H545" s="20">
        <v>128.02083333333334</v>
      </c>
      <c r="I545" s="20">
        <v>74.814583333333346</v>
      </c>
      <c r="J545" s="20">
        <v>16.829166666666666</v>
      </c>
      <c r="K545" s="20">
        <v>0</v>
      </c>
      <c r="L545" s="20">
        <v>230.52083333333334</v>
      </c>
      <c r="M545" s="20">
        <v>8.8333333333333339</v>
      </c>
      <c r="N545" s="20">
        <v>0.79166666666666663</v>
      </c>
      <c r="O545" s="20">
        <v>12.083333333333334</v>
      </c>
      <c r="P545" s="10">
        <v>0.53857039427237252</v>
      </c>
      <c r="Q545" s="21">
        <v>0.35981250000000015</v>
      </c>
      <c r="R545" s="21">
        <v>0.37485416666666693</v>
      </c>
      <c r="S545" s="21">
        <v>0.44804166666666684</v>
      </c>
      <c r="T545" s="21">
        <v>0.4167083333333334</v>
      </c>
      <c r="U545" s="21">
        <v>0.47016666666666657</v>
      </c>
      <c r="V545" s="21">
        <v>0.35241666666666643</v>
      </c>
      <c r="W545" s="21">
        <v>0.33427083333333346</v>
      </c>
      <c r="X545" s="21">
        <v>0.27922916666666642</v>
      </c>
      <c r="Y545" s="21">
        <v>0.17399999999999996</v>
      </c>
      <c r="Z545" s="23">
        <f>AVERAGE(Q545,U545)</f>
        <v>0.41498958333333336</v>
      </c>
      <c r="AA545" s="23">
        <f>AVERAGE(R545:T545,V545:X545)</f>
        <v>0.36758680555555562</v>
      </c>
      <c r="AB545" s="23">
        <f t="shared" si="8"/>
        <v>0.37620549242424245</v>
      </c>
    </row>
    <row r="546" spans="1:28">
      <c r="A546" s="9">
        <v>44253</v>
      </c>
      <c r="B546" s="3"/>
      <c r="C546" s="3"/>
      <c r="D546" s="3"/>
      <c r="E546" s="3"/>
      <c r="F546" s="3"/>
      <c r="G546" s="19">
        <v>44253</v>
      </c>
      <c r="H546" s="20">
        <v>44.666666666666664</v>
      </c>
      <c r="I546" s="20">
        <v>87.831249999999997</v>
      </c>
      <c r="J546" s="20">
        <v>9.3166666666666682</v>
      </c>
      <c r="K546" s="20">
        <v>13.799999999999997</v>
      </c>
      <c r="L546" s="20">
        <v>223.60416666666666</v>
      </c>
      <c r="M546" s="20">
        <v>6.583333333333333</v>
      </c>
      <c r="N546" s="20">
        <v>0.14583333333333334</v>
      </c>
      <c r="O546" s="20">
        <v>7.3770833333333323</v>
      </c>
      <c r="P546" s="10">
        <v>0.14539350252634348</v>
      </c>
      <c r="Q546" s="21">
        <v>0.38587499999999997</v>
      </c>
      <c r="R546" s="21">
        <v>0.40024999999999999</v>
      </c>
      <c r="S546" s="21">
        <v>0.45835416666666712</v>
      </c>
      <c r="T546" s="21">
        <v>0.42106250000000034</v>
      </c>
      <c r="U546" s="21">
        <v>0.4765833333333333</v>
      </c>
      <c r="V546" s="21">
        <v>0.36854166666666655</v>
      </c>
      <c r="W546" s="21">
        <v>0.33860416666666687</v>
      </c>
      <c r="X546" s="21">
        <v>0.27985416666666652</v>
      </c>
      <c r="Y546" s="21">
        <v>0.17125000000000001</v>
      </c>
      <c r="Z546" s="23">
        <f>AVERAGE(Q546,U546)</f>
        <v>0.43122916666666666</v>
      </c>
      <c r="AA546" s="23">
        <f>AVERAGE(R546:T546,V546:X546)</f>
        <v>0.37777777777777793</v>
      </c>
      <c r="AB546" s="23">
        <f t="shared" si="8"/>
        <v>0.38749621212121227</v>
      </c>
    </row>
    <row r="547" spans="1:28">
      <c r="A547" s="9">
        <v>44254</v>
      </c>
      <c r="B547" s="3"/>
      <c r="C547" s="3"/>
      <c r="D547" s="3"/>
      <c r="E547" s="3"/>
      <c r="F547" s="3"/>
      <c r="G547" s="19">
        <v>44254</v>
      </c>
      <c r="H547" s="20">
        <v>26.75</v>
      </c>
      <c r="I547" s="20">
        <v>92.63124999999998</v>
      </c>
      <c r="J547" s="20">
        <v>6.8166666666666655</v>
      </c>
      <c r="K547" s="20">
        <v>0</v>
      </c>
      <c r="L547" s="20">
        <v>224.52083333333334</v>
      </c>
      <c r="M547" s="20">
        <v>6.729166666666667</v>
      </c>
      <c r="N547" s="20">
        <v>0.41666666666666669</v>
      </c>
      <c r="O547" s="20">
        <v>5.7020833333333334</v>
      </c>
      <c r="P547" s="10">
        <v>7.3214762137856007E-2</v>
      </c>
      <c r="Q547" s="21">
        <v>0.38262499999999999</v>
      </c>
      <c r="R547" s="21">
        <v>0.3977083333333335</v>
      </c>
      <c r="S547" s="21">
        <v>0.45818750000000019</v>
      </c>
      <c r="T547" s="21">
        <v>0.42143749999999969</v>
      </c>
      <c r="U547" s="21">
        <v>0.46729166666666666</v>
      </c>
      <c r="V547" s="21">
        <v>0.36422916666666655</v>
      </c>
      <c r="W547" s="21">
        <v>0.33816666666666645</v>
      </c>
      <c r="X547" s="21">
        <v>0.28008333333333318</v>
      </c>
      <c r="Y547" s="21">
        <v>0.23393750000000005</v>
      </c>
      <c r="Z547" s="23">
        <f>AVERAGE(Q547,U547)</f>
        <v>0.42495833333333333</v>
      </c>
      <c r="AA547" s="23">
        <f>AVERAGE(R547:T547,V547:X547)</f>
        <v>0.37663541666666661</v>
      </c>
      <c r="AB547" s="23">
        <f t="shared" si="8"/>
        <v>0.38542140151515147</v>
      </c>
    </row>
    <row r="548" spans="1:28">
      <c r="A548" s="9">
        <v>44255</v>
      </c>
      <c r="B548" s="3"/>
      <c r="C548" s="3"/>
      <c r="D548" s="3"/>
      <c r="E548" s="3"/>
      <c r="F548" s="3"/>
      <c r="G548" s="19">
        <v>44255</v>
      </c>
      <c r="H548" s="20">
        <v>123</v>
      </c>
      <c r="I548" s="20">
        <v>85.4375</v>
      </c>
      <c r="J548" s="20">
        <v>12.656250000000002</v>
      </c>
      <c r="K548" s="20">
        <v>0.4</v>
      </c>
      <c r="L548" s="20">
        <v>235.14583333333334</v>
      </c>
      <c r="M548" s="20">
        <v>13.958333333333334</v>
      </c>
      <c r="N548" s="20">
        <v>2.7916666666666665</v>
      </c>
      <c r="O548" s="20">
        <v>10.006250000000003</v>
      </c>
      <c r="P548" s="10">
        <v>0.28178455943168346</v>
      </c>
      <c r="Q548" s="21">
        <v>0.38089583333333327</v>
      </c>
      <c r="R548" s="21">
        <v>0.39460416666666681</v>
      </c>
      <c r="S548" s="21">
        <v>0.45637499999999975</v>
      </c>
      <c r="T548" s="21">
        <v>0.42025000000000029</v>
      </c>
      <c r="U548" s="21">
        <v>0.46529166666666627</v>
      </c>
      <c r="V548" s="21">
        <v>0.36095833333333327</v>
      </c>
      <c r="W548" s="21">
        <v>0.33625000000000016</v>
      </c>
      <c r="X548" s="21">
        <v>0.27974999999999978</v>
      </c>
      <c r="Y548" s="21">
        <v>0.23310714285714279</v>
      </c>
      <c r="Z548" s="23">
        <f>AVERAGE(Q548,U548)</f>
        <v>0.42309374999999977</v>
      </c>
      <c r="AA548" s="23">
        <f>AVERAGE(R548:T548,V548:X548)</f>
        <v>0.37469791666666669</v>
      </c>
      <c r="AB548" s="23">
        <f t="shared" si="8"/>
        <v>0.38349715909090903</v>
      </c>
    </row>
    <row r="549" spans="1:28">
      <c r="A549" s="9">
        <v>44256</v>
      </c>
      <c r="B549" s="3"/>
      <c r="C549" s="3"/>
      <c r="D549" s="3"/>
      <c r="E549" s="3"/>
      <c r="F549" s="3"/>
      <c r="G549" s="19">
        <v>44256</v>
      </c>
      <c r="H549" s="20">
        <v>58.416666666666664</v>
      </c>
      <c r="I549" s="20">
        <v>74.599999999999994</v>
      </c>
      <c r="J549" s="20">
        <v>7.7395833333333321</v>
      </c>
      <c r="K549" s="20">
        <v>0</v>
      </c>
      <c r="L549" s="20">
        <v>220.91666666666666</v>
      </c>
      <c r="M549" s="20">
        <v>7.041666666666667</v>
      </c>
      <c r="N549" s="20">
        <v>4.1666666666666664E-2</v>
      </c>
      <c r="O549" s="20">
        <v>3.4333333333333336</v>
      </c>
      <c r="P549" s="10">
        <v>0.27355106393402112</v>
      </c>
      <c r="Q549" s="21">
        <v>0.37931250000000011</v>
      </c>
      <c r="R549" s="21">
        <v>0.39566666666666644</v>
      </c>
      <c r="S549" s="21">
        <v>0.45877083333333285</v>
      </c>
      <c r="T549" s="21">
        <v>0.42143750000000013</v>
      </c>
      <c r="U549" s="21">
        <v>0.46581249999999996</v>
      </c>
      <c r="V549" s="21">
        <v>0.3612499999999999</v>
      </c>
      <c r="W549" s="21">
        <v>0.3368124999999999</v>
      </c>
      <c r="X549" s="21">
        <v>0.27999999999999986</v>
      </c>
      <c r="Y549" s="21">
        <v>0.22553333333333339</v>
      </c>
      <c r="Z549" s="23">
        <f>AVERAGE(Q549,U549)</f>
        <v>0.42256250000000006</v>
      </c>
      <c r="AA549" s="23">
        <f>AVERAGE(R549:T549,V549:X549)</f>
        <v>0.37565624999999986</v>
      </c>
      <c r="AB549" s="23">
        <f t="shared" si="8"/>
        <v>0.38418465909090899</v>
      </c>
    </row>
    <row r="550" spans="1:28">
      <c r="A550" s="9">
        <v>44257</v>
      </c>
      <c r="B550" s="3"/>
      <c r="C550" s="3"/>
      <c r="D550" s="3"/>
      <c r="E550" s="3"/>
      <c r="F550" s="3"/>
      <c r="G550" s="19">
        <v>44257</v>
      </c>
      <c r="H550" s="20">
        <v>60.729166666666664</v>
      </c>
      <c r="I550" s="20">
        <v>74.533333333333346</v>
      </c>
      <c r="J550" s="20">
        <v>6.1999999999999984</v>
      </c>
      <c r="K550" s="20">
        <v>0</v>
      </c>
      <c r="L550" s="20">
        <v>228.27083333333334</v>
      </c>
      <c r="M550" s="20">
        <v>5.3125</v>
      </c>
      <c r="N550" s="20">
        <v>0.14583333333333334</v>
      </c>
      <c r="O550" s="20">
        <v>1.9937500000000001</v>
      </c>
      <c r="P550" s="10">
        <v>0.24581333934932834</v>
      </c>
      <c r="Q550" s="21">
        <v>0.37283333333333329</v>
      </c>
      <c r="R550" s="21">
        <v>0.39127083333333362</v>
      </c>
      <c r="S550" s="21">
        <v>0.4560833333333329</v>
      </c>
      <c r="T550" s="21">
        <v>0.42118750000000005</v>
      </c>
      <c r="U550" s="21">
        <v>0.45929166666666643</v>
      </c>
      <c r="V550" s="21">
        <v>0.35785416666666631</v>
      </c>
      <c r="W550" s="21">
        <v>0.33577083333333374</v>
      </c>
      <c r="X550" s="21">
        <v>0.27999999999999986</v>
      </c>
      <c r="Y550" s="21">
        <v>0.22</v>
      </c>
      <c r="Z550" s="23">
        <f>AVERAGE(Q550,U550)</f>
        <v>0.41606249999999989</v>
      </c>
      <c r="AA550" s="23">
        <f>AVERAGE(R550:T550,V550:X550)</f>
        <v>0.3736944444444445</v>
      </c>
      <c r="AB550" s="23">
        <f t="shared" si="8"/>
        <v>0.3813977272727273</v>
      </c>
    </row>
    <row r="551" spans="1:28">
      <c r="A551" s="9">
        <v>44258</v>
      </c>
      <c r="B551" s="3"/>
      <c r="C551" s="3"/>
      <c r="D551" s="3"/>
      <c r="E551" s="3"/>
      <c r="F551" s="3"/>
      <c r="G551" s="19">
        <v>44258</v>
      </c>
      <c r="H551" s="20">
        <v>45.645833333333336</v>
      </c>
      <c r="I551" s="20">
        <v>87.060416666666683</v>
      </c>
      <c r="J551" s="20">
        <v>5.7874999999999979</v>
      </c>
      <c r="K551" s="20">
        <v>0.8</v>
      </c>
      <c r="L551" s="20">
        <v>147.83333333333334</v>
      </c>
      <c r="M551" s="20">
        <v>2.5625</v>
      </c>
      <c r="N551" s="20">
        <v>2.0833333333333332E-2</v>
      </c>
      <c r="O551" s="20">
        <v>3.725000000000001</v>
      </c>
      <c r="P551" s="10">
        <v>0.12899836024429354</v>
      </c>
      <c r="Q551" s="21">
        <v>0.36970833333333325</v>
      </c>
      <c r="R551" s="21">
        <v>0.38860416666666692</v>
      </c>
      <c r="S551" s="21">
        <v>0.45333333333333309</v>
      </c>
      <c r="T551" s="21">
        <v>0.42016666666666697</v>
      </c>
      <c r="U551" s="21">
        <v>0.45612499999999984</v>
      </c>
      <c r="V551" s="21">
        <v>0.35575000000000018</v>
      </c>
      <c r="W551" s="21">
        <v>0.33485416666666695</v>
      </c>
      <c r="X551" s="21">
        <v>0.27916666666666662</v>
      </c>
      <c r="Y551" s="21">
        <v>0.21571739130434792</v>
      </c>
      <c r="Z551" s="23">
        <f>AVERAGE(Q551,U551)</f>
        <v>0.41291666666666654</v>
      </c>
      <c r="AA551" s="23">
        <f>AVERAGE(R551:T551,V551:X551)</f>
        <v>0.37197916666666681</v>
      </c>
      <c r="AB551" s="23">
        <f t="shared" si="8"/>
        <v>0.37942234848484857</v>
      </c>
    </row>
    <row r="552" spans="1:28">
      <c r="A552" s="9">
        <v>44259</v>
      </c>
      <c r="B552" s="3"/>
      <c r="C552" s="3"/>
      <c r="D552" s="3"/>
      <c r="E552" s="3"/>
      <c r="F552" s="3"/>
      <c r="G552" s="19">
        <v>44259</v>
      </c>
      <c r="H552" s="20">
        <v>35.4375</v>
      </c>
      <c r="I552" s="20">
        <v>94.210416666666717</v>
      </c>
      <c r="J552" s="20">
        <v>7.2458333333333327</v>
      </c>
      <c r="K552" s="20">
        <v>1.4</v>
      </c>
      <c r="L552" s="20">
        <v>235.04166666666666</v>
      </c>
      <c r="M552" s="20">
        <v>2.4166666666666665</v>
      </c>
      <c r="N552" s="20">
        <v>4.1666666666666664E-2</v>
      </c>
      <c r="O552" s="20">
        <v>6.3666666666666671</v>
      </c>
      <c r="P552" s="10">
        <v>6.1866130048236816E-2</v>
      </c>
      <c r="Q552" s="21">
        <v>0.36864583333333334</v>
      </c>
      <c r="R552" s="21">
        <v>0.3875000000000004</v>
      </c>
      <c r="S552" s="21">
        <v>0.45195833333333374</v>
      </c>
      <c r="T552" s="21">
        <v>0.41987500000000028</v>
      </c>
      <c r="U552" s="21">
        <v>0.45454166666666634</v>
      </c>
      <c r="V552" s="21">
        <v>0.35422916666666632</v>
      </c>
      <c r="W552" s="21">
        <v>0.33402083333333304</v>
      </c>
      <c r="X552" s="21">
        <v>0.27883333333333338</v>
      </c>
      <c r="Y552" s="21">
        <v>0.21583333333333332</v>
      </c>
      <c r="Z552" s="23">
        <f>AVERAGE(Q552,U552)</f>
        <v>0.41159374999999987</v>
      </c>
      <c r="AA552" s="23">
        <f>AVERAGE(R552:T552,V552:X552)</f>
        <v>0.37106944444444451</v>
      </c>
      <c r="AB552" s="23">
        <f t="shared" si="8"/>
        <v>0.37843750000000004</v>
      </c>
    </row>
    <row r="553" spans="1:28">
      <c r="A553" s="9">
        <v>44260</v>
      </c>
      <c r="B553" s="3"/>
      <c r="C553" s="3"/>
      <c r="D553" s="3"/>
      <c r="E553" s="3"/>
      <c r="F553" s="3"/>
      <c r="G553" s="19">
        <v>44260</v>
      </c>
      <c r="H553" s="20">
        <v>73.583333333333329</v>
      </c>
      <c r="I553" s="20">
        <v>89.952083333333334</v>
      </c>
      <c r="J553" s="20">
        <v>9.2104166666666689</v>
      </c>
      <c r="K553" s="20">
        <v>0.2</v>
      </c>
      <c r="L553" s="20">
        <v>219.85416666666666</v>
      </c>
      <c r="M553" s="20">
        <v>4.291666666666667</v>
      </c>
      <c r="N553" s="20">
        <v>2.0833333333333332E-2</v>
      </c>
      <c r="O553" s="20">
        <v>7.5833333333333348</v>
      </c>
      <c r="P553" s="10">
        <v>0.1267206010757059</v>
      </c>
      <c r="Q553" s="21">
        <v>0.36920833333333336</v>
      </c>
      <c r="R553" s="21">
        <v>0.38814583333333325</v>
      </c>
      <c r="S553" s="21">
        <v>0.45237499999999992</v>
      </c>
      <c r="T553" s="21">
        <v>0.42000000000000032</v>
      </c>
      <c r="U553" s="21">
        <v>0.45597916666666632</v>
      </c>
      <c r="V553" s="21">
        <v>0.35416666666666652</v>
      </c>
      <c r="W553" s="21">
        <v>0.3339999999999998</v>
      </c>
      <c r="X553" s="21">
        <v>0.27841666666666676</v>
      </c>
      <c r="Y553" s="21">
        <v>0.22131428571428571</v>
      </c>
      <c r="Z553" s="23">
        <f>AVERAGE(Q553,U553)</f>
        <v>0.41259374999999987</v>
      </c>
      <c r="AA553" s="23">
        <f>AVERAGE(R553:T553,V553:X553)</f>
        <v>0.37118402777777781</v>
      </c>
      <c r="AB553" s="23">
        <f t="shared" si="8"/>
        <v>0.37871306818181821</v>
      </c>
    </row>
    <row r="554" spans="1:28">
      <c r="A554" s="9">
        <v>44261</v>
      </c>
      <c r="B554" s="3"/>
      <c r="C554" s="3"/>
      <c r="D554" s="3"/>
      <c r="E554" s="3"/>
      <c r="F554" s="3"/>
      <c r="G554" s="19">
        <v>44261</v>
      </c>
      <c r="H554" s="20">
        <v>97.833333333333329</v>
      </c>
      <c r="I554" s="20">
        <v>76.99166666666666</v>
      </c>
      <c r="J554" s="20">
        <v>10.45833333333333</v>
      </c>
      <c r="K554" s="20">
        <v>0</v>
      </c>
      <c r="L554" s="20">
        <v>217.91666666666666</v>
      </c>
      <c r="M554" s="20">
        <v>4.395833333333333</v>
      </c>
      <c r="N554" s="20">
        <v>6.25E-2</v>
      </c>
      <c r="O554" s="20">
        <v>6.4395833333333341</v>
      </c>
      <c r="P554" s="10">
        <v>0.31722784226238493</v>
      </c>
      <c r="Q554" s="21">
        <v>0.36893749999999992</v>
      </c>
      <c r="R554" s="21">
        <v>0.38987499999999969</v>
      </c>
      <c r="S554" s="21">
        <v>0.4548124999999999</v>
      </c>
      <c r="T554" s="21">
        <v>0.42091666666666638</v>
      </c>
      <c r="U554" s="21">
        <v>0.45770833333333344</v>
      </c>
      <c r="V554" s="21">
        <v>0.35491666666666671</v>
      </c>
      <c r="W554" s="21">
        <v>0.33485416666666695</v>
      </c>
      <c r="X554" s="21">
        <v>0.27902083333333327</v>
      </c>
      <c r="Y554" s="21">
        <v>0.21616666666666673</v>
      </c>
      <c r="Z554" s="23">
        <f>AVERAGE(Q554,U554)</f>
        <v>0.41332291666666665</v>
      </c>
      <c r="AA554" s="23">
        <f>AVERAGE(R554:T554,V554:X554)</f>
        <v>0.3723993055555555</v>
      </c>
      <c r="AB554" s="23">
        <f t="shared" si="8"/>
        <v>0.37983996212121207</v>
      </c>
    </row>
    <row r="555" spans="1:28">
      <c r="A555" s="9">
        <v>44262</v>
      </c>
      <c r="B555" s="3"/>
      <c r="C555" s="3"/>
      <c r="D555" s="3"/>
      <c r="E555" s="3"/>
      <c r="F555" s="3"/>
      <c r="G555" s="19">
        <v>44262</v>
      </c>
      <c r="H555" s="20">
        <v>31.770833333333332</v>
      </c>
      <c r="I555" s="20">
        <v>87.479166666666686</v>
      </c>
      <c r="J555" s="20">
        <v>8.5749999999999993</v>
      </c>
      <c r="K555" s="20">
        <v>0.8</v>
      </c>
      <c r="L555" s="20">
        <v>228.02083333333334</v>
      </c>
      <c r="M555" s="20">
        <v>5.395833333333333</v>
      </c>
      <c r="N555" s="20">
        <v>0.27083333333333331</v>
      </c>
      <c r="O555" s="20">
        <v>6.604166666666667</v>
      </c>
      <c r="P555" s="10">
        <v>0.14032844882007564</v>
      </c>
      <c r="Q555" s="21">
        <v>0.36681249999999982</v>
      </c>
      <c r="R555" s="21">
        <v>0.39045833333333363</v>
      </c>
      <c r="S555" s="21">
        <v>0.45604166666666623</v>
      </c>
      <c r="T555" s="21">
        <v>0.42212500000000003</v>
      </c>
      <c r="U555" s="21">
        <v>0.45729166666666693</v>
      </c>
      <c r="V555" s="21">
        <v>0.35541666666666688</v>
      </c>
      <c r="W555" s="21">
        <v>0.33500000000000041</v>
      </c>
      <c r="X555" s="21">
        <v>0.27983333333333321</v>
      </c>
      <c r="Y555" s="39" t="e">
        <f>#REF!*0.5711-0.0033</f>
        <v>#REF!</v>
      </c>
      <c r="Z555" s="23">
        <f>AVERAGE(Q555,U555)</f>
        <v>0.41205208333333337</v>
      </c>
      <c r="AA555" s="23">
        <f>AVERAGE(R555:T555,V555:X555)</f>
        <v>0.37314583333333345</v>
      </c>
      <c r="AB555" s="23">
        <f t="shared" si="8"/>
        <v>0.38021969696969704</v>
      </c>
    </row>
    <row r="556" spans="1:28">
      <c r="A556" s="9">
        <v>44263</v>
      </c>
      <c r="B556" s="3"/>
      <c r="C556" s="3"/>
      <c r="D556" s="3"/>
      <c r="E556" s="3"/>
      <c r="F556" s="3"/>
      <c r="G556" s="19">
        <v>44263</v>
      </c>
      <c r="H556" s="20">
        <v>29.395833333333332</v>
      </c>
      <c r="I556" s="20">
        <v>96.785416666666663</v>
      </c>
      <c r="J556" s="20">
        <v>8.9541666666666639</v>
      </c>
      <c r="K556" s="20">
        <v>1.2</v>
      </c>
      <c r="L556" s="20">
        <v>217.47916666666666</v>
      </c>
      <c r="M556" s="20">
        <v>3.75</v>
      </c>
      <c r="N556" s="20">
        <v>0.20833333333333334</v>
      </c>
      <c r="O556" s="20">
        <v>8.4791666666666679</v>
      </c>
      <c r="P556" s="10">
        <v>3.6914809599831684E-2</v>
      </c>
      <c r="Q556" s="21">
        <v>0.3651875</v>
      </c>
      <c r="R556" s="21">
        <v>0.3896041666666667</v>
      </c>
      <c r="S556" s="21">
        <v>0.45499999999999963</v>
      </c>
      <c r="T556" s="21">
        <v>0.4229999999999996</v>
      </c>
      <c r="U556" s="21">
        <v>0.45591666666666669</v>
      </c>
      <c r="V556" s="21">
        <v>0.35427083333333304</v>
      </c>
      <c r="W556" s="21">
        <v>0.33500000000000041</v>
      </c>
      <c r="X556" s="21">
        <v>0.27947916666666639</v>
      </c>
      <c r="Y556" s="39" t="e">
        <f>#REF!*0.5711-0.0033</f>
        <v>#REF!</v>
      </c>
      <c r="Z556" s="23">
        <f>AVERAGE(Q556,U556)</f>
        <v>0.41055208333333337</v>
      </c>
      <c r="AA556" s="23">
        <f>AVERAGE(R556:T556,V556:X556)</f>
        <v>0.37272569444444431</v>
      </c>
      <c r="AB556" s="23">
        <f t="shared" si="8"/>
        <v>0.37960321969696958</v>
      </c>
    </row>
    <row r="557" spans="1:28">
      <c r="A557" s="9">
        <v>44264</v>
      </c>
      <c r="B557" s="3"/>
      <c r="C557" s="3"/>
      <c r="D557" s="3"/>
      <c r="E557" s="3"/>
      <c r="F557" s="3"/>
      <c r="G557" s="19">
        <v>44264</v>
      </c>
      <c r="H557" s="20">
        <v>23.8125</v>
      </c>
      <c r="I557" s="20">
        <v>97.064583333333317</v>
      </c>
      <c r="J557" s="20">
        <v>7.3645833333333348</v>
      </c>
      <c r="K557" s="20">
        <v>1.2</v>
      </c>
      <c r="L557" s="20">
        <v>217.64583333333334</v>
      </c>
      <c r="M557" s="20">
        <v>4.5625</v>
      </c>
      <c r="N557" s="20">
        <v>6.25E-2</v>
      </c>
      <c r="O557" s="20">
        <v>6.9250000000000007</v>
      </c>
      <c r="P557" s="10">
        <v>3.0349994917071309E-2</v>
      </c>
      <c r="Q557" s="21">
        <v>0.36345833333333305</v>
      </c>
      <c r="R557" s="21">
        <v>0.38943749999999971</v>
      </c>
      <c r="S557" s="21">
        <v>0.45489583333333306</v>
      </c>
      <c r="T557" s="21">
        <v>0.4239374999999998</v>
      </c>
      <c r="U557" s="21">
        <v>0.45510416666666637</v>
      </c>
      <c r="V557" s="21">
        <v>0.35364583333333321</v>
      </c>
      <c r="W557" s="21">
        <v>0.33500000000000041</v>
      </c>
      <c r="X557" s="21">
        <v>0.27977083333333314</v>
      </c>
      <c r="Y557" s="39" t="e">
        <f>#REF!*0.5711-0.0033</f>
        <v>#REF!</v>
      </c>
      <c r="Z557" s="23">
        <f>AVERAGE(Q557,U557)</f>
        <v>0.40928124999999971</v>
      </c>
      <c r="AA557" s="23">
        <f>AVERAGE(R557:T557,V557:X557)</f>
        <v>0.3727812499999999</v>
      </c>
      <c r="AB557" s="23">
        <f t="shared" si="8"/>
        <v>0.3794176136363635</v>
      </c>
    </row>
    <row r="558" spans="1:28">
      <c r="A558" s="9">
        <v>44265</v>
      </c>
      <c r="B558" s="3"/>
      <c r="C558" s="3"/>
      <c r="D558" s="3"/>
      <c r="E558" s="3"/>
      <c r="F558" s="3"/>
      <c r="G558" s="19">
        <v>44265</v>
      </c>
      <c r="H558" s="20">
        <v>28.083333333333332</v>
      </c>
      <c r="I558" s="20">
        <v>97.325000000000003</v>
      </c>
      <c r="J558" s="20">
        <v>7.5687500000000014</v>
      </c>
      <c r="K558" s="20">
        <v>0.60000000000000009</v>
      </c>
      <c r="L558" s="20">
        <v>219.25</v>
      </c>
      <c r="M558" s="20">
        <v>3.3125</v>
      </c>
      <c r="N558" s="20">
        <v>0</v>
      </c>
      <c r="O558" s="20">
        <v>7.1645833333333337</v>
      </c>
      <c r="P558" s="10">
        <v>2.8301242683134012E-2</v>
      </c>
      <c r="Q558" s="21">
        <v>0.3614791666666668</v>
      </c>
      <c r="R558" s="21">
        <v>0.38854166666666656</v>
      </c>
      <c r="S558" s="21">
        <v>0.45347916666666627</v>
      </c>
      <c r="T558" s="21">
        <v>0.42399999999999977</v>
      </c>
      <c r="U558" s="21">
        <v>0.45312499999999978</v>
      </c>
      <c r="V558" s="21">
        <v>0.35275000000000006</v>
      </c>
      <c r="W558" s="21">
        <v>0.33500000000000041</v>
      </c>
      <c r="X558" s="21">
        <v>0.2799791666666665</v>
      </c>
      <c r="Y558" s="39" t="e">
        <f>#REF!*0.5711-0.0033</f>
        <v>#REF!</v>
      </c>
      <c r="Z558" s="23">
        <f>AVERAGE(Q558,U558)</f>
        <v>0.40730208333333329</v>
      </c>
      <c r="AA558" s="23">
        <f>AVERAGE(R558:T558,V558:X558)</f>
        <v>0.37229166666666663</v>
      </c>
      <c r="AB558" s="23">
        <f t="shared" si="8"/>
        <v>0.37865719696969685</v>
      </c>
    </row>
    <row r="559" spans="1:28">
      <c r="A559" s="9">
        <v>44266</v>
      </c>
      <c r="B559" s="3"/>
      <c r="C559" s="3"/>
      <c r="D559" s="3"/>
      <c r="E559" s="3"/>
      <c r="F559" s="3"/>
      <c r="G559" s="19">
        <v>44266</v>
      </c>
      <c r="H559" s="20">
        <v>66.854166666666671</v>
      </c>
      <c r="I559" s="20">
        <v>88.268750000000011</v>
      </c>
      <c r="J559" s="20">
        <v>10.170833333333334</v>
      </c>
      <c r="K559" s="20">
        <v>0.2</v>
      </c>
      <c r="L559" s="20">
        <v>240.125</v>
      </c>
      <c r="M559" s="20">
        <v>3.5625</v>
      </c>
      <c r="N559" s="20">
        <v>0.1875</v>
      </c>
      <c r="O559" s="20">
        <v>8.2458333333333318</v>
      </c>
      <c r="P559" s="10">
        <v>0.16333861940123917</v>
      </c>
      <c r="Q559" s="21">
        <v>0.36149999999999993</v>
      </c>
      <c r="R559" s="21">
        <v>0.38897916666666665</v>
      </c>
      <c r="S559" s="21">
        <v>0.45370833333333277</v>
      </c>
      <c r="T559" s="21">
        <v>0.42399999999999977</v>
      </c>
      <c r="U559" s="21">
        <v>0.45412499999999983</v>
      </c>
      <c r="V559" s="21">
        <v>0.35264583333333338</v>
      </c>
      <c r="W559" s="21">
        <v>0.33500000000000041</v>
      </c>
      <c r="X559" s="21">
        <v>0.27999999999999986</v>
      </c>
      <c r="Y559" s="21">
        <v>0.22809090909090915</v>
      </c>
      <c r="Z559" s="23">
        <f>AVERAGE(Q559,U559)</f>
        <v>0.40781249999999991</v>
      </c>
      <c r="AA559" s="23">
        <f>AVERAGE(R559:T559,V559:X559)</f>
        <v>0.37238888888888882</v>
      </c>
      <c r="AB559" s="23">
        <f t="shared" si="8"/>
        <v>0.37882954545454539</v>
      </c>
    </row>
    <row r="560" spans="1:28">
      <c r="A560" s="9">
        <v>44267</v>
      </c>
      <c r="B560" s="3"/>
      <c r="C560" s="3"/>
      <c r="D560" s="3"/>
      <c r="E560" s="3"/>
      <c r="F560" s="3"/>
      <c r="G560" s="19">
        <v>44267</v>
      </c>
      <c r="H560" s="20">
        <v>59.666666666666664</v>
      </c>
      <c r="I560" s="20">
        <v>92.177083333333314</v>
      </c>
      <c r="J560" s="20">
        <v>11.425000000000006</v>
      </c>
      <c r="K560" s="20">
        <v>0.8</v>
      </c>
      <c r="L560" s="20">
        <v>229.60416666666666</v>
      </c>
      <c r="M560" s="20">
        <v>3.6458333333333335</v>
      </c>
      <c r="N560" s="20">
        <v>0.14583333333333334</v>
      </c>
      <c r="O560" s="20">
        <v>10.1625</v>
      </c>
      <c r="P560" s="10">
        <v>0.11614381905858663</v>
      </c>
      <c r="Q560" s="21">
        <v>0.36235416666666659</v>
      </c>
      <c r="R560" s="21">
        <v>0.39133333333333331</v>
      </c>
      <c r="S560" s="21">
        <v>0.45614583333333325</v>
      </c>
      <c r="T560" s="21">
        <v>0.42560416666666634</v>
      </c>
      <c r="U560" s="21">
        <v>0.45697916666666655</v>
      </c>
      <c r="V560" s="21">
        <v>0.35395833333333332</v>
      </c>
      <c r="W560" s="21">
        <v>0.33575000000000021</v>
      </c>
      <c r="X560" s="21">
        <v>0.28004166666666658</v>
      </c>
      <c r="Y560" s="21">
        <v>0.22900000000000004</v>
      </c>
      <c r="Z560" s="23">
        <f>AVERAGE(Q560,U560)</f>
        <v>0.40966666666666657</v>
      </c>
      <c r="AA560" s="23">
        <f>AVERAGE(R560:T560,V560:X560)</f>
        <v>0.3738055555555555</v>
      </c>
      <c r="AB560" s="23">
        <f t="shared" si="8"/>
        <v>0.38032575757575754</v>
      </c>
    </row>
    <row r="561" spans="1:28">
      <c r="A561" s="9">
        <v>44268</v>
      </c>
      <c r="B561" s="3"/>
      <c r="C561" s="3"/>
      <c r="D561" s="3"/>
      <c r="E561" s="3"/>
      <c r="F561" s="3"/>
      <c r="G561" s="19">
        <v>44268</v>
      </c>
      <c r="H561" s="20">
        <v>89.3125</v>
      </c>
      <c r="I561" s="20">
        <v>87.402083333333337</v>
      </c>
      <c r="J561" s="20">
        <v>14.029166666666669</v>
      </c>
      <c r="K561" s="20">
        <v>0.4</v>
      </c>
      <c r="L561" s="20">
        <v>229.79166666666666</v>
      </c>
      <c r="M561" s="20">
        <v>3.3333333333333335</v>
      </c>
      <c r="N561" s="20">
        <v>6.25E-2</v>
      </c>
      <c r="O561" s="20">
        <v>11.812499999999995</v>
      </c>
      <c r="P561" s="10">
        <v>0.23681439600186496</v>
      </c>
      <c r="Q561" s="21">
        <v>0.36333333333333323</v>
      </c>
      <c r="R561" s="21">
        <v>0.39377083333333346</v>
      </c>
      <c r="S561" s="21">
        <v>0.45862500000000006</v>
      </c>
      <c r="T561" s="21">
        <v>0.42745833333333355</v>
      </c>
      <c r="U561" s="21">
        <v>0.46014583333333348</v>
      </c>
      <c r="V561" s="21">
        <v>0.35541666666666677</v>
      </c>
      <c r="W561" s="21">
        <v>0.33697916666666644</v>
      </c>
      <c r="X561" s="21">
        <v>0.2806875000000002</v>
      </c>
      <c r="Y561" s="21">
        <v>0.22925925925925941</v>
      </c>
      <c r="Z561" s="23">
        <f>AVERAGE(Q561,U561)</f>
        <v>0.41173958333333338</v>
      </c>
      <c r="AA561" s="23">
        <f>AVERAGE(R561:T561,V561:X561)</f>
        <v>0.37548958333333338</v>
      </c>
      <c r="AB561" s="23">
        <f t="shared" si="8"/>
        <v>0.38208049242424247</v>
      </c>
    </row>
    <row r="562" spans="1:28">
      <c r="A562" s="9">
        <v>44269</v>
      </c>
      <c r="B562" s="3"/>
      <c r="C562" s="3"/>
      <c r="D562" s="3"/>
      <c r="E562" s="3"/>
      <c r="F562" s="3"/>
      <c r="G562" s="19">
        <v>44269</v>
      </c>
      <c r="H562" s="20">
        <v>149.39583333333334</v>
      </c>
      <c r="I562" s="20">
        <v>82.860416666666666</v>
      </c>
      <c r="J562" s="20">
        <v>16.62083333333333</v>
      </c>
      <c r="K562" s="20">
        <v>0.4</v>
      </c>
      <c r="L562" s="20">
        <v>230.70833333333334</v>
      </c>
      <c r="M562" s="20">
        <v>17</v>
      </c>
      <c r="N562" s="20">
        <v>3.625</v>
      </c>
      <c r="O562" s="20">
        <v>13.497916666666669</v>
      </c>
      <c r="P562" s="10">
        <v>0.37454488342155962</v>
      </c>
      <c r="Q562" s="21">
        <v>0.36460416666666667</v>
      </c>
      <c r="R562" s="21">
        <v>0.39731250000000001</v>
      </c>
      <c r="S562" s="21">
        <v>0.46220833333333328</v>
      </c>
      <c r="T562" s="21">
        <v>0.43012500000000004</v>
      </c>
      <c r="U562" s="21">
        <v>0.46481250000000007</v>
      </c>
      <c r="V562" s="21">
        <v>0.35768749999999988</v>
      </c>
      <c r="W562" s="21">
        <v>0.33893750000000017</v>
      </c>
      <c r="X562" s="21">
        <v>0.28220833333333317</v>
      </c>
      <c r="Y562" s="21">
        <v>0.2205</v>
      </c>
      <c r="Z562" s="23">
        <f>AVERAGE(Q562,U562)</f>
        <v>0.41470833333333335</v>
      </c>
      <c r="AA562" s="23">
        <f>AVERAGE(R562:T562,V562:X562)</f>
        <v>0.37807986111111108</v>
      </c>
      <c r="AB562" s="23">
        <f t="shared" si="8"/>
        <v>0.3847395833333333</v>
      </c>
    </row>
    <row r="563" spans="1:28">
      <c r="A563" s="9">
        <v>44270</v>
      </c>
      <c r="B563" s="3"/>
      <c r="C563" s="3"/>
      <c r="D563" s="3"/>
      <c r="E563" s="3"/>
      <c r="F563" s="3"/>
      <c r="G563" s="19">
        <v>44270</v>
      </c>
      <c r="H563" s="20">
        <v>193.85416666666666</v>
      </c>
      <c r="I563" s="20">
        <v>71.341666666666669</v>
      </c>
      <c r="J563" s="20">
        <v>19.283333333333335</v>
      </c>
      <c r="K563" s="20">
        <v>0</v>
      </c>
      <c r="L563" s="20">
        <v>234.22916666666666</v>
      </c>
      <c r="M563" s="20">
        <v>9.3125</v>
      </c>
      <c r="N563" s="20">
        <v>1.4166666666666667</v>
      </c>
      <c r="O563" s="20">
        <v>13.477083333333335</v>
      </c>
      <c r="P563" s="10">
        <v>0.7559690671996645</v>
      </c>
      <c r="Q563" s="21">
        <v>0.36547916666666658</v>
      </c>
      <c r="R563" s="21">
        <v>0.40083333333333332</v>
      </c>
      <c r="S563" s="21">
        <v>0.46714583333333332</v>
      </c>
      <c r="T563" s="21">
        <v>0.43352083333333291</v>
      </c>
      <c r="U563" s="21">
        <v>0.47095833333333331</v>
      </c>
      <c r="V563" s="21">
        <v>0.36037500000000006</v>
      </c>
      <c r="W563" s="21">
        <v>0.3415000000000003</v>
      </c>
      <c r="X563" s="21">
        <v>0.28404166666666675</v>
      </c>
      <c r="Y563" s="21">
        <v>0.21783333333333335</v>
      </c>
      <c r="Z563" s="23">
        <f>AVERAGE(Q563,U563)</f>
        <v>0.41821874999999997</v>
      </c>
      <c r="AA563" s="23">
        <f>AVERAGE(R563:T563,V563:X563)</f>
        <v>0.38123611111111105</v>
      </c>
      <c r="AB563" s="23">
        <f t="shared" si="8"/>
        <v>0.38796022727272722</v>
      </c>
    </row>
    <row r="564" spans="1:28">
      <c r="A564" s="9">
        <v>44271</v>
      </c>
      <c r="B564" s="3"/>
      <c r="C564" s="3"/>
      <c r="D564" s="3"/>
      <c r="E564" s="3"/>
      <c r="F564" s="3"/>
      <c r="G564" s="19">
        <v>44271</v>
      </c>
      <c r="H564" s="20">
        <v>173.41666666666666</v>
      </c>
      <c r="I564" s="20">
        <v>76.772916666666688</v>
      </c>
      <c r="J564" s="20">
        <v>19.112500000000004</v>
      </c>
      <c r="K564" s="20">
        <v>0</v>
      </c>
      <c r="L564" s="20">
        <v>232.83333333333334</v>
      </c>
      <c r="M564" s="20">
        <v>11.458333333333334</v>
      </c>
      <c r="N564" s="20">
        <v>1.9791666666666667</v>
      </c>
      <c r="O564" s="20">
        <v>14.681250000000004</v>
      </c>
      <c r="P564" s="10">
        <v>0.57917474797373059</v>
      </c>
      <c r="Q564" s="21">
        <v>0.36437499999999989</v>
      </c>
      <c r="R564" s="21">
        <v>0.40385416666666701</v>
      </c>
      <c r="S564" s="21">
        <v>0.47125000000000011</v>
      </c>
      <c r="T564" s="21">
        <v>0.43760416666666685</v>
      </c>
      <c r="U564" s="21">
        <v>0.47435416666666669</v>
      </c>
      <c r="V564" s="21">
        <v>0.36262500000000003</v>
      </c>
      <c r="W564" s="21">
        <v>0.34399999999999992</v>
      </c>
      <c r="X564" s="21">
        <v>0.28606250000000011</v>
      </c>
      <c r="Y564" s="21">
        <v>0.19474999999999998</v>
      </c>
      <c r="Z564" s="23">
        <f>AVERAGE(Q564,U564)</f>
        <v>0.41936458333333326</v>
      </c>
      <c r="AA564" s="23">
        <f>AVERAGE(R564:T564,V564:X564)</f>
        <v>0.38423263888888898</v>
      </c>
      <c r="AB564" s="23">
        <f t="shared" si="8"/>
        <v>0.39062026515151521</v>
      </c>
    </row>
    <row r="565" spans="1:28">
      <c r="A565" s="9">
        <v>44272</v>
      </c>
      <c r="B565" s="3"/>
      <c r="C565" s="3"/>
      <c r="D565" s="3"/>
      <c r="E565" s="3"/>
      <c r="F565" s="3"/>
      <c r="G565" s="19">
        <v>44272</v>
      </c>
      <c r="H565" s="20">
        <v>213.52083333333334</v>
      </c>
      <c r="I565" s="20">
        <v>71.218749999999986</v>
      </c>
      <c r="J565" s="20">
        <v>20.668749999999999</v>
      </c>
      <c r="K565" s="20">
        <v>0</v>
      </c>
      <c r="L565" s="20">
        <v>234.79166666666666</v>
      </c>
      <c r="M565" s="20">
        <v>15.895833333333334</v>
      </c>
      <c r="N565" s="20">
        <v>3.4791666666666665</v>
      </c>
      <c r="O565" s="20">
        <v>14.797916666666667</v>
      </c>
      <c r="P565" s="10">
        <v>0.81254563463007956</v>
      </c>
      <c r="Q565" s="21">
        <v>0.36154166666666665</v>
      </c>
      <c r="R565" s="21">
        <v>0.40520833333333311</v>
      </c>
      <c r="S565" s="21">
        <v>0.4741666666666669</v>
      </c>
      <c r="T565" s="21">
        <v>0.44108333333333366</v>
      </c>
      <c r="U565" s="21">
        <v>0.47539583333333368</v>
      </c>
      <c r="V565" s="21">
        <v>0.36256250000000007</v>
      </c>
      <c r="W565" s="21">
        <v>0.34597916666666673</v>
      </c>
      <c r="X565" s="21">
        <v>0.28754166666666675</v>
      </c>
      <c r="Y565" s="21">
        <v>0.19091428571428573</v>
      </c>
      <c r="Z565" s="23">
        <f>AVERAGE(Q565,U565)</f>
        <v>0.41846875000000017</v>
      </c>
      <c r="AA565" s="23">
        <f>AVERAGE(R565:T565,V565:X565)</f>
        <v>0.38609027777777793</v>
      </c>
      <c r="AB565" s="23">
        <f t="shared" si="8"/>
        <v>0.3919772727272729</v>
      </c>
    </row>
    <row r="566" spans="1:28">
      <c r="A566" s="9">
        <v>44273</v>
      </c>
      <c r="B566" s="3"/>
      <c r="C566" s="3"/>
      <c r="D566" s="3"/>
      <c r="E566" s="3"/>
      <c r="F566" s="3"/>
      <c r="G566" s="19">
        <v>44273</v>
      </c>
      <c r="H566" s="20">
        <v>218.1875</v>
      </c>
      <c r="I566" s="20">
        <v>64.377083333333346</v>
      </c>
      <c r="J566" s="20">
        <v>21.5625</v>
      </c>
      <c r="K566" s="20">
        <v>0</v>
      </c>
      <c r="L566" s="20">
        <v>232.5625</v>
      </c>
      <c r="M566" s="20">
        <v>15.5</v>
      </c>
      <c r="N566" s="20">
        <v>3.8541666666666665</v>
      </c>
      <c r="O566" s="20">
        <v>13.589583333333332</v>
      </c>
      <c r="P566" s="10">
        <v>1.0894872885038709</v>
      </c>
      <c r="Q566" s="21">
        <v>0.35583333333333339</v>
      </c>
      <c r="R566" s="21">
        <v>0.40450000000000008</v>
      </c>
      <c r="S566" s="21">
        <v>0.47535416666666669</v>
      </c>
      <c r="T566" s="21">
        <v>0.44466666666666682</v>
      </c>
      <c r="U566" s="21">
        <v>0.47343750000000001</v>
      </c>
      <c r="V566" s="21">
        <v>0.36022916666666688</v>
      </c>
      <c r="W566" s="21">
        <v>0.3469999999999997</v>
      </c>
      <c r="X566" s="21">
        <v>0.28906249999999972</v>
      </c>
      <c r="Y566" s="21">
        <v>0.17213157894736839</v>
      </c>
      <c r="Z566" s="23">
        <f>AVERAGE(Q566,U566)</f>
        <v>0.4146354166666667</v>
      </c>
      <c r="AA566" s="23">
        <f>AVERAGE(R566:T566,V566:X566)</f>
        <v>0.38680208333333327</v>
      </c>
      <c r="AB566" s="23">
        <f t="shared" si="8"/>
        <v>0.39186268939393937</v>
      </c>
    </row>
    <row r="567" spans="1:28">
      <c r="A567" s="9">
        <v>44274</v>
      </c>
      <c r="B567" s="3"/>
      <c r="C567" s="3"/>
      <c r="D567" s="3"/>
      <c r="E567" s="3"/>
      <c r="F567" s="3"/>
      <c r="G567" s="19">
        <v>44274</v>
      </c>
      <c r="H567" s="20">
        <v>218.625</v>
      </c>
      <c r="I567" s="20">
        <v>65.500000000000014</v>
      </c>
      <c r="J567" s="20">
        <v>21.112500000000001</v>
      </c>
      <c r="K567" s="20">
        <v>0</v>
      </c>
      <c r="L567" s="20">
        <v>225.14583333333334</v>
      </c>
      <c r="M567" s="20">
        <v>11.375</v>
      </c>
      <c r="N567" s="20">
        <v>1.9375</v>
      </c>
      <c r="O567" s="20">
        <v>13.816666666666668</v>
      </c>
      <c r="P567" s="10">
        <v>1.0033001460892483</v>
      </c>
      <c r="Q567" s="21">
        <v>0.34745833333333348</v>
      </c>
      <c r="R567" s="21">
        <v>0.4017916666666666</v>
      </c>
      <c r="S567" s="21">
        <v>0.47445833333333326</v>
      </c>
      <c r="T567" s="21">
        <v>0.4462916666666667</v>
      </c>
      <c r="U567" s="21">
        <v>0.46850000000000014</v>
      </c>
      <c r="V567" s="21">
        <v>0.35629166666666645</v>
      </c>
      <c r="W567" s="21">
        <v>0.34666666666666651</v>
      </c>
      <c r="X567" s="21">
        <v>0.289833333333333</v>
      </c>
      <c r="Y567" s="21">
        <v>0.16162499999999996</v>
      </c>
      <c r="Z567" s="23">
        <f>AVERAGE(Q567,U567)</f>
        <v>0.40797916666666678</v>
      </c>
      <c r="AA567" s="23">
        <f>AVERAGE(R567:T567,V567:X567)</f>
        <v>0.38588888888888878</v>
      </c>
      <c r="AB567" s="23">
        <f t="shared" si="8"/>
        <v>0.38990530303030296</v>
      </c>
    </row>
    <row r="568" spans="1:28">
      <c r="A568" s="9">
        <v>44275</v>
      </c>
      <c r="B568" s="3"/>
      <c r="C568" s="3"/>
      <c r="D568" s="3"/>
      <c r="E568" s="3"/>
      <c r="F568" s="3"/>
      <c r="G568" s="19">
        <v>44275</v>
      </c>
      <c r="H568" s="20">
        <v>46.1875</v>
      </c>
      <c r="I568" s="20">
        <v>83.30625000000002</v>
      </c>
      <c r="J568" s="20">
        <v>12.566666666666672</v>
      </c>
      <c r="K568" s="20">
        <v>0</v>
      </c>
      <c r="L568" s="20">
        <v>209.16666666666666</v>
      </c>
      <c r="M568" s="20">
        <v>6.291666666666667</v>
      </c>
      <c r="N568" s="20">
        <v>0.16666666666666666</v>
      </c>
      <c r="O568" s="20">
        <v>9.7833333333333332</v>
      </c>
      <c r="P568" s="10">
        <v>0.24797426534023737</v>
      </c>
      <c r="Q568" s="21">
        <v>0.33710416666666682</v>
      </c>
      <c r="R568" s="21">
        <v>0.39806250000000015</v>
      </c>
      <c r="S568" s="21">
        <v>0.47264583333333338</v>
      </c>
      <c r="T568" s="21">
        <v>0.44731249999999984</v>
      </c>
      <c r="U568" s="21">
        <v>0.4606458333333332</v>
      </c>
      <c r="V568" s="21">
        <v>0.35252083333333317</v>
      </c>
      <c r="W568" s="21">
        <v>0.3460625</v>
      </c>
      <c r="X568" s="21">
        <v>0.28999999999999965</v>
      </c>
      <c r="Y568" s="21">
        <v>0.14929032258064515</v>
      </c>
      <c r="Z568" s="23">
        <f>AVERAGE(Q568,U568)</f>
        <v>0.39887499999999998</v>
      </c>
      <c r="AA568" s="23">
        <f>AVERAGE(R568:T568,V568:X568)</f>
        <v>0.38443402777777774</v>
      </c>
      <c r="AB568" s="23">
        <f t="shared" si="8"/>
        <v>0.38705965909090906</v>
      </c>
    </row>
    <row r="569" spans="1:28">
      <c r="A569" s="9">
        <v>44276</v>
      </c>
      <c r="B569" s="3"/>
      <c r="C569" s="3"/>
      <c r="D569" s="3"/>
      <c r="E569" s="3"/>
      <c r="F569" s="3"/>
      <c r="G569" s="19">
        <v>44276</v>
      </c>
      <c r="H569" s="20">
        <v>27.5</v>
      </c>
      <c r="I569" s="20">
        <v>83.668750000000003</v>
      </c>
      <c r="J569" s="20">
        <v>5.9020833333333345</v>
      </c>
      <c r="K569" s="20">
        <v>0.89999999999999991</v>
      </c>
      <c r="L569" s="20">
        <v>223.85416666666666</v>
      </c>
      <c r="M569" s="20">
        <v>6.9375</v>
      </c>
      <c r="N569" s="20">
        <v>6.25E-2</v>
      </c>
      <c r="O569" s="20">
        <v>3.3208333333333329</v>
      </c>
      <c r="P569" s="10">
        <v>0.15368136657518403</v>
      </c>
      <c r="Q569" s="21">
        <v>0.32395833333333329</v>
      </c>
      <c r="R569" s="21">
        <v>0.38864583333333336</v>
      </c>
      <c r="S569" s="21">
        <v>0.46552083333333316</v>
      </c>
      <c r="T569" s="21">
        <v>0.44560416666666641</v>
      </c>
      <c r="U569" s="21">
        <v>0.44716666666666666</v>
      </c>
      <c r="V569" s="21">
        <v>0.34658333333333341</v>
      </c>
      <c r="W569" s="21">
        <v>0.3437708333333333</v>
      </c>
      <c r="X569" s="21">
        <v>0.28993749999999968</v>
      </c>
      <c r="Y569" s="21">
        <v>0.14599999999999999</v>
      </c>
      <c r="Z569" s="23">
        <f>AVERAGE(Q569,U569)</f>
        <v>0.38556249999999997</v>
      </c>
      <c r="AA569" s="23">
        <f>AVERAGE(R569:T569,V569:X569)</f>
        <v>0.38001041666666652</v>
      </c>
      <c r="AB569" s="23">
        <f t="shared" si="8"/>
        <v>0.38101988636363626</v>
      </c>
    </row>
    <row r="570" spans="1:28">
      <c r="A570" s="9">
        <v>44277</v>
      </c>
      <c r="B570" s="3"/>
      <c r="C570" s="3"/>
      <c r="D570" s="3"/>
      <c r="E570" s="3"/>
      <c r="F570" s="3"/>
      <c r="G570" s="19">
        <v>44277</v>
      </c>
      <c r="H570" s="20">
        <v>52.708333333333336</v>
      </c>
      <c r="I570" s="20">
        <v>74.237499999999997</v>
      </c>
      <c r="J570" s="20">
        <v>5.3166666666666664</v>
      </c>
      <c r="K570" s="20">
        <v>0</v>
      </c>
      <c r="L570" s="20">
        <v>208.5</v>
      </c>
      <c r="M570" s="20">
        <v>2.7708333333333335</v>
      </c>
      <c r="N570" s="20">
        <v>0</v>
      </c>
      <c r="O570" s="20">
        <v>0.83958333333333313</v>
      </c>
      <c r="P570" s="10">
        <v>0.24622608272861604</v>
      </c>
      <c r="Q570" s="21">
        <v>0.31562500000000004</v>
      </c>
      <c r="R570" s="21">
        <v>0.38002083333333331</v>
      </c>
      <c r="S570" s="21">
        <v>0.45712499999999978</v>
      </c>
      <c r="T570" s="21">
        <v>0.4409583333333334</v>
      </c>
      <c r="U570" s="21">
        <v>0.43677083333333333</v>
      </c>
      <c r="V570" s="21">
        <v>0.34056250000000005</v>
      </c>
      <c r="W570" s="21">
        <v>0.34018750000000003</v>
      </c>
      <c r="X570" s="21">
        <v>0.28843750000000007</v>
      </c>
      <c r="Y570" s="21">
        <v>0.14346153846153833</v>
      </c>
      <c r="Z570" s="23">
        <f>AVERAGE(Q570,U570)</f>
        <v>0.37619791666666669</v>
      </c>
      <c r="AA570" s="23">
        <f>AVERAGE(R570:T570,V570:X570)</f>
        <v>0.3745486111111111</v>
      </c>
      <c r="AB570" s="23">
        <f t="shared" si="8"/>
        <v>0.37484848484848488</v>
      </c>
    </row>
    <row r="571" spans="1:28">
      <c r="A571" s="9">
        <v>44278</v>
      </c>
      <c r="B571" s="3"/>
      <c r="C571" s="3"/>
      <c r="D571" s="3"/>
      <c r="E571" s="3"/>
      <c r="F571" s="3"/>
      <c r="G571" s="19">
        <v>44278</v>
      </c>
      <c r="H571" s="20">
        <v>194.1875</v>
      </c>
      <c r="I571" s="20">
        <v>61.227083333333333</v>
      </c>
      <c r="J571" s="20">
        <v>10.643750000000002</v>
      </c>
      <c r="K571" s="20">
        <v>0</v>
      </c>
      <c r="L571" s="20">
        <v>243.79166666666666</v>
      </c>
      <c r="M571" s="20">
        <v>4.916666666666667</v>
      </c>
      <c r="N571" s="20">
        <v>0.14583333333333334</v>
      </c>
      <c r="O571" s="20">
        <v>3.1750000000000003</v>
      </c>
      <c r="P571" s="10">
        <v>0.56917391843463805</v>
      </c>
      <c r="Q571" s="21">
        <v>0.3116666666666667</v>
      </c>
      <c r="R571" s="21">
        <v>0.37460416666666663</v>
      </c>
      <c r="S571" s="21">
        <v>0.4509166666666668</v>
      </c>
      <c r="T571" s="21">
        <v>0.43699999999999983</v>
      </c>
      <c r="U571" s="21">
        <v>0.43270833333333308</v>
      </c>
      <c r="V571" s="21">
        <v>0.3362083333333335</v>
      </c>
      <c r="W571" s="21">
        <v>0.33656250000000026</v>
      </c>
      <c r="X571" s="21">
        <v>0.28614583333333327</v>
      </c>
      <c r="Y571" s="21">
        <v>0.14025000000000007</v>
      </c>
      <c r="Z571" s="23">
        <f>AVERAGE(Q571,U571)</f>
        <v>0.37218749999999989</v>
      </c>
      <c r="AA571" s="23">
        <f>AVERAGE(R571:T571,V571:X571)</f>
        <v>0.3702395833333334</v>
      </c>
      <c r="AB571" s="23">
        <f t="shared" si="8"/>
        <v>0.37059375000000006</v>
      </c>
    </row>
    <row r="572" spans="1:28">
      <c r="A572" s="9">
        <v>44279</v>
      </c>
      <c r="B572" s="3"/>
      <c r="C572" s="3"/>
      <c r="D572" s="3"/>
      <c r="E572" s="3"/>
      <c r="F572" s="3"/>
      <c r="G572" s="19">
        <v>44279</v>
      </c>
      <c r="H572" s="20">
        <v>162.22916666666666</v>
      </c>
      <c r="I572" s="20">
        <v>72.327083333333306</v>
      </c>
      <c r="J572" s="20">
        <v>12.527083333333332</v>
      </c>
      <c r="K572" s="20">
        <v>0</v>
      </c>
      <c r="L572" s="20">
        <v>211.33333333333334</v>
      </c>
      <c r="M572" s="20">
        <v>6.791666666666667</v>
      </c>
      <c r="N572" s="20">
        <v>1.375</v>
      </c>
      <c r="O572" s="20">
        <v>7.5083333333333337</v>
      </c>
      <c r="P572" s="10">
        <v>0.46086957847253557</v>
      </c>
      <c r="Q572" s="21">
        <v>0.30820833333333325</v>
      </c>
      <c r="R572" s="21">
        <v>0.37347916666666658</v>
      </c>
      <c r="S572" s="21">
        <v>0.45010416666666681</v>
      </c>
      <c r="T572" s="21">
        <v>0.43579166666666641</v>
      </c>
      <c r="U572" s="21">
        <v>0.43274999999999997</v>
      </c>
      <c r="V572" s="21">
        <v>0.33487500000000009</v>
      </c>
      <c r="W572" s="21">
        <v>0.3352708333333338</v>
      </c>
      <c r="X572" s="21">
        <v>0.28454166666666697</v>
      </c>
      <c r="Y572" s="21">
        <v>0.14668965517241378</v>
      </c>
      <c r="Z572" s="23">
        <f>AVERAGE(Q572,U572)</f>
        <v>0.37047916666666658</v>
      </c>
      <c r="AA572" s="23">
        <f>AVERAGE(R572:T572,V572:X572)</f>
        <v>0.36901041666666679</v>
      </c>
      <c r="AB572" s="23">
        <f t="shared" si="8"/>
        <v>0.36927746212121221</v>
      </c>
    </row>
    <row r="573" spans="1:28">
      <c r="A573" s="9">
        <v>44280</v>
      </c>
      <c r="B573" s="3"/>
      <c r="C573" s="3"/>
      <c r="D573" s="3"/>
      <c r="E573" s="3"/>
      <c r="F573" s="3"/>
      <c r="G573" s="19">
        <v>44280</v>
      </c>
      <c r="H573" s="20">
        <v>18.375</v>
      </c>
      <c r="I573" s="20">
        <v>92.422916666666694</v>
      </c>
      <c r="J573" s="20">
        <v>12.072916666666664</v>
      </c>
      <c r="K573" s="20">
        <v>1.2</v>
      </c>
      <c r="L573" s="20">
        <v>224.375</v>
      </c>
      <c r="M573" s="20">
        <v>10.479166666666666</v>
      </c>
      <c r="N573" s="20">
        <v>1.9791666666666667</v>
      </c>
      <c r="O573" s="20">
        <v>10.862499999999999</v>
      </c>
      <c r="P573" s="10">
        <v>0.10805240260878725</v>
      </c>
      <c r="Q573" s="21">
        <v>0.30477083333333355</v>
      </c>
      <c r="R573" s="21">
        <v>0.37218749999999995</v>
      </c>
      <c r="S573" s="21">
        <v>0.45008333333333339</v>
      </c>
      <c r="T573" s="21">
        <v>0.436</v>
      </c>
      <c r="U573" s="21">
        <v>0.43279166666666641</v>
      </c>
      <c r="V573" s="21">
        <v>0.33458333333333345</v>
      </c>
      <c r="W573" s="21">
        <v>0.33500000000000041</v>
      </c>
      <c r="X573" s="21">
        <v>0.28397916666666684</v>
      </c>
      <c r="Y573" s="21">
        <v>0.13575000000000001</v>
      </c>
      <c r="Z573" s="23">
        <f>AVERAGE(Q573,U573)</f>
        <v>0.36878124999999995</v>
      </c>
      <c r="AA573" s="23">
        <f>AVERAGE(R573:T573,V573:X573)</f>
        <v>0.36863888888888896</v>
      </c>
      <c r="AB573" s="23">
        <f t="shared" si="8"/>
        <v>0.36866477272727283</v>
      </c>
    </row>
    <row r="574" spans="1:28">
      <c r="A574" s="9">
        <v>44281</v>
      </c>
      <c r="B574" s="3"/>
      <c r="C574" s="3"/>
      <c r="D574" s="3"/>
      <c r="E574" s="3"/>
      <c r="F574" s="3"/>
      <c r="G574" s="19">
        <v>44281</v>
      </c>
      <c r="H574" s="20">
        <v>154.41666666666666</v>
      </c>
      <c r="I574" s="20">
        <v>81.15208333333328</v>
      </c>
      <c r="J574" s="20">
        <v>16.460416666666667</v>
      </c>
      <c r="K574" s="20">
        <v>0.2</v>
      </c>
      <c r="L574" s="20">
        <v>232.29166666666666</v>
      </c>
      <c r="M574" s="20">
        <v>10.020833333333334</v>
      </c>
      <c r="N574" s="20">
        <v>0.6875</v>
      </c>
      <c r="O574" s="20">
        <v>12.954166666666667</v>
      </c>
      <c r="P574" s="10">
        <v>0.42197697219465952</v>
      </c>
      <c r="Q574" s="21">
        <v>0.30179166666666674</v>
      </c>
      <c r="R574" s="21">
        <v>0.36987499999999995</v>
      </c>
      <c r="S574" s="21">
        <v>0.44789583333333322</v>
      </c>
      <c r="T574" s="21">
        <v>0.43572916666666645</v>
      </c>
      <c r="U574" s="21">
        <v>0.43302083333333313</v>
      </c>
      <c r="V574" s="21">
        <v>0.33262500000000006</v>
      </c>
      <c r="W574" s="21">
        <v>0.33460416666666665</v>
      </c>
      <c r="X574" s="21">
        <v>0.28368749999999981</v>
      </c>
      <c r="Y574" s="21">
        <v>0.1358421052631579</v>
      </c>
      <c r="Z574" s="23">
        <f>AVERAGE(Q574,U574)</f>
        <v>0.36740624999999993</v>
      </c>
      <c r="AA574" s="23">
        <f>AVERAGE(R574:T574,V574:X574)</f>
        <v>0.36740277777777769</v>
      </c>
      <c r="AB574" s="23">
        <f t="shared" si="8"/>
        <v>0.36740340909090896</v>
      </c>
    </row>
    <row r="575" spans="1:28">
      <c r="A575" s="9">
        <v>44282</v>
      </c>
      <c r="B575" s="3"/>
      <c r="C575" s="3"/>
      <c r="D575" s="3"/>
      <c r="E575" s="3"/>
      <c r="F575" s="3"/>
      <c r="G575" s="19">
        <v>44282</v>
      </c>
      <c r="H575" s="20">
        <v>151.5625</v>
      </c>
      <c r="I575" s="20">
        <v>72.972916666666663</v>
      </c>
      <c r="J575" s="20">
        <v>15.385416666666671</v>
      </c>
      <c r="K575" s="20">
        <v>0</v>
      </c>
      <c r="L575" s="20">
        <v>182.41666666666666</v>
      </c>
      <c r="M575" s="20">
        <v>4.479166666666667</v>
      </c>
      <c r="N575" s="20">
        <v>0</v>
      </c>
      <c r="O575" s="20">
        <v>10.295833333333334</v>
      </c>
      <c r="P575" s="10">
        <v>0.5490539050526817</v>
      </c>
      <c r="Q575" s="21">
        <v>0.294375</v>
      </c>
      <c r="R575" s="21">
        <v>0.36708333333333326</v>
      </c>
      <c r="S575" s="21">
        <v>0.4466666666666666</v>
      </c>
      <c r="T575" s="21">
        <v>0.43595833333333328</v>
      </c>
      <c r="U575" s="21">
        <v>0.43245833333333322</v>
      </c>
      <c r="V575" s="21">
        <v>0.33191666666666669</v>
      </c>
      <c r="W575" s="21">
        <v>0.33406249999999998</v>
      </c>
      <c r="X575" s="21">
        <v>0.28354166666666641</v>
      </c>
      <c r="Y575" s="21">
        <v>0.13357142857142854</v>
      </c>
      <c r="Z575" s="23">
        <f>AVERAGE(Q575,U575)</f>
        <v>0.36341666666666661</v>
      </c>
      <c r="AA575" s="23">
        <f>AVERAGE(R575:T575,V575:X575)</f>
        <v>0.36653819444444435</v>
      </c>
      <c r="AB575" s="23">
        <f t="shared" si="8"/>
        <v>0.36597064393939382</v>
      </c>
    </row>
    <row r="576" spans="1:28">
      <c r="A576" s="9">
        <v>44283</v>
      </c>
      <c r="B576" s="3"/>
      <c r="C576" s="3"/>
      <c r="D576" s="3"/>
      <c r="E576" s="3"/>
      <c r="F576" s="3"/>
      <c r="G576" s="19">
        <v>44283</v>
      </c>
      <c r="H576" s="20">
        <v>211.58333333333334</v>
      </c>
      <c r="I576" s="20">
        <v>72.427083333333357</v>
      </c>
      <c r="J576" s="20">
        <v>18.5</v>
      </c>
      <c r="K576" s="20">
        <v>0</v>
      </c>
      <c r="L576" s="20">
        <v>252.58333333333334</v>
      </c>
      <c r="M576" s="20">
        <v>8.375</v>
      </c>
      <c r="N576" s="20">
        <v>1.2291666666666667</v>
      </c>
      <c r="O576" s="20">
        <v>13.268750000000002</v>
      </c>
      <c r="P576" s="10">
        <v>0.6565583811487169</v>
      </c>
      <c r="Q576" s="21">
        <v>0.28633333333333355</v>
      </c>
      <c r="R576" s="21">
        <v>0.36231249999999987</v>
      </c>
      <c r="S576" s="21">
        <v>0.44279166666666686</v>
      </c>
      <c r="T576" s="21">
        <v>0.43577083333333316</v>
      </c>
      <c r="U576" s="21">
        <v>0.43183333333333324</v>
      </c>
      <c r="V576" s="21">
        <v>0.32956250000000004</v>
      </c>
      <c r="W576" s="21">
        <v>0.3323958333333335</v>
      </c>
      <c r="X576" s="21">
        <v>0.28256250000000005</v>
      </c>
      <c r="Y576" s="21">
        <v>0.13120000000000001</v>
      </c>
      <c r="Z576" s="23">
        <f>AVERAGE(Q576,U576)</f>
        <v>0.35908333333333342</v>
      </c>
      <c r="AA576" s="23">
        <f>AVERAGE(R576:T576,V576:X576)</f>
        <v>0.36423263888888896</v>
      </c>
      <c r="AB576" s="23">
        <f t="shared" si="8"/>
        <v>0.36329640151515163</v>
      </c>
    </row>
    <row r="577" spans="1:28">
      <c r="A577" s="9">
        <v>44284</v>
      </c>
      <c r="B577" s="3"/>
      <c r="C577" s="3"/>
      <c r="D577" s="3"/>
      <c r="E577" s="3"/>
      <c r="F577" s="3"/>
      <c r="G577" s="19">
        <v>44284</v>
      </c>
      <c r="H577" s="20">
        <v>233.16666666666666</v>
      </c>
      <c r="I577" s="20">
        <v>52.272916666666667</v>
      </c>
      <c r="J577" s="20">
        <v>23.722916666666674</v>
      </c>
      <c r="K577" s="20">
        <v>0</v>
      </c>
      <c r="L577" s="20">
        <v>228.95833333333334</v>
      </c>
      <c r="M577" s="20">
        <v>12.375</v>
      </c>
      <c r="N577" s="20">
        <v>1.625</v>
      </c>
      <c r="O577" s="20">
        <v>10.66666666666667</v>
      </c>
      <c r="P577" s="10">
        <v>1.7470368449587763</v>
      </c>
      <c r="Q577" s="21">
        <v>0.27777083333333358</v>
      </c>
      <c r="R577" s="21">
        <v>0.35754166666666659</v>
      </c>
      <c r="S577" s="21">
        <v>0.43889583333333332</v>
      </c>
      <c r="T577" s="21">
        <v>0.43577083333333305</v>
      </c>
      <c r="U577" s="21">
        <v>0.43191666666666628</v>
      </c>
      <c r="V577" s="21">
        <v>0.32779166666666676</v>
      </c>
      <c r="W577" s="21">
        <v>0.33116666666666661</v>
      </c>
      <c r="X577" s="21">
        <v>0.28172916666666686</v>
      </c>
      <c r="Y577" s="21">
        <v>0.12699999999999997</v>
      </c>
      <c r="Z577" s="23">
        <f>AVERAGE(Q577,U577)</f>
        <v>0.3548437499999999</v>
      </c>
      <c r="AA577" s="23">
        <f>AVERAGE(R577:T577,V577:X577)</f>
        <v>0.36214930555555552</v>
      </c>
      <c r="AB577" s="23">
        <f t="shared" si="8"/>
        <v>0.36082102272727268</v>
      </c>
    </row>
    <row r="578" spans="1:28">
      <c r="A578" s="9">
        <v>44285</v>
      </c>
      <c r="B578" s="3"/>
      <c r="C578" s="3"/>
      <c r="D578" s="3"/>
      <c r="E578" s="3"/>
      <c r="F578" s="3"/>
      <c r="G578" s="19">
        <v>44285</v>
      </c>
      <c r="H578" s="20">
        <v>210.83333333333334</v>
      </c>
      <c r="I578" s="20">
        <v>31.439583333333346</v>
      </c>
      <c r="J578" s="20">
        <v>24.310416666666669</v>
      </c>
      <c r="K578" s="20">
        <v>0</v>
      </c>
      <c r="L578" s="20">
        <v>224.58333333333334</v>
      </c>
      <c r="M578" s="20">
        <v>14.333333333333334</v>
      </c>
      <c r="N578" s="20">
        <v>2.5</v>
      </c>
      <c r="O578" s="20">
        <v>5.7104166666666663</v>
      </c>
      <c r="P578" s="10">
        <v>2.1346427040830127</v>
      </c>
      <c r="Q578" s="21">
        <v>0.26637500000000003</v>
      </c>
      <c r="R578" s="21">
        <v>0.3487291666666667</v>
      </c>
      <c r="S578" s="21">
        <v>0.43266666666666631</v>
      </c>
      <c r="T578" s="21">
        <v>0.43435416666666643</v>
      </c>
      <c r="U578" s="21">
        <v>0.42858333333333354</v>
      </c>
      <c r="V578" s="21">
        <v>0.32537499999999991</v>
      </c>
      <c r="W578" s="21">
        <v>0.32937500000000003</v>
      </c>
      <c r="X578" s="21">
        <v>0.28062499999999974</v>
      </c>
      <c r="Y578" s="21">
        <v>0.12296969696969702</v>
      </c>
      <c r="Z578" s="23">
        <f>AVERAGE(Q578,U578)</f>
        <v>0.34747916666666678</v>
      </c>
      <c r="AA578" s="23">
        <f>AVERAGE(R578:T578,V578:X578)</f>
        <v>0.35852083333333318</v>
      </c>
      <c r="AB578" s="23">
        <f t="shared" si="8"/>
        <v>0.35651325757575747</v>
      </c>
    </row>
    <row r="579" spans="1:28">
      <c r="A579" s="9">
        <v>44286</v>
      </c>
      <c r="B579" s="3"/>
      <c r="C579" s="3"/>
      <c r="D579" s="3"/>
      <c r="E579" s="3"/>
      <c r="F579" s="3"/>
      <c r="G579" s="19">
        <v>44286</v>
      </c>
      <c r="H579" s="20">
        <v>209.25</v>
      </c>
      <c r="I579" s="20">
        <v>40.620833333333344</v>
      </c>
      <c r="J579" s="20">
        <v>24.004166666666666</v>
      </c>
      <c r="K579" s="20">
        <v>0</v>
      </c>
      <c r="L579" s="20">
        <v>240</v>
      </c>
      <c r="M579" s="20">
        <v>15.166666666666666</v>
      </c>
      <c r="N579" s="20">
        <v>2.9375</v>
      </c>
      <c r="O579" s="20">
        <v>9.5979166666666664</v>
      </c>
      <c r="P579" s="10">
        <v>1.8309253405017294</v>
      </c>
      <c r="Q579" s="21">
        <v>0.25793750000000021</v>
      </c>
      <c r="R579" s="21">
        <v>0.33993749999999995</v>
      </c>
      <c r="S579" s="21">
        <v>0.42629166666666635</v>
      </c>
      <c r="T579" s="21">
        <v>0.43058333333333348</v>
      </c>
      <c r="U579" s="21">
        <v>0.42466666666666647</v>
      </c>
      <c r="V579" s="21">
        <v>0.32283333333333303</v>
      </c>
      <c r="W579" s="21">
        <v>0.32731250000000023</v>
      </c>
      <c r="X579" s="21">
        <v>0.2795625000000001</v>
      </c>
      <c r="Y579" s="21">
        <v>0.12489285714285717</v>
      </c>
      <c r="Z579" s="23">
        <f>AVERAGE(Q579,U579)</f>
        <v>0.34130208333333334</v>
      </c>
      <c r="AA579" s="23">
        <f>AVERAGE(R579:T579,V579:X579)</f>
        <v>0.35442013888888885</v>
      </c>
      <c r="AB579" s="23">
        <f t="shared" si="8"/>
        <v>0.35203503787878782</v>
      </c>
    </row>
    <row r="580" spans="1:28">
      <c r="A580" s="9">
        <v>44287</v>
      </c>
      <c r="B580" s="3"/>
      <c r="C580" s="3"/>
      <c r="D580" s="3"/>
      <c r="E580" s="3"/>
      <c r="F580" s="3"/>
      <c r="G580" s="19">
        <v>44287</v>
      </c>
      <c r="H580" s="20">
        <v>205.625</v>
      </c>
      <c r="I580" s="20">
        <v>46.377083333333331</v>
      </c>
      <c r="J580" s="20">
        <v>23.825000000000003</v>
      </c>
      <c r="K580" s="20">
        <v>0</v>
      </c>
      <c r="L580" s="20">
        <v>214.16666666666666</v>
      </c>
      <c r="M580" s="20">
        <v>8.4375</v>
      </c>
      <c r="N580" s="20">
        <v>0.9375</v>
      </c>
      <c r="O580" s="20">
        <v>10.78125</v>
      </c>
      <c r="P580" s="10">
        <v>1.7297397279708291</v>
      </c>
      <c r="Q580" s="21">
        <v>0.25224999999999992</v>
      </c>
      <c r="R580" s="21">
        <v>0.33339583333333328</v>
      </c>
      <c r="S580" s="21">
        <v>0.42010416666666678</v>
      </c>
      <c r="T580" s="21">
        <v>0.42549999999999971</v>
      </c>
      <c r="U580" s="21">
        <v>0.42208333333333337</v>
      </c>
      <c r="V580" s="21">
        <v>0.32112500000000016</v>
      </c>
      <c r="W580" s="21">
        <v>0.3251874999999998</v>
      </c>
      <c r="X580" s="21">
        <v>0.27831249999999991</v>
      </c>
      <c r="Y580" s="21">
        <v>0.11641666666666672</v>
      </c>
      <c r="Z580" s="23">
        <f>AVERAGE(Q580,U580)</f>
        <v>0.33716666666666661</v>
      </c>
      <c r="AA580" s="23">
        <f>AVERAGE(R580:T580,V580:X580)</f>
        <v>0.35060416666666661</v>
      </c>
      <c r="AB580" s="23">
        <f t="shared" si="8"/>
        <v>0.34816098484848479</v>
      </c>
    </row>
    <row r="581" spans="1:28">
      <c r="A581" s="9">
        <v>44288</v>
      </c>
      <c r="B581" s="3"/>
      <c r="C581" s="3"/>
      <c r="D581" s="3"/>
      <c r="E581" s="3"/>
      <c r="F581" s="3"/>
      <c r="G581" s="19">
        <v>44288</v>
      </c>
      <c r="H581" s="20">
        <v>227.20833333333334</v>
      </c>
      <c r="I581" s="20">
        <v>67.081250000000011</v>
      </c>
      <c r="J581" s="20">
        <v>19.941666666666663</v>
      </c>
      <c r="K581" s="20">
        <v>0</v>
      </c>
      <c r="L581" s="20">
        <v>231.70833333333334</v>
      </c>
      <c r="M581" s="20">
        <v>7.395833333333333</v>
      </c>
      <c r="N581" s="20">
        <v>0.6875</v>
      </c>
      <c r="O581" s="20">
        <v>11.766666666666666</v>
      </c>
      <c r="P581" s="10">
        <v>1.0878531145582626</v>
      </c>
      <c r="Q581" s="21">
        <v>0.24781250000000019</v>
      </c>
      <c r="R581" s="21">
        <v>0.32862500000000017</v>
      </c>
      <c r="S581" s="21">
        <v>0.41560416666666677</v>
      </c>
      <c r="T581" s="21">
        <v>0.42125000000000012</v>
      </c>
      <c r="U581" s="21">
        <v>0.41985416666666692</v>
      </c>
      <c r="V581" s="21">
        <v>0.32018750000000012</v>
      </c>
      <c r="W581" s="21">
        <v>0.32358333333333339</v>
      </c>
      <c r="X581" s="21">
        <v>0.27745833333333314</v>
      </c>
      <c r="Y581" s="21">
        <v>0.11438888888888897</v>
      </c>
      <c r="Z581" s="23">
        <f>AVERAGE(Q581,U581)</f>
        <v>0.33383333333333354</v>
      </c>
      <c r="AA581" s="23">
        <f>AVERAGE(R581:T581,V581:X581)</f>
        <v>0.34778472222222229</v>
      </c>
      <c r="AB581" s="23">
        <f t="shared" si="8"/>
        <v>0.34524810606060619</v>
      </c>
    </row>
    <row r="582" spans="1:28">
      <c r="A582" s="9">
        <v>44289</v>
      </c>
      <c r="B582" s="3"/>
      <c r="C582" s="3"/>
      <c r="D582" s="3"/>
      <c r="E582" s="3"/>
      <c r="F582" s="3"/>
      <c r="G582" s="19">
        <v>44289</v>
      </c>
      <c r="H582" s="20">
        <v>105.5625</v>
      </c>
      <c r="I582" s="20">
        <v>78.575000000000003</v>
      </c>
      <c r="J582" s="20">
        <v>13.749999999999998</v>
      </c>
      <c r="K582" s="20">
        <v>0</v>
      </c>
      <c r="L582" s="20">
        <v>208.33333333333334</v>
      </c>
      <c r="M582" s="20">
        <v>6.416666666666667</v>
      </c>
      <c r="N582" s="20">
        <v>0.10416666666666667</v>
      </c>
      <c r="O582" s="20">
        <v>9.9979166666666703</v>
      </c>
      <c r="P582" s="10">
        <v>0.35986127476869217</v>
      </c>
      <c r="Q582" s="21">
        <v>0.24245833333333314</v>
      </c>
      <c r="R582" s="21">
        <v>0.32320833333333321</v>
      </c>
      <c r="S582" s="21">
        <v>0.41116666666666685</v>
      </c>
      <c r="T582" s="21">
        <v>0.41789583333333319</v>
      </c>
      <c r="U582" s="21">
        <v>0.41450000000000004</v>
      </c>
      <c r="V582" s="21">
        <v>0.31866666666666654</v>
      </c>
      <c r="W582" s="21">
        <v>0.32170833333333332</v>
      </c>
      <c r="X582" s="21">
        <v>0.27658333333333335</v>
      </c>
      <c r="Y582" s="21">
        <v>0.11115000000000005</v>
      </c>
      <c r="Z582" s="23">
        <f>AVERAGE(Q582,U582)</f>
        <v>0.3284791666666666</v>
      </c>
      <c r="AA582" s="23">
        <f>AVERAGE(R582:T582,V582:X582)</f>
        <v>0.34487152777777769</v>
      </c>
      <c r="AB582" s="23">
        <f t="shared" ref="AB582:AB645" si="9">(Z582*10+AA582*45)/55</f>
        <v>0.34189109848484844</v>
      </c>
    </row>
    <row r="583" spans="1:28">
      <c r="A583" s="9">
        <v>44290</v>
      </c>
      <c r="B583" s="3"/>
      <c r="C583" s="3"/>
      <c r="D583" s="3"/>
      <c r="E583" s="3"/>
      <c r="F583" s="3"/>
      <c r="G583" s="19">
        <v>44290</v>
      </c>
      <c r="H583" s="20">
        <v>38.875</v>
      </c>
      <c r="I583" s="20">
        <v>93.010416666666686</v>
      </c>
      <c r="J583" s="20">
        <v>10.314583333333333</v>
      </c>
      <c r="K583" s="20">
        <v>0.60000000000000009</v>
      </c>
      <c r="L583" s="20">
        <v>201.91666666666666</v>
      </c>
      <c r="M583" s="20">
        <v>3.9375</v>
      </c>
      <c r="N583" s="20">
        <v>0.10416666666666667</v>
      </c>
      <c r="O583" s="20">
        <v>9.2250000000000014</v>
      </c>
      <c r="P583" s="10">
        <v>8.8720133971836659E-2</v>
      </c>
      <c r="Q583" s="21">
        <v>0.23856249999999993</v>
      </c>
      <c r="R583" s="21">
        <v>0.31829166666666669</v>
      </c>
      <c r="S583" s="21">
        <v>0.40633333333333338</v>
      </c>
      <c r="T583" s="21">
        <v>0.41495833333333337</v>
      </c>
      <c r="U583" s="21">
        <v>0.4083124999999998</v>
      </c>
      <c r="V583" s="21">
        <v>0.31595833333333317</v>
      </c>
      <c r="W583" s="21">
        <v>0.31918750000000018</v>
      </c>
      <c r="X583" s="21">
        <v>0.27541666666666681</v>
      </c>
      <c r="Y583" s="21">
        <v>0.11000000000000001</v>
      </c>
      <c r="Z583" s="23">
        <f>AVERAGE(Q583,U583)</f>
        <v>0.32343749999999988</v>
      </c>
      <c r="AA583" s="23">
        <f>AVERAGE(R583:T583,V583:X583)</f>
        <v>0.34169097222222228</v>
      </c>
      <c r="AB583" s="23">
        <f t="shared" si="9"/>
        <v>0.33837215909090912</v>
      </c>
    </row>
    <row r="584" spans="1:28">
      <c r="A584" s="9">
        <v>44291</v>
      </c>
      <c r="B584" s="3"/>
      <c r="C584" s="3"/>
      <c r="D584" s="3"/>
      <c r="E584" s="3"/>
      <c r="F584" s="3"/>
      <c r="G584" s="19">
        <v>44291</v>
      </c>
      <c r="H584" s="20">
        <v>31.4375</v>
      </c>
      <c r="I584" s="20">
        <v>97.21875</v>
      </c>
      <c r="J584" s="20">
        <v>11.120833333333332</v>
      </c>
      <c r="K584" s="20">
        <v>1.4</v>
      </c>
      <c r="L584" s="20">
        <v>228.66666666666666</v>
      </c>
      <c r="M584" s="20">
        <v>3.4166666666666665</v>
      </c>
      <c r="N584" s="20">
        <v>8.3333333333333329E-2</v>
      </c>
      <c r="O584" s="20">
        <v>10.695833333333338</v>
      </c>
      <c r="P584" s="10">
        <v>3.6800447319997175E-2</v>
      </c>
      <c r="Q584" s="21">
        <v>0.23635416666666684</v>
      </c>
      <c r="R584" s="21">
        <v>0.31472916666666678</v>
      </c>
      <c r="S584" s="21">
        <v>0.40231249999999985</v>
      </c>
      <c r="T584" s="21">
        <v>0.41256250000000011</v>
      </c>
      <c r="U584" s="21">
        <v>0.40350000000000025</v>
      </c>
      <c r="V584" s="21">
        <v>0.31285416666666654</v>
      </c>
      <c r="W584" s="21">
        <v>0.31704166666666694</v>
      </c>
      <c r="X584" s="21">
        <v>0.27420833333333355</v>
      </c>
      <c r="Y584" s="21">
        <v>0.11000000000000004</v>
      </c>
      <c r="Z584" s="23">
        <f>AVERAGE(Q584,U584)</f>
        <v>0.31992708333333353</v>
      </c>
      <c r="AA584" s="23">
        <f>AVERAGE(R584:T584,V584:X584)</f>
        <v>0.33895138888888893</v>
      </c>
      <c r="AB584" s="23">
        <f t="shared" si="9"/>
        <v>0.33549242424242426</v>
      </c>
    </row>
    <row r="585" spans="1:28">
      <c r="A585" s="9">
        <v>44292</v>
      </c>
      <c r="B585" s="3"/>
      <c r="C585" s="3"/>
      <c r="D585" s="3"/>
      <c r="E585" s="3"/>
      <c r="F585" s="3"/>
      <c r="G585" s="19">
        <v>44292</v>
      </c>
      <c r="H585" s="20">
        <v>38.125</v>
      </c>
      <c r="I585" s="20">
        <v>97.53958333333334</v>
      </c>
      <c r="J585" s="20">
        <v>12.814583333333331</v>
      </c>
      <c r="K585" s="20">
        <v>11.899999999999995</v>
      </c>
      <c r="L585" s="20">
        <v>236.39583333333334</v>
      </c>
      <c r="M585" s="20">
        <v>4.416666666666667</v>
      </c>
      <c r="N585" s="20">
        <v>0.10416666666666667</v>
      </c>
      <c r="O585" s="20">
        <v>12.433333333333337</v>
      </c>
      <c r="P585" s="10">
        <v>3.7114833440757715E-2</v>
      </c>
      <c r="Q585" s="21">
        <v>0.23660416666666659</v>
      </c>
      <c r="R585" s="21">
        <v>0.31358333333333338</v>
      </c>
      <c r="S585" s="21">
        <v>0.40014583333333326</v>
      </c>
      <c r="T585" s="21">
        <v>0.41108333333333341</v>
      </c>
      <c r="U585" s="21">
        <v>0.4025625000000001</v>
      </c>
      <c r="V585" s="21">
        <v>0.30993749999999987</v>
      </c>
      <c r="W585" s="21">
        <v>0.3153958333333331</v>
      </c>
      <c r="X585" s="21">
        <v>0.27204166666666701</v>
      </c>
      <c r="Y585" s="21">
        <v>0.16360416666666669</v>
      </c>
      <c r="Z585" s="23">
        <f>AVERAGE(Q585,U585)</f>
        <v>0.31958333333333333</v>
      </c>
      <c r="AA585" s="23">
        <f>AVERAGE(R585:T585,V585:X585)</f>
        <v>0.33703124999999995</v>
      </c>
      <c r="AB585" s="23">
        <f t="shared" si="9"/>
        <v>0.33385890151515146</v>
      </c>
    </row>
    <row r="586" spans="1:28">
      <c r="A586" s="9">
        <v>44293</v>
      </c>
      <c r="B586" s="3"/>
      <c r="C586" s="3"/>
      <c r="D586" s="3"/>
      <c r="E586" s="3"/>
      <c r="F586" s="3"/>
      <c r="G586" s="19">
        <v>44293</v>
      </c>
      <c r="H586" s="20">
        <v>105.41666666666667</v>
      </c>
      <c r="I586" s="20">
        <v>88.818750000000009</v>
      </c>
      <c r="J586" s="20">
        <v>13.897916666666669</v>
      </c>
      <c r="K586" s="20">
        <v>4.5999999999999996</v>
      </c>
      <c r="L586" s="20">
        <v>223.4375</v>
      </c>
      <c r="M586" s="20">
        <v>4.8125</v>
      </c>
      <c r="N586" s="20">
        <v>0.14583333333333334</v>
      </c>
      <c r="O586" s="20">
        <v>11.966666666666669</v>
      </c>
      <c r="P586" s="10">
        <v>0.20209113095810791</v>
      </c>
      <c r="Q586" s="21">
        <v>0.2383333333333334</v>
      </c>
      <c r="R586" s="21">
        <v>0.314</v>
      </c>
      <c r="S586" s="21">
        <v>0.39960416666666682</v>
      </c>
      <c r="T586" s="21">
        <v>0.41072916666666659</v>
      </c>
      <c r="U586" s="21">
        <v>0.43154166666666643</v>
      </c>
      <c r="V586" s="21">
        <v>0.3103749999999999</v>
      </c>
      <c r="W586" s="21">
        <v>0.31475000000000003</v>
      </c>
      <c r="X586" s="21">
        <v>0.27137500000000014</v>
      </c>
      <c r="Y586" s="21">
        <v>0.23046874999999997</v>
      </c>
      <c r="Z586" s="23">
        <f>AVERAGE(Q586,U586)</f>
        <v>0.33493749999999989</v>
      </c>
      <c r="AA586" s="23">
        <f>AVERAGE(R586:T586,V586:X586)</f>
        <v>0.33680555555555558</v>
      </c>
      <c r="AB586" s="23">
        <f t="shared" si="9"/>
        <v>0.33646590909090912</v>
      </c>
    </row>
    <row r="587" spans="1:28">
      <c r="A587" s="9">
        <v>44294</v>
      </c>
      <c r="B587" s="3"/>
      <c r="C587" s="3"/>
      <c r="D587" s="3"/>
      <c r="E587" s="3"/>
      <c r="F587" s="3"/>
      <c r="G587" s="19">
        <v>44294</v>
      </c>
      <c r="H587" s="20">
        <v>42.520833333333336</v>
      </c>
      <c r="I587" s="20">
        <v>90.262499999999989</v>
      </c>
      <c r="J587" s="20">
        <v>11.391666666666666</v>
      </c>
      <c r="K587" s="20">
        <v>0.4</v>
      </c>
      <c r="L587" s="20">
        <v>222.1875</v>
      </c>
      <c r="M587" s="20">
        <v>3.8958333333333335</v>
      </c>
      <c r="N587" s="20">
        <v>0.125</v>
      </c>
      <c r="O587" s="20">
        <v>9.8166666666666647</v>
      </c>
      <c r="P587" s="10">
        <v>0.13753133386132926</v>
      </c>
      <c r="Q587" s="21">
        <v>0.23902083333333349</v>
      </c>
      <c r="R587" s="21">
        <v>0.31366666666666687</v>
      </c>
      <c r="S587" s="21">
        <v>0.39937500000000054</v>
      </c>
      <c r="T587" s="21">
        <v>0.41054166666666658</v>
      </c>
      <c r="U587" s="21">
        <v>0.43316666666666664</v>
      </c>
      <c r="V587" s="21">
        <v>0.31072916666666667</v>
      </c>
      <c r="W587" s="21">
        <v>0.31443750000000009</v>
      </c>
      <c r="X587" s="21">
        <v>0.27129166666666682</v>
      </c>
      <c r="Y587" s="21">
        <v>0.22737500000000002</v>
      </c>
      <c r="Z587" s="23">
        <f>AVERAGE(Q587,U587)</f>
        <v>0.33609375000000008</v>
      </c>
      <c r="AA587" s="23">
        <f>AVERAGE(R587:T587,V587:X587)</f>
        <v>0.33667361111111127</v>
      </c>
      <c r="AB587" s="23">
        <f t="shared" si="9"/>
        <v>0.33656818181818193</v>
      </c>
    </row>
    <row r="588" spans="1:28">
      <c r="A588" s="9">
        <v>44295</v>
      </c>
      <c r="B588" s="3"/>
      <c r="C588" s="3"/>
      <c r="D588" s="3"/>
      <c r="E588" s="3"/>
      <c r="F588" s="3"/>
      <c r="G588" s="19">
        <v>44295</v>
      </c>
      <c r="H588" s="20">
        <v>37.208333333333336</v>
      </c>
      <c r="I588" s="20">
        <v>91.995833333333323</v>
      </c>
      <c r="J588" s="20">
        <v>9.4520833333333343</v>
      </c>
      <c r="K588" s="20">
        <v>1.7999999999999998</v>
      </c>
      <c r="L588" s="20">
        <v>222.16666666666666</v>
      </c>
      <c r="M588" s="20">
        <v>5.270833333333333</v>
      </c>
      <c r="N588" s="20">
        <v>0.20833333333333334</v>
      </c>
      <c r="O588" s="20">
        <v>8.2041666666666657</v>
      </c>
      <c r="P588" s="10">
        <v>9.6062387734769425E-2</v>
      </c>
      <c r="Q588" s="21">
        <v>0.23816666666666639</v>
      </c>
      <c r="R588" s="21">
        <v>0.31177083333333333</v>
      </c>
      <c r="S588" s="21">
        <v>0.39718750000000025</v>
      </c>
      <c r="T588" s="21">
        <v>0.40931250000000041</v>
      </c>
      <c r="U588" s="21">
        <v>0.42664583333333322</v>
      </c>
      <c r="V588" s="21">
        <v>0.30985416666666654</v>
      </c>
      <c r="W588" s="21">
        <v>0.31393750000000004</v>
      </c>
      <c r="X588" s="21">
        <v>0.27108333333333362</v>
      </c>
      <c r="Y588" s="21">
        <v>0.21457446808510647</v>
      </c>
      <c r="Z588" s="23">
        <f>AVERAGE(Q588,U588)</f>
        <v>0.33240624999999979</v>
      </c>
      <c r="AA588" s="23">
        <f>AVERAGE(R588:T588,V588:X588)</f>
        <v>0.33552430555555568</v>
      </c>
      <c r="AB588" s="23">
        <f t="shared" si="9"/>
        <v>0.33495738636363642</v>
      </c>
    </row>
    <row r="589" spans="1:28">
      <c r="A589" s="9">
        <v>44296</v>
      </c>
      <c r="B589" s="3"/>
      <c r="C589" s="3"/>
      <c r="D589" s="3"/>
      <c r="E589" s="3"/>
      <c r="F589" s="3"/>
      <c r="G589" s="19">
        <v>44296</v>
      </c>
      <c r="H589" s="20">
        <v>44.875</v>
      </c>
      <c r="I589" s="20">
        <v>95.216666666666697</v>
      </c>
      <c r="J589" s="20">
        <v>10.170833333333333</v>
      </c>
      <c r="K589" s="20">
        <v>2.9000000000000004</v>
      </c>
      <c r="L589" s="20">
        <v>226.70833333333334</v>
      </c>
      <c r="M589" s="20">
        <v>4.375</v>
      </c>
      <c r="N589" s="20">
        <v>6.25E-2</v>
      </c>
      <c r="O589" s="20">
        <v>9.4395833333333332</v>
      </c>
      <c r="P589" s="10">
        <v>6.1575015691382462E-2</v>
      </c>
      <c r="Q589" s="21">
        <v>0.23760416666666651</v>
      </c>
      <c r="R589" s="21">
        <v>0.31016666666666681</v>
      </c>
      <c r="S589" s="21">
        <v>0.39512499999999978</v>
      </c>
      <c r="T589" s="21">
        <v>0.40766666666666662</v>
      </c>
      <c r="U589" s="21">
        <v>0.42181249999999976</v>
      </c>
      <c r="V589" s="21">
        <v>0.30781249999999988</v>
      </c>
      <c r="W589" s="21">
        <v>0.31308333333333355</v>
      </c>
      <c r="X589" s="21">
        <v>0.26991666666666647</v>
      </c>
      <c r="Y589" s="21">
        <v>0.21408333333333343</v>
      </c>
      <c r="Z589" s="23">
        <f>AVERAGE(Q589,U589)</f>
        <v>0.32970833333333316</v>
      </c>
      <c r="AA589" s="23">
        <f>AVERAGE(R589:T589,V589:X589)</f>
        <v>0.33396180555555555</v>
      </c>
      <c r="AB589" s="23">
        <f t="shared" si="9"/>
        <v>0.33318844696969696</v>
      </c>
    </row>
    <row r="590" spans="1:28">
      <c r="A590" s="9">
        <v>44297</v>
      </c>
      <c r="B590" s="3"/>
      <c r="C590" s="3"/>
      <c r="D590" s="3"/>
      <c r="E590" s="3"/>
      <c r="F590" s="3"/>
      <c r="G590" s="19">
        <v>44297</v>
      </c>
      <c r="H590" s="20">
        <v>38.479166666666664</v>
      </c>
      <c r="I590" s="20">
        <v>97.397916666666674</v>
      </c>
      <c r="J590" s="20">
        <v>11.389583333333334</v>
      </c>
      <c r="K590" s="20">
        <v>3.600000000000001</v>
      </c>
      <c r="L590" s="20">
        <v>236.70833333333334</v>
      </c>
      <c r="M590" s="20">
        <v>2.0625</v>
      </c>
      <c r="N590" s="20">
        <v>0</v>
      </c>
      <c r="O590" s="20">
        <v>10.987500000000002</v>
      </c>
      <c r="P590" s="10">
        <v>3.5669593115360602E-2</v>
      </c>
      <c r="Q590" s="21">
        <v>0.23912500000000003</v>
      </c>
      <c r="R590" s="21">
        <v>0.31000000000000011</v>
      </c>
      <c r="S590" s="21">
        <v>0.3941666666666665</v>
      </c>
      <c r="T590" s="21">
        <v>0.40697916666666667</v>
      </c>
      <c r="U590" s="21">
        <v>0.43229166666666652</v>
      </c>
      <c r="V590" s="21">
        <v>0.30662499999999987</v>
      </c>
      <c r="W590" s="21">
        <v>0.31233333333333313</v>
      </c>
      <c r="X590" s="21">
        <v>0.26900000000000007</v>
      </c>
      <c r="Y590" s="21">
        <v>0.24124999999999999</v>
      </c>
      <c r="Z590" s="23">
        <f>AVERAGE(Q590,U590)</f>
        <v>0.33570833333333328</v>
      </c>
      <c r="AA590" s="23">
        <f>AVERAGE(R590:T590,V590:X590)</f>
        <v>0.33318402777777772</v>
      </c>
      <c r="AB590" s="23">
        <f t="shared" si="9"/>
        <v>0.33364299242424239</v>
      </c>
    </row>
    <row r="591" spans="1:28">
      <c r="A591" s="9">
        <v>44298</v>
      </c>
      <c r="B591" s="3"/>
      <c r="C591" s="3"/>
      <c r="D591" s="3"/>
      <c r="E591" s="3"/>
      <c r="F591" s="3"/>
      <c r="G591" s="19">
        <v>44298</v>
      </c>
      <c r="H591" s="20">
        <v>79.5</v>
      </c>
      <c r="I591" s="20">
        <v>91.208333333333314</v>
      </c>
      <c r="J591" s="20">
        <v>12.914583333333335</v>
      </c>
      <c r="K591" s="20">
        <v>0.8</v>
      </c>
      <c r="L591" s="20">
        <v>185.20833333333334</v>
      </c>
      <c r="M591" s="20">
        <v>2.4166666666666665</v>
      </c>
      <c r="N591" s="20">
        <v>0</v>
      </c>
      <c r="O591" s="20">
        <v>11.439583333333333</v>
      </c>
      <c r="P591" s="10">
        <v>0.15381391675093595</v>
      </c>
      <c r="Q591" s="21">
        <v>0.24070833333333344</v>
      </c>
      <c r="R591" s="21">
        <v>0.31022916666666667</v>
      </c>
      <c r="S591" s="21">
        <v>0.39418749999999997</v>
      </c>
      <c r="T591" s="21">
        <v>0.40643750000000001</v>
      </c>
      <c r="U591" s="21">
        <v>0.44431250000000011</v>
      </c>
      <c r="V591" s="21">
        <v>0.3075208333333333</v>
      </c>
      <c r="W591" s="21">
        <v>0.3120416666666665</v>
      </c>
      <c r="X591" s="21">
        <v>0.26900000000000007</v>
      </c>
      <c r="Y591" s="21">
        <v>0.24119565217391306</v>
      </c>
      <c r="Z591" s="23">
        <f>AVERAGE(Q591,U591)</f>
        <v>0.34251041666666676</v>
      </c>
      <c r="AA591" s="23">
        <f>AVERAGE(R591:T591,V591:X591)</f>
        <v>0.33323611111111112</v>
      </c>
      <c r="AB591" s="23">
        <f t="shared" si="9"/>
        <v>0.33492234848484853</v>
      </c>
    </row>
    <row r="592" spans="1:28">
      <c r="A592" s="9">
        <v>44299</v>
      </c>
      <c r="B592" s="3"/>
      <c r="C592" s="3"/>
      <c r="D592" s="3"/>
      <c r="E592" s="3"/>
      <c r="F592" s="3"/>
      <c r="G592" s="19">
        <v>44299</v>
      </c>
      <c r="H592" s="20">
        <v>58.333333333333336</v>
      </c>
      <c r="I592" s="20">
        <v>93.127083333333346</v>
      </c>
      <c r="J592" s="20">
        <v>12.987499999999997</v>
      </c>
      <c r="K592" s="20">
        <v>2.2999999999999998</v>
      </c>
      <c r="L592" s="20">
        <v>178.70833333333334</v>
      </c>
      <c r="M592" s="20">
        <v>2.125</v>
      </c>
      <c r="N592" s="20">
        <v>0</v>
      </c>
      <c r="O592" s="20">
        <v>11.862500000000002</v>
      </c>
      <c r="P592" s="10">
        <v>0.11241783160414891</v>
      </c>
      <c r="Q592" s="21">
        <v>0.24322916666666672</v>
      </c>
      <c r="R592" s="21">
        <v>0.31118749999999989</v>
      </c>
      <c r="S592" s="21">
        <v>0.3950208333333331</v>
      </c>
      <c r="T592" s="21">
        <v>0.40675</v>
      </c>
      <c r="U592" s="21">
        <v>0.43993749999999981</v>
      </c>
      <c r="V592" s="21">
        <v>0.30866666666666648</v>
      </c>
      <c r="W592" s="21">
        <v>0.31302083333333358</v>
      </c>
      <c r="X592" s="21">
        <v>0.26900000000000007</v>
      </c>
      <c r="Y592" s="21">
        <v>0.2312127659574468</v>
      </c>
      <c r="Z592" s="23">
        <f>AVERAGE(Q592,U592)</f>
        <v>0.34158333333333324</v>
      </c>
      <c r="AA592" s="23">
        <f>AVERAGE(R592:T592,V592:X592)</f>
        <v>0.33394097222222219</v>
      </c>
      <c r="AB592" s="23">
        <f t="shared" si="9"/>
        <v>0.3353304924242424</v>
      </c>
    </row>
    <row r="593" spans="1:28">
      <c r="A593" s="9">
        <v>44300</v>
      </c>
      <c r="B593" s="3"/>
      <c r="C593" s="3"/>
      <c r="D593" s="3"/>
      <c r="E593" s="3"/>
      <c r="F593" s="3"/>
      <c r="G593" s="19">
        <v>44300</v>
      </c>
      <c r="H593" s="20">
        <v>117.41666666666667</v>
      </c>
      <c r="I593" s="20">
        <v>88.897916666666674</v>
      </c>
      <c r="J593" s="20">
        <v>14.010416666666666</v>
      </c>
      <c r="K593" s="20">
        <v>1.2</v>
      </c>
      <c r="L593" s="20">
        <v>216.16666666666666</v>
      </c>
      <c r="M593" s="20">
        <v>4.541666666666667</v>
      </c>
      <c r="N593" s="20">
        <v>0.22916666666666666</v>
      </c>
      <c r="O593" s="20">
        <v>12.099999999999996</v>
      </c>
      <c r="P593" s="10">
        <v>0.20191572694101514</v>
      </c>
      <c r="Q593" s="21">
        <v>0.24458333333333326</v>
      </c>
      <c r="R593" s="21">
        <v>0.31220833333333337</v>
      </c>
      <c r="S593" s="21">
        <v>0.39597916666666699</v>
      </c>
      <c r="T593" s="21">
        <v>0.40699999999999997</v>
      </c>
      <c r="U593" s="21">
        <v>0.43664583333333296</v>
      </c>
      <c r="V593" s="21">
        <v>0.3093333333333334</v>
      </c>
      <c r="W593" s="21">
        <v>0.31362500000000015</v>
      </c>
      <c r="X593" s="21">
        <v>0.26935416666666656</v>
      </c>
      <c r="Y593" s="21">
        <v>0.23638636363636351</v>
      </c>
      <c r="Z593" s="23">
        <f>AVERAGE(Q593,U593)</f>
        <v>0.34061458333333311</v>
      </c>
      <c r="AA593" s="23">
        <f>AVERAGE(R593:T593,V593:X593)</f>
        <v>0.33458333333333345</v>
      </c>
      <c r="AB593" s="23">
        <f t="shared" si="9"/>
        <v>0.33567992424242427</v>
      </c>
    </row>
    <row r="594" spans="1:28">
      <c r="A594" s="9">
        <v>44301</v>
      </c>
      <c r="B594" s="3">
        <v>140.26507513989867</v>
      </c>
      <c r="C594" s="2">
        <v>128.8251497126044</v>
      </c>
      <c r="D594" s="3">
        <v>39.362168664964003</v>
      </c>
      <c r="E594" s="3">
        <v>125.78124361707128</v>
      </c>
      <c r="F594" s="3">
        <v>59.323076980014882</v>
      </c>
      <c r="G594" s="19">
        <v>44301</v>
      </c>
      <c r="H594" s="20">
        <v>51.375</v>
      </c>
      <c r="I594" s="20">
        <v>93.360416666666666</v>
      </c>
      <c r="J594" s="20">
        <v>12.666666666666666</v>
      </c>
      <c r="K594" s="20">
        <v>0.4</v>
      </c>
      <c r="L594" s="20">
        <v>230.41666666666666</v>
      </c>
      <c r="M594" s="20">
        <v>3.1875</v>
      </c>
      <c r="N594" s="20">
        <v>0</v>
      </c>
      <c r="O594" s="20">
        <v>11.606249999999998</v>
      </c>
      <c r="P594" s="10">
        <v>0.10434639520127058</v>
      </c>
      <c r="Q594" s="21">
        <v>0.24568750000000017</v>
      </c>
      <c r="R594" s="21">
        <v>0.31283333333333346</v>
      </c>
      <c r="S594" s="21">
        <v>0.39652083333333382</v>
      </c>
      <c r="T594" s="21">
        <v>0.40702083333333333</v>
      </c>
      <c r="U594" s="21">
        <v>0.43295833333333317</v>
      </c>
      <c r="V594" s="21">
        <v>0.31054166666666666</v>
      </c>
      <c r="W594" s="21">
        <v>0.314</v>
      </c>
      <c r="X594" s="21">
        <v>0.26999999999999974</v>
      </c>
      <c r="Y594" s="21">
        <v>0.22431249999999994</v>
      </c>
      <c r="Z594" s="23">
        <f>AVERAGE(Q594,U594)</f>
        <v>0.3393229166666667</v>
      </c>
      <c r="AA594" s="23">
        <f>AVERAGE(R594:T594,V594:X594)</f>
        <v>0.33515277777777785</v>
      </c>
      <c r="AB594" s="23">
        <f t="shared" si="9"/>
        <v>0.33591098484848492</v>
      </c>
    </row>
    <row r="595" spans="1:28">
      <c r="A595" s="9">
        <v>44302</v>
      </c>
      <c r="B595" s="3">
        <v>228.57162342268282</v>
      </c>
      <c r="C595" s="2">
        <v>167.32941728282768</v>
      </c>
      <c r="D595" s="3">
        <v>52.189679515476776</v>
      </c>
      <c r="E595" s="3">
        <v>163.37572474402234</v>
      </c>
      <c r="F595" s="3">
        <v>120.68532314400049</v>
      </c>
      <c r="G595" s="19">
        <v>44302</v>
      </c>
      <c r="H595" s="20">
        <v>70.083333333333329</v>
      </c>
      <c r="I595" s="20">
        <v>89.38124999999998</v>
      </c>
      <c r="J595" s="20">
        <v>13.152083333333337</v>
      </c>
      <c r="K595" s="20">
        <v>4.5</v>
      </c>
      <c r="L595" s="20">
        <v>207.1875</v>
      </c>
      <c r="M595" s="20">
        <v>2.4583333333333335</v>
      </c>
      <c r="N595" s="20">
        <v>0</v>
      </c>
      <c r="O595" s="20">
        <v>11.389583333333329</v>
      </c>
      <c r="P595" s="10">
        <v>0.17337393730361986</v>
      </c>
      <c r="Q595" s="21">
        <v>0.24691666666666648</v>
      </c>
      <c r="R595" s="21">
        <v>0.31291666666666684</v>
      </c>
      <c r="S595" s="21">
        <v>0.39610416666666709</v>
      </c>
      <c r="T595" s="21">
        <v>0.4072291666666667</v>
      </c>
      <c r="U595" s="21">
        <v>0.4500625000000002</v>
      </c>
      <c r="V595" s="21">
        <v>0.3101875</v>
      </c>
      <c r="W595" s="21">
        <v>0.314</v>
      </c>
      <c r="X595" s="21">
        <v>0.26960416666666648</v>
      </c>
      <c r="Y595" s="21">
        <v>0.24697916666666675</v>
      </c>
      <c r="Z595" s="23">
        <f>AVERAGE(Q595,U595)</f>
        <v>0.34848958333333335</v>
      </c>
      <c r="AA595" s="23">
        <f>AVERAGE(R595:T595,V595:X595)</f>
        <v>0.33500694444444457</v>
      </c>
      <c r="AB595" s="23">
        <f t="shared" si="9"/>
        <v>0.33745833333333342</v>
      </c>
    </row>
    <row r="596" spans="1:28">
      <c r="A596" s="9">
        <v>44303</v>
      </c>
      <c r="B596" s="3">
        <v>7.3346052061789075</v>
      </c>
      <c r="C596" s="2">
        <v>40.818489112921952</v>
      </c>
      <c r="D596" s="3">
        <v>1.8453621366633413</v>
      </c>
      <c r="E596" s="3">
        <v>39.854021785707822</v>
      </c>
      <c r="F596" s="3">
        <v>28.514296948708374</v>
      </c>
      <c r="G596" s="19">
        <v>44303</v>
      </c>
      <c r="H596" s="20">
        <v>37.041666666666664</v>
      </c>
      <c r="I596" s="20">
        <v>92.872916666666654</v>
      </c>
      <c r="J596" s="20">
        <v>12.108333333333336</v>
      </c>
      <c r="K596" s="20">
        <v>3</v>
      </c>
      <c r="L596" s="20">
        <v>191.58333333333334</v>
      </c>
      <c r="M596" s="20">
        <v>2.3541666666666665</v>
      </c>
      <c r="N596" s="20">
        <v>8.3333333333333329E-2</v>
      </c>
      <c r="O596" s="20">
        <v>10.989583333333334</v>
      </c>
      <c r="P596" s="10">
        <v>0.10161151696986215</v>
      </c>
      <c r="Q596" s="21">
        <v>0.24799999999999989</v>
      </c>
      <c r="R596" s="21">
        <v>0.31300000000000022</v>
      </c>
      <c r="S596" s="21">
        <v>0.39608333333333379</v>
      </c>
      <c r="T596" s="21">
        <v>0.4070833333333333</v>
      </c>
      <c r="U596" s="21">
        <v>0.44587499999999985</v>
      </c>
      <c r="V596" s="21">
        <v>0.31050000000000016</v>
      </c>
      <c r="W596" s="21">
        <v>0.314</v>
      </c>
      <c r="X596" s="21">
        <v>0.26977083333333318</v>
      </c>
      <c r="Y596" s="21">
        <v>0.23558333333333337</v>
      </c>
      <c r="Z596" s="23">
        <f>AVERAGE(Q596,U596)</f>
        <v>0.3469374999999999</v>
      </c>
      <c r="AA596" s="23">
        <f>AVERAGE(R596:T596,V596:X596)</f>
        <v>0.33507291666666678</v>
      </c>
      <c r="AB596" s="23">
        <f t="shared" si="9"/>
        <v>0.33723011363636368</v>
      </c>
    </row>
    <row r="597" spans="1:28">
      <c r="A597" s="9">
        <v>44304</v>
      </c>
      <c r="B597" s="3">
        <v>5.4163364228750916</v>
      </c>
      <c r="C597" s="2">
        <v>27.138165632441961</v>
      </c>
      <c r="D597" s="3">
        <v>5.4987587340985566</v>
      </c>
      <c r="E597" s="3">
        <v>26.496939691898028</v>
      </c>
      <c r="F597" s="3">
        <v>21.214364006974968</v>
      </c>
      <c r="G597" s="19">
        <v>44304</v>
      </c>
      <c r="H597" s="20">
        <v>34.854166666666664</v>
      </c>
      <c r="I597" s="20">
        <v>96.770833333333357</v>
      </c>
      <c r="J597" s="20">
        <v>12.270833333333334</v>
      </c>
      <c r="K597" s="20">
        <v>3.9000000000000012</v>
      </c>
      <c r="L597" s="20">
        <v>226.39583333333334</v>
      </c>
      <c r="M597" s="20">
        <v>2.9375</v>
      </c>
      <c r="N597" s="20">
        <v>4.1666666666666664E-2</v>
      </c>
      <c r="O597" s="20">
        <v>11.777083333333332</v>
      </c>
      <c r="P597" s="10">
        <v>4.6786763196519143E-2</v>
      </c>
      <c r="Q597" s="21">
        <v>0.25277083333333322</v>
      </c>
      <c r="R597" s="21">
        <v>0.3129375000000002</v>
      </c>
      <c r="S597" s="21">
        <v>0.3954999999999998</v>
      </c>
      <c r="T597" s="21">
        <v>0.40702083333333333</v>
      </c>
      <c r="U597" s="21">
        <v>0.45358333333333339</v>
      </c>
      <c r="V597" s="21">
        <v>0.30947916666666675</v>
      </c>
      <c r="W597" s="21">
        <v>0.314</v>
      </c>
      <c r="X597" s="21">
        <v>0.26904166666666673</v>
      </c>
      <c r="Y597" s="21">
        <v>0.25310416666666674</v>
      </c>
      <c r="Z597" s="23">
        <f>AVERAGE(Q597,U597)</f>
        <v>0.35317708333333331</v>
      </c>
      <c r="AA597" s="23">
        <f>AVERAGE(R597:T597,V597:X597)</f>
        <v>0.33466319444444448</v>
      </c>
      <c r="AB597" s="23">
        <f t="shared" si="9"/>
        <v>0.33802935606060608</v>
      </c>
    </row>
    <row r="598" spans="1:28">
      <c r="A598" s="9">
        <v>44305</v>
      </c>
      <c r="B598" s="3">
        <v>94.659077009989986</v>
      </c>
      <c r="C598" s="2">
        <v>126.85469452549329</v>
      </c>
      <c r="D598" s="3">
        <v>18.202490724311396</v>
      </c>
      <c r="E598" s="3">
        <v>123.85734673451795</v>
      </c>
      <c r="F598" s="3">
        <v>72.677869071315541</v>
      </c>
      <c r="G598" s="19">
        <v>44305</v>
      </c>
      <c r="H598" s="20">
        <v>58.5</v>
      </c>
      <c r="I598" s="20">
        <v>95.235416666666652</v>
      </c>
      <c r="J598" s="20">
        <v>14.414583333333333</v>
      </c>
      <c r="K598" s="20">
        <v>3.1000000000000005</v>
      </c>
      <c r="L598" s="20">
        <v>229.22916666666666</v>
      </c>
      <c r="M598" s="20">
        <v>5.020833333333333</v>
      </c>
      <c r="N598" s="20">
        <v>0.39583333333333331</v>
      </c>
      <c r="O598" s="20">
        <v>13.643749999999997</v>
      </c>
      <c r="P598" s="10">
        <v>8.5266594335494175E-2</v>
      </c>
      <c r="Q598" s="21">
        <v>0.2876458333333331</v>
      </c>
      <c r="R598" s="21">
        <v>0.31329166666666675</v>
      </c>
      <c r="S598" s="21">
        <v>0.39593750000000033</v>
      </c>
      <c r="T598" s="21">
        <v>0.40699999999999997</v>
      </c>
      <c r="U598" s="21">
        <v>0.46260416666666665</v>
      </c>
      <c r="V598" s="21">
        <v>0.30985416666666671</v>
      </c>
      <c r="W598" s="21">
        <v>0.31402083333333336</v>
      </c>
      <c r="X598" s="21">
        <v>0.26902083333333343</v>
      </c>
      <c r="Y598" s="21">
        <v>0.25754166666666661</v>
      </c>
      <c r="Z598" s="23">
        <f>AVERAGE(Q598,U598)</f>
        <v>0.37512499999999988</v>
      </c>
      <c r="AA598" s="23">
        <f>AVERAGE(R598:T598,V598:X598)</f>
        <v>0.33485416666666673</v>
      </c>
      <c r="AB598" s="23">
        <f t="shared" si="9"/>
        <v>0.34217613636363636</v>
      </c>
    </row>
    <row r="599" spans="1:28">
      <c r="A599" s="9">
        <v>44306</v>
      </c>
      <c r="B599" s="3">
        <v>635.51835037152614</v>
      </c>
      <c r="C599" s="2">
        <v>416.86682824900237</v>
      </c>
      <c r="D599" s="3">
        <v>349.83221089391333</v>
      </c>
      <c r="E599" s="3">
        <v>407.01701645089082</v>
      </c>
      <c r="F599" s="3">
        <v>355.7805866311345</v>
      </c>
      <c r="G599" s="19">
        <v>44306</v>
      </c>
      <c r="H599" s="20">
        <v>225.1875</v>
      </c>
      <c r="I599" s="20">
        <v>78.583333333333343</v>
      </c>
      <c r="J599" s="20">
        <v>19.706250000000004</v>
      </c>
      <c r="K599" s="20">
        <v>0.2</v>
      </c>
      <c r="L599" s="20">
        <v>231.02083333333334</v>
      </c>
      <c r="M599" s="20">
        <v>10.5</v>
      </c>
      <c r="N599" s="20">
        <v>1.5833333333333333</v>
      </c>
      <c r="O599" s="20">
        <v>15.495833333333332</v>
      </c>
      <c r="P599" s="10">
        <v>0.59292948142752588</v>
      </c>
      <c r="Q599" s="21">
        <v>0.29512499999999992</v>
      </c>
      <c r="R599" s="21">
        <v>0.31541666666666685</v>
      </c>
      <c r="S599" s="21">
        <v>0.39770833333333333</v>
      </c>
      <c r="T599" s="21">
        <v>0.40731250000000013</v>
      </c>
      <c r="U599" s="21">
        <v>0.46047916666666655</v>
      </c>
      <c r="V599" s="21">
        <v>0.3120208333333333</v>
      </c>
      <c r="W599" s="21">
        <v>0.31504166666666661</v>
      </c>
      <c r="X599" s="21">
        <v>0.26970833333333316</v>
      </c>
      <c r="Y599" s="21">
        <v>0.24732258064516127</v>
      </c>
      <c r="Z599" s="23">
        <f>AVERAGE(Q599,U599)</f>
        <v>0.37780208333333321</v>
      </c>
      <c r="AA599" s="23">
        <f>AVERAGE(R599:T599,V599:X599)</f>
        <v>0.3362013888888889</v>
      </c>
      <c r="AB599" s="23">
        <f t="shared" si="9"/>
        <v>0.34376515151515152</v>
      </c>
    </row>
    <row r="600" spans="1:28">
      <c r="A600" s="9">
        <v>44307</v>
      </c>
      <c r="B600" s="3">
        <v>735.62895122379325</v>
      </c>
      <c r="C600" s="2">
        <v>408.5193758443358</v>
      </c>
      <c r="D600" s="3">
        <v>402.64586646600446</v>
      </c>
      <c r="E600" s="3">
        <v>398.86679930124563</v>
      </c>
      <c r="F600" s="3">
        <v>421.7000744585406</v>
      </c>
      <c r="G600" s="19">
        <v>44307</v>
      </c>
      <c r="H600" s="20">
        <v>213.125</v>
      </c>
      <c r="I600" s="20">
        <v>75.489583333333343</v>
      </c>
      <c r="J600" s="20">
        <v>20.497916666666661</v>
      </c>
      <c r="K600" s="20">
        <v>0</v>
      </c>
      <c r="L600" s="20">
        <v>225.02083333333334</v>
      </c>
      <c r="M600" s="20">
        <v>5.166666666666667</v>
      </c>
      <c r="N600" s="20">
        <v>0.25</v>
      </c>
      <c r="O600" s="20">
        <v>15.42083333333334</v>
      </c>
      <c r="P600" s="10">
        <v>0.75340691730483433</v>
      </c>
      <c r="Q600" s="21">
        <v>0.2886666666666669</v>
      </c>
      <c r="R600" s="21">
        <v>0.31852083333333353</v>
      </c>
      <c r="S600" s="21">
        <v>0.40120833333333322</v>
      </c>
      <c r="T600" s="21">
        <v>0.40952083333333333</v>
      </c>
      <c r="U600" s="21">
        <v>0.45306250000000015</v>
      </c>
      <c r="V600" s="21">
        <v>0.31535416666666671</v>
      </c>
      <c r="W600" s="21">
        <v>0.31670833333333342</v>
      </c>
      <c r="X600" s="21">
        <v>0.27106250000000026</v>
      </c>
      <c r="Y600" s="21">
        <v>0.22109090909090912</v>
      </c>
      <c r="Z600" s="23">
        <f>AVERAGE(Q600,U600)</f>
        <v>0.3708645833333335</v>
      </c>
      <c r="AA600" s="23">
        <f>AVERAGE(R600:T600,V600:X600)</f>
        <v>0.33872916666666675</v>
      </c>
      <c r="AB600" s="23">
        <f t="shared" si="9"/>
        <v>0.34457196969696979</v>
      </c>
    </row>
    <row r="601" spans="1:28">
      <c r="A601" s="9">
        <v>44308</v>
      </c>
      <c r="B601" s="3">
        <v>735.33309857771008</v>
      </c>
      <c r="C601" s="2">
        <v>416.67508791146292</v>
      </c>
      <c r="D601" s="3">
        <v>380.31499378556771</v>
      </c>
      <c r="E601" s="3">
        <v>406.82980659193805</v>
      </c>
      <c r="F601" s="3">
        <v>422.9869245072864</v>
      </c>
      <c r="G601" s="19">
        <v>44308</v>
      </c>
      <c r="H601" s="20">
        <v>212.25</v>
      </c>
      <c r="I601" s="20">
        <v>75.985416666666652</v>
      </c>
      <c r="J601" s="20">
        <v>21.189583333333328</v>
      </c>
      <c r="K601" s="20">
        <v>0</v>
      </c>
      <c r="L601" s="20">
        <v>234.70833333333334</v>
      </c>
      <c r="M601" s="20">
        <v>11.770833333333334</v>
      </c>
      <c r="N601" s="20">
        <v>2.9375</v>
      </c>
      <c r="O601" s="20">
        <v>16.458333333333329</v>
      </c>
      <c r="P601" s="10">
        <v>0.72391247983444673</v>
      </c>
      <c r="Q601" s="21">
        <v>0.27839583333333345</v>
      </c>
      <c r="R601" s="21">
        <v>0.31964583333333368</v>
      </c>
      <c r="S601" s="21">
        <v>0.40345833333333342</v>
      </c>
      <c r="T601" s="21">
        <v>0.41112499999999996</v>
      </c>
      <c r="U601" s="21">
        <v>0.44299999999999984</v>
      </c>
      <c r="V601" s="21">
        <v>0.31675000000000003</v>
      </c>
      <c r="W601" s="21">
        <v>0.31781249999999978</v>
      </c>
      <c r="X601" s="21">
        <v>0.27197916666666683</v>
      </c>
      <c r="Y601" s="21">
        <v>0.20831250000000004</v>
      </c>
      <c r="Z601" s="23">
        <f>AVERAGE(Q601,U601)</f>
        <v>0.36069791666666662</v>
      </c>
      <c r="AA601" s="23">
        <f>AVERAGE(R601:T601,V601:X601)</f>
        <v>0.34012847222222226</v>
      </c>
      <c r="AB601" s="23">
        <f t="shared" si="9"/>
        <v>0.34386837121212122</v>
      </c>
    </row>
    <row r="602" spans="1:28">
      <c r="A602" s="9">
        <v>44309</v>
      </c>
      <c r="B602" s="3">
        <v>805.32898413079602</v>
      </c>
      <c r="C602" s="2">
        <v>437.70093850472466</v>
      </c>
      <c r="D602" s="3">
        <v>340.09618899431371</v>
      </c>
      <c r="E602" s="3">
        <v>427.35885423230292</v>
      </c>
      <c r="F602" s="3">
        <v>343.19638650716581</v>
      </c>
      <c r="G602" s="19">
        <v>44309</v>
      </c>
      <c r="H602" s="20">
        <v>205.4375</v>
      </c>
      <c r="I602" s="20">
        <v>74.037499999999994</v>
      </c>
      <c r="J602" s="20">
        <v>22.941666666666666</v>
      </c>
      <c r="K602" s="20">
        <v>0</v>
      </c>
      <c r="L602" s="20">
        <v>232.25</v>
      </c>
      <c r="M602" s="20">
        <v>17.875</v>
      </c>
      <c r="N602" s="20">
        <v>4.645833333333333</v>
      </c>
      <c r="O602" s="20">
        <v>17.941666666666666</v>
      </c>
      <c r="P602" s="10">
        <v>0.77243083366202392</v>
      </c>
      <c r="Q602" s="21">
        <v>0.26850000000000013</v>
      </c>
      <c r="R602" s="21">
        <v>0.32002083333333359</v>
      </c>
      <c r="S602" s="21">
        <v>0.40475</v>
      </c>
      <c r="T602" s="21">
        <v>0.41241666666666682</v>
      </c>
      <c r="U602" s="21">
        <v>0.43339583333333298</v>
      </c>
      <c r="V602" s="21">
        <v>0.3174791666666667</v>
      </c>
      <c r="W602" s="21">
        <v>0.31822916666666651</v>
      </c>
      <c r="X602" s="21">
        <v>0.27274999999999994</v>
      </c>
      <c r="Y602" s="21">
        <v>0.17364705882352938</v>
      </c>
      <c r="Z602" s="23">
        <f>AVERAGE(Q602,U602)</f>
        <v>0.35094791666666658</v>
      </c>
      <c r="AA602" s="23">
        <f>AVERAGE(R602:T602,V602:X602)</f>
        <v>0.3409409722222223</v>
      </c>
      <c r="AB602" s="23">
        <f t="shared" si="9"/>
        <v>0.34276041666666673</v>
      </c>
    </row>
    <row r="603" spans="1:28">
      <c r="A603" s="9">
        <v>44310</v>
      </c>
      <c r="B603" s="3">
        <v>674.33871564341075</v>
      </c>
      <c r="C603" s="2">
        <v>382.96176672287902</v>
      </c>
      <c r="D603" s="3">
        <v>277.79801574320607</v>
      </c>
      <c r="E603" s="3">
        <v>373.91307041874541</v>
      </c>
      <c r="F603" s="3">
        <v>265.05015333197514</v>
      </c>
      <c r="G603" s="19">
        <v>44310</v>
      </c>
      <c r="H603" s="20">
        <v>176.47916666666666</v>
      </c>
      <c r="I603" s="20">
        <v>74.250000000000014</v>
      </c>
      <c r="J603" s="20">
        <v>22.783333333333331</v>
      </c>
      <c r="K603" s="20">
        <v>0</v>
      </c>
      <c r="L603" s="20">
        <v>229.70833333333334</v>
      </c>
      <c r="M603" s="20">
        <v>9.0833333333333339</v>
      </c>
      <c r="N603" s="20">
        <v>0.85416666666666663</v>
      </c>
      <c r="O603" s="20">
        <v>17.681249999999999</v>
      </c>
      <c r="P603" s="10">
        <v>0.80757649764186235</v>
      </c>
      <c r="Q603" s="21">
        <v>0.26141666666666669</v>
      </c>
      <c r="R603" s="21">
        <v>0.31985416666666705</v>
      </c>
      <c r="S603" s="21">
        <v>0.4056666666666664</v>
      </c>
      <c r="T603" s="21">
        <v>0.41285416666666669</v>
      </c>
      <c r="U603" s="21">
        <v>0.42660416666666667</v>
      </c>
      <c r="V603" s="21">
        <v>0.31822916666666673</v>
      </c>
      <c r="W603" s="21">
        <v>0.31858333333333327</v>
      </c>
      <c r="X603" s="21">
        <v>0.27306249999999987</v>
      </c>
      <c r="Y603" s="21">
        <v>0.1634444444444445</v>
      </c>
      <c r="Z603" s="23">
        <f>AVERAGE(Q603,U603)</f>
        <v>0.34401041666666665</v>
      </c>
      <c r="AA603" s="23">
        <f>AVERAGE(R603:T603,V603:X603)</f>
        <v>0.34137499999999998</v>
      </c>
      <c r="AB603" s="23">
        <f t="shared" si="9"/>
        <v>0.34185416666666663</v>
      </c>
    </row>
    <row r="604" spans="1:28">
      <c r="A604" s="9">
        <v>44311</v>
      </c>
      <c r="B604" s="3">
        <v>199.71126143746037</v>
      </c>
      <c r="C604" s="2">
        <v>121.77710986362824</v>
      </c>
      <c r="D604" s="3">
        <v>22.68485865292573</v>
      </c>
      <c r="E604" s="3">
        <v>118.89973624646382</v>
      </c>
      <c r="F604" s="3">
        <v>59.466045663597349</v>
      </c>
      <c r="G604" s="19">
        <v>44311</v>
      </c>
      <c r="H604" s="20">
        <v>50</v>
      </c>
      <c r="I604" s="20">
        <v>87.791666666666686</v>
      </c>
      <c r="J604" s="20">
        <v>15.206250000000002</v>
      </c>
      <c r="K604" s="20">
        <v>1.1000000000000001</v>
      </c>
      <c r="L604" s="20">
        <v>227.22916666666666</v>
      </c>
      <c r="M604" s="20">
        <v>7.5</v>
      </c>
      <c r="N604" s="20">
        <v>0.20833333333333334</v>
      </c>
      <c r="O604" s="20">
        <v>13.170833333333334</v>
      </c>
      <c r="P604" s="10">
        <v>0.22118613206343452</v>
      </c>
      <c r="Q604" s="21">
        <v>0.25639583333333343</v>
      </c>
      <c r="R604" s="21">
        <v>0.31877083333333339</v>
      </c>
      <c r="S604" s="21">
        <v>0.4057083333333335</v>
      </c>
      <c r="T604" s="21">
        <v>0.41337499999999999</v>
      </c>
      <c r="U604" s="21">
        <v>0.42087500000000005</v>
      </c>
      <c r="V604" s="21">
        <v>0.31862500000000005</v>
      </c>
      <c r="W604" s="21">
        <v>0.31860416666666674</v>
      </c>
      <c r="X604" s="21">
        <v>0.27314583333333325</v>
      </c>
      <c r="Y604" s="39" t="e">
        <f>#REF!*0.5711-0.0033</f>
        <v>#REF!</v>
      </c>
      <c r="Z604" s="23">
        <f>AVERAGE(Q604,U604)</f>
        <v>0.33863541666666674</v>
      </c>
      <c r="AA604" s="23">
        <f>AVERAGE(R604:T604,V604:X604)</f>
        <v>0.34137152777777785</v>
      </c>
      <c r="AB604" s="23">
        <f t="shared" si="9"/>
        <v>0.3408740530303031</v>
      </c>
    </row>
    <row r="605" spans="1:28">
      <c r="A605" s="9">
        <v>44312</v>
      </c>
      <c r="B605" s="3">
        <v>383.26558764851961</v>
      </c>
      <c r="C605" s="2">
        <v>234.05087813796538</v>
      </c>
      <c r="D605" s="3">
        <v>84.159810818372364</v>
      </c>
      <c r="E605" s="3">
        <v>228.52067773673636</v>
      </c>
      <c r="F605" s="3">
        <v>147.71083544127146</v>
      </c>
      <c r="G605" s="19">
        <v>44312</v>
      </c>
      <c r="H605" s="20">
        <v>100</v>
      </c>
      <c r="I605" s="20">
        <v>83.65</v>
      </c>
      <c r="J605" s="20">
        <v>14.706249999999999</v>
      </c>
      <c r="K605" s="20">
        <v>1.9</v>
      </c>
      <c r="L605" s="20">
        <v>209.41666666666666</v>
      </c>
      <c r="M605" s="20">
        <v>4.208333333333333</v>
      </c>
      <c r="N605" s="20">
        <v>0.10416666666666667</v>
      </c>
      <c r="O605" s="20">
        <v>11.827083333333333</v>
      </c>
      <c r="P605" s="10">
        <v>0.31021412031893314</v>
      </c>
      <c r="Q605" s="21">
        <v>0.2518749999999999</v>
      </c>
      <c r="R605" s="21">
        <v>0.31539583333333326</v>
      </c>
      <c r="S605" s="21">
        <v>0.40216666666666656</v>
      </c>
      <c r="T605" s="21">
        <v>0.41216666666666707</v>
      </c>
      <c r="U605" s="21">
        <v>0.4146875000000001</v>
      </c>
      <c r="V605" s="21">
        <v>0.31543749999999976</v>
      </c>
      <c r="W605" s="21">
        <v>0.31706250000000025</v>
      </c>
      <c r="X605" s="21">
        <v>0.27252083333333332</v>
      </c>
      <c r="Y605" s="39" t="e">
        <f>#REF!*0.5711-0.0033</f>
        <v>#REF!</v>
      </c>
      <c r="Z605" s="23">
        <f>AVERAGE(Q605,U605)</f>
        <v>0.33328124999999997</v>
      </c>
      <c r="AA605" s="23">
        <f>AVERAGE(R605:T605,V605:X605)</f>
        <v>0.33912500000000007</v>
      </c>
      <c r="AB605" s="23">
        <f t="shared" si="9"/>
        <v>0.33806250000000004</v>
      </c>
    </row>
    <row r="606" spans="1:28">
      <c r="A606" s="9">
        <v>44313</v>
      </c>
      <c r="B606" s="3">
        <v>197.41177477163976</v>
      </c>
      <c r="C606" s="2">
        <v>154.44303327715525</v>
      </c>
      <c r="D606" s="3">
        <v>59.603134362792652</v>
      </c>
      <c r="E606" s="3">
        <v>150.79382276621291</v>
      </c>
      <c r="F606" s="3">
        <v>92.829209423437504</v>
      </c>
      <c r="G606" s="19">
        <v>44313</v>
      </c>
      <c r="H606" s="20">
        <v>87.1875</v>
      </c>
      <c r="I606" s="20">
        <v>87.060416666666654</v>
      </c>
      <c r="J606" s="20">
        <v>14.683333333333337</v>
      </c>
      <c r="K606" s="20">
        <v>4.4000000000000004</v>
      </c>
      <c r="L606" s="20">
        <v>211.875</v>
      </c>
      <c r="M606" s="20">
        <v>3.4166666666666665</v>
      </c>
      <c r="N606" s="20">
        <v>4.1666666666666664E-2</v>
      </c>
      <c r="O606" s="20">
        <v>12.445833333333333</v>
      </c>
      <c r="P606" s="10">
        <v>0.24025584832135605</v>
      </c>
      <c r="Q606" s="21">
        <v>0.2508749999999999</v>
      </c>
      <c r="R606" s="21">
        <v>0.31427083333333339</v>
      </c>
      <c r="S606" s="21">
        <v>0.40031249999999979</v>
      </c>
      <c r="T606" s="21">
        <v>0.41060416666666649</v>
      </c>
      <c r="U606" s="21">
        <v>0.41208333333333319</v>
      </c>
      <c r="V606" s="21">
        <v>0.31383333333333335</v>
      </c>
      <c r="W606" s="21">
        <v>0.31539583333333315</v>
      </c>
      <c r="X606" s="21">
        <v>0.27114583333333359</v>
      </c>
      <c r="Y606" s="39" t="e">
        <f>#REF!*0.5711-0.0033</f>
        <v>#REF!</v>
      </c>
      <c r="Z606" s="23">
        <f>AVERAGE(Q606,U606)</f>
        <v>0.33147916666666655</v>
      </c>
      <c r="AA606" s="23">
        <f>AVERAGE(R606:T606,V606:X606)</f>
        <v>0.33759374999999991</v>
      </c>
      <c r="AB606" s="23">
        <f t="shared" si="9"/>
        <v>0.33648200757575747</v>
      </c>
    </row>
    <row r="607" spans="1:28">
      <c r="A607" s="9">
        <v>44314</v>
      </c>
      <c r="B607" s="3">
        <v>213.12656845992504</v>
      </c>
      <c r="C607" s="2">
        <v>177.22248105818784</v>
      </c>
      <c r="D607" s="3">
        <v>57.114666724345632</v>
      </c>
      <c r="E607" s="3">
        <v>173.03503325345426</v>
      </c>
      <c r="F607" s="3">
        <v>93.581796493892227</v>
      </c>
      <c r="G607" s="19">
        <v>44314</v>
      </c>
      <c r="H607" s="20">
        <v>84.729166666666671</v>
      </c>
      <c r="I607" s="20">
        <v>88.745833333333323</v>
      </c>
      <c r="J607" s="20">
        <v>13.993749999999999</v>
      </c>
      <c r="K607" s="20">
        <v>16.899999999999999</v>
      </c>
      <c r="L607" s="20">
        <v>220.85416666666666</v>
      </c>
      <c r="M607" s="20">
        <v>3.75</v>
      </c>
      <c r="N607" s="20">
        <v>4.1666666666666664E-2</v>
      </c>
      <c r="O607" s="20">
        <v>12.120833333333335</v>
      </c>
      <c r="P607" s="10">
        <v>0.18891025009461229</v>
      </c>
      <c r="Q607" s="21">
        <v>0.2745625000000001</v>
      </c>
      <c r="R607" s="21">
        <v>0.31785416666666683</v>
      </c>
      <c r="S607" s="21">
        <v>0.40075</v>
      </c>
      <c r="T607" s="21">
        <v>0.41187500000000005</v>
      </c>
      <c r="U607" s="21">
        <v>0.44433333333333319</v>
      </c>
      <c r="V607" s="21">
        <v>0.31770833333333343</v>
      </c>
      <c r="W607" s="21">
        <v>0.31499999999999989</v>
      </c>
      <c r="X607" s="21">
        <v>0.27060416666666681</v>
      </c>
      <c r="Y607" s="21">
        <v>0.24792307692307688</v>
      </c>
      <c r="Z607" s="23">
        <f>AVERAGE(Q607,U607)</f>
        <v>0.35944791666666664</v>
      </c>
      <c r="AA607" s="23">
        <f>AVERAGE(R607:T607,V607:X607)</f>
        <v>0.33896527777777785</v>
      </c>
      <c r="AB607" s="23">
        <f t="shared" si="9"/>
        <v>0.34268939393939402</v>
      </c>
    </row>
    <row r="608" spans="1:28">
      <c r="A608" s="9">
        <v>44315</v>
      </c>
      <c r="B608" s="3">
        <v>686.9805457356282</v>
      </c>
      <c r="C608" s="2">
        <v>449.48432624392626</v>
      </c>
      <c r="D608" s="3">
        <v>401.7261224061013</v>
      </c>
      <c r="E608" s="3">
        <v>438.86382175739726</v>
      </c>
      <c r="F608" s="3">
        <v>340.47262205889422</v>
      </c>
      <c r="G608" s="19">
        <v>44315</v>
      </c>
      <c r="H608" s="20">
        <v>271.64583333333331</v>
      </c>
      <c r="I608" s="20">
        <v>65.081249999999983</v>
      </c>
      <c r="J608" s="20">
        <v>18.022916666666667</v>
      </c>
      <c r="K608" s="20">
        <v>0.4</v>
      </c>
      <c r="L608" s="20">
        <v>215.20833333333334</v>
      </c>
      <c r="M608" s="20">
        <v>5.291666666666667</v>
      </c>
      <c r="N608" s="20">
        <v>0.4375</v>
      </c>
      <c r="O608" s="20">
        <v>10.172916666666666</v>
      </c>
      <c r="P608" s="10">
        <v>0.92031888459238065</v>
      </c>
      <c r="Q608" s="21">
        <v>0.28079166666666655</v>
      </c>
      <c r="R608" s="21">
        <v>0.32004166666666684</v>
      </c>
      <c r="S608" s="21">
        <v>0.40104166666666669</v>
      </c>
      <c r="T608" s="21">
        <v>0.41145833333333348</v>
      </c>
      <c r="U608" s="21">
        <v>0.44916666666666671</v>
      </c>
      <c r="V608" s="21">
        <v>0.31768749999999996</v>
      </c>
      <c r="W608" s="21">
        <v>0.31454166666666677</v>
      </c>
      <c r="X608" s="21">
        <v>0.2707083333333335</v>
      </c>
      <c r="Y608" s="21">
        <v>0.24363636363636365</v>
      </c>
      <c r="Z608" s="23">
        <f>AVERAGE(Q608,U608)</f>
        <v>0.36497916666666663</v>
      </c>
      <c r="AA608" s="23">
        <f>AVERAGE(R608:T608,V608:X608)</f>
        <v>0.33924652777777786</v>
      </c>
      <c r="AB608" s="23">
        <f t="shared" si="9"/>
        <v>0.3439251893939394</v>
      </c>
    </row>
    <row r="609" spans="1:28">
      <c r="A609" s="9">
        <v>44316</v>
      </c>
      <c r="B609" s="3">
        <v>785.55270872163987</v>
      </c>
      <c r="C609" s="2">
        <v>427.96885671235736</v>
      </c>
      <c r="D609" s="3">
        <v>404.02759796267469</v>
      </c>
      <c r="E609" s="3">
        <v>417.85672399175684</v>
      </c>
      <c r="F609" s="3">
        <v>341.54932296377604</v>
      </c>
      <c r="G609" s="19">
        <v>44316</v>
      </c>
      <c r="H609" s="20">
        <v>255.85416666666666</v>
      </c>
      <c r="I609" s="20">
        <v>67.949999999999989</v>
      </c>
      <c r="J609" s="20">
        <v>19.204166666666669</v>
      </c>
      <c r="K609" s="20">
        <v>7.5</v>
      </c>
      <c r="L609" s="20">
        <v>196.875</v>
      </c>
      <c r="M609" s="20">
        <v>6.416666666666667</v>
      </c>
      <c r="N609" s="20">
        <v>0.8125</v>
      </c>
      <c r="O609" s="20">
        <v>12.727083333333331</v>
      </c>
      <c r="P609" s="10">
        <v>0.85998887049472339</v>
      </c>
      <c r="Q609" s="21">
        <v>0.27212500000000001</v>
      </c>
      <c r="R609" s="21">
        <v>0.32060416666666675</v>
      </c>
      <c r="S609" s="21">
        <v>0.40156250000000004</v>
      </c>
      <c r="T609" s="21">
        <v>0.41114583333333327</v>
      </c>
      <c r="U609" s="21">
        <v>0.4393749999999999</v>
      </c>
      <c r="V609" s="21">
        <v>0.31758333333333344</v>
      </c>
      <c r="W609" s="21">
        <v>0.31499999999999989</v>
      </c>
      <c r="X609" s="21">
        <v>0.27081250000000007</v>
      </c>
      <c r="Y609" s="21">
        <v>0.200875</v>
      </c>
      <c r="Z609" s="23">
        <f>AVERAGE(Q609,U609)</f>
        <v>0.35574999999999996</v>
      </c>
      <c r="AA609" s="23">
        <f>AVERAGE(R609:T609,V609:X609)</f>
        <v>0.33945138888888887</v>
      </c>
      <c r="AB609" s="23">
        <f t="shared" si="9"/>
        <v>0.34241477272727272</v>
      </c>
    </row>
    <row r="610" spans="1:28">
      <c r="A610" s="9">
        <v>44317</v>
      </c>
      <c r="B610" s="3">
        <v>699.55537312960564</v>
      </c>
      <c r="C610" s="3">
        <v>944.00515151624575</v>
      </c>
      <c r="D610" s="3">
        <v>344.19004943495173</v>
      </c>
      <c r="E610" s="3">
        <v>403.11452477249554</v>
      </c>
      <c r="F610" s="3">
        <v>325.15608951784662</v>
      </c>
      <c r="G610" s="19">
        <v>44317</v>
      </c>
      <c r="H610" s="20">
        <v>256.8125</v>
      </c>
      <c r="I610" s="20">
        <v>70.152083333333351</v>
      </c>
      <c r="J610" s="20">
        <v>20.231250000000006</v>
      </c>
      <c r="K610" s="20">
        <v>0</v>
      </c>
      <c r="L610" s="20">
        <v>234.89583333333334</v>
      </c>
      <c r="M610" s="20">
        <v>5.083333333333333</v>
      </c>
      <c r="N610" s="20">
        <v>0.47916666666666669</v>
      </c>
      <c r="O610" s="20">
        <v>14.006250000000001</v>
      </c>
      <c r="P610" s="10">
        <v>0.89570311598521857</v>
      </c>
      <c r="Q610" s="21">
        <v>0.2661666666666665</v>
      </c>
      <c r="R610" s="21">
        <v>0.32056250000000008</v>
      </c>
      <c r="S610" s="21">
        <v>0.40204166666666663</v>
      </c>
      <c r="T610" s="21">
        <v>0.41160416666666705</v>
      </c>
      <c r="U610" s="21">
        <v>0.4331666666666667</v>
      </c>
      <c r="V610" s="21">
        <v>0.31733333333333341</v>
      </c>
      <c r="W610" s="21">
        <v>0.31541666666666646</v>
      </c>
      <c r="X610" s="21">
        <v>0.27087500000000025</v>
      </c>
      <c r="Y610" s="21">
        <v>0.22466666666666668</v>
      </c>
      <c r="Z610" s="23">
        <f>AVERAGE(Q610,U610)</f>
        <v>0.34966666666666657</v>
      </c>
      <c r="AA610" s="23">
        <f>AVERAGE(R610:T610,V610:X610)</f>
        <v>0.33963888888888899</v>
      </c>
      <c r="AB610" s="23">
        <f t="shared" si="9"/>
        <v>0.34146212121212127</v>
      </c>
    </row>
    <row r="611" spans="1:28">
      <c r="A611" s="9">
        <v>44318</v>
      </c>
      <c r="B611" s="3">
        <v>827.18356323414241</v>
      </c>
      <c r="C611" s="3">
        <v>542.27472566862093</v>
      </c>
      <c r="D611" s="3">
        <v>388.41516136675574</v>
      </c>
      <c r="E611" s="3">
        <v>446.26277614694925</v>
      </c>
      <c r="F611" s="3">
        <v>331.24141952694481</v>
      </c>
      <c r="G611" s="19">
        <v>44318</v>
      </c>
      <c r="H611" s="20">
        <v>230.875</v>
      </c>
      <c r="I611" s="20">
        <v>70.53125</v>
      </c>
      <c r="J611" s="20">
        <v>22.514583333333334</v>
      </c>
      <c r="K611" s="20">
        <v>0.5</v>
      </c>
      <c r="L611" s="20">
        <v>229.8125</v>
      </c>
      <c r="M611" s="20">
        <v>12</v>
      </c>
      <c r="N611" s="20">
        <v>2.3125</v>
      </c>
      <c r="O611" s="20">
        <v>16.689583333333335</v>
      </c>
      <c r="P611" s="10">
        <v>0.87739811374063814</v>
      </c>
      <c r="Q611" s="21">
        <v>0.26210416666666664</v>
      </c>
      <c r="R611" s="21">
        <v>0.32077083333333339</v>
      </c>
      <c r="S611" s="21">
        <v>0.40314583333333337</v>
      </c>
      <c r="T611" s="21">
        <v>0.41177083333333342</v>
      </c>
      <c r="U611" s="21">
        <v>0.42879166666666629</v>
      </c>
      <c r="V611" s="21">
        <v>0.31804166666666661</v>
      </c>
      <c r="W611" s="21">
        <v>0.31597916666666687</v>
      </c>
      <c r="X611" s="21">
        <v>0.2710000000000003</v>
      </c>
      <c r="Y611" s="21">
        <v>0.20200000000000001</v>
      </c>
      <c r="Z611" s="23">
        <f>AVERAGE(Q611,U611)</f>
        <v>0.34544791666666647</v>
      </c>
      <c r="AA611" s="23">
        <f>AVERAGE(R611:T611,V611:X611)</f>
        <v>0.34011805555555563</v>
      </c>
      <c r="AB611" s="23">
        <f t="shared" si="9"/>
        <v>0.34108712121212126</v>
      </c>
    </row>
    <row r="612" spans="1:28">
      <c r="A612" s="9">
        <v>44319</v>
      </c>
      <c r="B612" s="3">
        <v>725.00970937253794</v>
      </c>
      <c r="C612" s="3">
        <v>207.66815149432293</v>
      </c>
      <c r="D612" s="3">
        <v>366.23492470935412</v>
      </c>
      <c r="E612" s="3">
        <v>492.06490150975651</v>
      </c>
      <c r="F612" s="3">
        <v>316.91752203428302</v>
      </c>
      <c r="G612" s="19">
        <v>44319</v>
      </c>
      <c r="H612" s="20">
        <v>236.1875</v>
      </c>
      <c r="I612" s="20">
        <v>76.270833333333329</v>
      </c>
      <c r="J612" s="20">
        <v>21.997916666666665</v>
      </c>
      <c r="K612" s="20">
        <v>36.6</v>
      </c>
      <c r="L612" s="20">
        <v>237.02083333333334</v>
      </c>
      <c r="M612" s="20">
        <v>11.75</v>
      </c>
      <c r="N612" s="20">
        <v>1.375</v>
      </c>
      <c r="O612" s="20">
        <v>17.297916666666662</v>
      </c>
      <c r="P612" s="10">
        <v>0.73252931886115924</v>
      </c>
      <c r="Q612" s="21">
        <v>0.4124583333333332</v>
      </c>
      <c r="R612" s="21">
        <v>0.39227083333333335</v>
      </c>
      <c r="S612" s="21">
        <v>0.48547916666666663</v>
      </c>
      <c r="T612" s="21">
        <v>0.56193749999999965</v>
      </c>
      <c r="U612" s="21">
        <v>0.54566666666666686</v>
      </c>
      <c r="V612" s="21">
        <v>0.40762499999999985</v>
      </c>
      <c r="W612" s="21">
        <v>0.37016666666666648</v>
      </c>
      <c r="X612" s="21">
        <v>0.29620833333333335</v>
      </c>
      <c r="Y612" s="21">
        <v>0.26308333333333339</v>
      </c>
      <c r="Z612" s="23">
        <f>AVERAGE(Q612,U612)</f>
        <v>0.47906250000000006</v>
      </c>
      <c r="AA612" s="23">
        <f>AVERAGE(R612:T612,V612:X612)</f>
        <v>0.41894791666666659</v>
      </c>
      <c r="AB612" s="23">
        <f t="shared" si="9"/>
        <v>0.42987784090909081</v>
      </c>
    </row>
    <row r="613" spans="1:28">
      <c r="A613" s="9">
        <v>44320</v>
      </c>
      <c r="B613" s="3">
        <v>161.24693996216467</v>
      </c>
      <c r="C613" s="3">
        <v>55.90613728769474</v>
      </c>
      <c r="D613" s="3">
        <v>36.726454146873806</v>
      </c>
      <c r="E613" s="3">
        <v>123.76737917743696</v>
      </c>
      <c r="F613" s="3">
        <v>65.282923009649835</v>
      </c>
      <c r="G613" s="19">
        <v>44320</v>
      </c>
      <c r="H613" s="20">
        <v>70.958333333333329</v>
      </c>
      <c r="I613" s="20">
        <v>91.954166666666652</v>
      </c>
      <c r="J613" s="20">
        <v>17.100000000000001</v>
      </c>
      <c r="K613" s="20">
        <v>28.999999999999993</v>
      </c>
      <c r="L613" s="20">
        <v>194.41666666666666</v>
      </c>
      <c r="M613" s="20">
        <v>4.3125</v>
      </c>
      <c r="N613" s="20">
        <v>0.14583333333333334</v>
      </c>
      <c r="O613" s="20">
        <v>15.741666666666667</v>
      </c>
      <c r="P613" s="10">
        <v>0.16831817382613079</v>
      </c>
      <c r="Q613" s="21">
        <v>0.45372916666666674</v>
      </c>
      <c r="R613" s="21">
        <v>0.45360416666666664</v>
      </c>
      <c r="S613" s="21">
        <v>0.54393750000000018</v>
      </c>
      <c r="T613" s="21">
        <v>0.58391666666666675</v>
      </c>
      <c r="U613" s="21">
        <v>0.59016666666666673</v>
      </c>
      <c r="V613" s="21">
        <v>0.45941666666666681</v>
      </c>
      <c r="W613" s="21">
        <v>0.39283333333333315</v>
      </c>
      <c r="X613" s="21">
        <v>0.32541666666666669</v>
      </c>
      <c r="Y613" s="21">
        <v>0.32156756756756755</v>
      </c>
      <c r="Z613" s="23">
        <f>AVERAGE(Q613,U613)</f>
        <v>0.52194791666666673</v>
      </c>
      <c r="AA613" s="23">
        <f>AVERAGE(R613:T613,V613:X613)</f>
        <v>0.45985416666666667</v>
      </c>
      <c r="AB613" s="23">
        <f t="shared" si="9"/>
        <v>0.47114393939393939</v>
      </c>
    </row>
    <row r="614" spans="1:28">
      <c r="A614" s="9">
        <v>44321</v>
      </c>
      <c r="B614" s="3">
        <v>15.882582272934146</v>
      </c>
      <c r="C614" s="3">
        <v>19.360066306071538</v>
      </c>
      <c r="D614" s="3">
        <v>5.2351783298629515</v>
      </c>
      <c r="E614" s="3">
        <v>5.9751228717857767</v>
      </c>
      <c r="F614" s="3">
        <v>2.2792341189536311</v>
      </c>
      <c r="G614" s="19">
        <v>44321</v>
      </c>
      <c r="H614" s="20">
        <v>33.291666666666664</v>
      </c>
      <c r="I614" s="20">
        <v>95.385416666666643</v>
      </c>
      <c r="J614" s="20">
        <v>14.256250000000001</v>
      </c>
      <c r="K614" s="20">
        <v>14.499999999999996</v>
      </c>
      <c r="L614" s="20">
        <v>235.33333333333334</v>
      </c>
      <c r="M614" s="20">
        <v>3.6041666666666665</v>
      </c>
      <c r="N614" s="20">
        <v>4.1666666666666664E-2</v>
      </c>
      <c r="O614" s="20">
        <v>13.512500000000005</v>
      </c>
      <c r="P614" s="10">
        <v>7.5966337891031507E-2</v>
      </c>
      <c r="Q614" s="21">
        <v>0.46166666666666673</v>
      </c>
      <c r="R614" s="21">
        <v>0.51970833333333311</v>
      </c>
      <c r="S614" s="21">
        <v>0.57274999999999998</v>
      </c>
      <c r="T614" s="21">
        <v>0.58995833333333303</v>
      </c>
      <c r="U614" s="21">
        <v>0.5963750000000001</v>
      </c>
      <c r="V614" s="21">
        <v>0.49868749999999989</v>
      </c>
      <c r="W614" s="21">
        <v>0.45079166666666648</v>
      </c>
      <c r="X614" s="21">
        <v>0.38593750000000004</v>
      </c>
      <c r="Y614" s="21">
        <v>0.30672916666666666</v>
      </c>
      <c r="Z614" s="23">
        <f>AVERAGE(Q614,U614)</f>
        <v>0.52902083333333338</v>
      </c>
      <c r="AA614" s="23">
        <f>AVERAGE(R614:T614,V614:X614)</f>
        <v>0.50297222222222215</v>
      </c>
      <c r="AB614" s="23">
        <f t="shared" si="9"/>
        <v>0.50770833333333332</v>
      </c>
    </row>
    <row r="615" spans="1:28">
      <c r="A615" s="9">
        <v>44322</v>
      </c>
      <c r="B615" s="3">
        <v>251.66584497584884</v>
      </c>
      <c r="C615" s="3">
        <v>138.54232937767668</v>
      </c>
      <c r="D615" s="3">
        <v>119.49465679483798</v>
      </c>
      <c r="E615" s="3">
        <v>192.06237349120437</v>
      </c>
      <c r="F615" s="3">
        <v>156.43324125413972</v>
      </c>
      <c r="G615" s="19">
        <v>44322</v>
      </c>
      <c r="H615" s="20">
        <v>92.583333333333329</v>
      </c>
      <c r="I615" s="20">
        <v>92.320833333333326</v>
      </c>
      <c r="J615" s="20">
        <v>16.943750000000005</v>
      </c>
      <c r="K615" s="20">
        <v>6.4</v>
      </c>
      <c r="L615" s="20">
        <v>232.91666666666666</v>
      </c>
      <c r="M615" s="20">
        <v>4.770833333333333</v>
      </c>
      <c r="N615" s="20">
        <v>0.22916666666666666</v>
      </c>
      <c r="O615" s="20">
        <v>15.618749999999999</v>
      </c>
      <c r="P615" s="10">
        <v>0.17158127877530926</v>
      </c>
      <c r="Q615" s="21">
        <v>0.4433125</v>
      </c>
      <c r="R615" s="21">
        <v>0.51760416666666664</v>
      </c>
      <c r="S615" s="21">
        <v>0.56704166666666689</v>
      </c>
      <c r="T615" s="21">
        <v>0.57516666666666694</v>
      </c>
      <c r="U615" s="21">
        <v>0.58908333333333307</v>
      </c>
      <c r="V615" s="21">
        <v>0.4841458333333335</v>
      </c>
      <c r="W615" s="21">
        <v>0.45599999999999974</v>
      </c>
      <c r="X615" s="21">
        <v>0.39435416666666662</v>
      </c>
      <c r="Y615" s="21">
        <v>0.28004347826086962</v>
      </c>
      <c r="Z615" s="23">
        <f>AVERAGE(Q615,U615)</f>
        <v>0.51619791666666659</v>
      </c>
      <c r="AA615" s="23">
        <f>AVERAGE(R615:T615,V615:X615)</f>
        <v>0.49905208333333334</v>
      </c>
      <c r="AB615" s="23">
        <f t="shared" si="9"/>
        <v>0.50216950757575751</v>
      </c>
    </row>
    <row r="616" spans="1:28">
      <c r="A616" s="9">
        <v>44323</v>
      </c>
      <c r="B616" s="3">
        <v>167.29107944306278</v>
      </c>
      <c r="C616" s="3">
        <v>82.926096937039546</v>
      </c>
      <c r="D616" s="3">
        <v>63.548062485320671</v>
      </c>
      <c r="E616" s="3">
        <v>130.44591098891752</v>
      </c>
      <c r="F616" s="3">
        <v>96.76843534457781</v>
      </c>
      <c r="G616" s="19">
        <v>44323</v>
      </c>
      <c r="H616" s="20">
        <v>65.0625</v>
      </c>
      <c r="I616" s="20">
        <v>93.410416666666677</v>
      </c>
      <c r="J616" s="20">
        <v>15.74166666666666</v>
      </c>
      <c r="K616" s="20">
        <v>6.1000000000000005</v>
      </c>
      <c r="L616" s="20">
        <v>200.1875</v>
      </c>
      <c r="M616" s="20">
        <v>1.3541666666666667</v>
      </c>
      <c r="N616" s="20">
        <v>0</v>
      </c>
      <c r="O616" s="20">
        <v>14.631249999999996</v>
      </c>
      <c r="P616" s="10">
        <v>0.13035154043464456</v>
      </c>
      <c r="Q616" s="21">
        <v>0.46295833333333336</v>
      </c>
      <c r="R616" s="21">
        <v>0.52941666666666687</v>
      </c>
      <c r="S616" s="21">
        <v>0.57522916666666657</v>
      </c>
      <c r="T616" s="21">
        <v>0.58447916666666655</v>
      </c>
      <c r="U616" s="21">
        <v>0.59745833333333331</v>
      </c>
      <c r="V616" s="21">
        <v>0.4998333333333333</v>
      </c>
      <c r="W616" s="21">
        <v>0.45962500000000012</v>
      </c>
      <c r="X616" s="21">
        <v>0.39764583333333353</v>
      </c>
      <c r="Y616" s="39" t="e">
        <f>#REF!*0.5711-0.0033</f>
        <v>#REF!</v>
      </c>
      <c r="Z616" s="23">
        <f>AVERAGE(Q616,U616)</f>
        <v>0.53020833333333339</v>
      </c>
      <c r="AA616" s="23">
        <f>AVERAGE(R616:T616,V616:X616)</f>
        <v>0.50770486111111113</v>
      </c>
      <c r="AB616" s="23">
        <f t="shared" si="9"/>
        <v>0.5117964015151516</v>
      </c>
    </row>
    <row r="617" spans="1:28">
      <c r="A617" s="9">
        <v>44324</v>
      </c>
      <c r="B617" s="3">
        <v>573.2443639868128</v>
      </c>
      <c r="C617" s="3">
        <v>370.75391375024765</v>
      </c>
      <c r="D617" s="3">
        <v>318.3489759214421</v>
      </c>
      <c r="E617" s="3">
        <v>345.3098512456707</v>
      </c>
      <c r="F617" s="3">
        <v>325.04587297954367</v>
      </c>
      <c r="G617" s="19">
        <v>44324</v>
      </c>
      <c r="H617" s="20">
        <v>178.5</v>
      </c>
      <c r="I617" s="20">
        <v>84.104166666666671</v>
      </c>
      <c r="J617" s="20">
        <v>18.729166666666668</v>
      </c>
      <c r="K617" s="20">
        <v>0</v>
      </c>
      <c r="L617" s="20">
        <v>225.45833333333334</v>
      </c>
      <c r="M617" s="20">
        <v>2.1875</v>
      </c>
      <c r="N617" s="20">
        <v>2.0833333333333332E-2</v>
      </c>
      <c r="O617" s="20">
        <v>15.72916666666667</v>
      </c>
      <c r="P617" s="10">
        <v>0.42596168480927338</v>
      </c>
      <c r="Q617" s="21">
        <v>0.45106249999999992</v>
      </c>
      <c r="R617" s="21">
        <v>0.52460416666666643</v>
      </c>
      <c r="S617" s="21">
        <v>0.571583333333333</v>
      </c>
      <c r="T617" s="21">
        <v>0.58095833333333347</v>
      </c>
      <c r="U617" s="21">
        <v>0.59264583333333276</v>
      </c>
      <c r="V617" s="21">
        <v>0.49237499999999995</v>
      </c>
      <c r="W617" s="21">
        <v>0.46029166666666682</v>
      </c>
      <c r="X617" s="21">
        <v>0.39912500000000001</v>
      </c>
      <c r="Y617" s="39" t="e">
        <f>#REF!*0.5711-0.0033</f>
        <v>#REF!</v>
      </c>
      <c r="Z617" s="23">
        <f>AVERAGE(Q617,U617)</f>
        <v>0.52185416666666629</v>
      </c>
      <c r="AA617" s="23">
        <f>AVERAGE(R617:T617,V617:X617)</f>
        <v>0.50482291666666668</v>
      </c>
      <c r="AB617" s="23">
        <f t="shared" si="9"/>
        <v>0.50791950757575755</v>
      </c>
    </row>
    <row r="618" spans="1:28">
      <c r="A618" s="9">
        <v>44325</v>
      </c>
      <c r="B618" s="3">
        <v>588.09861667775954</v>
      </c>
      <c r="C618" s="3">
        <v>449.13484169910481</v>
      </c>
      <c r="D618" s="3">
        <v>421.06364985208734</v>
      </c>
      <c r="E618" s="3">
        <v>399.34900546398853</v>
      </c>
      <c r="F618" s="3">
        <v>362.22291357062505</v>
      </c>
      <c r="G618" s="19">
        <v>44325</v>
      </c>
      <c r="H618" s="20">
        <v>222.58333333333334</v>
      </c>
      <c r="I618" s="20">
        <v>80.493749999999991</v>
      </c>
      <c r="J618" s="20">
        <v>21.264583333333345</v>
      </c>
      <c r="K618" s="20">
        <v>7.1</v>
      </c>
      <c r="L618" s="20">
        <v>223.29166666666666</v>
      </c>
      <c r="M618" s="20">
        <v>7.395833333333333</v>
      </c>
      <c r="N618" s="20">
        <v>1.4166666666666667</v>
      </c>
      <c r="O618" s="20">
        <v>17.510416666666664</v>
      </c>
      <c r="P618" s="10">
        <v>0.58902579294548063</v>
      </c>
      <c r="Q618" s="21">
        <v>0.4287708333333336</v>
      </c>
      <c r="R618" s="21">
        <v>0.51127083333333323</v>
      </c>
      <c r="S618" s="21">
        <v>0.56300000000000039</v>
      </c>
      <c r="T618" s="21">
        <v>0.57152083333333359</v>
      </c>
      <c r="U618" s="21">
        <v>0.58622916666666625</v>
      </c>
      <c r="V618" s="21">
        <v>0.47760416666666677</v>
      </c>
      <c r="W618" s="21">
        <v>0.45460416666666698</v>
      </c>
      <c r="X618" s="21">
        <v>0.39337499999999975</v>
      </c>
      <c r="Y618" s="21">
        <v>0.25820000000000004</v>
      </c>
      <c r="Z618" s="23">
        <f>AVERAGE(Q618,U618)</f>
        <v>0.50749999999999995</v>
      </c>
      <c r="AA618" s="23">
        <f>AVERAGE(R618:T618,V618:X618)</f>
        <v>0.49522916666666678</v>
      </c>
      <c r="AB618" s="23">
        <f t="shared" si="9"/>
        <v>0.49746022727272732</v>
      </c>
    </row>
    <row r="619" spans="1:28">
      <c r="A619" s="9">
        <v>44326</v>
      </c>
      <c r="B619" s="3">
        <v>755.62938288803082</v>
      </c>
      <c r="C619" s="3">
        <v>470.32418209078077</v>
      </c>
      <c r="D619" s="3">
        <v>516.3865394656774</v>
      </c>
      <c r="E619" s="3">
        <v>505.70699277199623</v>
      </c>
      <c r="F619" s="3">
        <v>356.84778055068716</v>
      </c>
      <c r="G619" s="19">
        <v>44326</v>
      </c>
      <c r="H619" s="20">
        <v>241.33333333333334</v>
      </c>
      <c r="I619" s="20">
        <v>73.508333333333326</v>
      </c>
      <c r="J619" s="20">
        <v>23.060416666666672</v>
      </c>
      <c r="K619" s="20">
        <v>1.7</v>
      </c>
      <c r="L619" s="20">
        <v>226.25</v>
      </c>
      <c r="M619" s="20">
        <v>11.604166666666666</v>
      </c>
      <c r="N619" s="20">
        <v>2.1458333333333335</v>
      </c>
      <c r="O619" s="20">
        <v>17.627083333333335</v>
      </c>
      <c r="P619" s="10">
        <v>0.8621002900298288</v>
      </c>
      <c r="Q619" s="21">
        <v>0.453125</v>
      </c>
      <c r="R619" s="21">
        <v>0.52310416666666693</v>
      </c>
      <c r="S619" s="21">
        <v>0.57212499999999966</v>
      </c>
      <c r="T619" s="21">
        <v>0.58189583333333361</v>
      </c>
      <c r="U619" s="21">
        <v>0.59702083333333344</v>
      </c>
      <c r="V619" s="21">
        <v>0.48922916666666655</v>
      </c>
      <c r="W619" s="21">
        <v>0.45681250000000001</v>
      </c>
      <c r="X619" s="21">
        <v>0.39266666666666633</v>
      </c>
      <c r="Y619" s="21">
        <v>0.26193333333333341</v>
      </c>
      <c r="Z619" s="23">
        <f>AVERAGE(Q619,U619)</f>
        <v>0.52507291666666678</v>
      </c>
      <c r="AA619" s="23">
        <f>AVERAGE(R619:T619,V619:X619)</f>
        <v>0.50263888888888886</v>
      </c>
      <c r="AB619" s="23">
        <f t="shared" si="9"/>
        <v>0.506717803030303</v>
      </c>
    </row>
    <row r="620" spans="1:28">
      <c r="A620" s="9">
        <v>44327</v>
      </c>
      <c r="B620" s="3">
        <v>630.13180941441021</v>
      </c>
      <c r="C620" s="3">
        <v>345.97466853066902</v>
      </c>
      <c r="D620" s="3">
        <v>381.85433667883825</v>
      </c>
      <c r="E620" s="3">
        <v>423.27753375189263</v>
      </c>
      <c r="F620" s="3">
        <v>245.95583875609958</v>
      </c>
      <c r="G620" s="19">
        <v>44327</v>
      </c>
      <c r="H620" s="20">
        <v>163.70833333333334</v>
      </c>
      <c r="I620" s="20">
        <v>76.33541666666666</v>
      </c>
      <c r="J620" s="20">
        <v>21.322916666666661</v>
      </c>
      <c r="K620" s="20">
        <v>10.199999999999999</v>
      </c>
      <c r="L620" s="20">
        <v>229.39583333333334</v>
      </c>
      <c r="M620" s="20">
        <v>5.0625</v>
      </c>
      <c r="N620" s="20">
        <v>0.125</v>
      </c>
      <c r="O620" s="20">
        <v>16.735416666666669</v>
      </c>
      <c r="P620" s="10">
        <v>0.68205143348969821</v>
      </c>
      <c r="Q620" s="21">
        <v>0.42158333333333337</v>
      </c>
      <c r="R620" s="21">
        <v>0.50760416666666675</v>
      </c>
      <c r="S620" s="21">
        <v>0.56191666666666651</v>
      </c>
      <c r="T620" s="21">
        <v>0.57141666666666679</v>
      </c>
      <c r="U620" s="21">
        <v>0.58674999999999977</v>
      </c>
      <c r="V620" s="21">
        <v>0.47327083333333325</v>
      </c>
      <c r="W620" s="21">
        <v>0.45318750000000002</v>
      </c>
      <c r="X620" s="21">
        <v>0.38947916666666688</v>
      </c>
      <c r="Y620" s="21">
        <v>0.25170588235294111</v>
      </c>
      <c r="Z620" s="23">
        <f>AVERAGE(Q620,U620)</f>
        <v>0.50416666666666654</v>
      </c>
      <c r="AA620" s="23">
        <f>AVERAGE(R620:T620,V620:X620)</f>
        <v>0.49281250000000004</v>
      </c>
      <c r="AB620" s="23">
        <f t="shared" si="9"/>
        <v>0.49487689393939394</v>
      </c>
    </row>
    <row r="621" spans="1:28">
      <c r="A621" s="9">
        <v>44328</v>
      </c>
      <c r="B621" s="3">
        <v>521.40176984637856</v>
      </c>
      <c r="C621" s="3">
        <v>822.47192723290823</v>
      </c>
      <c r="D621" s="3">
        <v>270.96793760323612</v>
      </c>
      <c r="E621" s="3">
        <v>382.22804303462698</v>
      </c>
      <c r="F621" s="3">
        <v>257.78685012060942</v>
      </c>
      <c r="G621" s="19">
        <v>44328</v>
      </c>
      <c r="H621" s="20">
        <v>164.29166666666666</v>
      </c>
      <c r="I621" s="20">
        <v>84.952083333333348</v>
      </c>
      <c r="J621" s="20">
        <v>20.295833333333327</v>
      </c>
      <c r="K621" s="20">
        <v>12.899999999999999</v>
      </c>
      <c r="L621" s="20">
        <v>238.72916666666666</v>
      </c>
      <c r="M621" s="20">
        <v>4.979166666666667</v>
      </c>
      <c r="N621" s="20">
        <v>0.45833333333333331</v>
      </c>
      <c r="O621" s="20">
        <v>17.452083333333338</v>
      </c>
      <c r="P621" s="10">
        <v>0.43927853049394877</v>
      </c>
      <c r="Q621" s="21">
        <v>0.46747916666666683</v>
      </c>
      <c r="R621" s="21">
        <v>0.53304166666666675</v>
      </c>
      <c r="S621" s="21">
        <v>0.57935416666666695</v>
      </c>
      <c r="T621" s="21">
        <v>0.59218749999999976</v>
      </c>
      <c r="U621" s="21">
        <v>0.60254166666666686</v>
      </c>
      <c r="V621" s="21">
        <v>0.50277083333333328</v>
      </c>
      <c r="W621" s="21">
        <v>0.46762500000000018</v>
      </c>
      <c r="X621" s="21">
        <v>0.40227083333333341</v>
      </c>
      <c r="Y621" s="21">
        <v>0.28158823529411781</v>
      </c>
      <c r="Z621" s="23">
        <f>AVERAGE(Q621,U621)</f>
        <v>0.53501041666666682</v>
      </c>
      <c r="AA621" s="23">
        <f>AVERAGE(R621:T621,V621:X621)</f>
        <v>0.51287500000000008</v>
      </c>
      <c r="AB621" s="23">
        <f t="shared" si="9"/>
        <v>0.5168996212121213</v>
      </c>
    </row>
    <row r="622" spans="1:28">
      <c r="A622" s="9">
        <v>44329</v>
      </c>
      <c r="B622" s="3">
        <v>705.71491388747222</v>
      </c>
      <c r="C622" s="3">
        <v>508.18511705086979</v>
      </c>
      <c r="D622" s="3">
        <v>452.79984327552569</v>
      </c>
      <c r="E622" s="3">
        <v>531.8131449572254</v>
      </c>
      <c r="F622" s="3">
        <v>409.85226211169339</v>
      </c>
      <c r="G622" s="19">
        <v>44329</v>
      </c>
      <c r="H622" s="20">
        <v>254.22916666666666</v>
      </c>
      <c r="I622" s="20">
        <v>79.229166666666657</v>
      </c>
      <c r="J622" s="20">
        <v>21.304166666666664</v>
      </c>
      <c r="K622" s="20">
        <v>15.1</v>
      </c>
      <c r="L622" s="20">
        <v>213.6875</v>
      </c>
      <c r="M622" s="20">
        <v>10.208333333333334</v>
      </c>
      <c r="N622" s="20">
        <v>2.375</v>
      </c>
      <c r="O622" s="20">
        <v>17.260416666666668</v>
      </c>
      <c r="P622" s="10">
        <v>0.62617207378706996</v>
      </c>
      <c r="Q622" s="21">
        <v>0.47043750000000023</v>
      </c>
      <c r="R622" s="21">
        <v>0.53895833333333332</v>
      </c>
      <c r="S622" s="21">
        <v>0.58254166666666696</v>
      </c>
      <c r="T622" s="21">
        <v>0.595020833333333</v>
      </c>
      <c r="U622" s="21">
        <v>0.60420833333333357</v>
      </c>
      <c r="V622" s="21">
        <v>0.50506250000000008</v>
      </c>
      <c r="W622" s="21">
        <v>0.47460416666666688</v>
      </c>
      <c r="X622" s="21">
        <v>0.41039583333333352</v>
      </c>
      <c r="Y622" s="21">
        <v>0.30264000000000013</v>
      </c>
      <c r="Z622" s="23">
        <f>AVERAGE(Q622,U622)</f>
        <v>0.53732291666666687</v>
      </c>
      <c r="AA622" s="23">
        <f>AVERAGE(R622:T622,V622:X622)</f>
        <v>0.51776388888888902</v>
      </c>
      <c r="AB622" s="23">
        <f t="shared" si="9"/>
        <v>0.52132007575757588</v>
      </c>
    </row>
    <row r="623" spans="1:28">
      <c r="A623" s="9">
        <v>44330</v>
      </c>
      <c r="B623" s="3">
        <v>897.21534454704204</v>
      </c>
      <c r="C623" s="3">
        <v>592.91312606754468</v>
      </c>
      <c r="D623" s="3">
        <v>603.42227180179214</v>
      </c>
      <c r="E623" s="3">
        <v>615.57747473117729</v>
      </c>
      <c r="F623" s="3">
        <v>486.69844426671995</v>
      </c>
      <c r="G623" s="19">
        <v>44330</v>
      </c>
      <c r="H623" s="20">
        <v>264.58333333333331</v>
      </c>
      <c r="I623" s="20">
        <v>68.854166666666671</v>
      </c>
      <c r="J623" s="20">
        <v>23.672916666666666</v>
      </c>
      <c r="K623" s="20">
        <v>0</v>
      </c>
      <c r="L623" s="20">
        <v>228.9375</v>
      </c>
      <c r="M623" s="20">
        <v>21.354166666666668</v>
      </c>
      <c r="N623" s="20">
        <v>5.333333333333333</v>
      </c>
      <c r="O623" s="20">
        <v>17.460416666666664</v>
      </c>
      <c r="P623" s="10">
        <v>0.97021229785326024</v>
      </c>
      <c r="Q623" s="21">
        <v>0.43183333333333335</v>
      </c>
      <c r="R623" s="21">
        <v>0.51575000000000026</v>
      </c>
      <c r="S623" s="21">
        <v>0.56754166666666661</v>
      </c>
      <c r="T623" s="21">
        <v>0.57837500000000031</v>
      </c>
      <c r="U623" s="21">
        <v>0.59129166666666644</v>
      </c>
      <c r="V623" s="21">
        <v>0.48024999999999968</v>
      </c>
      <c r="W623" s="21">
        <v>0.46227083333333296</v>
      </c>
      <c r="X623" s="21">
        <v>0.39610416666666687</v>
      </c>
      <c r="Y623" s="21">
        <v>0.26293023255813958</v>
      </c>
      <c r="Z623" s="23">
        <f>AVERAGE(Q623,U623)</f>
        <v>0.51156249999999992</v>
      </c>
      <c r="AA623" s="23">
        <f>AVERAGE(R623:T623,V623:X623)</f>
        <v>0.50004861111111121</v>
      </c>
      <c r="AB623" s="23">
        <f t="shared" si="9"/>
        <v>0.50214204545454555</v>
      </c>
    </row>
    <row r="624" spans="1:28">
      <c r="A624" s="9">
        <v>44331</v>
      </c>
      <c r="B624" s="3">
        <v>845.52113467115657</v>
      </c>
      <c r="C624" s="3">
        <v>560.7086763381941</v>
      </c>
      <c r="D624" s="3">
        <v>670.64261599357849</v>
      </c>
      <c r="E624" s="3">
        <v>616.76629852642498</v>
      </c>
      <c r="F624" s="3">
        <v>473.25677661528277</v>
      </c>
      <c r="G624" s="19">
        <v>44331</v>
      </c>
      <c r="H624" s="20">
        <v>266.5</v>
      </c>
      <c r="I624" s="20">
        <v>62.62083333333333</v>
      </c>
      <c r="J624" s="20">
        <v>25.224999999999998</v>
      </c>
      <c r="K624" s="20">
        <v>0</v>
      </c>
      <c r="L624" s="20">
        <v>230.3125</v>
      </c>
      <c r="M624" s="20">
        <v>20.958333333333332</v>
      </c>
      <c r="N624" s="20">
        <v>5.479166666666667</v>
      </c>
      <c r="O624" s="20">
        <v>17.360416666666669</v>
      </c>
      <c r="P624" s="10">
        <v>1.2866305376068625</v>
      </c>
      <c r="Q624" s="21">
        <v>0.40493750000000001</v>
      </c>
      <c r="R624" s="21">
        <v>0.50077083333333328</v>
      </c>
      <c r="S624" s="21">
        <v>0.55447916666666663</v>
      </c>
      <c r="T624" s="21">
        <v>0.56983333333333352</v>
      </c>
      <c r="U624" s="21">
        <v>0.58002083333333365</v>
      </c>
      <c r="V624" s="21">
        <v>0.46708333333333302</v>
      </c>
      <c r="W624" s="21">
        <v>0.45481250000000023</v>
      </c>
      <c r="X624" s="21">
        <v>0.38989583333333327</v>
      </c>
      <c r="Y624" s="21">
        <v>0.22960416666666672</v>
      </c>
      <c r="Z624" s="23">
        <f>AVERAGE(Q624,U624)</f>
        <v>0.4924791666666668</v>
      </c>
      <c r="AA624" s="23">
        <f>AVERAGE(R624:T624,V624:X624)</f>
        <v>0.48947916666666663</v>
      </c>
      <c r="AB624" s="23">
        <f t="shared" si="9"/>
        <v>0.4900246212121212</v>
      </c>
    </row>
    <row r="625" spans="1:28">
      <c r="A625" s="9">
        <v>44332</v>
      </c>
      <c r="B625" s="3">
        <v>691.30668344130913</v>
      </c>
      <c r="C625" s="3">
        <v>416.54534898968348</v>
      </c>
      <c r="D625" s="3">
        <v>483.99868288694836</v>
      </c>
      <c r="E625" s="3">
        <v>451.31920685155285</v>
      </c>
      <c r="F625" s="3">
        <v>336.85264133115413</v>
      </c>
      <c r="G625" s="19">
        <v>44332</v>
      </c>
      <c r="H625" s="20">
        <v>162.60416666666666</v>
      </c>
      <c r="I625" s="20">
        <v>74.947916666666657</v>
      </c>
      <c r="J625" s="20">
        <v>20.389583333333334</v>
      </c>
      <c r="K625" s="20">
        <v>0</v>
      </c>
      <c r="L625" s="20">
        <v>248.10416666666666</v>
      </c>
      <c r="M625" s="20">
        <v>4.3125</v>
      </c>
      <c r="N625" s="20">
        <v>8.3333333333333329E-2</v>
      </c>
      <c r="O625" s="20">
        <v>15.668750000000001</v>
      </c>
      <c r="P625" s="10">
        <v>0.64131754936555041</v>
      </c>
      <c r="Q625" s="21">
        <v>0.38045833333333334</v>
      </c>
      <c r="R625" s="21">
        <v>0.48902083333333363</v>
      </c>
      <c r="S625" s="21">
        <v>0.54212500000000008</v>
      </c>
      <c r="T625" s="21">
        <v>0.56168749999999967</v>
      </c>
      <c r="U625" s="21">
        <v>0.56772916666666651</v>
      </c>
      <c r="V625" s="21">
        <v>0.45391666666666652</v>
      </c>
      <c r="W625" s="21">
        <v>0.44710416666666669</v>
      </c>
      <c r="X625" s="21">
        <v>0.3838333333333333</v>
      </c>
      <c r="Y625" s="21">
        <v>0.1995744680851064</v>
      </c>
      <c r="Z625" s="23">
        <f>AVERAGE(Q625,U625)</f>
        <v>0.47409374999999992</v>
      </c>
      <c r="AA625" s="23">
        <f>AVERAGE(R625:T625,V625:X625)</f>
        <v>0.47961458333333334</v>
      </c>
      <c r="AB625" s="23">
        <f t="shared" si="9"/>
        <v>0.47861079545454549</v>
      </c>
    </row>
    <row r="626" spans="1:28">
      <c r="A626" s="9">
        <v>44333</v>
      </c>
      <c r="B626" s="3">
        <v>529.94536938439001</v>
      </c>
      <c r="C626" s="3">
        <v>305.67813056459516</v>
      </c>
      <c r="D626" s="3">
        <v>319.46809782587439</v>
      </c>
      <c r="E626" s="3">
        <v>364.16327987052188</v>
      </c>
      <c r="F626" s="3">
        <v>298.3774164102486</v>
      </c>
      <c r="G626" s="19">
        <v>44333</v>
      </c>
      <c r="H626" s="20">
        <v>92.708333333333329</v>
      </c>
      <c r="I626" s="20">
        <v>77.316666666666649</v>
      </c>
      <c r="J626" s="20">
        <v>16.793750000000003</v>
      </c>
      <c r="K626" s="20">
        <v>0</v>
      </c>
      <c r="L626" s="20">
        <v>226.72916666666666</v>
      </c>
      <c r="M626" s="20">
        <v>3.9375</v>
      </c>
      <c r="N626" s="20">
        <v>6.25E-2</v>
      </c>
      <c r="O626" s="20">
        <v>12.729166666666671</v>
      </c>
      <c r="P626" s="10">
        <v>0.45152235981549921</v>
      </c>
      <c r="Q626" s="21">
        <v>0.35885416666666664</v>
      </c>
      <c r="R626" s="21">
        <v>0.47729166666666667</v>
      </c>
      <c r="S626" s="21">
        <v>0.53112499999999974</v>
      </c>
      <c r="T626" s="21">
        <v>0.55400000000000005</v>
      </c>
      <c r="U626" s="21">
        <v>0.55387500000000012</v>
      </c>
      <c r="V626" s="21">
        <v>0.44245833333333356</v>
      </c>
      <c r="W626" s="21">
        <v>0.44022916666666695</v>
      </c>
      <c r="X626" s="21">
        <v>0.37845833333333334</v>
      </c>
      <c r="Y626" s="21">
        <v>0.17927083333333335</v>
      </c>
      <c r="Z626" s="23">
        <f>AVERAGE(Q626,U626)</f>
        <v>0.45636458333333341</v>
      </c>
      <c r="AA626" s="23">
        <f>AVERAGE(R626:T626,V626:X626)</f>
        <v>0.47059375000000009</v>
      </c>
      <c r="AB626" s="23">
        <f t="shared" si="9"/>
        <v>0.46800662878787891</v>
      </c>
    </row>
    <row r="627" spans="1:28">
      <c r="A627" s="9">
        <v>44334</v>
      </c>
      <c r="B627" s="3">
        <v>270.78283325246707</v>
      </c>
      <c r="C627" s="3">
        <v>144.7967772505518</v>
      </c>
      <c r="D627" s="3">
        <v>121.53596631453902</v>
      </c>
      <c r="E627" s="3">
        <v>225.29123418708403</v>
      </c>
      <c r="F627" s="3">
        <v>154.90349110388749</v>
      </c>
      <c r="G627" s="19">
        <v>44334</v>
      </c>
      <c r="H627" s="20">
        <v>55.479166666666664</v>
      </c>
      <c r="I627" s="20">
        <v>88.429166666666674</v>
      </c>
      <c r="J627" s="20">
        <v>15.33958333333333</v>
      </c>
      <c r="K627" s="20">
        <v>1.5999999999999999</v>
      </c>
      <c r="L627" s="20">
        <v>257.58333333333331</v>
      </c>
      <c r="M627" s="20">
        <v>1.875</v>
      </c>
      <c r="N627" s="20">
        <v>0</v>
      </c>
      <c r="O627" s="20">
        <v>13.393750000000002</v>
      </c>
      <c r="P627" s="10">
        <v>0.21216307681241439</v>
      </c>
      <c r="Q627" s="21">
        <v>0.34424999999999989</v>
      </c>
      <c r="R627" s="21">
        <v>0.46614583333333348</v>
      </c>
      <c r="S627" s="21">
        <v>0.5222291666666663</v>
      </c>
      <c r="T627" s="21">
        <v>0.54662500000000025</v>
      </c>
      <c r="U627" s="21">
        <v>0.5431041666666665</v>
      </c>
      <c r="V627" s="21">
        <v>0.43422916666666639</v>
      </c>
      <c r="W627" s="21">
        <v>0.4348541666666666</v>
      </c>
      <c r="X627" s="21">
        <v>0.37385416666666665</v>
      </c>
      <c r="Y627" s="21">
        <v>0.16945833333333324</v>
      </c>
      <c r="Z627" s="23">
        <f>AVERAGE(Q627,U627)</f>
        <v>0.44367708333333322</v>
      </c>
      <c r="AA627" s="23">
        <f>AVERAGE(R627:T627,V627:X627)</f>
        <v>0.46298958333333334</v>
      </c>
      <c r="AB627" s="23">
        <f t="shared" si="9"/>
        <v>0.45947821969696967</v>
      </c>
    </row>
    <row r="628" spans="1:28">
      <c r="A628" s="9">
        <v>44335</v>
      </c>
      <c r="B628" s="3">
        <v>330.08098975353147</v>
      </c>
      <c r="C628" s="3">
        <v>225.64143757781633</v>
      </c>
      <c r="D628" s="3">
        <v>225.25917086182091</v>
      </c>
      <c r="E628" s="3">
        <v>274.03841311102013</v>
      </c>
      <c r="F628" s="3">
        <v>217.61374656322931</v>
      </c>
      <c r="G628" s="19">
        <v>44335</v>
      </c>
      <c r="H628" s="20">
        <v>117.41666666666667</v>
      </c>
      <c r="I628" s="20">
        <v>88.037500000000009</v>
      </c>
      <c r="J628" s="20">
        <v>17.552083333333336</v>
      </c>
      <c r="K628" s="20">
        <v>2</v>
      </c>
      <c r="L628" s="20">
        <v>201.04166666666666</v>
      </c>
      <c r="M628" s="20">
        <v>1.9166666666666667</v>
      </c>
      <c r="N628" s="20">
        <v>0</v>
      </c>
      <c r="O628" s="20">
        <v>15.420833333333329</v>
      </c>
      <c r="P628" s="10">
        <v>0.27892202928769588</v>
      </c>
      <c r="Q628" s="21">
        <v>0.33724999999999999</v>
      </c>
      <c r="R628" s="21">
        <v>0.45883333333333337</v>
      </c>
      <c r="S628" s="21">
        <v>0.51641666666666697</v>
      </c>
      <c r="T628" s="21">
        <v>0.54070833333333301</v>
      </c>
      <c r="U628" s="21">
        <v>0.53668749999999998</v>
      </c>
      <c r="V628" s="21">
        <v>0.43018749999999978</v>
      </c>
      <c r="W628" s="21">
        <v>0.43114583333333351</v>
      </c>
      <c r="X628" s="21">
        <v>0.37064583333333312</v>
      </c>
      <c r="Y628" s="21">
        <v>0.16604166666666673</v>
      </c>
      <c r="Z628" s="23">
        <f>AVERAGE(Q628,U628)</f>
        <v>0.43696875000000002</v>
      </c>
      <c r="AA628" s="23">
        <f>AVERAGE(R628:T628,V628:X628)</f>
        <v>0.45798958333333323</v>
      </c>
      <c r="AB628" s="23">
        <f t="shared" si="9"/>
        <v>0.4541676136363636</v>
      </c>
    </row>
    <row r="629" spans="1:28">
      <c r="A629" s="9">
        <v>44336</v>
      </c>
      <c r="B629" s="3">
        <v>198.08912423522889</v>
      </c>
      <c r="C629" s="3">
        <v>159.80679640464368</v>
      </c>
      <c r="D629" s="3">
        <v>114.43535554250741</v>
      </c>
      <c r="E629" s="3">
        <v>213.65898438424514</v>
      </c>
      <c r="F629" s="3">
        <v>142.21977124257825</v>
      </c>
      <c r="G629" s="19">
        <v>44336</v>
      </c>
      <c r="H629" s="20">
        <v>62.9375</v>
      </c>
      <c r="I629" s="20">
        <v>89.324999999999974</v>
      </c>
      <c r="J629" s="20">
        <v>16.952083333333327</v>
      </c>
      <c r="K629" s="20">
        <v>0.89999999999999991</v>
      </c>
      <c r="L629" s="20">
        <v>241.6875</v>
      </c>
      <c r="M629" s="20">
        <v>1.5833333333333333</v>
      </c>
      <c r="N629" s="20">
        <v>0</v>
      </c>
      <c r="O629" s="20">
        <v>15.125</v>
      </c>
      <c r="P629" s="10">
        <v>0.22169648764559269</v>
      </c>
      <c r="Q629" s="21">
        <v>0.33070833333333316</v>
      </c>
      <c r="R629" s="21">
        <v>0.45235416666666683</v>
      </c>
      <c r="S629" s="21">
        <v>0.51110416666666636</v>
      </c>
      <c r="T629" s="21">
        <v>0.53537500000000049</v>
      </c>
      <c r="U629" s="21">
        <v>0.53150000000000008</v>
      </c>
      <c r="V629" s="21">
        <v>0.42527083333333288</v>
      </c>
      <c r="W629" s="21">
        <v>0.42700000000000027</v>
      </c>
      <c r="X629" s="21">
        <v>0.36693749999999997</v>
      </c>
      <c r="Y629" s="21">
        <v>0.16343750000000004</v>
      </c>
      <c r="Z629" s="23">
        <f>AVERAGE(Q629,U629)</f>
        <v>0.43110416666666662</v>
      </c>
      <c r="AA629" s="23">
        <f>AVERAGE(R629:T629,V629:X629)</f>
        <v>0.45300694444444445</v>
      </c>
      <c r="AB629" s="23">
        <f t="shared" si="9"/>
        <v>0.44902462121212122</v>
      </c>
    </row>
    <row r="630" spans="1:28">
      <c r="A630" s="9">
        <v>44337</v>
      </c>
      <c r="B630" s="3">
        <v>349.7683552825564</v>
      </c>
      <c r="C630" s="3">
        <v>209.32574004682695</v>
      </c>
      <c r="D630" s="3">
        <v>186.1809351728549</v>
      </c>
      <c r="E630" s="3">
        <v>244.75604370054339</v>
      </c>
      <c r="F630" s="3">
        <v>168.52099226526838</v>
      </c>
      <c r="G630" s="19">
        <v>44337</v>
      </c>
      <c r="H630" s="20">
        <v>94.145833333333329</v>
      </c>
      <c r="I630" s="20">
        <v>90.856249999999989</v>
      </c>
      <c r="J630" s="20">
        <v>19.302083333333332</v>
      </c>
      <c r="K630" s="20">
        <v>1.7</v>
      </c>
      <c r="L630" s="20">
        <v>224.04166666666666</v>
      </c>
      <c r="M630" s="20">
        <v>5</v>
      </c>
      <c r="N630" s="20">
        <v>0.27083333333333331</v>
      </c>
      <c r="O630" s="20">
        <v>17.691666666666666</v>
      </c>
      <c r="P630" s="10">
        <v>0.23879053316008267</v>
      </c>
      <c r="Q630" s="21">
        <v>0.32566666666666649</v>
      </c>
      <c r="R630" s="21">
        <v>0.44672916666666646</v>
      </c>
      <c r="S630" s="21">
        <v>0.50597916666666631</v>
      </c>
      <c r="T630" s="21">
        <v>0.53045833333333359</v>
      </c>
      <c r="U630" s="21">
        <v>0.52687499999999976</v>
      </c>
      <c r="V630" s="21">
        <v>0.42108333333333348</v>
      </c>
      <c r="W630" s="21">
        <v>0.42329166666666701</v>
      </c>
      <c r="X630" s="21">
        <v>0.36362500000000025</v>
      </c>
      <c r="Y630" s="21">
        <v>0.1633125</v>
      </c>
      <c r="Z630" s="23">
        <f>AVERAGE(Q630,U630)</f>
        <v>0.42627083333333315</v>
      </c>
      <c r="AA630" s="23">
        <f>AVERAGE(R630:T630,V630:X630)</f>
        <v>0.44852777777777786</v>
      </c>
      <c r="AB630" s="23">
        <f t="shared" si="9"/>
        <v>0.44448106060606063</v>
      </c>
    </row>
    <row r="631" spans="1:28">
      <c r="A631" s="9">
        <v>44338</v>
      </c>
      <c r="B631" s="3">
        <v>258.40746370512619</v>
      </c>
      <c r="C631" s="3">
        <v>238.65434765248551</v>
      </c>
      <c r="D631" s="3">
        <v>123.14984988784536</v>
      </c>
      <c r="E631" s="3">
        <v>215.91181517914004</v>
      </c>
      <c r="F631" s="3">
        <v>115.74648586321733</v>
      </c>
      <c r="G631" s="19">
        <v>44338</v>
      </c>
      <c r="H631" s="20">
        <v>89.666666666666671</v>
      </c>
      <c r="I631" s="20">
        <v>92.25833333333334</v>
      </c>
      <c r="J631" s="20">
        <v>19.020833333333339</v>
      </c>
      <c r="K631" s="20">
        <v>10.199999999999998</v>
      </c>
      <c r="L631" s="20">
        <v>228.22916666666666</v>
      </c>
      <c r="M631" s="20">
        <v>3.0416666666666665</v>
      </c>
      <c r="N631" s="20">
        <v>2.0833333333333332E-2</v>
      </c>
      <c r="O631" s="20">
        <v>17.697916666666664</v>
      </c>
      <c r="P631" s="10">
        <v>0.18480406014371911</v>
      </c>
      <c r="Q631" s="21">
        <v>0.32406249999999986</v>
      </c>
      <c r="R631" s="21">
        <v>0.44356250000000036</v>
      </c>
      <c r="S631" s="21">
        <v>0.50243749999999987</v>
      </c>
      <c r="T631" s="21">
        <v>0.52666666666666628</v>
      </c>
      <c r="U631" s="21">
        <v>0.52822916666666697</v>
      </c>
      <c r="V631" s="21">
        <v>0.41837500000000033</v>
      </c>
      <c r="W631" s="21">
        <v>0.42014583333333338</v>
      </c>
      <c r="X631" s="21">
        <v>0.36035416666666675</v>
      </c>
      <c r="Y631" s="21">
        <v>0.24191666666666667</v>
      </c>
      <c r="Z631" s="23">
        <f>AVERAGE(Q631,U631)</f>
        <v>0.42614583333333345</v>
      </c>
      <c r="AA631" s="23">
        <f>AVERAGE(R631:T631,V631:X631)</f>
        <v>0.44525694444444452</v>
      </c>
      <c r="AB631" s="23">
        <f t="shared" si="9"/>
        <v>0.44178219696969701</v>
      </c>
    </row>
    <row r="632" spans="1:28">
      <c r="A632" s="9">
        <v>44339</v>
      </c>
      <c r="B632" s="3">
        <v>323.13051931304148</v>
      </c>
      <c r="C632" s="3">
        <v>185.47091725147249</v>
      </c>
      <c r="D632" s="3">
        <v>172.47934876256909</v>
      </c>
      <c r="E632" s="3">
        <v>305.77505674624103</v>
      </c>
      <c r="F632" s="3">
        <v>219.27475474482029</v>
      </c>
      <c r="G632" s="19">
        <v>44339</v>
      </c>
      <c r="H632" s="20">
        <v>83.791666666666671</v>
      </c>
      <c r="I632" s="20">
        <v>87.524999999999991</v>
      </c>
      <c r="J632" s="20">
        <v>17.772916666666664</v>
      </c>
      <c r="K632" s="20">
        <v>31.499999999999996</v>
      </c>
      <c r="L632" s="20">
        <v>230.41666666666666</v>
      </c>
      <c r="M632" s="20">
        <v>3.7291666666666665</v>
      </c>
      <c r="N632" s="20">
        <v>0</v>
      </c>
      <c r="O632" s="20">
        <v>15.59375</v>
      </c>
      <c r="P632" s="10">
        <v>0.27026157120155053</v>
      </c>
      <c r="Q632" s="21">
        <v>0.4448125</v>
      </c>
      <c r="R632" s="21">
        <v>0.52060416666666676</v>
      </c>
      <c r="S632" s="21">
        <v>0.56670833333333348</v>
      </c>
      <c r="T632" s="21">
        <v>0.58747916666666644</v>
      </c>
      <c r="U632" s="21">
        <v>0.59766666666666668</v>
      </c>
      <c r="V632" s="21">
        <v>0.49022916666666655</v>
      </c>
      <c r="W632" s="21">
        <v>0.4607083333333335</v>
      </c>
      <c r="X632" s="21">
        <v>0.39393750000000005</v>
      </c>
      <c r="Y632" s="21">
        <v>0.32306249999999997</v>
      </c>
      <c r="Z632" s="23">
        <f>AVERAGE(Q632,U632)</f>
        <v>0.52123958333333331</v>
      </c>
      <c r="AA632" s="23">
        <f>AVERAGE(R632:T632,V632:X632)</f>
        <v>0.50327777777777782</v>
      </c>
      <c r="AB632" s="23">
        <f t="shared" si="9"/>
        <v>0.50654356060606065</v>
      </c>
    </row>
    <row r="633" spans="1:28">
      <c r="A633" s="9">
        <v>44340</v>
      </c>
      <c r="B633" s="3">
        <v>252.54710743849645</v>
      </c>
      <c r="C633" s="3">
        <v>157.595599858002</v>
      </c>
      <c r="D633" s="3">
        <v>137.2173307824184</v>
      </c>
      <c r="E633" s="3">
        <v>229.48877878909749</v>
      </c>
      <c r="F633" s="3">
        <v>192.72510957911726</v>
      </c>
      <c r="G633" s="19">
        <v>44340</v>
      </c>
      <c r="H633" s="20">
        <v>89.895833333333329</v>
      </c>
      <c r="I633" s="20">
        <v>87.393750000000011</v>
      </c>
      <c r="J633" s="20">
        <v>15.441666666666668</v>
      </c>
      <c r="K633" s="20">
        <v>4.7000000000000011</v>
      </c>
      <c r="L633" s="20">
        <v>208.9375</v>
      </c>
      <c r="M633" s="20">
        <v>2</v>
      </c>
      <c r="N633" s="20">
        <v>2.0833333333333332E-2</v>
      </c>
      <c r="O633" s="20">
        <v>13.314583333333337</v>
      </c>
      <c r="P633" s="10">
        <v>0.23396613094426896</v>
      </c>
      <c r="Q633" s="21">
        <v>0.44168750000000007</v>
      </c>
      <c r="R633" s="21">
        <v>0.52166666666666639</v>
      </c>
      <c r="S633" s="21">
        <v>0.56995833333333334</v>
      </c>
      <c r="T633" s="21">
        <v>0.58147916666666633</v>
      </c>
      <c r="U633" s="21">
        <v>0.5952291666666667</v>
      </c>
      <c r="V633" s="21">
        <v>0.48481249999999987</v>
      </c>
      <c r="W633" s="21">
        <v>0.46393749999999984</v>
      </c>
      <c r="X633" s="21">
        <v>0.39747916666666666</v>
      </c>
      <c r="Y633" s="21">
        <v>0.28602083333333339</v>
      </c>
      <c r="Z633" s="23">
        <f>AVERAGE(Q633,U633)</f>
        <v>0.51845833333333335</v>
      </c>
      <c r="AA633" s="23">
        <f>AVERAGE(R633:T633,V633:X633)</f>
        <v>0.50322222222222213</v>
      </c>
      <c r="AB633" s="23">
        <f t="shared" si="9"/>
        <v>0.50599242424242419</v>
      </c>
    </row>
    <row r="634" spans="1:28">
      <c r="A634" s="9">
        <v>44341</v>
      </c>
      <c r="B634" s="3">
        <v>567.69587194735573</v>
      </c>
      <c r="C634" s="3">
        <v>375.12017746840161</v>
      </c>
      <c r="D634" s="3">
        <v>372.86880684442275</v>
      </c>
      <c r="E634" s="3">
        <v>410.45069990653911</v>
      </c>
      <c r="F634" s="3">
        <v>360.7046582810645</v>
      </c>
      <c r="G634" s="19">
        <v>44341</v>
      </c>
      <c r="H634" s="20">
        <v>150.5625</v>
      </c>
      <c r="I634" s="20">
        <v>85.925000000000011</v>
      </c>
      <c r="J634" s="20">
        <v>18.237499999999994</v>
      </c>
      <c r="K634" s="20">
        <v>0.2</v>
      </c>
      <c r="L634" s="20">
        <v>234.39583333333334</v>
      </c>
      <c r="M634" s="20">
        <v>8.3125</v>
      </c>
      <c r="N634" s="20">
        <v>1.25</v>
      </c>
      <c r="O634" s="20">
        <v>15.737499999999999</v>
      </c>
      <c r="P634" s="10">
        <v>0.33401848595008427</v>
      </c>
      <c r="Q634" s="21">
        <v>0.43491666666666656</v>
      </c>
      <c r="R634" s="21">
        <v>0.5167708333333334</v>
      </c>
      <c r="S634" s="21">
        <v>0.56693749999999954</v>
      </c>
      <c r="T634" s="21">
        <v>0.57904166666666657</v>
      </c>
      <c r="U634" s="21">
        <v>0.59160416666666638</v>
      </c>
      <c r="V634" s="21">
        <v>0.47925000000000018</v>
      </c>
      <c r="W634" s="21">
        <v>0.46089583333333328</v>
      </c>
      <c r="X634" s="21">
        <v>0.39579166666666654</v>
      </c>
      <c r="Y634" s="21">
        <v>0.27241666666666664</v>
      </c>
      <c r="Z634" s="23">
        <f>AVERAGE(Q634,U634)</f>
        <v>0.51326041666666644</v>
      </c>
      <c r="AA634" s="23">
        <f>AVERAGE(R634:T634,V634:X634)</f>
        <v>0.49978124999999984</v>
      </c>
      <c r="AB634" s="23">
        <f t="shared" si="9"/>
        <v>0.50223200757575737</v>
      </c>
    </row>
    <row r="635" spans="1:28">
      <c r="A635" s="9">
        <v>44342</v>
      </c>
      <c r="B635" s="3">
        <v>250.33328654953786</v>
      </c>
      <c r="C635" s="3">
        <v>192.31005004685909</v>
      </c>
      <c r="D635" s="3">
        <v>171.41723557507086</v>
      </c>
      <c r="E635" s="3">
        <v>242.04403486243223</v>
      </c>
      <c r="F635" s="3">
        <v>176.71072731464028</v>
      </c>
      <c r="G635" s="19">
        <v>44342</v>
      </c>
      <c r="H635" s="20">
        <v>75.145833333333329</v>
      </c>
      <c r="I635" s="20">
        <v>86.354166666666686</v>
      </c>
      <c r="J635" s="20">
        <v>18.637499999999999</v>
      </c>
      <c r="K635" s="20">
        <v>0</v>
      </c>
      <c r="L635" s="20">
        <v>202.04166666666666</v>
      </c>
      <c r="M635" s="20">
        <v>7.5625</v>
      </c>
      <c r="N635" s="20">
        <v>0.875</v>
      </c>
      <c r="O635" s="20">
        <v>16.295833333333338</v>
      </c>
      <c r="P635" s="10">
        <v>0.29956941709796914</v>
      </c>
      <c r="Q635" s="21">
        <v>0.42343750000000019</v>
      </c>
      <c r="R635" s="21">
        <v>0.5083958333333336</v>
      </c>
      <c r="S635" s="21">
        <v>0.56199999999999994</v>
      </c>
      <c r="T635" s="21">
        <v>0.57495833333333402</v>
      </c>
      <c r="U635" s="21">
        <v>0.58822916666666647</v>
      </c>
      <c r="V635" s="21">
        <v>0.47420833333333312</v>
      </c>
      <c r="W635" s="21">
        <v>0.45922916666666658</v>
      </c>
      <c r="X635" s="21">
        <v>0.39347916666666705</v>
      </c>
      <c r="Y635" s="21">
        <v>0.25979166666666681</v>
      </c>
      <c r="Z635" s="23">
        <f>AVERAGE(Q635,U635)</f>
        <v>0.50583333333333336</v>
      </c>
      <c r="AA635" s="23">
        <f>AVERAGE(R635:T635,V635:X635)</f>
        <v>0.49537847222222248</v>
      </c>
      <c r="AB635" s="23">
        <f t="shared" si="9"/>
        <v>0.49727935606060625</v>
      </c>
    </row>
    <row r="636" spans="1:28">
      <c r="A636" s="9">
        <v>44343</v>
      </c>
      <c r="B636" s="3">
        <v>707.20352735867982</v>
      </c>
      <c r="C636" s="3">
        <v>481.00526358114524</v>
      </c>
      <c r="D636" s="3">
        <v>460.56597551482514</v>
      </c>
      <c r="E636" s="3">
        <v>487.11656032197988</v>
      </c>
      <c r="F636" s="3">
        <v>393.72842515789375</v>
      </c>
      <c r="G636" s="19">
        <v>44343</v>
      </c>
      <c r="H636" s="20">
        <v>211.5</v>
      </c>
      <c r="I636" s="20">
        <v>74.420833333333334</v>
      </c>
      <c r="J636" s="20">
        <v>19.979166666666668</v>
      </c>
      <c r="K636" s="20">
        <v>0.2</v>
      </c>
      <c r="L636" s="20">
        <v>231.0625</v>
      </c>
      <c r="M636" s="20">
        <v>2.9166666666666665</v>
      </c>
      <c r="N636" s="20">
        <v>0.14583333333333334</v>
      </c>
      <c r="O636" s="20">
        <v>14.891666666666666</v>
      </c>
      <c r="P636" s="10">
        <v>0.71151823132263481</v>
      </c>
      <c r="Q636" s="21">
        <v>0.41083333333333333</v>
      </c>
      <c r="R636" s="21">
        <v>0.50079166666666619</v>
      </c>
      <c r="S636" s="21">
        <v>0.55572916666666661</v>
      </c>
      <c r="T636" s="21">
        <v>0.57085416666666655</v>
      </c>
      <c r="U636" s="21">
        <v>0.58135416666666639</v>
      </c>
      <c r="V636" s="21">
        <v>0.46829166666666655</v>
      </c>
      <c r="W636" s="21">
        <v>0.45622916666666707</v>
      </c>
      <c r="X636" s="21">
        <v>0.39100000000000018</v>
      </c>
      <c r="Y636" s="21">
        <v>0.2468541666666666</v>
      </c>
      <c r="Z636" s="23">
        <f>AVERAGE(Q636,U636)</f>
        <v>0.49609374999999989</v>
      </c>
      <c r="AA636" s="23">
        <f>AVERAGE(R636:T636,V636:X636)</f>
        <v>0.49048263888888882</v>
      </c>
      <c r="AB636" s="23">
        <f t="shared" si="9"/>
        <v>0.49150284090909091</v>
      </c>
    </row>
    <row r="637" spans="1:28">
      <c r="A637" s="9">
        <v>44344</v>
      </c>
      <c r="B637" s="3">
        <v>200.95072876131627</v>
      </c>
      <c r="C637" s="3">
        <v>148.04886775136433</v>
      </c>
      <c r="D637" s="3">
        <v>115.11698473678966</v>
      </c>
      <c r="E637" s="3">
        <v>217.60716078617898</v>
      </c>
      <c r="F637" s="3">
        <v>119.1714361600565</v>
      </c>
      <c r="G637" s="19">
        <v>44344</v>
      </c>
      <c r="H637" s="20">
        <v>58.333333333333336</v>
      </c>
      <c r="I637" s="20">
        <v>87.758333333333326</v>
      </c>
      <c r="J637" s="20">
        <v>18.581249999999997</v>
      </c>
      <c r="K637" s="20">
        <v>3.5999999999999996</v>
      </c>
      <c r="L637" s="20">
        <v>202.70833333333334</v>
      </c>
      <c r="M637" s="20">
        <v>2.5625</v>
      </c>
      <c r="N637" s="20">
        <v>0.14583333333333334</v>
      </c>
      <c r="O637" s="20">
        <v>16.487500000000001</v>
      </c>
      <c r="P637" s="10">
        <v>0.26804403455386605</v>
      </c>
      <c r="Q637" s="21">
        <v>0.3988541666666669</v>
      </c>
      <c r="R637" s="21">
        <v>0.49422916666666666</v>
      </c>
      <c r="S637" s="21">
        <v>0.55039583333333331</v>
      </c>
      <c r="T637" s="21">
        <v>0.56658333333333299</v>
      </c>
      <c r="U637" s="21">
        <v>0.57652083333333348</v>
      </c>
      <c r="V637" s="21">
        <v>0.46183333333333293</v>
      </c>
      <c r="W637" s="21">
        <v>0.45237500000000036</v>
      </c>
      <c r="X637" s="21">
        <v>0.38762500000000016</v>
      </c>
      <c r="Y637" s="21">
        <v>0.23143750000000005</v>
      </c>
      <c r="Z637" s="23">
        <f>AVERAGE(Q637,U637)</f>
        <v>0.48768750000000016</v>
      </c>
      <c r="AA637" s="23">
        <f>AVERAGE(R637:T637,V637:X637)</f>
        <v>0.48550694444444442</v>
      </c>
      <c r="AB637" s="23">
        <f t="shared" si="9"/>
        <v>0.48590340909090912</v>
      </c>
    </row>
    <row r="638" spans="1:28">
      <c r="A638" s="9">
        <v>44345</v>
      </c>
      <c r="B638" s="3">
        <v>200.2063953327912</v>
      </c>
      <c r="C638" s="3">
        <v>140.45705163398182</v>
      </c>
      <c r="D638" s="3">
        <v>123.55079430555931</v>
      </c>
      <c r="E638" s="3">
        <v>206.26269983854056</v>
      </c>
      <c r="F638" s="3">
        <v>141.54691441358921</v>
      </c>
      <c r="G638" s="19">
        <v>44345</v>
      </c>
      <c r="H638" s="20">
        <v>73.541666666666671</v>
      </c>
      <c r="I638" s="20">
        <v>90.106249999999989</v>
      </c>
      <c r="J638" s="20">
        <v>17.479166666666664</v>
      </c>
      <c r="K638" s="20">
        <v>16.100000000000001</v>
      </c>
      <c r="L638" s="20">
        <v>188.41666666666666</v>
      </c>
      <c r="M638" s="20">
        <v>2.5416666666666665</v>
      </c>
      <c r="N638" s="20">
        <v>0</v>
      </c>
      <c r="O638" s="20">
        <v>15.779166666666663</v>
      </c>
      <c r="P638" s="10">
        <v>0.21815710785141937</v>
      </c>
      <c r="Q638" s="21">
        <v>0.40362499999999996</v>
      </c>
      <c r="R638" s="21">
        <v>0.49156249999999974</v>
      </c>
      <c r="S638" s="21">
        <v>0.54887500000000033</v>
      </c>
      <c r="T638" s="21">
        <v>0.56591666666666707</v>
      </c>
      <c r="U638" s="21">
        <v>0.58472916666666608</v>
      </c>
      <c r="V638" s="21">
        <v>0.46143750000000022</v>
      </c>
      <c r="W638" s="21">
        <v>0.45170833333333354</v>
      </c>
      <c r="X638" s="21">
        <v>0.3868125</v>
      </c>
      <c r="Y638" s="21">
        <v>0.28460416666666688</v>
      </c>
      <c r="Z638" s="23">
        <f>AVERAGE(Q638,U638)</f>
        <v>0.49417708333333299</v>
      </c>
      <c r="AA638" s="23">
        <f>AVERAGE(R638:T638,V638:X638)</f>
        <v>0.48438541666666679</v>
      </c>
      <c r="AB638" s="23">
        <f t="shared" si="9"/>
        <v>0.48616571969696976</v>
      </c>
    </row>
    <row r="639" spans="1:28">
      <c r="A639" s="9">
        <v>44346</v>
      </c>
      <c r="B639" s="3">
        <v>577.88489446677136</v>
      </c>
      <c r="C639" s="3">
        <v>337.79066842192395</v>
      </c>
      <c r="D639" s="3">
        <v>341.81670868122114</v>
      </c>
      <c r="E639" s="3">
        <v>401.8009612281038</v>
      </c>
      <c r="F639" s="3">
        <v>340.6693165551564</v>
      </c>
      <c r="G639" s="19">
        <v>44346</v>
      </c>
      <c r="H639" s="20">
        <v>221.9375</v>
      </c>
      <c r="I639" s="20">
        <v>75.972916666666649</v>
      </c>
      <c r="J639" s="20">
        <v>19.954166666666669</v>
      </c>
      <c r="K639" s="20">
        <v>16.5</v>
      </c>
      <c r="L639" s="20">
        <v>149.25</v>
      </c>
      <c r="M639" s="20">
        <v>2.9375</v>
      </c>
      <c r="N639" s="20">
        <v>0</v>
      </c>
      <c r="O639" s="20">
        <v>15.010416666666664</v>
      </c>
      <c r="P639" s="10">
        <v>0.68564606586919974</v>
      </c>
      <c r="Q639" s="21">
        <v>0.46966666666666684</v>
      </c>
      <c r="R639" s="21">
        <v>0.53693749999999996</v>
      </c>
      <c r="S639" s="21">
        <v>0.58110416666666653</v>
      </c>
      <c r="T639" s="21">
        <v>0.6016458333333331</v>
      </c>
      <c r="U639" s="21">
        <v>0.60579166666666673</v>
      </c>
      <c r="V639" s="21">
        <v>0.50695833333333329</v>
      </c>
      <c r="W639" s="21">
        <v>0.47506249999999978</v>
      </c>
      <c r="X639" s="21">
        <v>0.41224999999999984</v>
      </c>
      <c r="Y639" s="21">
        <v>0.32345833333333324</v>
      </c>
      <c r="Z639" s="23">
        <f>AVERAGE(Q639,U639)</f>
        <v>0.53772916666666681</v>
      </c>
      <c r="AA639" s="23">
        <f>AVERAGE(R639:T639,V639:X639)</f>
        <v>0.51899305555555542</v>
      </c>
      <c r="AB639" s="23">
        <f t="shared" si="9"/>
        <v>0.52239962121212113</v>
      </c>
    </row>
    <row r="640" spans="1:28">
      <c r="A640" s="9">
        <v>44347</v>
      </c>
      <c r="B640" s="3">
        <v>175.02054467270369</v>
      </c>
      <c r="C640" s="3">
        <v>86.377736182854079</v>
      </c>
      <c r="D640" s="3">
        <v>93.602775785758013</v>
      </c>
      <c r="E640" s="3">
        <v>146.34575302746697</v>
      </c>
      <c r="F640" s="3">
        <v>112.18042824295652</v>
      </c>
      <c r="G640" s="19">
        <v>44347</v>
      </c>
      <c r="H640" s="20">
        <v>76.958333333333329</v>
      </c>
      <c r="I640" s="20">
        <v>86.822916666666643</v>
      </c>
      <c r="J640" s="20">
        <v>18.293749999999999</v>
      </c>
      <c r="K640" s="20">
        <v>20.299999999999997</v>
      </c>
      <c r="L640" s="20">
        <v>240.25</v>
      </c>
      <c r="M640" s="20">
        <v>2.0208333333333335</v>
      </c>
      <c r="N640" s="20">
        <v>0</v>
      </c>
      <c r="O640" s="20">
        <v>16.008333333333333</v>
      </c>
      <c r="P640" s="10">
        <v>0.28768800366035008</v>
      </c>
      <c r="Q640" s="21">
        <v>0.44666666666666699</v>
      </c>
      <c r="R640" s="21">
        <v>0.52318749999999969</v>
      </c>
      <c r="S640" s="21">
        <v>0.57247916666666665</v>
      </c>
      <c r="T640" s="21">
        <v>0.58585416666666623</v>
      </c>
      <c r="U640" s="21">
        <v>0.5957916666666665</v>
      </c>
      <c r="V640" s="21">
        <v>0.48547916666666652</v>
      </c>
      <c r="W640" s="21">
        <v>0.4664375</v>
      </c>
      <c r="X640" s="21">
        <v>0.39941666666666698</v>
      </c>
      <c r="Y640" s="21">
        <v>0.29577083333333343</v>
      </c>
      <c r="Z640" s="23">
        <f>AVERAGE(Q640,U640)</f>
        <v>0.52122916666666674</v>
      </c>
      <c r="AA640" s="23">
        <f>AVERAGE(R640:T640,V640:X640)</f>
        <v>0.50547569444444429</v>
      </c>
      <c r="AB640" s="23">
        <f t="shared" si="9"/>
        <v>0.50833996212121202</v>
      </c>
    </row>
    <row r="641" spans="1:28">
      <c r="A641" s="9">
        <v>44348</v>
      </c>
      <c r="B641" s="3">
        <v>205.63137769611379</v>
      </c>
      <c r="C641" s="3">
        <v>90.168169624222514</v>
      </c>
      <c r="D641" s="3">
        <v>67.095652599107055</v>
      </c>
      <c r="E641" s="3">
        <v>163.31784271518995</v>
      </c>
      <c r="F641" s="3">
        <v>115.37922565970811</v>
      </c>
      <c r="G641" s="19">
        <v>44348</v>
      </c>
      <c r="H641" s="20">
        <v>83.125</v>
      </c>
      <c r="I641" s="20">
        <v>90.96041666666666</v>
      </c>
      <c r="J641" s="20">
        <v>19.502083333333331</v>
      </c>
      <c r="K641" s="20">
        <v>14.7</v>
      </c>
      <c r="L641" s="20">
        <v>211.75</v>
      </c>
      <c r="M641" s="20">
        <v>2.7916666666666665</v>
      </c>
      <c r="N641" s="20">
        <v>4.1666666666666664E-2</v>
      </c>
      <c r="O641" s="20">
        <v>17.929166666666664</v>
      </c>
      <c r="P641" s="10">
        <v>0.22420818206002882</v>
      </c>
      <c r="Q641" s="21">
        <v>0.49116666666666675</v>
      </c>
      <c r="R641" s="21">
        <v>0.5481666666666668</v>
      </c>
      <c r="S641" s="21">
        <v>0.58904166666666635</v>
      </c>
      <c r="T641" s="21">
        <v>0.60939583333333336</v>
      </c>
      <c r="U641" s="21">
        <v>0.61297916666666696</v>
      </c>
      <c r="V641" s="21">
        <v>0.52177083333333341</v>
      </c>
      <c r="W641" s="21">
        <v>0.48427083333333326</v>
      </c>
      <c r="X641" s="21">
        <v>0.42420833333333324</v>
      </c>
      <c r="Y641" s="21">
        <v>0.38264583333333341</v>
      </c>
      <c r="Z641" s="23">
        <f>AVERAGE(Q641,U641)</f>
        <v>0.55207291666666691</v>
      </c>
      <c r="AA641" s="23">
        <f>AVERAGE(R641:T641,V641:X641)</f>
        <v>0.52947569444444442</v>
      </c>
      <c r="AB641" s="23">
        <f t="shared" si="9"/>
        <v>0.53358428030303029</v>
      </c>
    </row>
    <row r="642" spans="1:28">
      <c r="A642" s="9">
        <v>44349</v>
      </c>
      <c r="B642" s="3">
        <v>167.67897791499865</v>
      </c>
      <c r="C642" s="3">
        <v>71.370402048754244</v>
      </c>
      <c r="D642" s="3">
        <v>68.176421005346</v>
      </c>
      <c r="E642" s="3">
        <v>145.54834199067918</v>
      </c>
      <c r="F642" s="3">
        <v>91.762918660331621</v>
      </c>
      <c r="G642" s="19">
        <v>44349</v>
      </c>
      <c r="H642" s="20">
        <v>77.604166666666671</v>
      </c>
      <c r="I642" s="20">
        <v>92.991666666666688</v>
      </c>
      <c r="J642" s="20">
        <v>20.162500000000001</v>
      </c>
      <c r="K642" s="20">
        <v>14.399999999999999</v>
      </c>
      <c r="L642" s="20">
        <v>252.95833333333334</v>
      </c>
      <c r="M642" s="20">
        <v>1.7291666666666667</v>
      </c>
      <c r="N642" s="20">
        <v>0</v>
      </c>
      <c r="O642" s="20">
        <v>18.962499999999999</v>
      </c>
      <c r="P642" s="10">
        <v>0.17673071739623447</v>
      </c>
      <c r="Q642" s="21">
        <v>0.48839583333333353</v>
      </c>
      <c r="R642" s="21">
        <v>0.54672916666666693</v>
      </c>
      <c r="S642" s="21">
        <v>0.5884999999999998</v>
      </c>
      <c r="T642" s="21">
        <v>0.60477083333333359</v>
      </c>
      <c r="U642" s="21">
        <v>0.61256249999999968</v>
      </c>
      <c r="V642" s="21">
        <v>0.51533333333333342</v>
      </c>
      <c r="W642" s="21">
        <v>0.48135416666666681</v>
      </c>
      <c r="X642" s="21">
        <v>0.41795833333333321</v>
      </c>
      <c r="Y642" s="21">
        <v>0.32314583333333335</v>
      </c>
      <c r="Z642" s="23">
        <f>AVERAGE(Q642,U642)</f>
        <v>0.55047916666666663</v>
      </c>
      <c r="AA642" s="23">
        <f>AVERAGE(R642:T642,V642:X642)</f>
        <v>0.5257743055555556</v>
      </c>
      <c r="AB642" s="23">
        <f t="shared" si="9"/>
        <v>0.53026609848484851</v>
      </c>
    </row>
    <row r="643" spans="1:28">
      <c r="A643" s="9">
        <v>44350</v>
      </c>
      <c r="B643" s="3">
        <v>176.52221149909747</v>
      </c>
      <c r="C643" s="3">
        <v>113.04969442602679</v>
      </c>
      <c r="D643" s="3">
        <v>102.0696613406984</v>
      </c>
      <c r="E643" s="3">
        <v>185.54588812740172</v>
      </c>
      <c r="F643" s="3">
        <v>124.16756830223328</v>
      </c>
      <c r="G643" s="19">
        <v>44350</v>
      </c>
      <c r="H643" s="20">
        <v>70.729166666666671</v>
      </c>
      <c r="I643" s="20">
        <v>87.71666666666664</v>
      </c>
      <c r="J643" s="20">
        <v>18.712499999999999</v>
      </c>
      <c r="K643" s="20">
        <v>6.4000000000000012</v>
      </c>
      <c r="L643" s="20">
        <v>210.875</v>
      </c>
      <c r="M643" s="20">
        <v>5.604166666666667</v>
      </c>
      <c r="N643" s="20">
        <v>6.25E-2</v>
      </c>
      <c r="O643" s="20">
        <v>16.583333333333339</v>
      </c>
      <c r="P643" s="10">
        <v>0.2491936856170647</v>
      </c>
      <c r="Q643" s="21">
        <v>0.48922916666666677</v>
      </c>
      <c r="R643" s="21">
        <v>0.54708333333333359</v>
      </c>
      <c r="S643" s="21">
        <v>0.58991666666666653</v>
      </c>
      <c r="T643" s="21">
        <v>0.60277083333333337</v>
      </c>
      <c r="U643" s="21">
        <v>0.61297916666666652</v>
      </c>
      <c r="V643" s="21">
        <v>0.51437500000000025</v>
      </c>
      <c r="W643" s="21">
        <v>0.47852083333333356</v>
      </c>
      <c r="X643" s="21">
        <v>0.41049999999999986</v>
      </c>
      <c r="Y643" s="21">
        <v>0.30768750000000006</v>
      </c>
      <c r="Z643" s="23">
        <f>AVERAGE(Q643,U643)</f>
        <v>0.55110416666666662</v>
      </c>
      <c r="AA643" s="23">
        <f>AVERAGE(R643:T643,V643:X643)</f>
        <v>0.52386111111111122</v>
      </c>
      <c r="AB643" s="23">
        <f t="shared" si="9"/>
        <v>0.528814393939394</v>
      </c>
    </row>
    <row r="644" spans="1:28">
      <c r="A644" s="9">
        <v>44351</v>
      </c>
      <c r="B644" s="3">
        <v>575.73228181494994</v>
      </c>
      <c r="C644" s="3">
        <v>416.5450862775113</v>
      </c>
      <c r="D644" s="3">
        <v>403.38181943372592</v>
      </c>
      <c r="E644" s="3">
        <v>354.74992429633477</v>
      </c>
      <c r="F644" s="3">
        <v>321.72258541794241</v>
      </c>
      <c r="G644" s="19">
        <v>44351</v>
      </c>
      <c r="H644" s="20">
        <v>223.16666666666666</v>
      </c>
      <c r="I644" s="20">
        <v>71.475000000000009</v>
      </c>
      <c r="J644" s="20">
        <v>17.327083333333334</v>
      </c>
      <c r="K644" s="20">
        <v>1.9999999999999998</v>
      </c>
      <c r="L644" s="20">
        <v>250.95833333333334</v>
      </c>
      <c r="M644" s="20">
        <v>2.6875</v>
      </c>
      <c r="N644" s="20">
        <v>4.1666666666666664E-2</v>
      </c>
      <c r="O644" s="20">
        <v>11.766666666666666</v>
      </c>
      <c r="P644" s="10">
        <v>0.66777023389990686</v>
      </c>
      <c r="Q644" s="21">
        <v>0.45922916666666652</v>
      </c>
      <c r="R644" s="21">
        <v>0.52849999999999964</v>
      </c>
      <c r="S644" s="21">
        <v>0.57862499999999994</v>
      </c>
      <c r="T644" s="21">
        <v>0.59156249999999966</v>
      </c>
      <c r="U644" s="21">
        <v>0.59879166666666706</v>
      </c>
      <c r="V644" s="21">
        <v>0.49408333333333365</v>
      </c>
      <c r="W644" s="21">
        <v>0.4723958333333334</v>
      </c>
      <c r="X644" s="21">
        <v>0.40477083333333325</v>
      </c>
      <c r="Y644" s="21">
        <v>0.29051111111111105</v>
      </c>
      <c r="Z644" s="23">
        <f>AVERAGE(Q644,U644)</f>
        <v>0.52901041666666682</v>
      </c>
      <c r="AA644" s="23">
        <f>AVERAGE(R644:T644,V644:X644)</f>
        <v>0.51165624999999992</v>
      </c>
      <c r="AB644" s="23">
        <f t="shared" si="9"/>
        <v>0.51481155303030302</v>
      </c>
    </row>
    <row r="645" spans="1:28">
      <c r="A645" s="9">
        <v>44352</v>
      </c>
      <c r="B645" s="3">
        <v>695.12950479860604</v>
      </c>
      <c r="C645" s="3">
        <v>555.77207332490775</v>
      </c>
      <c r="D645" s="3">
        <v>582.86709654019478</v>
      </c>
      <c r="E645" s="3">
        <v>411.62192544489585</v>
      </c>
      <c r="F645" s="3">
        <v>423.13480087620468</v>
      </c>
      <c r="G645" s="19">
        <v>44352</v>
      </c>
      <c r="H645" s="20">
        <v>272</v>
      </c>
      <c r="I645" s="20">
        <v>65.266666666666666</v>
      </c>
      <c r="J645" s="20">
        <v>20.96875</v>
      </c>
      <c r="K645" s="20">
        <v>0</v>
      </c>
      <c r="L645" s="20">
        <v>233.14583333333334</v>
      </c>
      <c r="M645" s="20">
        <v>1.25</v>
      </c>
      <c r="N645" s="20">
        <v>0</v>
      </c>
      <c r="O645" s="20">
        <v>13.647916666666669</v>
      </c>
      <c r="P645" s="10">
        <v>1.038758515438118</v>
      </c>
      <c r="Q645" s="21">
        <v>0.43602083333333325</v>
      </c>
      <c r="R645" s="21">
        <v>0.51312500000000028</v>
      </c>
      <c r="S645" s="21">
        <v>0.56702083333333342</v>
      </c>
      <c r="T645" s="21">
        <v>0.58202083333333299</v>
      </c>
      <c r="U645" s="21">
        <v>0.58814583333333303</v>
      </c>
      <c r="V645" s="21">
        <v>0.4791458333333331</v>
      </c>
      <c r="W645" s="21">
        <v>0.4648958333333329</v>
      </c>
      <c r="X645" s="21">
        <v>0.39870833333333344</v>
      </c>
      <c r="Y645" s="21">
        <v>0.26634782608695656</v>
      </c>
      <c r="Z645" s="23">
        <f>AVERAGE(Q645,U645)</f>
        <v>0.51208333333333311</v>
      </c>
      <c r="AA645" s="23">
        <f>AVERAGE(R645:T645,V645:X645)</f>
        <v>0.50081944444444437</v>
      </c>
      <c r="AB645" s="23">
        <f t="shared" si="9"/>
        <v>0.50286742424242414</v>
      </c>
    </row>
    <row r="646" spans="1:28">
      <c r="A646" s="9">
        <v>44353</v>
      </c>
      <c r="B646" s="3">
        <v>628.88361998609287</v>
      </c>
      <c r="C646" s="3">
        <v>459.29136696555963</v>
      </c>
      <c r="D646" s="3">
        <v>568.42635017360283</v>
      </c>
      <c r="E646" s="3">
        <v>407.65415265437639</v>
      </c>
      <c r="F646" s="3">
        <v>375.72684665350937</v>
      </c>
      <c r="G646" s="19">
        <v>44353</v>
      </c>
      <c r="H646" s="20">
        <v>284.9375</v>
      </c>
      <c r="I646" s="20">
        <v>57.722916666666663</v>
      </c>
      <c r="J646" s="20">
        <v>22.370833333333337</v>
      </c>
      <c r="K646" s="20">
        <v>0</v>
      </c>
      <c r="L646" s="20">
        <v>222.375</v>
      </c>
      <c r="M646" s="20">
        <v>4.354166666666667</v>
      </c>
      <c r="N646" s="20">
        <v>0.41666666666666669</v>
      </c>
      <c r="O646" s="20">
        <v>12.360416666666667</v>
      </c>
      <c r="P646" s="10">
        <v>1.3816618538163958</v>
      </c>
      <c r="Q646" s="21">
        <v>0.41360416666666661</v>
      </c>
      <c r="R646" s="21">
        <v>0.50235416666666655</v>
      </c>
      <c r="S646" s="21">
        <v>0.55622916666666677</v>
      </c>
      <c r="T646" s="21">
        <v>0.57408333333333317</v>
      </c>
      <c r="U646" s="21">
        <v>0.57845833333333319</v>
      </c>
      <c r="V646" s="21">
        <v>0.46774999999999994</v>
      </c>
      <c r="W646" s="21">
        <v>0.45775000000000038</v>
      </c>
      <c r="X646" s="21">
        <v>0.3928541666666665</v>
      </c>
      <c r="Y646" s="21">
        <v>0.24445454545454545</v>
      </c>
      <c r="Z646" s="23">
        <f>AVERAGE(Q646,U646)</f>
        <v>0.49603124999999992</v>
      </c>
      <c r="AA646" s="23">
        <f>AVERAGE(R646:T646,V646:X646)</f>
        <v>0.49183680555555559</v>
      </c>
      <c r="AB646" s="23">
        <f t="shared" ref="AB646:AB709" si="10">(Z646*10+AA646*45)/55</f>
        <v>0.49259943181818178</v>
      </c>
    </row>
    <row r="647" spans="1:28">
      <c r="A647" s="9">
        <v>44354</v>
      </c>
      <c r="B647" s="3">
        <v>644.30013451947116</v>
      </c>
      <c r="C647" s="3">
        <v>466.7443231913133</v>
      </c>
      <c r="D647" s="3">
        <v>518.85736421003446</v>
      </c>
      <c r="E647" s="3">
        <v>417.40701315504396</v>
      </c>
      <c r="F647" s="3">
        <v>337.22349854010037</v>
      </c>
      <c r="G647" s="19">
        <v>44354</v>
      </c>
      <c r="H647" s="20">
        <v>216.54166666666666</v>
      </c>
      <c r="I647" s="20">
        <v>59.039583333333333</v>
      </c>
      <c r="J647" s="20">
        <v>22.839583333333337</v>
      </c>
      <c r="K647" s="20">
        <v>0</v>
      </c>
      <c r="L647" s="20">
        <v>185.5625</v>
      </c>
      <c r="M647" s="20">
        <v>3.0833333333333335</v>
      </c>
      <c r="N647" s="20">
        <v>6.25E-2</v>
      </c>
      <c r="O647" s="20">
        <v>14.189583333333333</v>
      </c>
      <c r="P647" s="10">
        <v>1.1956994489193311</v>
      </c>
      <c r="Q647" s="21">
        <v>0.38487500000000002</v>
      </c>
      <c r="R647" s="21">
        <v>0.48941666666666678</v>
      </c>
      <c r="S647" s="21">
        <v>0.54183333333333306</v>
      </c>
      <c r="T647" s="21">
        <v>0.56370833333333292</v>
      </c>
      <c r="U647" s="21">
        <v>0.56460416666666668</v>
      </c>
      <c r="V647" s="21">
        <v>0.45258333333333312</v>
      </c>
      <c r="W647" s="21">
        <v>0.44800000000000001</v>
      </c>
      <c r="X647" s="21">
        <v>0.3859375000000001</v>
      </c>
      <c r="Y647" s="21">
        <v>0.20880000000000001</v>
      </c>
      <c r="Z647" s="23">
        <f>AVERAGE(Q647,U647)</f>
        <v>0.47473958333333333</v>
      </c>
      <c r="AA647" s="23">
        <f>AVERAGE(R647:T647,V647:X647)</f>
        <v>0.48024652777777765</v>
      </c>
      <c r="AB647" s="23">
        <f t="shared" si="10"/>
        <v>0.47924526515151505</v>
      </c>
    </row>
    <row r="648" spans="1:28">
      <c r="A648" s="9">
        <v>44355</v>
      </c>
      <c r="B648" s="3">
        <v>476.14740313311597</v>
      </c>
      <c r="C648" s="3">
        <v>404.5936193103459</v>
      </c>
      <c r="D648" s="3">
        <v>378.00738973159059</v>
      </c>
      <c r="E648" s="3">
        <v>349.89472140682346</v>
      </c>
      <c r="F648" s="3">
        <v>271.26898313603181</v>
      </c>
      <c r="G648" s="19">
        <v>44355</v>
      </c>
      <c r="H648" s="20">
        <v>136.89583333333334</v>
      </c>
      <c r="I648" s="20">
        <v>72.981249999999989</v>
      </c>
      <c r="J648" s="20">
        <v>21.633333333333336</v>
      </c>
      <c r="K648" s="20">
        <v>0</v>
      </c>
      <c r="L648" s="20">
        <v>173.58333333333334</v>
      </c>
      <c r="M648" s="20">
        <v>0.9375</v>
      </c>
      <c r="N648" s="20">
        <v>0</v>
      </c>
      <c r="O648" s="20">
        <v>16.474999999999998</v>
      </c>
      <c r="P648" s="10">
        <v>0.74172386617412212</v>
      </c>
      <c r="Q648" s="21">
        <v>0.35949999999999999</v>
      </c>
      <c r="R648" s="21">
        <v>0.4766875000000001</v>
      </c>
      <c r="S648" s="21">
        <v>0.52977083333333341</v>
      </c>
      <c r="T648" s="21">
        <v>0.55293750000000041</v>
      </c>
      <c r="U648" s="21">
        <v>0.55216666666666692</v>
      </c>
      <c r="V648" s="21">
        <v>0.43964583333333357</v>
      </c>
      <c r="W648" s="21">
        <v>0.43939583333333315</v>
      </c>
      <c r="X648" s="21">
        <v>0.37933333333333352</v>
      </c>
      <c r="Y648" s="21">
        <v>0.18277272727272728</v>
      </c>
      <c r="Z648" s="23">
        <f>AVERAGE(Q648,U648)</f>
        <v>0.45583333333333342</v>
      </c>
      <c r="AA648" s="23">
        <f>AVERAGE(R648:T648,V648:X648)</f>
        <v>0.46962847222222237</v>
      </c>
      <c r="AB648" s="23">
        <f t="shared" si="10"/>
        <v>0.46712026515151528</v>
      </c>
    </row>
    <row r="649" spans="1:28">
      <c r="A649" s="9">
        <v>44356</v>
      </c>
      <c r="B649" s="3">
        <v>578.42992238025761</v>
      </c>
      <c r="C649" s="3">
        <v>431.47589414779156</v>
      </c>
      <c r="D649" s="3">
        <v>402.71435917459576</v>
      </c>
      <c r="E649" s="3">
        <v>427.85046641780212</v>
      </c>
      <c r="F649" s="3">
        <v>288.60630731988033</v>
      </c>
      <c r="G649" s="19">
        <v>44356</v>
      </c>
      <c r="H649" s="20">
        <v>168.1875</v>
      </c>
      <c r="I649" s="20">
        <v>75.291666666666686</v>
      </c>
      <c r="J649" s="20">
        <v>22.335416666666664</v>
      </c>
      <c r="K649" s="20">
        <v>1.5</v>
      </c>
      <c r="L649" s="20">
        <v>236.25</v>
      </c>
      <c r="M649" s="20">
        <v>4.416666666666667</v>
      </c>
      <c r="N649" s="20">
        <v>0.20833333333333334</v>
      </c>
      <c r="O649" s="20">
        <v>17.604166666666664</v>
      </c>
      <c r="P649" s="10">
        <v>0.71862134338326633</v>
      </c>
      <c r="Q649" s="21">
        <v>0.33918749999999998</v>
      </c>
      <c r="R649" s="21">
        <v>0.46358333333333318</v>
      </c>
      <c r="S649" s="21">
        <v>0.51810416666666714</v>
      </c>
      <c r="T649" s="21">
        <v>0.54166666666666641</v>
      </c>
      <c r="U649" s="21">
        <v>0.54058333333333308</v>
      </c>
      <c r="V649" s="21">
        <v>0.42785416666666681</v>
      </c>
      <c r="W649" s="21">
        <v>0.43125000000000008</v>
      </c>
      <c r="X649" s="21">
        <v>0.37262499999999982</v>
      </c>
      <c r="Y649" s="21">
        <v>0.17387234042553196</v>
      </c>
      <c r="Z649" s="23">
        <f>AVERAGE(Q649,U649)</f>
        <v>0.43988541666666653</v>
      </c>
      <c r="AA649" s="23">
        <f>AVERAGE(R649:T649,V649:X649)</f>
        <v>0.45918055555555554</v>
      </c>
      <c r="AB649" s="23">
        <f t="shared" si="10"/>
        <v>0.4556723484848485</v>
      </c>
    </row>
    <row r="650" spans="1:28">
      <c r="A650" s="9">
        <v>44357</v>
      </c>
      <c r="B650" s="3">
        <v>212.81341508274116</v>
      </c>
      <c r="C650" s="3">
        <v>100.23191147330643</v>
      </c>
      <c r="D650" s="3">
        <v>48.742774725351161</v>
      </c>
      <c r="E650" s="3">
        <v>203.00565726592615</v>
      </c>
      <c r="F650" s="3">
        <v>152.26470289464754</v>
      </c>
      <c r="G650" s="19">
        <v>44357</v>
      </c>
      <c r="H650" s="20">
        <v>86.6875</v>
      </c>
      <c r="I650" s="20">
        <v>91.220833333333346</v>
      </c>
      <c r="J650" s="20">
        <v>18.016666666666669</v>
      </c>
      <c r="K650" s="20">
        <v>72.100000000000037</v>
      </c>
      <c r="L650" s="20">
        <v>195.33333333333334</v>
      </c>
      <c r="M650" s="20">
        <v>1.8541666666666667</v>
      </c>
      <c r="N650" s="20">
        <v>0</v>
      </c>
      <c r="O650" s="20">
        <v>16.516666666666666</v>
      </c>
      <c r="P650" s="10">
        <v>0.19357746043740384</v>
      </c>
      <c r="Q650" s="21">
        <v>0.48272916666666671</v>
      </c>
      <c r="R650" s="21">
        <v>0.54308333333333336</v>
      </c>
      <c r="S650" s="21">
        <v>0.58514583333333314</v>
      </c>
      <c r="T650" s="21">
        <v>0.61329166666666668</v>
      </c>
      <c r="U650" s="21">
        <v>0.60841666666666694</v>
      </c>
      <c r="V650" s="21">
        <v>0.53464583333333349</v>
      </c>
      <c r="W650" s="21">
        <v>0.4826666666666668</v>
      </c>
      <c r="X650" s="21">
        <v>0.42722916666666677</v>
      </c>
      <c r="Y650" s="21">
        <v>0.43395833333333339</v>
      </c>
      <c r="Z650" s="23">
        <f>AVERAGE(Q650,U650)</f>
        <v>0.54557291666666685</v>
      </c>
      <c r="AA650" s="23">
        <f>AVERAGE(R650:T650,V650:X650)</f>
        <v>0.53101041666666671</v>
      </c>
      <c r="AB650" s="23">
        <f t="shared" si="10"/>
        <v>0.53365814393939404</v>
      </c>
    </row>
    <row r="651" spans="1:28">
      <c r="A651" s="9">
        <v>44358</v>
      </c>
      <c r="B651" s="3">
        <v>29.491712396178141</v>
      </c>
      <c r="C651" s="3">
        <v>53.957500373030982</v>
      </c>
      <c r="D651" s="3">
        <v>6.1694021425815571</v>
      </c>
      <c r="E651" s="3">
        <v>50.430414172675938</v>
      </c>
      <c r="F651" s="3">
        <v>28.509027166426428</v>
      </c>
      <c r="G651" s="19">
        <v>44358</v>
      </c>
      <c r="H651" s="20">
        <v>61.979166666666664</v>
      </c>
      <c r="I651" s="20">
        <v>95.610416666666666</v>
      </c>
      <c r="J651" s="20">
        <v>18.162500000000001</v>
      </c>
      <c r="K651" s="20">
        <v>15.100000000000001</v>
      </c>
      <c r="L651" s="20">
        <v>114.875</v>
      </c>
      <c r="M651" s="20">
        <v>0.52083333333333337</v>
      </c>
      <c r="N651" s="20">
        <v>0</v>
      </c>
      <c r="O651" s="20">
        <v>17.445833333333336</v>
      </c>
      <c r="P651" s="10">
        <v>9.4290891371694496E-2</v>
      </c>
      <c r="Q651" s="21">
        <v>0.48477083333333315</v>
      </c>
      <c r="R651" s="21">
        <v>0.54568749999999977</v>
      </c>
      <c r="S651" s="21">
        <v>0.58722916666666658</v>
      </c>
      <c r="T651" s="21">
        <v>0.60749999999999971</v>
      </c>
      <c r="U651" s="21">
        <v>0.60933333333333306</v>
      </c>
      <c r="V651" s="21">
        <v>0.51752083333333321</v>
      </c>
      <c r="W651" s="21">
        <v>0.4805625</v>
      </c>
      <c r="X651" s="21">
        <v>0.41835416666666658</v>
      </c>
      <c r="Y651" s="21">
        <v>0.33518750000000003</v>
      </c>
      <c r="Z651" s="23">
        <f>AVERAGE(Q651,U651)</f>
        <v>0.54705208333333311</v>
      </c>
      <c r="AA651" s="23">
        <f>AVERAGE(R651:T651,V651:X651)</f>
        <v>0.52614236111111101</v>
      </c>
      <c r="AB651" s="23">
        <f t="shared" si="10"/>
        <v>0.52994412878787867</v>
      </c>
    </row>
    <row r="652" spans="1:28">
      <c r="A652" s="9">
        <v>44359</v>
      </c>
      <c r="B652" s="3">
        <v>526.91179385671046</v>
      </c>
      <c r="C652" s="3">
        <v>388.73057824294534</v>
      </c>
      <c r="D652" s="3">
        <v>344.8965496775794</v>
      </c>
      <c r="E652" s="3">
        <v>407.07564078014923</v>
      </c>
      <c r="F652" s="3">
        <v>376.20907715254504</v>
      </c>
      <c r="G652" s="19">
        <v>44359</v>
      </c>
      <c r="H652" s="20">
        <v>185.60416666666666</v>
      </c>
      <c r="I652" s="20">
        <v>85.843750000000014</v>
      </c>
      <c r="J652" s="20">
        <v>22.022916666666664</v>
      </c>
      <c r="K652" s="20">
        <v>3.4000000000000004</v>
      </c>
      <c r="L652" s="20">
        <v>235.89583333333334</v>
      </c>
      <c r="M652" s="20">
        <v>3.7916666666666665</v>
      </c>
      <c r="N652" s="20">
        <v>4.1666666666666664E-2</v>
      </c>
      <c r="O652" s="20">
        <v>19.366666666666667</v>
      </c>
      <c r="P652" s="10">
        <v>0.44088145086975522</v>
      </c>
      <c r="Q652" s="21">
        <v>0.48108333333333331</v>
      </c>
      <c r="R652" s="21">
        <v>0.54418750000000005</v>
      </c>
      <c r="S652" s="21">
        <v>0.58685416666666612</v>
      </c>
      <c r="T652" s="21">
        <v>0.60162500000000008</v>
      </c>
      <c r="U652" s="21">
        <v>0.61041666666666672</v>
      </c>
      <c r="V652" s="21">
        <v>0.51304166666666706</v>
      </c>
      <c r="W652" s="21">
        <v>0.47939583333333319</v>
      </c>
      <c r="X652" s="21">
        <v>0.41383333333333311</v>
      </c>
      <c r="Y652" s="21">
        <v>0.31172916666666667</v>
      </c>
      <c r="Z652" s="23">
        <f>AVERAGE(Q652,U652)</f>
        <v>0.54574999999999996</v>
      </c>
      <c r="AA652" s="23">
        <f>AVERAGE(R652:T652,V652:X652)</f>
        <v>0.52315624999999988</v>
      </c>
      <c r="AB652" s="23">
        <f t="shared" si="10"/>
        <v>0.52726420454545442</v>
      </c>
    </row>
    <row r="653" spans="1:28">
      <c r="A653" s="9">
        <v>44360</v>
      </c>
      <c r="B653" s="3">
        <v>413.22102198452262</v>
      </c>
      <c r="C653" s="3">
        <v>314.16840632479722</v>
      </c>
      <c r="D653" s="3">
        <v>295.37518025193435</v>
      </c>
      <c r="E653" s="3">
        <v>321.92561266762385</v>
      </c>
      <c r="F653" s="3">
        <v>319.21417191914691</v>
      </c>
      <c r="G653" s="19">
        <v>44360</v>
      </c>
      <c r="H653" s="20">
        <v>148.04166666666666</v>
      </c>
      <c r="I653" s="20">
        <v>86.085416666666674</v>
      </c>
      <c r="J653" s="20">
        <v>21.797916666666669</v>
      </c>
      <c r="K653" s="20">
        <v>2.4</v>
      </c>
      <c r="L653" s="20">
        <v>230.9375</v>
      </c>
      <c r="M653" s="20">
        <v>7.645833333333333</v>
      </c>
      <c r="N653" s="20">
        <v>0.97916666666666663</v>
      </c>
      <c r="O653" s="20">
        <v>19.268750000000001</v>
      </c>
      <c r="P653" s="10">
        <v>0.39540905252551695</v>
      </c>
      <c r="Q653" s="21">
        <v>0.46043750000000033</v>
      </c>
      <c r="R653" s="21">
        <v>0.53239583333333351</v>
      </c>
      <c r="S653" s="21">
        <v>0.58054166666666629</v>
      </c>
      <c r="T653" s="21">
        <v>0.59283333333333321</v>
      </c>
      <c r="U653" s="21">
        <v>0.60443750000000007</v>
      </c>
      <c r="V653" s="21">
        <v>0.49929166666666686</v>
      </c>
      <c r="W653" s="21">
        <v>0.47412500000000013</v>
      </c>
      <c r="X653" s="21">
        <v>0.40616666666666662</v>
      </c>
      <c r="Y653" s="21">
        <v>0.29793749999999986</v>
      </c>
      <c r="Z653" s="23">
        <f>AVERAGE(Q653,U653)</f>
        <v>0.53243750000000023</v>
      </c>
      <c r="AA653" s="23">
        <f>AVERAGE(R653:T653,V653:X653)</f>
        <v>0.51422569444444433</v>
      </c>
      <c r="AB653" s="23">
        <f t="shared" si="10"/>
        <v>0.51753693181818172</v>
      </c>
    </row>
    <row r="654" spans="1:28">
      <c r="A654" s="9">
        <v>44361</v>
      </c>
      <c r="B654" s="3">
        <v>670.15257993545117</v>
      </c>
      <c r="C654" s="3">
        <v>480.31743215511966</v>
      </c>
      <c r="D654" s="3">
        <v>473.53237676978324</v>
      </c>
      <c r="E654" s="3">
        <v>457.97226739563916</v>
      </c>
      <c r="F654" s="3">
        <v>462.10609369858656</v>
      </c>
      <c r="G654" s="19">
        <v>44361</v>
      </c>
      <c r="H654" s="20">
        <v>201.52083333333334</v>
      </c>
      <c r="I654" s="20">
        <v>81.356250000000003</v>
      </c>
      <c r="J654" s="20">
        <v>22.608333333333338</v>
      </c>
      <c r="K654" s="20">
        <v>0</v>
      </c>
      <c r="L654" s="20">
        <v>230.5625</v>
      </c>
      <c r="M654" s="20">
        <v>14.875</v>
      </c>
      <c r="N654" s="20">
        <v>2.375</v>
      </c>
      <c r="O654" s="20">
        <v>19.162500000000005</v>
      </c>
      <c r="P654" s="10">
        <v>0.54544557398495164</v>
      </c>
      <c r="Q654" s="21">
        <v>0.44258333333333333</v>
      </c>
      <c r="R654" s="21">
        <v>0.52195833333333308</v>
      </c>
      <c r="S654" s="21">
        <v>0.57352083333333337</v>
      </c>
      <c r="T654" s="21">
        <v>0.58745833333333308</v>
      </c>
      <c r="U654" s="21">
        <v>0.59810416666666655</v>
      </c>
      <c r="V654" s="21">
        <v>0.48879166666666701</v>
      </c>
      <c r="W654" s="21">
        <v>0.46954166666666636</v>
      </c>
      <c r="X654" s="21">
        <v>0.4018750000000002</v>
      </c>
      <c r="Y654" s="21">
        <v>0.2832564102564103</v>
      </c>
      <c r="Z654" s="23">
        <f>AVERAGE(Q654,U654)</f>
        <v>0.52034374999999988</v>
      </c>
      <c r="AA654" s="23">
        <f>AVERAGE(R654:T654,V654:X654)</f>
        <v>0.5071909722222222</v>
      </c>
      <c r="AB654" s="23">
        <f t="shared" si="10"/>
        <v>0.5095823863636364</v>
      </c>
    </row>
    <row r="655" spans="1:28">
      <c r="A655" s="9">
        <v>44362</v>
      </c>
      <c r="B655" s="3">
        <v>556.94208010755608</v>
      </c>
      <c r="C655" s="3">
        <v>412.35621328639871</v>
      </c>
      <c r="D655" s="3">
        <v>387.71488406317013</v>
      </c>
      <c r="E655" s="3">
        <v>416.85091369377352</v>
      </c>
      <c r="F655" s="3">
        <v>422.38652302396235</v>
      </c>
      <c r="G655" s="19">
        <v>44362</v>
      </c>
      <c r="H655" s="20">
        <v>152.6875</v>
      </c>
      <c r="I655" s="20">
        <v>82.581250000000011</v>
      </c>
      <c r="J655" s="20">
        <v>22.929166666666671</v>
      </c>
      <c r="K655" s="20">
        <v>0</v>
      </c>
      <c r="L655" s="20">
        <v>233.5</v>
      </c>
      <c r="M655" s="20">
        <v>11.979166666666666</v>
      </c>
      <c r="N655" s="20">
        <v>1.9791666666666667</v>
      </c>
      <c r="O655" s="20">
        <v>19.752083333333339</v>
      </c>
      <c r="P655" s="10">
        <v>0.51133482309620271</v>
      </c>
      <c r="Q655" s="21">
        <v>0.42468749999999994</v>
      </c>
      <c r="R655" s="21">
        <v>0.512083333333333</v>
      </c>
      <c r="S655" s="21">
        <v>0.56535416666666638</v>
      </c>
      <c r="T655" s="21">
        <v>0.58268749999999936</v>
      </c>
      <c r="U655" s="21">
        <v>0.59114583333333359</v>
      </c>
      <c r="V655" s="21">
        <v>0.48014583333333305</v>
      </c>
      <c r="W655" s="21">
        <v>0.46545833333333347</v>
      </c>
      <c r="X655" s="21">
        <v>0.39812500000000028</v>
      </c>
      <c r="Y655" s="21">
        <v>0.25140000000000007</v>
      </c>
      <c r="Z655" s="23">
        <f>AVERAGE(Q655,U655)</f>
        <v>0.50791666666666679</v>
      </c>
      <c r="AA655" s="23">
        <f>AVERAGE(R655:T655,V655:X655)</f>
        <v>0.50064236111111093</v>
      </c>
      <c r="AB655" s="23">
        <f t="shared" si="10"/>
        <v>0.501964962121212</v>
      </c>
    </row>
    <row r="656" spans="1:28">
      <c r="A656" s="9">
        <v>44363</v>
      </c>
      <c r="B656" s="3">
        <v>610.99765389109143</v>
      </c>
      <c r="C656" s="3">
        <v>456.43648355556667</v>
      </c>
      <c r="D656" s="3">
        <v>448.84715363479012</v>
      </c>
      <c r="E656" s="3">
        <v>454.26750109813872</v>
      </c>
      <c r="F656" s="3">
        <v>461.88706777597923</v>
      </c>
      <c r="G656" s="19">
        <v>44363</v>
      </c>
      <c r="H656" s="20">
        <v>184.0625</v>
      </c>
      <c r="I656" s="20">
        <v>83.010416666666671</v>
      </c>
      <c r="J656" s="20">
        <v>24.283333333333331</v>
      </c>
      <c r="K656" s="20">
        <v>0</v>
      </c>
      <c r="L656" s="20">
        <v>232.16666666666666</v>
      </c>
      <c r="M656" s="20">
        <v>10.645833333333334</v>
      </c>
      <c r="N656" s="20">
        <v>2.0625</v>
      </c>
      <c r="O656" s="20">
        <v>21.104166666666661</v>
      </c>
      <c r="P656" s="10">
        <v>0.56403229273576028</v>
      </c>
      <c r="Q656" s="21">
        <v>0.40618749999999998</v>
      </c>
      <c r="R656" s="21">
        <v>0.5039166666666669</v>
      </c>
      <c r="S656" s="21">
        <v>0.55677083333333344</v>
      </c>
      <c r="T656" s="21">
        <v>0.57762500000000039</v>
      </c>
      <c r="U656" s="21">
        <v>0.58420833333333311</v>
      </c>
      <c r="V656" s="21">
        <v>0.47185416666666652</v>
      </c>
      <c r="W656" s="21">
        <v>0.46062500000000001</v>
      </c>
      <c r="X656" s="21">
        <v>0.39452083333333343</v>
      </c>
      <c r="Y656" s="21">
        <v>0.229304347826087</v>
      </c>
      <c r="Z656" s="23">
        <f>AVERAGE(Q656,U656)</f>
        <v>0.49519791666666657</v>
      </c>
      <c r="AA656" s="23">
        <f>AVERAGE(R656:T656,V656:X656)</f>
        <v>0.4942187500000001</v>
      </c>
      <c r="AB656" s="23">
        <f t="shared" si="10"/>
        <v>0.49439678030303041</v>
      </c>
    </row>
    <row r="657" spans="1:28">
      <c r="A657" s="9">
        <v>44364</v>
      </c>
      <c r="B657" s="3">
        <v>727.92913371966301</v>
      </c>
      <c r="C657" s="3">
        <v>547.96293080664918</v>
      </c>
      <c r="D657" s="3">
        <v>554.22689174933646</v>
      </c>
      <c r="E657" s="3">
        <v>548.26520342733852</v>
      </c>
      <c r="F657" s="3">
        <v>497.77922070781966</v>
      </c>
      <c r="G657" s="19">
        <v>44364</v>
      </c>
      <c r="H657" s="20">
        <v>237.20833333333334</v>
      </c>
      <c r="I657" s="20">
        <v>78.752083333333346</v>
      </c>
      <c r="J657" s="20">
        <v>25.724999999999998</v>
      </c>
      <c r="K657" s="20">
        <v>0</v>
      </c>
      <c r="L657" s="20">
        <v>236.3125</v>
      </c>
      <c r="M657" s="20">
        <v>12.791666666666666</v>
      </c>
      <c r="N657" s="20">
        <v>2.4166666666666665</v>
      </c>
      <c r="O657" s="20">
        <v>21.637500000000003</v>
      </c>
      <c r="P657" s="10">
        <v>0.75360192460588327</v>
      </c>
      <c r="Q657" s="21">
        <v>0.37743750000000015</v>
      </c>
      <c r="R657" s="21">
        <v>0.4922500000000003</v>
      </c>
      <c r="S657" s="21">
        <v>0.54362500000000002</v>
      </c>
      <c r="T657" s="21">
        <v>0.56883333333333352</v>
      </c>
      <c r="U657" s="21">
        <v>0.57325000000000015</v>
      </c>
      <c r="V657" s="21">
        <v>0.45839583333333339</v>
      </c>
      <c r="W657" s="21">
        <v>0.45231250000000012</v>
      </c>
      <c r="X657" s="21">
        <v>0.38860416666666664</v>
      </c>
      <c r="Y657" s="21">
        <v>0.21018181818181836</v>
      </c>
      <c r="Z657" s="23">
        <f>AVERAGE(Q657,U657)</f>
        <v>0.47534375000000018</v>
      </c>
      <c r="AA657" s="23">
        <f>AVERAGE(R657:T657,V657:X657)</f>
        <v>0.48400347222222234</v>
      </c>
      <c r="AB657" s="23">
        <f t="shared" si="10"/>
        <v>0.48242897727272743</v>
      </c>
    </row>
    <row r="658" spans="1:28">
      <c r="A658" s="9">
        <v>44365</v>
      </c>
      <c r="B658" s="3">
        <v>708.60290434200601</v>
      </c>
      <c r="C658" s="3">
        <v>514.36343813036729</v>
      </c>
      <c r="D658" s="3">
        <v>487.29808365687512</v>
      </c>
      <c r="E658" s="3">
        <v>558.62571373506898</v>
      </c>
      <c r="F658" s="3">
        <v>480.12386455702352</v>
      </c>
      <c r="G658" s="19">
        <v>44365</v>
      </c>
      <c r="H658" s="20">
        <v>237.77083333333334</v>
      </c>
      <c r="I658" s="20">
        <v>78.802083333333357</v>
      </c>
      <c r="J658" s="20">
        <v>25.868750000000002</v>
      </c>
      <c r="K658" s="20">
        <v>2.7</v>
      </c>
      <c r="L658" s="20">
        <v>233.125</v>
      </c>
      <c r="M658" s="20">
        <v>13.895833333333334</v>
      </c>
      <c r="N658" s="20">
        <v>2.25</v>
      </c>
      <c r="O658" s="20">
        <v>21.777083333333334</v>
      </c>
      <c r="P658" s="10">
        <v>0.76659708145289418</v>
      </c>
      <c r="Q658" s="21">
        <v>0.34554166666666669</v>
      </c>
      <c r="R658" s="21">
        <v>0.47639583333333319</v>
      </c>
      <c r="S658" s="21">
        <v>0.52760416666666643</v>
      </c>
      <c r="T658" s="21">
        <v>0.55495833333333355</v>
      </c>
      <c r="U658" s="21">
        <v>0.55777083333333322</v>
      </c>
      <c r="V658" s="21">
        <v>0.4404791666666667</v>
      </c>
      <c r="W658" s="21">
        <v>0.44022916666666639</v>
      </c>
      <c r="X658" s="21">
        <v>0.38045833333333334</v>
      </c>
      <c r="Y658" s="21">
        <v>0.18788372093023248</v>
      </c>
      <c r="Z658" s="23">
        <f>AVERAGE(Q658,U658)</f>
        <v>0.45165624999999998</v>
      </c>
      <c r="AA658" s="23">
        <f>AVERAGE(R658:T658,V658:X658)</f>
        <v>0.47002083333333328</v>
      </c>
      <c r="AB658" s="23">
        <f t="shared" si="10"/>
        <v>0.46668181818181814</v>
      </c>
    </row>
    <row r="659" spans="1:28">
      <c r="A659" s="9">
        <v>44366</v>
      </c>
      <c r="B659" s="3">
        <v>493.80076346816389</v>
      </c>
      <c r="C659" s="3">
        <v>352.34142863575397</v>
      </c>
      <c r="D659" s="3">
        <v>285.1470152343706</v>
      </c>
      <c r="E659" s="3">
        <v>358.31643398200129</v>
      </c>
      <c r="F659" s="3">
        <v>309.80329011391564</v>
      </c>
      <c r="G659" s="19">
        <v>44366</v>
      </c>
      <c r="H659" s="20">
        <v>165.9375</v>
      </c>
      <c r="I659" s="20">
        <v>84.620833333333323</v>
      </c>
      <c r="J659" s="20">
        <v>21.947916666666668</v>
      </c>
      <c r="K659" s="20">
        <v>0.89999999999999991</v>
      </c>
      <c r="L659" s="20">
        <v>238.41666666666666</v>
      </c>
      <c r="M659" s="20">
        <v>3.125</v>
      </c>
      <c r="N659" s="20">
        <v>8.3333333333333329E-2</v>
      </c>
      <c r="O659" s="20">
        <v>19.127083333333331</v>
      </c>
      <c r="P659" s="10">
        <v>0.45780380469585591</v>
      </c>
      <c r="Q659" s="21">
        <v>0.32362499999999988</v>
      </c>
      <c r="R659" s="21">
        <v>0.46079166666666654</v>
      </c>
      <c r="S659" s="21">
        <v>0.51366666666666716</v>
      </c>
      <c r="T659" s="21">
        <v>0.5411041666666665</v>
      </c>
      <c r="U659" s="21">
        <v>0.54254166666666681</v>
      </c>
      <c r="V659" s="21">
        <v>0.42343750000000013</v>
      </c>
      <c r="W659" s="21">
        <v>0.42895833333333333</v>
      </c>
      <c r="X659" s="21">
        <v>0.37212499999999987</v>
      </c>
      <c r="Y659" s="21">
        <v>0.17230434782608706</v>
      </c>
      <c r="Z659" s="23">
        <f>AVERAGE(Q659,U659)</f>
        <v>0.43308333333333338</v>
      </c>
      <c r="AA659" s="23">
        <f>AVERAGE(R659:T659,V659:X659)</f>
        <v>0.45668055555555559</v>
      </c>
      <c r="AB659" s="23">
        <f t="shared" si="10"/>
        <v>0.45239015151515155</v>
      </c>
    </row>
    <row r="660" spans="1:28">
      <c r="A660" s="9">
        <v>44367</v>
      </c>
      <c r="B660" s="3">
        <v>449.23506790677396</v>
      </c>
      <c r="C660" s="3">
        <v>361.35847030489828</v>
      </c>
      <c r="D660" s="3">
        <v>315.58757739916507</v>
      </c>
      <c r="E660" s="3">
        <v>387.56867159955988</v>
      </c>
      <c r="F660" s="3">
        <v>366.44146233415034</v>
      </c>
      <c r="G660" s="19">
        <v>44367</v>
      </c>
      <c r="H660" s="20">
        <v>144.52083333333334</v>
      </c>
      <c r="I660" s="20">
        <v>83.36666666666666</v>
      </c>
      <c r="J660" s="20">
        <v>20.779166666666665</v>
      </c>
      <c r="K660" s="20">
        <v>1.7</v>
      </c>
      <c r="L660" s="20">
        <v>182.41666666666666</v>
      </c>
      <c r="M660" s="20">
        <v>1.4791666666666667</v>
      </c>
      <c r="N660" s="20">
        <v>0</v>
      </c>
      <c r="O660" s="20">
        <v>17.724999999999998</v>
      </c>
      <c r="P660" s="10">
        <v>0.45805477906539971</v>
      </c>
      <c r="Q660" s="21">
        <v>0.30929166666666658</v>
      </c>
      <c r="R660" s="21">
        <v>0.44633333333333319</v>
      </c>
      <c r="S660" s="21">
        <v>0.50202083333333347</v>
      </c>
      <c r="T660" s="21">
        <v>0.52906249999999999</v>
      </c>
      <c r="U660" s="21">
        <v>0.52749999999999997</v>
      </c>
      <c r="V660" s="21">
        <v>0.41099999999999975</v>
      </c>
      <c r="W660" s="21">
        <v>0.4198333333333335</v>
      </c>
      <c r="X660" s="21">
        <v>0.36629166666666668</v>
      </c>
      <c r="Y660" s="21">
        <v>0.16395555555555552</v>
      </c>
      <c r="Z660" s="23">
        <f>AVERAGE(Q660,U660)</f>
        <v>0.4183958333333333</v>
      </c>
      <c r="AA660" s="23">
        <f>AVERAGE(R660:T660,V660:X660)</f>
        <v>0.44575694444444447</v>
      </c>
      <c r="AB660" s="23">
        <f t="shared" si="10"/>
        <v>0.44078219696969695</v>
      </c>
    </row>
    <row r="661" spans="1:28">
      <c r="A661" s="9">
        <v>44368</v>
      </c>
      <c r="B661" s="3">
        <v>504.99359285380774</v>
      </c>
      <c r="C661" s="3">
        <v>439.33522676448189</v>
      </c>
      <c r="D661" s="3">
        <v>365.58855825682616</v>
      </c>
      <c r="E661" s="3">
        <v>408.90025923929477</v>
      </c>
      <c r="F661" s="3">
        <v>389.41606043403635</v>
      </c>
      <c r="G661" s="19">
        <v>44368</v>
      </c>
      <c r="H661" s="20">
        <v>146.75</v>
      </c>
      <c r="I661" s="20">
        <v>77.304166666666674</v>
      </c>
      <c r="J661" s="20">
        <v>21.5</v>
      </c>
      <c r="K661" s="20">
        <v>0</v>
      </c>
      <c r="L661" s="20">
        <v>274.02083333333331</v>
      </c>
      <c r="M661" s="20">
        <v>1.5833333333333333</v>
      </c>
      <c r="N661" s="20">
        <v>0</v>
      </c>
      <c r="O661" s="20">
        <v>17.237500000000001</v>
      </c>
      <c r="P661" s="10">
        <v>0.62798267832191745</v>
      </c>
      <c r="Q661" s="21">
        <v>0.29654166666666637</v>
      </c>
      <c r="R661" s="21">
        <v>0.42939583333333348</v>
      </c>
      <c r="S661" s="21">
        <v>0.4882708333333336</v>
      </c>
      <c r="T661" s="21">
        <v>0.51327083333333345</v>
      </c>
      <c r="U661" s="21">
        <v>0.51260416666666675</v>
      </c>
      <c r="V661" s="21">
        <v>0.39660416666666692</v>
      </c>
      <c r="W661" s="21">
        <v>0.40774999999999983</v>
      </c>
      <c r="X661" s="21">
        <v>0.35781250000000003</v>
      </c>
      <c r="Y661" s="21">
        <v>0.15767499999999998</v>
      </c>
      <c r="Z661" s="23">
        <f>AVERAGE(Q661,U661)</f>
        <v>0.40457291666666656</v>
      </c>
      <c r="AA661" s="23">
        <f>AVERAGE(R661:T661,V661:X661)</f>
        <v>0.43218402777777792</v>
      </c>
      <c r="AB661" s="23">
        <f t="shared" si="10"/>
        <v>0.42716382575757594</v>
      </c>
    </row>
    <row r="662" spans="1:28">
      <c r="A662" s="9">
        <v>44369</v>
      </c>
      <c r="B662" s="3">
        <v>584.64661811550445</v>
      </c>
      <c r="C662" s="3">
        <v>518.01473256303552</v>
      </c>
      <c r="D662" s="3">
        <v>413.027548805913</v>
      </c>
      <c r="E662" s="3">
        <v>466.83500162254211</v>
      </c>
      <c r="F662" s="3">
        <v>367.14244299923041</v>
      </c>
      <c r="G662" s="19">
        <v>44369</v>
      </c>
      <c r="H662" s="20">
        <v>216.54166666666666</v>
      </c>
      <c r="I662" s="20">
        <v>71.362499999999983</v>
      </c>
      <c r="J662" s="20">
        <v>22.841666666666672</v>
      </c>
      <c r="K662" s="20">
        <v>0</v>
      </c>
      <c r="L662" s="20">
        <v>234.77083333333334</v>
      </c>
      <c r="M662" s="20">
        <v>1.4583333333333333</v>
      </c>
      <c r="N662" s="20">
        <v>0</v>
      </c>
      <c r="O662" s="20">
        <v>17.070833333333329</v>
      </c>
      <c r="P662" s="10">
        <v>0.90894842435547807</v>
      </c>
      <c r="Q662" s="21">
        <v>0.28458333333333319</v>
      </c>
      <c r="R662" s="21">
        <v>0.40956249999999983</v>
      </c>
      <c r="S662" s="21">
        <v>0.47295833333333342</v>
      </c>
      <c r="T662" s="21">
        <v>0.49558333333333326</v>
      </c>
      <c r="U662" s="21">
        <v>0.49699999999999994</v>
      </c>
      <c r="V662" s="21">
        <v>0.38124999999999981</v>
      </c>
      <c r="W662" s="21">
        <v>0.39366666666666678</v>
      </c>
      <c r="X662" s="21">
        <v>0.34806250000000011</v>
      </c>
      <c r="Y662" s="21">
        <v>0.14964285714285708</v>
      </c>
      <c r="Z662" s="23">
        <f>AVERAGE(Q662,U662)</f>
        <v>0.39079166666666654</v>
      </c>
      <c r="AA662" s="23">
        <f>AVERAGE(R662:T662,V662:X662)</f>
        <v>0.4168472222222222</v>
      </c>
      <c r="AB662" s="23">
        <f t="shared" si="10"/>
        <v>0.41210984848484844</v>
      </c>
    </row>
    <row r="663" spans="1:28">
      <c r="A663" s="9">
        <v>44370</v>
      </c>
      <c r="B663" s="3">
        <v>533.32613051828753</v>
      </c>
      <c r="C663" s="3">
        <v>498.90284592574778</v>
      </c>
      <c r="D663" s="3">
        <v>367.62606523732563</v>
      </c>
      <c r="E663" s="3">
        <v>426.72961581275501</v>
      </c>
      <c r="F663" s="3">
        <v>325.36285454568235</v>
      </c>
      <c r="G663" s="19">
        <v>44370</v>
      </c>
      <c r="H663" s="20">
        <v>156.9375</v>
      </c>
      <c r="I663" s="20">
        <v>76.822916666666671</v>
      </c>
      <c r="J663" s="20">
        <v>23.254166666666666</v>
      </c>
      <c r="K663" s="20">
        <v>0</v>
      </c>
      <c r="L663" s="20">
        <v>220.16666666666666</v>
      </c>
      <c r="M663" s="20">
        <v>4.229166666666667</v>
      </c>
      <c r="N663" s="20">
        <v>6.25E-2</v>
      </c>
      <c r="O663" s="20">
        <v>18.883333333333329</v>
      </c>
      <c r="P663" s="10">
        <v>0.6942300523962327</v>
      </c>
      <c r="Q663" s="21">
        <v>0.27456250000000032</v>
      </c>
      <c r="R663" s="21">
        <v>0.3903541666666665</v>
      </c>
      <c r="S663" s="21">
        <v>0.45797916666666688</v>
      </c>
      <c r="T663" s="21">
        <v>0.47774999999999973</v>
      </c>
      <c r="U663" s="21">
        <v>0.48231249999999998</v>
      </c>
      <c r="V663" s="21">
        <v>0.36616666666666692</v>
      </c>
      <c r="W663" s="21">
        <v>0.37866666666666665</v>
      </c>
      <c r="X663" s="21">
        <v>0.33718750000000014</v>
      </c>
      <c r="Y663" s="21">
        <v>0.1437272727272727</v>
      </c>
      <c r="Z663" s="23">
        <f>AVERAGE(Q663,U663)</f>
        <v>0.37843750000000015</v>
      </c>
      <c r="AA663" s="23">
        <f>AVERAGE(R663:T663,V663:X663)</f>
        <v>0.40135069444444449</v>
      </c>
      <c r="AB663" s="23">
        <f t="shared" si="10"/>
        <v>0.39718465909090911</v>
      </c>
    </row>
    <row r="664" spans="1:28">
      <c r="A664" s="9">
        <v>44371</v>
      </c>
      <c r="B664" s="3">
        <v>439.52413543929288</v>
      </c>
      <c r="C664" s="3">
        <v>418.64505549968789</v>
      </c>
      <c r="D664" s="3">
        <v>326.55538703411474</v>
      </c>
      <c r="E664" s="3">
        <v>351.197613421357</v>
      </c>
      <c r="F664" s="3">
        <v>347.98701821096722</v>
      </c>
      <c r="G664" s="19">
        <v>44371</v>
      </c>
      <c r="H664" s="20">
        <v>146.83333333333334</v>
      </c>
      <c r="I664" s="20">
        <v>85.608333333333348</v>
      </c>
      <c r="J664" s="20">
        <v>22.50833333333334</v>
      </c>
      <c r="K664" s="20">
        <v>17.5</v>
      </c>
      <c r="L664" s="20">
        <v>238.47916666666666</v>
      </c>
      <c r="M664" s="20">
        <v>6.1875</v>
      </c>
      <c r="N664" s="20">
        <v>0.20833333333333334</v>
      </c>
      <c r="O664" s="20">
        <v>19.839583333333341</v>
      </c>
      <c r="P664" s="10">
        <v>0.44115000494772133</v>
      </c>
      <c r="Q664" s="21">
        <v>0.27895833333333336</v>
      </c>
      <c r="R664" s="21">
        <v>0.37897916666666659</v>
      </c>
      <c r="S664" s="21">
        <v>0.4464583333333334</v>
      </c>
      <c r="T664" s="21">
        <v>0.46599999999999958</v>
      </c>
      <c r="U664" s="21">
        <v>0.47464583333333327</v>
      </c>
      <c r="V664" s="21">
        <v>0.36506250000000007</v>
      </c>
      <c r="W664" s="21">
        <v>0.36989583333333337</v>
      </c>
      <c r="X664" s="21">
        <v>0.32937499999999986</v>
      </c>
      <c r="Y664" s="21">
        <v>0.13933333333333334</v>
      </c>
      <c r="Z664" s="23">
        <f>AVERAGE(Q664,U664)</f>
        <v>0.37680208333333332</v>
      </c>
      <c r="AA664" s="23">
        <f>AVERAGE(R664:T664,V664:X664)</f>
        <v>0.39262847222222214</v>
      </c>
      <c r="AB664" s="23">
        <f t="shared" si="10"/>
        <v>0.38975094696969692</v>
      </c>
    </row>
    <row r="665" spans="1:28">
      <c r="A665" s="9">
        <v>44372</v>
      </c>
      <c r="B665" s="3">
        <v>493.82727364586452</v>
      </c>
      <c r="C665" s="3">
        <v>461.26730007234835</v>
      </c>
      <c r="D665" s="3">
        <v>391.14130549995201</v>
      </c>
      <c r="E665" s="3">
        <v>412.24645259418611</v>
      </c>
      <c r="F665" s="3">
        <v>452.56433400220027</v>
      </c>
      <c r="G665" s="19">
        <v>44372</v>
      </c>
      <c r="H665" s="20">
        <v>175.33333333333334</v>
      </c>
      <c r="I665" s="20">
        <v>82.154166666666654</v>
      </c>
      <c r="J665" s="20">
        <v>23.306250000000002</v>
      </c>
      <c r="K665" s="20">
        <v>0</v>
      </c>
      <c r="L665" s="20">
        <v>225.58333333333334</v>
      </c>
      <c r="M665" s="20">
        <v>6.666666666666667</v>
      </c>
      <c r="N665" s="20">
        <v>0.41666666666666669</v>
      </c>
      <c r="O665" s="20">
        <v>19.962500000000002</v>
      </c>
      <c r="P665" s="10">
        <v>0.5568939793338572</v>
      </c>
      <c r="Q665" s="21">
        <v>0.30485416666666676</v>
      </c>
      <c r="R665" s="21">
        <v>0.37424999999999997</v>
      </c>
      <c r="S665" s="21">
        <v>0.44050000000000028</v>
      </c>
      <c r="T665" s="21">
        <v>0.46039583333333317</v>
      </c>
      <c r="U665" s="21">
        <v>0.47779166666666661</v>
      </c>
      <c r="V665" s="21">
        <v>0.3757291666666665</v>
      </c>
      <c r="W665" s="21">
        <v>0.3662083333333333</v>
      </c>
      <c r="X665" s="21">
        <v>0.32452083333333331</v>
      </c>
      <c r="Y665" s="21">
        <v>0.23962962962962966</v>
      </c>
      <c r="Z665" s="23">
        <f>AVERAGE(Q665,U665)</f>
        <v>0.39132291666666669</v>
      </c>
      <c r="AA665" s="23">
        <f>AVERAGE(R665:T665,V665:X665)</f>
        <v>0.3902673611111111</v>
      </c>
      <c r="AB665" s="23">
        <f t="shared" si="10"/>
        <v>0.39045928030303034</v>
      </c>
    </row>
    <row r="666" spans="1:28">
      <c r="A666" s="9">
        <v>44373</v>
      </c>
      <c r="B666" s="3">
        <v>403.62176788526108</v>
      </c>
      <c r="C666" s="3">
        <v>394.75780447924399</v>
      </c>
      <c r="D666" s="3">
        <v>362.377848118418</v>
      </c>
      <c r="E666" s="3">
        <v>377.70718758621109</v>
      </c>
      <c r="F666" s="3">
        <v>399.74146806178408</v>
      </c>
      <c r="G666" s="19">
        <v>44373</v>
      </c>
      <c r="H666" s="20">
        <v>166.27083333333334</v>
      </c>
      <c r="I666" s="20">
        <v>84.437500000000028</v>
      </c>
      <c r="J666" s="20">
        <v>23.3125</v>
      </c>
      <c r="K666" s="20">
        <v>0.89999999999999991</v>
      </c>
      <c r="L666" s="20">
        <v>235.5</v>
      </c>
      <c r="M666" s="20">
        <v>9.1041666666666661</v>
      </c>
      <c r="N666" s="20">
        <v>1.3333333333333333</v>
      </c>
      <c r="O666" s="20">
        <v>20.458333333333339</v>
      </c>
      <c r="P666" s="10">
        <v>0.48116569386094121</v>
      </c>
      <c r="Q666" s="21">
        <v>0.29168750000000004</v>
      </c>
      <c r="R666" s="21">
        <v>0.37229166666666669</v>
      </c>
      <c r="S666" s="21">
        <v>0.43968749999999979</v>
      </c>
      <c r="T666" s="21">
        <v>0.45831250000000012</v>
      </c>
      <c r="U666" s="21">
        <v>0.47114583333333321</v>
      </c>
      <c r="V666" s="21">
        <v>0.36381250000000015</v>
      </c>
      <c r="W666" s="21">
        <v>0.36449999999999988</v>
      </c>
      <c r="X666" s="21">
        <v>0.32185416666666683</v>
      </c>
      <c r="Y666" s="21">
        <v>0.22252941176470592</v>
      </c>
      <c r="Z666" s="23">
        <f>AVERAGE(Q666,U666)</f>
        <v>0.38141666666666663</v>
      </c>
      <c r="AA666" s="23">
        <f>AVERAGE(R666:T666,V666:X666)</f>
        <v>0.38674305555555555</v>
      </c>
      <c r="AB666" s="23">
        <f t="shared" si="10"/>
        <v>0.38577462121212119</v>
      </c>
    </row>
    <row r="667" spans="1:28">
      <c r="A667" s="9">
        <v>44374</v>
      </c>
      <c r="B667" s="3">
        <v>351.56709045848288</v>
      </c>
      <c r="C667" s="3">
        <v>356.89530465356955</v>
      </c>
      <c r="D667" s="3">
        <v>305.92712285626936</v>
      </c>
      <c r="E667" s="3">
        <v>344.05789647621776</v>
      </c>
      <c r="F667" s="3">
        <v>293.26849200754339</v>
      </c>
      <c r="G667" s="19">
        <v>44374</v>
      </c>
      <c r="H667" s="20">
        <v>126.04166666666667</v>
      </c>
      <c r="I667" s="20">
        <v>83.981250000000003</v>
      </c>
      <c r="J667" s="20">
        <v>23.889583333333331</v>
      </c>
      <c r="K667" s="20">
        <v>0.2</v>
      </c>
      <c r="L667" s="20">
        <v>231.52083333333334</v>
      </c>
      <c r="M667" s="20">
        <v>6.833333333333333</v>
      </c>
      <c r="N667" s="20">
        <v>0.66666666666666663</v>
      </c>
      <c r="O667" s="20">
        <v>20.958333333333332</v>
      </c>
      <c r="P667" s="10">
        <v>0.50149765947552705</v>
      </c>
      <c r="Q667" s="21">
        <v>0.28031249999999996</v>
      </c>
      <c r="R667" s="21">
        <v>0.36856249999999996</v>
      </c>
      <c r="S667" s="21">
        <v>0.4376250000000001</v>
      </c>
      <c r="T667" s="21">
        <v>0.45508333333333328</v>
      </c>
      <c r="U667" s="21">
        <v>0.46427083333333297</v>
      </c>
      <c r="V667" s="21">
        <v>0.3569583333333331</v>
      </c>
      <c r="W667" s="21">
        <v>0.36172916666666649</v>
      </c>
      <c r="X667" s="21">
        <v>0.3187500000000002</v>
      </c>
      <c r="Y667" s="39" t="e">
        <f>#REF!*0.5711-0.0033</f>
        <v>#REF!</v>
      </c>
      <c r="Z667" s="23">
        <f>AVERAGE(Q667,U667)</f>
        <v>0.37229166666666647</v>
      </c>
      <c r="AA667" s="23">
        <f>AVERAGE(R667:T667,V667:X667)</f>
        <v>0.3831180555555555</v>
      </c>
      <c r="AB667" s="23">
        <f t="shared" si="10"/>
        <v>0.38114962121212115</v>
      </c>
    </row>
    <row r="668" spans="1:28">
      <c r="A668" s="9">
        <v>44375</v>
      </c>
      <c r="B668" s="3">
        <v>149.60708842555604</v>
      </c>
      <c r="C668" s="3">
        <v>82.262106817203787</v>
      </c>
      <c r="D668" s="3">
        <v>52.499551779298216</v>
      </c>
      <c r="E668" s="3">
        <v>153.35537197227185</v>
      </c>
      <c r="F668" s="3">
        <v>88.059677587977788</v>
      </c>
      <c r="G668" s="19">
        <v>44375</v>
      </c>
      <c r="H668" s="20">
        <v>95.708333333333329</v>
      </c>
      <c r="I668" s="20">
        <v>92.583333333333329</v>
      </c>
      <c r="J668" s="20">
        <v>21.214583333333341</v>
      </c>
      <c r="K668" s="20">
        <v>74.100000000000023</v>
      </c>
      <c r="L668" s="20">
        <v>249.75</v>
      </c>
      <c r="M668" s="20">
        <v>2.0416666666666665</v>
      </c>
      <c r="N668" s="20">
        <v>4.1666666666666664E-2</v>
      </c>
      <c r="O668" s="20">
        <v>19.910416666666663</v>
      </c>
      <c r="P668" s="10">
        <v>0.20432607517798251</v>
      </c>
      <c r="Q668" s="21">
        <v>0.45422916666666652</v>
      </c>
      <c r="R668" s="21">
        <v>0.51747916666666682</v>
      </c>
      <c r="S668" s="21">
        <v>0.57081249999999994</v>
      </c>
      <c r="T668" s="21">
        <v>0.59850000000000014</v>
      </c>
      <c r="U668" s="21">
        <v>0.60120833333333312</v>
      </c>
      <c r="V668" s="21">
        <v>0.49093749999999997</v>
      </c>
      <c r="W668" s="21">
        <v>0.46112500000000006</v>
      </c>
      <c r="X668" s="21">
        <v>0.39602083333333343</v>
      </c>
      <c r="Y668" s="39" t="e">
        <f>#REF!*0.5711-0.0033</f>
        <v>#REF!</v>
      </c>
      <c r="Z668" s="23">
        <f>AVERAGE(Q668,U668)</f>
        <v>0.52771874999999979</v>
      </c>
      <c r="AA668" s="23">
        <f>AVERAGE(R668:T668,V668:X668)</f>
        <v>0.5058125</v>
      </c>
      <c r="AB668" s="23">
        <f t="shared" si="10"/>
        <v>0.5097954545454545</v>
      </c>
    </row>
    <row r="669" spans="1:28">
      <c r="A669" s="9">
        <v>44376</v>
      </c>
      <c r="B669" s="3">
        <v>253.43431198374131</v>
      </c>
      <c r="C669" s="3">
        <v>152.0985188554707</v>
      </c>
      <c r="D669" s="3">
        <v>113.52488675572276</v>
      </c>
      <c r="E669" s="3">
        <v>204.19701315039219</v>
      </c>
      <c r="F669" s="3">
        <v>194.17174967909293</v>
      </c>
      <c r="G669" s="19">
        <v>44376</v>
      </c>
      <c r="H669" s="20">
        <v>110.04166666666667</v>
      </c>
      <c r="I669" s="20">
        <v>92.610416666666666</v>
      </c>
      <c r="J669" s="20">
        <v>21.560416666666669</v>
      </c>
      <c r="K669" s="20">
        <v>13.899999999999999</v>
      </c>
      <c r="L669" s="20">
        <v>245.54166666666666</v>
      </c>
      <c r="M669" s="20">
        <v>0.6875</v>
      </c>
      <c r="N669" s="20">
        <v>0</v>
      </c>
      <c r="O669" s="20">
        <v>20.243750000000002</v>
      </c>
      <c r="P669" s="10">
        <v>0.22089286690739973</v>
      </c>
      <c r="Q669" s="21">
        <v>0.45208333333333334</v>
      </c>
      <c r="R669" s="21">
        <v>0.53595833333333365</v>
      </c>
      <c r="S669" s="21">
        <v>0.58493749999999967</v>
      </c>
      <c r="T669" s="21">
        <v>0.59668750000000026</v>
      </c>
      <c r="U669" s="21">
        <v>0.609375</v>
      </c>
      <c r="V669" s="21">
        <v>0.49322916666666655</v>
      </c>
      <c r="W669" s="21">
        <v>0.47616666666666702</v>
      </c>
      <c r="X669" s="21">
        <v>0.41143750000000012</v>
      </c>
      <c r="Y669" s="39" t="e">
        <f>#REF!*0.5711-0.0033</f>
        <v>#REF!</v>
      </c>
      <c r="Z669" s="23">
        <f>AVERAGE(Q669,U669)</f>
        <v>0.5307291666666667</v>
      </c>
      <c r="AA669" s="23">
        <f>AVERAGE(R669:T669,V669:X669)</f>
        <v>0.51640277777777788</v>
      </c>
      <c r="AB669" s="23">
        <f t="shared" si="10"/>
        <v>0.51900757575757583</v>
      </c>
    </row>
    <row r="670" spans="1:28">
      <c r="A670" s="9">
        <v>44377</v>
      </c>
      <c r="B670" s="3">
        <v>8.7052365951142647</v>
      </c>
      <c r="C670" s="3">
        <v>113.37976065703971</v>
      </c>
      <c r="D670" s="3">
        <v>43.356450941234023</v>
      </c>
      <c r="E670" s="3">
        <v>70.000812230577708</v>
      </c>
      <c r="F670" s="3">
        <v>95.255268680047109</v>
      </c>
      <c r="G670" s="19">
        <v>44377</v>
      </c>
      <c r="H670" s="20">
        <v>80.25</v>
      </c>
      <c r="I670" s="20">
        <v>95.381250000000009</v>
      </c>
      <c r="J670" s="20">
        <v>20.954166666666662</v>
      </c>
      <c r="K670" s="20">
        <v>14.699999999999998</v>
      </c>
      <c r="L670" s="20">
        <v>162.16666666666666</v>
      </c>
      <c r="M670" s="20">
        <v>0.35416666666666669</v>
      </c>
      <c r="N670" s="20">
        <v>0</v>
      </c>
      <c r="O670" s="20">
        <v>20.181249999999999</v>
      </c>
      <c r="P670" s="10">
        <v>0.11922090667953328</v>
      </c>
      <c r="Q670" s="21">
        <v>0.49181250000000004</v>
      </c>
      <c r="R670" s="21">
        <v>0.56200000000000017</v>
      </c>
      <c r="S670" s="21">
        <v>0.60197916666666684</v>
      </c>
      <c r="T670" s="21">
        <v>0.62152083333333319</v>
      </c>
      <c r="U670" s="21">
        <v>0.62499999999999989</v>
      </c>
      <c r="V670" s="21">
        <v>0.53187499999999988</v>
      </c>
      <c r="W670" s="21">
        <v>0.49222916666666666</v>
      </c>
      <c r="X670" s="21">
        <v>0.43454166666666655</v>
      </c>
      <c r="Y670" s="39" t="e">
        <f>#REF!*0.5711-0.0033</f>
        <v>#REF!</v>
      </c>
      <c r="Z670" s="23">
        <f>AVERAGE(Q670,U670)</f>
        <v>0.55840624999999999</v>
      </c>
      <c r="AA670" s="23">
        <f>AVERAGE(R670:T670,V670:X670)</f>
        <v>0.54069097222222229</v>
      </c>
      <c r="AB670" s="23">
        <f t="shared" si="10"/>
        <v>0.54391193181818187</v>
      </c>
    </row>
    <row r="671" spans="1:28">
      <c r="A671" s="9">
        <v>44378</v>
      </c>
      <c r="B671" s="3">
        <v>487.57705993139103</v>
      </c>
      <c r="C671" s="3">
        <v>354.73478880197075</v>
      </c>
      <c r="D671" s="3">
        <v>176.61313536416495</v>
      </c>
      <c r="E671" s="3">
        <v>262.65958609641217</v>
      </c>
      <c r="F671" s="3">
        <v>355.50808428951268</v>
      </c>
      <c r="G671" s="19">
        <v>44378</v>
      </c>
      <c r="H671" s="20">
        <v>192.25</v>
      </c>
      <c r="I671" s="20">
        <v>88.516666666666694</v>
      </c>
      <c r="J671" s="20">
        <v>22.481249999999999</v>
      </c>
      <c r="K671" s="20">
        <v>60.900000000000013</v>
      </c>
      <c r="L671" s="20">
        <v>257.16666666666669</v>
      </c>
      <c r="M671" s="20">
        <v>1.7083333333333333</v>
      </c>
      <c r="N671" s="20">
        <v>2.0833333333333332E-2</v>
      </c>
      <c r="O671" s="20">
        <v>20.252083333333335</v>
      </c>
      <c r="P671" s="10">
        <v>0.4055857702446633</v>
      </c>
      <c r="Q671" s="21">
        <v>0.49054166666666649</v>
      </c>
      <c r="R671" s="21">
        <v>0.55791666666666651</v>
      </c>
      <c r="S671" s="21">
        <v>0.60054166666666653</v>
      </c>
      <c r="T671" s="21">
        <v>0.61410416666666656</v>
      </c>
      <c r="U671" s="21">
        <v>0.62347916666666658</v>
      </c>
      <c r="V671" s="21">
        <v>0.5345833333333333</v>
      </c>
      <c r="W671" s="21">
        <v>0.49254166666666649</v>
      </c>
      <c r="X671" s="21">
        <v>0.43239583333333331</v>
      </c>
      <c r="Y671" s="21">
        <v>0.44771428571428562</v>
      </c>
      <c r="Z671" s="23">
        <f>AVERAGE(Q671,U671)</f>
        <v>0.55701041666666651</v>
      </c>
      <c r="AA671" s="23">
        <f>AVERAGE(R671:T671,V671:X671)</f>
        <v>0.5386805555555555</v>
      </c>
      <c r="AB671" s="23">
        <f t="shared" si="10"/>
        <v>0.54201325757575747</v>
      </c>
    </row>
    <row r="672" spans="1:28">
      <c r="A672" s="9">
        <v>44379</v>
      </c>
      <c r="B672" s="3">
        <v>156.38784822014856</v>
      </c>
      <c r="C672" s="3">
        <v>104.54719492301747</v>
      </c>
      <c r="D672" s="3">
        <v>39.314511686196845</v>
      </c>
      <c r="E672" s="3">
        <v>150.98004102185598</v>
      </c>
      <c r="F672" s="3">
        <v>98.761088370642156</v>
      </c>
      <c r="G672" s="19">
        <v>44379</v>
      </c>
      <c r="H672" s="20">
        <v>80.729166666666671</v>
      </c>
      <c r="I672" s="20">
        <v>95.008333333333368</v>
      </c>
      <c r="J672" s="20">
        <v>20.308333333333334</v>
      </c>
      <c r="K672" s="20">
        <v>32.299999999999997</v>
      </c>
      <c r="L672" s="20">
        <v>259.625</v>
      </c>
      <c r="M672" s="20">
        <v>1.3541666666666667</v>
      </c>
      <c r="N672" s="20">
        <v>0</v>
      </c>
      <c r="O672" s="20">
        <v>19.458333333333332</v>
      </c>
      <c r="P672" s="10">
        <v>0.13147497943947309</v>
      </c>
      <c r="Q672" s="21">
        <v>0.51114583333333341</v>
      </c>
      <c r="R672" s="21">
        <v>0.56945833333333318</v>
      </c>
      <c r="S672" s="21">
        <v>0.60910416666666667</v>
      </c>
      <c r="T672" s="21">
        <v>0.62660416666666641</v>
      </c>
      <c r="U672" s="21">
        <v>0.62760416666666652</v>
      </c>
      <c r="V672" s="21">
        <v>0.54749999999999999</v>
      </c>
      <c r="W672" s="21">
        <v>0.49652083333333324</v>
      </c>
      <c r="X672" s="21">
        <v>0.44316666666666649</v>
      </c>
      <c r="Y672" s="21">
        <v>0.41466666666666674</v>
      </c>
      <c r="Z672" s="23">
        <f>AVERAGE(Q672,U672)</f>
        <v>0.56937499999999996</v>
      </c>
      <c r="AA672" s="23">
        <f>AVERAGE(R672:T672,V672:X672)</f>
        <v>0.54872569444444441</v>
      </c>
      <c r="AB672" s="23">
        <f t="shared" si="10"/>
        <v>0.55248011363636362</v>
      </c>
    </row>
    <row r="673" spans="1:28">
      <c r="A673" s="9">
        <v>44380</v>
      </c>
      <c r="B673" s="3">
        <v>123.48922219362815</v>
      </c>
      <c r="C673" s="3">
        <v>129.25202531902343</v>
      </c>
      <c r="D673" s="3">
        <v>55.39213698308906</v>
      </c>
      <c r="E673" s="3">
        <v>130.00277381714145</v>
      </c>
      <c r="F673" s="3">
        <v>136.08007381778756</v>
      </c>
      <c r="G673" s="19">
        <v>44380</v>
      </c>
      <c r="H673" s="20">
        <v>80.125</v>
      </c>
      <c r="I673" s="20">
        <v>94.99166666666666</v>
      </c>
      <c r="J673" s="20">
        <v>20.066666666666666</v>
      </c>
      <c r="K673" s="20">
        <v>6.2</v>
      </c>
      <c r="L673" s="20">
        <v>261.625</v>
      </c>
      <c r="M673" s="20">
        <v>0.91666666666666663</v>
      </c>
      <c r="N673" s="20">
        <v>2.0833333333333332E-2</v>
      </c>
      <c r="O673" s="20">
        <v>19.214583333333341</v>
      </c>
      <c r="P673" s="10">
        <v>0.12547018241287469</v>
      </c>
      <c r="Q673" s="21">
        <v>0.50733333333333341</v>
      </c>
      <c r="R673" s="21">
        <v>0.56693749999999998</v>
      </c>
      <c r="S673" s="21">
        <v>0.60629166666666678</v>
      </c>
      <c r="T673" s="21">
        <v>0.62420833333333325</v>
      </c>
      <c r="U673" s="21">
        <v>0.62668749999999995</v>
      </c>
      <c r="V673" s="21">
        <v>0.54466666666666652</v>
      </c>
      <c r="W673" s="21">
        <v>0.49558333333333332</v>
      </c>
      <c r="X673" s="21">
        <v>0.44199999999999995</v>
      </c>
      <c r="Y673" s="21">
        <v>0.4048958333333334</v>
      </c>
      <c r="Z673" s="23">
        <f>AVERAGE(Q673,U673)</f>
        <v>0.56701041666666674</v>
      </c>
      <c r="AA673" s="23">
        <f>AVERAGE(R673:T673,V673:X673)</f>
        <v>0.54661458333333324</v>
      </c>
      <c r="AB673" s="23">
        <f t="shared" si="10"/>
        <v>0.55032291666666666</v>
      </c>
    </row>
    <row r="674" spans="1:28">
      <c r="A674" s="9">
        <v>44381</v>
      </c>
      <c r="B674" s="3">
        <v>478.11902721031805</v>
      </c>
      <c r="C674" s="3">
        <v>352.52543875090811</v>
      </c>
      <c r="D674" s="3">
        <v>357.17072195488646</v>
      </c>
      <c r="E674" s="3">
        <v>357.76303716706536</v>
      </c>
      <c r="F674" s="3">
        <v>445.34068539405524</v>
      </c>
      <c r="G674" s="19">
        <v>44381</v>
      </c>
      <c r="H674" s="20">
        <v>168.45833333333334</v>
      </c>
      <c r="I674" s="20">
        <v>87.966666666666683</v>
      </c>
      <c r="J674" s="20">
        <v>22.685416666666665</v>
      </c>
      <c r="K674" s="20">
        <v>1.4</v>
      </c>
      <c r="L674" s="20">
        <v>221.625</v>
      </c>
      <c r="M674" s="20">
        <v>5.3125</v>
      </c>
      <c r="N674" s="20">
        <v>0.83333333333333337</v>
      </c>
      <c r="O674" s="20">
        <v>20.439583333333328</v>
      </c>
      <c r="P674" s="10">
        <v>0.39529987072719514</v>
      </c>
      <c r="Q674" s="21">
        <v>0.46618749999999959</v>
      </c>
      <c r="R674" s="21">
        <v>0.54366666666666696</v>
      </c>
      <c r="S674" s="21">
        <v>0.59127083333333308</v>
      </c>
      <c r="T674" s="21">
        <v>0.60356250000000033</v>
      </c>
      <c r="U674" s="21">
        <v>0.61441666666666672</v>
      </c>
      <c r="V674" s="21">
        <v>0.511354166666667</v>
      </c>
      <c r="W674" s="21">
        <v>0.48231249999999976</v>
      </c>
      <c r="X674" s="21">
        <v>0.41974999999999979</v>
      </c>
      <c r="Y674" s="21">
        <v>0.30686111111111114</v>
      </c>
      <c r="Z674" s="23">
        <f>AVERAGE(Q674,U674)</f>
        <v>0.54030208333333318</v>
      </c>
      <c r="AA674" s="23">
        <f>AVERAGE(R674:T674,V674:X674)</f>
        <v>0.52531944444444445</v>
      </c>
      <c r="AB674" s="23">
        <f t="shared" si="10"/>
        <v>0.52804356060606061</v>
      </c>
    </row>
    <row r="675" spans="1:28">
      <c r="A675" s="9">
        <v>44382</v>
      </c>
      <c r="B675" s="3">
        <v>495.91455306324031</v>
      </c>
      <c r="C675" s="3">
        <v>366.52761283055901</v>
      </c>
      <c r="D675" s="3">
        <v>380.95043558611496</v>
      </c>
      <c r="E675" s="3">
        <v>343.37453962767626</v>
      </c>
      <c r="F675" s="3">
        <v>474.52958385680483</v>
      </c>
      <c r="G675" s="19">
        <v>44382</v>
      </c>
      <c r="H675" s="20">
        <v>148.20833333333334</v>
      </c>
      <c r="I675" s="20">
        <v>86.64791666666666</v>
      </c>
      <c r="J675" s="20">
        <v>23.274999999999995</v>
      </c>
      <c r="K675" s="20">
        <v>9</v>
      </c>
      <c r="L675" s="20">
        <v>227.97916666666666</v>
      </c>
      <c r="M675" s="20">
        <v>11.916666666666666</v>
      </c>
      <c r="N675" s="20">
        <v>2.25</v>
      </c>
      <c r="O675" s="20">
        <v>20.868749999999995</v>
      </c>
      <c r="P675" s="10">
        <v>0.40131743328935388</v>
      </c>
      <c r="Q675" s="21">
        <v>0.47883333333333306</v>
      </c>
      <c r="R675" s="21">
        <v>0.5529375000000003</v>
      </c>
      <c r="S675" s="21">
        <v>0.59750000000000025</v>
      </c>
      <c r="T675" s="21">
        <v>0.61304166666666693</v>
      </c>
      <c r="U675" s="21">
        <v>0.62258333333333316</v>
      </c>
      <c r="V675" s="21">
        <v>0.52620833333333339</v>
      </c>
      <c r="W675" s="21">
        <v>0.48720833333333341</v>
      </c>
      <c r="X675" s="21">
        <v>0.42320833333333346</v>
      </c>
      <c r="Y675" s="21">
        <v>0.30414285714285716</v>
      </c>
      <c r="Z675" s="23">
        <f>AVERAGE(Q675,U675)</f>
        <v>0.55070833333333313</v>
      </c>
      <c r="AA675" s="23">
        <f>AVERAGE(R675:T675,V675:X675)</f>
        <v>0.53335069444444472</v>
      </c>
      <c r="AB675" s="23">
        <f t="shared" si="10"/>
        <v>0.53650662878787903</v>
      </c>
    </row>
    <row r="676" spans="1:28">
      <c r="A676" s="9">
        <v>44383</v>
      </c>
      <c r="B676" s="3">
        <v>541.18085772840834</v>
      </c>
      <c r="C676" s="3">
        <v>439.50723443584116</v>
      </c>
      <c r="D676" s="3">
        <v>449.23983264711239</v>
      </c>
      <c r="E676" s="3">
        <v>329.25608366879311</v>
      </c>
      <c r="F676" s="3">
        <v>515.15702364437891</v>
      </c>
      <c r="G676" s="19">
        <v>44383</v>
      </c>
      <c r="H676" s="20">
        <v>154.70833333333334</v>
      </c>
      <c r="I676" s="20">
        <v>83.310416666666683</v>
      </c>
      <c r="J676" s="20">
        <v>23.258333333333336</v>
      </c>
      <c r="K676" s="20">
        <v>0.2</v>
      </c>
      <c r="L676" s="20">
        <v>225.83333333333334</v>
      </c>
      <c r="M676" s="20">
        <v>10.895833333333334</v>
      </c>
      <c r="N676" s="20">
        <v>1.5</v>
      </c>
      <c r="O676" s="20">
        <v>20.191666666666666</v>
      </c>
      <c r="P676" s="10">
        <v>0.50286529046205908</v>
      </c>
      <c r="Q676" s="21">
        <v>0.45147916666666649</v>
      </c>
      <c r="R676" s="21">
        <v>0.53533333333333333</v>
      </c>
      <c r="S676" s="21">
        <v>0.58649999999999991</v>
      </c>
      <c r="T676" s="21">
        <v>0.60008333333333364</v>
      </c>
      <c r="U676" s="21">
        <v>0.61143750000000019</v>
      </c>
      <c r="V676" s="21">
        <v>0.50445833333333356</v>
      </c>
      <c r="W676" s="21">
        <v>0.47935416666666647</v>
      </c>
      <c r="X676" s="21">
        <v>0.41402083333333356</v>
      </c>
      <c r="Y676" s="21">
        <v>0.27999999999999997</v>
      </c>
      <c r="Z676" s="23">
        <f>AVERAGE(Q676,U676)</f>
        <v>0.53145833333333337</v>
      </c>
      <c r="AA676" s="23">
        <f>AVERAGE(R676:T676,V676:X676)</f>
        <v>0.51995833333333341</v>
      </c>
      <c r="AB676" s="23">
        <f t="shared" si="10"/>
        <v>0.52204924242424255</v>
      </c>
    </row>
    <row r="677" spans="1:28">
      <c r="A677" s="9">
        <v>44384</v>
      </c>
      <c r="B677" s="3">
        <v>651.69973896039073</v>
      </c>
      <c r="C677" s="3">
        <v>504.49072036711601</v>
      </c>
      <c r="D677" s="3">
        <v>533.94363624591517</v>
      </c>
      <c r="E677" s="3">
        <v>356.60016791082762</v>
      </c>
      <c r="F677" s="3">
        <v>584.24276956132655</v>
      </c>
      <c r="G677" s="19">
        <v>44384</v>
      </c>
      <c r="H677" s="20">
        <v>229.3125</v>
      </c>
      <c r="I677" s="20">
        <v>79.666666666666657</v>
      </c>
      <c r="J677" s="20">
        <v>23.897916666666664</v>
      </c>
      <c r="K677" s="20">
        <v>0</v>
      </c>
      <c r="L677" s="20">
        <v>222.1875</v>
      </c>
      <c r="M677" s="20">
        <v>5.6875</v>
      </c>
      <c r="N677" s="20">
        <v>0.33333333333333331</v>
      </c>
      <c r="O677" s="20">
        <v>19.922916666666662</v>
      </c>
      <c r="P677" s="10">
        <v>0.69033696014073787</v>
      </c>
      <c r="Q677" s="21">
        <v>0.43106249999999996</v>
      </c>
      <c r="R677" s="21">
        <v>0.5236249999999999</v>
      </c>
      <c r="S677" s="21">
        <v>0.57677083333333312</v>
      </c>
      <c r="T677" s="21">
        <v>0.59424999999999983</v>
      </c>
      <c r="U677" s="21">
        <v>0.60245833333333365</v>
      </c>
      <c r="V677" s="21">
        <v>0.49304166666666654</v>
      </c>
      <c r="W677" s="21">
        <v>0.47368750000000009</v>
      </c>
      <c r="X677" s="21">
        <v>0.40877083333333347</v>
      </c>
      <c r="Y677" s="21">
        <v>0.27116279069767435</v>
      </c>
      <c r="Z677" s="23">
        <f>AVERAGE(Q677,U677)</f>
        <v>0.51676041666666683</v>
      </c>
      <c r="AA677" s="23">
        <f>AVERAGE(R677:T677,V677:X677)</f>
        <v>0.51169097222222215</v>
      </c>
      <c r="AB677" s="23">
        <f t="shared" si="10"/>
        <v>0.51261268939393934</v>
      </c>
    </row>
    <row r="678" spans="1:28" s="36" customFormat="1">
      <c r="A678" s="30">
        <v>44385</v>
      </c>
      <c r="B678" s="31">
        <v>444.6140970636398</v>
      </c>
      <c r="C678" s="31">
        <v>292.83426640286393</v>
      </c>
      <c r="D678" s="31">
        <v>326.80052621908544</v>
      </c>
      <c r="E678" s="31">
        <v>236.20256179246957</v>
      </c>
      <c r="F678" s="31">
        <v>396.91010799165599</v>
      </c>
      <c r="G678" s="32">
        <v>44385</v>
      </c>
      <c r="H678" s="33">
        <v>143.85416666666666</v>
      </c>
      <c r="I678" s="33">
        <v>84.754166666666663</v>
      </c>
      <c r="J678" s="33">
        <v>22.270833333333332</v>
      </c>
      <c r="K678" s="33">
        <v>0.2</v>
      </c>
      <c r="L678" s="33">
        <v>222</v>
      </c>
      <c r="M678" s="33">
        <v>6.416666666666667</v>
      </c>
      <c r="N678" s="33">
        <v>0.6875</v>
      </c>
      <c r="O678" s="33">
        <v>19.516666666666669</v>
      </c>
      <c r="P678" s="34">
        <v>0.43509291928196564</v>
      </c>
      <c r="Q678" s="35">
        <v>0.40745833333333342</v>
      </c>
      <c r="R678" s="35">
        <v>0.51200000000000012</v>
      </c>
      <c r="S678" s="35">
        <v>0.56583333333333352</v>
      </c>
      <c r="T678" s="35">
        <v>0.58831249999999946</v>
      </c>
      <c r="U678" s="35">
        <v>0.59229166666666677</v>
      </c>
      <c r="V678" s="35">
        <v>0.4812083333333334</v>
      </c>
      <c r="W678" s="35">
        <v>0.4672708333333333</v>
      </c>
      <c r="X678" s="35">
        <v>0.40318750000000003</v>
      </c>
      <c r="Y678" s="35">
        <v>0.25054166666666683</v>
      </c>
      <c r="Z678" s="37">
        <f>AVERAGE(Q678,U678)</f>
        <v>0.49987500000000007</v>
      </c>
      <c r="AA678" s="37">
        <f>AVERAGE(R678:T678,V678:X678)</f>
        <v>0.50296875000000008</v>
      </c>
      <c r="AB678" s="37">
        <f t="shared" si="10"/>
        <v>0.50240625000000005</v>
      </c>
    </row>
    <row r="679" spans="1:28">
      <c r="A679" s="9">
        <v>44386</v>
      </c>
      <c r="B679" s="3">
        <v>669.63104291738603</v>
      </c>
      <c r="C679" s="3">
        <v>411.77000337469241</v>
      </c>
      <c r="D679" s="3">
        <v>490.04462302241228</v>
      </c>
      <c r="E679" s="3">
        <v>363.45665010647673</v>
      </c>
      <c r="F679" s="3">
        <v>540.38217999726248</v>
      </c>
      <c r="G679" s="19">
        <v>44386</v>
      </c>
      <c r="H679" s="20">
        <v>235.8125</v>
      </c>
      <c r="I679" s="20">
        <v>81.358333333333334</v>
      </c>
      <c r="J679" s="20">
        <v>22.695833333333329</v>
      </c>
      <c r="K679" s="20">
        <v>0.4</v>
      </c>
      <c r="L679" s="20">
        <v>233.52083333333334</v>
      </c>
      <c r="M679" s="20">
        <v>12.479166666666666</v>
      </c>
      <c r="N679" s="20">
        <v>1.625</v>
      </c>
      <c r="O679" s="20">
        <v>19.195833333333322</v>
      </c>
      <c r="P679" s="10">
        <v>0.5633741847165129</v>
      </c>
      <c r="Q679" s="21">
        <v>0.38339583333333338</v>
      </c>
      <c r="R679" s="21">
        <v>0.50099999999999989</v>
      </c>
      <c r="S679" s="21">
        <v>0.55445833333333383</v>
      </c>
      <c r="T679" s="21">
        <v>0.58206249999999982</v>
      </c>
      <c r="U679" s="21">
        <v>0.58095833333333369</v>
      </c>
      <c r="V679" s="21">
        <v>0.47020833333333312</v>
      </c>
      <c r="W679" s="21">
        <v>0.46110416666666637</v>
      </c>
      <c r="X679" s="21">
        <v>0.39791666666666675</v>
      </c>
      <c r="Y679" s="21">
        <v>0.23848275862068974</v>
      </c>
      <c r="Z679" s="23">
        <f>AVERAGE(Q679,U679)</f>
        <v>0.48217708333333353</v>
      </c>
      <c r="AA679" s="23">
        <f>AVERAGE(R679:T679,V679:X679)</f>
        <v>0.49445833333333322</v>
      </c>
      <c r="AB679" s="23">
        <f t="shared" si="10"/>
        <v>0.49222537878787875</v>
      </c>
    </row>
    <row r="680" spans="1:28">
      <c r="A680" s="9">
        <v>44387</v>
      </c>
      <c r="B680" s="3">
        <v>734.7411447808214</v>
      </c>
      <c r="C680" s="3">
        <v>480.26357936671707</v>
      </c>
      <c r="D680" s="3">
        <v>552.92713848905396</v>
      </c>
      <c r="E680" s="3">
        <v>407.68384761581507</v>
      </c>
      <c r="F680" s="3">
        <v>529.26487062197839</v>
      </c>
      <c r="G680" s="19">
        <v>44387</v>
      </c>
      <c r="H680" s="20">
        <v>271.625</v>
      </c>
      <c r="I680" s="20">
        <v>76.418750000000017</v>
      </c>
      <c r="J680" s="20">
        <v>23.360416666666666</v>
      </c>
      <c r="K680" s="20">
        <v>0</v>
      </c>
      <c r="L680" s="20">
        <v>225.375</v>
      </c>
      <c r="M680" s="20">
        <v>17.333333333333332</v>
      </c>
      <c r="N680" s="20">
        <v>3.375</v>
      </c>
      <c r="O680" s="20">
        <v>18.814583333333335</v>
      </c>
      <c r="P680" s="10">
        <v>0.7360902906261716</v>
      </c>
      <c r="Q680" s="21">
        <v>0.34804166666666675</v>
      </c>
      <c r="R680" s="21">
        <v>0.48337500000000011</v>
      </c>
      <c r="S680" s="21">
        <v>0.53545833333333326</v>
      </c>
      <c r="T680" s="21">
        <v>0.56945833333333307</v>
      </c>
      <c r="U680" s="21">
        <v>0.56387500000000002</v>
      </c>
      <c r="V680" s="21">
        <v>0.45120833333333343</v>
      </c>
      <c r="W680" s="21">
        <v>0.44756250000000009</v>
      </c>
      <c r="X680" s="21">
        <v>0.38845833333333329</v>
      </c>
      <c r="Y680" s="21">
        <v>0.20036842105263156</v>
      </c>
      <c r="Z680" s="23">
        <f>AVERAGE(Q680,U680)</f>
        <v>0.45595833333333335</v>
      </c>
      <c r="AA680" s="23">
        <f>AVERAGE(R680:T680,V680:X680)</f>
        <v>0.47925347222222214</v>
      </c>
      <c r="AB680" s="23">
        <f t="shared" si="10"/>
        <v>0.47501799242424236</v>
      </c>
    </row>
    <row r="681" spans="1:28">
      <c r="A681" s="9">
        <v>44388</v>
      </c>
      <c r="B681" s="3">
        <v>699.76516216349114</v>
      </c>
      <c r="C681" s="3">
        <v>452.68239371099509</v>
      </c>
      <c r="D681" s="3">
        <v>566.71212908257223</v>
      </c>
      <c r="E681" s="3">
        <v>397.19376009041514</v>
      </c>
      <c r="F681" s="3">
        <v>457.43157933994212</v>
      </c>
      <c r="G681" s="19">
        <v>44388</v>
      </c>
      <c r="H681" s="20">
        <v>266.02083333333331</v>
      </c>
      <c r="I681" s="20">
        <v>74.733333333333334</v>
      </c>
      <c r="J681" s="20">
        <v>23.618750000000002</v>
      </c>
      <c r="K681" s="20">
        <v>0</v>
      </c>
      <c r="L681" s="20">
        <v>225.97916666666666</v>
      </c>
      <c r="M681" s="20">
        <v>15.395833333333334</v>
      </c>
      <c r="N681" s="20">
        <v>2.6875</v>
      </c>
      <c r="O681" s="20">
        <v>18.783333333333335</v>
      </c>
      <c r="P681" s="10">
        <v>0.77934554577110016</v>
      </c>
      <c r="Q681" s="21">
        <v>0.31481250000000011</v>
      </c>
      <c r="R681" s="21">
        <v>0.46095833333333358</v>
      </c>
      <c r="S681" s="21">
        <v>0.51341666666666652</v>
      </c>
      <c r="T681" s="21">
        <v>0.55066666666666686</v>
      </c>
      <c r="U681" s="21">
        <v>0.54156249999999995</v>
      </c>
      <c r="V681" s="21">
        <v>0.42631250000000004</v>
      </c>
      <c r="W681" s="21">
        <v>0.42897916666666663</v>
      </c>
      <c r="X681" s="21">
        <v>0.37547916666666664</v>
      </c>
      <c r="Y681" s="21">
        <v>0.17494999999999999</v>
      </c>
      <c r="Z681" s="23">
        <f>AVERAGE(Q681,U681)</f>
        <v>0.42818750000000005</v>
      </c>
      <c r="AA681" s="23">
        <f>AVERAGE(R681:T681,V681:X681)</f>
        <v>0.45930208333333339</v>
      </c>
      <c r="AB681" s="23">
        <f t="shared" si="10"/>
        <v>0.45364488636363642</v>
      </c>
    </row>
    <row r="682" spans="1:28">
      <c r="A682" s="9">
        <v>44389</v>
      </c>
      <c r="B682" s="3">
        <v>636.01963373919443</v>
      </c>
      <c r="C682" s="3">
        <v>455.30778566786489</v>
      </c>
      <c r="D682" s="3">
        <v>488.97389467303486</v>
      </c>
      <c r="E682" s="3">
        <v>382.64562997313715</v>
      </c>
      <c r="F682" s="3">
        <v>471.22943831752178</v>
      </c>
      <c r="G682" s="19">
        <v>44389</v>
      </c>
      <c r="H682" s="20">
        <v>284.125</v>
      </c>
      <c r="I682" s="20">
        <v>75.810416666666711</v>
      </c>
      <c r="J682" s="20">
        <v>24.489583333333332</v>
      </c>
      <c r="K682" s="20">
        <v>0</v>
      </c>
      <c r="L682" s="20">
        <v>229.125</v>
      </c>
      <c r="M682" s="20">
        <v>14.583333333333334</v>
      </c>
      <c r="N682" s="20">
        <v>2.375</v>
      </c>
      <c r="O682" s="20">
        <v>19.760416666666668</v>
      </c>
      <c r="P682" s="10">
        <v>0.82395965576254293</v>
      </c>
      <c r="Q682" s="21">
        <v>0.29216666666666674</v>
      </c>
      <c r="R682" s="21">
        <v>0.43812499999999993</v>
      </c>
      <c r="S682" s="21">
        <v>0.49308333333333348</v>
      </c>
      <c r="T682" s="21">
        <v>0.52920833333333339</v>
      </c>
      <c r="U682" s="21">
        <v>0.51993750000000027</v>
      </c>
      <c r="V682" s="21">
        <v>0.40127083333333352</v>
      </c>
      <c r="W682" s="21">
        <v>0.40918749999999976</v>
      </c>
      <c r="X682" s="21">
        <v>0.36133333333333328</v>
      </c>
      <c r="Y682" s="21">
        <v>0.15786111111111109</v>
      </c>
      <c r="Z682" s="23">
        <f>AVERAGE(Q682,U682)</f>
        <v>0.40605208333333354</v>
      </c>
      <c r="AA682" s="23">
        <f>AVERAGE(R682:T682,V682:X682)</f>
        <v>0.43870138888888882</v>
      </c>
      <c r="AB682" s="23">
        <f t="shared" si="10"/>
        <v>0.43276515151515149</v>
      </c>
    </row>
    <row r="683" spans="1:28">
      <c r="A683" s="9">
        <v>44390</v>
      </c>
      <c r="B683" s="3">
        <v>541.65074607414033</v>
      </c>
      <c r="C683" s="3">
        <v>411.58984500402994</v>
      </c>
      <c r="D683" s="3">
        <v>341.70982555021772</v>
      </c>
      <c r="E683" s="3">
        <v>360.95843356469396</v>
      </c>
      <c r="F683" s="3">
        <v>392.34770367524311</v>
      </c>
      <c r="G683" s="19">
        <v>44390</v>
      </c>
      <c r="H683" s="20">
        <v>205.39583333333334</v>
      </c>
      <c r="I683" s="20">
        <v>77.229166666666686</v>
      </c>
      <c r="J683" s="20">
        <v>24.612500000000001</v>
      </c>
      <c r="K683" s="20">
        <v>0</v>
      </c>
      <c r="L683" s="20">
        <v>229.77083333333334</v>
      </c>
      <c r="M683" s="20">
        <v>10.1875</v>
      </c>
      <c r="N683" s="20">
        <v>0.97916666666666663</v>
      </c>
      <c r="O683" s="20">
        <v>20.268749999999997</v>
      </c>
      <c r="P683" s="10">
        <v>0.75309228552959884</v>
      </c>
      <c r="Q683" s="21">
        <v>0.27691666666666681</v>
      </c>
      <c r="R683" s="21">
        <v>0.41470833333333323</v>
      </c>
      <c r="S683" s="21">
        <v>0.47483333333333344</v>
      </c>
      <c r="T683" s="21">
        <v>0.50731249999999983</v>
      </c>
      <c r="U683" s="21">
        <v>0.50093749999999992</v>
      </c>
      <c r="V683" s="21">
        <v>0.38049999999999984</v>
      </c>
      <c r="W683" s="21">
        <v>0.39083333333333359</v>
      </c>
      <c r="X683" s="21">
        <v>0.34735416666666663</v>
      </c>
      <c r="Y683" s="21">
        <v>0.14441666666666664</v>
      </c>
      <c r="Z683" s="23">
        <f>AVERAGE(Q683,U683)</f>
        <v>0.38892708333333337</v>
      </c>
      <c r="AA683" s="23">
        <f>AVERAGE(R683:T683,V683:X683)</f>
        <v>0.41925694444444445</v>
      </c>
      <c r="AB683" s="23">
        <f t="shared" si="10"/>
        <v>0.4137424242424243</v>
      </c>
    </row>
    <row r="684" spans="1:28">
      <c r="A684" s="9">
        <v>44391</v>
      </c>
      <c r="B684" s="3">
        <v>511.13079382726414</v>
      </c>
      <c r="C684" s="3">
        <v>443.81823623991698</v>
      </c>
      <c r="D684" s="3">
        <v>352.67185785446821</v>
      </c>
      <c r="E684" s="3">
        <v>385.67460148658273</v>
      </c>
      <c r="F684" s="3">
        <v>433.99869006127165</v>
      </c>
      <c r="G684" s="19">
        <v>44391</v>
      </c>
      <c r="H684" s="20">
        <v>207.1875</v>
      </c>
      <c r="I684" s="20">
        <v>78.006250000000009</v>
      </c>
      <c r="J684" s="20">
        <v>24.762499999999992</v>
      </c>
      <c r="K684" s="20">
        <v>0</v>
      </c>
      <c r="L684" s="20">
        <v>230.25</v>
      </c>
      <c r="M684" s="20">
        <v>14.520833333333334</v>
      </c>
      <c r="N684" s="20">
        <v>2.875</v>
      </c>
      <c r="O684" s="20">
        <v>20.564583333333335</v>
      </c>
      <c r="P684" s="10">
        <v>0.73484804383761426</v>
      </c>
      <c r="Q684" s="21">
        <v>0.26666666666666655</v>
      </c>
      <c r="R684" s="21">
        <v>0.39443750000000005</v>
      </c>
      <c r="S684" s="21">
        <v>0.45989583333333356</v>
      </c>
      <c r="T684" s="21">
        <v>0.48695833333333322</v>
      </c>
      <c r="U684" s="21">
        <v>0.48381250000000015</v>
      </c>
      <c r="V684" s="21">
        <v>0.36502083333333335</v>
      </c>
      <c r="W684" s="21">
        <v>0.3758333333333333</v>
      </c>
      <c r="X684" s="21">
        <v>0.3357291666666668</v>
      </c>
      <c r="Y684" s="21">
        <v>0.13879999999999998</v>
      </c>
      <c r="Z684" s="23">
        <f>AVERAGE(Q684,U684)</f>
        <v>0.37523958333333335</v>
      </c>
      <c r="AA684" s="23">
        <f>AVERAGE(R684:T684,V684:X684)</f>
        <v>0.40297916666666672</v>
      </c>
      <c r="AB684" s="23">
        <f t="shared" si="10"/>
        <v>0.39793560606060613</v>
      </c>
    </row>
    <row r="685" spans="1:28">
      <c r="A685" s="9">
        <v>44392</v>
      </c>
      <c r="B685" s="3">
        <v>463.49824163546106</v>
      </c>
      <c r="C685" s="3">
        <v>430.88163131695467</v>
      </c>
      <c r="D685" s="3">
        <v>314.65865386048551</v>
      </c>
      <c r="E685" s="3">
        <v>360.74427923752148</v>
      </c>
      <c r="F685" s="2">
        <v>275.54658318562718</v>
      </c>
      <c r="G685" s="19">
        <v>44392</v>
      </c>
      <c r="H685" s="20">
        <v>208.39583333333334</v>
      </c>
      <c r="I685" s="20">
        <v>78.24166666666666</v>
      </c>
      <c r="J685" s="20">
        <v>24.089583333333334</v>
      </c>
      <c r="K685" s="20">
        <v>0</v>
      </c>
      <c r="L685" s="20">
        <v>228.39583333333334</v>
      </c>
      <c r="M685" s="20">
        <v>16.270833333333332</v>
      </c>
      <c r="N685" s="20">
        <v>3.2291666666666665</v>
      </c>
      <c r="O685" s="20">
        <v>19.968750000000004</v>
      </c>
      <c r="P685" s="10">
        <v>0.69252270244538439</v>
      </c>
      <c r="Q685" s="21">
        <v>0.25843750000000021</v>
      </c>
      <c r="R685" s="21">
        <v>0.37699999999999995</v>
      </c>
      <c r="S685" s="21">
        <v>0.4447291666666669</v>
      </c>
      <c r="T685" s="21">
        <v>0.4684374999999999</v>
      </c>
      <c r="U685" s="21">
        <v>0.46733333333333321</v>
      </c>
      <c r="V685" s="21">
        <v>0.35252083333333339</v>
      </c>
      <c r="W685" s="21">
        <v>0.36354166666666665</v>
      </c>
      <c r="X685" s="21">
        <v>0.32487500000000014</v>
      </c>
      <c r="Y685" s="21">
        <v>0.13416666666666666</v>
      </c>
      <c r="Z685" s="23">
        <f>AVERAGE(Q685,U685)</f>
        <v>0.36288541666666674</v>
      </c>
      <c r="AA685" s="23">
        <f>AVERAGE(R685:T685,V685:X685)</f>
        <v>0.38851736111111107</v>
      </c>
      <c r="AB685" s="23">
        <f t="shared" si="10"/>
        <v>0.38385700757575753</v>
      </c>
    </row>
    <row r="686" spans="1:28" s="36" customFormat="1">
      <c r="A686" s="30">
        <v>44393</v>
      </c>
      <c r="B686" s="31">
        <v>360.78441766116669</v>
      </c>
      <c r="C686" s="31">
        <v>429.31302422621576</v>
      </c>
      <c r="D686" s="31">
        <v>291.8043271807478</v>
      </c>
      <c r="E686" s="31">
        <v>351.69012426719752</v>
      </c>
      <c r="F686" s="38">
        <v>255.53304931218085</v>
      </c>
      <c r="G686" s="32">
        <v>44393</v>
      </c>
      <c r="H686" s="33">
        <v>208.375</v>
      </c>
      <c r="I686" s="33">
        <v>76.520833333333329</v>
      </c>
      <c r="J686" s="33">
        <v>24.106250000000003</v>
      </c>
      <c r="K686" s="33">
        <v>29.3</v>
      </c>
      <c r="L686" s="33">
        <v>232.16666666666666</v>
      </c>
      <c r="M686" s="33">
        <v>10.395833333333334</v>
      </c>
      <c r="N686" s="33">
        <v>1.2708333333333333</v>
      </c>
      <c r="O686" s="33">
        <v>19.61666666666666</v>
      </c>
      <c r="P686" s="34">
        <v>0.75639031798874568</v>
      </c>
      <c r="Q686" s="35">
        <v>0.25924999999999998</v>
      </c>
      <c r="R686" s="35">
        <v>0.36864583333333334</v>
      </c>
      <c r="S686" s="35">
        <v>0.43724999999999997</v>
      </c>
      <c r="T686" s="35">
        <v>0.45531250000000029</v>
      </c>
      <c r="U686" s="35">
        <v>0.45704166666666673</v>
      </c>
      <c r="V686" s="35">
        <v>0.35114583333333343</v>
      </c>
      <c r="W686" s="35">
        <v>0.35733333333333334</v>
      </c>
      <c r="X686" s="35">
        <v>0.3165</v>
      </c>
      <c r="Y686" s="35">
        <v>0.13</v>
      </c>
      <c r="Z686" s="37">
        <f>AVERAGE(Q686,U686)</f>
        <v>0.35814583333333339</v>
      </c>
      <c r="AA686" s="37">
        <f>AVERAGE(R686:T686,V686:X686)</f>
        <v>0.3810312500000001</v>
      </c>
      <c r="AB686" s="37">
        <f t="shared" si="10"/>
        <v>0.37687026515151528</v>
      </c>
    </row>
    <row r="687" spans="1:28">
      <c r="A687" s="9">
        <v>44394</v>
      </c>
      <c r="B687" s="3">
        <v>216.96002441202626</v>
      </c>
      <c r="C687" s="3">
        <v>131.29562744139153</v>
      </c>
      <c r="D687" s="3">
        <v>77.165020288595983</v>
      </c>
      <c r="E687" s="3">
        <v>164.34535245445559</v>
      </c>
      <c r="F687" s="2">
        <v>67.573408266723504</v>
      </c>
      <c r="G687" s="19">
        <v>44394</v>
      </c>
      <c r="H687" s="20">
        <v>114.39583333333333</v>
      </c>
      <c r="I687" s="20">
        <v>91.793750000000003</v>
      </c>
      <c r="J687" s="20">
        <v>20.747916666666669</v>
      </c>
      <c r="K687" s="20">
        <v>16.399999999999999</v>
      </c>
      <c r="L687" s="20">
        <v>133.8125</v>
      </c>
      <c r="M687" s="20">
        <v>1.25</v>
      </c>
      <c r="N687" s="20">
        <v>2.0833333333333332E-2</v>
      </c>
      <c r="O687" s="20">
        <v>19.277083333333334</v>
      </c>
      <c r="P687" s="10">
        <v>0.24223084772215112</v>
      </c>
      <c r="Q687" s="21">
        <v>0.3958750000000002</v>
      </c>
      <c r="R687" s="21">
        <v>0.4684583333333332</v>
      </c>
      <c r="S687" s="21">
        <v>0.5268541666666664</v>
      </c>
      <c r="T687" s="21">
        <v>0.5074375000000001</v>
      </c>
      <c r="U687" s="21">
        <v>0.51935416666666689</v>
      </c>
      <c r="V687" s="21">
        <v>0.46147916666666672</v>
      </c>
      <c r="W687" s="21">
        <v>0.43364583333333351</v>
      </c>
      <c r="X687" s="21">
        <v>0.33950000000000008</v>
      </c>
      <c r="Y687" s="21">
        <v>0.27500000000000002</v>
      </c>
      <c r="Z687" s="23">
        <f>AVERAGE(Q687,U687)</f>
        <v>0.45761458333333355</v>
      </c>
      <c r="AA687" s="23">
        <f>AVERAGE(R687:T687,V687:X687)</f>
        <v>0.45622916666666669</v>
      </c>
      <c r="AB687" s="23">
        <f t="shared" si="10"/>
        <v>0.45648106060606064</v>
      </c>
    </row>
    <row r="688" spans="1:28">
      <c r="A688" s="9">
        <v>44395</v>
      </c>
      <c r="B688" s="3">
        <v>244.23535885618705</v>
      </c>
      <c r="C688" s="3">
        <v>193.24214740373822</v>
      </c>
      <c r="D688" s="3">
        <v>104.24251438241814</v>
      </c>
      <c r="E688" s="3">
        <v>201.19402219385194</v>
      </c>
      <c r="F688" s="2">
        <v>91.285169844683566</v>
      </c>
      <c r="G688" s="19">
        <v>44395</v>
      </c>
      <c r="H688" s="20">
        <v>123.29166666666667</v>
      </c>
      <c r="I688" s="20">
        <v>90.770833333333357</v>
      </c>
      <c r="J688" s="20">
        <v>20.541666666666668</v>
      </c>
      <c r="K688" s="20">
        <v>19.099999999999994</v>
      </c>
      <c r="L688" s="20">
        <v>232.20833333333334</v>
      </c>
      <c r="M688" s="20">
        <v>3.2916666666666665</v>
      </c>
      <c r="N688" s="20">
        <v>0.16666666666666666</v>
      </c>
      <c r="O688" s="20">
        <v>18.893750000000001</v>
      </c>
      <c r="P688" s="10">
        <v>0.25347894551006028</v>
      </c>
      <c r="Q688" s="21">
        <v>0.46797916666666689</v>
      </c>
      <c r="R688" s="21">
        <v>0.54962500000000025</v>
      </c>
      <c r="S688" s="21">
        <v>0.5921875000000002</v>
      </c>
      <c r="T688" s="21">
        <v>0.61393750000000014</v>
      </c>
      <c r="U688" s="21">
        <v>0.57468749999999968</v>
      </c>
      <c r="V688" s="21">
        <v>0.50852083333333342</v>
      </c>
      <c r="W688" s="21">
        <v>0.46695833333333309</v>
      </c>
      <c r="X688" s="21">
        <v>0.38437499999999986</v>
      </c>
      <c r="Y688" s="21">
        <v>0.316</v>
      </c>
      <c r="Z688" s="23">
        <f>AVERAGE(Q688,U688)</f>
        <v>0.52133333333333332</v>
      </c>
      <c r="AA688" s="23">
        <f>AVERAGE(R688:T688,V688:X688)</f>
        <v>0.51926736111111105</v>
      </c>
      <c r="AB688" s="23">
        <f t="shared" si="10"/>
        <v>0.51964299242424228</v>
      </c>
    </row>
    <row r="689" spans="1:28">
      <c r="A689" s="9">
        <v>44396</v>
      </c>
      <c r="B689" s="3">
        <v>359.4500866084876</v>
      </c>
      <c r="C689" s="3">
        <v>337.39855939751322</v>
      </c>
      <c r="D689" s="3">
        <v>223.72397833342694</v>
      </c>
      <c r="E689" s="3">
        <v>314.16546158296751</v>
      </c>
      <c r="F689" s="2">
        <v>195.91508782658198</v>
      </c>
      <c r="G689" s="19">
        <v>44396</v>
      </c>
      <c r="H689" s="20">
        <v>167.10416666666666</v>
      </c>
      <c r="I689" s="20">
        <v>87.16249999999998</v>
      </c>
      <c r="J689" s="20">
        <v>21.170833333333338</v>
      </c>
      <c r="K689" s="20">
        <v>0.5</v>
      </c>
      <c r="L689" s="20">
        <v>224.6875</v>
      </c>
      <c r="M689" s="20">
        <v>2.3541666666666665</v>
      </c>
      <c r="N689" s="20">
        <v>2.0833333333333332E-2</v>
      </c>
      <c r="O689" s="20">
        <v>18.802083333333332</v>
      </c>
      <c r="P689" s="10">
        <v>0.37782055820488242</v>
      </c>
      <c r="Q689" s="21">
        <v>0.43706250000000019</v>
      </c>
      <c r="R689" s="21">
        <v>0.5331041666666666</v>
      </c>
      <c r="S689" s="21">
        <v>0.58364583333333331</v>
      </c>
      <c r="T689" s="21">
        <v>0.59781250000000019</v>
      </c>
      <c r="U689" s="21">
        <v>0.57427083333333317</v>
      </c>
      <c r="V689" s="21">
        <v>0.49272916666666666</v>
      </c>
      <c r="W689" s="21">
        <v>0.46841666666666693</v>
      </c>
      <c r="X689" s="21">
        <v>0.40241666666666642</v>
      </c>
      <c r="Y689" s="21">
        <v>0.27952380952380951</v>
      </c>
      <c r="Z689" s="23">
        <f>AVERAGE(Q689,U689)</f>
        <v>0.50566666666666671</v>
      </c>
      <c r="AA689" s="23">
        <f>AVERAGE(R689:T689,V689:X689)</f>
        <v>0.51302083333333337</v>
      </c>
      <c r="AB689" s="23">
        <f t="shared" si="10"/>
        <v>0.51168371212121211</v>
      </c>
    </row>
    <row r="690" spans="1:28">
      <c r="A690" s="9">
        <v>44397</v>
      </c>
      <c r="B690" s="3">
        <v>308.80254900142478</v>
      </c>
      <c r="C690" s="3">
        <v>360.83917550111653</v>
      </c>
      <c r="D690" s="3">
        <v>231.78620238194375</v>
      </c>
      <c r="E690" s="3">
        <v>298.16447144547669</v>
      </c>
      <c r="F690" s="2">
        <v>202.97517742586814</v>
      </c>
      <c r="G690" s="19">
        <v>44397</v>
      </c>
      <c r="H690" s="20">
        <v>176.14583333333334</v>
      </c>
      <c r="I690" s="20">
        <v>86.175000000000011</v>
      </c>
      <c r="J690" s="20">
        <v>22.041666666666661</v>
      </c>
      <c r="K690" s="20">
        <v>1.5999999999999999</v>
      </c>
      <c r="L690" s="20">
        <v>212.0625</v>
      </c>
      <c r="M690" s="20">
        <v>2.4791666666666665</v>
      </c>
      <c r="N690" s="20">
        <v>4.1666666666666664E-2</v>
      </c>
      <c r="O690" s="20">
        <v>19.487499999999997</v>
      </c>
      <c r="P690" s="10">
        <v>0.42298313960141337</v>
      </c>
      <c r="Q690" s="21">
        <v>0.418375</v>
      </c>
      <c r="R690" s="21">
        <v>0.52141666666666675</v>
      </c>
      <c r="S690" s="21">
        <v>0.57564583333333386</v>
      </c>
      <c r="T690" s="21">
        <v>0.59224999999999994</v>
      </c>
      <c r="U690" s="21">
        <v>0.56997916666666704</v>
      </c>
      <c r="V690" s="21">
        <v>0.48322916666666638</v>
      </c>
      <c r="W690" s="21">
        <v>0.46320833333333344</v>
      </c>
      <c r="X690" s="21">
        <v>0.39881250000000001</v>
      </c>
      <c r="Y690" s="21">
        <v>0.27102083333333338</v>
      </c>
      <c r="Z690" s="23">
        <f>AVERAGE(Q690,U690)</f>
        <v>0.49417708333333354</v>
      </c>
      <c r="AA690" s="23">
        <f>AVERAGE(R690:T690,V690:X690)</f>
        <v>0.50576041666666682</v>
      </c>
      <c r="AB690" s="23">
        <f t="shared" si="10"/>
        <v>0.50365435606060627</v>
      </c>
    </row>
    <row r="691" spans="1:28">
      <c r="A691" s="9">
        <v>44398</v>
      </c>
      <c r="B691" s="3">
        <v>432.95669958576929</v>
      </c>
      <c r="C691" s="3">
        <v>457.3097768166736</v>
      </c>
      <c r="D691" s="3">
        <v>330.26479895175771</v>
      </c>
      <c r="E691" s="3">
        <v>359.88909268052731</v>
      </c>
      <c r="F691" s="2">
        <v>289.21288444205425</v>
      </c>
      <c r="G691" s="19">
        <v>44398</v>
      </c>
      <c r="H691" s="20">
        <v>203.20833333333334</v>
      </c>
      <c r="I691" s="20">
        <v>83.212499999999991</v>
      </c>
      <c r="J691" s="20">
        <v>23.106249999999992</v>
      </c>
      <c r="K691" s="20">
        <v>5</v>
      </c>
      <c r="L691" s="20">
        <v>223.45833333333334</v>
      </c>
      <c r="M691" s="20">
        <v>2.8541666666666665</v>
      </c>
      <c r="N691" s="20">
        <v>0.14583333333333334</v>
      </c>
      <c r="O691" s="20">
        <v>19.902083333333337</v>
      </c>
      <c r="P691" s="10">
        <v>0.5564031939848556</v>
      </c>
      <c r="Q691" s="21">
        <v>0.40758333333333335</v>
      </c>
      <c r="R691" s="21">
        <v>0.51443750000000021</v>
      </c>
      <c r="S691" s="21">
        <v>0.56729166666666664</v>
      </c>
      <c r="T691" s="21">
        <v>0.58741666666666636</v>
      </c>
      <c r="U691" s="21">
        <v>0.57139583333333333</v>
      </c>
      <c r="V691" s="21">
        <v>0.47866666666666696</v>
      </c>
      <c r="W691" s="21">
        <v>0.45772916666666669</v>
      </c>
      <c r="X691" s="21">
        <v>0.39468749999999986</v>
      </c>
      <c r="Y691" s="21">
        <v>0.27716666666666673</v>
      </c>
      <c r="Z691" s="23">
        <f>AVERAGE(Q691,U691)</f>
        <v>0.48948958333333337</v>
      </c>
      <c r="AA691" s="23">
        <f>AVERAGE(R691:T691,V691:X691)</f>
        <v>0.50003819444444442</v>
      </c>
      <c r="AB691" s="23">
        <f t="shared" si="10"/>
        <v>0.49812026515151514</v>
      </c>
    </row>
    <row r="692" spans="1:28">
      <c r="A692" s="9">
        <v>44399</v>
      </c>
      <c r="B692" s="3">
        <v>291.94205848810134</v>
      </c>
      <c r="C692" s="3">
        <v>288.61128575318901</v>
      </c>
      <c r="D692" s="3">
        <v>236.28715644392454</v>
      </c>
      <c r="E692" s="3">
        <v>245.6315581295014</v>
      </c>
      <c r="F692" s="2">
        <v>206.91666289794472</v>
      </c>
      <c r="G692" s="19">
        <v>44399</v>
      </c>
      <c r="H692" s="20">
        <v>130.47916666666666</v>
      </c>
      <c r="I692" s="20">
        <v>87.068750000000023</v>
      </c>
      <c r="J692" s="20">
        <v>22.03958333333334</v>
      </c>
      <c r="K692" s="20">
        <v>0.2</v>
      </c>
      <c r="L692" s="20">
        <v>243.39583333333334</v>
      </c>
      <c r="M692" s="20">
        <v>1.7708333333333333</v>
      </c>
      <c r="N692" s="20">
        <v>0.10416666666666667</v>
      </c>
      <c r="O692" s="20">
        <v>19.6875</v>
      </c>
      <c r="P692" s="10">
        <v>0.38782928637413061</v>
      </c>
      <c r="Q692" s="21">
        <v>0.39677083333333324</v>
      </c>
      <c r="R692" s="21">
        <v>0.50845833333333301</v>
      </c>
      <c r="S692" s="21">
        <v>0.55877083333333311</v>
      </c>
      <c r="T692" s="21">
        <v>0.58224999999999927</v>
      </c>
      <c r="U692" s="21">
        <v>0.57062500000000049</v>
      </c>
      <c r="V692" s="21">
        <v>0.47385416666666641</v>
      </c>
      <c r="W692" s="21">
        <v>0.45166666666666694</v>
      </c>
      <c r="X692" s="21">
        <v>0.38937500000000019</v>
      </c>
      <c r="Y692" s="21">
        <v>0.27654166666666685</v>
      </c>
      <c r="Z692" s="23">
        <f>AVERAGE(Q692,U692)</f>
        <v>0.48369791666666684</v>
      </c>
      <c r="AA692" s="23">
        <f>AVERAGE(R692:T692,V692:X692)</f>
        <v>0.49406249999999985</v>
      </c>
      <c r="AB692" s="23">
        <f t="shared" si="10"/>
        <v>0.49217803030303026</v>
      </c>
    </row>
    <row r="693" spans="1:28">
      <c r="A693" s="9">
        <v>44400</v>
      </c>
      <c r="B693" s="3">
        <v>140.24305837978397</v>
      </c>
      <c r="C693" s="3">
        <v>158.72931714777889</v>
      </c>
      <c r="D693" s="3">
        <v>128.79046919904079</v>
      </c>
      <c r="E693" s="3">
        <v>127.06442096574757</v>
      </c>
      <c r="F693" s="2">
        <v>112.78181387760002</v>
      </c>
      <c r="G693" s="19">
        <v>44400</v>
      </c>
      <c r="H693" s="20">
        <v>83.6875</v>
      </c>
      <c r="I693" s="20">
        <v>92.710416666666688</v>
      </c>
      <c r="J693" s="20">
        <v>20.956250000000001</v>
      </c>
      <c r="K693" s="20">
        <v>7.7</v>
      </c>
      <c r="L693" s="20">
        <v>231.5</v>
      </c>
      <c r="M693" s="20">
        <v>0.9375</v>
      </c>
      <c r="N693" s="20">
        <v>6.25E-2</v>
      </c>
      <c r="O693" s="20">
        <v>19.677083333333332</v>
      </c>
      <c r="P693" s="10">
        <v>0.20362557169737064</v>
      </c>
      <c r="Q693" s="21">
        <v>0.38933333333333331</v>
      </c>
      <c r="R693" s="21">
        <v>0.50222916666666695</v>
      </c>
      <c r="S693" s="21">
        <v>0.55512499999999965</v>
      </c>
      <c r="T693" s="21">
        <v>0.57910416666666664</v>
      </c>
      <c r="U693" s="21">
        <v>0.56666666666666676</v>
      </c>
      <c r="V693" s="21">
        <v>0.46858333333333335</v>
      </c>
      <c r="W693" s="21">
        <v>0.4487500000000002</v>
      </c>
      <c r="X693" s="21">
        <v>0.38649999999999979</v>
      </c>
      <c r="Y693" s="21">
        <v>0.28566666666666662</v>
      </c>
      <c r="Z693" s="23">
        <f>AVERAGE(Q693,U693)</f>
        <v>0.47800000000000004</v>
      </c>
      <c r="AA693" s="23">
        <f>AVERAGE(R693:T693,V693:X693)</f>
        <v>0.49004861111111114</v>
      </c>
      <c r="AB693" s="23">
        <f t="shared" si="10"/>
        <v>0.48785795454545461</v>
      </c>
    </row>
    <row r="694" spans="1:28" s="36" customFormat="1">
      <c r="A694" s="30">
        <v>44401</v>
      </c>
      <c r="B694" s="31">
        <v>281.25965069468612</v>
      </c>
      <c r="C694" s="31">
        <v>228.10743999534031</v>
      </c>
      <c r="D694" s="31">
        <v>206.2474336717743</v>
      </c>
      <c r="E694" s="31">
        <v>220.89115308376307</v>
      </c>
      <c r="F694" s="38">
        <v>180.61087766637277</v>
      </c>
      <c r="G694" s="32">
        <v>44401</v>
      </c>
      <c r="H694" s="33">
        <v>140.3125</v>
      </c>
      <c r="I694" s="33">
        <v>90.766666666666652</v>
      </c>
      <c r="J694" s="33">
        <v>21.743750000000006</v>
      </c>
      <c r="K694" s="33">
        <v>2.2000000000000002</v>
      </c>
      <c r="L694" s="33">
        <v>224.20833333333334</v>
      </c>
      <c r="M694" s="33">
        <v>1.2083333333333333</v>
      </c>
      <c r="N694" s="33">
        <v>4.1666666666666664E-2</v>
      </c>
      <c r="O694" s="33">
        <v>20.029166666666669</v>
      </c>
      <c r="P694" s="34">
        <v>0.29783973425677568</v>
      </c>
      <c r="Q694" s="35">
        <v>0.38860416666666647</v>
      </c>
      <c r="R694" s="35">
        <v>0.49843749999999959</v>
      </c>
      <c r="S694" s="35">
        <v>0.55260416666666667</v>
      </c>
      <c r="T694" s="35">
        <v>0.57689583333333394</v>
      </c>
      <c r="U694" s="35">
        <v>0.57085416666666622</v>
      </c>
      <c r="V694" s="35">
        <v>0.46364583333333348</v>
      </c>
      <c r="W694" s="35">
        <v>0.44654166666666656</v>
      </c>
      <c r="X694" s="35">
        <v>0.38506249999999992</v>
      </c>
      <c r="Y694" s="35">
        <v>0.29633333333333328</v>
      </c>
      <c r="Z694" s="37">
        <f>AVERAGE(Q694,U694)</f>
        <v>0.47972916666666632</v>
      </c>
      <c r="AA694" s="37">
        <f>AVERAGE(R694:T694,V694:X694)</f>
        <v>0.48719791666666673</v>
      </c>
      <c r="AB694" s="37">
        <f t="shared" si="10"/>
        <v>0.48583996212121205</v>
      </c>
    </row>
    <row r="695" spans="1:28">
      <c r="A695" s="9">
        <v>44402</v>
      </c>
      <c r="B695" s="3">
        <v>264.69668752211044</v>
      </c>
      <c r="C695" s="3">
        <v>256.85569752346498</v>
      </c>
      <c r="D695" s="3">
        <v>229.18773547722856</v>
      </c>
      <c r="E695" s="3">
        <v>288.90287064508783</v>
      </c>
      <c r="F695" s="2">
        <v>200.69969995740905</v>
      </c>
      <c r="G695" s="19">
        <v>44402</v>
      </c>
      <c r="H695" s="20">
        <v>184.6875</v>
      </c>
      <c r="I695" s="20">
        <v>88.6875</v>
      </c>
      <c r="J695" s="20">
        <v>21.514583333333338</v>
      </c>
      <c r="K695" s="20">
        <v>7.1999999999999993</v>
      </c>
      <c r="L695" s="20">
        <v>224</v>
      </c>
      <c r="M695" s="20">
        <v>1.7708333333333333</v>
      </c>
      <c r="N695" s="20">
        <v>6.25E-2</v>
      </c>
      <c r="O695" s="20">
        <v>19.450000000000006</v>
      </c>
      <c r="P695" s="10">
        <v>0.34405810248131052</v>
      </c>
      <c r="Q695" s="21">
        <v>0.3807708333333335</v>
      </c>
      <c r="R695" s="21">
        <v>0.49481249999999993</v>
      </c>
      <c r="S695" s="21">
        <v>0.54722916666666677</v>
      </c>
      <c r="T695" s="21">
        <v>0.57181249999999972</v>
      </c>
      <c r="U695" s="21">
        <v>0.57437499999999975</v>
      </c>
      <c r="V695" s="21">
        <v>0.46547916666666667</v>
      </c>
      <c r="W695" s="21">
        <v>0.44233333333333369</v>
      </c>
      <c r="X695" s="21">
        <v>0.38170833333333337</v>
      </c>
      <c r="Y695" s="21">
        <v>0.29264285714285709</v>
      </c>
      <c r="Z695" s="23">
        <f>AVERAGE(Q695,U695)</f>
        <v>0.47757291666666662</v>
      </c>
      <c r="AA695" s="23">
        <f>AVERAGE(R695:T695,V695:X695)</f>
        <v>0.48389583333333347</v>
      </c>
      <c r="AB695" s="23">
        <f t="shared" si="10"/>
        <v>0.48274621212121216</v>
      </c>
    </row>
    <row r="696" spans="1:28">
      <c r="A696" s="9">
        <v>44403</v>
      </c>
      <c r="B696" s="3">
        <v>407.974218450367</v>
      </c>
      <c r="C696" s="3">
        <v>423.59622868944967</v>
      </c>
      <c r="D696" s="3">
        <v>414.75292078140581</v>
      </c>
      <c r="E696" s="3">
        <v>451.37847674305266</v>
      </c>
      <c r="F696" s="2">
        <v>363.19913272827705</v>
      </c>
      <c r="G696" s="19">
        <v>44403</v>
      </c>
      <c r="H696" s="20">
        <v>274.77083333333331</v>
      </c>
      <c r="I696" s="20">
        <v>83.200000000000017</v>
      </c>
      <c r="J696" s="20">
        <v>22.925000000000001</v>
      </c>
      <c r="K696" s="20">
        <v>12.1</v>
      </c>
      <c r="L696" s="20">
        <v>219.29166666666666</v>
      </c>
      <c r="M696" s="20">
        <v>2.3333333333333335</v>
      </c>
      <c r="N696" s="20">
        <v>0.125</v>
      </c>
      <c r="O696" s="20">
        <v>19.529166666666665</v>
      </c>
      <c r="P696" s="10">
        <v>0.62618129312342552</v>
      </c>
      <c r="Q696" s="21">
        <v>0.38243749999999993</v>
      </c>
      <c r="R696" s="21">
        <v>0.50174999999999992</v>
      </c>
      <c r="S696" s="21">
        <v>0.54389583333333336</v>
      </c>
      <c r="T696" s="21">
        <v>0.5703125</v>
      </c>
      <c r="U696" s="21">
        <v>0.57866666666666677</v>
      </c>
      <c r="V696" s="21">
        <v>0.47918749999999993</v>
      </c>
      <c r="W696" s="21">
        <v>0.4392291666666665</v>
      </c>
      <c r="X696" s="21">
        <v>0.37781249999999994</v>
      </c>
      <c r="Y696" s="21">
        <v>0.30220000000000002</v>
      </c>
      <c r="Z696" s="23">
        <f>AVERAGE(Q696,U696)</f>
        <v>0.48055208333333332</v>
      </c>
      <c r="AA696" s="23">
        <f>AVERAGE(R696:T696,V696:X696)</f>
        <v>0.48536458333333332</v>
      </c>
      <c r="AB696" s="23">
        <f t="shared" si="10"/>
        <v>0.48448958333333331</v>
      </c>
    </row>
    <row r="697" spans="1:28">
      <c r="A697" s="9">
        <v>44404</v>
      </c>
      <c r="B697" s="3">
        <v>411.23939522712863</v>
      </c>
      <c r="C697" s="3">
        <v>441.58901816348379</v>
      </c>
      <c r="D697" s="3">
        <v>379.27693401969077</v>
      </c>
      <c r="E697" s="3">
        <v>509.82577515004073</v>
      </c>
      <c r="F697" s="2">
        <v>332.13281112104323</v>
      </c>
      <c r="G697" s="19">
        <v>44404</v>
      </c>
      <c r="H697" s="20">
        <v>252.5</v>
      </c>
      <c r="I697" s="20">
        <v>81.562499999999986</v>
      </c>
      <c r="J697" s="20">
        <v>23.477083333333329</v>
      </c>
      <c r="K697" s="20">
        <v>4.8</v>
      </c>
      <c r="L697" s="20">
        <v>211.45833333333334</v>
      </c>
      <c r="M697" s="20">
        <v>2.5625</v>
      </c>
      <c r="N697" s="20">
        <v>6.25E-2</v>
      </c>
      <c r="O697" s="20">
        <v>19.78541666666667</v>
      </c>
      <c r="P697" s="10">
        <v>0.68163119660690896</v>
      </c>
      <c r="Q697" s="21">
        <v>0.44383333333333314</v>
      </c>
      <c r="R697" s="21">
        <v>0.54368749999999999</v>
      </c>
      <c r="S697" s="21">
        <v>0.58535416666666606</v>
      </c>
      <c r="T697" s="21">
        <v>0.60641666666666671</v>
      </c>
      <c r="U697" s="21">
        <v>0.6141875</v>
      </c>
      <c r="V697" s="21">
        <v>0.497729166666667</v>
      </c>
      <c r="W697" s="21">
        <v>0.46216666666666645</v>
      </c>
      <c r="X697" s="21">
        <v>0.38977083333333334</v>
      </c>
      <c r="Y697" s="21">
        <v>0.30774418604651144</v>
      </c>
      <c r="Z697" s="23">
        <f>AVERAGE(Q697,U697)</f>
        <v>0.52901041666666659</v>
      </c>
      <c r="AA697" s="23">
        <f>AVERAGE(R697:T697,V697:X697)</f>
        <v>0.51418749999999991</v>
      </c>
      <c r="AB697" s="23">
        <f t="shared" si="10"/>
        <v>0.51688257575757568</v>
      </c>
    </row>
    <row r="698" spans="1:28">
      <c r="A698" s="9">
        <v>44405</v>
      </c>
      <c r="B698" s="3">
        <v>356.69094843935181</v>
      </c>
      <c r="C698" s="3">
        <v>374.9245977199277</v>
      </c>
      <c r="D698" s="3">
        <v>313.92931791167814</v>
      </c>
      <c r="E698" s="3">
        <v>469.19253852063349</v>
      </c>
      <c r="F698" s="2">
        <v>274.90790369525655</v>
      </c>
      <c r="G698" s="19">
        <v>44405</v>
      </c>
      <c r="H698" s="20">
        <v>211.64583333333334</v>
      </c>
      <c r="I698" s="20">
        <v>86.102083333333312</v>
      </c>
      <c r="J698" s="20">
        <v>23.214583333333326</v>
      </c>
      <c r="K698" s="20">
        <v>9</v>
      </c>
      <c r="L698" s="20">
        <v>216.58333333333334</v>
      </c>
      <c r="M698" s="20">
        <v>1.2708333333333333</v>
      </c>
      <c r="N698" s="20">
        <v>0</v>
      </c>
      <c r="O698" s="20">
        <v>20.564583333333335</v>
      </c>
      <c r="P698" s="10">
        <v>0.48239316164497614</v>
      </c>
      <c r="Q698" s="21">
        <v>0.45808333333333334</v>
      </c>
      <c r="R698" s="21">
        <v>0.55191666666666694</v>
      </c>
      <c r="S698" s="21">
        <v>0.59581250000000019</v>
      </c>
      <c r="T698" s="21">
        <v>0.61566666666666703</v>
      </c>
      <c r="U698" s="21">
        <v>0.62083333333333324</v>
      </c>
      <c r="V698" s="21">
        <v>0.51289583333333344</v>
      </c>
      <c r="W698" s="21">
        <v>0.47989583333333313</v>
      </c>
      <c r="X698" s="21">
        <v>0.41333333333333361</v>
      </c>
      <c r="Y698" s="21">
        <v>0.33281481481481479</v>
      </c>
      <c r="Z698" s="23">
        <f>AVERAGE(Q698,U698)</f>
        <v>0.53945833333333326</v>
      </c>
      <c r="AA698" s="23">
        <f>AVERAGE(R698:T698,V698:X698)</f>
        <v>0.52825347222222241</v>
      </c>
      <c r="AB698" s="23">
        <f t="shared" si="10"/>
        <v>0.53029071969696984</v>
      </c>
    </row>
    <row r="699" spans="1:28">
      <c r="A699" s="9">
        <v>44406</v>
      </c>
      <c r="B699" s="3">
        <v>408.31812061621719</v>
      </c>
      <c r="C699" s="3">
        <v>567.84904676871963</v>
      </c>
      <c r="D699" s="3">
        <v>483.23450720904225</v>
      </c>
      <c r="E699" s="3">
        <v>578.43686458770139</v>
      </c>
      <c r="F699" s="2">
        <v>423.16845796295831</v>
      </c>
      <c r="G699" s="19">
        <v>44406</v>
      </c>
      <c r="H699" s="20">
        <v>275.64583333333331</v>
      </c>
      <c r="I699" s="20">
        <v>80.425000000000026</v>
      </c>
      <c r="J699" s="20">
        <v>24.412500000000005</v>
      </c>
      <c r="K699" s="20">
        <v>14.099999999999996</v>
      </c>
      <c r="L699" s="20">
        <v>216.97916666666666</v>
      </c>
      <c r="M699" s="20">
        <v>1.4791666666666667</v>
      </c>
      <c r="N699" s="20">
        <v>0</v>
      </c>
      <c r="O699" s="20">
        <v>20.46875</v>
      </c>
      <c r="P699" s="10">
        <v>0.74776860978202919</v>
      </c>
      <c r="Q699" s="21">
        <v>0.46354166666666669</v>
      </c>
      <c r="R699" s="21">
        <v>0.55550000000000022</v>
      </c>
      <c r="S699" s="21">
        <v>0.59929166666666678</v>
      </c>
      <c r="T699" s="21">
        <v>0.62052083333333341</v>
      </c>
      <c r="U699" s="21">
        <v>0.62291666666666667</v>
      </c>
      <c r="V699" s="21">
        <v>0.51837500000000014</v>
      </c>
      <c r="W699" s="21">
        <v>0.48552083333333368</v>
      </c>
      <c r="X699" s="21">
        <v>0.42158333333333342</v>
      </c>
      <c r="Y699" s="21">
        <v>0.32536170212765964</v>
      </c>
      <c r="Z699" s="23">
        <f>AVERAGE(Q699,U699)</f>
        <v>0.54322916666666665</v>
      </c>
      <c r="AA699" s="23">
        <f>AVERAGE(R699:T699,V699:X699)</f>
        <v>0.53346527777777797</v>
      </c>
      <c r="AB699" s="23">
        <f t="shared" si="10"/>
        <v>0.53524053030303043</v>
      </c>
    </row>
    <row r="700" spans="1:28" s="36" customFormat="1">
      <c r="A700" s="30">
        <v>44407</v>
      </c>
      <c r="B700" s="31">
        <v>427.68539039673198</v>
      </c>
      <c r="C700" s="31">
        <v>528.62056704108829</v>
      </c>
      <c r="D700" s="31">
        <v>448.5447137561876</v>
      </c>
      <c r="E700" s="31">
        <v>534.31228249199944</v>
      </c>
      <c r="F700" s="38">
        <v>392.79060583629348</v>
      </c>
      <c r="G700" s="32">
        <v>44407</v>
      </c>
      <c r="H700" s="33">
        <v>263</v>
      </c>
      <c r="I700" s="33">
        <v>79.620833333333337</v>
      </c>
      <c r="J700" s="33">
        <v>25.360416666666669</v>
      </c>
      <c r="K700" s="33">
        <v>0</v>
      </c>
      <c r="L700" s="33">
        <v>195.52083333333334</v>
      </c>
      <c r="M700" s="33">
        <v>1.4583333333333333</v>
      </c>
      <c r="N700" s="33">
        <v>8.3333333333333329E-2</v>
      </c>
      <c r="O700" s="33">
        <v>21.247916666666658</v>
      </c>
      <c r="P700" s="34">
        <v>0.80767386415336073</v>
      </c>
      <c r="Q700" s="35">
        <v>0.4314791666666668</v>
      </c>
      <c r="R700" s="35">
        <v>0.53400000000000014</v>
      </c>
      <c r="S700" s="35">
        <v>0.58422916666666669</v>
      </c>
      <c r="T700" s="35">
        <v>0.60477083333333381</v>
      </c>
      <c r="U700" s="35">
        <v>0.610104166666667</v>
      </c>
      <c r="V700" s="35">
        <v>0.49737499999999973</v>
      </c>
      <c r="W700" s="35">
        <v>0.47702083333333362</v>
      </c>
      <c r="X700" s="35">
        <v>0.41254166666666697</v>
      </c>
      <c r="Y700" s="35">
        <v>0.28904444444444449</v>
      </c>
      <c r="Z700" s="37">
        <f>AVERAGE(Q700,U700)</f>
        <v>0.52079166666666687</v>
      </c>
      <c r="AA700" s="37">
        <f>AVERAGE(R700:T700,V700:X700)</f>
        <v>0.51832291666666686</v>
      </c>
      <c r="AB700" s="37">
        <f t="shared" si="10"/>
        <v>0.51877178030303051</v>
      </c>
    </row>
    <row r="701" spans="1:28">
      <c r="A701" s="9">
        <v>44408</v>
      </c>
      <c r="B701" s="3">
        <v>160.97328917498979</v>
      </c>
      <c r="C701" s="3">
        <v>243.24828811458647</v>
      </c>
      <c r="D701" s="3">
        <v>163.99136475684477</v>
      </c>
      <c r="E701" s="3">
        <v>366.22479244849978</v>
      </c>
      <c r="F701" s="2">
        <v>143.60723811756898</v>
      </c>
      <c r="G701" s="19">
        <v>44408</v>
      </c>
      <c r="H701" s="20">
        <v>89.041666666666671</v>
      </c>
      <c r="I701" s="20">
        <v>87.154166666666654</v>
      </c>
      <c r="J701" s="20">
        <v>22.406250000000004</v>
      </c>
      <c r="K701" s="20">
        <v>0</v>
      </c>
      <c r="L701" s="20">
        <v>151.4375</v>
      </c>
      <c r="M701" s="20">
        <v>0.125</v>
      </c>
      <c r="N701" s="20">
        <v>0</v>
      </c>
      <c r="O701" s="20">
        <v>20.141666666666669</v>
      </c>
      <c r="P701" s="10">
        <v>0.36061390843318558</v>
      </c>
      <c r="Q701" s="21">
        <v>0.41091666666666643</v>
      </c>
      <c r="R701" s="21">
        <v>0.52174999999999983</v>
      </c>
      <c r="S701" s="21">
        <v>0.57274999999999998</v>
      </c>
      <c r="T701" s="21">
        <v>0.59945833333333309</v>
      </c>
      <c r="U701" s="21">
        <v>0.60072916666666665</v>
      </c>
      <c r="V701" s="21">
        <v>0.48512500000000008</v>
      </c>
      <c r="W701" s="21">
        <v>0.47158333333333302</v>
      </c>
      <c r="X701" s="21">
        <v>0.40747916666666645</v>
      </c>
      <c r="Y701" s="21">
        <v>0.27456249999999999</v>
      </c>
      <c r="Z701" s="23">
        <f>AVERAGE(Q701,U701)</f>
        <v>0.50582291666666657</v>
      </c>
      <c r="AA701" s="23">
        <f>AVERAGE(R701:T701,V701:X701)</f>
        <v>0.50969097222222215</v>
      </c>
      <c r="AB701" s="23">
        <f t="shared" si="10"/>
        <v>0.50898768939393935</v>
      </c>
    </row>
    <row r="702" spans="1:28">
      <c r="A702" s="9">
        <v>44409</v>
      </c>
      <c r="B702" s="3">
        <v>585.46255658920836</v>
      </c>
      <c r="C702" s="3">
        <v>671.22098702944538</v>
      </c>
      <c r="D702" s="3">
        <v>548.60552936862928</v>
      </c>
      <c r="E702" s="3">
        <v>617.26083156612231</v>
      </c>
      <c r="F702" s="2">
        <v>480.4138620681087</v>
      </c>
      <c r="G702" s="19">
        <v>44409</v>
      </c>
      <c r="H702" s="20">
        <v>288.22916666666669</v>
      </c>
      <c r="I702" s="20">
        <v>68.789583333333326</v>
      </c>
      <c r="J702" s="20">
        <v>25.087500000000006</v>
      </c>
      <c r="K702" s="20">
        <v>0</v>
      </c>
      <c r="L702" s="20">
        <v>116.20833333333333</v>
      </c>
      <c r="M702" s="20">
        <v>1.1458333333333333</v>
      </c>
      <c r="N702" s="20">
        <v>0</v>
      </c>
      <c r="O702" s="20">
        <v>18.160416666666666</v>
      </c>
      <c r="P702" s="10">
        <v>1.2428157284528296</v>
      </c>
      <c r="Q702" s="21">
        <v>0.38824999999999993</v>
      </c>
      <c r="R702" s="21">
        <v>0.51035416666666678</v>
      </c>
      <c r="S702" s="21">
        <v>0.56033333333333324</v>
      </c>
      <c r="T702" s="21">
        <v>0.59297916666666628</v>
      </c>
      <c r="U702" s="21">
        <v>0.58962499999999973</v>
      </c>
      <c r="V702" s="21">
        <v>0.47447916666666662</v>
      </c>
      <c r="W702" s="21">
        <v>0.46429166666666633</v>
      </c>
      <c r="X702" s="21">
        <v>0.40202083333333322</v>
      </c>
      <c r="Y702" s="21">
        <v>0.25744827586206898</v>
      </c>
      <c r="Z702" s="23">
        <f>AVERAGE(Q702,U702)</f>
        <v>0.4889374999999998</v>
      </c>
      <c r="AA702" s="23">
        <f>AVERAGE(R702:T702,V702:X702)</f>
        <v>0.50074305555555554</v>
      </c>
      <c r="AB702" s="23">
        <f t="shared" si="10"/>
        <v>0.49859659090909081</v>
      </c>
    </row>
    <row r="703" spans="1:28">
      <c r="A703" s="9">
        <v>44410</v>
      </c>
      <c r="B703" s="3">
        <v>591.91023553546415</v>
      </c>
      <c r="C703" s="3">
        <v>779.14656261353082</v>
      </c>
      <c r="D703" s="3">
        <v>421.55364813346324</v>
      </c>
      <c r="E703" s="3">
        <v>744.926406023661</v>
      </c>
      <c r="F703" s="2">
        <v>369.15452967047378</v>
      </c>
      <c r="G703" s="19">
        <v>44410</v>
      </c>
      <c r="H703" s="20">
        <v>259.79166666666669</v>
      </c>
      <c r="I703" s="20">
        <v>67.122916666666654</v>
      </c>
      <c r="J703" s="20">
        <v>25.343749999999996</v>
      </c>
      <c r="K703" s="20">
        <v>0</v>
      </c>
      <c r="L703" s="20">
        <v>216.08333333333334</v>
      </c>
      <c r="M703" s="20">
        <v>1.6875</v>
      </c>
      <c r="N703" s="20">
        <v>0</v>
      </c>
      <c r="O703" s="20">
        <v>18.583333333333332</v>
      </c>
      <c r="P703" s="10">
        <v>1.1906514679283202</v>
      </c>
      <c r="Q703" s="21">
        <v>0.34133333333333332</v>
      </c>
      <c r="R703" s="21">
        <v>0.4876458333333335</v>
      </c>
      <c r="S703" s="21">
        <v>0.53297916666666667</v>
      </c>
      <c r="T703" s="21">
        <v>0.57658333333333345</v>
      </c>
      <c r="U703" s="21">
        <v>0.56683333333333319</v>
      </c>
      <c r="V703" s="21">
        <v>0.45022916666666651</v>
      </c>
      <c r="W703" s="21">
        <v>0.44522916666666679</v>
      </c>
      <c r="X703" s="21">
        <v>0.38783333333333342</v>
      </c>
      <c r="Y703" s="21">
        <v>0.22339285714285709</v>
      </c>
      <c r="Z703" s="23">
        <f>AVERAGE(Q703,U703)</f>
        <v>0.45408333333333328</v>
      </c>
      <c r="AA703" s="23">
        <f>AVERAGE(R703:T703,V703:X703)</f>
        <v>0.48008333333333336</v>
      </c>
      <c r="AB703" s="23">
        <f t="shared" si="10"/>
        <v>0.47535606060606062</v>
      </c>
    </row>
    <row r="704" spans="1:28">
      <c r="A704" s="9">
        <v>44411</v>
      </c>
      <c r="B704" s="3">
        <v>567.48190306956963</v>
      </c>
      <c r="C704" s="3">
        <v>776.07386272951908</v>
      </c>
      <c r="D704" s="3">
        <v>350.8203523648923</v>
      </c>
      <c r="E704" s="3">
        <v>702.98671816927765</v>
      </c>
      <c r="F704" s="2">
        <v>307.21338256593617</v>
      </c>
      <c r="G704" s="19">
        <v>44411</v>
      </c>
      <c r="H704" s="20">
        <v>268.1875</v>
      </c>
      <c r="I704" s="20">
        <v>66.975000000000009</v>
      </c>
      <c r="J704" s="20">
        <v>25.597916666666674</v>
      </c>
      <c r="K704" s="20">
        <v>0</v>
      </c>
      <c r="L704" s="20">
        <v>216.8125</v>
      </c>
      <c r="M704" s="20">
        <v>1.2291666666666667</v>
      </c>
      <c r="N704" s="20">
        <v>0</v>
      </c>
      <c r="O704" s="20">
        <v>18.691666666666666</v>
      </c>
      <c r="P704" s="10">
        <v>1.2429253657469082</v>
      </c>
      <c r="Q704" s="21">
        <v>0.30572916666666661</v>
      </c>
      <c r="R704" s="21">
        <v>0.46147916666666672</v>
      </c>
      <c r="S704" s="21">
        <v>0.50524999999999987</v>
      </c>
      <c r="T704" s="21">
        <v>0.55327083333333338</v>
      </c>
      <c r="U704" s="21">
        <v>0.53920833333333318</v>
      </c>
      <c r="V704" s="21">
        <v>0.42066666666666674</v>
      </c>
      <c r="W704" s="21">
        <v>0.42260416666666667</v>
      </c>
      <c r="X704" s="21">
        <v>0.37039583333333342</v>
      </c>
      <c r="Y704" s="21">
        <v>0.18634999999999999</v>
      </c>
      <c r="Z704" s="23">
        <f>AVERAGE(Q704,U704)</f>
        <v>0.42246874999999989</v>
      </c>
      <c r="AA704" s="23">
        <f>AVERAGE(R704:T704,V704:X704)</f>
        <v>0.45561111111111113</v>
      </c>
      <c r="AB704" s="23">
        <f t="shared" si="10"/>
        <v>0.44958522727272726</v>
      </c>
    </row>
    <row r="705" spans="1:28">
      <c r="A705" s="9">
        <v>44412</v>
      </c>
      <c r="B705" s="3">
        <v>559.61967758780543</v>
      </c>
      <c r="C705" s="3">
        <v>760.64508790871275</v>
      </c>
      <c r="D705" s="3">
        <v>361.19052028468514</v>
      </c>
      <c r="E705" s="3">
        <v>670.93908297971484</v>
      </c>
      <c r="F705" s="2">
        <v>316.29453861329881</v>
      </c>
      <c r="G705" s="19">
        <v>44412</v>
      </c>
      <c r="H705" s="20">
        <v>277.14583333333331</v>
      </c>
      <c r="I705" s="20">
        <v>67.133333333333326</v>
      </c>
      <c r="J705" s="20">
        <v>25.997916666666665</v>
      </c>
      <c r="K705" s="20">
        <v>0</v>
      </c>
      <c r="L705" s="20">
        <v>234.70833333333334</v>
      </c>
      <c r="M705" s="20">
        <v>2.0833333333333335</v>
      </c>
      <c r="N705" s="20">
        <v>2.0833333333333332E-2</v>
      </c>
      <c r="O705" s="20">
        <v>19.066666666666666</v>
      </c>
      <c r="P705" s="10">
        <v>1.2748251516316242</v>
      </c>
      <c r="Q705" s="21">
        <v>0.28075</v>
      </c>
      <c r="R705" s="21">
        <v>0.43210416666666679</v>
      </c>
      <c r="S705" s="21">
        <v>0.47939583333333308</v>
      </c>
      <c r="T705" s="21">
        <v>0.52531250000000018</v>
      </c>
      <c r="U705" s="21">
        <v>0.51045833333333346</v>
      </c>
      <c r="V705" s="21">
        <v>0.39079166666666665</v>
      </c>
      <c r="W705" s="21">
        <v>0.39783333333333348</v>
      </c>
      <c r="X705" s="21">
        <v>0.35168749999999999</v>
      </c>
      <c r="Y705" s="21">
        <v>0.16399999999999998</v>
      </c>
      <c r="Z705" s="23">
        <f>AVERAGE(Q705,U705)</f>
        <v>0.39560416666666676</v>
      </c>
      <c r="AA705" s="23">
        <f>AVERAGE(R705:T705,V705:X705)</f>
        <v>0.42952083333333335</v>
      </c>
      <c r="AB705" s="23">
        <f t="shared" si="10"/>
        <v>0.4233541666666667</v>
      </c>
    </row>
    <row r="706" spans="1:28">
      <c r="A706" s="9">
        <v>44413</v>
      </c>
      <c r="B706" s="3">
        <v>521.60143843893979</v>
      </c>
      <c r="C706" s="3">
        <v>724.18983020587598</v>
      </c>
      <c r="D706" s="3">
        <v>369.96719166669868</v>
      </c>
      <c r="E706" s="3">
        <v>613.49325473492286</v>
      </c>
      <c r="F706" s="2">
        <v>323.98026974252804</v>
      </c>
      <c r="G706" s="19">
        <v>44413</v>
      </c>
      <c r="H706" s="20">
        <v>272.64583333333331</v>
      </c>
      <c r="I706" s="20">
        <v>66.749999999999986</v>
      </c>
      <c r="J706" s="20">
        <v>26.110416666666669</v>
      </c>
      <c r="K706" s="20">
        <v>0</v>
      </c>
      <c r="L706" s="20">
        <v>210.6875</v>
      </c>
      <c r="M706" s="20">
        <v>2.2291666666666665</v>
      </c>
      <c r="N706" s="20">
        <v>0</v>
      </c>
      <c r="O706" s="20">
        <v>18.981249999999996</v>
      </c>
      <c r="P706" s="10">
        <v>1.3189600447859569</v>
      </c>
      <c r="Q706" s="21">
        <v>0.26441666666666647</v>
      </c>
      <c r="R706" s="21">
        <v>0.40291666666666665</v>
      </c>
      <c r="S706" s="21">
        <v>0.45860416666666687</v>
      </c>
      <c r="T706" s="21">
        <v>0.49637500000000007</v>
      </c>
      <c r="U706" s="21">
        <v>0.48593750000000013</v>
      </c>
      <c r="V706" s="21">
        <v>0.36779166666666668</v>
      </c>
      <c r="W706" s="21">
        <v>0.37687500000000013</v>
      </c>
      <c r="X706" s="21">
        <v>0.33502083333333338</v>
      </c>
      <c r="Y706" s="21">
        <v>0.15</v>
      </c>
      <c r="Z706" s="23">
        <f>AVERAGE(Q706,U706)</f>
        <v>0.37517708333333333</v>
      </c>
      <c r="AA706" s="23">
        <f>AVERAGE(R706:T706,V706:X706)</f>
        <v>0.40626388888888898</v>
      </c>
      <c r="AB706" s="23">
        <f t="shared" si="10"/>
        <v>0.40061174242424252</v>
      </c>
    </row>
    <row r="707" spans="1:28" s="36" customFormat="1">
      <c r="A707" s="30">
        <v>44414</v>
      </c>
      <c r="B707" s="31">
        <v>474.06684936155619</v>
      </c>
      <c r="C707" s="31">
        <v>664.78148451998788</v>
      </c>
      <c r="D707" s="31">
        <v>349.79073379890667</v>
      </c>
      <c r="E707" s="31">
        <v>584.39686866796978</v>
      </c>
      <c r="F707" s="38">
        <v>306.3117455877026</v>
      </c>
      <c r="G707" s="32">
        <v>44414</v>
      </c>
      <c r="H707" s="33">
        <v>252.39583333333334</v>
      </c>
      <c r="I707" s="33">
        <v>69.964583333333337</v>
      </c>
      <c r="J707" s="33">
        <v>26.112500000000001</v>
      </c>
      <c r="K707" s="33">
        <v>0</v>
      </c>
      <c r="L707" s="33">
        <v>222.41666666666666</v>
      </c>
      <c r="M707" s="33">
        <v>2.5208333333333335</v>
      </c>
      <c r="N707" s="33">
        <v>6.25E-2</v>
      </c>
      <c r="O707" s="33">
        <v>19.899999999999999</v>
      </c>
      <c r="P707" s="34">
        <v>1.1660348370183631</v>
      </c>
      <c r="Q707" s="35">
        <v>0.2539791666666667</v>
      </c>
      <c r="R707" s="35">
        <v>0.37835416666666649</v>
      </c>
      <c r="S707" s="35">
        <v>0.44106249999999997</v>
      </c>
      <c r="T707" s="35">
        <v>0.47020833333333312</v>
      </c>
      <c r="U707" s="35">
        <v>0.46562499999999973</v>
      </c>
      <c r="V707" s="35">
        <v>0.35114583333333349</v>
      </c>
      <c r="W707" s="35">
        <v>0.36089583333333314</v>
      </c>
      <c r="X707" s="35">
        <v>0.32089583333333338</v>
      </c>
      <c r="Y707" s="35">
        <v>0.1399</v>
      </c>
      <c r="Z707" s="37">
        <f>AVERAGE(Q707,U707)</f>
        <v>0.35980208333333319</v>
      </c>
      <c r="AA707" s="37">
        <f>AVERAGE(R707:T707,V707:X707)</f>
        <v>0.38709374999999985</v>
      </c>
      <c r="AB707" s="37">
        <f t="shared" si="10"/>
        <v>0.38213162878787865</v>
      </c>
    </row>
    <row r="708" spans="1:28">
      <c r="A708" s="9">
        <v>44415</v>
      </c>
      <c r="B708" s="3">
        <v>436.15703289268066</v>
      </c>
      <c r="C708" s="3">
        <v>617.9570694999253</v>
      </c>
      <c r="D708" s="3">
        <v>379.3994014290202</v>
      </c>
      <c r="E708" s="3">
        <v>547.63078276717749</v>
      </c>
      <c r="F708" s="2">
        <v>332.24005583139302</v>
      </c>
      <c r="G708" s="19">
        <v>44415</v>
      </c>
      <c r="H708" s="20">
        <v>238.1875</v>
      </c>
      <c r="I708" s="20">
        <v>74.329166666666666</v>
      </c>
      <c r="J708" s="20">
        <v>26.381250000000005</v>
      </c>
      <c r="K708" s="20">
        <v>0</v>
      </c>
      <c r="L708" s="20">
        <v>222.95833333333334</v>
      </c>
      <c r="M708" s="20">
        <v>4.8125</v>
      </c>
      <c r="N708" s="20">
        <v>0.29166666666666669</v>
      </c>
      <c r="O708" s="20">
        <v>21.133333333333329</v>
      </c>
      <c r="P708" s="10">
        <v>1.0070133103334029</v>
      </c>
      <c r="Q708" s="21">
        <v>0.24743749999999987</v>
      </c>
      <c r="R708" s="21">
        <v>0.36222916666666666</v>
      </c>
      <c r="S708" s="21">
        <v>0.42802083333333352</v>
      </c>
      <c r="T708" s="21">
        <v>0.45064583333333325</v>
      </c>
      <c r="U708" s="21">
        <v>0.4512500000000001</v>
      </c>
      <c r="V708" s="21">
        <v>0.34087499999999998</v>
      </c>
      <c r="W708" s="21">
        <v>0.3507083333333334</v>
      </c>
      <c r="X708" s="21">
        <v>0.31006249999999996</v>
      </c>
      <c r="Y708" s="21">
        <v>0.136125</v>
      </c>
      <c r="Z708" s="23">
        <f>AVERAGE(Q708,U708)</f>
        <v>0.34934374999999995</v>
      </c>
      <c r="AA708" s="23">
        <f>AVERAGE(R708:T708,V708:X708)</f>
        <v>0.37375694444444446</v>
      </c>
      <c r="AB708" s="23">
        <f t="shared" si="10"/>
        <v>0.36931818181818182</v>
      </c>
    </row>
    <row r="709" spans="1:28">
      <c r="A709" s="9">
        <v>44416</v>
      </c>
      <c r="B709" s="3">
        <v>380.48555575923132</v>
      </c>
      <c r="C709" s="3">
        <v>562.27647949926916</v>
      </c>
      <c r="D709" s="3">
        <v>367.59539177106842</v>
      </c>
      <c r="E709" s="3">
        <v>540.47762917684611</v>
      </c>
      <c r="F709" s="2">
        <v>321.90328457392462</v>
      </c>
      <c r="G709" s="19">
        <v>44416</v>
      </c>
      <c r="H709" s="20">
        <v>195.45833333333334</v>
      </c>
      <c r="I709" s="20">
        <v>77.67083333333332</v>
      </c>
      <c r="J709" s="20">
        <v>25.797916666666655</v>
      </c>
      <c r="K709" s="20">
        <v>0</v>
      </c>
      <c r="L709" s="20">
        <v>232.33333333333334</v>
      </c>
      <c r="M709" s="20">
        <v>8.4375</v>
      </c>
      <c r="N709" s="20">
        <v>0.75</v>
      </c>
      <c r="O709" s="20">
        <v>21.447916666666671</v>
      </c>
      <c r="P709" s="10">
        <v>0.80393698280569603</v>
      </c>
      <c r="Q709" s="21">
        <v>0.24333333333333332</v>
      </c>
      <c r="R709" s="21">
        <v>0.34947916666666662</v>
      </c>
      <c r="S709" s="21">
        <v>0.41949999999999998</v>
      </c>
      <c r="T709" s="21">
        <v>0.43620833333333336</v>
      </c>
      <c r="U709" s="21">
        <v>0.44016666666666687</v>
      </c>
      <c r="V709" s="21">
        <v>0.33420833333333338</v>
      </c>
      <c r="W709" s="21">
        <v>0.34352083333333328</v>
      </c>
      <c r="X709" s="21">
        <v>0.3016250000000002</v>
      </c>
      <c r="Y709" s="21">
        <v>0.13252380952380957</v>
      </c>
      <c r="Z709" s="23">
        <f>AVERAGE(Q709,U709)</f>
        <v>0.34175000000000011</v>
      </c>
      <c r="AA709" s="23">
        <f>AVERAGE(R709:T709,V709:X709)</f>
        <v>0.36409027777777775</v>
      </c>
      <c r="AB709" s="23">
        <f t="shared" si="10"/>
        <v>0.36002840909090905</v>
      </c>
    </row>
    <row r="710" spans="1:28">
      <c r="A710" s="9">
        <v>44417</v>
      </c>
      <c r="B710" s="3">
        <v>156.228344113904</v>
      </c>
      <c r="C710" s="3">
        <v>218.98774228151262</v>
      </c>
      <c r="D710" s="3">
        <v>146.15806431824103</v>
      </c>
      <c r="E710" s="3">
        <v>304.49332415966205</v>
      </c>
      <c r="F710" s="2">
        <v>127.99061692348367</v>
      </c>
      <c r="G710" s="19">
        <v>44417</v>
      </c>
      <c r="H710" s="20">
        <v>101.41666666666667</v>
      </c>
      <c r="I710" s="20">
        <v>87.116666666666674</v>
      </c>
      <c r="J710" s="20">
        <v>22.5625</v>
      </c>
      <c r="K710" s="20">
        <v>9.2999999999999989</v>
      </c>
      <c r="L710" s="20">
        <v>234.39583333333334</v>
      </c>
      <c r="M710" s="20">
        <v>2.875</v>
      </c>
      <c r="N710" s="20">
        <v>6.25E-2</v>
      </c>
      <c r="O710" s="20">
        <v>20.256249999999998</v>
      </c>
      <c r="P710" s="10">
        <v>0.37748627957429653</v>
      </c>
      <c r="Q710" s="21">
        <v>0.24197916666666694</v>
      </c>
      <c r="R710" s="21">
        <v>0.34191666666666659</v>
      </c>
      <c r="S710" s="21">
        <v>0.41529166666666623</v>
      </c>
      <c r="T710" s="21">
        <v>0.4294999999999996</v>
      </c>
      <c r="U710" s="21">
        <v>0.43535416666666665</v>
      </c>
      <c r="V710" s="21">
        <v>0.34193750000000006</v>
      </c>
      <c r="W710" s="21">
        <v>0.33966666666666673</v>
      </c>
      <c r="X710" s="21">
        <v>0.29679166666666684</v>
      </c>
      <c r="Y710" s="21">
        <v>0.18499999999999997</v>
      </c>
      <c r="Z710" s="23">
        <f>AVERAGE(Q710,U710)</f>
        <v>0.33866666666666678</v>
      </c>
      <c r="AA710" s="23">
        <f>AVERAGE(R710:T710,V710:X710)</f>
        <v>0.36085069444444434</v>
      </c>
      <c r="AB710" s="23">
        <f t="shared" ref="AB710:AB773" si="11">(Z710*10+AA710*45)/55</f>
        <v>0.35681723484848477</v>
      </c>
    </row>
    <row r="711" spans="1:28">
      <c r="A711" s="9">
        <v>44418</v>
      </c>
      <c r="B711" s="3">
        <v>438.2471112033835</v>
      </c>
      <c r="C711" s="3">
        <v>487.66551500889904</v>
      </c>
      <c r="D711" s="3">
        <v>392.75579191222306</v>
      </c>
      <c r="E711" s="3">
        <v>450.16644720097634</v>
      </c>
      <c r="F711" s="2">
        <v>343.93624697753376</v>
      </c>
      <c r="G711" s="19">
        <v>44418</v>
      </c>
      <c r="H711" s="20">
        <v>232.625</v>
      </c>
      <c r="I711" s="20">
        <v>80.347916666666649</v>
      </c>
      <c r="J711" s="20">
        <v>24.664583333333336</v>
      </c>
      <c r="K711" s="20">
        <v>0</v>
      </c>
      <c r="L711" s="20">
        <v>238.77083333333334</v>
      </c>
      <c r="M711" s="20">
        <v>2.4791666666666665</v>
      </c>
      <c r="N711" s="20">
        <v>6.25E-2</v>
      </c>
      <c r="O711" s="20">
        <v>20.716666666666661</v>
      </c>
      <c r="P711" s="10">
        <v>0.75015926574658331</v>
      </c>
      <c r="Q711" s="21">
        <v>0.24154166666666654</v>
      </c>
      <c r="R711" s="21">
        <v>0.33931249999999996</v>
      </c>
      <c r="S711" s="21">
        <v>0.41387499999999994</v>
      </c>
      <c r="T711" s="21">
        <v>0.42725000000000007</v>
      </c>
      <c r="U711" s="21">
        <v>0.43237500000000012</v>
      </c>
      <c r="V711" s="21">
        <v>0.33608333333333357</v>
      </c>
      <c r="W711" s="21">
        <v>0.33745833333333358</v>
      </c>
      <c r="X711" s="21">
        <v>0.29539583333333314</v>
      </c>
      <c r="Y711" s="21">
        <v>0.17150000000000001</v>
      </c>
      <c r="Z711" s="23">
        <f>AVERAGE(Q711,U711)</f>
        <v>0.33695833333333336</v>
      </c>
      <c r="AA711" s="23">
        <f>AVERAGE(R711:T711,V711:X711)</f>
        <v>0.35822916666666677</v>
      </c>
      <c r="AB711" s="23">
        <f t="shared" si="11"/>
        <v>0.35436174242424251</v>
      </c>
    </row>
    <row r="712" spans="1:28">
      <c r="A712" s="9">
        <v>44419</v>
      </c>
      <c r="B712" s="3">
        <v>48.698891460444251</v>
      </c>
      <c r="C712" s="3">
        <v>89.575394582921533</v>
      </c>
      <c r="D712" s="3">
        <v>51.375020395377497</v>
      </c>
      <c r="E712" s="3">
        <v>206.51203844605752</v>
      </c>
      <c r="F712" s="2">
        <v>44.989105360232074</v>
      </c>
      <c r="G712" s="19">
        <v>44419</v>
      </c>
      <c r="H712" s="20">
        <v>109.64583333333333</v>
      </c>
      <c r="I712" s="20">
        <v>92.070833333333326</v>
      </c>
      <c r="J712" s="20">
        <v>21.856249999999999</v>
      </c>
      <c r="K712" s="20">
        <v>34.800000000000011</v>
      </c>
      <c r="L712" s="20">
        <v>216.77083333333334</v>
      </c>
      <c r="M712" s="20">
        <v>0.91666666666666663</v>
      </c>
      <c r="N712" s="20">
        <v>0</v>
      </c>
      <c r="O712" s="20">
        <v>20.472916666666666</v>
      </c>
      <c r="P712" s="10">
        <v>0.22252885022285995</v>
      </c>
      <c r="Q712" s="21">
        <v>0.31981250000000006</v>
      </c>
      <c r="R712" s="21">
        <v>0.3949791666666666</v>
      </c>
      <c r="S712" s="21">
        <v>0.45750000000000002</v>
      </c>
      <c r="T712" s="21">
        <v>0.43174999999999991</v>
      </c>
      <c r="U712" s="21">
        <v>0.44777083333333317</v>
      </c>
      <c r="V712" s="21">
        <v>0.37014583333333334</v>
      </c>
      <c r="W712" s="21">
        <v>0.33827083333333358</v>
      </c>
      <c r="X712" s="21">
        <v>0.29239583333333302</v>
      </c>
      <c r="Y712" s="21">
        <v>0.29084782608695653</v>
      </c>
      <c r="Z712" s="23">
        <f>AVERAGE(Q712,U712)</f>
        <v>0.38379166666666664</v>
      </c>
      <c r="AA712" s="23">
        <f>AVERAGE(R712:T712,V712:X712)</f>
        <v>0.38084027777777774</v>
      </c>
      <c r="AB712" s="23">
        <f t="shared" si="11"/>
        <v>0.38137689393939395</v>
      </c>
    </row>
    <row r="713" spans="1:28">
      <c r="A713" s="9">
        <v>44420</v>
      </c>
      <c r="B713" s="3">
        <v>288.79487123506215</v>
      </c>
      <c r="C713" s="3">
        <v>315.23647254842246</v>
      </c>
      <c r="D713" s="3">
        <v>296.8216804509496</v>
      </c>
      <c r="E713" s="3">
        <v>415.16462849720904</v>
      </c>
      <c r="F713" s="2">
        <v>259.92674557089657</v>
      </c>
      <c r="G713" s="19">
        <v>44420</v>
      </c>
      <c r="H713" s="20">
        <v>178.66666666666666</v>
      </c>
      <c r="I713" s="20">
        <v>86.414583333333326</v>
      </c>
      <c r="J713" s="20">
        <v>23.439583333333331</v>
      </c>
      <c r="K713" s="20">
        <v>13.8</v>
      </c>
      <c r="L713" s="20">
        <v>228.27083333333334</v>
      </c>
      <c r="M713" s="20">
        <v>4.229166666666667</v>
      </c>
      <c r="N713" s="20">
        <v>0.22916666666666666</v>
      </c>
      <c r="O713" s="20">
        <v>20.910416666666666</v>
      </c>
      <c r="P713" s="10">
        <v>0.44772252230613546</v>
      </c>
      <c r="Q713" s="21">
        <v>0.31127083333333333</v>
      </c>
      <c r="R713" s="21">
        <v>0.40020833333333344</v>
      </c>
      <c r="S713" s="21">
        <v>0.46531249999999985</v>
      </c>
      <c r="T713" s="21">
        <v>0.43793750000000015</v>
      </c>
      <c r="U713" s="21">
        <v>0.45381250000000034</v>
      </c>
      <c r="V713" s="21">
        <v>0.36287500000000006</v>
      </c>
      <c r="W713" s="21">
        <v>0.3399583333333332</v>
      </c>
      <c r="X713" s="21">
        <v>0.29362500000000008</v>
      </c>
      <c r="Y713" s="21">
        <v>0.28708333333333336</v>
      </c>
      <c r="Z713" s="23">
        <f>AVERAGE(Q713,U713)</f>
        <v>0.38254166666666684</v>
      </c>
      <c r="AA713" s="23">
        <f>AVERAGE(R713:T713,V713:X713)</f>
        <v>0.38331944444444449</v>
      </c>
      <c r="AB713" s="23">
        <f t="shared" si="11"/>
        <v>0.38317803030303038</v>
      </c>
    </row>
    <row r="714" spans="1:28" s="36" customFormat="1">
      <c r="A714" s="30">
        <v>44421</v>
      </c>
      <c r="B714" s="31">
        <v>99.024858462875599</v>
      </c>
      <c r="C714" s="31">
        <v>118.58130926241448</v>
      </c>
      <c r="D714" s="31">
        <v>128.10282711825781</v>
      </c>
      <c r="E714" s="31">
        <v>223.12849090839677</v>
      </c>
      <c r="F714" s="38">
        <v>112.17964570745836</v>
      </c>
      <c r="G714" s="32">
        <v>44421</v>
      </c>
      <c r="H714" s="33">
        <v>94.4375</v>
      </c>
      <c r="I714" s="33">
        <v>90.629166666666677</v>
      </c>
      <c r="J714" s="33">
        <v>22.352083333333329</v>
      </c>
      <c r="K714" s="33">
        <v>12.7</v>
      </c>
      <c r="L714" s="33">
        <v>229.29166666666666</v>
      </c>
      <c r="M714" s="33">
        <v>3.5625</v>
      </c>
      <c r="N714" s="33">
        <v>0.14583333333333334</v>
      </c>
      <c r="O714" s="33">
        <v>20.710416666666664</v>
      </c>
      <c r="P714" s="34">
        <v>0.26891935664471672</v>
      </c>
      <c r="Q714" s="35">
        <v>0.38485416666666672</v>
      </c>
      <c r="R714" s="35">
        <v>0.50793749999999982</v>
      </c>
      <c r="S714" s="35">
        <v>0.56335416666666649</v>
      </c>
      <c r="T714" s="35">
        <v>0.53893749999999996</v>
      </c>
      <c r="U714" s="35">
        <v>0.52043750000000011</v>
      </c>
      <c r="V714" s="35">
        <v>0.39381249999999984</v>
      </c>
      <c r="W714" s="35">
        <v>0.35858333333333309</v>
      </c>
      <c r="X714" s="35">
        <v>0.30570833333333319</v>
      </c>
      <c r="Y714" s="35">
        <v>0.31580000000000008</v>
      </c>
      <c r="Z714" s="37">
        <f>AVERAGE(Q714,U714)</f>
        <v>0.45264583333333341</v>
      </c>
      <c r="AA714" s="37">
        <f>AVERAGE(R714:T714,V714:X714)</f>
        <v>0.44472222222222202</v>
      </c>
      <c r="AB714" s="37">
        <f t="shared" si="11"/>
        <v>0.44616287878787864</v>
      </c>
    </row>
    <row r="715" spans="1:28">
      <c r="A715" s="9">
        <v>44422</v>
      </c>
      <c r="B715" s="3">
        <v>31.71613224752554</v>
      </c>
      <c r="C715" s="3">
        <v>117.84629148682367</v>
      </c>
      <c r="D715" s="3">
        <v>99.912424010815542</v>
      </c>
      <c r="E715" s="3">
        <v>256.99874538189198</v>
      </c>
      <c r="F715" s="2">
        <v>87.493309706271177</v>
      </c>
      <c r="G715" s="19">
        <v>44422</v>
      </c>
      <c r="H715" s="20">
        <v>77.458333333333329</v>
      </c>
      <c r="I715" s="20">
        <v>88.366666666666632</v>
      </c>
      <c r="J715" s="20">
        <v>20.262499999999999</v>
      </c>
      <c r="K715" s="20">
        <v>0</v>
      </c>
      <c r="L715" s="20">
        <v>215.60416666666666</v>
      </c>
      <c r="M715" s="20">
        <v>1.1041666666666667</v>
      </c>
      <c r="N715" s="20">
        <v>0</v>
      </c>
      <c r="O715" s="20">
        <v>18.256250000000005</v>
      </c>
      <c r="P715" s="10">
        <v>0.28285461135652545</v>
      </c>
      <c r="Q715" s="21">
        <v>0.39891666666666681</v>
      </c>
      <c r="R715" s="21">
        <v>0.5145833333333335</v>
      </c>
      <c r="S715" s="21">
        <v>0.57733333333333348</v>
      </c>
      <c r="T715" s="21">
        <v>0.57575000000000032</v>
      </c>
      <c r="U715" s="21">
        <v>0.5274791666666665</v>
      </c>
      <c r="V715" s="21">
        <v>0.39462499999999984</v>
      </c>
      <c r="W715" s="21">
        <v>0.36185416666666681</v>
      </c>
      <c r="X715" s="21">
        <v>0.30627083333333321</v>
      </c>
      <c r="Y715" s="21">
        <v>0.30053571428571429</v>
      </c>
      <c r="Z715" s="23">
        <f>AVERAGE(Q715,U715)</f>
        <v>0.46319791666666665</v>
      </c>
      <c r="AA715" s="23">
        <f>AVERAGE(R715:T715,V715:X715)</f>
        <v>0.45506944444444453</v>
      </c>
      <c r="AB715" s="23">
        <f t="shared" si="11"/>
        <v>0.45654734848484851</v>
      </c>
    </row>
    <row r="716" spans="1:28">
      <c r="A716" s="9">
        <v>44423</v>
      </c>
      <c r="B716" s="3">
        <v>2.1771031436701178</v>
      </c>
      <c r="C716" s="3">
        <v>39.041509217751731</v>
      </c>
      <c r="D716" s="3">
        <v>25.792360285521649</v>
      </c>
      <c r="E716" s="3">
        <v>83.919186578099954</v>
      </c>
      <c r="F716" s="2">
        <v>22.586369902031308</v>
      </c>
      <c r="G716" s="19">
        <v>44423</v>
      </c>
      <c r="H716" s="20">
        <v>72.5</v>
      </c>
      <c r="I716" s="20">
        <v>93.879166666666649</v>
      </c>
      <c r="J716" s="20">
        <v>19.716666666666658</v>
      </c>
      <c r="K716" s="20">
        <v>8.3000000000000007</v>
      </c>
      <c r="L716" s="20">
        <v>279.10416666666669</v>
      </c>
      <c r="M716" s="20">
        <v>1.4375</v>
      </c>
      <c r="N716" s="20">
        <v>0</v>
      </c>
      <c r="O716" s="20">
        <v>18.689583333333335</v>
      </c>
      <c r="P716" s="10">
        <v>0.14461975147830916</v>
      </c>
      <c r="Q716" s="21">
        <v>0.4030416666666668</v>
      </c>
      <c r="R716" s="21">
        <v>0.51272916666666668</v>
      </c>
      <c r="S716" s="21">
        <v>0.57427083333333295</v>
      </c>
      <c r="T716" s="21">
        <v>0.57277083333333312</v>
      </c>
      <c r="U716" s="21">
        <v>0.52577083333333285</v>
      </c>
      <c r="V716" s="21">
        <v>0.3887083333333336</v>
      </c>
      <c r="W716" s="21">
        <v>0.35952083333333346</v>
      </c>
      <c r="X716" s="21">
        <v>0.30672916666666677</v>
      </c>
      <c r="Y716" s="21">
        <v>0.28791666666666665</v>
      </c>
      <c r="Z716" s="23">
        <f>AVERAGE(Q716,U716)</f>
        <v>0.4644062499999998</v>
      </c>
      <c r="AA716" s="23">
        <f>AVERAGE(R716:T716,V716:X716)</f>
        <v>0.45245486111111116</v>
      </c>
      <c r="AB716" s="23">
        <f t="shared" si="11"/>
        <v>0.45462784090909092</v>
      </c>
    </row>
    <row r="717" spans="1:28">
      <c r="A717" s="9">
        <v>44424</v>
      </c>
      <c r="B717" s="3">
        <v>223.53471683859902</v>
      </c>
      <c r="C717" s="3">
        <v>278.97177217008499</v>
      </c>
      <c r="D717" s="3">
        <v>255.66552378670619</v>
      </c>
      <c r="E717" s="3">
        <v>361.85102005930463</v>
      </c>
      <c r="F717" s="2">
        <v>223.88629918001863</v>
      </c>
      <c r="G717" s="19">
        <v>44424</v>
      </c>
      <c r="H717" s="20">
        <v>157.20833333333334</v>
      </c>
      <c r="I717" s="20">
        <v>89.34166666666664</v>
      </c>
      <c r="J717" s="20">
        <v>21.793750000000006</v>
      </c>
      <c r="K717" s="20">
        <v>3.7</v>
      </c>
      <c r="L717" s="20">
        <v>227.6875</v>
      </c>
      <c r="M717" s="20">
        <v>7.833333333333333</v>
      </c>
      <c r="N717" s="20">
        <v>0.89583333333333337</v>
      </c>
      <c r="O717" s="20">
        <v>19.883333333333336</v>
      </c>
      <c r="P717" s="10">
        <v>0.30852680819944917</v>
      </c>
      <c r="Q717" s="21">
        <v>0.44356249999999992</v>
      </c>
      <c r="R717" s="21">
        <v>0.54422916666666676</v>
      </c>
      <c r="S717" s="21">
        <v>0.59462499999999985</v>
      </c>
      <c r="T717" s="21">
        <v>0.60747916666666668</v>
      </c>
      <c r="U717" s="21">
        <v>0.5499791666666668</v>
      </c>
      <c r="V717" s="21">
        <v>0.41245833333333298</v>
      </c>
      <c r="W717" s="21">
        <v>0.36272916666666694</v>
      </c>
      <c r="X717" s="21">
        <v>0.30714583333333351</v>
      </c>
      <c r="Y717" s="21">
        <v>0.30409999999999993</v>
      </c>
      <c r="Z717" s="23">
        <f>AVERAGE(Q717,U717)</f>
        <v>0.49677083333333338</v>
      </c>
      <c r="AA717" s="23">
        <f>AVERAGE(R717:T717,V717:X717)</f>
        <v>0.4714444444444445</v>
      </c>
      <c r="AB717" s="23">
        <f t="shared" si="11"/>
        <v>0.47604924242424251</v>
      </c>
    </row>
    <row r="718" spans="1:28">
      <c r="A718" s="9">
        <v>44425</v>
      </c>
      <c r="B718" s="3">
        <v>166.55877480249018</v>
      </c>
      <c r="C718" s="3">
        <v>268.09761198310281</v>
      </c>
      <c r="D718" s="3">
        <v>260.83907951161473</v>
      </c>
      <c r="E718" s="3">
        <v>440.78757059553647</v>
      </c>
      <c r="F718" s="2">
        <v>228.41678192832103</v>
      </c>
      <c r="G718" s="19">
        <v>44425</v>
      </c>
      <c r="H718" s="20">
        <v>133.22916666666666</v>
      </c>
      <c r="I718" s="20">
        <v>85.839583333333323</v>
      </c>
      <c r="J718" s="20">
        <v>22.572916666666671</v>
      </c>
      <c r="K718" s="20">
        <v>1.2</v>
      </c>
      <c r="L718" s="20">
        <v>226.08333333333334</v>
      </c>
      <c r="M718" s="20">
        <v>11.1875</v>
      </c>
      <c r="N718" s="20">
        <v>1.8958333333333333</v>
      </c>
      <c r="O718" s="20">
        <v>20.029166666666669</v>
      </c>
      <c r="P718" s="10">
        <v>0.4102184430895599</v>
      </c>
      <c r="Q718" s="21">
        <v>0.42214583333333344</v>
      </c>
      <c r="R718" s="21">
        <v>0.52552083333333299</v>
      </c>
      <c r="S718" s="21">
        <v>0.58264583333333275</v>
      </c>
      <c r="T718" s="21">
        <v>0.59841666666666671</v>
      </c>
      <c r="U718" s="21">
        <v>0.54610416666666695</v>
      </c>
      <c r="V718" s="21">
        <v>0.40531250000000013</v>
      </c>
      <c r="W718" s="21">
        <v>0.36481250000000026</v>
      </c>
      <c r="X718" s="21">
        <v>0.30795833333333322</v>
      </c>
      <c r="Y718" s="21">
        <v>0.28736363636363632</v>
      </c>
      <c r="Z718" s="23">
        <f>AVERAGE(Q718,U718)</f>
        <v>0.48412500000000019</v>
      </c>
      <c r="AA718" s="23">
        <f>AVERAGE(R718:T718,V718:X718)</f>
        <v>0.46411111111111092</v>
      </c>
      <c r="AB718" s="23">
        <f t="shared" si="11"/>
        <v>0.46774999999999989</v>
      </c>
    </row>
    <row r="719" spans="1:28">
      <c r="A719" s="9">
        <v>44426</v>
      </c>
      <c r="B719" s="3">
        <v>233.18031906589192</v>
      </c>
      <c r="C719" s="3">
        <v>356.96244373028799</v>
      </c>
      <c r="D719" s="3">
        <v>394.16039104955638</v>
      </c>
      <c r="E719" s="3">
        <v>450.29842940158386</v>
      </c>
      <c r="F719" s="2">
        <v>345.16625444209654</v>
      </c>
      <c r="G719" s="19">
        <v>44426</v>
      </c>
      <c r="H719" s="20">
        <v>181.02083333333334</v>
      </c>
      <c r="I719" s="20">
        <v>85.170833333333334</v>
      </c>
      <c r="J719" s="20">
        <v>22.912499999999998</v>
      </c>
      <c r="K719" s="20">
        <v>29.299999999999997</v>
      </c>
      <c r="L719" s="20">
        <v>230.95833333333334</v>
      </c>
      <c r="M719" s="20">
        <v>8.3958333333333339</v>
      </c>
      <c r="N719" s="20">
        <v>0.70833333333333337</v>
      </c>
      <c r="O719" s="20">
        <v>20.156249999999996</v>
      </c>
      <c r="P719" s="10">
        <v>0.46800702206195832</v>
      </c>
      <c r="Q719" s="21">
        <v>0.45193749999999988</v>
      </c>
      <c r="R719" s="21">
        <v>0.55143750000000014</v>
      </c>
      <c r="S719" s="21">
        <v>0.59687500000000004</v>
      </c>
      <c r="T719" s="21">
        <v>0.62056250000000002</v>
      </c>
      <c r="U719" s="21">
        <v>0.60239583333333313</v>
      </c>
      <c r="V719" s="21">
        <v>0.46762500000000018</v>
      </c>
      <c r="W719" s="21">
        <v>0.42162499999999986</v>
      </c>
      <c r="X719" s="21">
        <v>0.36399999999999988</v>
      </c>
      <c r="Y719" s="21">
        <v>0.32561538461538464</v>
      </c>
      <c r="Z719" s="23">
        <f>AVERAGE(Q719,U719)</f>
        <v>0.52716666666666656</v>
      </c>
      <c r="AA719" s="23">
        <f>AVERAGE(R719:T719,V719:X719)</f>
        <v>0.50368749999999995</v>
      </c>
      <c r="AB719" s="23">
        <f t="shared" si="11"/>
        <v>0.50795643939393931</v>
      </c>
    </row>
    <row r="720" spans="1:28">
      <c r="A720" s="9">
        <v>44427</v>
      </c>
      <c r="B720" s="3">
        <v>361.33830897217956</v>
      </c>
      <c r="C720" s="3">
        <v>442.38354612576279</v>
      </c>
      <c r="D720" s="3">
        <v>462.11944594793817</v>
      </c>
      <c r="E720" s="3">
        <v>574.0789106277449</v>
      </c>
      <c r="F720" s="2">
        <v>404.67799881660949</v>
      </c>
      <c r="G720" s="19">
        <v>44427</v>
      </c>
      <c r="H720" s="20">
        <v>203.89583333333334</v>
      </c>
      <c r="I720" s="20">
        <v>79.899999999999977</v>
      </c>
      <c r="J720" s="20">
        <v>23.966666666666665</v>
      </c>
      <c r="K720" s="20">
        <v>0</v>
      </c>
      <c r="L720" s="20">
        <v>229.29166666666666</v>
      </c>
      <c r="M720" s="20">
        <v>8.0833333333333339</v>
      </c>
      <c r="N720" s="20">
        <v>0.5</v>
      </c>
      <c r="O720" s="20">
        <v>20.131250000000001</v>
      </c>
      <c r="P720" s="10">
        <v>0.65877077834560704</v>
      </c>
      <c r="Q720" s="21">
        <v>0.42654166666666676</v>
      </c>
      <c r="R720" s="21">
        <v>0.53318750000000004</v>
      </c>
      <c r="S720" s="21">
        <v>0.58435416666666651</v>
      </c>
      <c r="T720" s="21">
        <v>0.60375000000000012</v>
      </c>
      <c r="U720" s="21">
        <v>0.606375</v>
      </c>
      <c r="V720" s="21">
        <v>0.47639583333333335</v>
      </c>
      <c r="W720" s="21">
        <v>0.46266666666666639</v>
      </c>
      <c r="X720" s="21">
        <v>0.40374999999999966</v>
      </c>
      <c r="Y720" s="21">
        <v>0.2878</v>
      </c>
      <c r="Z720" s="23">
        <f>AVERAGE(Q720,U720)</f>
        <v>0.51645833333333335</v>
      </c>
      <c r="AA720" s="23">
        <f>AVERAGE(R720:T720,V720:X720)</f>
        <v>0.51068402777777766</v>
      </c>
      <c r="AB720" s="23">
        <f t="shared" si="11"/>
        <v>0.51173390151515141</v>
      </c>
    </row>
    <row r="721" spans="1:28" s="36" customFormat="1">
      <c r="A721" s="30">
        <v>44428</v>
      </c>
      <c r="B721" s="31">
        <v>457.27666099019876</v>
      </c>
      <c r="C721" s="31">
        <v>430.30758089244881</v>
      </c>
      <c r="D721" s="31">
        <v>465.38337944279834</v>
      </c>
      <c r="E721" s="31">
        <v>561.31266942161608</v>
      </c>
      <c r="F721" s="38">
        <v>407.53622537805853</v>
      </c>
      <c r="G721" s="32">
        <v>44428</v>
      </c>
      <c r="H721" s="33">
        <v>224.10416666666666</v>
      </c>
      <c r="I721" s="33">
        <v>80.262500000000003</v>
      </c>
      <c r="J721" s="33">
        <v>24.320833333333329</v>
      </c>
      <c r="K721" s="33">
        <v>0</v>
      </c>
      <c r="L721" s="33">
        <v>235.52083333333334</v>
      </c>
      <c r="M721" s="33">
        <v>8.2916666666666661</v>
      </c>
      <c r="N721" s="33">
        <v>0.39583333333333331</v>
      </c>
      <c r="O721" s="33">
        <v>20.560416666666672</v>
      </c>
      <c r="P721" s="34">
        <v>0.65920919768322139</v>
      </c>
      <c r="Q721" s="35">
        <v>0.39987500000000026</v>
      </c>
      <c r="R721" s="35">
        <v>0.5173125000000004</v>
      </c>
      <c r="S721" s="35">
        <v>0.57012499999999999</v>
      </c>
      <c r="T721" s="35">
        <v>0.59506250000000016</v>
      </c>
      <c r="U721" s="35">
        <v>0.59508333333333341</v>
      </c>
      <c r="V721" s="35">
        <v>0.46722916666666681</v>
      </c>
      <c r="W721" s="35">
        <v>0.45583333333333315</v>
      </c>
      <c r="X721" s="35">
        <v>0.39674999999999977</v>
      </c>
      <c r="Y721" s="35">
        <v>0.26493333333333335</v>
      </c>
      <c r="Z721" s="37">
        <f>AVERAGE(Q721,U721)</f>
        <v>0.49747916666666681</v>
      </c>
      <c r="AA721" s="37">
        <f>AVERAGE(R721:T721,V721:X721)</f>
        <v>0.50038541666666669</v>
      </c>
      <c r="AB721" s="37">
        <f t="shared" si="11"/>
        <v>0.49985700757575763</v>
      </c>
    </row>
    <row r="722" spans="1:28">
      <c r="A722" s="9">
        <v>44429</v>
      </c>
      <c r="B722" s="3">
        <v>470.30652214565634</v>
      </c>
      <c r="C722" s="3">
        <v>434.38793425094303</v>
      </c>
      <c r="D722" s="3">
        <v>479.13228566194715</v>
      </c>
      <c r="E722" s="3">
        <v>606.02551819642758</v>
      </c>
      <c r="F722" s="2">
        <v>419.57614255416712</v>
      </c>
      <c r="G722" s="19">
        <v>44429</v>
      </c>
      <c r="H722" s="20">
        <v>227.04166666666666</v>
      </c>
      <c r="I722" s="20">
        <v>79.872916666666669</v>
      </c>
      <c r="J722" s="20">
        <v>24.708333333333332</v>
      </c>
      <c r="K722" s="20">
        <v>0</v>
      </c>
      <c r="L722" s="20">
        <v>236.58333333333334</v>
      </c>
      <c r="M722" s="20">
        <v>9.9791666666666661</v>
      </c>
      <c r="N722" s="20">
        <v>1.1666666666666667</v>
      </c>
      <c r="O722" s="20">
        <v>20.872916666666672</v>
      </c>
      <c r="P722" s="10">
        <v>0.68056465612410033</v>
      </c>
      <c r="Q722" s="21">
        <v>0.37106250000000002</v>
      </c>
      <c r="R722" s="21">
        <v>0.50175000000000003</v>
      </c>
      <c r="S722" s="21">
        <v>0.55312500000000042</v>
      </c>
      <c r="T722" s="21">
        <v>0.58533333333333315</v>
      </c>
      <c r="U722" s="21">
        <v>0.58081249999999995</v>
      </c>
      <c r="V722" s="21">
        <v>0.45356249999999987</v>
      </c>
      <c r="W722" s="21">
        <v>0.44504166666666684</v>
      </c>
      <c r="X722" s="21">
        <v>0.38693749999999988</v>
      </c>
      <c r="Y722" s="21">
        <v>0.23459999999999998</v>
      </c>
      <c r="Z722" s="23">
        <f>AVERAGE(Q722,U722)</f>
        <v>0.47593750000000001</v>
      </c>
      <c r="AA722" s="23">
        <f>AVERAGE(R722:T722,V722:X722)</f>
        <v>0.48762500000000003</v>
      </c>
      <c r="AB722" s="23">
        <f t="shared" si="11"/>
        <v>0.48549999999999999</v>
      </c>
    </row>
    <row r="723" spans="1:28">
      <c r="A723" s="9">
        <v>44430</v>
      </c>
      <c r="B723" s="3">
        <v>454.43357749349701</v>
      </c>
      <c r="C723" s="3">
        <v>439.75261321575505</v>
      </c>
      <c r="D723" s="3">
        <v>472.54032276531166</v>
      </c>
      <c r="E723" s="3">
        <v>660.56851978360021</v>
      </c>
      <c r="F723" s="2">
        <v>413.80356064558345</v>
      </c>
      <c r="G723" s="19">
        <v>44430</v>
      </c>
      <c r="H723" s="20">
        <v>210.79166666666666</v>
      </c>
      <c r="I723" s="20">
        <v>79.329166666666666</v>
      </c>
      <c r="J723" s="20">
        <v>24.7</v>
      </c>
      <c r="K723" s="20">
        <v>0</v>
      </c>
      <c r="L723" s="20">
        <v>227.9375</v>
      </c>
      <c r="M723" s="20">
        <v>13.25</v>
      </c>
      <c r="N723" s="20">
        <v>2.2708333333333335</v>
      </c>
      <c r="O723" s="20">
        <v>20.80833333333333</v>
      </c>
      <c r="P723" s="10">
        <v>0.67612427235141004</v>
      </c>
      <c r="Q723" s="21">
        <v>0.33600000000000008</v>
      </c>
      <c r="R723" s="21">
        <v>0.48083333333333328</v>
      </c>
      <c r="S723" s="21">
        <v>0.53141666666666643</v>
      </c>
      <c r="T723" s="21">
        <v>0.57050000000000001</v>
      </c>
      <c r="U723" s="21">
        <v>0.56041666666666645</v>
      </c>
      <c r="V723" s="21">
        <v>0.43372916666666655</v>
      </c>
      <c r="W723" s="21">
        <v>0.4306666666666667</v>
      </c>
      <c r="X723" s="21">
        <v>0.37458333333333343</v>
      </c>
      <c r="Y723" s="21">
        <v>0.20431578947368423</v>
      </c>
      <c r="Z723" s="23">
        <f>AVERAGE(Q723,U723)</f>
        <v>0.44820833333333326</v>
      </c>
      <c r="AA723" s="23">
        <f>AVERAGE(R723:T723,V723:X723)</f>
        <v>0.47028819444444436</v>
      </c>
      <c r="AB723" s="23">
        <f t="shared" si="11"/>
        <v>0.46627367424242416</v>
      </c>
    </row>
    <row r="724" spans="1:28">
      <c r="A724" s="9">
        <v>44431</v>
      </c>
      <c r="B724" s="3">
        <v>351.05463891626306</v>
      </c>
      <c r="C724" s="3">
        <v>413.20790984878136</v>
      </c>
      <c r="D724" s="3">
        <v>386.94238345390903</v>
      </c>
      <c r="E724" s="3">
        <v>585.34404976340932</v>
      </c>
      <c r="F724" s="2">
        <v>338.84544519058818</v>
      </c>
      <c r="G724" s="19">
        <v>44431</v>
      </c>
      <c r="H724" s="20">
        <v>163.77083333333334</v>
      </c>
      <c r="I724" s="20">
        <v>81.50208333333336</v>
      </c>
      <c r="J724" s="20">
        <v>24.466666666666665</v>
      </c>
      <c r="K724" s="20">
        <v>12.4</v>
      </c>
      <c r="L724" s="20">
        <v>226.89583333333334</v>
      </c>
      <c r="M724" s="20">
        <v>10.1875</v>
      </c>
      <c r="N724" s="20">
        <v>1.5208333333333333</v>
      </c>
      <c r="O724" s="20">
        <v>21.008333333333329</v>
      </c>
      <c r="P724" s="10">
        <v>0.60689816308951761</v>
      </c>
      <c r="Q724" s="21">
        <v>0.30816666666666653</v>
      </c>
      <c r="R724" s="21">
        <v>0.45916666666666689</v>
      </c>
      <c r="S724" s="21">
        <v>0.50950000000000029</v>
      </c>
      <c r="T724" s="21">
        <v>0.55218750000000028</v>
      </c>
      <c r="U724" s="21">
        <v>0.53854166666666659</v>
      </c>
      <c r="V724" s="21">
        <v>0.41275000000000012</v>
      </c>
      <c r="W724" s="21">
        <v>0.41564583333333333</v>
      </c>
      <c r="X724" s="21">
        <v>0.36179166666666657</v>
      </c>
      <c r="Y724" s="21">
        <v>0.18272000000000002</v>
      </c>
      <c r="Z724" s="23">
        <f>AVERAGE(Q724,U724)</f>
        <v>0.42335416666666659</v>
      </c>
      <c r="AA724" s="23">
        <f>AVERAGE(R724:T724,V724:X724)</f>
        <v>0.45184027777777791</v>
      </c>
      <c r="AB724" s="23">
        <f t="shared" si="11"/>
        <v>0.44666098484848493</v>
      </c>
    </row>
    <row r="725" spans="1:28">
      <c r="A725" s="9">
        <v>44432</v>
      </c>
      <c r="B725" s="3">
        <v>105.28278831112392</v>
      </c>
      <c r="C725" s="3">
        <v>148.14529641391792</v>
      </c>
      <c r="D725" s="3">
        <v>134.32586911964214</v>
      </c>
      <c r="E725" s="3">
        <v>263.74191122637143</v>
      </c>
      <c r="F725" s="2">
        <v>117.62916358807063</v>
      </c>
      <c r="G725" s="19">
        <v>44432</v>
      </c>
      <c r="H725" s="20">
        <v>100.04166666666667</v>
      </c>
      <c r="I725" s="20">
        <v>90.339583333333323</v>
      </c>
      <c r="J725" s="20">
        <v>21.341666666666665</v>
      </c>
      <c r="K725" s="20">
        <v>11.2</v>
      </c>
      <c r="L725" s="20">
        <v>246.79166666666666</v>
      </c>
      <c r="M725" s="20">
        <v>1.3333333333333333</v>
      </c>
      <c r="N725" s="20">
        <v>0</v>
      </c>
      <c r="O725" s="20">
        <v>19.616666666666671</v>
      </c>
      <c r="P725" s="10">
        <v>0.27182000674144152</v>
      </c>
      <c r="Q725" s="21">
        <v>0.32579166666666654</v>
      </c>
      <c r="R725" s="21">
        <v>0.45852083333333343</v>
      </c>
      <c r="S725" s="21">
        <v>0.50335416666666688</v>
      </c>
      <c r="T725" s="21">
        <v>0.54110416666666628</v>
      </c>
      <c r="U725" s="21">
        <v>0.53662500000000013</v>
      </c>
      <c r="V725" s="21">
        <v>0.40362499999999973</v>
      </c>
      <c r="W725" s="21">
        <v>0.40635416666666657</v>
      </c>
      <c r="X725" s="21">
        <v>0.35647916666666674</v>
      </c>
      <c r="Y725" s="21">
        <v>0.30941176470588244</v>
      </c>
      <c r="Z725" s="23">
        <f>AVERAGE(Q725,U725)</f>
        <v>0.4312083333333333</v>
      </c>
      <c r="AA725" s="23">
        <f>AVERAGE(R725:T725,V725:X725)</f>
        <v>0.44490624999999989</v>
      </c>
      <c r="AB725" s="23">
        <f t="shared" si="11"/>
        <v>0.44241571969696963</v>
      </c>
    </row>
    <row r="726" spans="1:28">
      <c r="A726" s="9">
        <v>44433</v>
      </c>
      <c r="B726" s="3">
        <v>222.67263428687508</v>
      </c>
      <c r="C726" s="3">
        <v>294.0965628644567</v>
      </c>
      <c r="D726" s="3">
        <v>271.22454216760741</v>
      </c>
      <c r="E726" s="3">
        <v>250.92655392023124</v>
      </c>
      <c r="F726" s="2">
        <v>237.51133157617383</v>
      </c>
      <c r="G726" s="19">
        <v>44433</v>
      </c>
      <c r="H726" s="20">
        <v>157.35416666666666</v>
      </c>
      <c r="I726" s="20">
        <v>87.487499999999997</v>
      </c>
      <c r="J726" s="20">
        <v>21.910416666666674</v>
      </c>
      <c r="K726" s="20">
        <v>0.2</v>
      </c>
      <c r="L726" s="20">
        <v>225.1875</v>
      </c>
      <c r="M726" s="20">
        <v>7</v>
      </c>
      <c r="N726" s="20">
        <v>1.0208333333333333</v>
      </c>
      <c r="O726" s="20">
        <v>19.645833333333329</v>
      </c>
      <c r="P726" s="10">
        <v>0.36413263507644117</v>
      </c>
      <c r="Q726" s="21">
        <v>0.32216666666666677</v>
      </c>
      <c r="R726" s="21">
        <v>0.45554166666666668</v>
      </c>
      <c r="S726" s="21">
        <v>0.50564583333333346</v>
      </c>
      <c r="T726" s="21">
        <v>0.53737499999999983</v>
      </c>
      <c r="U726" s="21">
        <v>0.53483333333333338</v>
      </c>
      <c r="V726" s="21">
        <v>0.40141666666666675</v>
      </c>
      <c r="W726" s="21">
        <v>0.40458333333333324</v>
      </c>
      <c r="X726" s="21">
        <v>0.35504166666666664</v>
      </c>
      <c r="Y726" s="21">
        <v>0.30499999999999999</v>
      </c>
      <c r="Z726" s="23">
        <f>AVERAGE(Q726,U726)</f>
        <v>0.4285000000000001</v>
      </c>
      <c r="AA726" s="23">
        <f>AVERAGE(R726:T726,V726:X726)</f>
        <v>0.44326736111111109</v>
      </c>
      <c r="AB726" s="23">
        <f t="shared" si="11"/>
        <v>0.44058238636363634</v>
      </c>
    </row>
    <row r="727" spans="1:28">
      <c r="A727" s="9">
        <v>44434</v>
      </c>
      <c r="B727" s="3">
        <v>320.37193288113593</v>
      </c>
      <c r="C727" s="3">
        <v>407.2965622426965</v>
      </c>
      <c r="D727" s="3">
        <v>364.52113435895149</v>
      </c>
      <c r="E727" s="3">
        <v>397.38124045677409</v>
      </c>
      <c r="F727" s="2">
        <v>319.21115735813385</v>
      </c>
      <c r="G727" s="19">
        <v>44434</v>
      </c>
      <c r="H727" s="20">
        <v>180.95833333333334</v>
      </c>
      <c r="I727" s="20">
        <v>83.104166666666671</v>
      </c>
      <c r="J727" s="20">
        <v>22.035416666666666</v>
      </c>
      <c r="K727" s="20">
        <v>1.8</v>
      </c>
      <c r="L727" s="20">
        <v>207.125</v>
      </c>
      <c r="M727" s="20">
        <v>10.770833333333334</v>
      </c>
      <c r="N727" s="20">
        <v>1.625</v>
      </c>
      <c r="O727" s="20">
        <v>18.931250000000002</v>
      </c>
      <c r="P727" s="10">
        <v>0.49167302714397509</v>
      </c>
      <c r="Q727" s="21">
        <v>0.31204166666666672</v>
      </c>
      <c r="R727" s="21">
        <v>0.44818749999999974</v>
      </c>
      <c r="S727" s="21">
        <v>0.50116666666666687</v>
      </c>
      <c r="T727" s="21">
        <v>0.53054166666666658</v>
      </c>
      <c r="U727" s="21">
        <v>0.52399999999999969</v>
      </c>
      <c r="V727" s="21">
        <v>0.3966666666666665</v>
      </c>
      <c r="W727" s="21">
        <v>0.40039583333333312</v>
      </c>
      <c r="X727" s="21">
        <v>0.35085416666666669</v>
      </c>
      <c r="Y727" s="21">
        <v>0.27324999999999999</v>
      </c>
      <c r="Z727" s="23">
        <f>AVERAGE(Q727,U727)</f>
        <v>0.41802083333333317</v>
      </c>
      <c r="AA727" s="23">
        <f>AVERAGE(R727:T727,V727:X727)</f>
        <v>0.43796874999999996</v>
      </c>
      <c r="AB727" s="23">
        <f t="shared" si="11"/>
        <v>0.43434185606060605</v>
      </c>
    </row>
    <row r="728" spans="1:28">
      <c r="A728" s="9">
        <v>44435</v>
      </c>
      <c r="B728" s="3">
        <v>181.85894565574992</v>
      </c>
      <c r="C728" s="3">
        <v>251.68047581599373</v>
      </c>
      <c r="D728" s="3">
        <v>207.11642340566468</v>
      </c>
      <c r="E728" s="3">
        <v>341.84950071920582</v>
      </c>
      <c r="F728" s="2">
        <v>181.37185197634057</v>
      </c>
      <c r="G728" s="19">
        <v>44435</v>
      </c>
      <c r="H728" s="20">
        <v>110.4375</v>
      </c>
      <c r="I728" s="20">
        <v>87.24166666666666</v>
      </c>
      <c r="J728" s="20">
        <v>19.270833333333336</v>
      </c>
      <c r="K728" s="20">
        <v>0.7</v>
      </c>
      <c r="L728" s="20">
        <v>206.625</v>
      </c>
      <c r="M728" s="20">
        <v>2.4375</v>
      </c>
      <c r="N728" s="20">
        <v>4.1666666666666664E-2</v>
      </c>
      <c r="O728" s="20">
        <v>17.020833333333332</v>
      </c>
      <c r="P728" s="10">
        <v>0.31524222487451653</v>
      </c>
      <c r="Q728" s="21">
        <v>0.30299999999999999</v>
      </c>
      <c r="R728" s="21">
        <v>0.43947916666666659</v>
      </c>
      <c r="S728" s="21">
        <v>0.49604166666666633</v>
      </c>
      <c r="T728" s="21">
        <v>0.52397916666666677</v>
      </c>
      <c r="U728" s="21">
        <v>0.51156249999999992</v>
      </c>
      <c r="V728" s="21">
        <v>0.39141666666666658</v>
      </c>
      <c r="W728" s="21">
        <v>0.39593749999999989</v>
      </c>
      <c r="X728" s="21">
        <v>0.34779166666666678</v>
      </c>
      <c r="Y728" s="21">
        <v>0.2597272727272727</v>
      </c>
      <c r="Z728" s="23">
        <f>AVERAGE(Q728,U728)</f>
        <v>0.40728124999999993</v>
      </c>
      <c r="AA728" s="23">
        <f>AVERAGE(R728:T728,V728:X728)</f>
        <v>0.43244097222222216</v>
      </c>
      <c r="AB728" s="23">
        <f t="shared" si="11"/>
        <v>0.4278664772727272</v>
      </c>
    </row>
    <row r="729" spans="1:28">
      <c r="A729" s="9">
        <v>44436</v>
      </c>
      <c r="B729" s="3">
        <v>358.83757269816931</v>
      </c>
      <c r="C729" s="3">
        <v>514.18698917638494</v>
      </c>
      <c r="D729" s="3">
        <v>434.30556690831952</v>
      </c>
      <c r="E729" s="3">
        <v>465.07714741065848</v>
      </c>
      <c r="F729" s="2">
        <v>380.32138494161541</v>
      </c>
      <c r="G729" s="19">
        <v>44436</v>
      </c>
      <c r="H729" s="20">
        <v>207.04166666666666</v>
      </c>
      <c r="I729" s="20">
        <v>78.7</v>
      </c>
      <c r="J729" s="20">
        <v>22.045833333333334</v>
      </c>
      <c r="K729" s="20">
        <v>1</v>
      </c>
      <c r="L729" s="20">
        <v>224.375</v>
      </c>
      <c r="M729" s="20">
        <v>12.9375</v>
      </c>
      <c r="N729" s="20">
        <v>1.5208333333333333</v>
      </c>
      <c r="O729" s="20">
        <v>18.041666666666668</v>
      </c>
      <c r="P729" s="10">
        <v>0.60415036549460588</v>
      </c>
      <c r="Q729" s="21">
        <v>0.29179166666666673</v>
      </c>
      <c r="R729" s="21">
        <v>0.42835416666666681</v>
      </c>
      <c r="S729" s="21">
        <v>0.48733333333333356</v>
      </c>
      <c r="T729" s="21">
        <v>0.51512500000000006</v>
      </c>
      <c r="U729" s="21">
        <v>0.50179166666666675</v>
      </c>
      <c r="V729" s="21">
        <v>0.38502083333333342</v>
      </c>
      <c r="W729" s="21">
        <v>0.39033333333333359</v>
      </c>
      <c r="X729" s="21">
        <v>0.34266666666666651</v>
      </c>
      <c r="Y729" s="21">
        <v>0.24835714285714286</v>
      </c>
      <c r="Z729" s="23">
        <f>AVERAGE(Q729,U729)</f>
        <v>0.39679166666666676</v>
      </c>
      <c r="AA729" s="23">
        <f>AVERAGE(R729:T729,V729:X729)</f>
        <v>0.42480555555555566</v>
      </c>
      <c r="AB729" s="23">
        <f t="shared" si="11"/>
        <v>0.41971212121212131</v>
      </c>
    </row>
    <row r="730" spans="1:28" s="36" customFormat="1">
      <c r="A730" s="30">
        <v>44437</v>
      </c>
      <c r="B730" s="31">
        <v>384.2213947712242</v>
      </c>
      <c r="C730" s="31">
        <v>409.33284592327158</v>
      </c>
      <c r="D730" s="31">
        <v>327.60163440234788</v>
      </c>
      <c r="E730" s="31">
        <v>232.87883416874953</v>
      </c>
      <c r="F730" s="38">
        <v>286.88075124613607</v>
      </c>
      <c r="G730" s="32">
        <v>44437</v>
      </c>
      <c r="H730" s="33">
        <v>188.29166666666666</v>
      </c>
      <c r="I730" s="33">
        <v>82.443749999999994</v>
      </c>
      <c r="J730" s="33">
        <v>21.412499999999998</v>
      </c>
      <c r="K730" s="33">
        <v>1.4</v>
      </c>
      <c r="L730" s="33">
        <v>228.66666666666666</v>
      </c>
      <c r="M730" s="33">
        <v>9.5833333333333339</v>
      </c>
      <c r="N730" s="33">
        <v>0.875</v>
      </c>
      <c r="O730" s="33">
        <v>18.164583333333329</v>
      </c>
      <c r="P730" s="34">
        <v>0.49799996863743634</v>
      </c>
      <c r="Q730" s="35">
        <v>0.27729166666666671</v>
      </c>
      <c r="R730" s="35">
        <v>0.41189583333333341</v>
      </c>
      <c r="S730" s="35">
        <v>0.47387499999999999</v>
      </c>
      <c r="T730" s="35">
        <v>0.50187500000000007</v>
      </c>
      <c r="U730" s="35">
        <v>0.48787500000000011</v>
      </c>
      <c r="V730" s="35">
        <v>0.37464583333333329</v>
      </c>
      <c r="W730" s="35">
        <v>0.38152083333333314</v>
      </c>
      <c r="X730" s="35">
        <v>0.33450000000000002</v>
      </c>
      <c r="Y730" s="35">
        <v>0.21958333333333335</v>
      </c>
      <c r="Z730" s="37">
        <f>AVERAGE(Q730,U730)</f>
        <v>0.38258333333333339</v>
      </c>
      <c r="AA730" s="37">
        <f>AVERAGE(R730:T730,V730:X730)</f>
        <v>0.41305208333333338</v>
      </c>
      <c r="AB730" s="37">
        <f t="shared" si="11"/>
        <v>0.40751231060606069</v>
      </c>
    </row>
    <row r="731" spans="1:28">
      <c r="A731" s="9">
        <v>44438</v>
      </c>
      <c r="B731" s="3">
        <v>337.43447876345482</v>
      </c>
      <c r="C731" s="3">
        <v>494.29583333214725</v>
      </c>
      <c r="D731" s="3">
        <v>287.11488340688743</v>
      </c>
      <c r="E731" s="3">
        <v>184.23677140289556</v>
      </c>
      <c r="F731" s="2">
        <v>251.42650339941133</v>
      </c>
      <c r="G731" s="19">
        <v>44438</v>
      </c>
      <c r="H731" s="20">
        <v>162.64583333333334</v>
      </c>
      <c r="I731" s="20">
        <v>80.825000000000003</v>
      </c>
      <c r="J731" s="20">
        <v>21.947916666666661</v>
      </c>
      <c r="K731" s="20">
        <v>0</v>
      </c>
      <c r="L731" s="20">
        <v>232.10416666666666</v>
      </c>
      <c r="M731" s="20">
        <v>12.354166666666666</v>
      </c>
      <c r="N731" s="20">
        <v>1.8958333333333333</v>
      </c>
      <c r="O731" s="20">
        <v>18.402083333333334</v>
      </c>
      <c r="P731" s="10">
        <v>0.53987922612846562</v>
      </c>
      <c r="Q731" s="21">
        <v>0.2683124999999999</v>
      </c>
      <c r="R731" s="21">
        <v>0.39683333333333343</v>
      </c>
      <c r="S731" s="21">
        <v>0.46281249999999985</v>
      </c>
      <c r="T731" s="21">
        <v>0.48929166666666674</v>
      </c>
      <c r="U731" s="21">
        <v>0.47614583333333327</v>
      </c>
      <c r="V731" s="21">
        <v>0.36602083333333346</v>
      </c>
      <c r="W731" s="21">
        <v>0.3735833333333331</v>
      </c>
      <c r="X731" s="21">
        <v>0.32775000000000004</v>
      </c>
      <c r="Y731" s="21">
        <v>0.19400000000000001</v>
      </c>
      <c r="Z731" s="23">
        <f>AVERAGE(Q731,U731)</f>
        <v>0.37222916666666661</v>
      </c>
      <c r="AA731" s="23">
        <f>AVERAGE(R731:T731,V731:X731)</f>
        <v>0.40271527777777777</v>
      </c>
      <c r="AB731" s="23">
        <f t="shared" si="11"/>
        <v>0.39717234848484845</v>
      </c>
    </row>
    <row r="732" spans="1:28">
      <c r="A732" s="9">
        <v>44439</v>
      </c>
      <c r="B732" s="3">
        <v>356.7105345231181</v>
      </c>
      <c r="C732" s="3">
        <v>515.74537284846508</v>
      </c>
      <c r="D732" s="3">
        <v>333.06094655728498</v>
      </c>
      <c r="E732" s="3">
        <v>213.04951494390198</v>
      </c>
      <c r="F732" s="2">
        <v>291.66147090021445</v>
      </c>
      <c r="G732" s="19">
        <v>44439</v>
      </c>
      <c r="H732" s="20">
        <v>165.1875</v>
      </c>
      <c r="I732" s="20">
        <v>78.964583333333323</v>
      </c>
      <c r="J732" s="20">
        <v>22.804166666666671</v>
      </c>
      <c r="K732" s="20">
        <v>0</v>
      </c>
      <c r="L732" s="20">
        <v>228.375</v>
      </c>
      <c r="M732" s="20">
        <v>10.166666666666666</v>
      </c>
      <c r="N732" s="20">
        <v>0.95833333333333337</v>
      </c>
      <c r="O732" s="20">
        <v>18.870833333333337</v>
      </c>
      <c r="P732" s="10">
        <v>0.61872504115739979</v>
      </c>
      <c r="Q732" s="21">
        <v>0.26039583333333333</v>
      </c>
      <c r="R732" s="21">
        <v>0.37983333333333325</v>
      </c>
      <c r="S732" s="21">
        <v>0.45004166666666651</v>
      </c>
      <c r="T732" s="21">
        <v>0.47412500000000013</v>
      </c>
      <c r="U732" s="21">
        <v>0.46502083333333316</v>
      </c>
      <c r="V732" s="21">
        <v>0.35643749999999996</v>
      </c>
      <c r="W732" s="21">
        <v>0.36489583333333347</v>
      </c>
      <c r="X732" s="21">
        <v>0.31985416666666666</v>
      </c>
      <c r="Y732" s="21">
        <v>0.17666666666666664</v>
      </c>
      <c r="Z732" s="23">
        <f>AVERAGE(Q732,U732)</f>
        <v>0.36270833333333324</v>
      </c>
      <c r="AA732" s="23">
        <f>AVERAGE(R732:T732,V732:X732)</f>
        <v>0.39086458333333329</v>
      </c>
      <c r="AB732" s="23">
        <f t="shared" si="11"/>
        <v>0.38574526515151508</v>
      </c>
    </row>
    <row r="733" spans="1:28">
      <c r="A733" s="9">
        <v>44440</v>
      </c>
      <c r="B733" s="3">
        <v>412.91156981441105</v>
      </c>
      <c r="C733" s="3">
        <v>554.03555554677632</v>
      </c>
      <c r="D733" s="3">
        <v>421.69229123012758</v>
      </c>
      <c r="E733" s="3">
        <v>314.92706140365863</v>
      </c>
      <c r="F733" s="2">
        <v>369.27593943022276</v>
      </c>
      <c r="G733" s="19">
        <v>44440</v>
      </c>
      <c r="H733" s="20">
        <v>244.875</v>
      </c>
      <c r="I733" s="20">
        <v>77.493749999999977</v>
      </c>
      <c r="J733" s="20">
        <v>23.731249999999999</v>
      </c>
      <c r="K733" s="20">
        <v>0</v>
      </c>
      <c r="L733" s="20">
        <v>229.83333333333334</v>
      </c>
      <c r="M733" s="20">
        <v>6.75</v>
      </c>
      <c r="N733" s="20">
        <v>0.41666666666666669</v>
      </c>
      <c r="O733" s="20">
        <v>19.304166666666671</v>
      </c>
      <c r="P733" s="10">
        <v>0.75151568205956576</v>
      </c>
      <c r="Q733" s="21">
        <v>0.25366666666666665</v>
      </c>
      <c r="R733" s="21">
        <v>0.36537500000000017</v>
      </c>
      <c r="S733" s="21">
        <v>0.43822916666666661</v>
      </c>
      <c r="T733" s="21">
        <v>0.45877083333333341</v>
      </c>
      <c r="U733" s="21">
        <v>0.45520833333333338</v>
      </c>
      <c r="V733" s="21">
        <v>0.34789583333333335</v>
      </c>
      <c r="W733" s="21">
        <v>0.35654166666666653</v>
      </c>
      <c r="X733" s="21">
        <v>0.31116666666666659</v>
      </c>
      <c r="Y733" s="21">
        <v>0.16264705882352942</v>
      </c>
      <c r="Z733" s="23">
        <f>AVERAGE(Q733,U733)</f>
        <v>0.35443750000000002</v>
      </c>
      <c r="AA733" s="23">
        <f>AVERAGE(R733:T733,V733:X733)</f>
        <v>0.37966319444444441</v>
      </c>
      <c r="AB733" s="23">
        <f t="shared" si="11"/>
        <v>0.3750767045454545</v>
      </c>
    </row>
    <row r="734" spans="1:28">
      <c r="A734" s="9">
        <v>44441</v>
      </c>
      <c r="B734" s="3">
        <v>350.49303131787013</v>
      </c>
      <c r="C734" s="3">
        <v>498.95618267517614</v>
      </c>
      <c r="D734" s="3">
        <v>372.01632520134433</v>
      </c>
      <c r="E734" s="3">
        <v>357.56491873027733</v>
      </c>
      <c r="F734" s="2">
        <v>325.77469597881725</v>
      </c>
      <c r="G734" s="19">
        <v>44441</v>
      </c>
      <c r="H734" s="20">
        <v>202.9375</v>
      </c>
      <c r="I734" s="20">
        <v>77.383333333333312</v>
      </c>
      <c r="J734" s="20">
        <v>23.477083333333326</v>
      </c>
      <c r="K734" s="20">
        <v>0</v>
      </c>
      <c r="L734" s="20">
        <v>228.27083333333334</v>
      </c>
      <c r="M734" s="20">
        <v>6.333333333333333</v>
      </c>
      <c r="N734" s="20">
        <v>0.41666666666666669</v>
      </c>
      <c r="O734" s="20">
        <v>19.087500000000006</v>
      </c>
      <c r="P734" s="10">
        <v>0.72828064749509946</v>
      </c>
      <c r="Q734" s="21">
        <v>0.24722916666666653</v>
      </c>
      <c r="R734" s="21">
        <v>0.35327083333333348</v>
      </c>
      <c r="S734" s="21">
        <v>0.42708333333333343</v>
      </c>
      <c r="T734" s="21">
        <v>0.44391666666666674</v>
      </c>
      <c r="U734" s="21">
        <v>0.44506249999999992</v>
      </c>
      <c r="V734" s="21">
        <v>0.34039583333333318</v>
      </c>
      <c r="W734" s="21">
        <v>0.3487083333333334</v>
      </c>
      <c r="X734" s="21">
        <v>0.30291666666666656</v>
      </c>
      <c r="Y734" s="21">
        <v>0.15229999999999999</v>
      </c>
      <c r="Z734" s="23">
        <f>AVERAGE(Q734,U734)</f>
        <v>0.34614583333333321</v>
      </c>
      <c r="AA734" s="23">
        <f>AVERAGE(R734:T734,V734:X734)</f>
        <v>0.36938194444444444</v>
      </c>
      <c r="AB734" s="23">
        <f t="shared" si="11"/>
        <v>0.36515719696969695</v>
      </c>
    </row>
    <row r="735" spans="1:28">
      <c r="A735" s="9">
        <v>44442</v>
      </c>
      <c r="B735" s="3">
        <v>400.18175057765183</v>
      </c>
      <c r="C735" s="3">
        <v>485.16545389149275</v>
      </c>
      <c r="D735" s="3">
        <v>365.1112334204019</v>
      </c>
      <c r="E735" s="3">
        <v>432.31480833556355</v>
      </c>
      <c r="F735" s="2">
        <v>319.72790710624594</v>
      </c>
      <c r="G735" s="19">
        <v>44442</v>
      </c>
      <c r="H735" s="20">
        <v>212.83333333333334</v>
      </c>
      <c r="I735" s="20">
        <v>79.506249999999994</v>
      </c>
      <c r="J735" s="20">
        <v>23.018750000000001</v>
      </c>
      <c r="K735" s="20">
        <v>0</v>
      </c>
      <c r="L735" s="20">
        <v>228.0625</v>
      </c>
      <c r="M735" s="20">
        <v>10.625</v>
      </c>
      <c r="N735" s="20">
        <v>1.2291666666666667</v>
      </c>
      <c r="O735" s="20">
        <v>19.160416666666663</v>
      </c>
      <c r="P735" s="10">
        <v>0.62287977460016963</v>
      </c>
      <c r="Q735" s="21">
        <v>0.24227083333333332</v>
      </c>
      <c r="R735" s="21">
        <v>0.34343750000000006</v>
      </c>
      <c r="S735" s="21">
        <v>0.41839583333333336</v>
      </c>
      <c r="T735" s="21">
        <v>0.43249999999999994</v>
      </c>
      <c r="U735" s="21">
        <v>0.43656250000000019</v>
      </c>
      <c r="V735" s="21">
        <v>0.33500000000000019</v>
      </c>
      <c r="W735" s="21">
        <v>0.34277083333333325</v>
      </c>
      <c r="X735" s="21">
        <v>0.29695833333333349</v>
      </c>
      <c r="Y735" s="21">
        <v>0.14307692307692307</v>
      </c>
      <c r="Z735" s="23">
        <f>AVERAGE(Q735,U735)</f>
        <v>0.33941666666666676</v>
      </c>
      <c r="AA735" s="23">
        <f>AVERAGE(R735:T735,V735:X735)</f>
        <v>0.36151041666666672</v>
      </c>
      <c r="AB735" s="23">
        <f t="shared" si="11"/>
        <v>0.35749337121212127</v>
      </c>
    </row>
    <row r="736" spans="1:28">
      <c r="A736" s="9">
        <v>44443</v>
      </c>
      <c r="B736" s="3">
        <v>356.57339380066134</v>
      </c>
      <c r="C736" s="3">
        <v>427.82206125517274</v>
      </c>
      <c r="D736" s="3">
        <v>338.93312676074322</v>
      </c>
      <c r="E736" s="3">
        <v>457.72321174444306</v>
      </c>
      <c r="F736" s="2">
        <v>296.80373910438283</v>
      </c>
      <c r="G736" s="19">
        <v>44443</v>
      </c>
      <c r="H736" s="20">
        <v>181.5625</v>
      </c>
      <c r="I736" s="20">
        <v>78.970833333333317</v>
      </c>
      <c r="J736" s="20">
        <v>23.229166666666661</v>
      </c>
      <c r="K736" s="20">
        <v>0</v>
      </c>
      <c r="L736" s="20">
        <v>228.89583333333334</v>
      </c>
      <c r="M736" s="20">
        <v>10.416666666666666</v>
      </c>
      <c r="N736" s="20">
        <v>0.70833333333333337</v>
      </c>
      <c r="O736" s="20">
        <v>19.27291666666666</v>
      </c>
      <c r="P736" s="10">
        <v>0.63930404649074513</v>
      </c>
      <c r="Q736" s="21">
        <v>0.2384375</v>
      </c>
      <c r="R736" s="21">
        <v>0.33560416666666676</v>
      </c>
      <c r="S736" s="21">
        <v>0.41208333333333313</v>
      </c>
      <c r="T736" s="21">
        <v>0.42345833333333344</v>
      </c>
      <c r="U736" s="21">
        <v>0.42985416666666687</v>
      </c>
      <c r="V736" s="21">
        <v>0.33060416666666687</v>
      </c>
      <c r="W736" s="21">
        <v>0.33716666666666689</v>
      </c>
      <c r="X736" s="21">
        <v>0.29202083333333312</v>
      </c>
      <c r="Y736" s="21">
        <v>0.13800000000000001</v>
      </c>
      <c r="Z736" s="23">
        <f>AVERAGE(Q736,U736)</f>
        <v>0.33414583333333342</v>
      </c>
      <c r="AA736" s="23">
        <f>AVERAGE(R736:T736,V736:X736)</f>
        <v>0.35515625000000001</v>
      </c>
      <c r="AB736" s="23">
        <f t="shared" si="11"/>
        <v>0.35133617424242425</v>
      </c>
    </row>
    <row r="737" spans="1:28">
      <c r="A737" s="9">
        <v>44444</v>
      </c>
      <c r="B737" s="3">
        <v>325.65415142180012</v>
      </c>
      <c r="C737" s="3">
        <v>393.64925481242273</v>
      </c>
      <c r="D737" s="3">
        <v>323.66539208779056</v>
      </c>
      <c r="E737" s="3">
        <v>452.55558549505059</v>
      </c>
      <c r="F737" s="2">
        <v>283.43378385127824</v>
      </c>
      <c r="G737" s="19">
        <v>44444</v>
      </c>
      <c r="H737" s="20">
        <v>209.16666666666666</v>
      </c>
      <c r="I737" s="20">
        <v>79.74375000000002</v>
      </c>
      <c r="J737" s="20">
        <v>23.135416666666661</v>
      </c>
      <c r="K737" s="20">
        <v>8.5</v>
      </c>
      <c r="L737" s="20">
        <v>227.0625</v>
      </c>
      <c r="M737" s="20">
        <v>8.7916666666666661</v>
      </c>
      <c r="N737" s="20">
        <v>0.52083333333333337</v>
      </c>
      <c r="O737" s="20">
        <v>19.214583333333337</v>
      </c>
      <c r="P737" s="10">
        <v>0.64863556870670258</v>
      </c>
      <c r="Q737" s="21">
        <v>0.23697916666666674</v>
      </c>
      <c r="R737" s="21">
        <v>0.33214583333333331</v>
      </c>
      <c r="S737" s="21">
        <v>0.40818749999999993</v>
      </c>
      <c r="T737" s="21">
        <v>0.41872916666666687</v>
      </c>
      <c r="U737" s="21">
        <v>0.42527083333333321</v>
      </c>
      <c r="V737" s="21">
        <v>0.32804166666666645</v>
      </c>
      <c r="W737" s="21">
        <v>0.33331250000000001</v>
      </c>
      <c r="X737" s="21">
        <v>0.28814583333333349</v>
      </c>
      <c r="Y737" s="21">
        <v>0.17933333333333334</v>
      </c>
      <c r="Z737" s="23">
        <f>AVERAGE(Q737,U737)</f>
        <v>0.331125</v>
      </c>
      <c r="AA737" s="23">
        <f>AVERAGE(R737:T737,V737:X737)</f>
        <v>0.35142708333333333</v>
      </c>
      <c r="AB737" s="23">
        <f t="shared" si="11"/>
        <v>0.34773579545454547</v>
      </c>
    </row>
    <row r="738" spans="1:28" s="36" customFormat="1">
      <c r="A738" s="30">
        <v>44445</v>
      </c>
      <c r="B738" s="31">
        <v>269.08621125918006</v>
      </c>
      <c r="C738" s="31">
        <v>278.78253257675226</v>
      </c>
      <c r="D738" s="31">
        <v>260.45906269759007</v>
      </c>
      <c r="E738" s="31">
        <v>320.22223371631736</v>
      </c>
      <c r="F738" s="38">
        <v>228.08400120427964</v>
      </c>
      <c r="G738" s="32">
        <v>44445</v>
      </c>
      <c r="H738" s="33">
        <v>171.04166666666666</v>
      </c>
      <c r="I738" s="33">
        <v>81.4479166666667</v>
      </c>
      <c r="J738" s="33">
        <v>22.070833333333329</v>
      </c>
      <c r="K738" s="33">
        <v>9.8999999999999986</v>
      </c>
      <c r="L738" s="33">
        <v>209.1875</v>
      </c>
      <c r="M738" s="33">
        <v>2.8125</v>
      </c>
      <c r="N738" s="33">
        <v>2.0833333333333332E-2</v>
      </c>
      <c r="O738" s="33">
        <v>18.477083333333336</v>
      </c>
      <c r="P738" s="34">
        <v>0.59986442047816524</v>
      </c>
      <c r="Q738" s="35">
        <v>0.23720833333333347</v>
      </c>
      <c r="R738" s="35">
        <v>0.32902083333333337</v>
      </c>
      <c r="S738" s="35">
        <v>0.40691666666666654</v>
      </c>
      <c r="T738" s="35">
        <v>0.41706250000000017</v>
      </c>
      <c r="U738" s="35">
        <v>0.42241666666666688</v>
      </c>
      <c r="V738" s="35">
        <v>0.32731249999999995</v>
      </c>
      <c r="W738" s="35">
        <v>0.33066666666666683</v>
      </c>
      <c r="X738" s="35">
        <v>0.28641666666666682</v>
      </c>
      <c r="Y738" s="35">
        <v>0.21162499999999998</v>
      </c>
      <c r="Z738" s="37">
        <f>AVERAGE(Q738,U738)</f>
        <v>0.32981250000000017</v>
      </c>
      <c r="AA738" s="37">
        <f>AVERAGE(R738:T738,V738:X738)</f>
        <v>0.34956597222222224</v>
      </c>
      <c r="AB738" s="37">
        <f t="shared" si="11"/>
        <v>0.34597443181818188</v>
      </c>
    </row>
    <row r="739" spans="1:28">
      <c r="A739" s="9">
        <v>44446</v>
      </c>
      <c r="B739" s="3">
        <v>229.8630277238054</v>
      </c>
      <c r="C739" s="3">
        <v>342.41548823260212</v>
      </c>
      <c r="D739" s="3">
        <v>302.48684322385054</v>
      </c>
      <c r="E739" s="3">
        <v>542.41292192419485</v>
      </c>
      <c r="F739" s="2">
        <v>264.88772861112591</v>
      </c>
      <c r="G739" s="19">
        <v>44446</v>
      </c>
      <c r="H739" s="20">
        <v>153.1875</v>
      </c>
      <c r="I739" s="20">
        <v>76.970833333333317</v>
      </c>
      <c r="J739" s="20">
        <v>19.86666666666666</v>
      </c>
      <c r="K739" s="20">
        <v>0</v>
      </c>
      <c r="L739" s="20">
        <v>259.5</v>
      </c>
      <c r="M739" s="20">
        <v>2.2708333333333335</v>
      </c>
      <c r="N739" s="20">
        <v>0</v>
      </c>
      <c r="O739" s="20">
        <v>15.566666666666668</v>
      </c>
      <c r="P739" s="10">
        <v>0.59043666973273157</v>
      </c>
      <c r="Q739" s="21">
        <v>0.23725000000000007</v>
      </c>
      <c r="R739" s="21">
        <v>0.3254166666666663</v>
      </c>
      <c r="S739" s="21">
        <v>0.40570833333333334</v>
      </c>
      <c r="T739" s="21">
        <v>0.41662500000000002</v>
      </c>
      <c r="U739" s="21">
        <v>0.4166250000000003</v>
      </c>
      <c r="V739" s="21">
        <v>0.32643749999999999</v>
      </c>
      <c r="W739" s="21">
        <v>0.32881249999999984</v>
      </c>
      <c r="X739" s="21">
        <v>0.28585416666666658</v>
      </c>
      <c r="Y739" s="21">
        <v>0.21622727272727274</v>
      </c>
      <c r="Z739" s="23">
        <f>AVERAGE(Q739,U739)</f>
        <v>0.32693750000000021</v>
      </c>
      <c r="AA739" s="23">
        <f>AVERAGE(R739:T739,V739:X739)</f>
        <v>0.34814236111111102</v>
      </c>
      <c r="AB739" s="23">
        <f t="shared" si="11"/>
        <v>0.34428693181818176</v>
      </c>
    </row>
    <row r="740" spans="1:28">
      <c r="A740" s="9">
        <v>44447</v>
      </c>
      <c r="B740" s="3">
        <v>315.92314035112258</v>
      </c>
      <c r="C740" s="3">
        <v>430.21609494947057</v>
      </c>
      <c r="D740" s="3">
        <v>351.29885274446724</v>
      </c>
      <c r="E740" s="3">
        <v>504.05238000664122</v>
      </c>
      <c r="F740" s="2">
        <v>307.63240534833</v>
      </c>
      <c r="G740" s="19">
        <v>44447</v>
      </c>
      <c r="H740" s="20">
        <v>194.4375</v>
      </c>
      <c r="I740" s="20">
        <v>77.03958333333334</v>
      </c>
      <c r="J740" s="20">
        <v>20.818750000000005</v>
      </c>
      <c r="K740" s="20">
        <v>0</v>
      </c>
      <c r="L740" s="20">
        <v>231.8125</v>
      </c>
      <c r="M740" s="20">
        <v>1.8541666666666667</v>
      </c>
      <c r="N740" s="20">
        <v>0</v>
      </c>
      <c r="O740" s="20">
        <v>16.387500000000006</v>
      </c>
      <c r="P740" s="10">
        <v>0.66275833731216927</v>
      </c>
      <c r="Q740" s="21">
        <v>0.23537499999999989</v>
      </c>
      <c r="R740" s="21">
        <v>0.32360416666666686</v>
      </c>
      <c r="S740" s="21">
        <v>0.40416666666666662</v>
      </c>
      <c r="T740" s="21">
        <v>0.41485416666666669</v>
      </c>
      <c r="U740" s="21">
        <v>0.41514583333333316</v>
      </c>
      <c r="V740" s="21">
        <v>0.32477083333333329</v>
      </c>
      <c r="W740" s="21">
        <v>0.32643749999999988</v>
      </c>
      <c r="X740" s="21">
        <v>0.28487500000000004</v>
      </c>
      <c r="Y740" s="21">
        <v>0.19541666666666671</v>
      </c>
      <c r="Z740" s="23">
        <f>AVERAGE(Q740,U740)</f>
        <v>0.3252604166666665</v>
      </c>
      <c r="AA740" s="23">
        <f>AVERAGE(R740:T740,V740:X740)</f>
        <v>0.34645138888888893</v>
      </c>
      <c r="AB740" s="23">
        <f t="shared" si="11"/>
        <v>0.34259848484848487</v>
      </c>
    </row>
    <row r="741" spans="1:28">
      <c r="A741" s="9">
        <v>44448</v>
      </c>
      <c r="B741" s="3">
        <v>378.99838939185577</v>
      </c>
      <c r="C741" s="3">
        <v>437.20432162934821</v>
      </c>
      <c r="D741" s="3">
        <v>412.81555489728885</v>
      </c>
      <c r="E741" s="3">
        <v>512.92564751459145</v>
      </c>
      <c r="F741" s="2">
        <v>361.50258142355585</v>
      </c>
      <c r="G741" s="19">
        <v>44448</v>
      </c>
      <c r="H741" s="20">
        <v>260.20833333333331</v>
      </c>
      <c r="I741" s="20">
        <v>79.343750000000014</v>
      </c>
      <c r="J741" s="20">
        <v>22.574999999999992</v>
      </c>
      <c r="K741" s="20">
        <v>0</v>
      </c>
      <c r="L741" s="20">
        <v>207.41666666666666</v>
      </c>
      <c r="M741" s="20">
        <v>2.9166666666666665</v>
      </c>
      <c r="N741" s="20">
        <v>2.0833333333333332E-2</v>
      </c>
      <c r="O741" s="20">
        <v>18.481249999999999</v>
      </c>
      <c r="P741" s="10">
        <v>0.6918632154290022</v>
      </c>
      <c r="Q741" s="21">
        <v>0.23397916666666663</v>
      </c>
      <c r="R741" s="21">
        <v>0.32168749999999996</v>
      </c>
      <c r="S741" s="21">
        <v>0.40277083333333347</v>
      </c>
      <c r="T741" s="21">
        <v>0.41214583333333338</v>
      </c>
      <c r="U741" s="21">
        <v>0.41506249999999967</v>
      </c>
      <c r="V741" s="21">
        <v>0.32337500000000002</v>
      </c>
      <c r="W741" s="21">
        <v>0.32352083333333309</v>
      </c>
      <c r="X741" s="21">
        <v>0.2824583333333332</v>
      </c>
      <c r="Y741" s="21">
        <v>0.16269999999999993</v>
      </c>
      <c r="Z741" s="23">
        <f>AVERAGE(Q741,U741)</f>
        <v>0.32452083333333315</v>
      </c>
      <c r="AA741" s="23">
        <f>AVERAGE(R741:T741,V741:X741)</f>
        <v>0.34432638888888883</v>
      </c>
      <c r="AB741" s="23">
        <f t="shared" si="11"/>
        <v>0.34072537878787867</v>
      </c>
    </row>
    <row r="742" spans="1:28">
      <c r="A742" s="9">
        <v>44449</v>
      </c>
      <c r="B742" s="3">
        <v>302.37923295230394</v>
      </c>
      <c r="C742" s="3">
        <v>434.13809854525311</v>
      </c>
      <c r="D742" s="3">
        <v>410.14794927668333</v>
      </c>
      <c r="E742" s="3">
        <v>530.41698254434607</v>
      </c>
      <c r="F742" s="2">
        <v>359.16655918159159</v>
      </c>
      <c r="G742" s="19">
        <v>44449</v>
      </c>
      <c r="H742" s="20">
        <v>226.5625</v>
      </c>
      <c r="I742" s="20">
        <v>76.283333333333331</v>
      </c>
      <c r="J742" s="20">
        <v>23.375</v>
      </c>
      <c r="K742" s="20">
        <v>0</v>
      </c>
      <c r="L742" s="20">
        <v>155.66666666666666</v>
      </c>
      <c r="M742" s="20">
        <v>1.9791666666666667</v>
      </c>
      <c r="N742" s="20">
        <v>0</v>
      </c>
      <c r="O742" s="20">
        <v>18.470833333333339</v>
      </c>
      <c r="P742" s="10">
        <v>0.85322279720821281</v>
      </c>
      <c r="Q742" s="21">
        <v>0.23206249999999995</v>
      </c>
      <c r="R742" s="21">
        <v>0.31906250000000008</v>
      </c>
      <c r="S742" s="21">
        <v>0.40104166666666691</v>
      </c>
      <c r="T742" s="21">
        <v>0.40920833333333323</v>
      </c>
      <c r="U742" s="21">
        <v>0.41345833333333354</v>
      </c>
      <c r="V742" s="21">
        <v>0.32187500000000002</v>
      </c>
      <c r="W742" s="21">
        <v>0.32070833333333365</v>
      </c>
      <c r="X742" s="21">
        <v>0.2796041666666666</v>
      </c>
      <c r="Y742" s="21">
        <v>0.14829999999999993</v>
      </c>
      <c r="Z742" s="23">
        <f>AVERAGE(Q742,U742)</f>
        <v>0.32276041666666677</v>
      </c>
      <c r="AA742" s="23">
        <f>AVERAGE(R742:T742,V742:X742)</f>
        <v>0.3419166666666667</v>
      </c>
      <c r="AB742" s="23">
        <f t="shared" si="11"/>
        <v>0.33843371212121215</v>
      </c>
    </row>
    <row r="743" spans="1:28">
      <c r="A743" s="9">
        <v>44450</v>
      </c>
      <c r="B743" s="3">
        <v>263.02609043733725</v>
      </c>
      <c r="C743" s="3">
        <v>458.73835539276473</v>
      </c>
      <c r="D743" s="3">
        <v>424.45308593714009</v>
      </c>
      <c r="E743" s="3">
        <v>537.34369704954065</v>
      </c>
      <c r="F743" s="2">
        <v>371.69356735515356</v>
      </c>
      <c r="G743" s="19">
        <v>44450</v>
      </c>
      <c r="H743" s="20">
        <v>260.04166666666669</v>
      </c>
      <c r="I743" s="20">
        <v>71.575000000000003</v>
      </c>
      <c r="J743" s="20">
        <v>24.264583333333334</v>
      </c>
      <c r="K743" s="20">
        <v>0</v>
      </c>
      <c r="L743" s="20">
        <v>229.125</v>
      </c>
      <c r="M743" s="20">
        <v>4.375</v>
      </c>
      <c r="N743" s="20">
        <v>0.1875</v>
      </c>
      <c r="O743" s="20">
        <v>18.368750000000002</v>
      </c>
      <c r="P743" s="10">
        <v>1.0168219396142339</v>
      </c>
      <c r="Q743" s="21">
        <v>0.22945833333333329</v>
      </c>
      <c r="R743" s="21">
        <v>0.31560416666666663</v>
      </c>
      <c r="S743" s="21">
        <v>0.39829166666666671</v>
      </c>
      <c r="T743" s="21">
        <v>0.4052708333333333</v>
      </c>
      <c r="U743" s="21">
        <v>0.41091666666666665</v>
      </c>
      <c r="V743" s="21">
        <v>0.31935416666666666</v>
      </c>
      <c r="W743" s="21">
        <v>0.31693749999999998</v>
      </c>
      <c r="X743" s="21">
        <v>0.2767083333333335</v>
      </c>
      <c r="Y743" s="21">
        <v>0.13704000000000002</v>
      </c>
      <c r="Z743" s="23">
        <f>AVERAGE(Q743,U743)</f>
        <v>0.32018749999999996</v>
      </c>
      <c r="AA743" s="23">
        <f>AVERAGE(R743:T743,V743:X743)</f>
        <v>0.33869444444444446</v>
      </c>
      <c r="AB743" s="23">
        <f t="shared" si="11"/>
        <v>0.33532954545454546</v>
      </c>
    </row>
    <row r="744" spans="1:28">
      <c r="A744" s="9">
        <v>44451</v>
      </c>
      <c r="B744" s="3">
        <v>217.25813926028718</v>
      </c>
      <c r="C744" s="3">
        <v>312.42265645044733</v>
      </c>
      <c r="D744" s="3">
        <v>354.35562454628678</v>
      </c>
      <c r="E744" s="3">
        <v>427.23220701151632</v>
      </c>
      <c r="F744" s="2">
        <v>310.30922041518335</v>
      </c>
      <c r="G744" s="19">
        <v>44451</v>
      </c>
      <c r="H744" s="20">
        <v>240.14583333333334</v>
      </c>
      <c r="I744" s="20">
        <v>73.081250000000011</v>
      </c>
      <c r="J744" s="20">
        <v>24.572916666666661</v>
      </c>
      <c r="K744" s="20">
        <v>1</v>
      </c>
      <c r="L744" s="20">
        <v>234.14583333333334</v>
      </c>
      <c r="M744" s="20">
        <v>4.125</v>
      </c>
      <c r="N744" s="20">
        <v>0.16666666666666666</v>
      </c>
      <c r="O744" s="20">
        <v>19.070833333333329</v>
      </c>
      <c r="P744" s="10">
        <v>0.99364804801400775</v>
      </c>
      <c r="Q744" s="21">
        <v>0.22702083333333348</v>
      </c>
      <c r="R744" s="21">
        <v>0.3125416666666665</v>
      </c>
      <c r="S744" s="21">
        <v>0.39572916666666669</v>
      </c>
      <c r="T744" s="21">
        <v>0.40129166666666699</v>
      </c>
      <c r="U744" s="21">
        <v>0.40854166666666664</v>
      </c>
      <c r="V744" s="21">
        <v>0.3168958333333336</v>
      </c>
      <c r="W744" s="21">
        <v>0.31268749999999995</v>
      </c>
      <c r="X744" s="21">
        <v>0.27366666666666678</v>
      </c>
      <c r="Y744" s="21">
        <v>0.12934782608695655</v>
      </c>
      <c r="Z744" s="23">
        <f>AVERAGE(Q744,U744)</f>
        <v>0.31778125000000007</v>
      </c>
      <c r="AA744" s="23">
        <f>AVERAGE(R744:T744,V744:X744)</f>
        <v>0.33546875000000015</v>
      </c>
      <c r="AB744" s="23">
        <f t="shared" si="11"/>
        <v>0.33225284090909102</v>
      </c>
    </row>
    <row r="745" spans="1:28">
      <c r="A745" s="9">
        <v>44452</v>
      </c>
      <c r="B745" s="3">
        <v>103.17563499316033</v>
      </c>
      <c r="C745" s="3">
        <v>206.84174517241669</v>
      </c>
      <c r="D745" s="3">
        <v>201.36004945957495</v>
      </c>
      <c r="E745" s="3">
        <v>335.12009473166245</v>
      </c>
      <c r="F745" s="2">
        <v>176.3309953117498</v>
      </c>
      <c r="G745" s="19">
        <v>44452</v>
      </c>
      <c r="H745" s="20">
        <v>136.0625</v>
      </c>
      <c r="I745" s="20">
        <v>86.8125</v>
      </c>
      <c r="J745" s="20">
        <v>21.404166666666672</v>
      </c>
      <c r="K745" s="20">
        <v>64.5</v>
      </c>
      <c r="L745" s="20">
        <v>233.89583333333334</v>
      </c>
      <c r="M745" s="20">
        <v>3.7083333333333335</v>
      </c>
      <c r="N745" s="20">
        <v>4.1666666666666664E-2</v>
      </c>
      <c r="O745" s="20">
        <v>18.958333333333336</v>
      </c>
      <c r="P745" s="10">
        <v>0.3940462378737502</v>
      </c>
      <c r="Q745" s="21">
        <v>0.40849999999999986</v>
      </c>
      <c r="R745" s="21">
        <v>0.53120833333333339</v>
      </c>
      <c r="S745" s="21">
        <v>0.5875416666666663</v>
      </c>
      <c r="T745" s="21">
        <v>0.60060416666666683</v>
      </c>
      <c r="U745" s="21">
        <v>0.47468750000000032</v>
      </c>
      <c r="V745" s="21">
        <v>0.38589583333333327</v>
      </c>
      <c r="W745" s="21">
        <v>0.34329166666666672</v>
      </c>
      <c r="X745" s="21">
        <v>0.2937499999999999</v>
      </c>
      <c r="Y745" s="21">
        <v>0.28871428571428576</v>
      </c>
      <c r="Z745" s="23">
        <f>AVERAGE(Q745,U745)</f>
        <v>0.44159375000000012</v>
      </c>
      <c r="AA745" s="23">
        <f>AVERAGE(R745:T745,V745:X745)</f>
        <v>0.457048611111111</v>
      </c>
      <c r="AB745" s="23">
        <f t="shared" si="11"/>
        <v>0.45423863636363632</v>
      </c>
    </row>
    <row r="746" spans="1:28">
      <c r="A746" s="9">
        <v>44453</v>
      </c>
      <c r="B746" s="3">
        <v>173.76781142244565</v>
      </c>
      <c r="C746" s="3">
        <v>306.15009131726134</v>
      </c>
      <c r="D746" s="3">
        <v>277.13477873574709</v>
      </c>
      <c r="E746" s="3">
        <v>402.22800954784748</v>
      </c>
      <c r="F746" s="2">
        <v>242.68692573889373</v>
      </c>
      <c r="G746" s="19">
        <v>44453</v>
      </c>
      <c r="H746" s="20">
        <v>188.75</v>
      </c>
      <c r="I746" s="20">
        <v>82.447916666666657</v>
      </c>
      <c r="J746" s="20">
        <v>22.362500000000001</v>
      </c>
      <c r="K746" s="20">
        <v>5</v>
      </c>
      <c r="L746" s="20">
        <v>228.52083333333334</v>
      </c>
      <c r="M746" s="20">
        <v>5.4375</v>
      </c>
      <c r="N746" s="20">
        <v>0.25</v>
      </c>
      <c r="O746" s="20">
        <v>19.033333333333339</v>
      </c>
      <c r="P746" s="10">
        <v>0.54425011648052057</v>
      </c>
      <c r="Q746" s="21">
        <v>0.39370833333333338</v>
      </c>
      <c r="R746" s="21">
        <v>0.51649999999999996</v>
      </c>
      <c r="S746" s="21">
        <v>0.5742708333333334</v>
      </c>
      <c r="T746" s="21">
        <v>0.58931249999999991</v>
      </c>
      <c r="U746" s="21">
        <v>0.47258333333333319</v>
      </c>
      <c r="V746" s="21">
        <v>0.37710416666666674</v>
      </c>
      <c r="W746" s="21">
        <v>0.34437500000000004</v>
      </c>
      <c r="X746" s="21">
        <v>0.2948958333333333</v>
      </c>
      <c r="Y746" s="21">
        <v>0.28265384615384614</v>
      </c>
      <c r="Z746" s="23">
        <f>AVERAGE(Q746,U746)</f>
        <v>0.43314583333333329</v>
      </c>
      <c r="AA746" s="23">
        <f>AVERAGE(R746:T746,V746:X746)</f>
        <v>0.4494097222222222</v>
      </c>
      <c r="AB746" s="23">
        <f t="shared" si="11"/>
        <v>0.44645265151515151</v>
      </c>
    </row>
    <row r="747" spans="1:28" s="36" customFormat="1">
      <c r="A747" s="30">
        <v>44454</v>
      </c>
      <c r="B747" s="31">
        <v>216.09848893075173</v>
      </c>
      <c r="C747" s="31">
        <v>386.35030531082811</v>
      </c>
      <c r="D747" s="31">
        <v>355.13099373629245</v>
      </c>
      <c r="E747" s="31">
        <v>430.16521026614356</v>
      </c>
      <c r="F747" s="38">
        <v>310.98821121487128</v>
      </c>
      <c r="G747" s="32">
        <v>44454</v>
      </c>
      <c r="H747" s="33">
        <v>191.77083333333334</v>
      </c>
      <c r="I747" s="33">
        <v>80.643749999999983</v>
      </c>
      <c r="J747" s="33">
        <v>22.602083333333336</v>
      </c>
      <c r="K747" s="33">
        <v>0</v>
      </c>
      <c r="L747" s="33">
        <v>230.72916666666666</v>
      </c>
      <c r="M747" s="33">
        <v>7.541666666666667</v>
      </c>
      <c r="N747" s="33">
        <v>0.66666666666666663</v>
      </c>
      <c r="O747" s="33">
        <v>18.945833333333329</v>
      </c>
      <c r="P747" s="34">
        <v>0.59185390682457051</v>
      </c>
      <c r="Q747" s="35">
        <v>0.37529166666666658</v>
      </c>
      <c r="R747" s="35">
        <v>0.50600000000000012</v>
      </c>
      <c r="S747" s="35">
        <v>0.56356249999999986</v>
      </c>
      <c r="T747" s="35">
        <v>0.5811041666666662</v>
      </c>
      <c r="U747" s="35">
        <v>0.46639583333333318</v>
      </c>
      <c r="V747" s="35">
        <v>0.37016666666666653</v>
      </c>
      <c r="W747" s="35">
        <v>0.34231249999999985</v>
      </c>
      <c r="X747" s="35">
        <v>0.29529166666666667</v>
      </c>
      <c r="Y747" s="35">
        <v>0.25600000000000006</v>
      </c>
      <c r="Z747" s="37">
        <f>AVERAGE(Q747,U747)</f>
        <v>0.42084374999999985</v>
      </c>
      <c r="AA747" s="37">
        <f>AVERAGE(R747:T747,V747:X747)</f>
        <v>0.44307291666666648</v>
      </c>
      <c r="AB747" s="37">
        <f t="shared" si="11"/>
        <v>0.43903124999999982</v>
      </c>
    </row>
    <row r="748" spans="1:28">
      <c r="A748" s="9">
        <v>44455</v>
      </c>
      <c r="B748" s="3">
        <v>151.14409167847481</v>
      </c>
      <c r="C748" s="3">
        <v>227.04540361960923</v>
      </c>
      <c r="D748" s="3">
        <v>236.54960571430067</v>
      </c>
      <c r="E748" s="3">
        <v>331.58953162971983</v>
      </c>
      <c r="F748" s="2">
        <v>207.14648972401309</v>
      </c>
      <c r="G748" s="19">
        <v>44455</v>
      </c>
      <c r="H748" s="20">
        <v>122.4375</v>
      </c>
      <c r="I748" s="20">
        <v>84.381249999999994</v>
      </c>
      <c r="J748" s="20">
        <v>21.552083333333329</v>
      </c>
      <c r="K748" s="20">
        <v>15.600000000000001</v>
      </c>
      <c r="L748" s="20">
        <v>236.14583333333334</v>
      </c>
      <c r="M748" s="20">
        <v>6.083333333333333</v>
      </c>
      <c r="N748" s="20">
        <v>0.3125</v>
      </c>
      <c r="O748" s="20">
        <v>18.745833333333334</v>
      </c>
      <c r="P748" s="10">
        <v>0.42651585903287459</v>
      </c>
      <c r="Q748" s="21">
        <v>0.35281249999999997</v>
      </c>
      <c r="R748" s="21">
        <v>0.49185416666666654</v>
      </c>
      <c r="S748" s="21">
        <v>0.55004166666666687</v>
      </c>
      <c r="T748" s="21">
        <v>0.57431249999999989</v>
      </c>
      <c r="U748" s="21">
        <v>0.46002083333333327</v>
      </c>
      <c r="V748" s="21">
        <v>0.36168750000000011</v>
      </c>
      <c r="W748" s="21">
        <v>0.34106249999999988</v>
      </c>
      <c r="X748" s="21">
        <v>0.29558333333333325</v>
      </c>
      <c r="Y748" s="21">
        <v>0.24475999999999998</v>
      </c>
      <c r="Z748" s="23">
        <f>AVERAGE(Q748,U748)</f>
        <v>0.40641666666666665</v>
      </c>
      <c r="AA748" s="23">
        <f>AVERAGE(R748:T748,V748:X748)</f>
        <v>0.43575694444444441</v>
      </c>
      <c r="AB748" s="23">
        <f t="shared" si="11"/>
        <v>0.43042234848484845</v>
      </c>
    </row>
    <row r="749" spans="1:28">
      <c r="A749" s="9">
        <v>44456</v>
      </c>
      <c r="B749" s="3">
        <v>111.00173593004352</v>
      </c>
      <c r="C749" s="3">
        <v>238.89141189792127</v>
      </c>
      <c r="D749" s="3">
        <v>239.4385583360681</v>
      </c>
      <c r="E749" s="3">
        <v>336.35402485208027</v>
      </c>
      <c r="F749" s="2">
        <v>209.67634553489484</v>
      </c>
      <c r="G749" s="19">
        <v>44456</v>
      </c>
      <c r="H749" s="20">
        <v>146.14583333333334</v>
      </c>
      <c r="I749" s="20">
        <v>86.935416666666683</v>
      </c>
      <c r="J749" s="20">
        <v>21.300000000000004</v>
      </c>
      <c r="K749" s="20">
        <v>19.799999999999997</v>
      </c>
      <c r="L749" s="20">
        <v>234.95833333333334</v>
      </c>
      <c r="M749" s="20">
        <v>4.625</v>
      </c>
      <c r="N749" s="20">
        <v>8.3333333333333329E-2</v>
      </c>
      <c r="O749" s="20">
        <v>18.866666666666671</v>
      </c>
      <c r="P749" s="10">
        <v>0.3974607175158576</v>
      </c>
      <c r="Q749" s="21">
        <v>0.41402083333333334</v>
      </c>
      <c r="R749" s="21">
        <v>0.5429791666666669</v>
      </c>
      <c r="S749" s="21">
        <v>0.58852083333333294</v>
      </c>
      <c r="T749" s="21">
        <v>0.6151458333333335</v>
      </c>
      <c r="U749" s="21">
        <v>0.48333333333333367</v>
      </c>
      <c r="V749" s="21">
        <v>0.39314583333333325</v>
      </c>
      <c r="W749" s="21">
        <v>0.35383333333333361</v>
      </c>
      <c r="X749" s="21">
        <v>0.31987500000000002</v>
      </c>
      <c r="Y749" s="21">
        <v>0.33996428571428561</v>
      </c>
      <c r="Z749" s="23">
        <f>AVERAGE(Q749,U749)</f>
        <v>0.4486770833333335</v>
      </c>
      <c r="AA749" s="23">
        <f>AVERAGE(R749:T749,V749:X749)</f>
        <v>0.4689166666666667</v>
      </c>
      <c r="AB749" s="23">
        <f t="shared" si="11"/>
        <v>0.46523674242424246</v>
      </c>
    </row>
    <row r="750" spans="1:28">
      <c r="A750" s="9">
        <v>44457</v>
      </c>
      <c r="B750" s="3">
        <v>159.23175648785073</v>
      </c>
      <c r="C750" s="3">
        <v>342.73783813060277</v>
      </c>
      <c r="D750" s="3">
        <v>323.50169733599245</v>
      </c>
      <c r="E750" s="3">
        <v>509.66413645545981</v>
      </c>
      <c r="F750" s="2">
        <v>283.29043635712861</v>
      </c>
      <c r="G750" s="19">
        <v>44457</v>
      </c>
      <c r="H750" s="20">
        <v>164.89583333333334</v>
      </c>
      <c r="I750" s="20">
        <v>82.581249999999983</v>
      </c>
      <c r="J750" s="20">
        <v>22.568749999999998</v>
      </c>
      <c r="K750" s="20">
        <v>7.4</v>
      </c>
      <c r="L750" s="20">
        <v>226.77083333333334</v>
      </c>
      <c r="M750" s="20">
        <v>14.4375</v>
      </c>
      <c r="N750" s="20">
        <v>2.875</v>
      </c>
      <c r="O750" s="20">
        <v>19.341666666666665</v>
      </c>
      <c r="P750" s="10">
        <v>0.51660529275050193</v>
      </c>
      <c r="Q750" s="21">
        <v>0.4236666666666668</v>
      </c>
      <c r="R750" s="21">
        <v>0.54366666666666685</v>
      </c>
      <c r="S750" s="21">
        <v>0.59058333333333335</v>
      </c>
      <c r="T750" s="21">
        <v>0.61208333333333353</v>
      </c>
      <c r="U750" s="21">
        <v>0.48918749999999983</v>
      </c>
      <c r="V750" s="21">
        <v>0.40583333333333327</v>
      </c>
      <c r="W750" s="21">
        <v>0.36704166666666643</v>
      </c>
      <c r="X750" s="21">
        <v>0.33554166666666668</v>
      </c>
      <c r="Y750" s="21">
        <v>0.31185714285714283</v>
      </c>
      <c r="Z750" s="23">
        <f>AVERAGE(Q750,U750)</f>
        <v>0.45642708333333332</v>
      </c>
      <c r="AA750" s="23">
        <f>AVERAGE(R750:T750,V750:X750)</f>
        <v>0.47579166666666667</v>
      </c>
      <c r="AB750" s="23">
        <f t="shared" si="11"/>
        <v>0.47227083333333336</v>
      </c>
    </row>
    <row r="751" spans="1:28">
      <c r="A751" s="9">
        <v>44458</v>
      </c>
      <c r="B751" s="3">
        <v>5.7914251291773668</v>
      </c>
      <c r="C751" s="3">
        <v>59.213850845859206</v>
      </c>
      <c r="D751" s="3">
        <v>34.869561451970263</v>
      </c>
      <c r="E751" s="3">
        <v>193.04100111774389</v>
      </c>
      <c r="F751" s="2">
        <v>30.535274963490359</v>
      </c>
      <c r="G751" s="19">
        <v>44458</v>
      </c>
      <c r="H751" s="20">
        <v>68.354166666666671</v>
      </c>
      <c r="I751" s="20">
        <v>89.681249999999977</v>
      </c>
      <c r="J751" s="20">
        <v>18.985416666666662</v>
      </c>
      <c r="K751" s="20">
        <v>5.7000000000000011</v>
      </c>
      <c r="L751" s="20">
        <v>282.47916666666669</v>
      </c>
      <c r="M751" s="20">
        <v>4.9375</v>
      </c>
      <c r="N751" s="20">
        <v>0.375</v>
      </c>
      <c r="O751" s="20">
        <v>17.235416666666669</v>
      </c>
      <c r="P751" s="10">
        <v>0.23431647646704559</v>
      </c>
      <c r="Q751" s="21">
        <v>0.41216666666666657</v>
      </c>
      <c r="R751" s="21">
        <v>0.53039583333333329</v>
      </c>
      <c r="S751" s="21">
        <v>0.58341666666666614</v>
      </c>
      <c r="T751" s="21">
        <v>0.60041666666666693</v>
      </c>
      <c r="U751" s="21">
        <v>0.48802083333333296</v>
      </c>
      <c r="V751" s="21">
        <v>0.4008333333333331</v>
      </c>
      <c r="W751" s="21">
        <v>0.3768958333333336</v>
      </c>
      <c r="X751" s="21">
        <v>0.3683958333333332</v>
      </c>
      <c r="Y751" s="21">
        <v>0.31325000000000003</v>
      </c>
      <c r="Z751" s="23">
        <f>AVERAGE(Q751,U751)</f>
        <v>0.45009374999999974</v>
      </c>
      <c r="AA751" s="23">
        <f>AVERAGE(R751:T751,V751:X751)</f>
        <v>0.47672569444444429</v>
      </c>
      <c r="AB751" s="23">
        <f t="shared" si="11"/>
        <v>0.47188352272727252</v>
      </c>
    </row>
    <row r="752" spans="1:28">
      <c r="A752" s="9">
        <v>44459</v>
      </c>
      <c r="B752" s="3">
        <v>247.91505161062182</v>
      </c>
      <c r="C752" s="3">
        <v>552.15194849293755</v>
      </c>
      <c r="D752" s="3">
        <v>424.39883929703115</v>
      </c>
      <c r="E752" s="3">
        <v>556.12741540546494</v>
      </c>
      <c r="F752" s="2">
        <v>371.64606357241018</v>
      </c>
      <c r="G752" s="19">
        <v>44459</v>
      </c>
      <c r="H752" s="20">
        <v>264</v>
      </c>
      <c r="I752" s="20">
        <v>75.420833333333334</v>
      </c>
      <c r="J752" s="20">
        <v>20.418750000000003</v>
      </c>
      <c r="K752" s="20">
        <v>0</v>
      </c>
      <c r="L752" s="20">
        <v>292.375</v>
      </c>
      <c r="M752" s="20">
        <v>2.8958333333333335</v>
      </c>
      <c r="N752" s="20">
        <v>0.125</v>
      </c>
      <c r="O752" s="20">
        <v>15.089583333333337</v>
      </c>
      <c r="P752" s="10">
        <v>0.80904150398719299</v>
      </c>
      <c r="Q752" s="21">
        <v>0.40510416666666682</v>
      </c>
      <c r="R752" s="21">
        <v>0.52366666666666684</v>
      </c>
      <c r="S752" s="21">
        <v>0.57770833333333349</v>
      </c>
      <c r="T752" s="21">
        <v>0.59475</v>
      </c>
      <c r="U752" s="21">
        <v>0.48677083333333365</v>
      </c>
      <c r="V752" s="21">
        <v>0.39660416666666681</v>
      </c>
      <c r="W752" s="21">
        <v>0.38627083333333356</v>
      </c>
      <c r="X752" s="21">
        <v>0.37791666666666668</v>
      </c>
      <c r="Y752" s="21">
        <v>0.28123529411764703</v>
      </c>
      <c r="Z752" s="23">
        <f>AVERAGE(Q752,U752)</f>
        <v>0.44593750000000021</v>
      </c>
      <c r="AA752" s="23">
        <f>AVERAGE(R752:T752,V752:X752)</f>
        <v>0.47615277777777787</v>
      </c>
      <c r="AB752" s="23">
        <f t="shared" si="11"/>
        <v>0.47065909090909097</v>
      </c>
    </row>
    <row r="753" spans="1:28">
      <c r="A753" s="9">
        <v>44460</v>
      </c>
      <c r="B753" s="3">
        <v>326.53359140477733</v>
      </c>
      <c r="C753" s="3">
        <v>625.79778567076369</v>
      </c>
      <c r="D753" s="3">
        <v>520.22455207852147</v>
      </c>
      <c r="E753" s="3">
        <v>582.81362359271543</v>
      </c>
      <c r="F753" s="2">
        <v>455.56064025516127</v>
      </c>
      <c r="G753" s="19">
        <v>44460</v>
      </c>
      <c r="H753" s="20">
        <v>264.66666666666669</v>
      </c>
      <c r="I753" s="20">
        <v>75.46250000000002</v>
      </c>
      <c r="J753" s="20">
        <v>21.810416666666669</v>
      </c>
      <c r="K753" s="20">
        <v>0</v>
      </c>
      <c r="L753" s="20">
        <v>218.5625</v>
      </c>
      <c r="M753" s="20">
        <v>4.645833333333333</v>
      </c>
      <c r="N753" s="20">
        <v>0.5</v>
      </c>
      <c r="O753" s="20">
        <v>16.860416666666669</v>
      </c>
      <c r="P753" s="10">
        <v>0.78409174008427251</v>
      </c>
      <c r="Q753" s="21">
        <v>0.38256249999999997</v>
      </c>
      <c r="R753" s="21">
        <v>0.50812500000000027</v>
      </c>
      <c r="S753" s="21">
        <v>0.56447916666666664</v>
      </c>
      <c r="T753" s="21">
        <v>0.58683333333333298</v>
      </c>
      <c r="U753" s="21">
        <v>0.48297916666666713</v>
      </c>
      <c r="V753" s="21">
        <v>0.38950000000000012</v>
      </c>
      <c r="W753" s="21">
        <v>0.39195833333333324</v>
      </c>
      <c r="X753" s="21">
        <v>0.3719375000000002</v>
      </c>
      <c r="Y753" s="21">
        <v>0.26496296296296296</v>
      </c>
      <c r="Z753" s="23">
        <f>AVERAGE(Q753,U753)</f>
        <v>0.43277083333333355</v>
      </c>
      <c r="AA753" s="23">
        <f>AVERAGE(R753:T753,V753:X753)</f>
        <v>0.46880555555555548</v>
      </c>
      <c r="AB753" s="23">
        <f t="shared" si="11"/>
        <v>0.46225378787878785</v>
      </c>
    </row>
    <row r="754" spans="1:28" s="36" customFormat="1">
      <c r="A754" s="30">
        <v>44461</v>
      </c>
      <c r="B754" s="31">
        <v>332.58733549052033</v>
      </c>
      <c r="C754" s="31">
        <v>577.61141055161988</v>
      </c>
      <c r="D754" s="31">
        <v>467.08782576347795</v>
      </c>
      <c r="E754" s="31">
        <v>405.169537923929</v>
      </c>
      <c r="F754" s="38">
        <v>409.02880902107768</v>
      </c>
      <c r="G754" s="32">
        <v>44461</v>
      </c>
      <c r="H754" s="33">
        <v>210.52083333333334</v>
      </c>
      <c r="I754" s="33">
        <v>76.30625000000002</v>
      </c>
      <c r="J754" s="33">
        <v>22.581250000000008</v>
      </c>
      <c r="K754" s="33">
        <v>0</v>
      </c>
      <c r="L754" s="33">
        <v>218.64583333333334</v>
      </c>
      <c r="M754" s="33">
        <v>9.9583333333333339</v>
      </c>
      <c r="N754" s="33">
        <v>1.4791666666666667</v>
      </c>
      <c r="O754" s="33">
        <v>18.016666666666666</v>
      </c>
      <c r="P754" s="34">
        <v>0.71647136452995452</v>
      </c>
      <c r="Q754" s="35">
        <v>0.35681249999999992</v>
      </c>
      <c r="R754" s="35">
        <v>0.49254166666666693</v>
      </c>
      <c r="S754" s="35">
        <v>0.54929166666666662</v>
      </c>
      <c r="T754" s="35">
        <v>0.57772916666666652</v>
      </c>
      <c r="U754" s="35">
        <v>0.47510416666666666</v>
      </c>
      <c r="V754" s="35">
        <v>0.38089583333333343</v>
      </c>
      <c r="W754" s="35">
        <v>0.39141666666666652</v>
      </c>
      <c r="X754" s="35">
        <v>0.36339583333333342</v>
      </c>
      <c r="Y754" s="35">
        <v>0.22927272727272729</v>
      </c>
      <c r="Z754" s="37">
        <f>AVERAGE(Q754,U754)</f>
        <v>0.41595833333333332</v>
      </c>
      <c r="AA754" s="37">
        <f>AVERAGE(R754:T754,V754:X754)</f>
        <v>0.45921180555555557</v>
      </c>
      <c r="AB754" s="37">
        <f t="shared" si="11"/>
        <v>0.4513475378787879</v>
      </c>
    </row>
    <row r="755" spans="1:28">
      <c r="A755" s="9">
        <v>44462</v>
      </c>
      <c r="B755" s="3">
        <v>304.02194888961333</v>
      </c>
      <c r="C755" s="3">
        <v>552.75540053879001</v>
      </c>
      <c r="D755" s="3">
        <v>426.14530131925687</v>
      </c>
      <c r="E755" s="3">
        <v>322.48673145509457</v>
      </c>
      <c r="F755" s="2">
        <v>373.17544036527323</v>
      </c>
      <c r="G755" s="19">
        <v>44462</v>
      </c>
      <c r="H755" s="20">
        <v>171.27083333333334</v>
      </c>
      <c r="I755" s="20">
        <v>77.683333333333323</v>
      </c>
      <c r="J755" s="20">
        <v>22.022916666666664</v>
      </c>
      <c r="K755" s="20">
        <v>0</v>
      </c>
      <c r="L755" s="20">
        <v>229.14583333333334</v>
      </c>
      <c r="M755" s="20">
        <v>9.9375</v>
      </c>
      <c r="N755" s="20">
        <v>0.91666666666666663</v>
      </c>
      <c r="O755" s="20">
        <v>17.825000000000006</v>
      </c>
      <c r="P755" s="10">
        <v>0.63005966000585178</v>
      </c>
      <c r="Q755" s="21">
        <v>0.329625</v>
      </c>
      <c r="R755" s="21">
        <v>0.47379166666666667</v>
      </c>
      <c r="S755" s="21">
        <v>0.53208333333333313</v>
      </c>
      <c r="T755" s="21">
        <v>0.56518749999999984</v>
      </c>
      <c r="U755" s="21">
        <v>0.46470833333333306</v>
      </c>
      <c r="V755" s="21">
        <v>0.37172916666666672</v>
      </c>
      <c r="W755" s="21">
        <v>0.38783333333333342</v>
      </c>
      <c r="X755" s="21">
        <v>0.35499999999999993</v>
      </c>
      <c r="Y755" s="21">
        <v>0.20795454545454548</v>
      </c>
      <c r="Z755" s="23">
        <f>AVERAGE(Q755,U755)</f>
        <v>0.39716666666666656</v>
      </c>
      <c r="AA755" s="23">
        <f>AVERAGE(R755:T755,V755:X755)</f>
        <v>0.44760416666666658</v>
      </c>
      <c r="AB755" s="23">
        <f t="shared" si="11"/>
        <v>0.43843371212121207</v>
      </c>
    </row>
    <row r="756" spans="1:28">
      <c r="A756" s="9">
        <v>44463</v>
      </c>
      <c r="B756" s="3">
        <v>329.66572130047518</v>
      </c>
      <c r="C756" s="3">
        <v>611.44005995064992</v>
      </c>
      <c r="D756" s="3">
        <v>450.14808614344065</v>
      </c>
      <c r="E756" s="3">
        <v>413.93918358434388</v>
      </c>
      <c r="F756" s="2">
        <v>394.19467903581102</v>
      </c>
      <c r="G756" s="19">
        <v>44463</v>
      </c>
      <c r="H756" s="20">
        <v>180.83333333333334</v>
      </c>
      <c r="I756" s="20">
        <v>77.181249999999991</v>
      </c>
      <c r="J756" s="20">
        <v>21.920833333333338</v>
      </c>
      <c r="K756" s="20">
        <v>0.2</v>
      </c>
      <c r="L756" s="20">
        <v>235.79166666666666</v>
      </c>
      <c r="M756" s="20">
        <v>12.541666666666666</v>
      </c>
      <c r="N756" s="20">
        <v>2.3958333333333335</v>
      </c>
      <c r="O756" s="20">
        <v>17.59791666666667</v>
      </c>
      <c r="P756" s="10">
        <v>0.6463845860666072</v>
      </c>
      <c r="Q756" s="21">
        <v>0.30487499999999995</v>
      </c>
      <c r="R756" s="21">
        <v>0.45297916666666665</v>
      </c>
      <c r="S756" s="21">
        <v>0.5122916666666667</v>
      </c>
      <c r="T756" s="21">
        <v>0.54920833333333341</v>
      </c>
      <c r="U756" s="21">
        <v>0.45558333333333362</v>
      </c>
      <c r="V756" s="21">
        <v>0.36349999999999999</v>
      </c>
      <c r="W756" s="21">
        <v>0.38245833333333329</v>
      </c>
      <c r="X756" s="21">
        <v>0.34706250000000005</v>
      </c>
      <c r="Y756" s="21">
        <v>0.19619999999999999</v>
      </c>
      <c r="Z756" s="23">
        <f>AVERAGE(Q756,U756)</f>
        <v>0.38022916666666678</v>
      </c>
      <c r="AA756" s="23">
        <f>AVERAGE(R756:T756,V756:X756)</f>
        <v>0.43458333333333332</v>
      </c>
      <c r="AB756" s="23">
        <f t="shared" si="11"/>
        <v>0.42470075757575759</v>
      </c>
    </row>
    <row r="757" spans="1:28">
      <c r="A757" s="9">
        <v>44464</v>
      </c>
      <c r="B757" s="3">
        <v>334.06144111421969</v>
      </c>
      <c r="C757" s="3">
        <v>623.23491936093319</v>
      </c>
      <c r="D757" s="3">
        <v>452.38741209469441</v>
      </c>
      <c r="E757" s="3">
        <v>481.32465789978778</v>
      </c>
      <c r="F757" s="2">
        <v>396.15565677132389</v>
      </c>
      <c r="G757" s="19">
        <v>44464</v>
      </c>
      <c r="H757" s="20">
        <v>198.91666666666666</v>
      </c>
      <c r="I757" s="20">
        <v>76.052083333333343</v>
      </c>
      <c r="J757" s="20">
        <v>22.322916666666668</v>
      </c>
      <c r="K757" s="20">
        <v>0</v>
      </c>
      <c r="L757" s="20">
        <v>236.75</v>
      </c>
      <c r="M757" s="20">
        <v>11.916666666666666</v>
      </c>
      <c r="N757" s="20">
        <v>1.75</v>
      </c>
      <c r="O757" s="20">
        <v>17.768750000000001</v>
      </c>
      <c r="P757" s="10">
        <v>0.69565695176932918</v>
      </c>
      <c r="Q757" s="21">
        <v>0.28306250000000005</v>
      </c>
      <c r="R757" s="21">
        <v>0.43002083333333346</v>
      </c>
      <c r="S757" s="21">
        <v>0.49062500000000031</v>
      </c>
      <c r="T757" s="21">
        <v>0.52920833333333328</v>
      </c>
      <c r="U757" s="21">
        <v>0.44672916666666662</v>
      </c>
      <c r="V757" s="21">
        <v>0.35520833333333313</v>
      </c>
      <c r="W757" s="21">
        <v>0.37543749999999987</v>
      </c>
      <c r="X757" s="21">
        <v>0.33852083333333333</v>
      </c>
      <c r="Y757" s="21">
        <v>0.16666666666666666</v>
      </c>
      <c r="Z757" s="23">
        <f>AVERAGE(Q757,U757)</f>
        <v>0.36489583333333331</v>
      </c>
      <c r="AA757" s="23">
        <f>AVERAGE(R757:T757,V757:X757)</f>
        <v>0.41983680555555564</v>
      </c>
      <c r="AB757" s="23">
        <f t="shared" si="11"/>
        <v>0.40984753787878797</v>
      </c>
    </row>
    <row r="758" spans="1:28">
      <c r="A758" s="9">
        <v>44465</v>
      </c>
      <c r="B758" s="3">
        <v>338.98103921379334</v>
      </c>
      <c r="C758" s="3">
        <v>652.69784871863453</v>
      </c>
      <c r="D758" s="3">
        <v>482.56361634152586</v>
      </c>
      <c r="E758" s="3">
        <v>562.83234296570936</v>
      </c>
      <c r="F758" s="2">
        <v>422.5809588302742</v>
      </c>
      <c r="G758" s="19">
        <v>44465</v>
      </c>
      <c r="H758" s="20">
        <v>211.20833333333334</v>
      </c>
      <c r="I758" s="20">
        <v>74.212499999999991</v>
      </c>
      <c r="J758" s="20">
        <v>22.545833333333334</v>
      </c>
      <c r="K758" s="20">
        <v>0</v>
      </c>
      <c r="L758" s="20">
        <v>235.3125</v>
      </c>
      <c r="M758" s="20">
        <v>9.875</v>
      </c>
      <c r="N758" s="20">
        <v>1.2083333333333333</v>
      </c>
      <c r="O758" s="20">
        <v>17.543749999999996</v>
      </c>
      <c r="P758" s="10">
        <v>0.7684428053186676</v>
      </c>
      <c r="Q758" s="21">
        <v>0.26722916666666657</v>
      </c>
      <c r="R758" s="21">
        <v>0.40620833333333328</v>
      </c>
      <c r="S758" s="21">
        <v>0.47122916666666642</v>
      </c>
      <c r="T758" s="21">
        <v>0.50693749999999993</v>
      </c>
      <c r="U758" s="21">
        <v>0.43895833333333362</v>
      </c>
      <c r="V758" s="21">
        <v>0.34831250000000008</v>
      </c>
      <c r="W758" s="21">
        <v>0.36810416666666684</v>
      </c>
      <c r="X758" s="21">
        <v>0.32941666666666669</v>
      </c>
      <c r="Y758" s="21">
        <v>0.15049999999999997</v>
      </c>
      <c r="Z758" s="23">
        <f>AVERAGE(Q758,U758)</f>
        <v>0.3530937500000001</v>
      </c>
      <c r="AA758" s="23">
        <f>AVERAGE(R758:T758,V758:X758)</f>
        <v>0.40503472222222214</v>
      </c>
      <c r="AB758" s="23">
        <f t="shared" si="11"/>
        <v>0.39559090909090905</v>
      </c>
    </row>
    <row r="759" spans="1:28">
      <c r="A759" s="9">
        <v>44466</v>
      </c>
      <c r="B759" s="3">
        <v>327.13011178271125</v>
      </c>
      <c r="C759" s="3">
        <v>694.67315534621525</v>
      </c>
      <c r="D759" s="3">
        <v>517.75007837087412</v>
      </c>
      <c r="E759" s="3">
        <v>636.78069087303845</v>
      </c>
      <c r="F759" s="2">
        <v>453.39374362937451</v>
      </c>
      <c r="G759" s="19">
        <v>44466</v>
      </c>
      <c r="H759" s="20">
        <v>238.10416666666666</v>
      </c>
      <c r="I759" s="20">
        <v>71.781249999999986</v>
      </c>
      <c r="J759" s="20">
        <v>22.822916666666668</v>
      </c>
      <c r="K759" s="20">
        <v>0</v>
      </c>
      <c r="L759" s="20">
        <v>225.79166666666666</v>
      </c>
      <c r="M759" s="20">
        <v>6.354166666666667</v>
      </c>
      <c r="N759" s="20">
        <v>0.72916666666666663</v>
      </c>
      <c r="O759" s="20">
        <v>17.222916666666663</v>
      </c>
      <c r="P759" s="10">
        <v>0.87158836159411512</v>
      </c>
      <c r="Q759" s="21">
        <v>0.25493749999999998</v>
      </c>
      <c r="R759" s="21">
        <v>0.3826458333333333</v>
      </c>
      <c r="S759" s="21">
        <v>0.45287499999999992</v>
      </c>
      <c r="T759" s="21">
        <v>0.48304166666666654</v>
      </c>
      <c r="U759" s="21">
        <v>0.43295833333333333</v>
      </c>
      <c r="V759" s="21">
        <v>0.34164583333333337</v>
      </c>
      <c r="W759" s="21">
        <v>0.36002083333333329</v>
      </c>
      <c r="X759" s="21">
        <v>0.31991666666666668</v>
      </c>
      <c r="Y759" s="21">
        <v>0.14405000000000001</v>
      </c>
      <c r="Z759" s="23">
        <f>AVERAGE(Q759,U759)</f>
        <v>0.34394791666666669</v>
      </c>
      <c r="AA759" s="23">
        <f>AVERAGE(R759:T759,V759:X759)</f>
        <v>0.39002430555555562</v>
      </c>
      <c r="AB759" s="23">
        <f t="shared" si="11"/>
        <v>0.3816467803030304</v>
      </c>
    </row>
    <row r="760" spans="1:28" s="36" customFormat="1">
      <c r="A760" s="30">
        <v>44467</v>
      </c>
      <c r="B760" s="31">
        <v>276.13882374362447</v>
      </c>
      <c r="C760" s="31">
        <v>498.95957763087114</v>
      </c>
      <c r="D760" s="31">
        <v>393.69769295478142</v>
      </c>
      <c r="E760" s="31">
        <v>523.54730173269684</v>
      </c>
      <c r="F760" s="38">
        <v>344.76106972050212</v>
      </c>
      <c r="G760" s="32">
        <v>44467</v>
      </c>
      <c r="H760" s="33">
        <v>219.22916666666666</v>
      </c>
      <c r="I760" s="33">
        <v>76.329166666666666</v>
      </c>
      <c r="J760" s="33">
        <v>22.366666666666671</v>
      </c>
      <c r="K760" s="33">
        <v>1.0999999999999999</v>
      </c>
      <c r="L760" s="33">
        <v>212.9375</v>
      </c>
      <c r="M760" s="33">
        <v>3.9166666666666665</v>
      </c>
      <c r="N760" s="33">
        <v>2.0833333333333332E-2</v>
      </c>
      <c r="O760" s="33">
        <v>17.672916666666669</v>
      </c>
      <c r="P760" s="34">
        <v>0.76738611977222071</v>
      </c>
      <c r="Q760" s="35">
        <v>0.24514583333333362</v>
      </c>
      <c r="R760" s="35">
        <v>0.36277083333333349</v>
      </c>
      <c r="S760" s="35">
        <v>0.43724999999999975</v>
      </c>
      <c r="T760" s="35">
        <v>0.46004166666666668</v>
      </c>
      <c r="U760" s="35">
        <v>0.42585416666666637</v>
      </c>
      <c r="V760" s="35">
        <v>0.33616666666666672</v>
      </c>
      <c r="W760" s="35">
        <v>0.35235416666666675</v>
      </c>
      <c r="X760" s="35">
        <v>0.31066666666666648</v>
      </c>
      <c r="Y760" s="35">
        <v>0.13592307692307692</v>
      </c>
      <c r="Z760" s="37">
        <f>AVERAGE(Q760,U760)</f>
        <v>0.33550000000000002</v>
      </c>
      <c r="AA760" s="37">
        <f>AVERAGE(R760:T760,V760:X760)</f>
        <v>0.37654166666666661</v>
      </c>
      <c r="AB760" s="37">
        <f t="shared" si="11"/>
        <v>0.36907954545454541</v>
      </c>
    </row>
    <row r="761" spans="1:28">
      <c r="A761" s="9">
        <v>44468</v>
      </c>
      <c r="B761" s="3">
        <v>214.22998890150163</v>
      </c>
      <c r="C761" s="3">
        <v>654.82564410854548</v>
      </c>
      <c r="D761" s="3">
        <v>453.70452178116579</v>
      </c>
      <c r="E761" s="3">
        <v>574.47665022315368</v>
      </c>
      <c r="F761" s="2">
        <v>397.30904972376692</v>
      </c>
      <c r="G761" s="19">
        <v>44468</v>
      </c>
      <c r="H761" s="20">
        <v>258.33333333333331</v>
      </c>
      <c r="I761" s="20">
        <v>65.950000000000017</v>
      </c>
      <c r="J761" s="20">
        <v>22.600000000000005</v>
      </c>
      <c r="K761" s="20">
        <v>0.2</v>
      </c>
      <c r="L761" s="20">
        <v>220.83333333333334</v>
      </c>
      <c r="M761" s="20">
        <v>1.0208333333333333</v>
      </c>
      <c r="N761" s="20">
        <v>0</v>
      </c>
      <c r="O761" s="20">
        <v>14.610416666666666</v>
      </c>
      <c r="P761" s="10">
        <v>1.210576295633232</v>
      </c>
      <c r="Q761" s="21">
        <v>0.23912500000000006</v>
      </c>
      <c r="R761" s="21">
        <v>0.34987499999999999</v>
      </c>
      <c r="S761" s="21">
        <v>0.42570833333333341</v>
      </c>
      <c r="T761" s="21">
        <v>0.44304166666666672</v>
      </c>
      <c r="U761" s="21">
        <v>0.42056250000000023</v>
      </c>
      <c r="V761" s="21">
        <v>0.33172916666666674</v>
      </c>
      <c r="W761" s="21">
        <v>0.34633333333333344</v>
      </c>
      <c r="X761" s="21">
        <v>0.30368750000000005</v>
      </c>
      <c r="Y761" s="21">
        <v>0.13130000000000003</v>
      </c>
      <c r="Z761" s="23">
        <f>AVERAGE(Q761,U761)</f>
        <v>0.32984375000000016</v>
      </c>
      <c r="AA761" s="23">
        <f>AVERAGE(R761:T761,V761:X761)</f>
        <v>0.36672916666666672</v>
      </c>
      <c r="AB761" s="23">
        <f t="shared" si="11"/>
        <v>0.36002272727272733</v>
      </c>
    </row>
    <row r="762" spans="1:28">
      <c r="A762" s="9">
        <v>44469</v>
      </c>
      <c r="B762" s="3">
        <v>256.73169008191684</v>
      </c>
      <c r="C762" s="3">
        <v>650.06865612050535</v>
      </c>
      <c r="D762" s="3">
        <v>459.57022887614994</v>
      </c>
      <c r="E762" s="3">
        <v>608.74219505163489</v>
      </c>
      <c r="F762" s="2">
        <v>402.44564942684451</v>
      </c>
      <c r="G762" s="19">
        <v>44469</v>
      </c>
      <c r="H762" s="20">
        <v>245.04166666666666</v>
      </c>
      <c r="I762" s="20">
        <v>65.902083333333351</v>
      </c>
      <c r="J762" s="20">
        <v>22.814583333333331</v>
      </c>
      <c r="K762" s="20">
        <v>0</v>
      </c>
      <c r="L762" s="20">
        <v>227.8125</v>
      </c>
      <c r="M762" s="20">
        <v>3</v>
      </c>
      <c r="N762" s="20">
        <v>0.16666666666666666</v>
      </c>
      <c r="O762" s="20">
        <v>15.631249999999996</v>
      </c>
      <c r="P762" s="10">
        <v>1.1234496868251027</v>
      </c>
      <c r="Q762" s="21">
        <v>0.23414583333333341</v>
      </c>
      <c r="R762" s="21">
        <v>0.33693750000000017</v>
      </c>
      <c r="S762" s="21">
        <v>0.41343749999999996</v>
      </c>
      <c r="T762" s="21">
        <v>0.42610416666666673</v>
      </c>
      <c r="U762" s="21">
        <v>0.41560416666666655</v>
      </c>
      <c r="V762" s="21">
        <v>0.32733333333333337</v>
      </c>
      <c r="W762" s="21">
        <v>0.3396249999999999</v>
      </c>
      <c r="X762" s="21">
        <v>0.29612499999999997</v>
      </c>
      <c r="Y762" s="21">
        <v>0.126</v>
      </c>
      <c r="Z762" s="23">
        <f>AVERAGE(Q762,U762)</f>
        <v>0.32487499999999997</v>
      </c>
      <c r="AA762" s="23">
        <f>AVERAGE(R762:T762,V762:X762)</f>
        <v>0.35659374999999999</v>
      </c>
      <c r="AB762" s="23">
        <f t="shared" si="11"/>
        <v>0.35082670454545456</v>
      </c>
    </row>
    <row r="763" spans="1:28">
      <c r="A763" s="9">
        <v>44470</v>
      </c>
      <c r="B763" s="3">
        <v>238.07896083438629</v>
      </c>
      <c r="C763" s="3">
        <v>581.00473185899227</v>
      </c>
      <c r="D763" s="3">
        <v>431.49395267125158</v>
      </c>
      <c r="E763" s="3">
        <v>526.26858401974516</v>
      </c>
      <c r="F763" s="2">
        <v>377.85925435421501</v>
      </c>
      <c r="G763" s="19">
        <v>44470</v>
      </c>
      <c r="H763" s="20">
        <v>231.60416666666666</v>
      </c>
      <c r="I763" s="20">
        <v>72.654166666666683</v>
      </c>
      <c r="J763" s="20">
        <v>23.333333333333332</v>
      </c>
      <c r="K763" s="20">
        <v>0</v>
      </c>
      <c r="L763" s="20">
        <v>233.64583333333334</v>
      </c>
      <c r="M763" s="20">
        <v>5.166666666666667</v>
      </c>
      <c r="N763" s="20">
        <v>0.52083333333333337</v>
      </c>
      <c r="O763" s="20">
        <v>17.737500000000001</v>
      </c>
      <c r="P763" s="10">
        <v>0.92083704684426293</v>
      </c>
      <c r="Q763" s="21">
        <v>0.23114583333333349</v>
      </c>
      <c r="R763" s="21">
        <v>0.32752083333333321</v>
      </c>
      <c r="S763" s="21">
        <v>0.40604166666666647</v>
      </c>
      <c r="T763" s="21">
        <v>0.41439583333333313</v>
      </c>
      <c r="U763" s="21">
        <v>0.41249999999999987</v>
      </c>
      <c r="V763" s="21">
        <v>0.32452083333333337</v>
      </c>
      <c r="W763" s="21">
        <v>0.33408333333333334</v>
      </c>
      <c r="X763" s="21">
        <v>0.29027083333333353</v>
      </c>
      <c r="Y763" s="21">
        <v>0.12252777777777782</v>
      </c>
      <c r="Z763" s="23">
        <f>AVERAGE(Q763,U763)</f>
        <v>0.32182291666666668</v>
      </c>
      <c r="AA763" s="23">
        <f>AVERAGE(R763:T763,V763:X763)</f>
        <v>0.34947222222222218</v>
      </c>
      <c r="AB763" s="23">
        <f t="shared" si="11"/>
        <v>0.34444507575757571</v>
      </c>
    </row>
    <row r="764" spans="1:28">
      <c r="A764" s="9">
        <v>44471</v>
      </c>
      <c r="B764" s="3">
        <v>234.7105671741476</v>
      </c>
      <c r="C764" s="3">
        <v>514.7489642719737</v>
      </c>
      <c r="D764" s="3">
        <v>390.95399654634923</v>
      </c>
      <c r="E764" s="3">
        <v>486.84130773338433</v>
      </c>
      <c r="F764" s="2">
        <v>342.35841477563804</v>
      </c>
      <c r="G764" s="19">
        <v>44471</v>
      </c>
      <c r="H764" s="20">
        <v>200.41666666666666</v>
      </c>
      <c r="I764" s="20">
        <v>74.218749999999986</v>
      </c>
      <c r="J764" s="20">
        <v>23.633333333333336</v>
      </c>
      <c r="K764" s="20">
        <v>0</v>
      </c>
      <c r="L764" s="20">
        <v>233.79166666666666</v>
      </c>
      <c r="M764" s="20">
        <v>9.1041666666666661</v>
      </c>
      <c r="N764" s="20">
        <v>1.2291666666666667</v>
      </c>
      <c r="O764" s="20">
        <v>18.547916666666673</v>
      </c>
      <c r="P764" s="10">
        <v>0.82914898722517083</v>
      </c>
      <c r="Q764" s="21">
        <v>0.2288958333333333</v>
      </c>
      <c r="R764" s="21">
        <v>0.3204583333333334</v>
      </c>
      <c r="S764" s="21">
        <v>0.40118750000000031</v>
      </c>
      <c r="T764" s="21">
        <v>0.40689583333333307</v>
      </c>
      <c r="U764" s="21">
        <v>0.40945833333333331</v>
      </c>
      <c r="V764" s="21">
        <v>0.32212499999999999</v>
      </c>
      <c r="W764" s="21">
        <v>0.32933333333333342</v>
      </c>
      <c r="X764" s="21">
        <v>0.28543749999999984</v>
      </c>
      <c r="Y764" s="21">
        <v>0.12151428571428571</v>
      </c>
      <c r="Z764" s="23">
        <f>AVERAGE(Q764,U764)</f>
        <v>0.31917708333333328</v>
      </c>
      <c r="AA764" s="23">
        <f>AVERAGE(R764:T764,V764:X764)</f>
        <v>0.34423958333333338</v>
      </c>
      <c r="AB764" s="23">
        <f t="shared" si="11"/>
        <v>0.33968276515151519</v>
      </c>
    </row>
    <row r="765" spans="1:28">
      <c r="A765" s="9">
        <v>44472</v>
      </c>
      <c r="B765" s="3">
        <v>245.99119824928121</v>
      </c>
      <c r="C765" s="3">
        <v>450.78997410961534</v>
      </c>
      <c r="D765" s="3">
        <v>309.39401325623089</v>
      </c>
      <c r="E765" s="3">
        <v>435.83039451224846</v>
      </c>
      <c r="F765" s="2">
        <v>270.93633740848139</v>
      </c>
      <c r="G765" s="19">
        <v>44472</v>
      </c>
      <c r="H765" s="20">
        <v>169.8125</v>
      </c>
      <c r="I765" s="20">
        <v>75.635416666666671</v>
      </c>
      <c r="J765" s="20">
        <v>22.258333333333336</v>
      </c>
      <c r="K765" s="20">
        <v>0</v>
      </c>
      <c r="L765" s="20">
        <v>229.97916666666666</v>
      </c>
      <c r="M765" s="20">
        <v>16.604166666666668</v>
      </c>
      <c r="N765" s="20">
        <v>4.4375</v>
      </c>
      <c r="O765" s="20">
        <v>17.65208333333333</v>
      </c>
      <c r="P765" s="10">
        <v>0.69231985283720154</v>
      </c>
      <c r="Q765" s="21">
        <v>0.22643750000000018</v>
      </c>
      <c r="R765" s="21">
        <v>0.31454166666666672</v>
      </c>
      <c r="S765" s="21">
        <v>0.39716666666666667</v>
      </c>
      <c r="T765" s="21">
        <v>0.40177083333333347</v>
      </c>
      <c r="U765" s="21">
        <v>0.40518750000000009</v>
      </c>
      <c r="V765" s="21">
        <v>0.31906249999999997</v>
      </c>
      <c r="W765" s="21">
        <v>0.32441666666666641</v>
      </c>
      <c r="X765" s="21">
        <v>0.28185416666666657</v>
      </c>
      <c r="Y765" s="21">
        <v>0.11811111111111111</v>
      </c>
      <c r="Z765" s="23">
        <f>AVERAGE(Q765,U765)</f>
        <v>0.31581250000000016</v>
      </c>
      <c r="AA765" s="23">
        <f>AVERAGE(R765:T765,V765:X765)</f>
        <v>0.33980208333333328</v>
      </c>
      <c r="AB765" s="23">
        <f t="shared" si="11"/>
        <v>0.33544034090909092</v>
      </c>
    </row>
    <row r="766" spans="1:28">
      <c r="A766" s="9">
        <v>44473</v>
      </c>
      <c r="B766" s="3">
        <v>189.8232244803234</v>
      </c>
      <c r="C766" s="3">
        <v>398.07148512104646</v>
      </c>
      <c r="D766" s="3">
        <v>256.11772274585581</v>
      </c>
      <c r="E766" s="3">
        <v>381.61237981159644</v>
      </c>
      <c r="F766" s="2">
        <v>224.28228980854595</v>
      </c>
      <c r="G766" s="19">
        <v>44473</v>
      </c>
      <c r="H766" s="20">
        <v>132.0625</v>
      </c>
      <c r="I766" s="20">
        <v>76.312499999999986</v>
      </c>
      <c r="J766" s="20">
        <v>21.881249999999998</v>
      </c>
      <c r="K766" s="20">
        <v>0</v>
      </c>
      <c r="L766" s="20">
        <v>231.77083333333334</v>
      </c>
      <c r="M766" s="20">
        <v>16.5</v>
      </c>
      <c r="N766" s="20">
        <v>3.6875</v>
      </c>
      <c r="O766" s="20">
        <v>17.477083333333333</v>
      </c>
      <c r="P766" s="10">
        <v>0.6406294546545942</v>
      </c>
      <c r="Q766" s="21">
        <v>0.22441666666666671</v>
      </c>
      <c r="R766" s="21">
        <v>0.31016666666666637</v>
      </c>
      <c r="S766" s="21">
        <v>0.39408333333333351</v>
      </c>
      <c r="T766" s="21">
        <v>0.39816666666666661</v>
      </c>
      <c r="U766" s="21">
        <v>0.40114583333333326</v>
      </c>
      <c r="V766" s="21">
        <v>0.31624999999999998</v>
      </c>
      <c r="W766" s="21">
        <v>0.31979166666666664</v>
      </c>
      <c r="X766" s="21">
        <v>0.27868749999999981</v>
      </c>
      <c r="Y766" s="39" t="e">
        <f>#REF!*0.5711-0.0033</f>
        <v>#REF!</v>
      </c>
      <c r="Z766" s="23">
        <f>AVERAGE(Q766,U766)</f>
        <v>0.31278125000000001</v>
      </c>
      <c r="AA766" s="23">
        <f>AVERAGE(R766:T766,V766:X766)</f>
        <v>0.33619097222222211</v>
      </c>
      <c r="AB766" s="23">
        <f t="shared" si="11"/>
        <v>0.33193465909090897</v>
      </c>
    </row>
    <row r="767" spans="1:28">
      <c r="A767" s="9">
        <v>44474</v>
      </c>
      <c r="B767" s="3">
        <v>217.26743235015996</v>
      </c>
      <c r="C767" s="3">
        <v>518.42681706324959</v>
      </c>
      <c r="D767" s="3">
        <v>417.20095831854201</v>
      </c>
      <c r="E767" s="3">
        <v>377.0188380253831</v>
      </c>
      <c r="F767" s="2">
        <v>365.34287919954727</v>
      </c>
      <c r="G767" s="19">
        <v>44474</v>
      </c>
      <c r="H767" s="20">
        <v>236.35416666666666</v>
      </c>
      <c r="I767" s="20">
        <v>69.177083333333329</v>
      </c>
      <c r="J767" s="20">
        <v>23.047916666666662</v>
      </c>
      <c r="K767" s="20">
        <v>0</v>
      </c>
      <c r="L767" s="20">
        <v>232.02083333333334</v>
      </c>
      <c r="M767" s="20">
        <v>14.020833333333334</v>
      </c>
      <c r="N767" s="20">
        <v>3</v>
      </c>
      <c r="O767" s="20">
        <v>16.758333333333329</v>
      </c>
      <c r="P767" s="10">
        <v>0.96966430727233044</v>
      </c>
      <c r="Q767" s="21">
        <v>0.22277083333333356</v>
      </c>
      <c r="R767" s="21">
        <v>0.30633333333333324</v>
      </c>
      <c r="S767" s="21">
        <v>0.39085416666666667</v>
      </c>
      <c r="T767" s="21">
        <v>0.39495833333333347</v>
      </c>
      <c r="U767" s="21">
        <v>0.39922916666666647</v>
      </c>
      <c r="V767" s="21">
        <v>0.31383333333333335</v>
      </c>
      <c r="W767" s="21">
        <v>0.31512500000000021</v>
      </c>
      <c r="X767" s="21">
        <v>0.2750416666666668</v>
      </c>
      <c r="Y767" s="21">
        <v>0.11327272727272729</v>
      </c>
      <c r="Z767" s="23">
        <f>AVERAGE(Q767,U767)</f>
        <v>0.311</v>
      </c>
      <c r="AA767" s="23">
        <f>AVERAGE(R767:T767,V767:X767)</f>
        <v>0.33269097222222233</v>
      </c>
      <c r="AB767" s="23">
        <f t="shared" si="11"/>
        <v>0.32874715909090918</v>
      </c>
    </row>
    <row r="768" spans="1:28">
      <c r="A768" s="9">
        <v>44475</v>
      </c>
      <c r="B768" s="3">
        <v>138.87062799839478</v>
      </c>
      <c r="C768" s="3">
        <v>396.63173007638676</v>
      </c>
      <c r="D768" s="3">
        <v>311.74648430518727</v>
      </c>
      <c r="E768" s="3">
        <v>305.05883062735899</v>
      </c>
      <c r="F768" s="2">
        <v>272.99639630605247</v>
      </c>
      <c r="G768" s="19">
        <v>44475</v>
      </c>
      <c r="H768" s="20">
        <v>166</v>
      </c>
      <c r="I768" s="20">
        <v>71.347916666666649</v>
      </c>
      <c r="J768" s="20">
        <v>22.900000000000002</v>
      </c>
      <c r="K768" s="20">
        <v>0</v>
      </c>
      <c r="L768" s="20">
        <v>234.54166666666666</v>
      </c>
      <c r="M768" s="20">
        <v>8.4791666666666661</v>
      </c>
      <c r="N768" s="20">
        <v>1.1875</v>
      </c>
      <c r="O768" s="20">
        <v>17.272916666666664</v>
      </c>
      <c r="P768" s="10">
        <v>0.85812654559213897</v>
      </c>
      <c r="Q768" s="21">
        <v>0.22116666666666665</v>
      </c>
      <c r="R768" s="21">
        <v>0.30354166666666682</v>
      </c>
      <c r="S768" s="21">
        <v>0.38831250000000023</v>
      </c>
      <c r="T768" s="21">
        <v>0.39172916666666674</v>
      </c>
      <c r="U768" s="21">
        <v>0.39664583333333353</v>
      </c>
      <c r="V768" s="21">
        <v>0.31195833333333328</v>
      </c>
      <c r="W768" s="21">
        <v>0.31127083333333333</v>
      </c>
      <c r="X768" s="21">
        <v>0.27174999999999994</v>
      </c>
      <c r="Y768" s="21">
        <v>0.1096</v>
      </c>
      <c r="Z768" s="23">
        <f>AVERAGE(Q768,U768)</f>
        <v>0.3089062500000001</v>
      </c>
      <c r="AA768" s="23">
        <f>AVERAGE(R768:T768,V768:X768)</f>
        <v>0.32976041666666672</v>
      </c>
      <c r="AB768" s="23">
        <f t="shared" si="11"/>
        <v>0.32596875000000008</v>
      </c>
    </row>
    <row r="769" spans="1:28">
      <c r="A769" s="9">
        <v>44476</v>
      </c>
      <c r="B769" s="3">
        <v>76.400870045057331</v>
      </c>
      <c r="C769" s="3">
        <v>269.78999636273534</v>
      </c>
      <c r="D769" s="3">
        <v>183.88438450255907</v>
      </c>
      <c r="E769" s="3">
        <v>267.84006274392863</v>
      </c>
      <c r="F769" s="2">
        <v>161.027555508891</v>
      </c>
      <c r="G769" s="19">
        <v>44476</v>
      </c>
      <c r="H769" s="20">
        <v>111.33333333333333</v>
      </c>
      <c r="I769" s="20">
        <v>75.914583333333312</v>
      </c>
      <c r="J769" s="20">
        <v>21.589583333333326</v>
      </c>
      <c r="K769" s="20">
        <v>0</v>
      </c>
      <c r="L769" s="20">
        <v>216</v>
      </c>
      <c r="M769" s="20">
        <v>2.8541666666666665</v>
      </c>
      <c r="N769" s="20">
        <v>8.3333333333333329E-2</v>
      </c>
      <c r="O769" s="20">
        <v>17.056250000000002</v>
      </c>
      <c r="P769" s="10">
        <v>0.66044896499588523</v>
      </c>
      <c r="Q769" s="21">
        <v>0.21968750000000012</v>
      </c>
      <c r="R769" s="21">
        <v>0.30127083333333343</v>
      </c>
      <c r="S769" s="21">
        <v>0.38641666666666646</v>
      </c>
      <c r="T769" s="21">
        <v>0.38979166666666648</v>
      </c>
      <c r="U769" s="21">
        <v>0.39316666666666689</v>
      </c>
      <c r="V769" s="21">
        <v>0.30966666666666631</v>
      </c>
      <c r="W769" s="21">
        <v>0.30735416666666643</v>
      </c>
      <c r="X769" s="21">
        <v>0.26958333333333334</v>
      </c>
      <c r="Y769" s="21">
        <v>0.108</v>
      </c>
      <c r="Z769" s="23">
        <f>AVERAGE(Q769,U769)</f>
        <v>0.30642708333333352</v>
      </c>
      <c r="AA769" s="23">
        <f>AVERAGE(R769:T769,V769:X769)</f>
        <v>0.32734722222222207</v>
      </c>
      <c r="AB769" s="23">
        <f t="shared" si="11"/>
        <v>0.32354356060606049</v>
      </c>
    </row>
    <row r="770" spans="1:28">
      <c r="A770" s="9">
        <v>44477</v>
      </c>
      <c r="B770" s="3">
        <v>60.21368426462562</v>
      </c>
      <c r="C770" s="3">
        <v>338.93758896033881</v>
      </c>
      <c r="D770" s="3">
        <v>298.4523386078522</v>
      </c>
      <c r="E770" s="3">
        <v>334.825395324753</v>
      </c>
      <c r="F770" s="2">
        <v>261.35471291889615</v>
      </c>
      <c r="G770" s="19">
        <v>44477</v>
      </c>
      <c r="H770" s="20">
        <v>208.89583333333334</v>
      </c>
      <c r="I770" s="20">
        <v>73.32083333333334</v>
      </c>
      <c r="J770" s="20">
        <v>19.837499999999999</v>
      </c>
      <c r="K770" s="20">
        <v>0.89999999999999991</v>
      </c>
      <c r="L770" s="20">
        <v>235.58333333333334</v>
      </c>
      <c r="M770" s="20">
        <v>5.520833333333333</v>
      </c>
      <c r="N770" s="20">
        <v>0.1875</v>
      </c>
      <c r="O770" s="20">
        <v>14.437500000000002</v>
      </c>
      <c r="P770" s="10">
        <v>0.73644561989090762</v>
      </c>
      <c r="Q770" s="21">
        <v>0.21816666666666659</v>
      </c>
      <c r="R770" s="21">
        <v>0.2988541666666667</v>
      </c>
      <c r="S770" s="21">
        <v>0.38479166666666681</v>
      </c>
      <c r="T770" s="21">
        <v>0.38806249999999992</v>
      </c>
      <c r="U770" s="21">
        <v>0.39066666666666655</v>
      </c>
      <c r="V770" s="21">
        <v>0.30747916666666647</v>
      </c>
      <c r="W770" s="21">
        <v>0.30393749999999992</v>
      </c>
      <c r="X770" s="21">
        <v>0.26779166666666665</v>
      </c>
      <c r="Y770" s="21">
        <v>0.10627777777777779</v>
      </c>
      <c r="Z770" s="23">
        <f>AVERAGE(Q770,U770)</f>
        <v>0.30441666666666656</v>
      </c>
      <c r="AA770" s="23">
        <f>AVERAGE(R770:T770,V770:X770)</f>
        <v>0.32515277777777779</v>
      </c>
      <c r="AB770" s="23">
        <f t="shared" si="11"/>
        <v>0.32138257575757573</v>
      </c>
    </row>
    <row r="771" spans="1:28" s="36" customFormat="1">
      <c r="A771" s="30">
        <v>44478</v>
      </c>
      <c r="B771" s="31">
        <v>52.773150491237537</v>
      </c>
      <c r="C771" s="31">
        <v>185.12663858039045</v>
      </c>
      <c r="D771" s="31">
        <v>142.66661509251361</v>
      </c>
      <c r="E771" s="31">
        <v>246.58520638197973</v>
      </c>
      <c r="F771" s="38">
        <v>124.93315483651418</v>
      </c>
      <c r="G771" s="32">
        <v>44478</v>
      </c>
      <c r="H771" s="33">
        <v>107.02083333333333</v>
      </c>
      <c r="I771" s="33">
        <v>81.902083333333323</v>
      </c>
      <c r="J771" s="33">
        <v>18.279166666666665</v>
      </c>
      <c r="K771" s="33">
        <v>1.2</v>
      </c>
      <c r="L771" s="33">
        <v>237.33333333333334</v>
      </c>
      <c r="M771" s="33">
        <v>4.6875</v>
      </c>
      <c r="N771" s="33">
        <v>2.0833333333333332E-2</v>
      </c>
      <c r="O771" s="33">
        <v>14.954166666666667</v>
      </c>
      <c r="P771" s="34">
        <v>0.43639121965116173</v>
      </c>
      <c r="Q771" s="35">
        <v>0.21645833333333322</v>
      </c>
      <c r="R771" s="35">
        <v>0.29627083333333321</v>
      </c>
      <c r="S771" s="35">
        <v>0.3829375000000001</v>
      </c>
      <c r="T771" s="35">
        <v>0.38620833333333349</v>
      </c>
      <c r="U771" s="35">
        <v>0.38627083333333351</v>
      </c>
      <c r="V771" s="35">
        <v>0.30537500000000001</v>
      </c>
      <c r="W771" s="35">
        <v>0.30100000000000021</v>
      </c>
      <c r="X771" s="35">
        <v>0.26600000000000018</v>
      </c>
      <c r="Y771" s="35">
        <v>0.10356521739130439</v>
      </c>
      <c r="Z771" s="37">
        <f>AVERAGE(Q771,U771)</f>
        <v>0.30136458333333338</v>
      </c>
      <c r="AA771" s="37">
        <f>AVERAGE(R771:T771,V771:X771)</f>
        <v>0.32296527777777784</v>
      </c>
      <c r="AB771" s="37">
        <f t="shared" si="11"/>
        <v>0.31903787878787887</v>
      </c>
    </row>
    <row r="772" spans="1:28">
      <c r="A772" s="9">
        <v>44479</v>
      </c>
      <c r="B772" s="3">
        <v>2.8198895226843659</v>
      </c>
      <c r="C772" s="3">
        <v>15.98090585640071</v>
      </c>
      <c r="D772" s="3">
        <v>0.92276329538647661</v>
      </c>
      <c r="E772" s="3">
        <v>4.8020821386818442</v>
      </c>
      <c r="F772" s="2">
        <v>0.80806381776993763</v>
      </c>
      <c r="G772" s="19">
        <v>44479</v>
      </c>
      <c r="H772" s="20">
        <v>42.75</v>
      </c>
      <c r="I772" s="20">
        <v>95.064583333333317</v>
      </c>
      <c r="J772" s="20">
        <v>15.652083333333335</v>
      </c>
      <c r="K772" s="20">
        <v>21.599999999999994</v>
      </c>
      <c r="L772" s="20">
        <v>254.85416666666666</v>
      </c>
      <c r="M772" s="20">
        <v>5.854166666666667</v>
      </c>
      <c r="N772" s="20">
        <v>0</v>
      </c>
      <c r="O772" s="20">
        <v>14.862499999999997</v>
      </c>
      <c r="P772" s="10">
        <v>8.8088862599063941E-2</v>
      </c>
      <c r="Q772" s="21">
        <v>0.2157083333333332</v>
      </c>
      <c r="R772" s="21">
        <v>0.29493750000000002</v>
      </c>
      <c r="S772" s="21">
        <v>0.38089583333333343</v>
      </c>
      <c r="T772" s="21">
        <v>0.38650000000000023</v>
      </c>
      <c r="U772" s="21">
        <v>0.39050000000000007</v>
      </c>
      <c r="V772" s="21">
        <v>0.30052083333333324</v>
      </c>
      <c r="W772" s="21">
        <v>0.29868750000000005</v>
      </c>
      <c r="X772" s="21">
        <v>0.26352083333333337</v>
      </c>
      <c r="Y772" s="21">
        <v>0.17321875</v>
      </c>
      <c r="Z772" s="23">
        <f>AVERAGE(Q772,U772)</f>
        <v>0.30310416666666662</v>
      </c>
      <c r="AA772" s="23">
        <f>AVERAGE(R772:T772,V772:X772)</f>
        <v>0.32084375000000009</v>
      </c>
      <c r="AB772" s="23">
        <f t="shared" si="11"/>
        <v>0.31761837121212128</v>
      </c>
    </row>
    <row r="773" spans="1:28">
      <c r="A773" s="9">
        <v>44480</v>
      </c>
      <c r="B773" s="3">
        <v>6.2888712402908205</v>
      </c>
      <c r="C773" s="3">
        <v>9.8431814014064525</v>
      </c>
      <c r="D773" s="3">
        <v>0.47427440454007042</v>
      </c>
      <c r="E773" s="3">
        <v>38.085852603355335</v>
      </c>
      <c r="F773" s="2">
        <v>0.41532209605573966</v>
      </c>
      <c r="G773" s="19">
        <v>44480</v>
      </c>
      <c r="H773" s="20">
        <v>47.375</v>
      </c>
      <c r="I773" s="20">
        <v>93.168750000000031</v>
      </c>
      <c r="J773" s="20">
        <v>13.643749999999999</v>
      </c>
      <c r="K773" s="20">
        <v>2.3000000000000003</v>
      </c>
      <c r="L773" s="20">
        <v>210.58333333333334</v>
      </c>
      <c r="M773" s="20">
        <v>4.666666666666667</v>
      </c>
      <c r="N773" s="20">
        <v>0</v>
      </c>
      <c r="O773" s="20">
        <v>12.552083333333329</v>
      </c>
      <c r="P773" s="10">
        <v>0.10788223566266177</v>
      </c>
      <c r="Q773" s="21">
        <v>0.21599999999999997</v>
      </c>
      <c r="R773" s="21">
        <v>0.29397916666666674</v>
      </c>
      <c r="S773" s="21">
        <v>0.37968750000000023</v>
      </c>
      <c r="T773" s="21">
        <v>0.38733333333333353</v>
      </c>
      <c r="U773" s="21">
        <v>0.4225000000000001</v>
      </c>
      <c r="V773" s="21">
        <v>0.29906249999999984</v>
      </c>
      <c r="W773" s="21">
        <v>0.29737500000000022</v>
      </c>
      <c r="X773" s="21">
        <v>0.26299999999999996</v>
      </c>
      <c r="Y773" s="21">
        <v>0.2479166666666667</v>
      </c>
      <c r="Z773" s="23">
        <f>AVERAGE(Q773,U773)</f>
        <v>0.31925000000000003</v>
      </c>
      <c r="AA773" s="23">
        <f>AVERAGE(R773:T773,V773:X773)</f>
        <v>0.32007291666666671</v>
      </c>
      <c r="AB773" s="23">
        <f t="shared" si="11"/>
        <v>0.31992329545454551</v>
      </c>
    </row>
    <row r="774" spans="1:28">
      <c r="A774" s="9">
        <v>44481</v>
      </c>
      <c r="B774" s="3">
        <v>22.906496206745505</v>
      </c>
      <c r="C774" s="3">
        <v>94.621949048880253</v>
      </c>
      <c r="D774" s="3">
        <v>74.992321214802615</v>
      </c>
      <c r="E774" s="3">
        <v>227.53264376588106</v>
      </c>
      <c r="F774" s="2">
        <v>65.670775687802646</v>
      </c>
      <c r="G774" s="19">
        <v>44481</v>
      </c>
      <c r="H774" s="20">
        <v>81.229166666666671</v>
      </c>
      <c r="I774" s="20">
        <v>87.866666666666674</v>
      </c>
      <c r="J774" s="20">
        <v>14.514583333333334</v>
      </c>
      <c r="K774" s="20">
        <v>0.2</v>
      </c>
      <c r="L774" s="20">
        <v>212.35416666666666</v>
      </c>
      <c r="M774" s="20">
        <v>4.25</v>
      </c>
      <c r="N774" s="20">
        <v>4.1666666666666664E-2</v>
      </c>
      <c r="O774" s="20">
        <v>12.460416666666667</v>
      </c>
      <c r="P774" s="10">
        <v>0.2178841865181016</v>
      </c>
      <c r="Q774" s="21">
        <v>0.21647916666666681</v>
      </c>
      <c r="R774" s="21">
        <v>0.29302083333333306</v>
      </c>
      <c r="S774" s="21">
        <v>0.37837500000000007</v>
      </c>
      <c r="T774" s="21">
        <v>0.38647916666666643</v>
      </c>
      <c r="U774" s="21">
        <v>0.41320833333333357</v>
      </c>
      <c r="V774" s="21">
        <v>0.29793750000000002</v>
      </c>
      <c r="W774" s="21">
        <v>0.29622916666666649</v>
      </c>
      <c r="X774" s="21">
        <v>0.26299999999999996</v>
      </c>
      <c r="Y774" s="21">
        <v>0.22733333333333336</v>
      </c>
      <c r="Z774" s="23">
        <f>AVERAGE(Q774,U774)</f>
        <v>0.3148437500000002</v>
      </c>
      <c r="AA774" s="23">
        <f>AVERAGE(R774:T774,V774:X774)</f>
        <v>0.31917361111111103</v>
      </c>
      <c r="AB774" s="23">
        <f t="shared" ref="AB774:AB804" si="12">(Z774*10+AA774*45)/55</f>
        <v>0.31838636363636358</v>
      </c>
    </row>
    <row r="775" spans="1:28">
      <c r="A775" s="9">
        <v>44482</v>
      </c>
      <c r="B775" s="3">
        <v>4.6312888129245078</v>
      </c>
      <c r="C775" s="3">
        <v>30.467323620343674</v>
      </c>
      <c r="D775" s="3">
        <v>13.875223671993862</v>
      </c>
      <c r="E775" s="3">
        <v>174.65253647135989</v>
      </c>
      <c r="F775" s="2">
        <v>12.150533369565025</v>
      </c>
      <c r="G775" s="19">
        <v>44482</v>
      </c>
      <c r="H775" s="20">
        <v>42.125</v>
      </c>
      <c r="I775" s="20">
        <v>88.470833333333317</v>
      </c>
      <c r="J775" s="20">
        <v>14.283333333333337</v>
      </c>
      <c r="K775" s="20">
        <v>0</v>
      </c>
      <c r="L775" s="20">
        <v>250.75</v>
      </c>
      <c r="M775" s="20">
        <v>6.645833333333333</v>
      </c>
      <c r="N775" s="20">
        <v>0.125</v>
      </c>
      <c r="O775" s="20">
        <v>12.383333333333331</v>
      </c>
      <c r="P775" s="10">
        <v>0.19316117406423305</v>
      </c>
      <c r="Q775" s="21">
        <v>0.21718749999999998</v>
      </c>
      <c r="R775" s="21">
        <v>0.2924166666666666</v>
      </c>
      <c r="S775" s="21">
        <v>0.37781250000000011</v>
      </c>
      <c r="T775" s="21">
        <v>0.38589583333333316</v>
      </c>
      <c r="U775" s="21">
        <v>0.4066666666666669</v>
      </c>
      <c r="V775" s="21">
        <v>0.29741666666666688</v>
      </c>
      <c r="W775" s="21">
        <v>0.29558333333333325</v>
      </c>
      <c r="X775" s="21">
        <v>0.26281250000000006</v>
      </c>
      <c r="Y775" s="21">
        <v>0.20938461538461542</v>
      </c>
      <c r="Z775" s="23">
        <f>AVERAGE(Q775,U775)</f>
        <v>0.31192708333333341</v>
      </c>
      <c r="AA775" s="23">
        <f>AVERAGE(R775:T775,V775:X775)</f>
        <v>0.31865625000000003</v>
      </c>
      <c r="AB775" s="23">
        <f t="shared" si="12"/>
        <v>0.31743276515151519</v>
      </c>
    </row>
    <row r="776" spans="1:28">
      <c r="A776" s="9">
        <v>44483</v>
      </c>
      <c r="B776" s="3">
        <v>12.996083565875509</v>
      </c>
      <c r="C776" s="3">
        <v>6.1139416613738486</v>
      </c>
      <c r="D776" s="3">
        <v>7.695065085957431E-2</v>
      </c>
      <c r="E776" s="3">
        <v>46.750938473908285</v>
      </c>
      <c r="F776" s="2">
        <v>6.7385684957729231E-2</v>
      </c>
      <c r="G776" s="19">
        <v>44483</v>
      </c>
      <c r="H776" s="20">
        <v>44.25</v>
      </c>
      <c r="I776" s="20">
        <v>91.756250000000023</v>
      </c>
      <c r="J776" s="20">
        <v>14.837499999999999</v>
      </c>
      <c r="K776" s="20">
        <v>2.2000000000000002</v>
      </c>
      <c r="L776" s="20">
        <v>216.64583333333334</v>
      </c>
      <c r="M776" s="20">
        <v>5.229166666666667</v>
      </c>
      <c r="N776" s="20">
        <v>0</v>
      </c>
      <c r="O776" s="20">
        <v>13.506250000000003</v>
      </c>
      <c r="P776" s="10">
        <v>0.13917713859079131</v>
      </c>
      <c r="Q776" s="21">
        <v>0.21737499999999996</v>
      </c>
      <c r="R776" s="21">
        <v>0.29158333333333342</v>
      </c>
      <c r="S776" s="21">
        <v>0.37708333333333344</v>
      </c>
      <c r="T776" s="21">
        <v>0.38514583333333335</v>
      </c>
      <c r="U776" s="21">
        <v>0.40260416666666665</v>
      </c>
      <c r="V776" s="21">
        <v>0.29691666666666677</v>
      </c>
      <c r="W776" s="21">
        <v>0.29502083333333329</v>
      </c>
      <c r="X776" s="21">
        <v>0.26174999999999998</v>
      </c>
      <c r="Y776" s="21">
        <v>0.20688571428571431</v>
      </c>
      <c r="Z776" s="23">
        <f>AVERAGE(Q776,U776)</f>
        <v>0.30998958333333332</v>
      </c>
      <c r="AA776" s="23">
        <f>AVERAGE(R776:T776,V776:X776)</f>
        <v>0.31791666666666668</v>
      </c>
      <c r="AB776" s="23">
        <f t="shared" si="12"/>
        <v>0.31647537878787879</v>
      </c>
    </row>
    <row r="777" spans="1:28">
      <c r="A777" s="9">
        <v>44484</v>
      </c>
      <c r="B777" s="3">
        <v>7.1633952208381242</v>
      </c>
      <c r="C777" s="3">
        <v>7.2767541423254718</v>
      </c>
      <c r="D777" s="3">
        <v>1.1364808208706241</v>
      </c>
      <c r="E777" s="3">
        <v>81.324077248083242</v>
      </c>
      <c r="F777" s="2">
        <v>0.99521625483640552</v>
      </c>
      <c r="G777" s="19">
        <v>44484</v>
      </c>
      <c r="H777" s="20">
        <v>43.916666666666664</v>
      </c>
      <c r="I777" s="20">
        <v>89.893749999999997</v>
      </c>
      <c r="J777" s="20">
        <v>14.068749999999996</v>
      </c>
      <c r="K777" s="20">
        <v>1.4</v>
      </c>
      <c r="L777" s="20">
        <v>231.3125</v>
      </c>
      <c r="M777" s="20">
        <v>5.229166666666667</v>
      </c>
      <c r="N777" s="20">
        <v>0</v>
      </c>
      <c r="O777" s="20">
        <v>12.422916666666666</v>
      </c>
      <c r="P777" s="10">
        <v>0.16260612155931461</v>
      </c>
      <c r="Q777" s="21">
        <v>0.218</v>
      </c>
      <c r="R777" s="21">
        <v>0.29125000000000018</v>
      </c>
      <c r="S777" s="21">
        <v>0.37662499999999993</v>
      </c>
      <c r="T777" s="21">
        <v>0.38502083333333337</v>
      </c>
      <c r="U777" s="21">
        <v>0.40000000000000019</v>
      </c>
      <c r="V777" s="21">
        <v>0.29700000000000021</v>
      </c>
      <c r="W777" s="21">
        <v>0.29504166666666665</v>
      </c>
      <c r="X777" s="21">
        <v>0.26127083333333317</v>
      </c>
      <c r="Y777" s="21">
        <v>0.21226470588235297</v>
      </c>
      <c r="Z777" s="23">
        <f>AVERAGE(Q777,U777)</f>
        <v>0.30900000000000011</v>
      </c>
      <c r="AA777" s="23">
        <f>AVERAGE(R777:T777,V777:X777)</f>
        <v>0.31770138888888888</v>
      </c>
      <c r="AB777" s="23">
        <f t="shared" si="12"/>
        <v>0.31611931818181821</v>
      </c>
    </row>
    <row r="778" spans="1:28">
      <c r="A778" s="9">
        <v>44485</v>
      </c>
      <c r="B778" s="3">
        <v>5.4661209556858212</v>
      </c>
      <c r="C778" s="3">
        <v>38.863413187111533</v>
      </c>
      <c r="D778" s="3">
        <v>18.373695912698118</v>
      </c>
      <c r="E778" s="3">
        <v>136.79976491791163</v>
      </c>
      <c r="F778" s="2">
        <v>16.089845510749743</v>
      </c>
      <c r="G778" s="19">
        <v>44485</v>
      </c>
      <c r="H778" s="20">
        <v>43.979166666666664</v>
      </c>
      <c r="I778" s="20">
        <v>84.61666666666666</v>
      </c>
      <c r="J778" s="20">
        <v>11.516666666666667</v>
      </c>
      <c r="K778" s="20">
        <v>0.2</v>
      </c>
      <c r="L778" s="20">
        <v>251.10416666666666</v>
      </c>
      <c r="M778" s="20">
        <v>5.291666666666667</v>
      </c>
      <c r="N778" s="20">
        <v>6.25E-2</v>
      </c>
      <c r="O778" s="20">
        <v>8.997916666666665</v>
      </c>
      <c r="P778" s="10">
        <v>0.21130365239483226</v>
      </c>
      <c r="Q778" s="21">
        <v>0.21674999999999986</v>
      </c>
      <c r="R778" s="21">
        <v>0.28999999999999976</v>
      </c>
      <c r="S778" s="21">
        <v>0.37547916666666664</v>
      </c>
      <c r="T778" s="21">
        <v>0.38458333333333333</v>
      </c>
      <c r="U778" s="21">
        <v>0.39441666666666664</v>
      </c>
      <c r="V778" s="21">
        <v>0.29679166666666662</v>
      </c>
      <c r="W778" s="21">
        <v>0.29452083333333351</v>
      </c>
      <c r="X778" s="21">
        <v>0.26110416666666642</v>
      </c>
      <c r="Y778" s="21">
        <v>0.20600000000000002</v>
      </c>
      <c r="Z778" s="23">
        <f>AVERAGE(Q778,U778)</f>
        <v>0.30558333333333326</v>
      </c>
      <c r="AA778" s="23">
        <f>AVERAGE(R778:T778,V778:X778)</f>
        <v>0.31707986111111103</v>
      </c>
      <c r="AB778" s="23">
        <f t="shared" si="12"/>
        <v>0.31498958333333327</v>
      </c>
    </row>
    <row r="779" spans="1:28" s="36" customFormat="1">
      <c r="A779" s="30">
        <v>44486</v>
      </c>
      <c r="B779" s="31">
        <v>55.651217808190758</v>
      </c>
      <c r="C779" s="31">
        <v>119.83240771995467</v>
      </c>
      <c r="D779" s="31">
        <v>88.100947586810605</v>
      </c>
      <c r="E779" s="31">
        <v>190.42086990005916</v>
      </c>
      <c r="F779" s="38">
        <v>77.149999801770051</v>
      </c>
      <c r="G779" s="32">
        <v>44486</v>
      </c>
      <c r="H779" s="33">
        <v>88.9375</v>
      </c>
      <c r="I779" s="33">
        <v>83.708333333333329</v>
      </c>
      <c r="J779" s="33">
        <v>11.2875</v>
      </c>
      <c r="K779" s="33">
        <v>0</v>
      </c>
      <c r="L779" s="33">
        <v>241.08333333333334</v>
      </c>
      <c r="M779" s="33">
        <v>4.395833333333333</v>
      </c>
      <c r="N779" s="33">
        <v>0.27083333333333331</v>
      </c>
      <c r="O779" s="33">
        <v>8.5708333333333311</v>
      </c>
      <c r="P779" s="34">
        <v>0.23138127693421309</v>
      </c>
      <c r="Q779" s="35">
        <v>0.21483333333333343</v>
      </c>
      <c r="R779" s="35">
        <v>0.28768750000000032</v>
      </c>
      <c r="S779" s="35">
        <v>0.37293749999999992</v>
      </c>
      <c r="T779" s="35">
        <v>0.38262499999999999</v>
      </c>
      <c r="U779" s="35">
        <v>0.38877083333333345</v>
      </c>
      <c r="V779" s="35">
        <v>0.29514583333333333</v>
      </c>
      <c r="W779" s="35">
        <v>0.29347916666666629</v>
      </c>
      <c r="X779" s="35">
        <v>0.26093749999999982</v>
      </c>
      <c r="Y779" s="39" t="e">
        <f>#REF!*0.5711-0.0033</f>
        <v>#REF!</v>
      </c>
      <c r="Z779" s="37">
        <f>AVERAGE(Q779,U779)</f>
        <v>0.30180208333333347</v>
      </c>
      <c r="AA779" s="37">
        <f>AVERAGE(R779:T779,V779:X779)</f>
        <v>0.31546874999999996</v>
      </c>
      <c r="AB779" s="37">
        <f t="shared" si="12"/>
        <v>0.31298390151515154</v>
      </c>
    </row>
    <row r="780" spans="1:28">
      <c r="A780" s="9">
        <v>44487</v>
      </c>
      <c r="B780" s="3">
        <v>157.27652321135076</v>
      </c>
      <c r="C780" s="3">
        <v>244.63913683910755</v>
      </c>
      <c r="D780" s="3">
        <v>215.32221064326066</v>
      </c>
      <c r="E780" s="3">
        <v>255.1796081347444</v>
      </c>
      <c r="F780" s="2">
        <v>188.55765986030337</v>
      </c>
      <c r="G780" s="19">
        <v>44487</v>
      </c>
      <c r="H780" s="20">
        <v>135.33333333333334</v>
      </c>
      <c r="I780" s="20">
        <v>83.985416666666652</v>
      </c>
      <c r="J780" s="20">
        <v>14.381249999999996</v>
      </c>
      <c r="K780" s="20">
        <v>0</v>
      </c>
      <c r="L780" s="20">
        <v>242.08333333333334</v>
      </c>
      <c r="M780" s="20">
        <v>4.4375</v>
      </c>
      <c r="N780" s="20">
        <v>0.16666666666666666</v>
      </c>
      <c r="O780" s="20">
        <v>11.514583333333336</v>
      </c>
      <c r="P780" s="10">
        <v>0.33493215851641162</v>
      </c>
      <c r="Q780" s="21">
        <v>0.21447916666666667</v>
      </c>
      <c r="R780" s="21">
        <v>0.28658333333333336</v>
      </c>
      <c r="S780" s="21">
        <v>0.37189583333333348</v>
      </c>
      <c r="T780" s="21">
        <v>0.38102083333333331</v>
      </c>
      <c r="U780" s="21">
        <v>0.38664583333333341</v>
      </c>
      <c r="V780" s="21">
        <v>0.29485416666666664</v>
      </c>
      <c r="W780" s="21">
        <v>0.29277083333333315</v>
      </c>
      <c r="X780" s="21">
        <v>0.26016666666666655</v>
      </c>
      <c r="Y780" s="21">
        <v>0.17879999999999999</v>
      </c>
      <c r="Z780" s="23">
        <f>AVERAGE(Q780,U780)</f>
        <v>0.30056250000000007</v>
      </c>
      <c r="AA780" s="23">
        <f>AVERAGE(R780:T780,V780:X780)</f>
        <v>0.3145486111111111</v>
      </c>
      <c r="AB780" s="23">
        <f t="shared" si="12"/>
        <v>0.31200568181818183</v>
      </c>
    </row>
    <row r="781" spans="1:28">
      <c r="A781" s="9">
        <v>44488</v>
      </c>
      <c r="B781" s="3">
        <v>37.678938835678331</v>
      </c>
      <c r="C781" s="3">
        <v>117.73186189823973</v>
      </c>
      <c r="D781" s="3">
        <v>77.000198055702228</v>
      </c>
      <c r="E781" s="3">
        <v>187.08176192944083</v>
      </c>
      <c r="F781" s="2">
        <v>67.429073437378449</v>
      </c>
      <c r="G781" s="19">
        <v>44488</v>
      </c>
      <c r="H781" s="20">
        <v>69.208333333333329</v>
      </c>
      <c r="I781" s="20">
        <v>89.424999999999969</v>
      </c>
      <c r="J781" s="20">
        <v>15.558333333333335</v>
      </c>
      <c r="K781" s="20">
        <v>0.4</v>
      </c>
      <c r="L781" s="20">
        <v>223.52083333333334</v>
      </c>
      <c r="M781" s="20">
        <v>5.395833333333333</v>
      </c>
      <c r="N781" s="20">
        <v>0.35416666666666669</v>
      </c>
      <c r="O781" s="20">
        <v>13.756250000000003</v>
      </c>
      <c r="P781" s="10">
        <v>0.21910551725581071</v>
      </c>
      <c r="Q781" s="21">
        <v>0.21560416666666649</v>
      </c>
      <c r="R781" s="21">
        <v>0.28706250000000028</v>
      </c>
      <c r="S781" s="21">
        <v>0.37299999999999994</v>
      </c>
      <c r="T781" s="21">
        <v>0.38089583333333349</v>
      </c>
      <c r="U781" s="21">
        <v>0.38602083333333326</v>
      </c>
      <c r="V781" s="21">
        <v>0.29633333333333339</v>
      </c>
      <c r="W781" s="21">
        <v>0.29356249999999989</v>
      </c>
      <c r="X781" s="21">
        <v>0.25991666666666652</v>
      </c>
      <c r="Y781" s="21">
        <v>0.168625</v>
      </c>
      <c r="Z781" s="23">
        <f>AVERAGE(Q781,U781)</f>
        <v>0.30081249999999987</v>
      </c>
      <c r="AA781" s="23">
        <f>AVERAGE(R781:T781,V781:X781)</f>
        <v>0.31512847222222223</v>
      </c>
      <c r="AB781" s="23">
        <f t="shared" si="12"/>
        <v>0.31252556818181815</v>
      </c>
    </row>
    <row r="782" spans="1:28">
      <c r="A782" s="9">
        <v>44489</v>
      </c>
      <c r="B782" s="3">
        <v>2.1828226590884161</v>
      </c>
      <c r="C782" s="3">
        <v>15.185928578813261</v>
      </c>
      <c r="D782" s="3">
        <v>8.8889367944603475</v>
      </c>
      <c r="E782" s="3">
        <v>9.4665584200360033</v>
      </c>
      <c r="F782" s="2">
        <v>7.7840419509089269</v>
      </c>
      <c r="G782" s="19">
        <v>44489</v>
      </c>
      <c r="H782" s="20">
        <v>20.3125</v>
      </c>
      <c r="I782" s="20">
        <v>93.941666666666677</v>
      </c>
      <c r="J782" s="20">
        <v>11.579166666666667</v>
      </c>
      <c r="K782" s="20">
        <v>5.3000000000000007</v>
      </c>
      <c r="L782" s="20">
        <v>242.27083333333334</v>
      </c>
      <c r="M782" s="20">
        <v>3.2291666666666665</v>
      </c>
      <c r="N782" s="20">
        <v>0</v>
      </c>
      <c r="O782" s="20">
        <v>10.62708333333333</v>
      </c>
      <c r="P782" s="10">
        <v>8.5840228983713449E-2</v>
      </c>
      <c r="Q782" s="21">
        <v>0.21591666666666676</v>
      </c>
      <c r="R782" s="21">
        <v>0.28756250000000039</v>
      </c>
      <c r="S782" s="21">
        <v>0.37349999999999994</v>
      </c>
      <c r="T782" s="21">
        <v>0.38100000000000017</v>
      </c>
      <c r="U782" s="21">
        <v>0.38499999999999984</v>
      </c>
      <c r="V782" s="21">
        <v>0.29627083333333321</v>
      </c>
      <c r="W782" s="21">
        <v>0.29395833333333343</v>
      </c>
      <c r="X782" s="21">
        <v>0.25958333333333333</v>
      </c>
      <c r="Y782" s="21">
        <v>0.16400000000000001</v>
      </c>
      <c r="Z782" s="23">
        <f>AVERAGE(Q782,U782)</f>
        <v>0.30045833333333327</v>
      </c>
      <c r="AA782" s="23">
        <f>AVERAGE(R782:T782,V782:X782)</f>
        <v>0.31531250000000005</v>
      </c>
      <c r="AB782" s="23">
        <f t="shared" si="12"/>
        <v>0.31261174242424244</v>
      </c>
    </row>
    <row r="783" spans="1:28">
      <c r="A783" s="9">
        <v>44490</v>
      </c>
      <c r="B783" s="3">
        <v>1.8576790967436843</v>
      </c>
      <c r="C783" s="3">
        <v>18.717339673758932</v>
      </c>
      <c r="D783" s="3">
        <v>6.1091255688785351</v>
      </c>
      <c r="E783" s="3">
        <v>81.64889763816268</v>
      </c>
      <c r="F783" s="2">
        <v>5.3497612606669334</v>
      </c>
      <c r="G783" s="19">
        <v>44490</v>
      </c>
      <c r="H783" s="20">
        <v>47.145833333333336</v>
      </c>
      <c r="I783" s="20">
        <v>91.585416666666688</v>
      </c>
      <c r="J783" s="20">
        <v>10.412499999999996</v>
      </c>
      <c r="K783" s="20">
        <v>1</v>
      </c>
      <c r="L783" s="20">
        <v>264.89583333333331</v>
      </c>
      <c r="M783" s="20">
        <v>1.9583333333333333</v>
      </c>
      <c r="N783" s="20">
        <v>0</v>
      </c>
      <c r="O783" s="20">
        <v>9.0791666666666675</v>
      </c>
      <c r="P783" s="10">
        <v>0.11055649452751226</v>
      </c>
      <c r="Q783" s="21">
        <v>0.21402083333333358</v>
      </c>
      <c r="R783" s="21">
        <v>0.2855625</v>
      </c>
      <c r="S783" s="21">
        <v>0.37106250000000013</v>
      </c>
      <c r="T783" s="21">
        <v>0.38039583333333366</v>
      </c>
      <c r="U783" s="21">
        <v>0.38106250000000003</v>
      </c>
      <c r="V783" s="21">
        <v>0.29400000000000009</v>
      </c>
      <c r="W783" s="21">
        <v>0.2930833333333332</v>
      </c>
      <c r="X783" s="21">
        <v>0.25883333333333342</v>
      </c>
      <c r="Y783" s="21">
        <v>0.19866666666666669</v>
      </c>
      <c r="Z783" s="23">
        <f>AVERAGE(Q783,U783)</f>
        <v>0.29754166666666682</v>
      </c>
      <c r="AA783" s="23">
        <f>AVERAGE(R783:T783,V783:X783)</f>
        <v>0.31382291666666673</v>
      </c>
      <c r="AB783" s="23">
        <f t="shared" si="12"/>
        <v>0.31086268939393946</v>
      </c>
    </row>
    <row r="784" spans="1:28">
      <c r="A784" s="9">
        <v>44491</v>
      </c>
      <c r="B784" s="3">
        <v>0.69647980625912842</v>
      </c>
      <c r="C784" s="3">
        <v>67.242565290154062</v>
      </c>
      <c r="D784" s="3">
        <v>28.848459625899235</v>
      </c>
      <c r="E784" s="3">
        <v>196.63320030314139</v>
      </c>
      <c r="F784" s="2">
        <v>25.26259609439996</v>
      </c>
      <c r="G784" s="19">
        <v>44491</v>
      </c>
      <c r="H784" s="20">
        <v>78.5625</v>
      </c>
      <c r="I784" s="20">
        <v>84.722916666666649</v>
      </c>
      <c r="J784" s="20">
        <v>8.5770833333333325</v>
      </c>
      <c r="K784" s="20">
        <v>2.5000000000000004</v>
      </c>
      <c r="L784" s="20">
        <v>243.29166666666666</v>
      </c>
      <c r="M784" s="20">
        <v>4.5</v>
      </c>
      <c r="N784" s="20">
        <v>0.33333333333333331</v>
      </c>
      <c r="O784" s="20">
        <v>6.0875000000000012</v>
      </c>
      <c r="P784" s="10">
        <v>0.17726568296863307</v>
      </c>
      <c r="Q784" s="21">
        <v>0.2129166666666665</v>
      </c>
      <c r="R784" s="21">
        <v>0.28370833333333306</v>
      </c>
      <c r="S784" s="21">
        <v>0.3688958333333332</v>
      </c>
      <c r="T784" s="21">
        <v>0.37872916666666651</v>
      </c>
      <c r="U784" s="21">
        <v>0.3779583333333334</v>
      </c>
      <c r="V784" s="21">
        <v>0.29233333333333322</v>
      </c>
      <c r="W784" s="21">
        <v>0.29141666666666682</v>
      </c>
      <c r="X784" s="21">
        <v>0.25802083333333309</v>
      </c>
      <c r="Y784" s="21">
        <v>0.21049999999999996</v>
      </c>
      <c r="Z784" s="23">
        <f>AVERAGE(Q784,U784)</f>
        <v>0.29543749999999996</v>
      </c>
      <c r="AA784" s="23">
        <f>AVERAGE(R784:T784,V784:X784)</f>
        <v>0.31218402777777771</v>
      </c>
      <c r="AB784" s="23">
        <f t="shared" si="12"/>
        <v>0.30913920454545452</v>
      </c>
    </row>
    <row r="785" spans="1:28">
      <c r="A785" s="9">
        <v>44492</v>
      </c>
      <c r="B785" s="3">
        <v>111.60630656579271</v>
      </c>
      <c r="C785" s="3">
        <v>169.16341186814932</v>
      </c>
      <c r="D785" s="3">
        <v>117.56848663600293</v>
      </c>
      <c r="E785" s="3">
        <v>292.45796622323689</v>
      </c>
      <c r="F785" s="2">
        <v>102.95472374714777</v>
      </c>
      <c r="G785" s="19">
        <v>44492</v>
      </c>
      <c r="H785" s="20">
        <v>116.22916666666667</v>
      </c>
      <c r="I785" s="20">
        <v>78.749999999999986</v>
      </c>
      <c r="J785" s="20">
        <v>11.202083333333334</v>
      </c>
      <c r="K785" s="20">
        <v>0</v>
      </c>
      <c r="L785" s="20">
        <v>242.60416666666666</v>
      </c>
      <c r="M785" s="20">
        <v>1.9791666666666667</v>
      </c>
      <c r="N785" s="20">
        <v>0</v>
      </c>
      <c r="O785" s="20">
        <v>7.5249999999999977</v>
      </c>
      <c r="P785" s="10">
        <v>0.31381204751249286</v>
      </c>
      <c r="Q785" s="21">
        <v>0.21237499999999979</v>
      </c>
      <c r="R785" s="21">
        <v>0.28237499999999988</v>
      </c>
      <c r="S785" s="21">
        <v>0.36706250000000024</v>
      </c>
      <c r="T785" s="21">
        <v>0.37656249999999997</v>
      </c>
      <c r="U785" s="21">
        <v>0.37660416666666668</v>
      </c>
      <c r="V785" s="21">
        <v>0.29122916666666671</v>
      </c>
      <c r="W785" s="21">
        <v>0.29006249999999961</v>
      </c>
      <c r="X785" s="21">
        <v>0.2573541666666665</v>
      </c>
      <c r="Y785" s="21">
        <v>0.1998421052631579</v>
      </c>
      <c r="Z785" s="23">
        <f>AVERAGE(Q785,U785)</f>
        <v>0.29448958333333325</v>
      </c>
      <c r="AA785" s="23">
        <f>AVERAGE(R785:T785,V785:X785)</f>
        <v>0.31077430555555546</v>
      </c>
      <c r="AB785" s="23">
        <f t="shared" si="12"/>
        <v>0.30781344696969692</v>
      </c>
    </row>
    <row r="786" spans="1:28">
      <c r="A786" s="9">
        <v>44493</v>
      </c>
      <c r="B786" s="3">
        <v>110.52160916706218</v>
      </c>
      <c r="C786" s="3">
        <v>181.17611178362827</v>
      </c>
      <c r="D786" s="3">
        <v>141.03694839286965</v>
      </c>
      <c r="E786" s="3">
        <v>254.26700405759985</v>
      </c>
      <c r="F786" s="2">
        <v>123.50605570763595</v>
      </c>
      <c r="G786" s="19">
        <v>44493</v>
      </c>
      <c r="H786" s="20">
        <v>97.729166666666671</v>
      </c>
      <c r="I786" s="20">
        <v>79.88333333333334</v>
      </c>
      <c r="J786" s="20">
        <v>12.193750000000001</v>
      </c>
      <c r="K786" s="20">
        <v>0</v>
      </c>
      <c r="L786" s="20">
        <v>251.08333333333334</v>
      </c>
      <c r="M786" s="20">
        <v>2.2708333333333335</v>
      </c>
      <c r="N786" s="20">
        <v>0</v>
      </c>
      <c r="O786" s="20">
        <v>8.7145833333333336</v>
      </c>
      <c r="P786" s="10">
        <v>0.3107960999148609</v>
      </c>
      <c r="Q786" s="21">
        <v>0.21272916666666644</v>
      </c>
      <c r="R786" s="21">
        <v>0.28260416666666655</v>
      </c>
      <c r="S786" s="21">
        <v>0.36718750000000028</v>
      </c>
      <c r="T786" s="21">
        <v>0.37547916666666664</v>
      </c>
      <c r="U786" s="21">
        <v>0.37760416666666674</v>
      </c>
      <c r="V786" s="21">
        <v>0.29197916666666651</v>
      </c>
      <c r="W786" s="21">
        <v>0.28999999999999965</v>
      </c>
      <c r="X786" s="21">
        <v>0.25693749999999987</v>
      </c>
      <c r="Y786" s="21">
        <v>0.1910869565217391</v>
      </c>
      <c r="Z786" s="23">
        <f>AVERAGE(Q786,U786)</f>
        <v>0.29516666666666658</v>
      </c>
      <c r="AA786" s="23">
        <f>AVERAGE(R786:T786,V786:X786)</f>
        <v>0.31069791666666652</v>
      </c>
      <c r="AB786" s="23">
        <f t="shared" si="12"/>
        <v>0.30787405303030291</v>
      </c>
    </row>
    <row r="787" spans="1:28">
      <c r="A787" s="9">
        <v>44494</v>
      </c>
      <c r="B787" s="3">
        <v>48.960310897526988</v>
      </c>
      <c r="C787" s="3">
        <v>74.451930820940291</v>
      </c>
      <c r="D787" s="3">
        <v>31.864201320099241</v>
      </c>
      <c r="E787" s="3">
        <v>155.82326030447123</v>
      </c>
      <c r="F787" s="2">
        <v>27.903481096010907</v>
      </c>
      <c r="G787" s="19">
        <v>44494</v>
      </c>
      <c r="H787" s="20">
        <v>68.416666666666671</v>
      </c>
      <c r="I787" s="20">
        <v>83.870833333333351</v>
      </c>
      <c r="J787" s="20">
        <v>12.600000000000001</v>
      </c>
      <c r="K787" s="20">
        <v>0</v>
      </c>
      <c r="L787" s="20">
        <v>232.375</v>
      </c>
      <c r="M787" s="20">
        <v>5.5</v>
      </c>
      <c r="N787" s="20">
        <v>0.41666666666666669</v>
      </c>
      <c r="O787" s="20">
        <v>9.9208333333333325</v>
      </c>
      <c r="P787" s="10">
        <v>0.23897778895482968</v>
      </c>
      <c r="Q787" s="21">
        <v>0.21297916666666653</v>
      </c>
      <c r="R787" s="21">
        <v>0.28299999999999986</v>
      </c>
      <c r="S787" s="21">
        <v>0.36795833333333339</v>
      </c>
      <c r="T787" s="21">
        <v>0.375</v>
      </c>
      <c r="U787" s="21">
        <v>0.37758333333333355</v>
      </c>
      <c r="V787" s="21">
        <v>0.29272916666666643</v>
      </c>
      <c r="W787" s="21">
        <v>0.28999999999999965</v>
      </c>
      <c r="X787" s="21">
        <v>0.2564583333333334</v>
      </c>
      <c r="Y787" s="39" t="e">
        <f>#REF!*0.5711-0.0033</f>
        <v>#REF!</v>
      </c>
      <c r="Z787" s="23">
        <f>AVERAGE(Q787,U787)</f>
        <v>0.29528125000000005</v>
      </c>
      <c r="AA787" s="23">
        <f>AVERAGE(R787:T787,V787:X787)</f>
        <v>0.31085763888888879</v>
      </c>
      <c r="AB787" s="23">
        <f t="shared" si="12"/>
        <v>0.30802556818181814</v>
      </c>
    </row>
    <row r="788" spans="1:28">
      <c r="A788" s="9">
        <v>44495</v>
      </c>
      <c r="B788" s="3">
        <v>18.178316335290958</v>
      </c>
      <c r="C788" s="3">
        <v>24.434391148651248</v>
      </c>
      <c r="D788" s="3">
        <v>11.336308367273183</v>
      </c>
      <c r="E788" s="3">
        <v>75.128182622321233</v>
      </c>
      <c r="F788" s="2">
        <v>9.927205237221127</v>
      </c>
      <c r="G788" s="19">
        <v>44495</v>
      </c>
      <c r="H788" s="20">
        <v>48.104166666666664</v>
      </c>
      <c r="I788" s="20">
        <v>90.491666666666688</v>
      </c>
      <c r="J788" s="20">
        <v>12.083333333333334</v>
      </c>
      <c r="K788" s="20">
        <v>1.7</v>
      </c>
      <c r="L788" s="20">
        <v>235.27083333333334</v>
      </c>
      <c r="M788" s="20">
        <v>5.291666666666667</v>
      </c>
      <c r="N788" s="20">
        <v>0.4375</v>
      </c>
      <c r="O788" s="20">
        <v>10.547916666666666</v>
      </c>
      <c r="P788" s="10">
        <v>0.1371237374116408</v>
      </c>
      <c r="Q788" s="21">
        <v>0.21272916666666644</v>
      </c>
      <c r="R788" s="21">
        <v>0.28299999999999986</v>
      </c>
      <c r="S788" s="21">
        <v>0.36733333333333379</v>
      </c>
      <c r="T788" s="21">
        <v>0.375</v>
      </c>
      <c r="U788" s="21">
        <v>0.37716666666666671</v>
      </c>
      <c r="V788" s="21">
        <v>0.29185416666666675</v>
      </c>
      <c r="W788" s="21">
        <v>0.28999999999999965</v>
      </c>
      <c r="X788" s="21">
        <v>0.25566666666666676</v>
      </c>
      <c r="Y788" s="39" t="e">
        <f>#REF!*0.5711-0.0033</f>
        <v>#REF!</v>
      </c>
      <c r="Z788" s="23">
        <f>AVERAGE(Q788,U788)</f>
        <v>0.29494791666666659</v>
      </c>
      <c r="AA788" s="23">
        <f>AVERAGE(R788:T788,V788:X788)</f>
        <v>0.31047569444444445</v>
      </c>
      <c r="AB788" s="23">
        <f t="shared" si="12"/>
        <v>0.30765246212121211</v>
      </c>
    </row>
    <row r="789" spans="1:28">
      <c r="A789" s="9">
        <v>44496</v>
      </c>
      <c r="B789" s="3">
        <v>1.2794408364542122</v>
      </c>
      <c r="C789" s="3">
        <v>1.3261282282622091</v>
      </c>
      <c r="D789" s="3">
        <v>0.47549234898595227</v>
      </c>
      <c r="E789" s="3">
        <v>46.889833794558605</v>
      </c>
      <c r="F789" s="2">
        <v>0.41638865000699843</v>
      </c>
      <c r="G789" s="19">
        <v>44496</v>
      </c>
      <c r="H789" s="20">
        <v>34.604166666666664</v>
      </c>
      <c r="I789" s="20">
        <v>90.316666666666663</v>
      </c>
      <c r="J789" s="20">
        <v>11.189583333333333</v>
      </c>
      <c r="K789" s="20">
        <v>0.8</v>
      </c>
      <c r="L789" s="20">
        <v>245.875</v>
      </c>
      <c r="M789" s="20">
        <v>0.8125</v>
      </c>
      <c r="N789" s="20">
        <v>0</v>
      </c>
      <c r="O789" s="20">
        <v>9.6437500000000025</v>
      </c>
      <c r="P789" s="10">
        <v>0.13228199069336832</v>
      </c>
      <c r="Q789" s="21">
        <v>0.2120624999999999</v>
      </c>
      <c r="R789" s="21">
        <v>0.28220833333333334</v>
      </c>
      <c r="S789" s="21">
        <v>0.36683333333333357</v>
      </c>
      <c r="T789" s="21">
        <v>0.37462500000000004</v>
      </c>
      <c r="U789" s="21">
        <v>0.37570833333333326</v>
      </c>
      <c r="V789" s="21">
        <v>0.29150000000000015</v>
      </c>
      <c r="W789" s="21">
        <v>0.28962499999999985</v>
      </c>
      <c r="X789" s="21">
        <v>0.25583333333333358</v>
      </c>
      <c r="Y789" s="39" t="e">
        <f>#REF!*0.5711-0.0033</f>
        <v>#REF!</v>
      </c>
      <c r="Z789" s="23">
        <f>AVERAGE(Q789,U789)</f>
        <v>0.29388541666666657</v>
      </c>
      <c r="AA789" s="23">
        <f>AVERAGE(R789:T789,V789:X789)</f>
        <v>0.31010416666666674</v>
      </c>
      <c r="AB789" s="23">
        <f t="shared" si="12"/>
        <v>0.30715530303030308</v>
      </c>
    </row>
    <row r="790" spans="1:28">
      <c r="A790" s="9">
        <v>44497</v>
      </c>
      <c r="B790" s="3">
        <v>4.1651936255780706</v>
      </c>
      <c r="C790" s="3">
        <v>4.4570874187456537</v>
      </c>
      <c r="D790" s="3">
        <v>4.643138140692014</v>
      </c>
      <c r="E790" s="3">
        <v>5.9143481346457589</v>
      </c>
      <c r="F790" s="2">
        <v>4.0659960698039965</v>
      </c>
      <c r="G790" s="19">
        <v>44497</v>
      </c>
      <c r="H790" s="20">
        <v>22.1875</v>
      </c>
      <c r="I790" s="20">
        <v>96.004166666666663</v>
      </c>
      <c r="J790" s="20">
        <v>11.30625</v>
      </c>
      <c r="K790" s="20">
        <v>6.0000000000000009</v>
      </c>
      <c r="L790" s="20">
        <v>222.39583333333334</v>
      </c>
      <c r="M790" s="20">
        <v>2.2083333333333335</v>
      </c>
      <c r="N790" s="20">
        <v>0</v>
      </c>
      <c r="O790" s="20">
        <v>10.69166666666667</v>
      </c>
      <c r="P790" s="10">
        <v>5.3695145894106643E-2</v>
      </c>
      <c r="Q790" s="21">
        <v>0.21199999999999988</v>
      </c>
      <c r="R790" s="21">
        <v>0.28152083333333344</v>
      </c>
      <c r="S790" s="21">
        <v>0.3657708333333331</v>
      </c>
      <c r="T790" s="21">
        <v>0.37404166666666677</v>
      </c>
      <c r="U790" s="21">
        <v>0.37535416666666666</v>
      </c>
      <c r="V790" s="21">
        <v>0.28966666666666646</v>
      </c>
      <c r="W790" s="21">
        <v>0.28899999999999981</v>
      </c>
      <c r="X790" s="21">
        <v>0.2548125</v>
      </c>
      <c r="Y790" s="39" t="e">
        <f>#REF!*0.5711-0.0033</f>
        <v>#REF!</v>
      </c>
      <c r="Z790" s="23">
        <f>AVERAGE(Q790,U790)</f>
        <v>0.29367708333333326</v>
      </c>
      <c r="AA790" s="23">
        <f>AVERAGE(R790:T790,V790:X790)</f>
        <v>0.30913541666666661</v>
      </c>
      <c r="AB790" s="23">
        <f t="shared" si="12"/>
        <v>0.30632481060606054</v>
      </c>
    </row>
    <row r="791" spans="1:28">
      <c r="A791" s="9">
        <v>44498</v>
      </c>
      <c r="B791" s="3">
        <v>5.0003849427316096</v>
      </c>
      <c r="C791" s="3">
        <v>10.709216216037426</v>
      </c>
      <c r="D791" s="3">
        <v>4.5048400672296642</v>
      </c>
      <c r="E791" s="3">
        <v>55.759351446400629</v>
      </c>
      <c r="F791" s="2">
        <v>3.944888446873017</v>
      </c>
      <c r="G791" s="19">
        <v>44498</v>
      </c>
      <c r="H791" s="20">
        <v>48.604166666666664</v>
      </c>
      <c r="I791" s="20">
        <v>92.38124999999998</v>
      </c>
      <c r="J791" s="20">
        <v>11.62083333333333</v>
      </c>
      <c r="K791" s="20">
        <v>1.6999999999999997</v>
      </c>
      <c r="L791" s="20">
        <v>187.8125</v>
      </c>
      <c r="M791" s="20">
        <v>2.6875</v>
      </c>
      <c r="N791" s="20">
        <v>0</v>
      </c>
      <c r="O791" s="20">
        <v>10.387499999999998</v>
      </c>
      <c r="P791" s="10">
        <v>0.10953391150034596</v>
      </c>
      <c r="Q791" s="21">
        <v>0.21239583333333314</v>
      </c>
      <c r="R791" s="21">
        <v>0.28104166666666686</v>
      </c>
      <c r="S791" s="21">
        <v>0.36537499999999984</v>
      </c>
      <c r="T791" s="21">
        <v>0.37400000000000005</v>
      </c>
      <c r="U791" s="21">
        <v>0.37754166666666672</v>
      </c>
      <c r="V791" s="21">
        <v>0.28974999999999967</v>
      </c>
      <c r="W791" s="21">
        <v>0.28899999999999981</v>
      </c>
      <c r="X791" s="21">
        <v>0.25487500000000024</v>
      </c>
      <c r="Y791" s="39" t="e">
        <f>#REF!*0.5711-0.0033</f>
        <v>#REF!</v>
      </c>
      <c r="Z791" s="23">
        <f>AVERAGE(Q791,U791)</f>
        <v>0.29496874999999995</v>
      </c>
      <c r="AA791" s="23">
        <f>AVERAGE(R791:T791,V791:X791)</f>
        <v>0.30900694444444438</v>
      </c>
      <c r="AB791" s="23">
        <f t="shared" si="12"/>
        <v>0.30645454545454542</v>
      </c>
    </row>
    <row r="792" spans="1:28">
      <c r="A792" s="9">
        <v>44499</v>
      </c>
      <c r="B792" s="3">
        <v>3.2594913816826989</v>
      </c>
      <c r="C792" s="3">
        <v>17.683017604573578</v>
      </c>
      <c r="D792" s="3">
        <v>16.461901135886272</v>
      </c>
      <c r="E792" s="3">
        <v>129.68884503112329</v>
      </c>
      <c r="F792" s="2">
        <v>14.415686824695609</v>
      </c>
      <c r="G792" s="19">
        <v>44499</v>
      </c>
      <c r="H792" s="20">
        <v>60.708333333333336</v>
      </c>
      <c r="I792" s="20">
        <v>88.633333333333312</v>
      </c>
      <c r="J792" s="20">
        <v>12.422916666666664</v>
      </c>
      <c r="K792" s="20">
        <v>1.4999999999999998</v>
      </c>
      <c r="L792" s="20">
        <v>237.0625</v>
      </c>
      <c r="M792" s="20">
        <v>2.0416666666666665</v>
      </c>
      <c r="N792" s="20">
        <v>2.0833333333333332E-2</v>
      </c>
      <c r="O792" s="20">
        <v>10.541666666666666</v>
      </c>
      <c r="P792" s="10">
        <v>0.17498184570036315</v>
      </c>
      <c r="Q792" s="21">
        <v>0.21337500000000018</v>
      </c>
      <c r="R792" s="21">
        <v>0.28116666666666673</v>
      </c>
      <c r="S792" s="21">
        <v>0.36552083333333324</v>
      </c>
      <c r="T792" s="21">
        <v>0.37400000000000005</v>
      </c>
      <c r="U792" s="21">
        <v>0.37950000000000012</v>
      </c>
      <c r="V792" s="21">
        <v>0.29033333333333328</v>
      </c>
      <c r="W792" s="21">
        <v>0.28899999999999981</v>
      </c>
      <c r="X792" s="21">
        <v>0.25493750000000015</v>
      </c>
      <c r="Y792" s="39" t="e">
        <f>#REF!*0.5711-0.0033</f>
        <v>#REF!</v>
      </c>
      <c r="Z792" s="23">
        <f>AVERAGE(Q792,U792)</f>
        <v>0.29643750000000013</v>
      </c>
      <c r="AA792" s="23">
        <f>AVERAGE(R792:T792,V792:X792)</f>
        <v>0.30915972222222221</v>
      </c>
      <c r="AB792" s="23">
        <f t="shared" si="12"/>
        <v>0.30684659090909094</v>
      </c>
    </row>
    <row r="793" spans="1:28">
      <c r="A793" s="9">
        <v>44500</v>
      </c>
      <c r="B793" s="3">
        <v>9.9642739908705327</v>
      </c>
      <c r="C793" s="3">
        <v>1.5089043180852588</v>
      </c>
      <c r="D793" s="3">
        <v>11.63903242568594</v>
      </c>
      <c r="E793" s="3">
        <v>6.3701052581265136</v>
      </c>
      <c r="F793" s="2">
        <v>10.192300695173179</v>
      </c>
      <c r="G793" s="19">
        <v>44500</v>
      </c>
      <c r="H793" s="20">
        <v>33.125</v>
      </c>
      <c r="I793" s="20">
        <v>95.447916666666643</v>
      </c>
      <c r="J793" s="20">
        <v>11.64583333333333</v>
      </c>
      <c r="K793" s="20">
        <v>4.9000000000000004</v>
      </c>
      <c r="L793" s="20">
        <v>247</v>
      </c>
      <c r="M793" s="20">
        <v>2.25</v>
      </c>
      <c r="N793" s="20">
        <v>4.1666666666666664E-2</v>
      </c>
      <c r="O793" s="20">
        <v>10.952083333333334</v>
      </c>
      <c r="P793" s="10">
        <v>6.2350211295016528E-2</v>
      </c>
      <c r="Q793" s="21">
        <v>0.21497916666666653</v>
      </c>
      <c r="R793" s="21">
        <v>0.28199999999999997</v>
      </c>
      <c r="S793" s="21">
        <v>0.36562499999999992</v>
      </c>
      <c r="T793" s="21">
        <v>0.37400000000000005</v>
      </c>
      <c r="U793" s="21">
        <v>0.38985416666666667</v>
      </c>
      <c r="V793" s="21">
        <v>0.2904166666666666</v>
      </c>
      <c r="W793" s="21">
        <v>0.28939583333333291</v>
      </c>
      <c r="X793" s="21">
        <v>0.25424999999999998</v>
      </c>
      <c r="Y793" s="39" t="e">
        <f>#REF!*0.5711-0.0033</f>
        <v>#REF!</v>
      </c>
      <c r="Z793" s="23">
        <f>AVERAGE(Q793,U793)</f>
        <v>0.30241666666666661</v>
      </c>
      <c r="AA793" s="23">
        <f>AVERAGE(R793:T793,V793:X793)</f>
        <v>0.3092812499999999</v>
      </c>
      <c r="AB793" s="23">
        <f t="shared" si="12"/>
        <v>0.30803314393939379</v>
      </c>
    </row>
    <row r="794" spans="1:28">
      <c r="A794" s="9">
        <v>44501</v>
      </c>
      <c r="B794" s="3">
        <v>2.109705003319057</v>
      </c>
      <c r="C794" s="3">
        <v>2.3239964148817935</v>
      </c>
      <c r="D794" s="3">
        <v>0.62801418696975009</v>
      </c>
      <c r="E794" s="3">
        <v>22.237988128221833</v>
      </c>
      <c r="F794" s="2">
        <v>0.54995202352941019</v>
      </c>
      <c r="G794" s="19">
        <v>44501</v>
      </c>
      <c r="H794" s="20">
        <v>32.145833333333336</v>
      </c>
      <c r="I794" s="20">
        <v>94.237499999999969</v>
      </c>
      <c r="J794" s="20">
        <v>11.747916666666669</v>
      </c>
      <c r="K794" s="20">
        <v>0.8</v>
      </c>
      <c r="L794" s="20">
        <v>222.60416666666666</v>
      </c>
      <c r="M794" s="20">
        <v>1.6875</v>
      </c>
      <c r="N794" s="20">
        <v>0</v>
      </c>
      <c r="O794" s="20">
        <v>10.841666666666669</v>
      </c>
      <c r="P794" s="10">
        <v>8.1149465863885453E-2</v>
      </c>
      <c r="Q794" s="21">
        <v>0.21622916666666689</v>
      </c>
      <c r="R794" s="21">
        <v>0.28199999999999997</v>
      </c>
      <c r="S794" s="21">
        <v>0.36579166666666652</v>
      </c>
      <c r="T794" s="21">
        <v>0.3739791666666667</v>
      </c>
      <c r="U794" s="21">
        <v>0.39672916666666702</v>
      </c>
      <c r="V794" s="21">
        <v>0.29131250000000014</v>
      </c>
      <c r="W794" s="21">
        <v>0.28989583333333302</v>
      </c>
      <c r="X794" s="21">
        <v>0.25487500000000007</v>
      </c>
      <c r="Y794" s="39" t="e">
        <f>#REF!*0.5711-0.0033</f>
        <v>#REF!</v>
      </c>
      <c r="Z794" s="23">
        <f>AVERAGE(Q794,U794)</f>
        <v>0.30647916666666697</v>
      </c>
      <c r="AA794" s="23">
        <f>AVERAGE(R794:T794,V794:X794)</f>
        <v>0.30964236111111104</v>
      </c>
      <c r="AB794" s="23">
        <f t="shared" si="12"/>
        <v>0.30906723484848481</v>
      </c>
    </row>
    <row r="795" spans="1:28">
      <c r="A795" s="9">
        <v>44502</v>
      </c>
      <c r="B795" s="3">
        <v>2.3493804662735687</v>
      </c>
      <c r="C795" s="3">
        <v>2.2241918259637421</v>
      </c>
      <c r="D795" s="3">
        <v>0.48002905484796504</v>
      </c>
      <c r="E795" s="3">
        <v>11.314765375489506</v>
      </c>
      <c r="F795" s="2">
        <v>0.42036144333036302</v>
      </c>
      <c r="G795" s="19">
        <v>44502</v>
      </c>
      <c r="H795" s="20">
        <v>25.395833333333332</v>
      </c>
      <c r="I795" s="20">
        <v>95.18125000000002</v>
      </c>
      <c r="J795" s="20">
        <v>11.697916666666664</v>
      </c>
      <c r="K795" s="20">
        <v>1.4</v>
      </c>
      <c r="L795" s="20">
        <v>228.20833333333334</v>
      </c>
      <c r="M795" s="20">
        <v>2.125</v>
      </c>
      <c r="N795" s="20">
        <v>0</v>
      </c>
      <c r="O795" s="20">
        <v>10.945833333333331</v>
      </c>
      <c r="P795" s="10">
        <v>6.670173917171289E-2</v>
      </c>
      <c r="Q795" s="21">
        <v>0.21727083333333322</v>
      </c>
      <c r="R795" s="21">
        <v>0.28199999999999997</v>
      </c>
      <c r="S795" s="21">
        <v>0.3655416666666666</v>
      </c>
      <c r="T795" s="21">
        <v>0.37400000000000005</v>
      </c>
      <c r="U795" s="21">
        <v>0.39762499999999984</v>
      </c>
      <c r="V795" s="21">
        <v>0.29122916666666671</v>
      </c>
      <c r="W795" s="21">
        <v>0.28999999999999965</v>
      </c>
      <c r="X795" s="21">
        <v>0.25414583333333313</v>
      </c>
      <c r="Y795" s="39" t="e">
        <f>#REF!*0.5711-0.0033</f>
        <v>#REF!</v>
      </c>
      <c r="Z795" s="23">
        <f>AVERAGE(Q795,U795)</f>
        <v>0.30744791666666654</v>
      </c>
      <c r="AA795" s="23">
        <f>AVERAGE(R795:T795,V795:X795)</f>
        <v>0.30948611111111096</v>
      </c>
      <c r="AB795" s="23">
        <f t="shared" si="12"/>
        <v>0.30911553030303013</v>
      </c>
    </row>
    <row r="796" spans="1:28">
      <c r="A796" s="9">
        <v>44503</v>
      </c>
      <c r="B796" s="3">
        <v>12.364743979325794</v>
      </c>
      <c r="C796" s="3">
        <v>42.802090277612542</v>
      </c>
      <c r="D796" s="3">
        <v>19.565280755692598</v>
      </c>
      <c r="E796" s="3">
        <v>71.438283624689916</v>
      </c>
      <c r="F796" s="2">
        <v>17.133316357760009</v>
      </c>
      <c r="G796" s="19">
        <v>44503</v>
      </c>
      <c r="H796" s="20">
        <v>56.229166666666664</v>
      </c>
      <c r="I796" s="20">
        <v>94.485416666666652</v>
      </c>
      <c r="J796" s="20">
        <v>14.022916666666658</v>
      </c>
      <c r="K796" s="20">
        <v>1</v>
      </c>
      <c r="L796" s="20">
        <v>234.52083333333334</v>
      </c>
      <c r="M796" s="20">
        <v>5.791666666666667</v>
      </c>
      <c r="N796" s="20">
        <v>0.375</v>
      </c>
      <c r="O796" s="20">
        <v>13.135416666666671</v>
      </c>
      <c r="P796" s="10">
        <v>9.5656113672304019E-2</v>
      </c>
      <c r="Q796" s="21">
        <v>0.21841666666666662</v>
      </c>
      <c r="R796" s="21">
        <v>0.28247916666666656</v>
      </c>
      <c r="S796" s="21">
        <v>0.36583333333333318</v>
      </c>
      <c r="T796" s="21">
        <v>0.37400000000000005</v>
      </c>
      <c r="U796" s="21">
        <v>0.41370833333333357</v>
      </c>
      <c r="V796" s="21">
        <v>0.29160416666666655</v>
      </c>
      <c r="W796" s="21">
        <v>0.28999999999999965</v>
      </c>
      <c r="X796" s="21">
        <v>0.25402083333333308</v>
      </c>
      <c r="Y796" s="39" t="e">
        <f>#REF!*0.5711-0.0033</f>
        <v>#REF!</v>
      </c>
      <c r="Z796" s="23">
        <f>AVERAGE(Q796,U796)</f>
        <v>0.31606250000000008</v>
      </c>
      <c r="AA796" s="23">
        <f>AVERAGE(R796:T796,V796:X796)</f>
        <v>0.3096562499999998</v>
      </c>
      <c r="AB796" s="23">
        <f t="shared" si="12"/>
        <v>0.31082102272727258</v>
      </c>
    </row>
    <row r="797" spans="1:28">
      <c r="A797" s="9">
        <v>44504</v>
      </c>
      <c r="B797" s="3">
        <v>35.683428667736138</v>
      </c>
      <c r="C797" s="3">
        <v>107.98859180954483</v>
      </c>
      <c r="D797" s="3">
        <v>72.254054914935637</v>
      </c>
      <c r="E797" s="3">
        <v>238.60690035866625</v>
      </c>
      <c r="F797" s="2">
        <v>63.272875889009143</v>
      </c>
      <c r="G797" s="19">
        <v>44504</v>
      </c>
      <c r="H797" s="20">
        <v>109.85416666666667</v>
      </c>
      <c r="I797" s="20">
        <v>88.929166666666674</v>
      </c>
      <c r="J797" s="20">
        <v>16.835416666666671</v>
      </c>
      <c r="K797" s="20">
        <v>0.2</v>
      </c>
      <c r="L797" s="20">
        <v>235.0625</v>
      </c>
      <c r="M797" s="20">
        <v>7.416666666666667</v>
      </c>
      <c r="N797" s="20">
        <v>0.72916666666666663</v>
      </c>
      <c r="O797" s="20">
        <v>14.914583333333331</v>
      </c>
      <c r="P797" s="10">
        <v>0.23679353814954784</v>
      </c>
      <c r="Q797" s="21">
        <v>0.22070833333333326</v>
      </c>
      <c r="R797" s="21">
        <v>0.28456249999999988</v>
      </c>
      <c r="S797" s="21">
        <v>0.36764583333333345</v>
      </c>
      <c r="T797" s="21">
        <v>0.37443750000000015</v>
      </c>
      <c r="U797" s="21">
        <v>0.41604166666666687</v>
      </c>
      <c r="V797" s="21">
        <v>0.29424999999999985</v>
      </c>
      <c r="W797" s="21">
        <v>0.29093750000000013</v>
      </c>
      <c r="X797" s="21">
        <v>0.25483333333333352</v>
      </c>
      <c r="Y797" s="39" t="e">
        <f>#REF!*0.5711-0.0033</f>
        <v>#REF!</v>
      </c>
      <c r="Z797" s="23">
        <f>AVERAGE(Q797,U797)</f>
        <v>0.31837500000000007</v>
      </c>
      <c r="AA797" s="23">
        <f>AVERAGE(R797:T797,V797:X797)</f>
        <v>0.31111111111111117</v>
      </c>
      <c r="AB797" s="23">
        <f t="shared" si="12"/>
        <v>0.31243181818181825</v>
      </c>
    </row>
    <row r="798" spans="1:28">
      <c r="A798" s="9">
        <v>44505</v>
      </c>
      <c r="B798" s="3">
        <v>148.03916139531324</v>
      </c>
      <c r="C798" s="3">
        <v>243.3813342306189</v>
      </c>
      <c r="D798" s="3">
        <v>218.83366682743141</v>
      </c>
      <c r="E798" s="3">
        <v>292.3247425113704</v>
      </c>
      <c r="F798" s="2">
        <v>191.63264204078169</v>
      </c>
      <c r="G798" s="19">
        <v>44505</v>
      </c>
      <c r="H798" s="20">
        <v>133.625</v>
      </c>
      <c r="I798" s="20">
        <v>84.252083333333346</v>
      </c>
      <c r="J798" s="20">
        <v>18.462500000000009</v>
      </c>
      <c r="K798" s="20">
        <v>0</v>
      </c>
      <c r="L798" s="20">
        <v>227.375</v>
      </c>
      <c r="M798" s="20">
        <v>5.708333333333333</v>
      </c>
      <c r="N798" s="20">
        <v>0.375</v>
      </c>
      <c r="O798" s="20">
        <v>15.591666666666661</v>
      </c>
      <c r="P798" s="10">
        <v>0.38168800473613679</v>
      </c>
      <c r="Q798" s="21">
        <v>0.22275000000000014</v>
      </c>
      <c r="R798" s="21">
        <v>0.28716666666666685</v>
      </c>
      <c r="S798" s="21">
        <v>0.37037499999999995</v>
      </c>
      <c r="T798" s="21">
        <v>0.37587499999999996</v>
      </c>
      <c r="U798" s="21">
        <v>0.41287500000000027</v>
      </c>
      <c r="V798" s="21">
        <v>0.29716666666666663</v>
      </c>
      <c r="W798" s="21">
        <v>0.29293749999999991</v>
      </c>
      <c r="X798" s="21">
        <v>0.25575000000000009</v>
      </c>
      <c r="Y798" s="21">
        <v>0.22550000000000001</v>
      </c>
      <c r="Z798" s="23">
        <f>AVERAGE(Q798,U798)</f>
        <v>0.31781250000000022</v>
      </c>
      <c r="AA798" s="23">
        <f>AVERAGE(R798:T798,V798:X798)</f>
        <v>0.31321180555555556</v>
      </c>
      <c r="AB798" s="23">
        <f t="shared" si="12"/>
        <v>0.31404829545454549</v>
      </c>
    </row>
    <row r="799" spans="1:28">
      <c r="A799" s="9">
        <v>44506</v>
      </c>
      <c r="B799" s="3">
        <v>188.03748814411082</v>
      </c>
      <c r="C799" s="3">
        <v>361.65983377854991</v>
      </c>
      <c r="D799" s="3">
        <v>306.16366419270514</v>
      </c>
      <c r="E799" s="3">
        <v>322.890948554641</v>
      </c>
      <c r="F799" s="2">
        <v>268.10752073355189</v>
      </c>
      <c r="G799" s="19">
        <v>44506</v>
      </c>
      <c r="H799" s="20">
        <v>172.95833333333334</v>
      </c>
      <c r="I799" s="20">
        <v>78.845833333333346</v>
      </c>
      <c r="J799" s="20">
        <v>18.925000000000001</v>
      </c>
      <c r="K799" s="20">
        <v>0</v>
      </c>
      <c r="L799" s="20">
        <v>221.22916666666666</v>
      </c>
      <c r="M799" s="20">
        <v>4.104166666666667</v>
      </c>
      <c r="N799" s="20">
        <v>0.20833333333333334</v>
      </c>
      <c r="O799" s="20">
        <v>14.54791666666666</v>
      </c>
      <c r="P799" s="10">
        <v>0.58810271569958228</v>
      </c>
      <c r="Q799" s="21">
        <v>0.22377083333333336</v>
      </c>
      <c r="R799" s="21">
        <v>0.28933333333333294</v>
      </c>
      <c r="S799" s="21">
        <v>0.37333333333333324</v>
      </c>
      <c r="T799" s="21">
        <v>0.37785416666666682</v>
      </c>
      <c r="U799" s="21">
        <v>0.4073958333333334</v>
      </c>
      <c r="V799" s="21">
        <v>0.29966666666666669</v>
      </c>
      <c r="W799" s="21">
        <v>0.29466666666666658</v>
      </c>
      <c r="X799" s="21">
        <v>0.25747916666666643</v>
      </c>
      <c r="Y799" s="21">
        <v>0.20670588235294124</v>
      </c>
      <c r="Z799" s="23">
        <f>AVERAGE(Q799,U799)</f>
        <v>0.31558333333333338</v>
      </c>
      <c r="AA799" s="23">
        <f>AVERAGE(R799:T799,V799:X799)</f>
        <v>0.31538888888888877</v>
      </c>
      <c r="AB799" s="23">
        <f t="shared" si="12"/>
        <v>0.31542424242424233</v>
      </c>
    </row>
    <row r="800" spans="1:28">
      <c r="A800" s="9">
        <v>44507</v>
      </c>
      <c r="B800" s="3">
        <v>51.253518170664627</v>
      </c>
      <c r="C800" s="3">
        <v>52.425785803164487</v>
      </c>
      <c r="D800" s="3">
        <v>27.419088854320631</v>
      </c>
      <c r="E800" s="3">
        <v>85.534422376733843</v>
      </c>
      <c r="F800" s="2">
        <v>24.010896109728577</v>
      </c>
      <c r="G800" s="19">
        <v>44507</v>
      </c>
      <c r="H800" s="20">
        <v>76.333333333333329</v>
      </c>
      <c r="I800" s="20">
        <v>77.989583333333357</v>
      </c>
      <c r="J800" s="20">
        <v>10.543749999999999</v>
      </c>
      <c r="K800" s="20">
        <v>0</v>
      </c>
      <c r="L800" s="20">
        <v>248.125</v>
      </c>
      <c r="M800" s="20">
        <v>7.375</v>
      </c>
      <c r="N800" s="20">
        <v>0.20833333333333334</v>
      </c>
      <c r="O800" s="20">
        <v>6.8104166666666694</v>
      </c>
      <c r="P800" s="10">
        <v>0.2683729990951122</v>
      </c>
      <c r="Q800" s="21">
        <v>0.22204166666666669</v>
      </c>
      <c r="R800" s="21">
        <v>0.28964583333333316</v>
      </c>
      <c r="S800" s="21">
        <v>0.3746458333333334</v>
      </c>
      <c r="T800" s="21">
        <v>0.37962500000000016</v>
      </c>
      <c r="U800" s="21">
        <v>0.39733333333333337</v>
      </c>
      <c r="V800" s="21">
        <v>0.30097916666666685</v>
      </c>
      <c r="W800" s="21">
        <v>0.2959374999999998</v>
      </c>
      <c r="X800" s="21">
        <v>0.25839583333333344</v>
      </c>
      <c r="Y800" s="21">
        <v>0.19648936170212769</v>
      </c>
      <c r="Z800" s="23">
        <f>AVERAGE(Q800,U800)</f>
        <v>0.3096875</v>
      </c>
      <c r="AA800" s="23">
        <f>AVERAGE(R800:T800,V800:X800)</f>
        <v>0.31653819444444442</v>
      </c>
      <c r="AB800" s="23">
        <f t="shared" si="12"/>
        <v>0.31529261363636363</v>
      </c>
    </row>
    <row r="801" spans="1:28">
      <c r="A801" s="9">
        <v>44508</v>
      </c>
      <c r="B801" s="3">
        <v>174.46731023508525</v>
      </c>
      <c r="C801" s="3">
        <v>219.83037782877184</v>
      </c>
      <c r="D801" s="3">
        <v>127.25836711740182</v>
      </c>
      <c r="E801" s="3">
        <v>218.30088630955802</v>
      </c>
      <c r="F801" s="2">
        <v>111.44015208470877</v>
      </c>
      <c r="G801" s="19">
        <v>44508</v>
      </c>
      <c r="H801" s="20">
        <v>145.41666666666666</v>
      </c>
      <c r="I801" s="20">
        <v>63.789583333333333</v>
      </c>
      <c r="J801" s="20">
        <v>8.0374999999999979</v>
      </c>
      <c r="K801" s="20">
        <v>0</v>
      </c>
      <c r="L801" s="20">
        <v>242.5625</v>
      </c>
      <c r="M801" s="20">
        <v>3.8958333333333335</v>
      </c>
      <c r="N801" s="20">
        <v>0</v>
      </c>
      <c r="O801" s="20">
        <v>1.3979166666666665</v>
      </c>
      <c r="P801" s="10">
        <v>0.42454339627103388</v>
      </c>
      <c r="Q801" s="21">
        <v>0.21700000000000016</v>
      </c>
      <c r="R801" s="21">
        <v>0.28558333333333347</v>
      </c>
      <c r="S801" s="21">
        <v>0.37031249999999988</v>
      </c>
      <c r="T801" s="21">
        <v>0.37799999999999995</v>
      </c>
      <c r="U801" s="21">
        <v>0.3848541666666665</v>
      </c>
      <c r="V801" s="21">
        <v>0.29672916666666643</v>
      </c>
      <c r="W801" s="21">
        <v>0.29339583333333313</v>
      </c>
      <c r="X801" s="21">
        <v>0.25824999999999976</v>
      </c>
      <c r="Y801" s="21">
        <v>0.18568750000000003</v>
      </c>
      <c r="Z801" s="23">
        <f>AVERAGE(Q801,U801)</f>
        <v>0.30092708333333335</v>
      </c>
      <c r="AA801" s="23">
        <f>AVERAGE(R801:T801,V801:X801)</f>
        <v>0.31371180555555545</v>
      </c>
      <c r="AB801" s="23">
        <f t="shared" si="12"/>
        <v>0.31138731060606051</v>
      </c>
    </row>
    <row r="802" spans="1:28">
      <c r="A802" s="9">
        <v>44509</v>
      </c>
      <c r="B802" s="3">
        <v>30.09803031198398</v>
      </c>
      <c r="C802" s="3">
        <v>47.718722973690085</v>
      </c>
      <c r="D802" s="3">
        <v>14.805069876534475</v>
      </c>
      <c r="E802" s="3">
        <v>74.374476878751366</v>
      </c>
      <c r="F802" s="2">
        <v>12.96479969088124</v>
      </c>
      <c r="G802" s="19">
        <v>44509</v>
      </c>
      <c r="H802" s="20">
        <v>41.729166666666664</v>
      </c>
      <c r="I802" s="20">
        <v>71.391666666666637</v>
      </c>
      <c r="J802" s="20">
        <v>7.4854166666666684</v>
      </c>
      <c r="K802" s="20">
        <v>0</v>
      </c>
      <c r="L802" s="20">
        <v>228.64583333333334</v>
      </c>
      <c r="M802" s="20">
        <v>4.104166666666667</v>
      </c>
      <c r="N802" s="20">
        <v>0</v>
      </c>
      <c r="O802" s="20">
        <v>2.6124999999999998</v>
      </c>
      <c r="P802" s="10">
        <v>0.29948533341611233</v>
      </c>
      <c r="Q802" s="21">
        <v>0.21537500000000007</v>
      </c>
      <c r="R802" s="21">
        <v>0.28366666666666646</v>
      </c>
      <c r="S802" s="21">
        <v>0.36754166666666688</v>
      </c>
      <c r="T802" s="21">
        <v>0.37545833333333328</v>
      </c>
      <c r="U802" s="21">
        <v>0.37906250000000014</v>
      </c>
      <c r="V802" s="21">
        <v>0.29460416666666672</v>
      </c>
      <c r="W802" s="21">
        <v>0.29120833333333324</v>
      </c>
      <c r="X802" s="21">
        <v>0.25672916666666662</v>
      </c>
      <c r="Y802" s="39" t="e">
        <f>#REF!*0.5711-0.0033</f>
        <v>#REF!</v>
      </c>
      <c r="Z802" s="23">
        <f>AVERAGE(Q802,U802)</f>
        <v>0.29721875000000009</v>
      </c>
      <c r="AA802" s="23">
        <f>AVERAGE(R802:T802,V802:X802)</f>
        <v>0.31153472222222223</v>
      </c>
      <c r="AB802" s="23">
        <f t="shared" si="12"/>
        <v>0.3089318181818182</v>
      </c>
    </row>
    <row r="803" spans="1:28">
      <c r="A803" s="9">
        <v>44510</v>
      </c>
      <c r="B803" s="3">
        <v>219.17903534748319</v>
      </c>
      <c r="C803" s="3">
        <v>372.94359480994353</v>
      </c>
      <c r="D803" s="3">
        <v>280.28076218880102</v>
      </c>
      <c r="E803" s="3">
        <v>284.9719911754666</v>
      </c>
      <c r="F803" s="2">
        <v>245.44186344873307</v>
      </c>
      <c r="G803" s="19">
        <v>44510</v>
      </c>
      <c r="H803" s="20">
        <v>184.9375</v>
      </c>
      <c r="I803" s="20">
        <v>63.302083333333336</v>
      </c>
      <c r="J803" s="20">
        <v>11.027083333333335</v>
      </c>
      <c r="K803" s="20">
        <v>0</v>
      </c>
      <c r="L803" s="20">
        <v>276.35416666666669</v>
      </c>
      <c r="M803" s="20">
        <v>2.9166666666666665</v>
      </c>
      <c r="N803" s="20">
        <v>2.0833333333333332E-2</v>
      </c>
      <c r="O803" s="20">
        <v>3.9187499999999997</v>
      </c>
      <c r="P803" s="10">
        <v>0.56338182536644588</v>
      </c>
      <c r="Q803" s="21">
        <v>0.21420833333333331</v>
      </c>
      <c r="R803" s="21">
        <v>0.28179166666666661</v>
      </c>
      <c r="S803" s="21">
        <v>0.36510416666666679</v>
      </c>
      <c r="T803" s="21">
        <v>0.3731041666666664</v>
      </c>
      <c r="U803" s="21">
        <v>0.37606249999999997</v>
      </c>
      <c r="V803" s="21">
        <v>0.29195833333333315</v>
      </c>
      <c r="W803" s="21">
        <v>0.28935416666666652</v>
      </c>
      <c r="X803" s="21">
        <v>0.2552291666666669</v>
      </c>
      <c r="Y803" s="21">
        <v>0.159</v>
      </c>
      <c r="Z803" s="23">
        <f>AVERAGE(Q803,U803)</f>
        <v>0.29513541666666665</v>
      </c>
      <c r="AA803" s="23">
        <f>AVERAGE(R803:T803,V803:X803)</f>
        <v>0.30942361111111105</v>
      </c>
      <c r="AB803" s="23">
        <f t="shared" si="12"/>
        <v>0.30682575757575759</v>
      </c>
    </row>
    <row r="804" spans="1:28">
      <c r="G804" s="19">
        <v>44511</v>
      </c>
      <c r="H804" s="20">
        <v>41.666666666666664</v>
      </c>
      <c r="I804" s="20">
        <v>72.133333333333283</v>
      </c>
      <c r="J804" s="20">
        <v>9.4104166666666664</v>
      </c>
      <c r="K804" s="20">
        <v>0</v>
      </c>
      <c r="L804" s="20">
        <v>217.33333333333334</v>
      </c>
      <c r="M804" s="20">
        <v>2.7083333333333335</v>
      </c>
      <c r="N804" s="20">
        <v>0</v>
      </c>
      <c r="O804" s="20">
        <v>4.5937500000000009</v>
      </c>
      <c r="P804" s="10">
        <v>0.33683895062899327</v>
      </c>
      <c r="Q804" s="21">
        <v>0.21427083333333355</v>
      </c>
      <c r="R804" s="21">
        <v>0.28235416666666674</v>
      </c>
      <c r="S804" s="21">
        <v>0.36545833333333322</v>
      </c>
      <c r="T804" s="21">
        <v>0.37199999999999994</v>
      </c>
      <c r="U804" s="21">
        <v>0.37541666666666668</v>
      </c>
      <c r="V804" s="21">
        <v>0.29304166666666648</v>
      </c>
      <c r="W804" s="21">
        <v>0.28893749999999985</v>
      </c>
      <c r="X804" s="21">
        <v>0.25497916666666692</v>
      </c>
      <c r="Y804" s="21">
        <v>0.1474736842105262</v>
      </c>
      <c r="Z804" s="23">
        <f>AVERAGE(Q804,U804)</f>
        <v>0.29484375000000013</v>
      </c>
      <c r="AA804" s="23">
        <f>AVERAGE(R804:T804,V804:X804)</f>
        <v>0.30946180555555552</v>
      </c>
      <c r="AB804" s="23">
        <f t="shared" si="12"/>
        <v>0.30680397727272729</v>
      </c>
    </row>
  </sheetData>
  <autoFilter ref="A4:Y804" xr:uid="{5A447288-21C0-40FC-8DE9-E5E4DE6020B4}"/>
  <mergeCells count="8">
    <mergeCell ref="Z3:AB3"/>
    <mergeCell ref="H1:P3"/>
    <mergeCell ref="B1:F1"/>
    <mergeCell ref="G1:G3"/>
    <mergeCell ref="Q1:X1"/>
    <mergeCell ref="Q2:T2"/>
    <mergeCell ref="U2:X2"/>
    <mergeCell ref="Q3:Y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EABEE-0D87-4AA4-9063-BE76459D9D0F}">
  <sheetPr codeName="Sheet4"/>
  <dimension ref="A1:AH299"/>
  <sheetViews>
    <sheetView tabSelected="1" workbookViewId="0">
      <pane xSplit="1" ySplit="7" topLeftCell="H8" activePane="bottomRight" state="frozen"/>
      <selection pane="topRight" activeCell="B1" sqref="B1"/>
      <selection pane="bottomLeft" activeCell="A5" sqref="A5"/>
      <selection pane="bottomRight" activeCell="AB6" sqref="AB6:AD6"/>
    </sheetView>
  </sheetViews>
  <sheetFormatPr defaultRowHeight="13.8"/>
  <cols>
    <col min="1" max="1" width="11.21875" customWidth="1"/>
    <col min="9" max="9" width="11.33203125" customWidth="1"/>
    <col min="30" max="30" width="8.88671875" style="23"/>
  </cols>
  <sheetData>
    <row r="1" spans="1:34">
      <c r="A1" t="s">
        <v>19</v>
      </c>
      <c r="B1" s="4">
        <f t="shared" ref="B1:F1" si="0">B3-B2</f>
        <v>891.74922359135621</v>
      </c>
      <c r="C1" s="4">
        <f t="shared" si="0"/>
        <v>905.14173832913423</v>
      </c>
      <c r="D1" s="4">
        <f t="shared" si="0"/>
        <v>898.38856004808099</v>
      </c>
      <c r="E1" s="4">
        <f t="shared" si="0"/>
        <v>797.23154786903717</v>
      </c>
      <c r="F1" s="4">
        <f t="shared" si="0"/>
        <v>640.51218836856287</v>
      </c>
      <c r="G1" s="42"/>
      <c r="H1" s="42"/>
      <c r="I1" s="42"/>
      <c r="J1" s="42"/>
      <c r="K1" s="42"/>
      <c r="L1" s="42"/>
      <c r="M1" s="42"/>
    </row>
    <row r="2" spans="1:34">
      <c r="A2" t="s">
        <v>18</v>
      </c>
      <c r="B2" s="4">
        <f t="shared" ref="B2:F2" si="1">MIN(B8:B299)</f>
        <v>5.4661209556858212</v>
      </c>
      <c r="C2" s="4">
        <f t="shared" si="1"/>
        <v>38.863413187111533</v>
      </c>
      <c r="D2" s="4">
        <f t="shared" si="1"/>
        <v>14.805069876534475</v>
      </c>
      <c r="E2" s="4">
        <f t="shared" si="1"/>
        <v>3.585425078236113</v>
      </c>
      <c r="F2" s="4">
        <f t="shared" si="1"/>
        <v>12.96479969088124</v>
      </c>
      <c r="G2" s="42"/>
      <c r="H2" s="42"/>
      <c r="I2" s="42"/>
      <c r="J2" s="42"/>
      <c r="K2" s="42"/>
      <c r="L2" s="42"/>
      <c r="M2" s="42"/>
    </row>
    <row r="3" spans="1:34">
      <c r="A3" t="s">
        <v>17</v>
      </c>
      <c r="B3" s="4">
        <f t="shared" ref="B3:F3" si="2">MAX(B8:B299)</f>
        <v>897.21534454704204</v>
      </c>
      <c r="C3" s="4">
        <f t="shared" si="2"/>
        <v>944.00515151624575</v>
      </c>
      <c r="D3" s="4">
        <f t="shared" si="2"/>
        <v>913.19362992461549</v>
      </c>
      <c r="E3" s="4">
        <f t="shared" si="2"/>
        <v>800.81697294727326</v>
      </c>
      <c r="F3" s="4">
        <f t="shared" si="2"/>
        <v>653.47698805944412</v>
      </c>
      <c r="G3" s="42"/>
      <c r="H3" s="42"/>
      <c r="I3" s="42"/>
      <c r="J3" s="42"/>
      <c r="K3" s="42"/>
      <c r="L3" s="42"/>
      <c r="M3" s="42"/>
    </row>
    <row r="4" spans="1:34">
      <c r="A4" s="7"/>
      <c r="B4" s="42"/>
      <c r="C4" s="42"/>
      <c r="D4" s="42"/>
      <c r="E4" s="42"/>
      <c r="F4" s="42"/>
      <c r="G4" s="40"/>
      <c r="H4" s="40"/>
      <c r="I4" s="44" t="s">
        <v>15</v>
      </c>
      <c r="J4" s="5"/>
      <c r="K4" s="5"/>
      <c r="L4" s="5"/>
      <c r="M4" s="5"/>
      <c r="N4" s="5"/>
      <c r="O4" s="5"/>
      <c r="P4" s="5"/>
      <c r="Q4" s="5"/>
      <c r="R4" s="10"/>
      <c r="S4" s="45" t="s">
        <v>67</v>
      </c>
      <c r="T4" s="45"/>
      <c r="U4" s="45"/>
      <c r="V4" s="45"/>
      <c r="W4" s="45"/>
      <c r="X4" s="45"/>
      <c r="Y4" s="45"/>
      <c r="Z4" s="45"/>
      <c r="AA4" s="75" t="s">
        <v>70</v>
      </c>
      <c r="AB4" s="75"/>
      <c r="AC4" s="75"/>
      <c r="AD4" s="75"/>
      <c r="AE4" s="75"/>
      <c r="AF4" s="75"/>
      <c r="AG4" s="75"/>
      <c r="AH4" s="75"/>
    </row>
    <row r="5" spans="1:34">
      <c r="A5" s="1"/>
      <c r="B5" s="27"/>
      <c r="C5" s="41" t="s">
        <v>55</v>
      </c>
      <c r="D5" s="41"/>
      <c r="E5" s="41"/>
      <c r="F5" s="41"/>
      <c r="G5" s="48" t="s">
        <v>74</v>
      </c>
      <c r="H5" s="48"/>
      <c r="I5" s="44"/>
      <c r="J5" s="5"/>
      <c r="K5" s="5"/>
      <c r="L5" s="5"/>
      <c r="M5" s="5"/>
      <c r="N5" s="5"/>
      <c r="O5" s="5"/>
      <c r="P5" s="5"/>
      <c r="Q5" s="5"/>
      <c r="R5" s="10"/>
      <c r="S5" s="43" t="s">
        <v>11</v>
      </c>
      <c r="T5" s="43"/>
      <c r="U5" s="43"/>
      <c r="V5" s="43"/>
      <c r="W5" s="43" t="s">
        <v>12</v>
      </c>
      <c r="X5" s="43"/>
      <c r="Y5" s="43"/>
      <c r="Z5" s="43"/>
      <c r="AA5" s="12"/>
    </row>
    <row r="6" spans="1:34">
      <c r="A6" s="1"/>
      <c r="B6" s="5">
        <v>3</v>
      </c>
      <c r="C6" s="5">
        <v>7</v>
      </c>
      <c r="D6" s="5">
        <v>8</v>
      </c>
      <c r="E6" s="5">
        <v>5</v>
      </c>
      <c r="F6" s="5">
        <v>6</v>
      </c>
      <c r="G6" s="48"/>
      <c r="H6" s="48"/>
      <c r="I6" s="44"/>
      <c r="J6" s="5"/>
      <c r="K6" s="5"/>
      <c r="L6" s="5"/>
      <c r="M6" s="5"/>
      <c r="N6" s="5"/>
      <c r="O6" s="5"/>
      <c r="P6" s="5"/>
      <c r="Q6" s="5"/>
      <c r="R6" s="10"/>
      <c r="S6" s="43" t="s">
        <v>72</v>
      </c>
      <c r="T6" s="43"/>
      <c r="U6" s="43"/>
      <c r="V6" s="43"/>
      <c r="W6" s="43"/>
      <c r="X6" s="43"/>
      <c r="Y6" s="43"/>
      <c r="Z6" s="43"/>
      <c r="AA6" s="27"/>
      <c r="AB6" s="46" t="s">
        <v>55</v>
      </c>
      <c r="AC6" s="46"/>
      <c r="AD6" s="46"/>
    </row>
    <row r="7" spans="1:34" ht="48" customHeight="1">
      <c r="A7" s="22"/>
      <c r="B7" s="1"/>
      <c r="C7" s="1"/>
      <c r="D7" s="1"/>
      <c r="E7" s="1"/>
      <c r="F7" s="1"/>
      <c r="G7" s="1" t="s">
        <v>53</v>
      </c>
      <c r="H7" s="1" t="s">
        <v>73</v>
      </c>
      <c r="I7" s="14" t="s">
        <v>13</v>
      </c>
      <c r="J7" s="15" t="s">
        <v>2</v>
      </c>
      <c r="K7" s="16" t="s">
        <v>3</v>
      </c>
      <c r="L7" s="16" t="s">
        <v>4</v>
      </c>
      <c r="M7" s="16" t="s">
        <v>5</v>
      </c>
      <c r="N7" s="15" t="s">
        <v>6</v>
      </c>
      <c r="O7" s="15" t="s">
        <v>7</v>
      </c>
      <c r="P7" s="16" t="s">
        <v>8</v>
      </c>
      <c r="Q7" s="16" t="s">
        <v>9</v>
      </c>
      <c r="R7" s="17" t="s">
        <v>14</v>
      </c>
      <c r="S7" s="1">
        <v>1</v>
      </c>
      <c r="T7" s="1">
        <v>2</v>
      </c>
      <c r="U7" s="1">
        <v>3</v>
      </c>
      <c r="V7" s="1">
        <v>4</v>
      </c>
      <c r="W7" s="1">
        <v>5</v>
      </c>
      <c r="X7" s="1">
        <v>6</v>
      </c>
      <c r="Y7" s="1">
        <v>7</v>
      </c>
      <c r="Z7" s="1">
        <v>8</v>
      </c>
      <c r="AA7" s="13" t="s">
        <v>10</v>
      </c>
      <c r="AB7" s="26" t="s">
        <v>20</v>
      </c>
      <c r="AC7" s="26" t="s">
        <v>21</v>
      </c>
      <c r="AD7" s="26" t="s">
        <v>68</v>
      </c>
    </row>
    <row r="8" spans="1:34">
      <c r="A8" s="9">
        <v>43713</v>
      </c>
      <c r="B8" s="3">
        <v>156.67399639690964</v>
      </c>
      <c r="C8" s="3">
        <v>162.82053118589448</v>
      </c>
      <c r="D8" s="3">
        <v>238.22503262457087</v>
      </c>
      <c r="E8" s="3">
        <v>255.22930799751802</v>
      </c>
      <c r="F8" s="3">
        <v>170.0535629535508</v>
      </c>
      <c r="G8" s="3">
        <f>(B8-$B$2)/$B$1</f>
        <v>0.16956322634323345</v>
      </c>
      <c r="H8" s="3">
        <f>((C8-$C$2)/$C$1+(D8-$D$2)/$D$1+(E8-$E$2)/$E$1+(F8-$F$2)/$F$1)/4</f>
        <v>0.23663487742597716</v>
      </c>
      <c r="I8" s="19">
        <v>43713</v>
      </c>
      <c r="J8" s="20">
        <v>182.25</v>
      </c>
      <c r="K8" s="20">
        <v>68.768750000000011</v>
      </c>
      <c r="L8" s="20">
        <v>23.229166666666671</v>
      </c>
      <c r="M8" s="20">
        <v>0</v>
      </c>
      <c r="N8" s="20">
        <v>142.66666666666666</v>
      </c>
      <c r="O8" s="20">
        <v>4.916666666666667</v>
      </c>
      <c r="P8" s="20">
        <v>0.33333333333333331</v>
      </c>
      <c r="Q8" s="20">
        <v>16.922916666666673</v>
      </c>
      <c r="R8" s="10">
        <v>0.96945504132439053</v>
      </c>
      <c r="S8" s="21">
        <v>0.25387500000000002</v>
      </c>
      <c r="T8" s="21">
        <v>0.34710416666666655</v>
      </c>
      <c r="U8" s="21">
        <v>0.43006249999999963</v>
      </c>
      <c r="V8" s="21">
        <v>0.42489583333333297</v>
      </c>
      <c r="W8" s="21">
        <v>0.42829166666666713</v>
      </c>
      <c r="X8" s="21">
        <v>0.31452083333333342</v>
      </c>
      <c r="Y8" s="21">
        <v>0.31787500000000013</v>
      </c>
      <c r="Z8" s="21">
        <v>0.28110416666666638</v>
      </c>
      <c r="AA8" s="21">
        <v>0.12035416666666669</v>
      </c>
      <c r="AB8" s="24">
        <f>AVERAGE(S8,W8)</f>
        <v>0.34108333333333357</v>
      </c>
      <c r="AC8" s="24">
        <f>AVERAGE(T8:V8,X8:Z8)</f>
        <v>0.35259374999999982</v>
      </c>
      <c r="AD8" s="24">
        <f>(AB8*10+AC8*45)/55</f>
        <v>0.35050094696969686</v>
      </c>
    </row>
    <row r="9" spans="1:34">
      <c r="A9" s="9">
        <v>43720</v>
      </c>
      <c r="B9" s="3">
        <v>307.72947586805134</v>
      </c>
      <c r="C9" s="3">
        <v>239.55295354813643</v>
      </c>
      <c r="D9" s="3">
        <v>275.9314528535478</v>
      </c>
      <c r="E9" s="3">
        <v>274.9470584328954</v>
      </c>
      <c r="F9" s="3">
        <v>301.44130226650617</v>
      </c>
      <c r="G9" s="3">
        <f>(B9-$B$2)/$B$1</f>
        <v>0.33895555714089143</v>
      </c>
      <c r="H9" s="3">
        <f>((C9-$C$2)/$C$1+(D9-$D$2)/$D$1+(E9-$E$2)/$E$1+(F9-$F$2)/$F$1)/4</f>
        <v>0.32578664187044537</v>
      </c>
      <c r="I9" s="19">
        <v>43720</v>
      </c>
      <c r="J9" s="20">
        <v>174.125</v>
      </c>
      <c r="K9" s="20">
        <v>78.895833333333343</v>
      </c>
      <c r="L9" s="20">
        <v>22.375</v>
      </c>
      <c r="M9" s="20">
        <v>0</v>
      </c>
      <c r="N9" s="20">
        <v>151.75</v>
      </c>
      <c r="O9" s="20">
        <v>10.708333333333334</v>
      </c>
      <c r="P9" s="20">
        <v>1.3541666666666667</v>
      </c>
      <c r="Q9" s="20">
        <v>18.381249999999998</v>
      </c>
      <c r="R9" s="10">
        <v>0.61606613419564316</v>
      </c>
      <c r="S9" s="21">
        <v>0.44339583333333343</v>
      </c>
      <c r="T9" s="21">
        <v>0.55031250000000032</v>
      </c>
      <c r="U9" s="21">
        <v>0.59054166666666685</v>
      </c>
      <c r="V9" s="21">
        <v>0.59929166666666689</v>
      </c>
      <c r="W9" s="21">
        <v>0.61125000000000052</v>
      </c>
      <c r="X9" s="21">
        <v>0.48552083333333368</v>
      </c>
      <c r="Y9" s="21">
        <v>0.46916666666666645</v>
      </c>
      <c r="Z9" s="21">
        <v>0.41952083333333362</v>
      </c>
      <c r="AA9" s="21">
        <v>0.24975000000000003</v>
      </c>
      <c r="AB9" s="24">
        <f>AVERAGE(S9,W9)</f>
        <v>0.52732291666666697</v>
      </c>
      <c r="AC9" s="24">
        <f>AVERAGE(T9:V9,X9:Z9)</f>
        <v>0.5190590277777779</v>
      </c>
      <c r="AD9" s="24">
        <f t="shared" ref="AD9:AD72" si="3">(AB9*10+AC9*45)/55</f>
        <v>0.52056155303030316</v>
      </c>
    </row>
    <row r="10" spans="1:34">
      <c r="A10" s="9">
        <v>43721</v>
      </c>
      <c r="B10" s="3">
        <v>293.5437430227397</v>
      </c>
      <c r="C10" s="3">
        <v>240.36657705219636</v>
      </c>
      <c r="D10" s="3">
        <v>211.59130188041902</v>
      </c>
      <c r="E10" s="3">
        <v>274.28932263308616</v>
      </c>
      <c r="F10" s="3">
        <v>251.57666941552969</v>
      </c>
      <c r="G10" s="3">
        <f>(B10-$B$2)/$B$1</f>
        <v>0.32304779689840846</v>
      </c>
      <c r="H10" s="3">
        <f>((C10-$C$2)/$C$1+(D10-$D$2)/$D$1+(E10-$E$2)/$E$1+(F10-$F$2)/$F$1)/4</f>
        <v>0.28843799045942187</v>
      </c>
      <c r="I10" s="19">
        <v>43721</v>
      </c>
      <c r="J10" s="20">
        <v>237.10416666666666</v>
      </c>
      <c r="K10" s="20">
        <v>74.779166666666683</v>
      </c>
      <c r="L10" s="20">
        <v>23.452083333333324</v>
      </c>
      <c r="M10" s="20">
        <v>0</v>
      </c>
      <c r="N10" s="20">
        <v>155.77083333333334</v>
      </c>
      <c r="O10" s="20">
        <v>9.7708333333333339</v>
      </c>
      <c r="P10" s="20">
        <v>1.3125</v>
      </c>
      <c r="Q10" s="20">
        <v>18.466666666666665</v>
      </c>
      <c r="R10" s="10">
        <v>0.80873882521636287</v>
      </c>
      <c r="S10" s="21">
        <v>0.43858333333333349</v>
      </c>
      <c r="T10" s="21">
        <v>0.54087499999999988</v>
      </c>
      <c r="U10" s="21">
        <v>0.5859166666666662</v>
      </c>
      <c r="V10" s="21">
        <v>0.59510416666666666</v>
      </c>
      <c r="W10" s="21">
        <v>0.60497916666666707</v>
      </c>
      <c r="X10" s="21">
        <v>0.47808333333333342</v>
      </c>
      <c r="Y10" s="21">
        <v>0.46564583333333337</v>
      </c>
      <c r="Z10" s="21">
        <v>0.4152499999999999</v>
      </c>
      <c r="AA10" s="21">
        <v>0.23235416666666664</v>
      </c>
      <c r="AB10" s="24">
        <f>AVERAGE(S10,W10)</f>
        <v>0.52178125000000031</v>
      </c>
      <c r="AC10" s="24">
        <f>AVERAGE(T10:V10,X10:Z10)</f>
        <v>0.5134791666666666</v>
      </c>
      <c r="AD10" s="24">
        <f t="shared" si="3"/>
        <v>0.51498863636363634</v>
      </c>
    </row>
    <row r="11" spans="1:34">
      <c r="A11" s="9">
        <v>43722</v>
      </c>
      <c r="B11" s="3">
        <v>299.63574030042253</v>
      </c>
      <c r="C11" s="3">
        <v>227.91059172019396</v>
      </c>
      <c r="D11" s="3">
        <v>316.42473698023502</v>
      </c>
      <c r="E11" s="3">
        <v>261.53114871650365</v>
      </c>
      <c r="F11" s="3">
        <v>205.79994106071092</v>
      </c>
      <c r="G11" s="3">
        <f>(B11-$B$2)/$B$1</f>
        <v>0.32987931086726668</v>
      </c>
      <c r="H11" s="3">
        <f>((C11-$C$2)/$C$1+(D11-$D$2)/$D$1+(E11-$E$2)/$E$1+(F11-$F$2)/$F$1)/4</f>
        <v>0.29230227150421761</v>
      </c>
      <c r="I11" s="19">
        <v>43722</v>
      </c>
      <c r="J11" s="20">
        <v>253.85416666666666</v>
      </c>
      <c r="K11" s="20">
        <v>69.139583333333334</v>
      </c>
      <c r="L11" s="20">
        <v>23.904166666666665</v>
      </c>
      <c r="M11" s="20">
        <v>0</v>
      </c>
      <c r="N11" s="20">
        <v>134.0625</v>
      </c>
      <c r="O11" s="20">
        <v>7.708333333333333</v>
      </c>
      <c r="P11" s="20">
        <v>1.2916666666666667</v>
      </c>
      <c r="Q11" s="20">
        <v>17.435416666666669</v>
      </c>
      <c r="R11" s="10">
        <v>1.0239300479339237</v>
      </c>
      <c r="S11" s="21">
        <v>0.43512499999999993</v>
      </c>
      <c r="T11" s="21">
        <v>0.53172916666666681</v>
      </c>
      <c r="U11" s="21">
        <v>0.58093749999999966</v>
      </c>
      <c r="V11" s="21">
        <v>0.59147916666666656</v>
      </c>
      <c r="W11" s="21">
        <v>0.59647916666666678</v>
      </c>
      <c r="X11" s="21">
        <v>0.47054166666666664</v>
      </c>
      <c r="Y11" s="21">
        <v>0.46197916666666661</v>
      </c>
      <c r="Z11" s="21">
        <v>0.41106250000000033</v>
      </c>
      <c r="AA11" s="21">
        <v>0.21504861111111109</v>
      </c>
      <c r="AB11" s="24">
        <f>AVERAGE(S11,W11)</f>
        <v>0.51580208333333333</v>
      </c>
      <c r="AC11" s="24">
        <f>AVERAGE(T11:V11,X11:Z11)</f>
        <v>0.5079548611111111</v>
      </c>
      <c r="AD11" s="24">
        <f t="shared" si="3"/>
        <v>0.50938162878787874</v>
      </c>
    </row>
    <row r="12" spans="1:34">
      <c r="A12" s="9">
        <v>43723</v>
      </c>
      <c r="B12" s="3">
        <v>291.37729771799826</v>
      </c>
      <c r="C12" s="3">
        <v>174.3469938596221</v>
      </c>
      <c r="D12" s="3">
        <v>336.07711949499702</v>
      </c>
      <c r="E12" s="3">
        <v>175.59573456818052</v>
      </c>
      <c r="F12" s="3">
        <v>157.95194725617517</v>
      </c>
      <c r="G12" s="3">
        <f>(B12-$B$2)/$B$1</f>
        <v>0.3206183635471615</v>
      </c>
      <c r="H12" s="3">
        <f>((C12-$C$2)/$C$1+(D12-$D$2)/$D$1+(E12-$E$2)/$E$1+(F12-$F$2)/$F$1)/4</f>
        <v>0.23735305246163188</v>
      </c>
      <c r="I12" s="19">
        <v>43723</v>
      </c>
      <c r="J12" s="20">
        <v>254.14583333333334</v>
      </c>
      <c r="K12" s="20">
        <v>69.441666666666649</v>
      </c>
      <c r="L12" s="20">
        <v>23.231249999999999</v>
      </c>
      <c r="M12" s="20">
        <v>0</v>
      </c>
      <c r="N12" s="20">
        <v>138.16666666666666</v>
      </c>
      <c r="O12" s="20">
        <v>5.958333333333333</v>
      </c>
      <c r="P12" s="20">
        <v>0.60416666666666663</v>
      </c>
      <c r="Q12" s="20">
        <v>16.929166666666667</v>
      </c>
      <c r="R12" s="10">
        <v>0.99045577232761473</v>
      </c>
      <c r="S12" s="21">
        <v>0.41831249999999992</v>
      </c>
      <c r="T12" s="21">
        <v>0.51914583333333375</v>
      </c>
      <c r="U12" s="21">
        <v>0.57270833333333371</v>
      </c>
      <c r="V12" s="21">
        <v>0.58710416666666654</v>
      </c>
      <c r="W12" s="21">
        <v>0.58100000000000018</v>
      </c>
      <c r="X12" s="21">
        <v>0.4585416666666669</v>
      </c>
      <c r="Y12" s="21">
        <v>0.45589583333333356</v>
      </c>
      <c r="Z12" s="21">
        <v>0.40556250000000021</v>
      </c>
      <c r="AA12" s="21">
        <v>0.19675694444444447</v>
      </c>
      <c r="AB12" s="24">
        <f>AVERAGE(S12,W12)</f>
        <v>0.49965625000000002</v>
      </c>
      <c r="AC12" s="24">
        <f>AVERAGE(T12:V12,X12:Z12)</f>
        <v>0.49982638888888914</v>
      </c>
      <c r="AD12" s="24">
        <f t="shared" si="3"/>
        <v>0.49979545454545471</v>
      </c>
    </row>
    <row r="13" spans="1:34">
      <c r="A13" s="9">
        <v>43724</v>
      </c>
      <c r="B13" s="3">
        <v>140.86474893769213</v>
      </c>
      <c r="C13" s="3">
        <v>168.75116748101016</v>
      </c>
      <c r="D13" s="3">
        <v>253.59845831364268</v>
      </c>
      <c r="E13" s="3">
        <v>194.60186741355625</v>
      </c>
      <c r="F13" s="3">
        <v>248.53427387773965</v>
      </c>
      <c r="G13" s="3">
        <f>(B13-$B$2)/$B$1</f>
        <v>0.15183487061162015</v>
      </c>
      <c r="H13" s="3">
        <f>((C13-$C$2)/$C$1+(D13-$D$2)/$D$1+(E13-$E$2)/$E$1+(F13-$F$2)/$F$1)/4</f>
        <v>0.2541711201275168</v>
      </c>
      <c r="I13" s="19">
        <v>43724</v>
      </c>
      <c r="J13" s="20">
        <v>146.02083333333334</v>
      </c>
      <c r="K13" s="20">
        <v>79.733333333333306</v>
      </c>
      <c r="L13" s="20">
        <v>20.093749999999996</v>
      </c>
      <c r="M13" s="20">
        <v>1.7</v>
      </c>
      <c r="N13" s="20">
        <v>185.72916666666666</v>
      </c>
      <c r="O13" s="20">
        <v>3.375</v>
      </c>
      <c r="P13" s="20">
        <v>6.25E-2</v>
      </c>
      <c r="Q13" s="20">
        <v>16.320833333333333</v>
      </c>
      <c r="R13" s="10">
        <v>0.52871269649274466</v>
      </c>
      <c r="S13" s="21">
        <v>0.39064583333333336</v>
      </c>
      <c r="T13" s="21">
        <v>0.50650000000000028</v>
      </c>
      <c r="U13" s="21">
        <v>0.56341666666666679</v>
      </c>
      <c r="V13" s="21">
        <v>0.58310416666666631</v>
      </c>
      <c r="W13" s="21">
        <v>0.56420833333333331</v>
      </c>
      <c r="X13" s="21">
        <v>0.4475208333333332</v>
      </c>
      <c r="Y13" s="21">
        <v>0.44945833333333352</v>
      </c>
      <c r="Z13" s="21">
        <v>0.3999791666666665</v>
      </c>
      <c r="AA13" s="21">
        <v>0.18083333333333337</v>
      </c>
      <c r="AB13" s="24">
        <f>AVERAGE(S13,W13)</f>
        <v>0.47742708333333334</v>
      </c>
      <c r="AC13" s="24">
        <f>AVERAGE(T13:V13,X13:Z13)</f>
        <v>0.49166319444444434</v>
      </c>
      <c r="AD13" s="24">
        <f t="shared" si="3"/>
        <v>0.48907481060606051</v>
      </c>
    </row>
    <row r="14" spans="1:34">
      <c r="A14" s="9">
        <v>43725</v>
      </c>
      <c r="B14" s="3">
        <v>188.73205703920837</v>
      </c>
      <c r="C14" s="3">
        <v>237.93485771682657</v>
      </c>
      <c r="D14" s="3">
        <v>250.9228528407875</v>
      </c>
      <c r="E14" s="3">
        <v>206.81993403700309</v>
      </c>
      <c r="F14" s="3">
        <v>221.10658318633483</v>
      </c>
      <c r="G14" s="3">
        <f>(B14-$B$2)/$B$1</f>
        <v>0.20551286307315486</v>
      </c>
      <c r="H14" s="3">
        <f>((C14-$C$2)/$C$1+(D14-$D$2)/$D$1+(E14-$E$2)/$E$1+(F14-$F$2)/$F$1)/4</f>
        <v>0.26566111760471312</v>
      </c>
      <c r="I14" s="19">
        <v>43725</v>
      </c>
      <c r="J14" s="20">
        <v>169.47916666666666</v>
      </c>
      <c r="K14" s="20">
        <v>77.00624999999998</v>
      </c>
      <c r="L14" s="20">
        <v>21.797916666666676</v>
      </c>
      <c r="M14" s="20">
        <v>0</v>
      </c>
      <c r="N14" s="20">
        <v>143.8125</v>
      </c>
      <c r="O14" s="20">
        <v>6.666666666666667</v>
      </c>
      <c r="P14" s="20">
        <v>0.47916666666666669</v>
      </c>
      <c r="Q14" s="20">
        <v>17.364583333333332</v>
      </c>
      <c r="R14" s="10">
        <v>0.66831989735542818</v>
      </c>
      <c r="S14" s="21">
        <v>0.36216666666666658</v>
      </c>
      <c r="T14" s="21">
        <v>0.49324999999999997</v>
      </c>
      <c r="U14" s="21">
        <v>0.5523125000000001</v>
      </c>
      <c r="V14" s="21">
        <v>0.57843749999999983</v>
      </c>
      <c r="W14" s="21">
        <v>0.54887500000000022</v>
      </c>
      <c r="X14" s="21">
        <v>0.4371666666666667</v>
      </c>
      <c r="Y14" s="21">
        <v>0.44293749999999982</v>
      </c>
      <c r="Z14" s="21">
        <v>0.39400000000000013</v>
      </c>
      <c r="AA14" s="21">
        <v>0.17097916666666671</v>
      </c>
      <c r="AB14" s="24">
        <f>AVERAGE(S14,W14)</f>
        <v>0.45552083333333337</v>
      </c>
      <c r="AC14" s="24">
        <f>AVERAGE(T14:V14,X14:Z14)</f>
        <v>0.48301736111111104</v>
      </c>
      <c r="AD14" s="24">
        <f t="shared" si="3"/>
        <v>0.47801799242424231</v>
      </c>
    </row>
    <row r="15" spans="1:34">
      <c r="A15" s="9">
        <v>43726</v>
      </c>
      <c r="B15" s="3">
        <v>37.065139482546307</v>
      </c>
      <c r="C15" s="3">
        <v>62.406619121085946</v>
      </c>
      <c r="D15" s="3">
        <v>156.70997916363171</v>
      </c>
      <c r="E15" s="3">
        <v>83.173440504841253</v>
      </c>
      <c r="F15" s="3">
        <v>173.15426922305301</v>
      </c>
      <c r="G15" s="3">
        <f>(B15-$B$2)/$B$1</f>
        <v>3.5434870803252562E-2</v>
      </c>
      <c r="H15" s="3">
        <f>((C15-$C$2)/$C$1+(D15-$D$2)/$D$1+(E15-$E$2)/$E$1+(F15-$F$2)/$F$1)/4</f>
        <v>0.13347296037541354</v>
      </c>
      <c r="I15" s="19">
        <v>43726</v>
      </c>
      <c r="J15" s="20">
        <v>78.645833333333329</v>
      </c>
      <c r="K15" s="20">
        <v>81.414583333333368</v>
      </c>
      <c r="L15" s="20">
        <v>17.931249999999995</v>
      </c>
      <c r="M15" s="20">
        <v>0.4</v>
      </c>
      <c r="N15" s="20">
        <v>211.66666666666666</v>
      </c>
      <c r="O15" s="20">
        <v>4.1875</v>
      </c>
      <c r="P15" s="20">
        <v>6.25E-2</v>
      </c>
      <c r="Q15" s="20">
        <v>14.670833333333333</v>
      </c>
      <c r="R15" s="10">
        <v>0.38986425873090225</v>
      </c>
      <c r="S15" s="21">
        <v>0.33931250000000013</v>
      </c>
      <c r="T15" s="21">
        <v>0.47845833333333315</v>
      </c>
      <c r="U15" s="21">
        <v>0.54164583333333327</v>
      </c>
      <c r="V15" s="21">
        <v>0.57285416666666678</v>
      </c>
      <c r="W15" s="21">
        <v>0.53212500000000007</v>
      </c>
      <c r="X15" s="21">
        <v>0.4261875</v>
      </c>
      <c r="Y15" s="21">
        <v>0.43520833333333325</v>
      </c>
      <c r="Z15" s="21">
        <v>0.38750000000000001</v>
      </c>
      <c r="AA15" s="21">
        <v>0.15910416666666671</v>
      </c>
      <c r="AB15" s="24">
        <f>AVERAGE(S15,W15)</f>
        <v>0.4357187500000001</v>
      </c>
      <c r="AC15" s="24">
        <f>AVERAGE(T15:V15,X15:Z15)</f>
        <v>0.47364236111111113</v>
      </c>
      <c r="AD15" s="24">
        <f t="shared" si="3"/>
        <v>0.46674715909090919</v>
      </c>
    </row>
    <row r="16" spans="1:34">
      <c r="A16" s="9">
        <v>43728</v>
      </c>
      <c r="B16" s="3">
        <v>102.2269956389337</v>
      </c>
      <c r="C16" s="3">
        <v>306.95241922178735</v>
      </c>
      <c r="D16" s="3">
        <v>59.477474916043619</v>
      </c>
      <c r="E16" s="3">
        <v>126.09550117085816</v>
      </c>
      <c r="F16" s="3">
        <v>121.34787925496128</v>
      </c>
      <c r="G16" s="3">
        <f>(B16-$B$2)/$B$1</f>
        <v>0.10850682246019933</v>
      </c>
      <c r="H16" s="3">
        <f>((C16-$C$2)/$C$1+(D16-$D$2)/$D$1+(E16-$E$2)/$E$1+(F16-$F$2)/$F$1)/4</f>
        <v>0.16719802890355948</v>
      </c>
      <c r="I16" s="19">
        <v>43728</v>
      </c>
      <c r="J16" s="20">
        <v>85.75</v>
      </c>
      <c r="K16" s="20">
        <v>80.874999999999986</v>
      </c>
      <c r="L16" s="20">
        <v>16.810416666666669</v>
      </c>
      <c r="M16" s="20">
        <v>0.2</v>
      </c>
      <c r="N16" s="20">
        <v>221.91666666666666</v>
      </c>
      <c r="O16" s="20">
        <v>5.645833333333333</v>
      </c>
      <c r="P16" s="20">
        <v>0</v>
      </c>
      <c r="Q16" s="20">
        <v>13.431249999999999</v>
      </c>
      <c r="R16" s="10">
        <v>0.37091707540141688</v>
      </c>
      <c r="S16" s="21">
        <v>0.3199583333333334</v>
      </c>
      <c r="T16" s="21">
        <v>0.45935416666666656</v>
      </c>
      <c r="U16" s="21">
        <v>0.52818749999999992</v>
      </c>
      <c r="V16" s="21">
        <v>0.56306249999999991</v>
      </c>
      <c r="W16" s="21">
        <v>0.51564583333333369</v>
      </c>
      <c r="X16" s="21">
        <v>0.41556250000000006</v>
      </c>
      <c r="Y16" s="21">
        <v>0.42677083333333315</v>
      </c>
      <c r="Z16" s="21">
        <v>0.38014583333333324</v>
      </c>
      <c r="AA16" s="21">
        <v>0.15718055555555552</v>
      </c>
      <c r="AB16" s="24">
        <f>AVERAGE(S16,W16)</f>
        <v>0.41780208333333357</v>
      </c>
      <c r="AC16" s="24">
        <f>AVERAGE(T16:V16,X16:Z16)</f>
        <v>0.46218055555555554</v>
      </c>
      <c r="AD16" s="24">
        <f t="shared" si="3"/>
        <v>0.4541117424242424</v>
      </c>
    </row>
    <row r="17" spans="1:30">
      <c r="A17" s="9">
        <v>43729</v>
      </c>
      <c r="B17" s="3">
        <v>314.60788932808975</v>
      </c>
      <c r="C17" s="3">
        <v>463.26285357682951</v>
      </c>
      <c r="D17" s="3">
        <v>172.28894282045817</v>
      </c>
      <c r="E17" s="3">
        <v>276.4953538745475</v>
      </c>
      <c r="F17" s="3">
        <v>161.19613700031096</v>
      </c>
      <c r="G17" s="3">
        <f>(B17-$B$2)/$B$1</f>
        <v>0.34666895153257576</v>
      </c>
      <c r="H17" s="3">
        <f>((C17-$C$2)/$C$1+(D17-$D$2)/$D$1+(E17-$E$2)/$E$1+(F17-$F$2)/$F$1)/4</f>
        <v>0.30448011613967657</v>
      </c>
      <c r="I17" s="19">
        <v>43729</v>
      </c>
      <c r="J17" s="20">
        <v>158.72916666666666</v>
      </c>
      <c r="K17" s="20">
        <v>63.56458333333331</v>
      </c>
      <c r="L17" s="20">
        <v>17.377083333333335</v>
      </c>
      <c r="M17" s="20">
        <v>0</v>
      </c>
      <c r="N17" s="20">
        <v>226.85416666666666</v>
      </c>
      <c r="O17" s="20">
        <v>5.958333333333333</v>
      </c>
      <c r="P17" s="20">
        <v>6.25E-2</v>
      </c>
      <c r="Q17" s="20">
        <v>10.141666666666667</v>
      </c>
      <c r="R17" s="10">
        <v>0.77102237544459762</v>
      </c>
      <c r="S17" s="21">
        <v>0.30506250000000007</v>
      </c>
      <c r="T17" s="21">
        <v>0.44341666666666674</v>
      </c>
      <c r="U17" s="21">
        <v>0.5152916666666667</v>
      </c>
      <c r="V17" s="21">
        <v>0.55452083333333324</v>
      </c>
      <c r="W17" s="21">
        <v>0.50022916666666661</v>
      </c>
      <c r="X17" s="21">
        <v>0.40375000000000005</v>
      </c>
      <c r="Y17" s="21">
        <v>0.41677083333333331</v>
      </c>
      <c r="Z17" s="21">
        <v>0.37210416666666685</v>
      </c>
      <c r="AA17" s="21">
        <v>0.14757638888888891</v>
      </c>
      <c r="AB17" s="24">
        <f>AVERAGE(S17,W17)</f>
        <v>0.40264583333333337</v>
      </c>
      <c r="AC17" s="24">
        <f>AVERAGE(T17:V17,X17:Z17)</f>
        <v>0.45097569444444452</v>
      </c>
      <c r="AD17" s="24">
        <f t="shared" si="3"/>
        <v>0.44218844696969706</v>
      </c>
    </row>
    <row r="18" spans="1:30">
      <c r="A18" s="9">
        <v>43730</v>
      </c>
      <c r="B18" s="3">
        <v>315.27433550875509</v>
      </c>
      <c r="C18" s="3">
        <v>225.86725278495049</v>
      </c>
      <c r="D18" s="3">
        <v>182.7344861584653</v>
      </c>
      <c r="E18" s="3">
        <v>194.2906439075031</v>
      </c>
      <c r="F18" s="3">
        <v>170.39837601385011</v>
      </c>
      <c r="G18" s="3">
        <f>(B18-$B$2)/$B$1</f>
        <v>0.3474162986151797</v>
      </c>
      <c r="H18" s="3">
        <f>((C18-$C$2)/$C$1+(D18-$D$2)/$D$1+(E18-$E$2)/$E$1+(F18-$F$2)/$F$1)/4</f>
        <v>0.21963180558480547</v>
      </c>
      <c r="I18" s="19">
        <v>43730</v>
      </c>
      <c r="J18" s="20">
        <v>176.29166666666666</v>
      </c>
      <c r="K18" s="20">
        <v>63.989583333333321</v>
      </c>
      <c r="L18" s="20">
        <v>17.012499999999992</v>
      </c>
      <c r="M18" s="20">
        <v>0</v>
      </c>
      <c r="N18" s="20">
        <v>184.58333333333334</v>
      </c>
      <c r="O18" s="20">
        <v>3.375</v>
      </c>
      <c r="P18" s="20">
        <v>6.25E-2</v>
      </c>
      <c r="Q18" s="20">
        <v>9.8687500000000021</v>
      </c>
      <c r="R18" s="10">
        <v>0.76926874498538378</v>
      </c>
      <c r="S18" s="21">
        <v>0.2913541666666668</v>
      </c>
      <c r="T18" s="21">
        <v>0.42650000000000016</v>
      </c>
      <c r="U18" s="21">
        <v>0.50162499999999988</v>
      </c>
      <c r="V18" s="21">
        <v>0.54337500000000005</v>
      </c>
      <c r="W18" s="21">
        <v>0.4852708333333336</v>
      </c>
      <c r="X18" s="21">
        <v>0.3887916666666667</v>
      </c>
      <c r="Y18" s="21">
        <v>0.40362499999999985</v>
      </c>
      <c r="Z18" s="21">
        <v>0.36208333333333348</v>
      </c>
      <c r="AA18" s="21">
        <v>0.13909027777777785</v>
      </c>
      <c r="AB18" s="24">
        <f>AVERAGE(S18,W18)</f>
        <v>0.38831250000000017</v>
      </c>
      <c r="AC18" s="24">
        <f>AVERAGE(T18:V18,X18:Z18)</f>
        <v>0.4376666666666667</v>
      </c>
      <c r="AD18" s="24">
        <f t="shared" si="3"/>
        <v>0.42869318181818183</v>
      </c>
    </row>
    <row r="19" spans="1:30">
      <c r="A19" s="9">
        <v>43731</v>
      </c>
      <c r="B19" s="3">
        <v>330.89819799347612</v>
      </c>
      <c r="C19" s="3">
        <v>247.81604519295962</v>
      </c>
      <c r="D19" s="3">
        <v>216.16551984329863</v>
      </c>
      <c r="E19" s="3">
        <v>183.84298052976436</v>
      </c>
      <c r="F19" s="3">
        <v>203.58479402639648</v>
      </c>
      <c r="G19" s="3">
        <f>(B19-$B$2)/$B$1</f>
        <v>0.36493676521205409</v>
      </c>
      <c r="H19" s="3">
        <f>((C19-$C$2)/$C$1+(D19-$D$2)/$D$1+(E19-$E$2)/$E$1+(F19-$F$2)/$F$1)/4</f>
        <v>0.24467395955813331</v>
      </c>
      <c r="I19" s="19">
        <v>43731</v>
      </c>
      <c r="J19" s="20">
        <v>234.79166666666666</v>
      </c>
      <c r="K19" s="20">
        <v>59.095833333333331</v>
      </c>
      <c r="L19" s="20">
        <v>17.879166666666663</v>
      </c>
      <c r="M19" s="20">
        <v>0</v>
      </c>
      <c r="N19" s="20">
        <v>135.39583333333334</v>
      </c>
      <c r="O19" s="20">
        <v>3.5</v>
      </c>
      <c r="P19" s="20">
        <v>0.10416666666666667</v>
      </c>
      <c r="Q19" s="20">
        <v>8.9187500000000011</v>
      </c>
      <c r="R19" s="10">
        <v>0.96526494631767956</v>
      </c>
      <c r="S19" s="21">
        <v>0.2812708333333333</v>
      </c>
      <c r="T19" s="21">
        <v>0.41024999999999984</v>
      </c>
      <c r="U19" s="21">
        <v>0.4899583333333335</v>
      </c>
      <c r="V19" s="21">
        <v>0.53179166666666655</v>
      </c>
      <c r="W19" s="21">
        <v>0.47316666666666696</v>
      </c>
      <c r="X19" s="21">
        <v>0.37624999999999997</v>
      </c>
      <c r="Y19" s="21">
        <v>0.39170833333333355</v>
      </c>
      <c r="Z19" s="21">
        <v>0.35291666666666677</v>
      </c>
      <c r="AA19" s="21">
        <v>0.13290277777777779</v>
      </c>
      <c r="AB19" s="24">
        <f>AVERAGE(S19,W19)</f>
        <v>0.37721875000000016</v>
      </c>
      <c r="AC19" s="24">
        <f>AVERAGE(T19:V19,X19:Z19)</f>
        <v>0.42547916666666669</v>
      </c>
      <c r="AD19" s="24">
        <f t="shared" si="3"/>
        <v>0.41670454545454549</v>
      </c>
    </row>
    <row r="20" spans="1:30">
      <c r="A20" s="9">
        <v>43732</v>
      </c>
      <c r="B20" s="3">
        <v>283.64765477668129</v>
      </c>
      <c r="C20" s="3">
        <v>200.83854275082552</v>
      </c>
      <c r="D20" s="3">
        <v>241.9870538635046</v>
      </c>
      <c r="E20" s="3">
        <v>154.68600203133852</v>
      </c>
      <c r="F20" s="3">
        <v>189.87013782781722</v>
      </c>
      <c r="G20" s="3">
        <f>(B20-$B$2)/$B$1</f>
        <v>0.31195040765011317</v>
      </c>
      <c r="H20" s="3">
        <f>((C20-$C$2)/$C$1+(D20-$D$2)/$D$1+(E20-$E$2)/$E$1+(F20-$F$2)/$F$1)/4</f>
        <v>0.22438809498599205</v>
      </c>
      <c r="I20" s="19">
        <v>43732</v>
      </c>
      <c r="J20" s="20">
        <v>215.625</v>
      </c>
      <c r="K20" s="20">
        <v>55.829166666666652</v>
      </c>
      <c r="L20" s="20">
        <v>17.902083333333337</v>
      </c>
      <c r="M20" s="20">
        <v>0</v>
      </c>
      <c r="N20" s="20">
        <v>149.45833333333334</v>
      </c>
      <c r="O20" s="20">
        <v>3.625</v>
      </c>
      <c r="P20" s="20">
        <v>6.25E-2</v>
      </c>
      <c r="Q20" s="20">
        <v>8.4729166666666682</v>
      </c>
      <c r="R20" s="10">
        <v>1.0088886127981549</v>
      </c>
      <c r="S20" s="21">
        <v>0.27243749999999994</v>
      </c>
      <c r="T20" s="21">
        <v>0.39362499999999989</v>
      </c>
      <c r="U20" s="21">
        <v>0.47820833333333296</v>
      </c>
      <c r="V20" s="21">
        <v>0.51895833333333352</v>
      </c>
      <c r="W20" s="21">
        <v>0.46189583333333312</v>
      </c>
      <c r="X20" s="21">
        <v>0.36435416666666676</v>
      </c>
      <c r="Y20" s="21">
        <v>0.38066666666666671</v>
      </c>
      <c r="Z20" s="21">
        <v>0.34318749999999998</v>
      </c>
      <c r="AA20" s="21">
        <v>0.12647222222222218</v>
      </c>
      <c r="AB20" s="24">
        <f>AVERAGE(S20,W20)</f>
        <v>0.36716666666666653</v>
      </c>
      <c r="AC20" s="24">
        <f>AVERAGE(T20:V20,X20:Z20)</f>
        <v>0.41316666666666668</v>
      </c>
      <c r="AD20" s="24">
        <f t="shared" si="3"/>
        <v>0.40480303030303033</v>
      </c>
    </row>
    <row r="21" spans="1:30">
      <c r="A21" s="9">
        <v>43733</v>
      </c>
      <c r="B21" s="3">
        <v>123.87336868697716</v>
      </c>
      <c r="C21" s="3">
        <v>153.79172314664635</v>
      </c>
      <c r="D21" s="3">
        <v>208.88202929273925</v>
      </c>
      <c r="E21" s="3">
        <v>100.59301573372758</v>
      </c>
      <c r="F21" s="3">
        <v>248.61086684250694</v>
      </c>
      <c r="G21" s="3">
        <f>(B21-$B$2)/$B$1</f>
        <v>0.13278088121504372</v>
      </c>
      <c r="H21" s="3">
        <f>((C21-$C$2)/$C$1+(D21-$D$2)/$D$1+(E21-$E$2)/$E$1+(F21-$F$2)/$F$1)/4</f>
        <v>0.20814592614307714</v>
      </c>
      <c r="I21" s="19">
        <v>43733</v>
      </c>
      <c r="J21" s="20">
        <v>99.125</v>
      </c>
      <c r="K21" s="20">
        <v>74.489583333333329</v>
      </c>
      <c r="L21" s="20">
        <v>16.41041666666667</v>
      </c>
      <c r="M21" s="20">
        <v>0.2</v>
      </c>
      <c r="N21" s="20">
        <v>209.70833333333334</v>
      </c>
      <c r="O21" s="20">
        <v>1.8541666666666667</v>
      </c>
      <c r="P21" s="20">
        <v>0</v>
      </c>
      <c r="Q21" s="20">
        <v>11.695833333333335</v>
      </c>
      <c r="R21" s="10">
        <v>0.50482454455497494</v>
      </c>
      <c r="S21" s="21">
        <v>0.26637500000000014</v>
      </c>
      <c r="T21" s="21">
        <v>0.37997916666666659</v>
      </c>
      <c r="U21" s="21">
        <v>0.46827083333333325</v>
      </c>
      <c r="V21" s="21">
        <v>0.50756250000000014</v>
      </c>
      <c r="W21" s="21">
        <v>0.45422916666666696</v>
      </c>
      <c r="X21" s="21">
        <v>0.35608333333333325</v>
      </c>
      <c r="Y21" s="21">
        <v>0.37231249999999982</v>
      </c>
      <c r="Z21" s="21">
        <v>0.33522916666666686</v>
      </c>
      <c r="AA21" s="21">
        <v>0.12169444444444444</v>
      </c>
      <c r="AB21" s="24">
        <f>AVERAGE(S21,W21)</f>
        <v>0.36030208333333358</v>
      </c>
      <c r="AC21" s="24">
        <f>AVERAGE(T21:V21,X21:Z21)</f>
        <v>0.40323958333333326</v>
      </c>
      <c r="AD21" s="24">
        <f t="shared" si="3"/>
        <v>0.3954327651515151</v>
      </c>
    </row>
    <row r="22" spans="1:30">
      <c r="A22" s="9">
        <v>43734</v>
      </c>
      <c r="B22" s="3">
        <v>195.80393189735526</v>
      </c>
      <c r="C22" s="3">
        <v>270.64989681735727</v>
      </c>
      <c r="D22" s="3">
        <v>250.08237536703703</v>
      </c>
      <c r="E22" s="3">
        <v>187.12407463412495</v>
      </c>
      <c r="F22" s="3">
        <v>289.4738482291217</v>
      </c>
      <c r="G22" s="3">
        <f>(B22-$B$2)/$B$1</f>
        <v>0.21344320343237178</v>
      </c>
      <c r="H22" s="3">
        <f>((C22-$C$2)/$C$1+(D22-$D$2)/$D$1+(E22-$E$2)/$E$1+(F22-$F$2)/$F$1)/4</f>
        <v>0.29497139903035985</v>
      </c>
      <c r="I22" s="19">
        <v>43734</v>
      </c>
      <c r="J22" s="20">
        <v>146.35416666666666</v>
      </c>
      <c r="K22" s="20">
        <v>75.202083333333334</v>
      </c>
      <c r="L22" s="20">
        <v>17.518749999999994</v>
      </c>
      <c r="M22" s="20">
        <v>0.2</v>
      </c>
      <c r="N22" s="20">
        <v>215.75</v>
      </c>
      <c r="O22" s="20">
        <v>3</v>
      </c>
      <c r="P22" s="20">
        <v>0.10416666666666667</v>
      </c>
      <c r="Q22" s="20">
        <v>12.70833333333333</v>
      </c>
      <c r="R22" s="10">
        <v>0.57264237716381439</v>
      </c>
      <c r="S22" s="21">
        <v>0.26210416666666642</v>
      </c>
      <c r="T22" s="21">
        <v>0.36897916666666658</v>
      </c>
      <c r="U22" s="21">
        <v>0.46020833333333355</v>
      </c>
      <c r="V22" s="21">
        <v>0.49799999999999994</v>
      </c>
      <c r="W22" s="21">
        <v>0.44933333333333336</v>
      </c>
      <c r="X22" s="21">
        <v>0.35052083333333345</v>
      </c>
      <c r="Y22" s="21">
        <v>0.36689583333333342</v>
      </c>
      <c r="Z22" s="21">
        <v>0.32947916666666682</v>
      </c>
      <c r="AA22" s="21">
        <v>0.11978472222222229</v>
      </c>
      <c r="AB22" s="24">
        <f>AVERAGE(S22,W22)</f>
        <v>0.35571874999999986</v>
      </c>
      <c r="AC22" s="24">
        <f>AVERAGE(T22:V22,X22:Z22)</f>
        <v>0.39568055555555559</v>
      </c>
      <c r="AD22" s="24">
        <f t="shared" si="3"/>
        <v>0.38841477272727276</v>
      </c>
    </row>
    <row r="23" spans="1:30">
      <c r="A23" s="9">
        <v>43735</v>
      </c>
      <c r="B23" s="3">
        <v>221.37754286428228</v>
      </c>
      <c r="C23" s="3">
        <v>331.27302053209797</v>
      </c>
      <c r="D23" s="3">
        <v>313.26592657850694</v>
      </c>
      <c r="E23" s="3">
        <v>272.35274129648491</v>
      </c>
      <c r="F23" s="3">
        <v>244.73789150460368</v>
      </c>
      <c r="G23" s="3">
        <f>(B23-$B$2)/$B$1</f>
        <v>0.24212123341027744</v>
      </c>
      <c r="H23" s="3">
        <f>((C23-$C$2)/$C$1+(D23-$D$2)/$D$1+(E23-$E$2)/$E$1+(F23-$F$2)/$F$1)/4</f>
        <v>0.33856340133332807</v>
      </c>
      <c r="I23" s="19">
        <v>43735</v>
      </c>
      <c r="J23" s="20">
        <v>189.4375</v>
      </c>
      <c r="K23" s="20">
        <v>70.277083333333337</v>
      </c>
      <c r="L23" s="20">
        <v>18.497916666666661</v>
      </c>
      <c r="M23" s="20">
        <v>0</v>
      </c>
      <c r="N23" s="20">
        <v>154.9375</v>
      </c>
      <c r="O23" s="20">
        <v>2.8333333333333335</v>
      </c>
      <c r="P23" s="20">
        <v>4.1666666666666664E-2</v>
      </c>
      <c r="Q23" s="20">
        <v>12.406250000000002</v>
      </c>
      <c r="R23" s="10">
        <v>0.7514161818546925</v>
      </c>
      <c r="S23" s="21">
        <v>0.25879166666666636</v>
      </c>
      <c r="T23" s="21">
        <v>0.36010416666666661</v>
      </c>
      <c r="U23" s="21">
        <v>0.45318749999999991</v>
      </c>
      <c r="V23" s="21">
        <v>0.48779166666666701</v>
      </c>
      <c r="W23" s="21">
        <v>0.44477083333333362</v>
      </c>
      <c r="X23" s="21">
        <v>0.34527083333333336</v>
      </c>
      <c r="Y23" s="21">
        <v>0.36102083333333335</v>
      </c>
      <c r="Z23" s="21">
        <v>0.32335416666666672</v>
      </c>
      <c r="AA23" s="21">
        <v>0.11728472222222219</v>
      </c>
      <c r="AB23" s="24">
        <f>AVERAGE(S23,W23)</f>
        <v>0.35178124999999999</v>
      </c>
      <c r="AC23" s="24">
        <f>AVERAGE(T23:V23,X23:Z23)</f>
        <v>0.38845486111111122</v>
      </c>
      <c r="AD23" s="24">
        <f t="shared" si="3"/>
        <v>0.38178693181818191</v>
      </c>
    </row>
    <row r="24" spans="1:30">
      <c r="A24" s="9">
        <v>43736</v>
      </c>
      <c r="B24" s="3">
        <v>248.85434297205077</v>
      </c>
      <c r="C24" s="3">
        <v>363.10057104686075</v>
      </c>
      <c r="D24" s="3">
        <v>334.58074710157621</v>
      </c>
      <c r="E24" s="3">
        <v>323.51593698708393</v>
      </c>
      <c r="F24" s="3">
        <v>298.70697951547021</v>
      </c>
      <c r="G24" s="3">
        <f>(B24-$B$2)/$B$1</f>
        <v>0.27293348351475272</v>
      </c>
      <c r="H24" s="3">
        <f>((C24-$C$2)/$C$1+(D24-$D$2)/$D$1+(E24-$E$2)/$E$1+(F24-$F$2)/$F$1)/4</f>
        <v>0.39039440614834003</v>
      </c>
      <c r="I24" s="19">
        <v>43736</v>
      </c>
      <c r="J24" s="20">
        <v>237.97916666666666</v>
      </c>
      <c r="K24" s="20">
        <v>62.831250000000011</v>
      </c>
      <c r="L24" s="20">
        <v>19.14791666666666</v>
      </c>
      <c r="M24" s="20">
        <v>0</v>
      </c>
      <c r="N24" s="20">
        <v>127.29166666666667</v>
      </c>
      <c r="O24" s="20">
        <v>4.166666666666667</v>
      </c>
      <c r="P24" s="20">
        <v>0.16666666666666666</v>
      </c>
      <c r="Q24" s="20">
        <v>11.035416666666665</v>
      </c>
      <c r="R24" s="10">
        <v>1.0047445943660289</v>
      </c>
      <c r="S24" s="21">
        <v>0.25504166666666656</v>
      </c>
      <c r="T24" s="21">
        <v>0.35235416666666669</v>
      </c>
      <c r="U24" s="21">
        <v>0.44533333333333319</v>
      </c>
      <c r="V24" s="21">
        <v>0.47745833333333326</v>
      </c>
      <c r="W24" s="21">
        <v>0.4389375000000002</v>
      </c>
      <c r="X24" s="21">
        <v>0.33977083333333319</v>
      </c>
      <c r="Y24" s="21">
        <v>0.35447916666666668</v>
      </c>
      <c r="Z24" s="21">
        <v>0.31691666666666674</v>
      </c>
      <c r="AA24" s="21">
        <v>0.11454166666666672</v>
      </c>
      <c r="AB24" s="24">
        <f>AVERAGE(S24,W24)</f>
        <v>0.34698958333333341</v>
      </c>
      <c r="AC24" s="24">
        <f>AVERAGE(T24:V24,X24:Z24)</f>
        <v>0.38105208333333329</v>
      </c>
      <c r="AD24" s="24">
        <f t="shared" si="3"/>
        <v>0.37485890151515144</v>
      </c>
    </row>
    <row r="25" spans="1:30">
      <c r="A25" s="9">
        <v>43737</v>
      </c>
      <c r="B25" s="3">
        <v>241.7034519127011</v>
      </c>
      <c r="C25" s="3">
        <v>329.40098061757413</v>
      </c>
      <c r="D25" s="3">
        <v>281.8688208453965</v>
      </c>
      <c r="E25" s="3">
        <v>267.71089971132898</v>
      </c>
      <c r="F25" s="3">
        <v>270.57007460082315</v>
      </c>
      <c r="G25" s="3">
        <f>(B25-$B$2)/$B$1</f>
        <v>0.26491453505909746</v>
      </c>
      <c r="H25" s="3">
        <f>((C25-$C$2)/$C$1+(D25-$D$2)/$D$1+(E25-$E$2)/$E$1+(F25-$F$2)/$F$1)/4</f>
        <v>0.33793629705869005</v>
      </c>
      <c r="I25" s="19">
        <v>43737</v>
      </c>
      <c r="J25" s="20">
        <v>242.375</v>
      </c>
      <c r="K25" s="20">
        <v>60.160416666666656</v>
      </c>
      <c r="L25" s="20">
        <v>19.920833333333331</v>
      </c>
      <c r="M25" s="20">
        <v>0</v>
      </c>
      <c r="N25" s="20">
        <v>149.85416666666666</v>
      </c>
      <c r="O25" s="20">
        <v>4.6875</v>
      </c>
      <c r="P25" s="20">
        <v>0.33333333333333331</v>
      </c>
      <c r="Q25" s="20">
        <v>11.212500000000004</v>
      </c>
      <c r="R25" s="10">
        <v>1.0988046699013785</v>
      </c>
      <c r="S25" s="21">
        <v>0.25162499999999988</v>
      </c>
      <c r="T25" s="21">
        <v>0.34520833333333334</v>
      </c>
      <c r="U25" s="21">
        <v>0.43697916666666686</v>
      </c>
      <c r="V25" s="21">
        <v>0.46599999999999991</v>
      </c>
      <c r="W25" s="21">
        <v>0.43381249999999971</v>
      </c>
      <c r="X25" s="21">
        <v>0.33433333333333359</v>
      </c>
      <c r="Y25" s="21">
        <v>0.34756250000000005</v>
      </c>
      <c r="Z25" s="21">
        <v>0.3101875</v>
      </c>
      <c r="AA25" s="21">
        <v>0.11177083333333339</v>
      </c>
      <c r="AB25" s="24">
        <f>AVERAGE(S25,W25)</f>
        <v>0.34271874999999979</v>
      </c>
      <c r="AC25" s="24">
        <f>AVERAGE(T25:V25,X25:Z25)</f>
        <v>0.37337847222222226</v>
      </c>
      <c r="AD25" s="24">
        <f t="shared" si="3"/>
        <v>0.36780397727272729</v>
      </c>
    </row>
    <row r="26" spans="1:30">
      <c r="A26" s="9">
        <v>43738</v>
      </c>
      <c r="B26" s="3">
        <v>246.65322255858575</v>
      </c>
      <c r="C26" s="3">
        <v>282.27203397865247</v>
      </c>
      <c r="D26" s="3">
        <v>211.95163398299439</v>
      </c>
      <c r="E26" s="3">
        <v>162.21638693098615</v>
      </c>
      <c r="F26" s="3">
        <v>165.37448299613479</v>
      </c>
      <c r="G26" s="3">
        <f>(B26-$B$2)/$B$1</f>
        <v>0.27046516579130081</v>
      </c>
      <c r="H26" s="3">
        <f>((C26-$C$2)/$C$1+(D26-$D$2)/$D$1+(E26-$E$2)/$E$1+(F26-$F$2)/$F$1)/4</f>
        <v>0.23132232813113593</v>
      </c>
      <c r="I26" s="19">
        <v>43738</v>
      </c>
      <c r="J26" s="20">
        <v>184.72916666666666</v>
      </c>
      <c r="K26" s="20">
        <v>61.862499999999983</v>
      </c>
      <c r="L26" s="20">
        <v>20.799999999999994</v>
      </c>
      <c r="M26" s="20">
        <v>0</v>
      </c>
      <c r="N26" s="20">
        <v>133.20833333333334</v>
      </c>
      <c r="O26" s="20">
        <v>7.041666666666667</v>
      </c>
      <c r="P26" s="20">
        <v>0.5625</v>
      </c>
      <c r="Q26" s="20">
        <v>12.94791666666667</v>
      </c>
      <c r="R26" s="10">
        <v>1.0107989586155188</v>
      </c>
      <c r="S26" s="21">
        <v>0.24877083333333314</v>
      </c>
      <c r="T26" s="21">
        <v>0.33920833333333333</v>
      </c>
      <c r="U26" s="21">
        <v>0.43056250000000013</v>
      </c>
      <c r="V26" s="21">
        <v>0.45483333333333337</v>
      </c>
      <c r="W26" s="21">
        <v>0.43018749999999978</v>
      </c>
      <c r="X26" s="21">
        <v>0.3305416666666669</v>
      </c>
      <c r="Y26" s="21">
        <v>0.34170833333333328</v>
      </c>
      <c r="Z26" s="21">
        <v>0.30370833333333336</v>
      </c>
      <c r="AA26" s="21">
        <v>0.10891666666666661</v>
      </c>
      <c r="AB26" s="24">
        <f>AVERAGE(S26,W26)</f>
        <v>0.33947916666666644</v>
      </c>
      <c r="AC26" s="24">
        <f>AVERAGE(T26:V26,X26:Z26)</f>
        <v>0.36676041666666676</v>
      </c>
      <c r="AD26" s="24">
        <f t="shared" si="3"/>
        <v>0.36180018939393943</v>
      </c>
    </row>
    <row r="27" spans="1:30">
      <c r="A27" s="9">
        <v>43739</v>
      </c>
      <c r="B27" s="3">
        <v>245.06966910845242</v>
      </c>
      <c r="C27" s="3">
        <v>282.67373245099168</v>
      </c>
      <c r="D27" s="3">
        <v>210.21229714609871</v>
      </c>
      <c r="E27" s="3">
        <v>158.8229213169746</v>
      </c>
      <c r="F27" s="3">
        <v>138.39198851743296</v>
      </c>
      <c r="G27" s="3">
        <f>(B27-$B$2)/$B$1</f>
        <v>0.26868938241157903</v>
      </c>
      <c r="H27" s="3">
        <f>((C27-$C$2)/$C$1+(D27-$D$2)/$D$1+(E27-$E$2)/$E$1+(F27-$F$2)/$F$1)/4</f>
        <v>0.21935351238607281</v>
      </c>
      <c r="I27" s="19">
        <v>43739</v>
      </c>
      <c r="J27" s="20">
        <v>187.29166666666666</v>
      </c>
      <c r="K27" s="20">
        <v>63.193750000000001</v>
      </c>
      <c r="L27" s="20">
        <v>21.889583333333334</v>
      </c>
      <c r="M27" s="20">
        <v>0</v>
      </c>
      <c r="N27" s="20">
        <v>139.70833333333334</v>
      </c>
      <c r="O27" s="20">
        <v>11.395833333333334</v>
      </c>
      <c r="P27" s="20">
        <v>1.9166666666666667</v>
      </c>
      <c r="Q27" s="20">
        <v>14.460416666666662</v>
      </c>
      <c r="R27" s="10">
        <v>1.0059413324838318</v>
      </c>
      <c r="S27" s="21">
        <v>0.24647916666666689</v>
      </c>
      <c r="T27" s="21">
        <v>0.33320833333333327</v>
      </c>
      <c r="U27" s="21">
        <v>0.42516666666666625</v>
      </c>
      <c r="V27" s="21">
        <v>0.44439583333333349</v>
      </c>
      <c r="W27" s="21">
        <v>0.42720833333333325</v>
      </c>
      <c r="X27" s="21">
        <v>0.3277500000000001</v>
      </c>
      <c r="Y27" s="21">
        <v>0.33660416666666687</v>
      </c>
      <c r="Z27" s="21">
        <v>0.29862499999999997</v>
      </c>
      <c r="AA27" s="21">
        <v>0.10688194444444447</v>
      </c>
      <c r="AB27" s="24">
        <f>AVERAGE(S27,W27)</f>
        <v>0.33684375000000005</v>
      </c>
      <c r="AC27" s="24">
        <f>AVERAGE(T27:V27,X27:Z27)</f>
        <v>0.36095833333333333</v>
      </c>
      <c r="AD27" s="24">
        <f t="shared" si="3"/>
        <v>0.35657386363636362</v>
      </c>
    </row>
    <row r="28" spans="1:30">
      <c r="A28" s="9">
        <v>43741</v>
      </c>
      <c r="B28" s="3">
        <v>129.01662053688048</v>
      </c>
      <c r="C28" s="3">
        <v>165.73099699950751</v>
      </c>
      <c r="D28" s="3">
        <v>178.06901438330954</v>
      </c>
      <c r="E28" s="3">
        <v>165.12227363112177</v>
      </c>
      <c r="F28" s="3">
        <v>151.48180047870071</v>
      </c>
      <c r="G28" s="3">
        <f>(B28-$B$2)/$B$1</f>
        <v>0.13854848012495902</v>
      </c>
      <c r="H28" s="3">
        <f>((C28-$C$2)/$C$1+(D28-$D$2)/$D$1+(E28-$E$2)/$E$1+(F28-$F$2)/$F$1)/4</f>
        <v>0.18519374548126472</v>
      </c>
      <c r="I28" s="19">
        <v>43741</v>
      </c>
      <c r="J28" s="20">
        <v>136.45833333333334</v>
      </c>
      <c r="K28" s="20">
        <v>79.19374999999998</v>
      </c>
      <c r="L28" s="20">
        <v>21.474999999999998</v>
      </c>
      <c r="M28" s="20">
        <v>0.5</v>
      </c>
      <c r="N28" s="20">
        <v>120.77083333333333</v>
      </c>
      <c r="O28" s="20">
        <v>13.916666666666666</v>
      </c>
      <c r="P28" s="20">
        <v>3.5208333333333335</v>
      </c>
      <c r="Q28" s="20">
        <v>17.612500000000001</v>
      </c>
      <c r="R28" s="10">
        <v>0.56484445487089141</v>
      </c>
      <c r="S28" s="21">
        <v>0.24395833333333319</v>
      </c>
      <c r="T28" s="21">
        <v>0.32545833333333313</v>
      </c>
      <c r="U28" s="21">
        <v>0.41970833333333341</v>
      </c>
      <c r="V28" s="21">
        <v>0.43066666666666675</v>
      </c>
      <c r="W28" s="21">
        <v>0.42637499999999995</v>
      </c>
      <c r="X28" s="21">
        <v>0.32714583333333352</v>
      </c>
      <c r="Y28" s="21">
        <v>0.330166666666667</v>
      </c>
      <c r="Z28" s="21">
        <v>0.29183333333333317</v>
      </c>
      <c r="AA28" s="21">
        <v>0.11163194444444448</v>
      </c>
      <c r="AB28" s="24">
        <f>AVERAGE(S28,W28)</f>
        <v>0.33516666666666656</v>
      </c>
      <c r="AC28" s="24">
        <f>AVERAGE(T28:V28,X28:Z28)</f>
        <v>0.3541631944444445</v>
      </c>
      <c r="AD28" s="24">
        <f t="shared" si="3"/>
        <v>0.35070928030303028</v>
      </c>
    </row>
    <row r="29" spans="1:30">
      <c r="A29" s="9">
        <v>43742</v>
      </c>
      <c r="B29" s="3">
        <v>47.583408768369225</v>
      </c>
      <c r="C29" s="3">
        <v>170.64195671378528</v>
      </c>
      <c r="D29" s="3">
        <v>198.21516360840198</v>
      </c>
      <c r="E29" s="3">
        <v>187.63591541247868</v>
      </c>
      <c r="F29" s="3">
        <v>180.2810670342603</v>
      </c>
      <c r="G29" s="3">
        <f>(B29-$B$2)/$B$1</f>
        <v>4.7229968581372864E-2</v>
      </c>
      <c r="H29" s="3">
        <f>((C29-$C$2)/$C$1+(D29-$D$2)/$D$1+(E29-$E$2)/$E$1+(F29-$F$2)/$F$1)/4</f>
        <v>0.21045700420473651</v>
      </c>
      <c r="I29" s="19">
        <v>43742</v>
      </c>
      <c r="J29" s="20">
        <v>155.625</v>
      </c>
      <c r="K29" s="20">
        <v>78.966666666666669</v>
      </c>
      <c r="L29" s="20">
        <v>21.206249999999997</v>
      </c>
      <c r="M29" s="20">
        <v>1.7</v>
      </c>
      <c r="N29" s="20">
        <v>129.08333333333334</v>
      </c>
      <c r="O29" s="20">
        <v>9.9791666666666661</v>
      </c>
      <c r="P29" s="20">
        <v>2.0416666666666665</v>
      </c>
      <c r="Q29" s="20">
        <v>17.268750000000001</v>
      </c>
      <c r="R29" s="10">
        <v>0.57311159791718536</v>
      </c>
      <c r="S29" s="21">
        <v>0.24308333333333346</v>
      </c>
      <c r="T29" s="21">
        <v>0.3232291666666664</v>
      </c>
      <c r="U29" s="21">
        <v>0.41812499999999991</v>
      </c>
      <c r="V29" s="21">
        <v>0.42583333333333301</v>
      </c>
      <c r="W29" s="21">
        <v>0.42570833333333319</v>
      </c>
      <c r="X29" s="21">
        <v>0.32562499999999966</v>
      </c>
      <c r="Y29" s="21">
        <v>0.32760416666666681</v>
      </c>
      <c r="Z29" s="21">
        <v>0.28931250000000003</v>
      </c>
      <c r="AA29" s="21">
        <v>0.10975694444444445</v>
      </c>
      <c r="AB29" s="24">
        <f>AVERAGE(S29,W29)</f>
        <v>0.33439583333333334</v>
      </c>
      <c r="AC29" s="24">
        <f>AVERAGE(T29:V29,X29:Z29)</f>
        <v>0.35162152777777761</v>
      </c>
      <c r="AD29" s="24">
        <f t="shared" si="3"/>
        <v>0.34848958333333324</v>
      </c>
    </row>
    <row r="30" spans="1:30">
      <c r="A30" s="9">
        <v>43744</v>
      </c>
      <c r="B30" s="3">
        <v>295.89242744147504</v>
      </c>
      <c r="C30" s="3">
        <v>359.44224492077694</v>
      </c>
      <c r="D30" s="3">
        <v>587.49103411017074</v>
      </c>
      <c r="E30" s="3">
        <v>253.564277430766</v>
      </c>
      <c r="F30" s="3">
        <v>420.10939472128064</v>
      </c>
      <c r="G30" s="3">
        <f>(B30-$B$2)/$B$1</f>
        <v>0.32568159164316468</v>
      </c>
      <c r="H30" s="3">
        <f>((C30-$C$2)/$C$1+(D30-$D$2)/$D$1+(E30-$E$2)/$E$1+(F30-$F$2)/$F$1)/4</f>
        <v>0.48521193984030397</v>
      </c>
      <c r="I30" s="19">
        <v>43744</v>
      </c>
      <c r="J30" s="20">
        <v>199.47916666666666</v>
      </c>
      <c r="K30" s="20">
        <v>75.691666666666663</v>
      </c>
      <c r="L30" s="20">
        <v>21.327083333333331</v>
      </c>
      <c r="M30" s="20">
        <v>0</v>
      </c>
      <c r="N30" s="20">
        <v>143.54166666666666</v>
      </c>
      <c r="O30" s="20">
        <v>10.1875</v>
      </c>
      <c r="P30" s="20">
        <v>1.3541666666666667</v>
      </c>
      <c r="Q30" s="20">
        <v>16.572916666666675</v>
      </c>
      <c r="R30" s="10">
        <v>0.68912256674568229</v>
      </c>
      <c r="S30" s="21">
        <v>0.34085416666666668</v>
      </c>
      <c r="T30" s="21">
        <v>0.34629166666666672</v>
      </c>
      <c r="U30" s="21">
        <v>0.42868750000000005</v>
      </c>
      <c r="V30" s="21">
        <v>0.43179166666666657</v>
      </c>
      <c r="W30" s="21">
        <v>0.47931250000000031</v>
      </c>
      <c r="X30" s="21">
        <v>0.40239583333333312</v>
      </c>
      <c r="Y30" s="21">
        <v>0.34331250000000008</v>
      </c>
      <c r="Z30" s="21">
        <v>0.28933333333333305</v>
      </c>
      <c r="AA30" s="21">
        <v>0.21178472222222225</v>
      </c>
      <c r="AB30" s="24">
        <f>AVERAGE(S30,W30)</f>
        <v>0.41008333333333347</v>
      </c>
      <c r="AC30" s="24">
        <f>AVERAGE(T30:V30,X30:Z30)</f>
        <v>0.37363541666666661</v>
      </c>
      <c r="AD30" s="24">
        <f t="shared" si="3"/>
        <v>0.38026231060606058</v>
      </c>
    </row>
    <row r="31" spans="1:30">
      <c r="A31" s="9">
        <v>43745</v>
      </c>
      <c r="B31" s="3">
        <v>229.51275450087246</v>
      </c>
      <c r="C31" s="3">
        <v>611.82137934127707</v>
      </c>
      <c r="D31" s="3">
        <v>444.09559796568476</v>
      </c>
      <c r="E31" s="3">
        <v>237.64819853389102</v>
      </c>
      <c r="F31" s="3">
        <v>500.37894083479426</v>
      </c>
      <c r="G31" s="3">
        <f>(B31-$B$2)/$B$1</f>
        <v>0.25124399059511371</v>
      </c>
      <c r="H31" s="3">
        <f>((C31-$C$2)/$C$1+(D31-$D$2)/$D$1+(E31-$E$2)/$E$1+(F31-$F$2)/$F$1)/4</f>
        <v>0.54135467463420672</v>
      </c>
      <c r="I31" s="19">
        <v>43745</v>
      </c>
      <c r="J31" s="20">
        <v>232.0625</v>
      </c>
      <c r="K31" s="20">
        <v>67.52291666666666</v>
      </c>
      <c r="L31" s="20">
        <v>21.656250000000004</v>
      </c>
      <c r="M31" s="20">
        <v>0</v>
      </c>
      <c r="N31" s="20">
        <v>139.20833333333334</v>
      </c>
      <c r="O31" s="20">
        <v>8.125</v>
      </c>
      <c r="P31" s="20">
        <v>0.9375</v>
      </c>
      <c r="Q31" s="20">
        <v>14.931249999999999</v>
      </c>
      <c r="R31" s="10">
        <v>0.9350068007456761</v>
      </c>
      <c r="S31" s="21">
        <v>0.31377083333333339</v>
      </c>
      <c r="T31" s="21">
        <v>0.34327083333333358</v>
      </c>
      <c r="U31" s="21">
        <v>0.43056249999999996</v>
      </c>
      <c r="V31" s="21">
        <v>0.43308333333333321</v>
      </c>
      <c r="W31" s="21">
        <v>0.47416666666666663</v>
      </c>
      <c r="X31" s="21">
        <v>0.38147916666666665</v>
      </c>
      <c r="Y31" s="21">
        <v>0.34204166666666658</v>
      </c>
      <c r="Z31" s="21">
        <v>0.28981249999999975</v>
      </c>
      <c r="AA31" s="21">
        <v>0.19380555555555559</v>
      </c>
      <c r="AB31" s="24">
        <f>AVERAGE(S31,W31)</f>
        <v>0.39396874999999998</v>
      </c>
      <c r="AC31" s="24">
        <f>AVERAGE(T31:V31,X31:Z31)</f>
        <v>0.3700416666666666</v>
      </c>
      <c r="AD31" s="24">
        <f t="shared" si="3"/>
        <v>0.37439204545454535</v>
      </c>
    </row>
    <row r="32" spans="1:30">
      <c r="A32" s="9">
        <v>43747</v>
      </c>
      <c r="B32" s="3">
        <v>298.57482507511537</v>
      </c>
      <c r="C32" s="3">
        <v>250.51606423282797</v>
      </c>
      <c r="D32" s="3">
        <v>279.39893729257983</v>
      </c>
      <c r="E32" s="3">
        <v>252.63338876966378</v>
      </c>
      <c r="F32" s="3">
        <v>327.60615046149513</v>
      </c>
      <c r="G32" s="3">
        <f>(B32-$B$2)/$B$1</f>
        <v>0.32868960955075249</v>
      </c>
      <c r="H32" s="3">
        <f>((C32-$C$2)/$C$1+(D32-$D$2)/$D$1+(E32-$E$2)/$E$1+(F32-$F$2)/$F$1)/4</f>
        <v>0.33299480372617413</v>
      </c>
      <c r="I32" s="19">
        <v>43747</v>
      </c>
      <c r="J32" s="20">
        <v>161.0625</v>
      </c>
      <c r="K32" s="20">
        <v>79.739583333333329</v>
      </c>
      <c r="L32" s="20">
        <v>19.793749999999999</v>
      </c>
      <c r="M32" s="20">
        <v>1.7</v>
      </c>
      <c r="N32" s="20">
        <v>158.47916666666666</v>
      </c>
      <c r="O32" s="20">
        <v>17.479166666666668</v>
      </c>
      <c r="P32" s="20">
        <v>3.6875</v>
      </c>
      <c r="Q32" s="20">
        <v>16.054166666666671</v>
      </c>
      <c r="R32" s="10">
        <v>0.50624929356971693</v>
      </c>
      <c r="S32" s="21">
        <v>0.28779166666666672</v>
      </c>
      <c r="T32" s="21">
        <v>0.33981250000000013</v>
      </c>
      <c r="U32" s="21">
        <v>0.4298958333333332</v>
      </c>
      <c r="V32" s="21">
        <v>0.43362499999999987</v>
      </c>
      <c r="W32" s="21">
        <v>0.47739583333333319</v>
      </c>
      <c r="X32" s="21">
        <v>0.36414583333333345</v>
      </c>
      <c r="Y32" s="21">
        <v>0.33960416666666676</v>
      </c>
      <c r="Z32" s="21">
        <v>0.28999999999999965</v>
      </c>
      <c r="AA32" s="21">
        <v>0.22726388888888885</v>
      </c>
      <c r="AB32" s="24">
        <f>AVERAGE(S32,W32)</f>
        <v>0.38259374999999995</v>
      </c>
      <c r="AC32" s="24">
        <f>AVERAGE(T32:V32,X32:Z32)</f>
        <v>0.36618055555555551</v>
      </c>
      <c r="AD32" s="24">
        <f t="shared" si="3"/>
        <v>0.36916477272727266</v>
      </c>
    </row>
    <row r="33" spans="1:30">
      <c r="A33" s="9">
        <v>43750</v>
      </c>
      <c r="B33" s="3">
        <v>243.45432359517451</v>
      </c>
      <c r="C33" s="3">
        <v>166.40127624557979</v>
      </c>
      <c r="D33" s="3">
        <v>116.88585205606768</v>
      </c>
      <c r="E33" s="3">
        <v>131.59154338558901</v>
      </c>
      <c r="F33" s="3">
        <v>158.40569559366591</v>
      </c>
      <c r="G33" s="3">
        <f>(B33-$B$2)/$B$1</f>
        <v>0.26687794768246043</v>
      </c>
      <c r="H33" s="3">
        <f>((C33-$C$2)/$C$1+(D33-$D$2)/$D$1+(E33-$E$2)/$E$1+(F33-$F$2)/$F$1)/4</f>
        <v>0.16054081271431372</v>
      </c>
      <c r="I33" s="19">
        <v>43750</v>
      </c>
      <c r="J33" s="20">
        <v>68.729166666666671</v>
      </c>
      <c r="K33" s="20">
        <v>85.225000000000009</v>
      </c>
      <c r="L33" s="20">
        <v>14.814583333333333</v>
      </c>
      <c r="M33" s="20">
        <v>0.2</v>
      </c>
      <c r="N33" s="20">
        <v>216.85416666666666</v>
      </c>
      <c r="O33" s="20">
        <v>3.125</v>
      </c>
      <c r="P33" s="20">
        <v>0</v>
      </c>
      <c r="Q33" s="20">
        <v>12.310416666666667</v>
      </c>
      <c r="R33" s="10">
        <v>0.25981954673796992</v>
      </c>
      <c r="S33" s="21">
        <v>0.41281250000000042</v>
      </c>
      <c r="T33" s="21">
        <v>0.5306249999999999</v>
      </c>
      <c r="U33" s="21">
        <v>0.57454166666666662</v>
      </c>
      <c r="V33" s="21">
        <v>0.58956249999999977</v>
      </c>
      <c r="W33" s="21">
        <v>0.56668750000000045</v>
      </c>
      <c r="X33" s="21">
        <v>0.47218750000000026</v>
      </c>
      <c r="Y33" s="21">
        <v>0.4625833333333329</v>
      </c>
      <c r="Z33" s="21">
        <v>0.41389583333333319</v>
      </c>
      <c r="AA33" s="21">
        <v>0.25272222222222235</v>
      </c>
      <c r="AB33" s="24">
        <f>AVERAGE(S33,W33)</f>
        <v>0.48975000000000046</v>
      </c>
      <c r="AC33" s="24">
        <f>AVERAGE(T33:V33,X33:Z33)</f>
        <v>0.5072326388888887</v>
      </c>
      <c r="AD33" s="24">
        <f t="shared" si="3"/>
        <v>0.50405397727272716</v>
      </c>
    </row>
    <row r="34" spans="1:30">
      <c r="A34" s="9">
        <v>43756</v>
      </c>
      <c r="B34" s="3">
        <v>310.47128798623669</v>
      </c>
      <c r="C34" s="3">
        <v>216.96232493434846</v>
      </c>
      <c r="D34" s="3">
        <v>271.72212992904917</v>
      </c>
      <c r="E34" s="3">
        <v>320.7677490414834</v>
      </c>
      <c r="F34" s="3">
        <v>235.24818396996642</v>
      </c>
      <c r="G34" s="3">
        <f>(B34-$B$2)/$B$1</f>
        <v>0.34203020194646044</v>
      </c>
      <c r="H34" s="3">
        <f>((C34-$C$2)/$C$1+(D34-$D$2)/$D$1+(E34-$E$2)/$E$1+(F34-$F$2)/$F$1)/4</f>
        <v>0.30690843946052804</v>
      </c>
      <c r="I34" s="19">
        <v>43756</v>
      </c>
      <c r="J34" s="20">
        <v>96.770833333333329</v>
      </c>
      <c r="K34" s="20">
        <v>83.75833333333334</v>
      </c>
      <c r="L34" s="20">
        <v>13.274999999999999</v>
      </c>
      <c r="M34" s="20">
        <v>0</v>
      </c>
      <c r="N34" s="20">
        <v>163.60416666666666</v>
      </c>
      <c r="O34" s="20">
        <v>1.5208333333333333</v>
      </c>
      <c r="P34" s="20">
        <v>0</v>
      </c>
      <c r="Q34" s="20">
        <v>10.441666666666665</v>
      </c>
      <c r="R34" s="10">
        <v>0.276642321359368</v>
      </c>
      <c r="S34" s="21">
        <v>0.4268333333333334</v>
      </c>
      <c r="T34" s="21">
        <v>0.53522916666666653</v>
      </c>
      <c r="U34" s="21">
        <v>0.57531250000000012</v>
      </c>
      <c r="V34" s="21">
        <v>0.59099999999999997</v>
      </c>
      <c r="W34" s="21">
        <v>0.59083333333333299</v>
      </c>
      <c r="X34" s="21">
        <v>0.47733333333333317</v>
      </c>
      <c r="Y34" s="21">
        <v>0.46389583333333295</v>
      </c>
      <c r="Z34" s="21">
        <v>0.41756249999999984</v>
      </c>
      <c r="AA34" s="21">
        <v>0.25320138888888882</v>
      </c>
      <c r="AB34" s="24">
        <f>AVERAGE(S34,W34)</f>
        <v>0.50883333333333325</v>
      </c>
      <c r="AC34" s="24">
        <f>AVERAGE(T34:V34,X34:Z34)</f>
        <v>0.51005555555555537</v>
      </c>
      <c r="AD34" s="24">
        <f t="shared" si="3"/>
        <v>0.50983333333333314</v>
      </c>
    </row>
    <row r="35" spans="1:30">
      <c r="A35" s="9">
        <v>43757</v>
      </c>
      <c r="B35" s="3">
        <v>211.53582837916056</v>
      </c>
      <c r="C35" s="3">
        <v>169.87845358507647</v>
      </c>
      <c r="D35" s="3">
        <v>209.95845974033975</v>
      </c>
      <c r="E35" s="3">
        <v>227.94428336618546</v>
      </c>
      <c r="F35" s="3">
        <v>196.59378098186662</v>
      </c>
      <c r="G35" s="3">
        <f>(B35-$B$2)/$B$1</f>
        <v>0.23108481843535209</v>
      </c>
      <c r="H35" s="3">
        <f>((C35-$C$2)/$C$1+(D35-$D$2)/$D$1+(E35-$E$2)/$E$1+(F35-$F$2)/$F$1)/4</f>
        <v>0.23252116783180635</v>
      </c>
      <c r="I35" s="19">
        <v>43757</v>
      </c>
      <c r="J35" s="20">
        <v>63.125</v>
      </c>
      <c r="K35" s="20">
        <v>87.647916666666674</v>
      </c>
      <c r="L35" s="20">
        <v>14.202083333333329</v>
      </c>
      <c r="M35" s="20">
        <v>0</v>
      </c>
      <c r="N35" s="20">
        <v>128.75</v>
      </c>
      <c r="O35" s="20">
        <v>3.7291666666666665</v>
      </c>
      <c r="P35" s="20">
        <v>0.10416666666666667</v>
      </c>
      <c r="Q35" s="20">
        <v>12.120833333333332</v>
      </c>
      <c r="R35" s="10">
        <v>0.21801398911277289</v>
      </c>
      <c r="S35" s="21">
        <v>0.41614583333333349</v>
      </c>
      <c r="T35" s="21">
        <v>0.52645833333333358</v>
      </c>
      <c r="U35" s="21">
        <v>0.57039583333333288</v>
      </c>
      <c r="V35" s="21">
        <v>0.58520833333333322</v>
      </c>
      <c r="W35" s="21">
        <v>0.58597916666666683</v>
      </c>
      <c r="X35" s="21">
        <v>0.46952083333333322</v>
      </c>
      <c r="Y35" s="21">
        <v>0.45993750000000011</v>
      </c>
      <c r="Z35" s="21">
        <v>0.41306249999999994</v>
      </c>
      <c r="AA35" s="21">
        <v>0.24588888888888882</v>
      </c>
      <c r="AB35" s="24">
        <f>AVERAGE(S35,W35)</f>
        <v>0.50106250000000019</v>
      </c>
      <c r="AC35" s="24">
        <f>AVERAGE(T35:V35,X35:Z35)</f>
        <v>0.5040972222222222</v>
      </c>
      <c r="AD35" s="24">
        <f t="shared" si="3"/>
        <v>0.50354545454545452</v>
      </c>
    </row>
    <row r="36" spans="1:30">
      <c r="A36" s="9">
        <v>43761</v>
      </c>
      <c r="B36" s="3">
        <v>134.98320023551153</v>
      </c>
      <c r="C36" s="3">
        <v>136.52614696143786</v>
      </c>
      <c r="D36" s="3">
        <v>123.69488099707496</v>
      </c>
      <c r="E36" s="3">
        <v>150.78429130711956</v>
      </c>
      <c r="F36" s="3">
        <v>172.71643713183423</v>
      </c>
      <c r="G36" s="3">
        <f>(B36-$B$2)/$B$1</f>
        <v>0.14523935188664305</v>
      </c>
      <c r="H36" s="3">
        <f>((C36-$C$2)/$C$1+(D36-$D$2)/$D$1+(E36-$E$2)/$E$1+(F36-$F$2)/$F$1)/4</f>
        <v>0.16578832101062263</v>
      </c>
      <c r="I36" s="19">
        <v>43761</v>
      </c>
      <c r="J36" s="20">
        <v>41.645833333333336</v>
      </c>
      <c r="K36" s="20">
        <v>87.854166666666686</v>
      </c>
      <c r="L36" s="20">
        <v>14.085416666666667</v>
      </c>
      <c r="M36" s="20">
        <v>0</v>
      </c>
      <c r="N36" s="20">
        <v>155.875</v>
      </c>
      <c r="O36" s="20">
        <v>3.2291666666666665</v>
      </c>
      <c r="P36" s="20">
        <v>0.125</v>
      </c>
      <c r="Q36" s="20">
        <v>12.066666666666665</v>
      </c>
      <c r="R36" s="10">
        <v>0.20082782698713875</v>
      </c>
      <c r="S36" s="21">
        <v>0.42564583333333333</v>
      </c>
      <c r="T36" s="21">
        <v>0.5312916666666665</v>
      </c>
      <c r="U36" s="21">
        <v>0.57429166666666664</v>
      </c>
      <c r="V36" s="21">
        <v>0.58749999999999947</v>
      </c>
      <c r="W36" s="21">
        <v>0.59195833333333359</v>
      </c>
      <c r="X36" s="21">
        <v>0.47452083333333345</v>
      </c>
      <c r="Y36" s="21">
        <v>0.46093750000000028</v>
      </c>
      <c r="Z36" s="21">
        <v>0.41262500000000002</v>
      </c>
      <c r="AA36" s="21">
        <v>0.24770138888888907</v>
      </c>
      <c r="AB36" s="24">
        <f>AVERAGE(S36,W36)</f>
        <v>0.50880208333333343</v>
      </c>
      <c r="AC36" s="24">
        <f>AVERAGE(T36:V36,X36:Z36)</f>
        <v>0.5068611111111111</v>
      </c>
      <c r="AD36" s="24">
        <f t="shared" si="3"/>
        <v>0.50721401515151521</v>
      </c>
    </row>
    <row r="37" spans="1:30">
      <c r="A37" s="9">
        <v>43766</v>
      </c>
      <c r="B37" s="3">
        <v>389.22491221110516</v>
      </c>
      <c r="C37" s="3">
        <v>319.46816075647217</v>
      </c>
      <c r="D37" s="3">
        <v>314.38944769175976</v>
      </c>
      <c r="E37" s="3">
        <v>335.26258651912008</v>
      </c>
      <c r="F37" s="3">
        <v>320.38075973784157</v>
      </c>
      <c r="G37" s="3">
        <f>(B37-$B$2)/$B$1</f>
        <v>0.43034384679349796</v>
      </c>
      <c r="H37" s="3">
        <f>((C37-$C$2)/$C$1+(D37-$D$2)/$D$1+(E37-$E$2)/$E$1+(F37-$F$2)/$F$1)/4</f>
        <v>0.3848675124688673</v>
      </c>
      <c r="I37" s="19">
        <v>43766</v>
      </c>
      <c r="J37" s="20">
        <v>139.10416666666666</v>
      </c>
      <c r="K37" s="20">
        <v>81.218750000000014</v>
      </c>
      <c r="L37" s="20">
        <v>12.020833333333336</v>
      </c>
      <c r="M37" s="20">
        <v>1.5999999999999999</v>
      </c>
      <c r="N37" s="20">
        <v>208.54166666666666</v>
      </c>
      <c r="O37" s="20">
        <v>3.8333333333333335</v>
      </c>
      <c r="P37" s="20">
        <v>6.25E-2</v>
      </c>
      <c r="Q37" s="20">
        <v>8.6624999999999996</v>
      </c>
      <c r="R37" s="10">
        <v>0.3061727811525578</v>
      </c>
      <c r="S37" s="21">
        <v>0.43185416666666659</v>
      </c>
      <c r="T37" s="21">
        <v>0.53062499999999979</v>
      </c>
      <c r="U37" s="21">
        <v>0.57099999999999951</v>
      </c>
      <c r="V37" s="21">
        <v>0.58672916666666619</v>
      </c>
      <c r="W37" s="21">
        <v>0.58795833333333325</v>
      </c>
      <c r="X37" s="21">
        <v>0.47170833333333367</v>
      </c>
      <c r="Y37" s="21">
        <v>0.45541666666666653</v>
      </c>
      <c r="Z37" s="21">
        <v>0.40841666666666671</v>
      </c>
      <c r="AA37" s="21">
        <v>0.24872916666666656</v>
      </c>
      <c r="AB37" s="24">
        <f>AVERAGE(S37,W37)</f>
        <v>0.50990624999999989</v>
      </c>
      <c r="AC37" s="24">
        <f>AVERAGE(T37:V37,X37:Z37)</f>
        <v>0.50398263888888872</v>
      </c>
      <c r="AD37" s="24">
        <f t="shared" si="3"/>
        <v>0.505059659090909</v>
      </c>
    </row>
    <row r="38" spans="1:30">
      <c r="A38" s="9">
        <v>43767</v>
      </c>
      <c r="B38" s="3">
        <v>427.40998232103942</v>
      </c>
      <c r="C38" s="3">
        <v>557.32663745618856</v>
      </c>
      <c r="D38" s="3">
        <v>534.26462486128401</v>
      </c>
      <c r="E38" s="3">
        <v>558.28927584788653</v>
      </c>
      <c r="F38" s="3">
        <v>506.80721394733035</v>
      </c>
      <c r="G38" s="3">
        <f>(B38-$B$2)/$B$1</f>
        <v>0.47316425986450789</v>
      </c>
      <c r="H38" s="3">
        <f>((C38-$C$2)/$C$1+(D38-$D$2)/$D$1+(E38-$E$2)/$E$1+(F38-$F$2)/$F$1)/4</f>
        <v>0.65445244127701496</v>
      </c>
      <c r="I38" s="19">
        <v>43767</v>
      </c>
      <c r="J38" s="20">
        <v>209.27083333333334</v>
      </c>
      <c r="K38" s="20">
        <v>65.891666666666666</v>
      </c>
      <c r="L38" s="20">
        <v>14.045833333333336</v>
      </c>
      <c r="M38" s="20">
        <v>0</v>
      </c>
      <c r="N38" s="20">
        <v>160.9375</v>
      </c>
      <c r="O38" s="20">
        <v>3.2083333333333335</v>
      </c>
      <c r="P38" s="20">
        <v>0.125</v>
      </c>
      <c r="Q38" s="20">
        <v>6.310416666666665</v>
      </c>
      <c r="R38" s="10">
        <v>0.73471087807759083</v>
      </c>
      <c r="S38" s="21">
        <v>0.41854166666666676</v>
      </c>
      <c r="T38" s="21">
        <v>0.52200000000000002</v>
      </c>
      <c r="U38" s="21">
        <v>0.56620833333333331</v>
      </c>
      <c r="V38" s="21">
        <v>0.58110416666666664</v>
      </c>
      <c r="W38" s="21">
        <v>0.5825416666666664</v>
      </c>
      <c r="X38" s="21">
        <v>0.46489583333333301</v>
      </c>
      <c r="Y38" s="21">
        <v>0.45343750000000033</v>
      </c>
      <c r="Z38" s="21">
        <v>0.4062083333333335</v>
      </c>
      <c r="AA38" s="21">
        <v>0.24072916666666658</v>
      </c>
      <c r="AB38" s="24">
        <f>AVERAGE(S38,W38)</f>
        <v>0.50054166666666655</v>
      </c>
      <c r="AC38" s="24">
        <f>AVERAGE(T38:V38,X38:Z38)</f>
        <v>0.49897569444444434</v>
      </c>
      <c r="AD38" s="24">
        <f t="shared" si="3"/>
        <v>0.49926041666666654</v>
      </c>
    </row>
    <row r="39" spans="1:30">
      <c r="A39" s="9">
        <v>43768</v>
      </c>
      <c r="B39" s="3">
        <v>504.96649333315372</v>
      </c>
      <c r="C39" s="3">
        <v>501.92140633110239</v>
      </c>
      <c r="D39" s="3">
        <v>492.55972021633983</v>
      </c>
      <c r="E39" s="3">
        <v>542.60585733874996</v>
      </c>
      <c r="F39" s="3">
        <v>503.50648136563171</v>
      </c>
      <c r="G39" s="3">
        <f>(B39-$B$2)/$B$1</f>
        <v>0.56013547212950954</v>
      </c>
      <c r="H39" s="3">
        <f>((C39-$C$2)/$C$1+(D39-$D$2)/$D$1+(E39-$E$2)/$E$1+(F39-$F$2)/$F$1)/4</f>
        <v>0.62133764502051458</v>
      </c>
      <c r="I39" s="19">
        <v>43768</v>
      </c>
      <c r="J39" s="20">
        <v>203.60416666666666</v>
      </c>
      <c r="K39" s="20">
        <v>64.683333333333351</v>
      </c>
      <c r="L39" s="20">
        <v>15.154166666666669</v>
      </c>
      <c r="M39" s="20">
        <v>0</v>
      </c>
      <c r="N39" s="20">
        <v>121.16666666666667</v>
      </c>
      <c r="O39" s="20">
        <v>3.8125</v>
      </c>
      <c r="P39" s="20">
        <v>6.25E-2</v>
      </c>
      <c r="Q39" s="20">
        <v>7.5750000000000002</v>
      </c>
      <c r="R39" s="10">
        <v>0.7733736450274562</v>
      </c>
      <c r="S39" s="21">
        <v>0.40906249999999994</v>
      </c>
      <c r="T39" s="21">
        <v>0.51433333333333353</v>
      </c>
      <c r="U39" s="21">
        <v>0.56143750000000014</v>
      </c>
      <c r="V39" s="21">
        <v>0.57631250000000012</v>
      </c>
      <c r="W39" s="21">
        <v>0.57785416666666622</v>
      </c>
      <c r="X39" s="21">
        <v>0.45918750000000036</v>
      </c>
      <c r="Y39" s="21">
        <v>0.45047916666666704</v>
      </c>
      <c r="Z39" s="21">
        <v>0.4035208333333335</v>
      </c>
      <c r="AA39" s="21">
        <v>0.23189583333333333</v>
      </c>
      <c r="AB39" s="24">
        <f>AVERAGE(S39,W39)</f>
        <v>0.49345833333333311</v>
      </c>
      <c r="AC39" s="24">
        <f>AVERAGE(T39:V39,X39:Z39)</f>
        <v>0.49421180555555583</v>
      </c>
      <c r="AD39" s="24">
        <f t="shared" si="3"/>
        <v>0.49407481060606079</v>
      </c>
    </row>
    <row r="40" spans="1:30">
      <c r="A40" s="9">
        <v>43769</v>
      </c>
      <c r="B40" s="3">
        <v>505.09163594523153</v>
      </c>
      <c r="C40" s="3">
        <v>568.00185532533703</v>
      </c>
      <c r="D40" s="3">
        <v>484.53669746497741</v>
      </c>
      <c r="E40" s="3">
        <v>557.34606883005779</v>
      </c>
      <c r="F40" s="3">
        <v>507.4226302480144</v>
      </c>
      <c r="G40" s="3">
        <f>(B40-$B$2)/$B$1</f>
        <v>0.5602758059910562</v>
      </c>
      <c r="H40" s="3">
        <f>((C40-$C$2)/$C$1+(D40-$D$2)/$D$1+(E40-$E$2)/$E$1+(F40-$F$2)/$F$1)/4</f>
        <v>0.64350727360762561</v>
      </c>
      <c r="I40" s="19">
        <v>43769</v>
      </c>
      <c r="J40" s="20">
        <v>206.60416666666666</v>
      </c>
      <c r="K40" s="20">
        <v>63.35</v>
      </c>
      <c r="L40" s="20">
        <v>15.610416666666664</v>
      </c>
      <c r="M40" s="20">
        <v>0</v>
      </c>
      <c r="N40" s="20">
        <v>125.16666666666667</v>
      </c>
      <c r="O40" s="20">
        <v>3.9791666666666665</v>
      </c>
      <c r="P40" s="20">
        <v>0.20833333333333334</v>
      </c>
      <c r="Q40" s="20">
        <v>7.1750000000000016</v>
      </c>
      <c r="R40" s="10">
        <v>0.81846006486643985</v>
      </c>
      <c r="S40" s="21">
        <v>0.40268749999999981</v>
      </c>
      <c r="T40" s="21">
        <v>0.50906250000000053</v>
      </c>
      <c r="U40" s="21">
        <v>0.5585833333333331</v>
      </c>
      <c r="V40" s="21">
        <v>0.57410416666666686</v>
      </c>
      <c r="W40" s="21">
        <v>0.57418749999999996</v>
      </c>
      <c r="X40" s="21">
        <v>0.45516666666666716</v>
      </c>
      <c r="Y40" s="21">
        <v>0.44800000000000018</v>
      </c>
      <c r="Z40" s="21">
        <v>0.40056250000000015</v>
      </c>
      <c r="AA40" s="21">
        <v>0.22230902777777781</v>
      </c>
      <c r="AB40" s="24">
        <f>AVERAGE(S40,W40)</f>
        <v>0.48843749999999986</v>
      </c>
      <c r="AC40" s="24">
        <f>AVERAGE(T40:V40,X40:Z40)</f>
        <v>0.49091319444444476</v>
      </c>
      <c r="AD40" s="24">
        <f t="shared" si="3"/>
        <v>0.4904630681818184</v>
      </c>
    </row>
    <row r="41" spans="1:30">
      <c r="A41" s="9">
        <v>43770</v>
      </c>
      <c r="B41" s="3">
        <v>578.87107435006158</v>
      </c>
      <c r="C41" s="3">
        <v>533.37236444885184</v>
      </c>
      <c r="D41" s="3">
        <v>478.56697002759671</v>
      </c>
      <c r="E41" s="3">
        <v>483.32662448116707</v>
      </c>
      <c r="F41" s="3">
        <v>441.45536985606554</v>
      </c>
      <c r="G41" s="3">
        <f>(B41-$B$2)/$B$1</f>
        <v>0.64301144113710873</v>
      </c>
      <c r="H41" s="3">
        <f>((C41-$C$2)/$C$1+(D41-$D$2)/$D$1+(E41-$E$2)/$E$1+(F41-$F$2)/$F$1)/4</f>
        <v>0.5833221257031147</v>
      </c>
      <c r="I41" s="19">
        <v>43770</v>
      </c>
      <c r="J41" s="20">
        <v>196.5</v>
      </c>
      <c r="K41" s="20">
        <v>68.693749999999994</v>
      </c>
      <c r="L41" s="20">
        <v>15.827083333333333</v>
      </c>
      <c r="M41" s="20">
        <v>0</v>
      </c>
      <c r="N41" s="20">
        <v>140.33333333333334</v>
      </c>
      <c r="O41" s="20">
        <v>5.166666666666667</v>
      </c>
      <c r="P41" s="20">
        <v>0.58333333333333337</v>
      </c>
      <c r="Q41" s="20">
        <v>9.6416666666666657</v>
      </c>
      <c r="R41" s="10">
        <v>0.64403681361812415</v>
      </c>
      <c r="S41" s="21">
        <v>0.39418749999999986</v>
      </c>
      <c r="T41" s="21">
        <v>0.50275000000000014</v>
      </c>
      <c r="U41" s="21">
        <v>0.55462500000000026</v>
      </c>
      <c r="V41" s="21">
        <v>0.57208333333333361</v>
      </c>
      <c r="W41" s="21">
        <v>0.5681666666666666</v>
      </c>
      <c r="X41" s="21">
        <v>0.44960416666666642</v>
      </c>
      <c r="Y41" s="21">
        <v>0.44466666666666682</v>
      </c>
      <c r="Z41" s="21">
        <v>0.39702083333333332</v>
      </c>
      <c r="AA41" s="21">
        <v>0.21088194444444441</v>
      </c>
      <c r="AB41" s="24">
        <f>AVERAGE(S41,W41)</f>
        <v>0.4811770833333332</v>
      </c>
      <c r="AC41" s="24">
        <f>AVERAGE(T41:V41,X41:Z41)</f>
        <v>0.48679166666666679</v>
      </c>
      <c r="AD41" s="24">
        <f t="shared" si="3"/>
        <v>0.48577083333333337</v>
      </c>
    </row>
    <row r="42" spans="1:30">
      <c r="A42" s="9">
        <v>43772</v>
      </c>
      <c r="B42" s="3">
        <v>416.57601891074103</v>
      </c>
      <c r="C42" s="3">
        <v>215.3486877068336</v>
      </c>
      <c r="D42" s="3">
        <v>173.11446533119204</v>
      </c>
      <c r="E42" s="3">
        <v>198.62035184764605</v>
      </c>
      <c r="F42" s="3">
        <v>134.54895740919443</v>
      </c>
      <c r="G42" s="3">
        <f>(B42-$B$2)/$B$1</f>
        <v>0.46101514537841209</v>
      </c>
      <c r="H42" s="3">
        <f>((C42-$C$2)/$C$1+(D42-$D$2)/$D$1+(E42-$E$2)/$E$1+(F42-$F$2)/$F$1)/4</f>
        <v>0.20141480966044051</v>
      </c>
      <c r="I42" s="19">
        <v>43772</v>
      </c>
      <c r="J42" s="20">
        <v>84.791666666666671</v>
      </c>
      <c r="K42" s="20">
        <v>83.577083333333306</v>
      </c>
      <c r="L42" s="20">
        <v>12.591666666666669</v>
      </c>
      <c r="M42" s="20">
        <v>0.2</v>
      </c>
      <c r="N42" s="20">
        <v>206.64583333333334</v>
      </c>
      <c r="O42" s="20">
        <v>3.0208333333333335</v>
      </c>
      <c r="P42" s="20">
        <v>0.10416666666666667</v>
      </c>
      <c r="Q42" s="20">
        <v>9.8020833333333304</v>
      </c>
      <c r="R42" s="10">
        <v>0.25346100317309772</v>
      </c>
      <c r="S42" s="21">
        <v>0.38231250000000022</v>
      </c>
      <c r="T42" s="21">
        <v>0.49362500000000004</v>
      </c>
      <c r="U42" s="21">
        <v>0.54935416666666714</v>
      </c>
      <c r="V42" s="21">
        <v>0.56931250000000022</v>
      </c>
      <c r="W42" s="21">
        <v>0.55929166666666641</v>
      </c>
      <c r="X42" s="21">
        <v>0.44456250000000019</v>
      </c>
      <c r="Y42" s="21">
        <v>0.44204166666666672</v>
      </c>
      <c r="Z42" s="21">
        <v>0.39337500000000003</v>
      </c>
      <c r="AA42" s="21">
        <v>0.19625000000000001</v>
      </c>
      <c r="AB42" s="24">
        <f>AVERAGE(S42,W42)</f>
        <v>0.47080208333333329</v>
      </c>
      <c r="AC42" s="24">
        <f>AVERAGE(T42:V42,X42:Z42)</f>
        <v>0.48204513888888911</v>
      </c>
      <c r="AD42" s="24">
        <f t="shared" si="3"/>
        <v>0.48000094696969714</v>
      </c>
    </row>
    <row r="43" spans="1:30">
      <c r="A43" s="9">
        <v>43773</v>
      </c>
      <c r="B43" s="3">
        <v>515.77887506978834</v>
      </c>
      <c r="C43" s="3">
        <v>491.03257893872052</v>
      </c>
      <c r="D43" s="3">
        <v>390.8691795392777</v>
      </c>
      <c r="E43" s="3">
        <v>386.2535010608587</v>
      </c>
      <c r="F43" s="3">
        <v>175.29316277340092</v>
      </c>
      <c r="G43" s="3">
        <f>(B43-$B$2)/$B$1</f>
        <v>0.57226038511019006</v>
      </c>
      <c r="H43" s="3">
        <f>((C43-$C$2)/$C$1+(D43-$D$2)/$D$1+(E43-$E$2)/$E$1+(F43-$F$2)/$F$1)/4</f>
        <v>0.41289652562340018</v>
      </c>
      <c r="I43" s="19">
        <v>43773</v>
      </c>
      <c r="J43" s="20">
        <v>143.04166666666666</v>
      </c>
      <c r="K43" s="20">
        <v>66.55416666666666</v>
      </c>
      <c r="L43" s="20">
        <v>13.299999999999999</v>
      </c>
      <c r="M43" s="20">
        <v>0</v>
      </c>
      <c r="N43" s="20">
        <v>129.5</v>
      </c>
      <c r="O43" s="20">
        <v>4.041666666666667</v>
      </c>
      <c r="P43" s="20">
        <v>0.41666666666666669</v>
      </c>
      <c r="Q43" s="20">
        <v>6.5791666666666693</v>
      </c>
      <c r="R43" s="10">
        <v>0.58904358750742258</v>
      </c>
      <c r="S43" s="21">
        <v>0.37181250000000005</v>
      </c>
      <c r="T43" s="21">
        <v>0.48627083333333337</v>
      </c>
      <c r="U43" s="21">
        <v>0.5438333333333335</v>
      </c>
      <c r="V43" s="21">
        <v>0.56620833333333354</v>
      </c>
      <c r="W43" s="21">
        <v>0.55104166666666687</v>
      </c>
      <c r="X43" s="21">
        <v>0.43849999999999967</v>
      </c>
      <c r="Y43" s="21">
        <v>0.43787499999999979</v>
      </c>
      <c r="Z43" s="21">
        <v>0.38979166666666676</v>
      </c>
      <c r="AA43" s="21">
        <v>0.18721527777777772</v>
      </c>
      <c r="AB43" s="24">
        <f>AVERAGE(S43,W43)</f>
        <v>0.46142708333333349</v>
      </c>
      <c r="AC43" s="24">
        <f>AVERAGE(T43:V43,X43:Z43)</f>
        <v>0.47707986111111111</v>
      </c>
      <c r="AD43" s="24">
        <f t="shared" si="3"/>
        <v>0.47423390151515155</v>
      </c>
    </row>
    <row r="44" spans="1:30">
      <c r="A44" s="9">
        <v>43774</v>
      </c>
      <c r="B44" s="3">
        <v>342.26160594600452</v>
      </c>
      <c r="C44" s="3">
        <v>225.21850060863386</v>
      </c>
      <c r="D44" s="3">
        <v>147.33687765260257</v>
      </c>
      <c r="E44" s="3">
        <v>195.91068166577617</v>
      </c>
      <c r="F44" s="3">
        <v>95.850002389185008</v>
      </c>
      <c r="G44" s="3">
        <f>(B44-$B$2)/$B$1</f>
        <v>0.37767959430784448</v>
      </c>
      <c r="H44" s="3">
        <f>((C44-$C$2)/$C$1+(D44-$D$2)/$D$1+(E44-$E$2)/$E$1+(F44-$F$2)/$F$1)/4</f>
        <v>0.18101316213757984</v>
      </c>
      <c r="I44" s="19">
        <v>43774</v>
      </c>
      <c r="J44" s="20">
        <v>51.6875</v>
      </c>
      <c r="K44" s="20">
        <v>73.654166666666654</v>
      </c>
      <c r="L44" s="20">
        <v>12.352083333333333</v>
      </c>
      <c r="M44" s="20">
        <v>0.2</v>
      </c>
      <c r="N44" s="20">
        <v>128.125</v>
      </c>
      <c r="O44" s="20">
        <v>3.8333333333333335</v>
      </c>
      <c r="P44" s="20">
        <v>6.25E-2</v>
      </c>
      <c r="Q44" s="20">
        <v>7.7125000000000012</v>
      </c>
      <c r="R44" s="10">
        <v>0.38468004061654781</v>
      </c>
      <c r="S44" s="21">
        <v>0.35945833333333327</v>
      </c>
      <c r="T44" s="21">
        <v>0.47841666666666666</v>
      </c>
      <c r="U44" s="21">
        <v>0.53766666666666696</v>
      </c>
      <c r="V44" s="21">
        <v>0.5624166666666669</v>
      </c>
      <c r="W44" s="21">
        <v>0.54127083333333326</v>
      </c>
      <c r="X44" s="21">
        <v>0.4314374999999997</v>
      </c>
      <c r="Y44" s="21">
        <v>0.43272916666666689</v>
      </c>
      <c r="Z44" s="21">
        <v>0.38545833333333329</v>
      </c>
      <c r="AA44" s="21">
        <v>0.17752777777777765</v>
      </c>
      <c r="AB44" s="24">
        <f>AVERAGE(S44,W44)</f>
        <v>0.45036458333333329</v>
      </c>
      <c r="AC44" s="24">
        <f>AVERAGE(T44:V44,X44:Z44)</f>
        <v>0.47135416666666674</v>
      </c>
      <c r="AD44" s="24">
        <f t="shared" si="3"/>
        <v>0.46753787878787884</v>
      </c>
    </row>
    <row r="45" spans="1:30">
      <c r="A45" s="9">
        <v>43776</v>
      </c>
      <c r="B45" s="3">
        <v>414.36003576641514</v>
      </c>
      <c r="C45" s="3">
        <v>227.75432671129818</v>
      </c>
      <c r="D45" s="3">
        <v>169.35942480315677</v>
      </c>
      <c r="E45" s="3">
        <v>208.3629406946431</v>
      </c>
      <c r="F45" s="3">
        <v>196.44241108505722</v>
      </c>
      <c r="G45" s="3">
        <f>(B45-$B$2)/$B$1</f>
        <v>0.45853016071489716</v>
      </c>
      <c r="H45" s="3">
        <f>((C45-$C$2)/$C$1+(D45-$D$2)/$D$1+(E45-$E$2)/$E$1+(F45-$F$2)/$F$1)/4</f>
        <v>0.23100923585113581</v>
      </c>
      <c r="I45" s="19">
        <v>43776</v>
      </c>
      <c r="J45" s="20">
        <v>86.125</v>
      </c>
      <c r="K45" s="20">
        <v>78.141666666666637</v>
      </c>
      <c r="L45" s="20">
        <v>12.320833333333338</v>
      </c>
      <c r="M45" s="20">
        <v>0</v>
      </c>
      <c r="N45" s="20">
        <v>161.97916666666666</v>
      </c>
      <c r="O45" s="20">
        <v>3.4375</v>
      </c>
      <c r="P45" s="20">
        <v>6.25E-2</v>
      </c>
      <c r="Q45" s="20">
        <v>8.497916666666665</v>
      </c>
      <c r="R45" s="10">
        <v>0.33183548399559409</v>
      </c>
      <c r="S45" s="21">
        <v>0.34395833333333337</v>
      </c>
      <c r="T45" s="21">
        <v>0.4655416666666668</v>
      </c>
      <c r="U45" s="21">
        <v>0.52714583333333287</v>
      </c>
      <c r="V45" s="21">
        <v>0.55583333333333307</v>
      </c>
      <c r="W45" s="21">
        <v>0.52831250000000018</v>
      </c>
      <c r="X45" s="21">
        <v>0.42250000000000032</v>
      </c>
      <c r="Y45" s="21">
        <v>0.42693750000000003</v>
      </c>
      <c r="Z45" s="21">
        <v>0.38014583333333335</v>
      </c>
      <c r="AA45" s="21">
        <v>0.16910416666666664</v>
      </c>
      <c r="AB45" s="24">
        <f>AVERAGE(S45,W45)</f>
        <v>0.43613541666666678</v>
      </c>
      <c r="AC45" s="24">
        <f>AVERAGE(T45:V45,X45:Z45)</f>
        <v>0.46301736111111108</v>
      </c>
      <c r="AD45" s="24">
        <f t="shared" si="3"/>
        <v>0.4581297348484849</v>
      </c>
    </row>
    <row r="46" spans="1:30">
      <c r="A46" s="9">
        <v>43777</v>
      </c>
      <c r="B46" s="3">
        <v>345.94241982309711</v>
      </c>
      <c r="C46" s="3">
        <v>161.24984608441935</v>
      </c>
      <c r="D46" s="3">
        <v>105.80866726861919</v>
      </c>
      <c r="E46" s="3">
        <v>156.20321059564549</v>
      </c>
      <c r="F46" s="3">
        <v>155.96954633808653</v>
      </c>
      <c r="G46" s="3">
        <f>(B46-$B$2)/$B$1</f>
        <v>0.38180722770489839</v>
      </c>
      <c r="H46" s="3">
        <f>((C46-$C$2)/$C$1+(D46-$D$2)/$D$1+(E46-$E$2)/$E$1+(F46-$F$2)/$F$1)/4</f>
        <v>0.16280246786896907</v>
      </c>
      <c r="I46" s="19">
        <v>43777</v>
      </c>
      <c r="J46" s="20">
        <v>56.770833333333336</v>
      </c>
      <c r="K46" s="20">
        <v>78.389583333333306</v>
      </c>
      <c r="L46" s="20">
        <v>11.983333333333329</v>
      </c>
      <c r="M46" s="20">
        <v>0</v>
      </c>
      <c r="N46" s="20">
        <v>180.47916666666666</v>
      </c>
      <c r="O46" s="20">
        <v>2.75</v>
      </c>
      <c r="P46" s="20">
        <v>4.1666666666666664E-2</v>
      </c>
      <c r="Q46" s="20">
        <v>8.2854166666666664</v>
      </c>
      <c r="R46" s="10">
        <v>0.31158692943051569</v>
      </c>
      <c r="S46" s="21">
        <v>0.33408333333333334</v>
      </c>
      <c r="T46" s="21">
        <v>0.45902083333333349</v>
      </c>
      <c r="U46" s="21">
        <v>0.52216666666666656</v>
      </c>
      <c r="V46" s="21">
        <v>0.55224999999999969</v>
      </c>
      <c r="W46" s="21">
        <v>0.52154166666666624</v>
      </c>
      <c r="X46" s="21">
        <v>0.41702083333333317</v>
      </c>
      <c r="Y46" s="21">
        <v>0.42206250000000028</v>
      </c>
      <c r="Z46" s="21">
        <v>0.37572916666666661</v>
      </c>
      <c r="AA46" s="21">
        <v>0.16259027777777776</v>
      </c>
      <c r="AB46" s="24">
        <f>AVERAGE(S46,W46)</f>
        <v>0.42781249999999982</v>
      </c>
      <c r="AC46" s="24">
        <f>AVERAGE(T46:V46,X46:Z46)</f>
        <v>0.45804166666666662</v>
      </c>
      <c r="AD46" s="24">
        <f t="shared" si="3"/>
        <v>0.45254545454545447</v>
      </c>
    </row>
    <row r="47" spans="1:30">
      <c r="A47" s="9">
        <v>43778</v>
      </c>
      <c r="B47" s="3">
        <v>211.27101638918583</v>
      </c>
      <c r="C47" s="3">
        <v>87.307430100906032</v>
      </c>
      <c r="D47" s="3">
        <v>49.474828263702577</v>
      </c>
      <c r="E47" s="3">
        <v>98.867473432006818</v>
      </c>
      <c r="F47" s="3">
        <v>94.465596470726794</v>
      </c>
      <c r="G47" s="3">
        <f>(B47-$B$2)/$B$1</f>
        <v>0.23078786052053804</v>
      </c>
      <c r="H47" s="3">
        <f>((C47-$C$2)/$C$1+(D47-$D$2)/$D$1+(E47-$E$2)/$E$1+(F47-$F$2)/$F$1)/4</f>
        <v>8.4717821412918476E-2</v>
      </c>
      <c r="I47" s="19">
        <v>43778</v>
      </c>
      <c r="J47" s="20">
        <v>38.25</v>
      </c>
      <c r="K47" s="20">
        <v>83.05</v>
      </c>
      <c r="L47" s="20">
        <v>12.435416666666669</v>
      </c>
      <c r="M47" s="20">
        <v>1</v>
      </c>
      <c r="N47" s="20">
        <v>158.54166666666666</v>
      </c>
      <c r="O47" s="20">
        <v>3.8125</v>
      </c>
      <c r="P47" s="20">
        <v>0.27083333333333331</v>
      </c>
      <c r="Q47" s="20">
        <v>9.6166666666666689</v>
      </c>
      <c r="R47" s="10">
        <v>0.24896009249766529</v>
      </c>
      <c r="S47" s="21">
        <v>0.32568749999999991</v>
      </c>
      <c r="T47" s="21">
        <v>0.45293749999999999</v>
      </c>
      <c r="U47" s="21">
        <v>0.51783333333333326</v>
      </c>
      <c r="V47" s="21">
        <v>0.54870833333333335</v>
      </c>
      <c r="W47" s="21">
        <v>0.5158541666666665</v>
      </c>
      <c r="X47" s="21">
        <v>0.41229166666666694</v>
      </c>
      <c r="Y47" s="21">
        <v>0.41835416666666686</v>
      </c>
      <c r="Z47" s="21">
        <v>0.37222916666666667</v>
      </c>
      <c r="AA47" s="21">
        <v>0.15755555555555553</v>
      </c>
      <c r="AB47" s="24">
        <f>AVERAGE(S47,W47)</f>
        <v>0.42077083333333321</v>
      </c>
      <c r="AC47" s="24">
        <f>AVERAGE(T47:V47,X47:Z47)</f>
        <v>0.45372569444444455</v>
      </c>
      <c r="AD47" s="24">
        <f t="shared" si="3"/>
        <v>0.44773390151515158</v>
      </c>
    </row>
    <row r="48" spans="1:30">
      <c r="A48" s="9">
        <v>43780</v>
      </c>
      <c r="B48" s="3">
        <v>387.7477775749835</v>
      </c>
      <c r="C48" s="3">
        <v>208.9842240521757</v>
      </c>
      <c r="D48" s="3">
        <v>199.6846086224906</v>
      </c>
      <c r="E48" s="3">
        <v>241.3124516566954</v>
      </c>
      <c r="F48" s="3">
        <v>223.04475470269452</v>
      </c>
      <c r="G48" s="3">
        <f>(B48-$B$2)/$B$1</f>
        <v>0.42868740056731253</v>
      </c>
      <c r="H48" s="3">
        <f>((C48-$C$2)/$C$1+(D48-$D$2)/$D$1+(E48-$E$2)/$E$1+(F48-$F$2)/$F$1)/4</f>
        <v>0.25497941749229525</v>
      </c>
      <c r="I48" s="19">
        <v>43780</v>
      </c>
      <c r="J48" s="20">
        <v>78.604166666666671</v>
      </c>
      <c r="K48" s="20">
        <v>84.82083333333334</v>
      </c>
      <c r="L48" s="20">
        <v>13.693750000000001</v>
      </c>
      <c r="M48" s="20">
        <v>0</v>
      </c>
      <c r="N48" s="20">
        <v>138.39583333333334</v>
      </c>
      <c r="O48" s="20">
        <v>10.770833333333334</v>
      </c>
      <c r="P48" s="20">
        <v>1.2708333333333333</v>
      </c>
      <c r="Q48" s="20">
        <v>11.118749999999997</v>
      </c>
      <c r="R48" s="10">
        <v>0.25734532601014293</v>
      </c>
      <c r="S48" s="21">
        <v>0.31712500000000027</v>
      </c>
      <c r="T48" s="21">
        <v>0.44456250000000042</v>
      </c>
      <c r="U48" s="21">
        <v>0.51164583333333391</v>
      </c>
      <c r="V48" s="21">
        <v>0.5430416666666672</v>
      </c>
      <c r="W48" s="21">
        <v>0.50891666666666657</v>
      </c>
      <c r="X48" s="21">
        <v>0.40679166666666688</v>
      </c>
      <c r="Y48" s="21">
        <v>0.41389583333333313</v>
      </c>
      <c r="Z48" s="21">
        <v>0.36785416666666659</v>
      </c>
      <c r="AA48" s="21">
        <v>0.16674999999999998</v>
      </c>
      <c r="AB48" s="24">
        <f>AVERAGE(S48,W48)</f>
        <v>0.41302083333333339</v>
      </c>
      <c r="AC48" s="24">
        <f>AVERAGE(T48:V48,X48:Z48)</f>
        <v>0.44796527777777806</v>
      </c>
      <c r="AD48" s="24">
        <f t="shared" si="3"/>
        <v>0.44161174242424267</v>
      </c>
    </row>
    <row r="49" spans="1:30">
      <c r="A49" s="9">
        <v>43781</v>
      </c>
      <c r="B49" s="3">
        <v>181.37586065781159</v>
      </c>
      <c r="C49" s="3">
        <v>76.207011809841106</v>
      </c>
      <c r="D49" s="3">
        <v>92.212154041635003</v>
      </c>
      <c r="E49" s="3">
        <v>130.28924004945918</v>
      </c>
      <c r="F49" s="3">
        <v>117.62845573372363</v>
      </c>
      <c r="G49" s="3">
        <f>(B49-$B$2)/$B$1</f>
        <v>0.1972636869743285</v>
      </c>
      <c r="H49" s="3">
        <f>((C49-$C$2)/$C$1+(D49-$D$2)/$D$1+(E49-$E$2)/$E$1+(F49-$F$2)/$F$1)/4</f>
        <v>0.1124388179935175</v>
      </c>
      <c r="I49" s="19">
        <v>43781</v>
      </c>
      <c r="J49" s="20">
        <v>36.729166666666664</v>
      </c>
      <c r="K49" s="20">
        <v>86.537500000000009</v>
      </c>
      <c r="L49" s="20">
        <v>15.568750000000003</v>
      </c>
      <c r="M49" s="20">
        <v>0</v>
      </c>
      <c r="N49" s="20">
        <v>125.1875</v>
      </c>
      <c r="O49" s="20">
        <v>4.75</v>
      </c>
      <c r="P49" s="20">
        <v>0.47916666666666669</v>
      </c>
      <c r="Q49" s="20">
        <v>13.316666666666668</v>
      </c>
      <c r="R49" s="10">
        <v>0.24357103145475209</v>
      </c>
      <c r="S49" s="21">
        <v>0.31425000000000003</v>
      </c>
      <c r="T49" s="21">
        <v>0.44227083333333339</v>
      </c>
      <c r="U49" s="21">
        <v>0.50975000000000015</v>
      </c>
      <c r="V49" s="21">
        <v>0.54068749999999988</v>
      </c>
      <c r="W49" s="21">
        <v>0.50820833333333282</v>
      </c>
      <c r="X49" s="21">
        <v>0.4046458333333332</v>
      </c>
      <c r="Y49" s="21">
        <v>0.4108124999999998</v>
      </c>
      <c r="Z49" s="21">
        <v>0.36479166666666701</v>
      </c>
      <c r="AA49" s="21">
        <v>0.16144444444444439</v>
      </c>
      <c r="AB49" s="24">
        <f>AVERAGE(S49,W49)</f>
        <v>0.41122916666666642</v>
      </c>
      <c r="AC49" s="24">
        <f>AVERAGE(T49:V49,X49:Z49)</f>
        <v>0.44549305555555557</v>
      </c>
      <c r="AD49" s="24">
        <f t="shared" si="3"/>
        <v>0.43926325757575752</v>
      </c>
    </row>
    <row r="50" spans="1:30">
      <c r="A50" s="9">
        <v>43782</v>
      </c>
      <c r="B50" s="3">
        <v>224.10426399096625</v>
      </c>
      <c r="C50" s="3">
        <v>56.807329015481791</v>
      </c>
      <c r="D50" s="3">
        <v>72.305047681252617</v>
      </c>
      <c r="E50" s="3">
        <v>115.03249377211269</v>
      </c>
      <c r="F50" s="3">
        <v>96.025459995375527</v>
      </c>
      <c r="G50" s="3">
        <f>(B50-$B$2)/$B$1</f>
        <v>0.2451789553062412</v>
      </c>
      <c r="H50" s="3">
        <f>((C50-$C$2)/$C$1+(D50-$D$2)/$D$1+(E50-$E$2)/$E$1+(F50-$F$2)/$F$1)/4</f>
        <v>8.8324746547293539E-2</v>
      </c>
      <c r="I50" s="19">
        <v>43782</v>
      </c>
      <c r="J50" s="20">
        <v>37</v>
      </c>
      <c r="K50" s="20">
        <v>82.82916666666668</v>
      </c>
      <c r="L50" s="20">
        <v>11.687500000000002</v>
      </c>
      <c r="M50" s="20">
        <v>0.9</v>
      </c>
      <c r="N50" s="20">
        <v>228.79166666666666</v>
      </c>
      <c r="O50" s="20">
        <v>7.979166666666667</v>
      </c>
      <c r="P50" s="20">
        <v>0.10416666666666667</v>
      </c>
      <c r="Q50" s="20">
        <v>8.8166666666666682</v>
      </c>
      <c r="R50" s="10">
        <v>0.23933565721813918</v>
      </c>
      <c r="S50" s="21">
        <v>0.31018749999999995</v>
      </c>
      <c r="T50" s="21">
        <v>0.43962499999999999</v>
      </c>
      <c r="U50" s="21">
        <v>0.50877083333333339</v>
      </c>
      <c r="V50" s="21">
        <v>0.53908333333333325</v>
      </c>
      <c r="W50" s="21">
        <v>0.50595833333333362</v>
      </c>
      <c r="X50" s="21">
        <v>0.40266666666666645</v>
      </c>
      <c r="Y50" s="21">
        <v>0.40895833333333337</v>
      </c>
      <c r="Z50" s="21">
        <v>0.36281249999999998</v>
      </c>
      <c r="AA50" s="21">
        <v>0.16090070921985816</v>
      </c>
      <c r="AB50" s="24">
        <f>AVERAGE(S50,W50)</f>
        <v>0.40807291666666679</v>
      </c>
      <c r="AC50" s="24">
        <f>AVERAGE(T50:V50,X50:Z50)</f>
        <v>0.44365277777777773</v>
      </c>
      <c r="AD50" s="24">
        <f t="shared" si="3"/>
        <v>0.4371837121212121</v>
      </c>
    </row>
    <row r="51" spans="1:30">
      <c r="A51" s="9">
        <v>43783</v>
      </c>
      <c r="B51" s="3">
        <v>597.22856317338642</v>
      </c>
      <c r="C51" s="3">
        <v>423.90133291410473</v>
      </c>
      <c r="D51" s="3">
        <v>391.6318773805454</v>
      </c>
      <c r="E51" s="3">
        <v>403.09875184951511</v>
      </c>
      <c r="F51" s="3">
        <v>384.01433444554999</v>
      </c>
      <c r="G51" s="3">
        <f>(B51-$B$2)/$B$1</f>
        <v>0.66359737307590361</v>
      </c>
      <c r="H51" s="3">
        <f>((C51-$C$2)/$C$1+(D51-$D$2)/$D$1+(E51-$E$2)/$E$1+(F51-$F$2)/$F$1)/4</f>
        <v>0.48131605851518577</v>
      </c>
      <c r="I51" s="19">
        <v>43783</v>
      </c>
      <c r="J51" s="20">
        <v>176.72916666666666</v>
      </c>
      <c r="K51" s="20">
        <v>63.006250000000016</v>
      </c>
      <c r="L51" s="20">
        <v>12.543750000000001</v>
      </c>
      <c r="M51" s="20">
        <v>0</v>
      </c>
      <c r="N51" s="20">
        <v>197.70833333333334</v>
      </c>
      <c r="O51" s="20">
        <v>4.6875</v>
      </c>
      <c r="P51" s="20">
        <v>0.33333333333333331</v>
      </c>
      <c r="Q51" s="20">
        <v>5.0125000000000002</v>
      </c>
      <c r="R51" s="10">
        <v>0.63732472269575469</v>
      </c>
      <c r="S51" s="21">
        <v>0.30239583333333336</v>
      </c>
      <c r="T51" s="21">
        <v>0.43289583333333342</v>
      </c>
      <c r="U51" s="21">
        <v>0.50231249999999972</v>
      </c>
      <c r="V51" s="21">
        <v>0.53443750000000012</v>
      </c>
      <c r="W51" s="21">
        <v>0.49866666666666698</v>
      </c>
      <c r="X51" s="21">
        <v>0.39627083333333352</v>
      </c>
      <c r="Y51" s="21">
        <v>0.40329166666666666</v>
      </c>
      <c r="Z51" s="21">
        <v>0.35847916666666674</v>
      </c>
      <c r="AA51" s="21">
        <v>0.15337499999999998</v>
      </c>
      <c r="AB51" s="24">
        <f>AVERAGE(S51,W51)</f>
        <v>0.40053125000000017</v>
      </c>
      <c r="AC51" s="24">
        <f>AVERAGE(T51:V51,X51:Z51)</f>
        <v>0.43794791666666671</v>
      </c>
      <c r="AD51" s="24">
        <f t="shared" si="3"/>
        <v>0.43114488636363646</v>
      </c>
    </row>
    <row r="52" spans="1:30">
      <c r="A52" s="9">
        <v>43784</v>
      </c>
      <c r="B52" s="3">
        <v>478.80150892126227</v>
      </c>
      <c r="C52" s="3">
        <v>358.68642682353357</v>
      </c>
      <c r="D52" s="3">
        <v>311.22038943396842</v>
      </c>
      <c r="E52" s="3">
        <v>324.71190504485281</v>
      </c>
      <c r="F52" s="3">
        <v>361.11561931742983</v>
      </c>
      <c r="G52" s="3">
        <f>(B52-$B$2)/$B$1</f>
        <v>0.53079428099674153</v>
      </c>
      <c r="H52" s="3">
        <f>((C52-$C$2)/$C$1+(D52-$D$2)/$D$1+(E52-$E$2)/$E$1+(F52-$F$2)/$F$1)/4</f>
        <v>0.40740851120387467</v>
      </c>
      <c r="I52" s="19">
        <v>43784</v>
      </c>
      <c r="J52" s="20">
        <v>121.60416666666667</v>
      </c>
      <c r="K52" s="20">
        <v>77.416666666666671</v>
      </c>
      <c r="L52" s="20">
        <v>13.80625</v>
      </c>
      <c r="M52" s="20">
        <v>0</v>
      </c>
      <c r="N52" s="20">
        <v>143.33333333333334</v>
      </c>
      <c r="O52" s="20">
        <v>3.5625</v>
      </c>
      <c r="P52" s="20">
        <v>4.1666666666666664E-2</v>
      </c>
      <c r="Q52" s="20">
        <v>9.7104166666666671</v>
      </c>
      <c r="R52" s="10">
        <v>0.42201480428965149</v>
      </c>
      <c r="S52" s="21">
        <v>0.29720833333333335</v>
      </c>
      <c r="T52" s="21">
        <v>0.42866666666666675</v>
      </c>
      <c r="U52" s="21">
        <v>0.49768749999999956</v>
      </c>
      <c r="V52" s="21">
        <v>0.52989583333333312</v>
      </c>
      <c r="W52" s="21">
        <v>0.4944583333333335</v>
      </c>
      <c r="X52" s="21">
        <v>0.39056250000000015</v>
      </c>
      <c r="Y52" s="21">
        <v>0.39685416666666634</v>
      </c>
      <c r="Z52" s="21">
        <v>0.35335416666666641</v>
      </c>
      <c r="AA52" s="21">
        <v>0.14622222222222217</v>
      </c>
      <c r="AB52" s="24">
        <f>AVERAGE(S52,W52)</f>
        <v>0.39583333333333343</v>
      </c>
      <c r="AC52" s="24">
        <f>AVERAGE(T52:V52,X52:Z52)</f>
        <v>0.43283680555555543</v>
      </c>
      <c r="AD52" s="24">
        <f t="shared" si="3"/>
        <v>0.42610890151515146</v>
      </c>
    </row>
    <row r="53" spans="1:30">
      <c r="A53" s="9">
        <v>43936</v>
      </c>
      <c r="B53" s="3">
        <v>612.53847328530458</v>
      </c>
      <c r="C53" s="3">
        <v>431.87524599052591</v>
      </c>
      <c r="D53" s="3">
        <v>443.9550870406419</v>
      </c>
      <c r="E53" s="3">
        <v>419.11531616125529</v>
      </c>
      <c r="F53" s="3">
        <v>323.27802858769661</v>
      </c>
      <c r="G53" s="3">
        <f>(B53-$B$2)/$B$1</f>
        <v>0.68076577615032441</v>
      </c>
      <c r="H53" s="3">
        <f>((C53-$C$2)/$C$1+(D53-$D$2)/$D$1+(E53-$E$2)/$E$1+(F53-$F$2)/$F$1)/4</f>
        <v>0.47939515660678389</v>
      </c>
      <c r="I53" s="19">
        <v>43936</v>
      </c>
      <c r="J53" s="20">
        <v>241.58333333333334</v>
      </c>
      <c r="K53" s="20">
        <v>64.925000000000026</v>
      </c>
      <c r="L53" s="20">
        <v>18.835416666666667</v>
      </c>
      <c r="M53" s="20">
        <v>0</v>
      </c>
      <c r="N53" s="20">
        <v>223.04166666666666</v>
      </c>
      <c r="O53" s="20">
        <v>11.145833333333334</v>
      </c>
      <c r="P53" s="20">
        <v>1.3958333333333333</v>
      </c>
      <c r="Q53" s="20">
        <v>11.76041666666667</v>
      </c>
      <c r="R53" s="10">
        <v>0.87846752659360272</v>
      </c>
      <c r="S53" s="21">
        <v>0.29035416666666658</v>
      </c>
      <c r="T53" s="21">
        <v>0.39912499999999995</v>
      </c>
      <c r="U53" s="21">
        <v>0.48414583333333355</v>
      </c>
      <c r="V53" s="21">
        <v>0.51093749999999993</v>
      </c>
      <c r="W53" s="21">
        <v>0.45841666666666697</v>
      </c>
      <c r="X53" s="21">
        <v>0.33935416666666662</v>
      </c>
      <c r="Y53" s="21">
        <v>0.35241666666666666</v>
      </c>
      <c r="Z53" s="21">
        <v>0.30877083333333333</v>
      </c>
      <c r="AA53" s="21">
        <v>0.13809523809523808</v>
      </c>
      <c r="AB53" s="24">
        <f>AVERAGE(S53,W53)</f>
        <v>0.3743854166666668</v>
      </c>
      <c r="AC53" s="24">
        <f>AVERAGE(T53:V53,X53:Z53)</f>
        <v>0.39912500000000001</v>
      </c>
      <c r="AD53" s="24">
        <f t="shared" si="3"/>
        <v>0.39462689393939399</v>
      </c>
    </row>
    <row r="54" spans="1:30">
      <c r="A54" s="9">
        <v>43937</v>
      </c>
      <c r="B54" s="3">
        <v>572.83331022587822</v>
      </c>
      <c r="C54" s="3">
        <v>398.9527666231055</v>
      </c>
      <c r="D54" s="3">
        <v>381.22715528770561</v>
      </c>
      <c r="E54" s="3">
        <v>390.47930023008115</v>
      </c>
      <c r="F54" s="3">
        <v>308.38890143435032</v>
      </c>
      <c r="G54" s="3">
        <f>(B54-$B$2)/$B$1</f>
        <v>0.63624074376563544</v>
      </c>
      <c r="H54" s="3">
        <f>((C54-$C$2)/$C$1+(D54-$D$2)/$D$1+(E54-$E$2)/$E$1+(F54-$F$2)/$F$1)/4</f>
        <v>0.43805504878819557</v>
      </c>
      <c r="I54" s="19">
        <v>43937</v>
      </c>
      <c r="J54" s="20">
        <v>209.08333333333334</v>
      </c>
      <c r="K54" s="20">
        <v>71.245833333333323</v>
      </c>
      <c r="L54" s="20">
        <v>20.383333333333336</v>
      </c>
      <c r="M54" s="20">
        <v>0</v>
      </c>
      <c r="N54" s="20">
        <v>238.52083333333334</v>
      </c>
      <c r="O54" s="20">
        <v>12</v>
      </c>
      <c r="P54" s="20">
        <v>1.9583333333333333</v>
      </c>
      <c r="Q54" s="20">
        <v>14.577083333333327</v>
      </c>
      <c r="R54" s="10">
        <v>0.8120170496059621</v>
      </c>
      <c r="S54" s="21">
        <v>0.28672916666666687</v>
      </c>
      <c r="T54" s="21">
        <v>0.39714583333333336</v>
      </c>
      <c r="U54" s="21">
        <v>0.4838541666666667</v>
      </c>
      <c r="V54" s="21">
        <v>0.50595833333333318</v>
      </c>
      <c r="W54" s="21">
        <v>0.45395833333333374</v>
      </c>
      <c r="X54" s="21">
        <v>0.33631250000000007</v>
      </c>
      <c r="Y54" s="21">
        <v>0.34916666666666668</v>
      </c>
      <c r="Z54" s="21">
        <v>0.30589583333333337</v>
      </c>
      <c r="AA54" s="21">
        <v>0.13222580645161292</v>
      </c>
      <c r="AB54" s="24">
        <f>AVERAGE(S54,W54)</f>
        <v>0.3703437500000003</v>
      </c>
      <c r="AC54" s="24">
        <f>AVERAGE(T54:V54,X54:Z54)</f>
        <v>0.3963888888888889</v>
      </c>
      <c r="AD54" s="24">
        <f t="shared" si="3"/>
        <v>0.39165340909090918</v>
      </c>
    </row>
    <row r="55" spans="1:30">
      <c r="A55" s="9">
        <v>43938</v>
      </c>
      <c r="B55" s="3">
        <v>593.1147477214646</v>
      </c>
      <c r="C55" s="3">
        <v>390.18286957028607</v>
      </c>
      <c r="D55" s="3">
        <v>370.38872073828151</v>
      </c>
      <c r="E55" s="3">
        <v>374.26661810917227</v>
      </c>
      <c r="F55" s="3">
        <v>308.05133683454977</v>
      </c>
      <c r="G55" s="3">
        <f>(B55-$B$2)/$B$1</f>
        <v>0.65898417539309073</v>
      </c>
      <c r="H55" s="3">
        <f>((C55-$C$2)/$C$1+(D55-$D$2)/$D$1+(E55-$E$2)/$E$1+(F55-$F$2)/$F$1)/4</f>
        <v>0.42740091554102122</v>
      </c>
      <c r="I55" s="19">
        <v>43938</v>
      </c>
      <c r="J55" s="20">
        <v>189.27083333333334</v>
      </c>
      <c r="K55" s="20">
        <v>72.914583333333312</v>
      </c>
      <c r="L55" s="20">
        <v>20.775000000000006</v>
      </c>
      <c r="M55" s="20">
        <v>0</v>
      </c>
      <c r="N55" s="20">
        <v>239.10416666666666</v>
      </c>
      <c r="O55" s="20">
        <v>12.104166666666666</v>
      </c>
      <c r="P55" s="20">
        <v>2.375</v>
      </c>
      <c r="Q55" s="20">
        <v>15.443749999999996</v>
      </c>
      <c r="R55" s="10">
        <v>0.73545626119869623</v>
      </c>
      <c r="S55" s="21">
        <v>0.28233333333333305</v>
      </c>
      <c r="T55" s="21">
        <v>0.39441666666666664</v>
      </c>
      <c r="U55" s="21">
        <v>0.48291666666666683</v>
      </c>
      <c r="V55" s="21">
        <v>0.50010416666666657</v>
      </c>
      <c r="W55" s="21">
        <v>0.44910416666666636</v>
      </c>
      <c r="X55" s="21">
        <v>0.33337499999999998</v>
      </c>
      <c r="Y55" s="21">
        <v>0.34608333333333324</v>
      </c>
      <c r="Z55" s="21">
        <v>0.30320833333333341</v>
      </c>
      <c r="AA55" s="21">
        <v>0.12718181818181815</v>
      </c>
      <c r="AB55" s="24">
        <f>AVERAGE(S55,W55)</f>
        <v>0.3657187499999997</v>
      </c>
      <c r="AC55" s="24">
        <f>AVERAGE(T55:V55,X55:Z55)</f>
        <v>0.39335069444444448</v>
      </c>
      <c r="AD55" s="24">
        <f t="shared" si="3"/>
        <v>0.38832670454545448</v>
      </c>
    </row>
    <row r="56" spans="1:30">
      <c r="A56" s="9">
        <v>43939</v>
      </c>
      <c r="B56" s="3">
        <v>622.59204437719131</v>
      </c>
      <c r="C56" s="3">
        <v>391.68837017498538</v>
      </c>
      <c r="D56" s="3">
        <v>404.48915176377409</v>
      </c>
      <c r="E56" s="3">
        <v>376.41540402354769</v>
      </c>
      <c r="F56" s="3">
        <v>300.87959820101031</v>
      </c>
      <c r="G56" s="3">
        <f>(B56-$B$2)/$B$1</f>
        <v>0.69203976532342149</v>
      </c>
      <c r="H56" s="3">
        <f>((C56-$C$2)/$C$1+(D56-$D$2)/$D$1+(E56-$E$2)/$E$1+(F56-$F$2)/$F$1)/4</f>
        <v>0.43518067427534324</v>
      </c>
      <c r="I56" s="19">
        <v>43939</v>
      </c>
      <c r="J56" s="20">
        <v>176.41666666666666</v>
      </c>
      <c r="K56" s="20">
        <v>72.108333333333306</v>
      </c>
      <c r="L56" s="20">
        <v>20.5625</v>
      </c>
      <c r="M56" s="20">
        <v>0</v>
      </c>
      <c r="N56" s="20">
        <v>225.02083333333334</v>
      </c>
      <c r="O56" s="20">
        <v>15.1875</v>
      </c>
      <c r="P56" s="20">
        <v>2.3125</v>
      </c>
      <c r="Q56" s="20">
        <v>15.029166666666667</v>
      </c>
      <c r="R56" s="10">
        <v>0.75559846271427566</v>
      </c>
      <c r="S56" s="21">
        <v>0.27733333333333349</v>
      </c>
      <c r="T56" s="21">
        <v>0.38956250000000003</v>
      </c>
      <c r="U56" s="21">
        <v>0.48016666666666707</v>
      </c>
      <c r="V56" s="21">
        <v>0.49304166666666682</v>
      </c>
      <c r="W56" s="21">
        <v>0.44341666666666657</v>
      </c>
      <c r="X56" s="21">
        <v>0.33002083333333332</v>
      </c>
      <c r="Y56" s="21">
        <v>0.34260416666666665</v>
      </c>
      <c r="Z56" s="21">
        <v>0.30052083333333329</v>
      </c>
      <c r="AA56" s="21">
        <v>0.12247999999999999</v>
      </c>
      <c r="AB56" s="24">
        <f>AVERAGE(S56,W56)</f>
        <v>0.360375</v>
      </c>
      <c r="AC56" s="24">
        <f>AVERAGE(T56:V56,X56:Z56)</f>
        <v>0.38931944444444455</v>
      </c>
      <c r="AD56" s="24">
        <f t="shared" si="3"/>
        <v>0.38405681818181819</v>
      </c>
    </row>
    <row r="57" spans="1:30">
      <c r="A57" s="9">
        <v>43940</v>
      </c>
      <c r="B57" s="3">
        <v>310.50103678402991</v>
      </c>
      <c r="C57" s="3">
        <v>209.08722764642488</v>
      </c>
      <c r="D57" s="3">
        <v>166.33068343764171</v>
      </c>
      <c r="E57" s="3">
        <v>209.61656172076124</v>
      </c>
      <c r="F57" s="3">
        <v>185.93753713985538</v>
      </c>
      <c r="G57" s="3">
        <f>(B57-$B$2)/$B$1</f>
        <v>0.34206356199545873</v>
      </c>
      <c r="H57" s="3">
        <f>((C57-$C$2)/$C$1+(D57-$D$2)/$D$1+(E57-$E$2)/$E$1+(F57-$F$2)/$F$1)/4</f>
        <v>0.22130349197511107</v>
      </c>
      <c r="I57" s="19">
        <v>43940</v>
      </c>
      <c r="J57" s="20">
        <v>85.104166666666671</v>
      </c>
      <c r="K57" s="20">
        <v>83.833333333333314</v>
      </c>
      <c r="L57" s="20">
        <v>17.249999999999996</v>
      </c>
      <c r="M57" s="20">
        <v>0</v>
      </c>
      <c r="N57" s="20">
        <v>236.02083333333334</v>
      </c>
      <c r="O57" s="20">
        <v>5.6875</v>
      </c>
      <c r="P57" s="20">
        <v>0.125</v>
      </c>
      <c r="Q57" s="20">
        <v>14.424999999999997</v>
      </c>
      <c r="R57" s="10">
        <v>0.33848774804680049</v>
      </c>
      <c r="S57" s="21">
        <v>0.27293750000000022</v>
      </c>
      <c r="T57" s="21">
        <v>0.38479166666666659</v>
      </c>
      <c r="U57" s="21">
        <v>0.47675000000000028</v>
      </c>
      <c r="V57" s="21">
        <v>0.48658333333333353</v>
      </c>
      <c r="W57" s="21">
        <v>0.43756249999999991</v>
      </c>
      <c r="X57" s="21">
        <v>0.32714583333333352</v>
      </c>
      <c r="Y57" s="21">
        <v>0.34025000000000011</v>
      </c>
      <c r="Z57" s="21">
        <v>0.2982708333333336</v>
      </c>
      <c r="AA57" s="21">
        <v>0.11966666666666666</v>
      </c>
      <c r="AB57" s="24">
        <f>AVERAGE(S57,W57)</f>
        <v>0.35525000000000007</v>
      </c>
      <c r="AC57" s="24">
        <f>AVERAGE(T57:V57,X57:Z57)</f>
        <v>0.38563194444444454</v>
      </c>
      <c r="AD57" s="24">
        <f t="shared" si="3"/>
        <v>0.38010795454545471</v>
      </c>
    </row>
    <row r="58" spans="1:30">
      <c r="A58" s="9">
        <v>43941</v>
      </c>
      <c r="B58" s="3">
        <v>444.46648708860164</v>
      </c>
      <c r="C58" s="3">
        <v>315.83614490042419</v>
      </c>
      <c r="D58" s="3">
        <v>364.16068931733849</v>
      </c>
      <c r="E58" s="3">
        <v>332.26541817833026</v>
      </c>
      <c r="F58" s="3">
        <v>255.89754219276637</v>
      </c>
      <c r="G58" s="3">
        <f>(B58-$B$2)/$B$1</f>
        <v>0.49229127934075734</v>
      </c>
      <c r="H58" s="3">
        <f>((C58-$C$2)/$C$1+(D58-$D$2)/$D$1+(E58-$E$2)/$E$1+(F58-$F$2)/$F$1)/4</f>
        <v>0.37160601157334139</v>
      </c>
      <c r="I58" s="19">
        <v>43941</v>
      </c>
      <c r="J58" s="20">
        <v>201.79166666666666</v>
      </c>
      <c r="K58" s="20">
        <v>77.902083333333351</v>
      </c>
      <c r="L58" s="20">
        <v>19.602083333333333</v>
      </c>
      <c r="M58" s="20">
        <v>1.2</v>
      </c>
      <c r="N58" s="20">
        <v>227.54166666666666</v>
      </c>
      <c r="O58" s="20">
        <v>8.5416666666666661</v>
      </c>
      <c r="P58" s="20">
        <v>0.54166666666666663</v>
      </c>
      <c r="Q58" s="20">
        <v>15.2875</v>
      </c>
      <c r="R58" s="10">
        <v>0.5995692640711846</v>
      </c>
      <c r="S58" s="21">
        <v>0.27004166666666674</v>
      </c>
      <c r="T58" s="21">
        <v>0.37981250000000005</v>
      </c>
      <c r="U58" s="21">
        <v>0.47243749999999979</v>
      </c>
      <c r="V58" s="21">
        <v>0.47989583333333291</v>
      </c>
      <c r="W58" s="21">
        <v>0.4339374999999997</v>
      </c>
      <c r="X58" s="21">
        <v>0.32487499999999991</v>
      </c>
      <c r="Y58" s="21">
        <v>0.33739583333333356</v>
      </c>
      <c r="Z58" s="21">
        <v>0.29589583333333336</v>
      </c>
      <c r="AA58" s="21">
        <v>0.11912499999999999</v>
      </c>
      <c r="AB58" s="24">
        <f>AVERAGE(S58,W58)</f>
        <v>0.35198958333333319</v>
      </c>
      <c r="AC58" s="24">
        <f>AVERAGE(T58:V58,X58:Z58)</f>
        <v>0.38171874999999994</v>
      </c>
      <c r="AD58" s="24">
        <f t="shared" si="3"/>
        <v>0.37631344696969693</v>
      </c>
    </row>
    <row r="59" spans="1:30">
      <c r="A59" s="9">
        <v>43942</v>
      </c>
      <c r="B59" s="3">
        <v>211.99938619035203</v>
      </c>
      <c r="C59" s="3">
        <v>124.68128564826797</v>
      </c>
      <c r="D59" s="3">
        <v>98.203342450105183</v>
      </c>
      <c r="E59" s="3">
        <v>137.74637063348021</v>
      </c>
      <c r="F59" s="3">
        <v>116.8187887570359</v>
      </c>
      <c r="G59" s="3">
        <f>(B59-$B$2)/$B$1</f>
        <v>0.23160464822485791</v>
      </c>
      <c r="H59" s="3">
        <f>((C59-$C$2)/$C$1+(D59-$D$2)/$D$1+(E59-$E$2)/$E$1+(F59-$F$2)/$F$1)/4</f>
        <v>0.12951703100748582</v>
      </c>
      <c r="I59" s="19">
        <v>43942</v>
      </c>
      <c r="J59" s="20">
        <v>65.770833333333329</v>
      </c>
      <c r="K59" s="20">
        <v>84.143749999999997</v>
      </c>
      <c r="L59" s="20">
        <v>13.870833333333325</v>
      </c>
      <c r="M59" s="20">
        <v>0</v>
      </c>
      <c r="N59" s="20">
        <v>188.25</v>
      </c>
      <c r="O59" s="20">
        <v>6.458333333333333</v>
      </c>
      <c r="P59" s="20">
        <v>0.25</v>
      </c>
      <c r="Q59" s="20">
        <v>11.218750000000005</v>
      </c>
      <c r="R59" s="10">
        <v>0.25623449394215947</v>
      </c>
      <c r="S59" s="21">
        <v>0.26620833333333344</v>
      </c>
      <c r="T59" s="21">
        <v>0.3738333333333333</v>
      </c>
      <c r="U59" s="21">
        <v>0.46764583333333337</v>
      </c>
      <c r="V59" s="21">
        <v>0.47270833333333329</v>
      </c>
      <c r="W59" s="21">
        <v>0.42877083333333316</v>
      </c>
      <c r="X59" s="21">
        <v>0.32222916666666651</v>
      </c>
      <c r="Y59" s="21">
        <v>0.33512500000000017</v>
      </c>
      <c r="Z59" s="21">
        <v>0.29404166666666659</v>
      </c>
      <c r="AA59" s="21">
        <v>0.11547916666666676</v>
      </c>
      <c r="AB59" s="24">
        <f>AVERAGE(S59,W59)</f>
        <v>0.3474895833333333</v>
      </c>
      <c r="AC59" s="24">
        <f>AVERAGE(T59:V59,X59:Z59)</f>
        <v>0.3775972222222222</v>
      </c>
      <c r="AD59" s="24">
        <f t="shared" si="3"/>
        <v>0.37212310606060611</v>
      </c>
    </row>
    <row r="60" spans="1:30">
      <c r="A60" s="9">
        <v>43943</v>
      </c>
      <c r="B60" s="3">
        <v>177.76268344712946</v>
      </c>
      <c r="C60" s="3">
        <v>100.89533705225274</v>
      </c>
      <c r="D60" s="3">
        <v>79.649461637058053</v>
      </c>
      <c r="E60" s="3">
        <v>120.31242296281324</v>
      </c>
      <c r="F60" s="3">
        <v>100.11404323051211</v>
      </c>
      <c r="G60" s="3">
        <f>(B60-$B$2)/$B$1</f>
        <v>0.19321190076011602</v>
      </c>
      <c r="H60" s="3">
        <f>((C60-$C$2)/$C$1+(D60-$D$2)/$D$1+(E60-$E$2)/$E$1+(F60-$F$2)/$F$1)/4</f>
        <v>0.1057971547468701</v>
      </c>
      <c r="I60" s="19">
        <v>43943</v>
      </c>
      <c r="J60" s="20">
        <v>54.041666666666664</v>
      </c>
      <c r="K60" s="20">
        <v>84.766666666666637</v>
      </c>
      <c r="L60" s="20">
        <v>10.96875</v>
      </c>
      <c r="M60" s="20">
        <v>0</v>
      </c>
      <c r="N60" s="20">
        <v>192</v>
      </c>
      <c r="O60" s="20">
        <v>5.479166666666667</v>
      </c>
      <c r="P60" s="20">
        <v>0.10416666666666667</v>
      </c>
      <c r="Q60" s="20">
        <v>8.4541666666666693</v>
      </c>
      <c r="R60" s="10">
        <v>0.20816893889979401</v>
      </c>
      <c r="S60" s="21">
        <v>0.26208333333333306</v>
      </c>
      <c r="T60" s="21">
        <v>0.36739583333333337</v>
      </c>
      <c r="U60" s="21">
        <v>0.46133333333333315</v>
      </c>
      <c r="V60" s="21">
        <v>0.46629166666666677</v>
      </c>
      <c r="W60" s="21">
        <v>0.4222916666666669</v>
      </c>
      <c r="X60" s="21">
        <v>0.31929166666666681</v>
      </c>
      <c r="Y60" s="21">
        <v>0.33302083333333349</v>
      </c>
      <c r="Z60" s="21">
        <v>0.29268749999999993</v>
      </c>
      <c r="AA60" s="21">
        <v>0.11406250000000004</v>
      </c>
      <c r="AB60" s="24">
        <f>AVERAGE(S60,W60)</f>
        <v>0.34218749999999998</v>
      </c>
      <c r="AC60" s="24">
        <f>AVERAGE(T60:V60,X60:Z60)</f>
        <v>0.37333680555555554</v>
      </c>
      <c r="AD60" s="24">
        <f t="shared" si="3"/>
        <v>0.36767329545454547</v>
      </c>
    </row>
    <row r="61" spans="1:30">
      <c r="A61" s="9">
        <v>43945</v>
      </c>
      <c r="B61" s="3">
        <v>286.22007612374983</v>
      </c>
      <c r="C61" s="3">
        <v>187.11559899725185</v>
      </c>
      <c r="D61" s="3">
        <v>170.58288995787964</v>
      </c>
      <c r="E61" s="3">
        <v>220.47601862732952</v>
      </c>
      <c r="F61" s="3">
        <v>170.20158038617063</v>
      </c>
      <c r="G61" s="3">
        <f>(B61-$B$2)/$B$1</f>
        <v>0.31483509908467205</v>
      </c>
      <c r="H61" s="3">
        <f>((C61-$C$2)/$C$1+(D61-$D$2)/$D$1+(E61-$E$2)/$E$1+(F61-$F$2)/$F$1)/4</f>
        <v>0.2136816409031416</v>
      </c>
      <c r="I61" s="19">
        <v>43945</v>
      </c>
      <c r="J61" s="20">
        <v>94.645833333333329</v>
      </c>
      <c r="K61" s="20">
        <v>75.939583333333317</v>
      </c>
      <c r="L61" s="20">
        <v>9.6458333333333357</v>
      </c>
      <c r="M61" s="20">
        <v>0</v>
      </c>
      <c r="N61" s="20">
        <v>217.10416666666666</v>
      </c>
      <c r="O61" s="20">
        <v>3.1041666666666665</v>
      </c>
      <c r="P61" s="20">
        <v>0</v>
      </c>
      <c r="Q61" s="20">
        <v>5.4187500000000002</v>
      </c>
      <c r="R61" s="10">
        <v>0.31781058749788488</v>
      </c>
      <c r="S61" s="21">
        <v>0.25533333333333358</v>
      </c>
      <c r="T61" s="21">
        <v>0.35499999999999993</v>
      </c>
      <c r="U61" s="21">
        <v>0.44818750000000018</v>
      </c>
      <c r="V61" s="21">
        <v>0.45356249999999992</v>
      </c>
      <c r="W61" s="21">
        <v>0.41170833333333351</v>
      </c>
      <c r="X61" s="21">
        <v>0.31375000000000025</v>
      </c>
      <c r="Y61" s="21">
        <v>0.32752083333333348</v>
      </c>
      <c r="Z61" s="21">
        <v>0.28879166666666684</v>
      </c>
      <c r="AA61" s="25" t="e">
        <f>#REF!*0.5711-0.0033</f>
        <v>#REF!</v>
      </c>
      <c r="AB61" s="24">
        <f>AVERAGE(S61,W61)</f>
        <v>0.33352083333333354</v>
      </c>
      <c r="AC61" s="24">
        <f>AVERAGE(T61:V61,X61:Z61)</f>
        <v>0.36446875000000012</v>
      </c>
      <c r="AD61" s="24">
        <f t="shared" si="3"/>
        <v>0.35884185606060615</v>
      </c>
    </row>
    <row r="62" spans="1:30">
      <c r="A62" s="9">
        <v>43947</v>
      </c>
      <c r="B62" s="3">
        <v>432.34753385434129</v>
      </c>
      <c r="C62" s="3">
        <v>246.99108245266922</v>
      </c>
      <c r="D62" s="3">
        <v>290.40695205716332</v>
      </c>
      <c r="E62" s="3">
        <v>277.77879514850883</v>
      </c>
      <c r="F62" s="3">
        <v>195.96297982472589</v>
      </c>
      <c r="G62" s="3">
        <f>(B62-$B$2)/$B$1</f>
        <v>0.47870118818771601</v>
      </c>
      <c r="H62" s="3">
        <f>((C62-$C$2)/$C$1+(D62-$D$2)/$D$1+(E62-$E$2)/$E$1+(F62-$F$2)/$F$1)/4</f>
        <v>0.2915877049810921</v>
      </c>
      <c r="I62" s="19">
        <v>43947</v>
      </c>
      <c r="J62" s="20">
        <v>192.95833333333334</v>
      </c>
      <c r="K62" s="20">
        <v>62.970833333333331</v>
      </c>
      <c r="L62" s="20">
        <v>13.222916666666665</v>
      </c>
      <c r="M62" s="20">
        <v>0.2</v>
      </c>
      <c r="N62" s="20">
        <v>168.60416666666666</v>
      </c>
      <c r="O62" s="20">
        <v>3.6458333333333335</v>
      </c>
      <c r="P62" s="20">
        <v>2.0833333333333332E-2</v>
      </c>
      <c r="Q62" s="20">
        <v>4.8166666666666647</v>
      </c>
      <c r="R62" s="10">
        <v>0.7516583625633676</v>
      </c>
      <c r="S62" s="21">
        <v>0.25325000000000003</v>
      </c>
      <c r="T62" s="21">
        <v>0.3470208333333335</v>
      </c>
      <c r="U62" s="21">
        <v>0.43885416666666693</v>
      </c>
      <c r="V62" s="21">
        <v>0.44322916666666717</v>
      </c>
      <c r="W62" s="21">
        <v>0.40770833333333317</v>
      </c>
      <c r="X62" s="21">
        <v>0.3109166666666669</v>
      </c>
      <c r="Y62" s="21">
        <v>0.32297916666666643</v>
      </c>
      <c r="Z62" s="21">
        <v>0.28479166666666661</v>
      </c>
      <c r="AA62" s="21">
        <v>0.13366666666666671</v>
      </c>
      <c r="AB62" s="24">
        <f>AVERAGE(S62,W62)</f>
        <v>0.3304791666666666</v>
      </c>
      <c r="AC62" s="24">
        <f>AVERAGE(T62:V62,X62:Z62)</f>
        <v>0.35796527777777792</v>
      </c>
      <c r="AD62" s="24">
        <f t="shared" si="3"/>
        <v>0.35296780303030317</v>
      </c>
    </row>
    <row r="63" spans="1:30">
      <c r="A63" s="9">
        <v>43948</v>
      </c>
      <c r="B63" s="3">
        <v>497.46995770254739</v>
      </c>
      <c r="C63" s="3">
        <v>329.18749184754233</v>
      </c>
      <c r="D63" s="3">
        <v>388.28801082788931</v>
      </c>
      <c r="E63" s="3">
        <v>325.08797934002246</v>
      </c>
      <c r="F63" s="3">
        <v>222.34460868249639</v>
      </c>
      <c r="G63" s="3">
        <f>(B63-$B$2)/$B$1</f>
        <v>0.55172892078941937</v>
      </c>
      <c r="H63" s="3">
        <f>((C63-$C$2)/$C$1+(D63-$D$2)/$D$1+(E63-$E$2)/$E$1+(F63-$F$2)/$F$1)/4</f>
        <v>0.36666083425408452</v>
      </c>
      <c r="I63" s="19">
        <v>43948</v>
      </c>
      <c r="J63" s="20">
        <v>247.72916666666666</v>
      </c>
      <c r="K63" s="20">
        <v>42.093749999999993</v>
      </c>
      <c r="L63" s="20">
        <v>17.318750000000001</v>
      </c>
      <c r="M63" s="20">
        <v>0</v>
      </c>
      <c r="N63" s="20">
        <v>239.39583333333334</v>
      </c>
      <c r="O63" s="20">
        <v>3.875</v>
      </c>
      <c r="P63" s="20">
        <v>0.10416666666666667</v>
      </c>
      <c r="Q63" s="20">
        <v>3.027083333333334</v>
      </c>
      <c r="R63" s="10">
        <v>1.3564982296622903</v>
      </c>
      <c r="S63" s="21">
        <v>0.25266666666666676</v>
      </c>
      <c r="T63" s="21">
        <v>0.34350000000000008</v>
      </c>
      <c r="U63" s="21">
        <v>0.43529166666666669</v>
      </c>
      <c r="V63" s="21">
        <v>0.4373333333333333</v>
      </c>
      <c r="W63" s="21">
        <v>0.4082291666666667</v>
      </c>
      <c r="X63" s="21">
        <v>0.31002083333333347</v>
      </c>
      <c r="Y63" s="21">
        <v>0.32056250000000025</v>
      </c>
      <c r="Z63" s="21">
        <v>0.28204166666666686</v>
      </c>
      <c r="AA63" s="21">
        <v>0.12113043478260868</v>
      </c>
      <c r="AB63" s="24">
        <f>AVERAGE(S63,W63)</f>
        <v>0.33044791666666673</v>
      </c>
      <c r="AC63" s="24">
        <f>AVERAGE(T63:V63,X63:Z63)</f>
        <v>0.35479166666666678</v>
      </c>
      <c r="AD63" s="24">
        <f t="shared" si="3"/>
        <v>0.35036553030303041</v>
      </c>
    </row>
    <row r="64" spans="1:30">
      <c r="A64" s="9">
        <v>43949</v>
      </c>
      <c r="B64" s="3">
        <v>562.36552366240267</v>
      </c>
      <c r="C64" s="3">
        <v>341.71020830797499</v>
      </c>
      <c r="D64" s="3">
        <v>360.7328221891774</v>
      </c>
      <c r="E64" s="3">
        <v>312.75717647303952</v>
      </c>
      <c r="F64" s="3">
        <v>232.26306308675129</v>
      </c>
      <c r="G64" s="3">
        <f>(B64-$B$2)/$B$1</f>
        <v>0.62450225688328243</v>
      </c>
      <c r="H64" s="3">
        <f>((C64-$C$2)/$C$1+(D64-$D$2)/$D$1+(E64-$E$2)/$E$1+(F64-$F$2)/$F$1)/4</f>
        <v>0.3624561990617936</v>
      </c>
      <c r="I64" s="19">
        <v>43949</v>
      </c>
      <c r="J64" s="20">
        <v>251.47916666666666</v>
      </c>
      <c r="K64" s="20">
        <v>40.866666666666667</v>
      </c>
      <c r="L64" s="20">
        <v>19.079166666666666</v>
      </c>
      <c r="M64" s="20">
        <v>0</v>
      </c>
      <c r="N64" s="20">
        <v>217.14583333333334</v>
      </c>
      <c r="O64" s="20">
        <v>7.9375</v>
      </c>
      <c r="P64" s="20">
        <v>2.0833333333333335</v>
      </c>
      <c r="Q64" s="20">
        <v>4.8187499999999996</v>
      </c>
      <c r="R64" s="10">
        <v>1.4377365737029784</v>
      </c>
      <c r="S64" s="21">
        <v>0.25191666666666673</v>
      </c>
      <c r="T64" s="21">
        <v>0.34054166666666652</v>
      </c>
      <c r="U64" s="21">
        <v>0.4326458333333334</v>
      </c>
      <c r="V64" s="21">
        <v>0.43254166666666655</v>
      </c>
      <c r="W64" s="21">
        <v>0.40856249999999972</v>
      </c>
      <c r="X64" s="21">
        <v>0.30962499999999965</v>
      </c>
      <c r="Y64" s="21">
        <v>0.31879166666666664</v>
      </c>
      <c r="Z64" s="21">
        <v>0.27983333333333343</v>
      </c>
      <c r="AA64" s="21">
        <v>0.11542307692307693</v>
      </c>
      <c r="AB64" s="24">
        <f>AVERAGE(S64,W64)</f>
        <v>0.33023958333333325</v>
      </c>
      <c r="AC64" s="24">
        <f>AVERAGE(T64:V64,X64:Z64)</f>
        <v>0.35232986111111103</v>
      </c>
      <c r="AD64" s="24">
        <f t="shared" si="3"/>
        <v>0.3483134469696969</v>
      </c>
    </row>
    <row r="65" spans="1:30">
      <c r="A65" s="9">
        <v>43950</v>
      </c>
      <c r="B65" s="3">
        <v>370.48270127761992</v>
      </c>
      <c r="C65" s="3">
        <v>254.30204863590609</v>
      </c>
      <c r="D65" s="3">
        <v>230.16066085227715</v>
      </c>
      <c r="E65" s="3">
        <v>233.87484013561132</v>
      </c>
      <c r="F65" s="3">
        <v>179.49166617971505</v>
      </c>
      <c r="G65" s="3">
        <f>(B65-$B$2)/$B$1</f>
        <v>0.40932649075027716</v>
      </c>
      <c r="H65" s="3">
        <f>((C65-$C$2)/$C$1+(D65-$D$2)/$D$1+(E65-$E$2)/$E$1+(F65-$F$2)/$F$1)/4</f>
        <v>0.25664530248008666</v>
      </c>
      <c r="I65" s="19">
        <v>43950</v>
      </c>
      <c r="J65" s="20">
        <v>165.4375</v>
      </c>
      <c r="K65" s="20">
        <v>53.039583333333319</v>
      </c>
      <c r="L65" s="20">
        <v>19.212500000000002</v>
      </c>
      <c r="M65" s="20">
        <v>0</v>
      </c>
      <c r="N65" s="20">
        <v>233.72916666666666</v>
      </c>
      <c r="O65" s="20">
        <v>14.75</v>
      </c>
      <c r="P65" s="20">
        <v>3.1458333333333335</v>
      </c>
      <c r="Q65" s="20">
        <v>9.2416666666666671</v>
      </c>
      <c r="R65" s="10">
        <v>1.0711967969800062</v>
      </c>
      <c r="S65" s="21">
        <v>0.25089583333333326</v>
      </c>
      <c r="T65" s="21">
        <v>0.33779166666666671</v>
      </c>
      <c r="U65" s="21">
        <v>0.43037499999999967</v>
      </c>
      <c r="V65" s="21">
        <v>0.42785416666666637</v>
      </c>
      <c r="W65" s="21">
        <v>0.40795833333333348</v>
      </c>
      <c r="X65" s="21">
        <v>0.30874999999999991</v>
      </c>
      <c r="Y65" s="21">
        <v>0.31702083333333358</v>
      </c>
      <c r="Z65" s="21">
        <v>0.27797916666666639</v>
      </c>
      <c r="AA65" s="21">
        <v>0.11099999999999999</v>
      </c>
      <c r="AB65" s="24">
        <f>AVERAGE(S65,W65)</f>
        <v>0.32942708333333337</v>
      </c>
      <c r="AC65" s="24">
        <f>AVERAGE(T65:V65,X65:Z65)</f>
        <v>0.34996180555555539</v>
      </c>
      <c r="AD65" s="24">
        <f t="shared" si="3"/>
        <v>0.3462282196969696</v>
      </c>
    </row>
    <row r="66" spans="1:30">
      <c r="A66" s="9">
        <v>43954</v>
      </c>
      <c r="B66" s="3">
        <v>443.20998136027168</v>
      </c>
      <c r="C66" s="3">
        <v>370.25110130398764</v>
      </c>
      <c r="D66" s="3">
        <v>409.60090559359054</v>
      </c>
      <c r="E66" s="3">
        <v>330.95124291748385</v>
      </c>
      <c r="F66" s="3">
        <v>260.74732241590851</v>
      </c>
      <c r="G66" s="3">
        <f>(B66-$B$2)/$B$1</f>
        <v>0.49088224449655571</v>
      </c>
      <c r="H66" s="3">
        <f>((C66-$C$2)/$C$1+(D66-$D$2)/$D$1+(E66-$E$2)/$E$1+(F66-$F$2)/$F$1)/4</f>
        <v>0.40076116112904969</v>
      </c>
      <c r="I66" s="19">
        <v>43954</v>
      </c>
      <c r="J66" s="20">
        <v>238.125</v>
      </c>
      <c r="K66" s="20">
        <v>79.281249999999986</v>
      </c>
      <c r="L66" s="20">
        <v>20.914583333333336</v>
      </c>
      <c r="M66" s="20">
        <v>0</v>
      </c>
      <c r="N66" s="20">
        <v>158.60416666666666</v>
      </c>
      <c r="O66" s="20">
        <v>4.895833333333333</v>
      </c>
      <c r="P66" s="20">
        <v>0.6875</v>
      </c>
      <c r="Q66" s="20">
        <v>16.752083333333328</v>
      </c>
      <c r="R66" s="10">
        <v>0.67646842257452533</v>
      </c>
      <c r="S66" s="21">
        <v>0.32172916666666668</v>
      </c>
      <c r="T66" s="21">
        <v>0.39506250000000009</v>
      </c>
      <c r="U66" s="21">
        <v>0.48658333333333331</v>
      </c>
      <c r="V66" s="21">
        <v>0.54400000000000048</v>
      </c>
      <c r="W66" s="21">
        <v>0.56897916666666626</v>
      </c>
      <c r="X66" s="21">
        <v>0.36087499999999983</v>
      </c>
      <c r="Y66" s="21">
        <v>0.35162499999999991</v>
      </c>
      <c r="Z66" s="21">
        <v>0.30983333333333346</v>
      </c>
      <c r="AA66" s="21">
        <v>0.24196296296296291</v>
      </c>
      <c r="AB66" s="24">
        <f>AVERAGE(S66,W66)</f>
        <v>0.4453541666666665</v>
      </c>
      <c r="AC66" s="24">
        <f>AVERAGE(T66:V66,X66:Z66)</f>
        <v>0.4079965277777779</v>
      </c>
      <c r="AD66" s="24">
        <f t="shared" si="3"/>
        <v>0.41478882575757581</v>
      </c>
    </row>
    <row r="67" spans="1:30">
      <c r="A67" s="9">
        <v>43955</v>
      </c>
      <c r="B67" s="3">
        <v>673.05128481625616</v>
      </c>
      <c r="C67" s="3">
        <v>470.94479402571932</v>
      </c>
      <c r="D67" s="3">
        <v>570.33182825266397</v>
      </c>
      <c r="E67" s="3">
        <v>387.09331966492488</v>
      </c>
      <c r="F67" s="3">
        <v>316.86634343807395</v>
      </c>
      <c r="G67" s="3">
        <f>(B67-$B$2)/$B$1</f>
        <v>0.74862432867840767</v>
      </c>
      <c r="H67" s="3">
        <f>((C67-$C$2)/$C$1+(D67-$D$2)/$D$1+(E67-$E$2)/$E$1+(F67-$F$2)/$F$1)/4</f>
        <v>0.51280959162012452</v>
      </c>
      <c r="I67" s="19">
        <v>43955</v>
      </c>
      <c r="J67" s="20">
        <v>251.27083333333334</v>
      </c>
      <c r="K67" s="20">
        <v>70.7</v>
      </c>
      <c r="L67" s="20">
        <v>24.397916666666674</v>
      </c>
      <c r="M67" s="20">
        <v>0</v>
      </c>
      <c r="N67" s="20">
        <v>233.16666666666666</v>
      </c>
      <c r="O67" s="20">
        <v>12.75</v>
      </c>
      <c r="P67" s="20">
        <v>1.6458333333333333</v>
      </c>
      <c r="Q67" s="20">
        <v>18.293749999999999</v>
      </c>
      <c r="R67" s="10">
        <v>1.0149771739138371</v>
      </c>
      <c r="S67" s="21">
        <v>0.31208333333333343</v>
      </c>
      <c r="T67" s="21">
        <v>0.39287499999999986</v>
      </c>
      <c r="U67" s="21">
        <v>0.48716666666666669</v>
      </c>
      <c r="V67" s="21">
        <v>0.54120833333333351</v>
      </c>
      <c r="W67" s="21">
        <v>0.56068749999999978</v>
      </c>
      <c r="X67" s="21">
        <v>0.35399999999999993</v>
      </c>
      <c r="Y67" s="21">
        <v>0.35197916666666645</v>
      </c>
      <c r="Z67" s="21">
        <v>0.30966666666666637</v>
      </c>
      <c r="AA67" s="21">
        <v>0.21966666666666668</v>
      </c>
      <c r="AB67" s="24">
        <f>AVERAGE(S67,W67)</f>
        <v>0.43638541666666664</v>
      </c>
      <c r="AC67" s="24">
        <f>AVERAGE(T67:V67,X67:Z67)</f>
        <v>0.40614930555555545</v>
      </c>
      <c r="AD67" s="24">
        <f t="shared" si="3"/>
        <v>0.41164678030303026</v>
      </c>
    </row>
    <row r="68" spans="1:30">
      <c r="A68" s="9">
        <v>43956</v>
      </c>
      <c r="B68" s="3">
        <v>745.2795908031967</v>
      </c>
      <c r="C68" s="3">
        <v>453.89182748014639</v>
      </c>
      <c r="D68" s="3">
        <v>537.57539200386873</v>
      </c>
      <c r="E68" s="3">
        <v>376.79557732736896</v>
      </c>
      <c r="F68" s="3">
        <v>311.0694315172322</v>
      </c>
      <c r="G68" s="3">
        <f>(B68-$B$2)/$B$1</f>
        <v>0.82962053711473727</v>
      </c>
      <c r="H68" s="3">
        <f>((C68-$C$2)/$C$1+(D68-$D$2)/$D$1+(E68-$E$2)/$E$1+(F68-$F$2)/$F$1)/4</f>
        <v>0.4934924067120926</v>
      </c>
      <c r="I68" s="19">
        <v>43956</v>
      </c>
      <c r="J68" s="20">
        <v>241.04166666666666</v>
      </c>
      <c r="K68" s="20">
        <v>60.235416666666659</v>
      </c>
      <c r="L68" s="20">
        <v>25.197916666666661</v>
      </c>
      <c r="M68" s="20">
        <v>0</v>
      </c>
      <c r="N68" s="20">
        <v>234.5</v>
      </c>
      <c r="O68" s="20">
        <v>9.0625</v>
      </c>
      <c r="P68" s="20">
        <v>1.3541666666666667</v>
      </c>
      <c r="Q68" s="20">
        <v>16.264583333333331</v>
      </c>
      <c r="R68" s="10">
        <v>1.428374145840664</v>
      </c>
      <c r="S68" s="21">
        <v>0.30181250000000009</v>
      </c>
      <c r="T68" s="21">
        <v>0.39043750000000021</v>
      </c>
      <c r="U68" s="21">
        <v>0.48685416666666653</v>
      </c>
      <c r="V68" s="21">
        <v>0.53720833333333318</v>
      </c>
      <c r="W68" s="21">
        <v>0.5474583333333336</v>
      </c>
      <c r="X68" s="21">
        <v>0.34308333333333324</v>
      </c>
      <c r="Y68" s="21">
        <v>0.34958333333333336</v>
      </c>
      <c r="Z68" s="21">
        <v>0.30795833333333322</v>
      </c>
      <c r="AA68" s="21">
        <v>0.19411111111111112</v>
      </c>
      <c r="AB68" s="24">
        <f>AVERAGE(S68,W68)</f>
        <v>0.42463541666666682</v>
      </c>
      <c r="AC68" s="24">
        <f>AVERAGE(T68:V68,X68:Z68)</f>
        <v>0.40252083333333322</v>
      </c>
      <c r="AD68" s="24">
        <f t="shared" si="3"/>
        <v>0.40654166666666663</v>
      </c>
    </row>
    <row r="69" spans="1:30">
      <c r="A69" s="9">
        <v>43957</v>
      </c>
      <c r="B69" s="3">
        <v>797.92540149240267</v>
      </c>
      <c r="C69" s="3">
        <v>499.63421819351333</v>
      </c>
      <c r="D69" s="3">
        <v>572.20443608301252</v>
      </c>
      <c r="E69" s="3">
        <v>416.78710839320485</v>
      </c>
      <c r="F69" s="3">
        <v>329.71088860476772</v>
      </c>
      <c r="G69" s="3">
        <f>(B69-$B$2)/$B$1</f>
        <v>0.88865710176369161</v>
      </c>
      <c r="H69" s="3">
        <f>((C69-$C$2)/$C$1+(D69-$D$2)/$D$1+(E69-$E$2)/$E$1+(F69-$F$2)/$F$1)/4</f>
        <v>0.53557962815997551</v>
      </c>
      <c r="I69" s="19">
        <v>43957</v>
      </c>
      <c r="J69" s="20">
        <v>260.41666666666669</v>
      </c>
      <c r="K69" s="20">
        <v>46.520833333333343</v>
      </c>
      <c r="L69" s="20">
        <v>27.718749999999996</v>
      </c>
      <c r="M69" s="20">
        <v>0</v>
      </c>
      <c r="N69" s="20">
        <v>238.97916666666666</v>
      </c>
      <c r="O69" s="20">
        <v>17.291666666666668</v>
      </c>
      <c r="P69" s="20">
        <v>4.395833333333333</v>
      </c>
      <c r="Q69" s="20">
        <v>14.962499999999997</v>
      </c>
      <c r="R69" s="10">
        <v>2.0779951544584025</v>
      </c>
      <c r="S69" s="21">
        <v>0.29037499999999999</v>
      </c>
      <c r="T69" s="21">
        <v>0.38622916666666662</v>
      </c>
      <c r="U69" s="21">
        <v>0.48404166666666648</v>
      </c>
      <c r="V69" s="21">
        <v>0.52908333333333335</v>
      </c>
      <c r="W69" s="21">
        <v>0.52445833333333358</v>
      </c>
      <c r="X69" s="21">
        <v>0.33243749999999994</v>
      </c>
      <c r="Y69" s="21">
        <v>0.34458333333333324</v>
      </c>
      <c r="Z69" s="21">
        <v>0.30458333333333332</v>
      </c>
      <c r="AA69" s="21">
        <v>0.17310344827586205</v>
      </c>
      <c r="AB69" s="24">
        <f>AVERAGE(S69,W69)</f>
        <v>0.40741666666666676</v>
      </c>
      <c r="AC69" s="24">
        <f>AVERAGE(T69:V69,X69:Z69)</f>
        <v>0.39682638888888883</v>
      </c>
      <c r="AD69" s="24">
        <f t="shared" si="3"/>
        <v>0.39875189393939392</v>
      </c>
    </row>
    <row r="70" spans="1:30">
      <c r="A70" s="9">
        <v>43958</v>
      </c>
      <c r="B70" s="3">
        <v>822.1247467631996</v>
      </c>
      <c r="C70" s="3">
        <v>499.11025477988323</v>
      </c>
      <c r="D70" s="3">
        <v>549.11156426544983</v>
      </c>
      <c r="E70" s="3">
        <v>455.44653804035067</v>
      </c>
      <c r="F70" s="3">
        <v>346.73107467043593</v>
      </c>
      <c r="G70" s="3">
        <f>(B70-$B$2)/$B$1</f>
        <v>0.91579404187039393</v>
      </c>
      <c r="H70" s="3">
        <f>((C70-$C$2)/$C$1+(D70-$D$2)/$D$1+(E70-$E$2)/$E$1+(F70-$F$2)/$F$1)/4</f>
        <v>0.54777493486064388</v>
      </c>
      <c r="I70" s="19">
        <v>43958</v>
      </c>
      <c r="J70" s="20">
        <v>260.375</v>
      </c>
      <c r="K70" s="20">
        <v>38.104166666666664</v>
      </c>
      <c r="L70" s="20">
        <v>29.268749999999997</v>
      </c>
      <c r="M70" s="20">
        <v>0</v>
      </c>
      <c r="N70" s="20">
        <v>232.79166666666666</v>
      </c>
      <c r="O70" s="20">
        <v>17.541666666666668</v>
      </c>
      <c r="P70" s="20">
        <v>3.6666666666666665</v>
      </c>
      <c r="Q70" s="20">
        <v>13.002083333333331</v>
      </c>
      <c r="R70" s="10">
        <v>2.6513565643342383</v>
      </c>
      <c r="S70" s="21">
        <v>0.27912500000000023</v>
      </c>
      <c r="T70" s="21">
        <v>0.38068750000000001</v>
      </c>
      <c r="U70" s="21">
        <v>0.47935416666666647</v>
      </c>
      <c r="V70" s="21">
        <v>0.51510416666666681</v>
      </c>
      <c r="W70" s="21">
        <v>0.4936875</v>
      </c>
      <c r="X70" s="21">
        <v>0.32408333333333322</v>
      </c>
      <c r="Y70" s="21">
        <v>0.33847916666666689</v>
      </c>
      <c r="Z70" s="21">
        <v>0.30018750000000011</v>
      </c>
      <c r="AA70" s="21">
        <v>0.15026086956521736</v>
      </c>
      <c r="AB70" s="24">
        <f>AVERAGE(S70,W70)</f>
        <v>0.38640625000000012</v>
      </c>
      <c r="AC70" s="24">
        <f>AVERAGE(T70:V70,X70:Z70)</f>
        <v>0.38964930555555566</v>
      </c>
      <c r="AD70" s="24">
        <f t="shared" si="3"/>
        <v>0.38905965909090917</v>
      </c>
    </row>
    <row r="71" spans="1:30">
      <c r="A71" s="9">
        <v>43959</v>
      </c>
      <c r="B71" s="3">
        <v>739.46418076210182</v>
      </c>
      <c r="C71" s="3">
        <v>444.15746175492609</v>
      </c>
      <c r="D71" s="3">
        <v>462.92371652927301</v>
      </c>
      <c r="E71" s="3">
        <v>405.53485289375556</v>
      </c>
      <c r="F71" s="3">
        <v>354.30584413673557</v>
      </c>
      <c r="G71" s="3">
        <f>(B71-$B$2)/$B$1</f>
        <v>0.82309918572216256</v>
      </c>
      <c r="H71" s="3">
        <f>((C71-$C$2)/$C$1+(D71-$D$2)/$D$1+(E71-$E$2)/$E$1+(F71-$F$2)/$F$1)/4</f>
        <v>0.49591793386055422</v>
      </c>
      <c r="I71" s="19">
        <v>43959</v>
      </c>
      <c r="J71" s="20">
        <v>266.5625</v>
      </c>
      <c r="K71" s="20">
        <v>39.072916666666671</v>
      </c>
      <c r="L71" s="20">
        <v>29.022916666666671</v>
      </c>
      <c r="M71" s="20">
        <v>0</v>
      </c>
      <c r="N71" s="20">
        <v>230.95833333333334</v>
      </c>
      <c r="O71" s="20">
        <v>13.354166666666666</v>
      </c>
      <c r="P71" s="20">
        <v>2.9583333333333335</v>
      </c>
      <c r="Q71" s="20">
        <v>12.970833333333337</v>
      </c>
      <c r="R71" s="10">
        <v>2.5666203821095546</v>
      </c>
      <c r="S71" s="21">
        <v>0.26989583333333339</v>
      </c>
      <c r="T71" s="21">
        <v>0.37372916666666661</v>
      </c>
      <c r="U71" s="21">
        <v>0.47381249999999975</v>
      </c>
      <c r="V71" s="21">
        <v>0.49572916666666655</v>
      </c>
      <c r="W71" s="21">
        <v>0.46772916666666636</v>
      </c>
      <c r="X71" s="21">
        <v>0.31889583333333343</v>
      </c>
      <c r="Y71" s="21">
        <v>0.33258333333333345</v>
      </c>
      <c r="Z71" s="21">
        <v>0.29535416666666653</v>
      </c>
      <c r="AA71" s="21">
        <v>0.13552173913043475</v>
      </c>
      <c r="AB71" s="24">
        <f>AVERAGE(S71,W71)</f>
        <v>0.36881249999999988</v>
      </c>
      <c r="AC71" s="24">
        <f>AVERAGE(T71:V71,X71:Z71)</f>
        <v>0.38168402777777771</v>
      </c>
      <c r="AD71" s="24">
        <f t="shared" si="3"/>
        <v>0.37934374999999992</v>
      </c>
    </row>
    <row r="72" spans="1:30">
      <c r="A72" s="9">
        <v>43960</v>
      </c>
      <c r="B72" s="3">
        <v>571.25068718222099</v>
      </c>
      <c r="C72" s="3">
        <v>427.12687869262282</v>
      </c>
      <c r="D72" s="3">
        <v>449.2320250576538</v>
      </c>
      <c r="E72" s="3">
        <v>377.18271246213556</v>
      </c>
      <c r="F72" s="3">
        <v>334.89613557517515</v>
      </c>
      <c r="G72" s="3">
        <f>(B72-$B$2)/$B$1</f>
        <v>0.63446600373582807</v>
      </c>
      <c r="H72" s="3">
        <f>((C72-$C$2)/$C$1+(D72-$D$2)/$D$1+(E72-$E$2)/$E$1+(F72-$F$2)/$F$1)/4</f>
        <v>0.47093735447826113</v>
      </c>
      <c r="I72" s="19">
        <v>43960</v>
      </c>
      <c r="J72" s="20">
        <v>266.47916666666669</v>
      </c>
      <c r="K72" s="20">
        <v>51.59375</v>
      </c>
      <c r="L72" s="20">
        <v>26.668749999999999</v>
      </c>
      <c r="M72" s="20">
        <v>0</v>
      </c>
      <c r="N72" s="20">
        <v>228.33333333333334</v>
      </c>
      <c r="O72" s="20">
        <v>12.541666666666666</v>
      </c>
      <c r="P72" s="20">
        <v>1.375</v>
      </c>
      <c r="Q72" s="20">
        <v>14.095833333333337</v>
      </c>
      <c r="R72" s="10">
        <v>1.9406293191005999</v>
      </c>
      <c r="S72" s="21">
        <v>0.26245833333333335</v>
      </c>
      <c r="T72" s="21">
        <v>0.36560416666666673</v>
      </c>
      <c r="U72" s="21">
        <v>0.46687499999999998</v>
      </c>
      <c r="V72" s="21">
        <v>0.47845833333333315</v>
      </c>
      <c r="W72" s="21">
        <v>0.44977083333333329</v>
      </c>
      <c r="X72" s="21">
        <v>0.31597916666666659</v>
      </c>
      <c r="Y72" s="21">
        <v>0.32793749999999994</v>
      </c>
      <c r="Z72" s="21">
        <v>0.29116666666666641</v>
      </c>
      <c r="AA72" s="21">
        <v>0.12712499999999996</v>
      </c>
      <c r="AB72" s="24">
        <f>AVERAGE(S72,W72)</f>
        <v>0.35611458333333335</v>
      </c>
      <c r="AC72" s="24">
        <f>AVERAGE(T72:V72,X72:Z72)</f>
        <v>0.37433680555555543</v>
      </c>
      <c r="AD72" s="24">
        <f t="shared" si="3"/>
        <v>0.37102367424242416</v>
      </c>
    </row>
    <row r="73" spans="1:30">
      <c r="A73" s="9">
        <v>43961</v>
      </c>
      <c r="B73" s="3">
        <v>516.81694333406324</v>
      </c>
      <c r="C73" s="3">
        <v>360.09959034164331</v>
      </c>
      <c r="D73" s="3">
        <v>339.27311986180172</v>
      </c>
      <c r="E73" s="3">
        <v>305.63038641644619</v>
      </c>
      <c r="F73" s="3">
        <v>276.46450482639432</v>
      </c>
      <c r="G73" s="3">
        <f>(B73-$B$2)/$B$1</f>
        <v>0.57342446603878827</v>
      </c>
      <c r="H73" s="3">
        <f>((C73-$C$2)/$C$1+(D73-$D$2)/$D$1+(E73-$E$2)/$E$1+(F73-$F$2)/$F$1)/4</f>
        <v>0.37658114808661963</v>
      </c>
      <c r="I73" s="19">
        <v>43961</v>
      </c>
      <c r="J73" s="20">
        <v>167.97916666666666</v>
      </c>
      <c r="K73" s="20">
        <v>67.637499999999974</v>
      </c>
      <c r="L73" s="20">
        <v>20.825000000000003</v>
      </c>
      <c r="M73" s="20">
        <v>0</v>
      </c>
      <c r="N73" s="20">
        <v>225.375</v>
      </c>
      <c r="O73" s="20">
        <v>7.645833333333333</v>
      </c>
      <c r="P73" s="20">
        <v>0.77083333333333337</v>
      </c>
      <c r="Q73" s="20">
        <v>14.46875</v>
      </c>
      <c r="R73" s="10">
        <v>0.84952965248729972</v>
      </c>
      <c r="S73" s="21">
        <v>0.25602083333333336</v>
      </c>
      <c r="T73" s="21">
        <v>0.35706250000000006</v>
      </c>
      <c r="U73" s="21">
        <v>0.4587499999999996</v>
      </c>
      <c r="V73" s="21">
        <v>0.4644583333333332</v>
      </c>
      <c r="W73" s="21">
        <v>0.43562500000000015</v>
      </c>
      <c r="X73" s="21">
        <v>0.3128749999999999</v>
      </c>
      <c r="Y73" s="21">
        <v>0.32454166666666645</v>
      </c>
      <c r="Z73" s="21">
        <v>0.28779166666666672</v>
      </c>
      <c r="AA73" s="21">
        <v>0.11894117647058822</v>
      </c>
      <c r="AB73" s="24">
        <f>AVERAGE(S73,W73)</f>
        <v>0.34582291666666676</v>
      </c>
      <c r="AC73" s="24">
        <f>AVERAGE(T73:V73,X73:Z73)</f>
        <v>0.36757986111111102</v>
      </c>
      <c r="AD73" s="24">
        <f t="shared" ref="AD73:AD136" si="4">(AB73*10+AC73*45)/55</f>
        <v>0.36362405303030298</v>
      </c>
    </row>
    <row r="74" spans="1:30">
      <c r="A74" s="9">
        <v>43963</v>
      </c>
      <c r="B74" s="3">
        <v>456.61121654042262</v>
      </c>
      <c r="C74" s="3">
        <v>278.66210144427555</v>
      </c>
      <c r="D74" s="3">
        <v>230.43972110725022</v>
      </c>
      <c r="E74" s="3">
        <v>214.88713665027271</v>
      </c>
      <c r="F74" s="3">
        <v>212.86974753284244</v>
      </c>
      <c r="G74" s="3">
        <f>(B74-$B$2)/$B$1</f>
        <v>0.50591027572508873</v>
      </c>
      <c r="H74" s="3">
        <f>((C74-$C$2)/$C$1+(D74-$D$2)/$D$1+(E74-$E$2)/$E$1+(F74-$F$2)/$F$1)/4</f>
        <v>0.27052482529075922</v>
      </c>
      <c r="I74" s="19">
        <v>43963</v>
      </c>
      <c r="J74" s="20">
        <v>108.8125</v>
      </c>
      <c r="K74" s="20">
        <v>72.472916666666677</v>
      </c>
      <c r="L74" s="20">
        <v>17.964583333333326</v>
      </c>
      <c r="M74" s="20">
        <v>0</v>
      </c>
      <c r="N74" s="20">
        <v>201.35416666666666</v>
      </c>
      <c r="O74" s="20">
        <v>5.833333333333333</v>
      </c>
      <c r="P74" s="20">
        <v>0.375</v>
      </c>
      <c r="Q74" s="20">
        <v>12.887499999999996</v>
      </c>
      <c r="R74" s="10">
        <v>0.5830936900139444</v>
      </c>
      <c r="S74" s="21">
        <v>0.25410416666666663</v>
      </c>
      <c r="T74" s="21">
        <v>0.34870833333333323</v>
      </c>
      <c r="U74" s="21">
        <v>0.44437500000000013</v>
      </c>
      <c r="V74" s="21">
        <v>0.4502083333333331</v>
      </c>
      <c r="W74" s="21">
        <v>0.43099999999999961</v>
      </c>
      <c r="X74" s="21">
        <v>0.31279166666666636</v>
      </c>
      <c r="Y74" s="21">
        <v>0.3212916666666667</v>
      </c>
      <c r="Z74" s="21">
        <v>0.28460416666666699</v>
      </c>
      <c r="AA74" s="21">
        <v>0.1497727272727272</v>
      </c>
      <c r="AB74" s="24">
        <f>AVERAGE(S74,W74)</f>
        <v>0.34255208333333309</v>
      </c>
      <c r="AC74" s="24">
        <f>AVERAGE(T74:V74,X74:Z74)</f>
        <v>0.36032986111111115</v>
      </c>
      <c r="AD74" s="24">
        <f t="shared" si="4"/>
        <v>0.35709753787878784</v>
      </c>
    </row>
    <row r="75" spans="1:30">
      <c r="A75" s="9">
        <v>43964</v>
      </c>
      <c r="B75" s="3">
        <v>651.41308107922896</v>
      </c>
      <c r="C75" s="3">
        <v>401.09389554328902</v>
      </c>
      <c r="D75" s="3">
        <v>368.59771623562449</v>
      </c>
      <c r="E75" s="3">
        <v>308.52277186191515</v>
      </c>
      <c r="F75" s="3">
        <v>314.93577352703193</v>
      </c>
      <c r="G75" s="3">
        <f>(B75-$B$2)/$B$1</f>
        <v>0.72435943091950272</v>
      </c>
      <c r="H75" s="3">
        <f>((C75-$C$2)/$C$1+(D75-$D$2)/$D$1+(E75-$E$2)/$E$1+(F75-$F$2)/$F$1)/4</f>
        <v>0.41198693214827969</v>
      </c>
      <c r="I75" s="19">
        <v>43964</v>
      </c>
      <c r="J75" s="20">
        <v>203.6875</v>
      </c>
      <c r="K75" s="20">
        <v>73.997916666666654</v>
      </c>
      <c r="L75" s="20">
        <v>22.216666666666665</v>
      </c>
      <c r="M75" s="20">
        <v>0</v>
      </c>
      <c r="N75" s="20">
        <v>231.64583333333334</v>
      </c>
      <c r="O75" s="20">
        <v>19.416666666666668</v>
      </c>
      <c r="P75" s="20">
        <v>5.395833333333333</v>
      </c>
      <c r="Q75" s="20">
        <v>17.162499999999998</v>
      </c>
      <c r="R75" s="10">
        <v>0.77101966255554544</v>
      </c>
      <c r="S75" s="21">
        <v>0.25208333333333327</v>
      </c>
      <c r="T75" s="21">
        <v>0.34520833333333328</v>
      </c>
      <c r="U75" s="21">
        <v>0.43991666666666657</v>
      </c>
      <c r="V75" s="21">
        <v>0.44339583333333338</v>
      </c>
      <c r="W75" s="21">
        <v>0.42756249999999979</v>
      </c>
      <c r="X75" s="21">
        <v>0.31112500000000004</v>
      </c>
      <c r="Y75" s="21">
        <v>0.31925000000000009</v>
      </c>
      <c r="Z75" s="21">
        <v>0.28320833333333323</v>
      </c>
      <c r="AA75" s="21">
        <v>0.14174468085106381</v>
      </c>
      <c r="AB75" s="24">
        <f>AVERAGE(S75,W75)</f>
        <v>0.33982291666666653</v>
      </c>
      <c r="AC75" s="24">
        <f>AVERAGE(T75:V75,X75:Z75)</f>
        <v>0.3570173611111111</v>
      </c>
      <c r="AD75" s="24">
        <f t="shared" si="4"/>
        <v>0.35389109848484851</v>
      </c>
    </row>
    <row r="76" spans="1:30">
      <c r="A76" s="9">
        <v>43965</v>
      </c>
      <c r="B76" s="3">
        <v>638.04770415704809</v>
      </c>
      <c r="C76" s="3">
        <v>402.06313958625918</v>
      </c>
      <c r="D76" s="3">
        <v>367.14289784841588</v>
      </c>
      <c r="E76" s="3">
        <v>304.89818308354796</v>
      </c>
      <c r="F76" s="3">
        <v>332.17486573185732</v>
      </c>
      <c r="G76" s="3">
        <f>(B76-$B$2)/$B$1</f>
        <v>0.70937161083668354</v>
      </c>
      <c r="H76" s="3">
        <f>((C76-$C$2)/$C$1+(D76-$D$2)/$D$1+(E76-$E$2)/$E$1+(F76-$F$2)/$F$1)/4</f>
        <v>0.41744181428433802</v>
      </c>
      <c r="I76" s="19">
        <v>43965</v>
      </c>
      <c r="J76" s="20">
        <v>215.625</v>
      </c>
      <c r="K76" s="20">
        <v>67.756250000000009</v>
      </c>
      <c r="L76" s="20">
        <v>23.027083333333323</v>
      </c>
      <c r="M76" s="20">
        <v>0</v>
      </c>
      <c r="N76" s="20">
        <v>236.02083333333334</v>
      </c>
      <c r="O76" s="20">
        <v>7.958333333333333</v>
      </c>
      <c r="P76" s="20">
        <v>0.97916666666666663</v>
      </c>
      <c r="Q76" s="20">
        <v>16.341666666666665</v>
      </c>
      <c r="R76" s="10">
        <v>1.0125076451467236</v>
      </c>
      <c r="S76" s="21">
        <v>0.24991666666666665</v>
      </c>
      <c r="T76" s="21">
        <v>0.34254166666666658</v>
      </c>
      <c r="U76" s="21">
        <v>0.43729166666666641</v>
      </c>
      <c r="V76" s="21">
        <v>0.43595833333333317</v>
      </c>
      <c r="W76" s="21">
        <v>0.42437499999999967</v>
      </c>
      <c r="X76" s="21">
        <v>0.31050000000000022</v>
      </c>
      <c r="Y76" s="21">
        <v>0.31754166666666689</v>
      </c>
      <c r="Z76" s="21">
        <v>0.28106249999999972</v>
      </c>
      <c r="AA76" s="21">
        <v>0.13020833333333334</v>
      </c>
      <c r="AB76" s="24">
        <f>AVERAGE(S76,W76)</f>
        <v>0.33714583333333314</v>
      </c>
      <c r="AC76" s="24">
        <f>AVERAGE(T76:V76,X76:Z76)</f>
        <v>0.35414930555555552</v>
      </c>
      <c r="AD76" s="24">
        <f t="shared" si="4"/>
        <v>0.3510577651515151</v>
      </c>
    </row>
    <row r="77" spans="1:30">
      <c r="A77" s="9">
        <v>43967</v>
      </c>
      <c r="B77" s="3">
        <v>643.0482498263375</v>
      </c>
      <c r="C77" s="3">
        <v>310.95972854264909</v>
      </c>
      <c r="D77" s="3">
        <v>320.53969564127163</v>
      </c>
      <c r="E77" s="3">
        <v>278.98655994133276</v>
      </c>
      <c r="F77" s="3">
        <v>251.28832673419231</v>
      </c>
      <c r="G77" s="3">
        <f>(B77-$B$2)/$B$1</f>
        <v>0.71497918024857565</v>
      </c>
      <c r="H77" s="3">
        <f>((C77-$C$2)/$C$1+(D77-$D$2)/$D$1+(E77-$E$2)/$E$1+(F77-$F$2)/$F$1)/4</f>
        <v>0.3396139738345072</v>
      </c>
      <c r="I77" s="19">
        <v>43967</v>
      </c>
      <c r="J77" s="20">
        <v>200.35416666666666</v>
      </c>
      <c r="K77" s="20">
        <v>71.591666666666669</v>
      </c>
      <c r="L77" s="20">
        <v>22.137500000000003</v>
      </c>
      <c r="M77" s="20">
        <v>0.2</v>
      </c>
      <c r="N77" s="20">
        <v>232.60416666666666</v>
      </c>
      <c r="O77" s="20">
        <v>6.104166666666667</v>
      </c>
      <c r="P77" s="20">
        <v>0.20833333333333334</v>
      </c>
      <c r="Q77" s="20">
        <v>16.429166666666667</v>
      </c>
      <c r="R77" s="10">
        <v>0.84092451406757951</v>
      </c>
      <c r="S77" s="21">
        <v>0.24852083333333316</v>
      </c>
      <c r="T77" s="21">
        <v>0.33908333333333301</v>
      </c>
      <c r="U77" s="21">
        <v>0.43239583333333337</v>
      </c>
      <c r="V77" s="21">
        <v>0.42885416666666659</v>
      </c>
      <c r="W77" s="21">
        <v>0.4229583333333336</v>
      </c>
      <c r="X77" s="21">
        <v>0.31033333333333352</v>
      </c>
      <c r="Y77" s="21">
        <v>0.3151666666666666</v>
      </c>
      <c r="Z77" s="21">
        <v>0.27881250000000019</v>
      </c>
      <c r="AA77" s="21">
        <v>0.15620833333333328</v>
      </c>
      <c r="AB77" s="24">
        <f>AVERAGE(S77,W77)</f>
        <v>0.33573958333333337</v>
      </c>
      <c r="AC77" s="24">
        <f>AVERAGE(T77:V77,X77:Z77)</f>
        <v>0.35077430555555561</v>
      </c>
      <c r="AD77" s="24">
        <f t="shared" si="4"/>
        <v>0.34804071969696976</v>
      </c>
    </row>
    <row r="78" spans="1:30">
      <c r="A78" s="9">
        <v>43969</v>
      </c>
      <c r="B78" s="3">
        <v>647.11171438269457</v>
      </c>
      <c r="C78" s="3">
        <v>292.93399192293958</v>
      </c>
      <c r="D78" s="3">
        <v>340.37708242325846</v>
      </c>
      <c r="E78" s="3">
        <v>306.67099111588658</v>
      </c>
      <c r="F78" s="3">
        <v>272.10617525550248</v>
      </c>
      <c r="G78" s="3">
        <f>(B78-$B$2)/$B$1</f>
        <v>0.71953591486505475</v>
      </c>
      <c r="H78" s="3">
        <f>((C78-$C$2)/$C$1+(D78-$D$2)/$D$1+(E78-$E$2)/$E$1+(F78-$F$2)/$F$1)/4</f>
        <v>0.35696243422652918</v>
      </c>
      <c r="I78" s="19">
        <v>43969</v>
      </c>
      <c r="J78" s="20">
        <v>266.8125</v>
      </c>
      <c r="K78" s="20">
        <v>65.349999999999994</v>
      </c>
      <c r="L78" s="20">
        <v>21.635416666666671</v>
      </c>
      <c r="M78" s="20">
        <v>0</v>
      </c>
      <c r="N78" s="20">
        <v>212.375</v>
      </c>
      <c r="O78" s="20">
        <v>3.8958333333333335</v>
      </c>
      <c r="P78" s="20">
        <v>0.10416666666666667</v>
      </c>
      <c r="Q78" s="20">
        <v>13.310416666666667</v>
      </c>
      <c r="R78" s="10">
        <v>1.1595179633070989</v>
      </c>
      <c r="S78" s="21">
        <v>0.24770833333333322</v>
      </c>
      <c r="T78" s="21">
        <v>0.3353125000000004</v>
      </c>
      <c r="U78" s="21">
        <v>0.42752083333333318</v>
      </c>
      <c r="V78" s="21">
        <v>0.42485416666666631</v>
      </c>
      <c r="W78" s="21">
        <v>0.41789583333333313</v>
      </c>
      <c r="X78" s="21">
        <v>0.30918749999999973</v>
      </c>
      <c r="Y78" s="21">
        <v>0.31347916666666686</v>
      </c>
      <c r="Z78" s="21">
        <v>0.27741666666666642</v>
      </c>
      <c r="AA78" s="21">
        <v>0.19387500000000005</v>
      </c>
      <c r="AB78" s="24">
        <f>AVERAGE(S78,W78)</f>
        <v>0.33280208333333317</v>
      </c>
      <c r="AC78" s="24">
        <f>AVERAGE(T78:V78,X78:Z78)</f>
        <v>0.3479618055555555</v>
      </c>
      <c r="AD78" s="24">
        <f t="shared" si="4"/>
        <v>0.34520549242424231</v>
      </c>
    </row>
    <row r="79" spans="1:30">
      <c r="A79" s="9">
        <v>43971</v>
      </c>
      <c r="B79" s="3">
        <v>584.03680638463322</v>
      </c>
      <c r="C79" s="3">
        <v>296.31259123383842</v>
      </c>
      <c r="D79" s="3">
        <v>314.42209102767163</v>
      </c>
      <c r="E79" s="3">
        <v>293.3668220735608</v>
      </c>
      <c r="F79" s="3">
        <v>302.68153401510773</v>
      </c>
      <c r="G79" s="3">
        <f>(B79-$B$2)/$B$1</f>
        <v>0.64880424913504298</v>
      </c>
      <c r="H79" s="3">
        <f>((C79-$C$2)/$C$1+(D79-$D$2)/$D$1+(E79-$E$2)/$E$1+(F79-$F$2)/$F$1)/4</f>
        <v>0.35843490946758466</v>
      </c>
      <c r="I79" s="19">
        <v>43971</v>
      </c>
      <c r="J79" s="20">
        <v>180.14583333333334</v>
      </c>
      <c r="K79" s="20">
        <v>77.627083333333331</v>
      </c>
      <c r="L79" s="20">
        <v>23.635416666666668</v>
      </c>
      <c r="M79" s="20">
        <v>0.5</v>
      </c>
      <c r="N79" s="20">
        <v>230.54166666666666</v>
      </c>
      <c r="O79" s="20">
        <v>8.25</v>
      </c>
      <c r="P79" s="20">
        <v>0.85416666666666663</v>
      </c>
      <c r="Q79" s="20">
        <v>19.250000000000004</v>
      </c>
      <c r="R79" s="10">
        <v>0.74059744913919745</v>
      </c>
      <c r="S79" s="21">
        <v>0.2616458333333333</v>
      </c>
      <c r="T79" s="21">
        <v>0.34562500000000007</v>
      </c>
      <c r="U79" s="21">
        <v>0.42654166666666665</v>
      </c>
      <c r="V79" s="21">
        <v>0.422645833333333</v>
      </c>
      <c r="W79" s="21">
        <v>0.42993750000000036</v>
      </c>
      <c r="X79" s="21">
        <v>0.30991666666666684</v>
      </c>
      <c r="Y79" s="21">
        <v>0.31197916666666647</v>
      </c>
      <c r="Z79" s="21">
        <v>0.27583333333333321</v>
      </c>
      <c r="AA79" s="21">
        <v>0.21647500000000006</v>
      </c>
      <c r="AB79" s="24">
        <f>AVERAGE(S79,W79)</f>
        <v>0.34579166666666683</v>
      </c>
      <c r="AC79" s="24">
        <f>AVERAGE(T79:V79,X79:Z79)</f>
        <v>0.34875694444444433</v>
      </c>
      <c r="AD79" s="24">
        <f t="shared" si="4"/>
        <v>0.34821780303030297</v>
      </c>
    </row>
    <row r="80" spans="1:30">
      <c r="A80" s="9">
        <v>43973</v>
      </c>
      <c r="B80" s="3">
        <v>537.81895680985906</v>
      </c>
      <c r="C80" s="3">
        <v>300.38125110856413</v>
      </c>
      <c r="D80" s="3">
        <v>262.13295074464628</v>
      </c>
      <c r="E80" s="3">
        <v>236.51800096992363</v>
      </c>
      <c r="F80" s="3">
        <v>217.29184445598835</v>
      </c>
      <c r="G80" s="3">
        <f>(B80-$B$2)/$B$1</f>
        <v>0.59697594544598531</v>
      </c>
      <c r="H80" s="3">
        <f>((C80-$C$2)/$C$1+(D80-$D$2)/$D$1+(E80-$E$2)/$E$1+(F80-$F$2)/$F$1)/4</f>
        <v>0.29385223575438818</v>
      </c>
      <c r="I80" s="19">
        <v>43973</v>
      </c>
      <c r="J80" s="20">
        <v>120.83333333333333</v>
      </c>
      <c r="K80" s="20">
        <v>79.643750000000011</v>
      </c>
      <c r="L80" s="20">
        <v>19.235416666666662</v>
      </c>
      <c r="M80" s="20">
        <v>0.7</v>
      </c>
      <c r="N80" s="20">
        <v>175.8125</v>
      </c>
      <c r="O80" s="20">
        <v>2.6458333333333335</v>
      </c>
      <c r="P80" s="20">
        <v>0</v>
      </c>
      <c r="Q80" s="20">
        <v>15.483333333333336</v>
      </c>
      <c r="R80" s="10">
        <v>0.48758419530153557</v>
      </c>
      <c r="S80" s="21">
        <v>0.26170833333333332</v>
      </c>
      <c r="T80" s="21">
        <v>0.35093750000000012</v>
      </c>
      <c r="U80" s="21">
        <v>0.43254166666666682</v>
      </c>
      <c r="V80" s="21">
        <v>0.42712499999999975</v>
      </c>
      <c r="W80" s="21">
        <v>0.44197916666666659</v>
      </c>
      <c r="X80" s="21">
        <v>0.31097916666666675</v>
      </c>
      <c r="Y80" s="21">
        <v>0.31416666666666665</v>
      </c>
      <c r="Z80" s="21">
        <v>0.27699999999999975</v>
      </c>
      <c r="AA80" s="21">
        <v>0.20413157894736841</v>
      </c>
      <c r="AB80" s="24">
        <f>AVERAGE(S80,W80)</f>
        <v>0.35184374999999996</v>
      </c>
      <c r="AC80" s="24">
        <f>AVERAGE(T80:V80,X80:Z80)</f>
        <v>0.35212500000000002</v>
      </c>
      <c r="AD80" s="24">
        <f t="shared" si="4"/>
        <v>0.35207386363636367</v>
      </c>
    </row>
    <row r="81" spans="1:30">
      <c r="A81" s="9">
        <v>43974</v>
      </c>
      <c r="B81" s="3">
        <v>376.79702214538713</v>
      </c>
      <c r="C81" s="3">
        <v>200.71965564622917</v>
      </c>
      <c r="D81" s="3">
        <v>137.7489629151477</v>
      </c>
      <c r="E81" s="3">
        <v>145.89842952111587</v>
      </c>
      <c r="F81" s="3">
        <v>136.06641890011252</v>
      </c>
      <c r="G81" s="3">
        <f>(B81-$B$2)/$B$1</f>
        <v>0.41640731650343837</v>
      </c>
      <c r="H81" s="3">
        <f>((C81-$C$2)/$C$1+(D81-$D$2)/$D$1+(E81-$E$2)/$E$1+(F81-$F$2)/$F$1)/4</f>
        <v>0.17159237264954527</v>
      </c>
      <c r="I81" s="19">
        <v>43974</v>
      </c>
      <c r="J81" s="20">
        <v>58.395833333333336</v>
      </c>
      <c r="K81" s="20">
        <v>73.331250000000026</v>
      </c>
      <c r="L81" s="20">
        <v>18.579166666666669</v>
      </c>
      <c r="M81" s="20">
        <v>0</v>
      </c>
      <c r="N81" s="20">
        <v>112.20833333333333</v>
      </c>
      <c r="O81" s="20">
        <v>0.3125</v>
      </c>
      <c r="P81" s="20">
        <v>0</v>
      </c>
      <c r="Q81" s="20">
        <v>13.68125</v>
      </c>
      <c r="R81" s="10">
        <v>0.57999059396266039</v>
      </c>
      <c r="S81" s="21">
        <v>0.25650000000000023</v>
      </c>
      <c r="T81" s="21">
        <v>0.34518749999999998</v>
      </c>
      <c r="U81" s="21">
        <v>0.42999999999999966</v>
      </c>
      <c r="V81" s="21">
        <v>0.42656249999999951</v>
      </c>
      <c r="W81" s="21">
        <v>0.4331041666666664</v>
      </c>
      <c r="X81" s="21">
        <v>0.30997916666666669</v>
      </c>
      <c r="Y81" s="21">
        <v>0.31452083333333331</v>
      </c>
      <c r="Z81" s="21">
        <v>0.27695833333333314</v>
      </c>
      <c r="AA81" s="21">
        <v>0.18107999999999994</v>
      </c>
      <c r="AB81" s="24">
        <f>AVERAGE(S81,W81)</f>
        <v>0.34480208333333329</v>
      </c>
      <c r="AC81" s="24">
        <f>AVERAGE(T81:V81,X81:Z81)</f>
        <v>0.35053472222222209</v>
      </c>
      <c r="AD81" s="24">
        <f t="shared" si="4"/>
        <v>0.3494924242424241</v>
      </c>
    </row>
    <row r="82" spans="1:30">
      <c r="A82" s="9">
        <v>43977</v>
      </c>
      <c r="B82" s="3">
        <v>493.47583472833236</v>
      </c>
      <c r="C82" s="3">
        <v>196.6709111432838</v>
      </c>
      <c r="D82" s="3">
        <v>259.07576846884882</v>
      </c>
      <c r="E82" s="3">
        <v>198.95120174641838</v>
      </c>
      <c r="F82" s="3">
        <v>174.16233289521094</v>
      </c>
      <c r="G82" s="3">
        <f>(B82-$B$2)/$B$1</f>
        <v>0.54724994523379233</v>
      </c>
      <c r="H82" s="3">
        <f>((C82-$C$2)/$C$1+(D82-$D$2)/$D$1+(E82-$E$2)/$E$1+(F82-$F$2)/$F$1)/4</f>
        <v>0.2357423314137771</v>
      </c>
      <c r="I82" s="19">
        <v>43977</v>
      </c>
      <c r="J82" s="20">
        <v>95.791666666666671</v>
      </c>
      <c r="K82" s="20">
        <v>74.529166666666669</v>
      </c>
      <c r="L82" s="20">
        <v>16.022916666666667</v>
      </c>
      <c r="M82" s="20">
        <v>0</v>
      </c>
      <c r="N82" s="20">
        <v>190.16666666666666</v>
      </c>
      <c r="O82" s="20">
        <v>2.1666666666666665</v>
      </c>
      <c r="P82" s="20">
        <v>0</v>
      </c>
      <c r="Q82" s="20">
        <v>11.385416666666664</v>
      </c>
      <c r="R82" s="10">
        <v>0.4901249099171025</v>
      </c>
      <c r="S82" s="21">
        <v>0.28156249999999972</v>
      </c>
      <c r="T82" s="21">
        <v>0.38995833333333341</v>
      </c>
      <c r="U82" s="21">
        <v>0.46862500000000001</v>
      </c>
      <c r="V82" s="21">
        <v>0.49031249999999998</v>
      </c>
      <c r="W82" s="21">
        <v>0.54062499999999991</v>
      </c>
      <c r="X82" s="21">
        <v>0.34716666666666679</v>
      </c>
      <c r="Y82" s="21">
        <v>0.32033333333333325</v>
      </c>
      <c r="Z82" s="21">
        <v>0.27560416666666659</v>
      </c>
      <c r="AA82" s="21">
        <v>0.23385416666666684</v>
      </c>
      <c r="AB82" s="24">
        <f>AVERAGE(S82,W82)</f>
        <v>0.41109374999999981</v>
      </c>
      <c r="AC82" s="24">
        <f>AVERAGE(T82:V82,X82:Z82)</f>
        <v>0.38200000000000006</v>
      </c>
      <c r="AD82" s="24">
        <f t="shared" si="4"/>
        <v>0.38728977272727272</v>
      </c>
    </row>
    <row r="83" spans="1:30">
      <c r="A83" s="9">
        <v>43978</v>
      </c>
      <c r="B83" s="3">
        <v>300.75032433422558</v>
      </c>
      <c r="C83" s="3">
        <v>121.93546506834822</v>
      </c>
      <c r="D83" s="3">
        <v>152.61686057341842</v>
      </c>
      <c r="E83" s="3">
        <v>126.59000618830727</v>
      </c>
      <c r="F83" s="3">
        <v>110.09423389293819</v>
      </c>
      <c r="G83" s="3">
        <f>(B83-$B$2)/$B$1</f>
        <v>0.33112919592947537</v>
      </c>
      <c r="H83" s="3">
        <f>((C83-$C$2)/$C$1+(D83-$D$2)/$D$1+(E83-$E$2)/$E$1+(F83-$F$2)/$F$1)/4</f>
        <v>0.13777746419721898</v>
      </c>
      <c r="I83" s="19">
        <v>43978</v>
      </c>
      <c r="J83" s="20">
        <v>68.708333333333329</v>
      </c>
      <c r="K83" s="20">
        <v>78.208333333333357</v>
      </c>
      <c r="L83" s="20">
        <v>15.049999999999997</v>
      </c>
      <c r="M83" s="20">
        <v>0</v>
      </c>
      <c r="N83" s="20">
        <v>211.66666666666666</v>
      </c>
      <c r="O83" s="20">
        <v>2.9583333333333335</v>
      </c>
      <c r="P83" s="20">
        <v>0</v>
      </c>
      <c r="Q83" s="20">
        <v>11.222916666666665</v>
      </c>
      <c r="R83" s="10">
        <v>0.3829310511770842</v>
      </c>
      <c r="S83" s="21">
        <v>0.27804166666666646</v>
      </c>
      <c r="T83" s="21">
        <v>0.38531250000000011</v>
      </c>
      <c r="U83" s="21">
        <v>0.46497916666666667</v>
      </c>
      <c r="V83" s="21">
        <v>0.48708333333333348</v>
      </c>
      <c r="W83" s="21">
        <v>0.53199999999999992</v>
      </c>
      <c r="X83" s="21">
        <v>0.34241666666666654</v>
      </c>
      <c r="Y83" s="21">
        <v>0.32241666666666674</v>
      </c>
      <c r="Z83" s="21">
        <v>0.27639583333333306</v>
      </c>
      <c r="AA83" s="21">
        <v>0.22145833333333342</v>
      </c>
      <c r="AB83" s="24">
        <f>AVERAGE(S83,W83)</f>
        <v>0.40502083333333316</v>
      </c>
      <c r="AC83" s="24">
        <f>AVERAGE(T83:V83,X83:Z83)</f>
        <v>0.37976736111111103</v>
      </c>
      <c r="AD83" s="24">
        <f t="shared" si="4"/>
        <v>0.38435890151515145</v>
      </c>
    </row>
    <row r="84" spans="1:30">
      <c r="A84" s="9">
        <v>43981</v>
      </c>
      <c r="B84" s="3">
        <v>648.18478940289765</v>
      </c>
      <c r="C84" s="3">
        <v>361.0839279213539</v>
      </c>
      <c r="D84" s="3">
        <v>358.45517444137454</v>
      </c>
      <c r="E84" s="3">
        <v>304.43787914484011</v>
      </c>
      <c r="F84" s="3">
        <v>227.47325507753439</v>
      </c>
      <c r="G84" s="3">
        <f>(B84-$B$2)/$B$1</f>
        <v>0.72073925207221423</v>
      </c>
      <c r="H84" s="3">
        <f>((C84-$C$2)/$C$1+(D84-$D$2)/$D$1+(E84-$E$2)/$E$1+(F84-$F$2)/$F$1)/4</f>
        <v>0.3626950715285896</v>
      </c>
      <c r="I84" s="19">
        <v>43981</v>
      </c>
      <c r="J84" s="20">
        <v>217.83333333333334</v>
      </c>
      <c r="K84" s="20">
        <v>79.429166666666674</v>
      </c>
      <c r="L84" s="20">
        <v>21.610416666666666</v>
      </c>
      <c r="M84" s="20">
        <v>0</v>
      </c>
      <c r="N84" s="20">
        <v>236.91666666666666</v>
      </c>
      <c r="O84" s="20">
        <v>5.666666666666667</v>
      </c>
      <c r="P84" s="20">
        <v>0.85416666666666663</v>
      </c>
      <c r="Q84" s="20">
        <v>17.537499999999994</v>
      </c>
      <c r="R84" s="10">
        <v>0.64971893967697325</v>
      </c>
      <c r="S84" s="21">
        <v>0.30268750000000016</v>
      </c>
      <c r="T84" s="21">
        <v>0.42041666666666649</v>
      </c>
      <c r="U84" s="21">
        <v>0.50793750000000015</v>
      </c>
      <c r="V84" s="21">
        <v>0.5518333333333334</v>
      </c>
      <c r="W84" s="21">
        <v>0.57787500000000014</v>
      </c>
      <c r="X84" s="21">
        <v>0.38879166666666681</v>
      </c>
      <c r="Y84" s="21">
        <v>0.3426249999999999</v>
      </c>
      <c r="Z84" s="21">
        <v>0.27783333333333349</v>
      </c>
      <c r="AA84" s="21">
        <v>0.23604651162790702</v>
      </c>
      <c r="AB84" s="24">
        <f>AVERAGE(S84,W84)</f>
        <v>0.44028125000000018</v>
      </c>
      <c r="AC84" s="24">
        <f>AVERAGE(T84:V84,X84:Z84)</f>
        <v>0.41490625000000003</v>
      </c>
      <c r="AD84" s="24">
        <f t="shared" si="4"/>
        <v>0.41951988636363635</v>
      </c>
    </row>
    <row r="85" spans="1:30">
      <c r="A85" s="9">
        <v>43993</v>
      </c>
      <c r="B85" s="3">
        <v>536.5174614821434</v>
      </c>
      <c r="C85" s="3">
        <v>491.74184327720508</v>
      </c>
      <c r="D85" s="3">
        <v>363.45177650216056</v>
      </c>
      <c r="E85" s="3">
        <v>222.4425446212575</v>
      </c>
      <c r="F85" s="3">
        <v>302.47682555849991</v>
      </c>
      <c r="G85" s="3">
        <f>(B85-$B$2)/$B$1</f>
        <v>0.59551645964741728</v>
      </c>
      <c r="H85" s="3">
        <f>((C85-$C$2)/$C$1+(D85-$D$2)/$D$1+(E85-$E$2)/$E$1+(F85-$F$2)/$F$1)/4</f>
        <v>0.40373552027580162</v>
      </c>
      <c r="I85" s="19">
        <v>43993</v>
      </c>
      <c r="J85" s="20">
        <v>182.70833333333334</v>
      </c>
      <c r="K85" s="20">
        <v>81.654166666666683</v>
      </c>
      <c r="L85" s="20">
        <v>23.604166666666661</v>
      </c>
      <c r="M85" s="20">
        <v>0</v>
      </c>
      <c r="N85" s="20">
        <v>235.20833333333334</v>
      </c>
      <c r="O85" s="20">
        <v>13.9375</v>
      </c>
      <c r="P85" s="20">
        <v>3</v>
      </c>
      <c r="Q85" s="20">
        <v>20.206250000000008</v>
      </c>
      <c r="R85" s="10">
        <v>0.5646302120616371</v>
      </c>
      <c r="S85" s="21">
        <v>0.44320833333333326</v>
      </c>
      <c r="T85" s="21">
        <v>0.5433958333333333</v>
      </c>
      <c r="U85" s="21">
        <v>0.59720833333333367</v>
      </c>
      <c r="V85" s="21">
        <v>0.60483333333333322</v>
      </c>
      <c r="W85" s="21">
        <v>0.61141666666666661</v>
      </c>
      <c r="X85" s="21">
        <v>0.48593749999999997</v>
      </c>
      <c r="Y85" s="21">
        <v>0.47437500000000005</v>
      </c>
      <c r="Z85" s="21">
        <v>0.40962499999999974</v>
      </c>
      <c r="AA85" s="21">
        <v>0.26289583333333327</v>
      </c>
      <c r="AB85" s="24">
        <f>AVERAGE(S85,W85)</f>
        <v>0.52731249999999996</v>
      </c>
      <c r="AC85" s="24">
        <f>AVERAGE(T85:V85,X85:Z85)</f>
        <v>0.51922916666666663</v>
      </c>
      <c r="AD85" s="24">
        <f t="shared" si="4"/>
        <v>0.52069886363636364</v>
      </c>
    </row>
    <row r="86" spans="1:30">
      <c r="A86" s="9">
        <v>43994</v>
      </c>
      <c r="B86" s="3">
        <v>604.54785236330019</v>
      </c>
      <c r="C86" s="3">
        <v>476.07815792707953</v>
      </c>
      <c r="D86" s="3">
        <v>360.02326207344743</v>
      </c>
      <c r="E86" s="3">
        <v>217.88511954122043</v>
      </c>
      <c r="F86" s="3">
        <v>329.04617522698032</v>
      </c>
      <c r="G86" s="3">
        <f>(B86-$B$2)/$B$1</f>
        <v>0.67180516176389005</v>
      </c>
      <c r="H86" s="3">
        <f>((C86-$C$2)/$C$1+(D86-$D$2)/$D$1+(E86-$E$2)/$E$1+(F86-$F$2)/$F$1)/4</f>
        <v>0.40739635147535019</v>
      </c>
      <c r="I86" s="19">
        <v>43994</v>
      </c>
      <c r="J86" s="20">
        <v>160.08333333333334</v>
      </c>
      <c r="K86" s="20">
        <v>79.543750000000017</v>
      </c>
      <c r="L86" s="20">
        <v>24.052083333333329</v>
      </c>
      <c r="M86" s="20">
        <v>0</v>
      </c>
      <c r="N86" s="20">
        <v>237.54166666666666</v>
      </c>
      <c r="O86" s="20">
        <v>11.625</v>
      </c>
      <c r="P86" s="20">
        <v>2.0416666666666665</v>
      </c>
      <c r="Q86" s="20">
        <v>20.224999999999998</v>
      </c>
      <c r="R86" s="10">
        <v>0.64310839568854916</v>
      </c>
      <c r="S86" s="21">
        <v>0.43083333333333296</v>
      </c>
      <c r="T86" s="21">
        <v>0.53368749999999998</v>
      </c>
      <c r="U86" s="21">
        <v>0.59191666666666654</v>
      </c>
      <c r="V86" s="21">
        <v>0.59958333333333336</v>
      </c>
      <c r="W86" s="21">
        <v>0.60429166666666678</v>
      </c>
      <c r="X86" s="21">
        <v>0.47312499999999974</v>
      </c>
      <c r="Y86" s="21">
        <v>0.47016666666666662</v>
      </c>
      <c r="Z86" s="21">
        <v>0.40454166666666674</v>
      </c>
      <c r="AA86" s="21">
        <v>0.24510416666666671</v>
      </c>
      <c r="AB86" s="24">
        <f>AVERAGE(S86,W86)</f>
        <v>0.51756249999999993</v>
      </c>
      <c r="AC86" s="24">
        <f>AVERAGE(T86:V86,X86:Z86)</f>
        <v>0.51217013888888885</v>
      </c>
      <c r="AD86" s="24">
        <f t="shared" si="4"/>
        <v>0.51315056818181815</v>
      </c>
    </row>
    <row r="87" spans="1:30">
      <c r="A87" s="9">
        <v>43998</v>
      </c>
      <c r="B87" s="3">
        <v>539.76307550088563</v>
      </c>
      <c r="C87" s="3">
        <v>416.3241731179474</v>
      </c>
      <c r="D87" s="3">
        <v>324.68615035777248</v>
      </c>
      <c r="E87" s="3">
        <v>209.93250893001738</v>
      </c>
      <c r="F87" s="3">
        <v>238.28873834778173</v>
      </c>
      <c r="G87" s="3">
        <f>(B87-$B$2)/$B$1</f>
        <v>0.59915606362225582</v>
      </c>
      <c r="H87" s="3">
        <f>((C87-$C$2)/$C$1+(D87-$D$2)/$D$1+(E87-$E$2)/$E$1+(F87-$F$2)/$F$1)/4</f>
        <v>0.34314124438327481</v>
      </c>
      <c r="I87" s="19">
        <v>43998</v>
      </c>
      <c r="J87" s="20">
        <v>164.875</v>
      </c>
      <c r="K87" s="20">
        <v>84.125000000000014</v>
      </c>
      <c r="L87" s="20">
        <v>22.372916666666669</v>
      </c>
      <c r="M87" s="20">
        <v>0.9</v>
      </c>
      <c r="N87" s="20">
        <v>231.14583333333334</v>
      </c>
      <c r="O87" s="20">
        <v>18.25</v>
      </c>
      <c r="P87" s="20">
        <v>3.75</v>
      </c>
      <c r="Q87" s="20">
        <v>19.487500000000004</v>
      </c>
      <c r="R87" s="10">
        <v>0.45552833883335503</v>
      </c>
      <c r="S87" s="21">
        <v>0.44856250000000003</v>
      </c>
      <c r="T87" s="21">
        <v>0.54552083333333334</v>
      </c>
      <c r="U87" s="21">
        <v>0.59879166666666661</v>
      </c>
      <c r="V87" s="21">
        <v>0.60616666666666696</v>
      </c>
      <c r="W87" s="21">
        <v>0.61347916666666646</v>
      </c>
      <c r="X87" s="21">
        <v>0.49189583333333342</v>
      </c>
      <c r="Y87" s="21">
        <v>0.47543749999999968</v>
      </c>
      <c r="Z87" s="21">
        <v>0.41108333333333325</v>
      </c>
      <c r="AA87" s="21">
        <v>0.25887499999999991</v>
      </c>
      <c r="AB87" s="24">
        <f>AVERAGE(S87,W87)</f>
        <v>0.53102083333333328</v>
      </c>
      <c r="AC87" s="24">
        <f>AVERAGE(T87:V87,X87:Z87)</f>
        <v>0.52148263888888879</v>
      </c>
      <c r="AD87" s="24">
        <f t="shared" si="4"/>
        <v>0.52321685606060597</v>
      </c>
    </row>
    <row r="88" spans="1:30">
      <c r="A88" s="9">
        <v>43999</v>
      </c>
      <c r="B88" s="3">
        <v>615.32068335315546</v>
      </c>
      <c r="C88" s="3">
        <v>490.86575258887967</v>
      </c>
      <c r="D88" s="3">
        <v>382.84017224497205</v>
      </c>
      <c r="E88" s="3">
        <v>229.5819526863381</v>
      </c>
      <c r="F88" s="3">
        <v>275.89885771087307</v>
      </c>
      <c r="G88" s="3">
        <f>(B88-$B$2)/$B$1</f>
        <v>0.68388572287328986</v>
      </c>
      <c r="H88" s="3">
        <f>((C88-$C$2)/$C$1+(D88-$D$2)/$D$1+(E88-$E$2)/$E$1+(F88-$F$2)/$F$1)/4</f>
        <v>0.40075396583895551</v>
      </c>
      <c r="I88" s="19">
        <v>43999</v>
      </c>
      <c r="J88" s="20">
        <v>166.16666666666666</v>
      </c>
      <c r="K88" s="20">
        <v>81.33541666666666</v>
      </c>
      <c r="L88" s="20">
        <v>23.695833333333329</v>
      </c>
      <c r="M88" s="20">
        <v>0</v>
      </c>
      <c r="N88" s="20">
        <v>235.10416666666666</v>
      </c>
      <c r="O88" s="20">
        <v>16.270833333333332</v>
      </c>
      <c r="P88" s="20">
        <v>3.4375</v>
      </c>
      <c r="Q88" s="20">
        <v>20.252083333333335</v>
      </c>
      <c r="R88" s="10">
        <v>0.56958878597171181</v>
      </c>
      <c r="S88" s="21">
        <v>0.43679166666666641</v>
      </c>
      <c r="T88" s="21">
        <v>0.53591666666666671</v>
      </c>
      <c r="U88" s="21">
        <v>0.59293750000000001</v>
      </c>
      <c r="V88" s="21">
        <v>0.60099999999999998</v>
      </c>
      <c r="W88" s="21">
        <v>0.60616666666666674</v>
      </c>
      <c r="X88" s="21">
        <v>0.48247916666666696</v>
      </c>
      <c r="Y88" s="21">
        <v>0.4714583333333337</v>
      </c>
      <c r="Z88" s="21">
        <v>0.40702083333333355</v>
      </c>
      <c r="AA88" s="21">
        <v>0.24545833333333333</v>
      </c>
      <c r="AB88" s="24">
        <f>AVERAGE(S88,W88)</f>
        <v>0.5214791666666666</v>
      </c>
      <c r="AC88" s="24">
        <f>AVERAGE(T88:V88,X88:Z88)</f>
        <v>0.51513541666666673</v>
      </c>
      <c r="AD88" s="24">
        <f t="shared" si="4"/>
        <v>0.51628882575757584</v>
      </c>
    </row>
    <row r="89" spans="1:30">
      <c r="A89" s="9">
        <v>44001</v>
      </c>
      <c r="B89" s="3">
        <v>497.7802537281998</v>
      </c>
      <c r="C89" s="3">
        <v>419.44084617256993</v>
      </c>
      <c r="D89" s="3">
        <v>338.89324105411339</v>
      </c>
      <c r="E89" s="3">
        <v>181.52623363844734</v>
      </c>
      <c r="F89" s="3">
        <v>230.96835809319603</v>
      </c>
      <c r="G89" s="3">
        <f>(B89-$B$2)/$B$1</f>
        <v>0.55207688411525524</v>
      </c>
      <c r="H89" s="3">
        <f>((C89-$C$2)/$C$1+(D89-$D$2)/$D$1+(E89-$E$2)/$E$1+(F89-$F$2)/$F$1)/4</f>
        <v>0.33619053782541719</v>
      </c>
      <c r="I89" s="19">
        <v>44001</v>
      </c>
      <c r="J89" s="20">
        <v>137.1875</v>
      </c>
      <c r="K89" s="20">
        <v>86.18125000000002</v>
      </c>
      <c r="L89" s="20">
        <v>21.325000000000003</v>
      </c>
      <c r="M89" s="20">
        <v>0</v>
      </c>
      <c r="N89" s="20">
        <v>157.875</v>
      </c>
      <c r="O89" s="20">
        <v>6.75</v>
      </c>
      <c r="P89" s="20">
        <v>1.0833333333333333</v>
      </c>
      <c r="Q89" s="20">
        <v>18.837500000000002</v>
      </c>
      <c r="R89" s="10">
        <v>0.38746013684442299</v>
      </c>
      <c r="S89" s="21">
        <v>0.45285416666666656</v>
      </c>
      <c r="T89" s="21">
        <v>0.54827083333333337</v>
      </c>
      <c r="U89" s="21">
        <v>0.59972916666666687</v>
      </c>
      <c r="V89" s="21">
        <v>0.60758333333333325</v>
      </c>
      <c r="W89" s="21">
        <v>0.61599999999999977</v>
      </c>
      <c r="X89" s="21">
        <v>0.49620833333333292</v>
      </c>
      <c r="Y89" s="21">
        <v>0.47793750000000018</v>
      </c>
      <c r="Z89" s="21">
        <v>0.41233333333333344</v>
      </c>
      <c r="AA89" s="21">
        <v>0.26281250000000017</v>
      </c>
      <c r="AB89" s="24">
        <f>AVERAGE(S89,W89)</f>
        <v>0.53442708333333311</v>
      </c>
      <c r="AC89" s="24">
        <f>AVERAGE(T89:V89,X89:Z89)</f>
        <v>0.5236770833333334</v>
      </c>
      <c r="AD89" s="24">
        <f t="shared" si="4"/>
        <v>0.52563162878787884</v>
      </c>
    </row>
    <row r="90" spans="1:30">
      <c r="A90" s="9">
        <v>44002</v>
      </c>
      <c r="B90" s="3">
        <v>738.40535612373662</v>
      </c>
      <c r="C90" s="3">
        <v>593.71180230882862</v>
      </c>
      <c r="D90" s="3">
        <v>498.33270325135959</v>
      </c>
      <c r="E90" s="3">
        <v>262.30423731823839</v>
      </c>
      <c r="F90" s="3">
        <v>315.1258116696153</v>
      </c>
      <c r="G90" s="3">
        <f>(B90-$B$2)/$B$1</f>
        <v>0.82191182877207636</v>
      </c>
      <c r="H90" s="3">
        <f>((C90-$C$2)/$C$1+(D90-$D$2)/$D$1+(E90-$E$2)/$E$1+(F90-$F$2)/$F$1)/4</f>
        <v>0.48687083006478493</v>
      </c>
      <c r="I90" s="19">
        <v>44002</v>
      </c>
      <c r="J90" s="20">
        <v>189</v>
      </c>
      <c r="K90" s="20">
        <v>81.218750000000014</v>
      </c>
      <c r="L90" s="20">
        <v>23.835416666666671</v>
      </c>
      <c r="M90" s="20">
        <v>0</v>
      </c>
      <c r="N90" s="20">
        <v>231.08333333333334</v>
      </c>
      <c r="O90" s="20">
        <v>16.9375</v>
      </c>
      <c r="P90" s="20">
        <v>3.9583333333333335</v>
      </c>
      <c r="Q90" s="20">
        <v>20.341666666666665</v>
      </c>
      <c r="R90" s="10">
        <v>0.58507081219512269</v>
      </c>
      <c r="S90" s="21">
        <v>0.44066666666666676</v>
      </c>
      <c r="T90" s="21">
        <v>0.53881249999999981</v>
      </c>
      <c r="U90" s="21">
        <v>0.59462499999999974</v>
      </c>
      <c r="V90" s="21">
        <v>0.60206250000000028</v>
      </c>
      <c r="W90" s="21">
        <v>0.60947916666666679</v>
      </c>
      <c r="X90" s="21">
        <v>0.48639583333333358</v>
      </c>
      <c r="Y90" s="21">
        <v>0.47347916666666667</v>
      </c>
      <c r="Z90" s="21">
        <v>0.40785416666666691</v>
      </c>
      <c r="AA90" s="21">
        <v>0.24750000000000005</v>
      </c>
      <c r="AB90" s="24">
        <f>AVERAGE(S90,W90)</f>
        <v>0.52507291666666678</v>
      </c>
      <c r="AC90" s="24">
        <f>AVERAGE(T90:V90,X90:Z90)</f>
        <v>0.51720486111111108</v>
      </c>
      <c r="AD90" s="24">
        <f t="shared" si="4"/>
        <v>0.51863541666666668</v>
      </c>
    </row>
    <row r="91" spans="1:30">
      <c r="A91" s="9">
        <v>44003</v>
      </c>
      <c r="B91" s="3">
        <v>622.38821152557955</v>
      </c>
      <c r="C91" s="3">
        <v>450.03547332349092</v>
      </c>
      <c r="D91" s="3">
        <v>414.09191756996745</v>
      </c>
      <c r="E91" s="3">
        <v>212.08387074304534</v>
      </c>
      <c r="F91" s="3">
        <v>217.51532529440695</v>
      </c>
      <c r="G91" s="3">
        <f>(B91-$B$2)/$B$1</f>
        <v>0.69181118889608151</v>
      </c>
      <c r="H91" s="3">
        <f>((C91-$C$2)/$C$1+(D91-$D$2)/$D$1+(E91-$E$2)/$E$1+(F91-$F$2)/$F$1)/4</f>
        <v>0.36989829135277252</v>
      </c>
      <c r="I91" s="19">
        <v>44003</v>
      </c>
      <c r="J91" s="20">
        <v>176.60416666666666</v>
      </c>
      <c r="K91" s="20">
        <v>81.691666666666691</v>
      </c>
      <c r="L91" s="20">
        <v>24.054166666666674</v>
      </c>
      <c r="M91" s="20">
        <v>0</v>
      </c>
      <c r="N91" s="20">
        <v>238.6875</v>
      </c>
      <c r="O91" s="20">
        <v>14.5</v>
      </c>
      <c r="P91" s="20">
        <v>2.5625</v>
      </c>
      <c r="Q91" s="20">
        <v>20.68333333333333</v>
      </c>
      <c r="R91" s="10">
        <v>0.56976949284976519</v>
      </c>
      <c r="S91" s="21">
        <v>0.43006249999999996</v>
      </c>
      <c r="T91" s="21">
        <v>0.53116666666666623</v>
      </c>
      <c r="U91" s="21">
        <v>0.59010416666666687</v>
      </c>
      <c r="V91" s="21">
        <v>0.59862500000000041</v>
      </c>
      <c r="W91" s="21">
        <v>0.60293750000000024</v>
      </c>
      <c r="X91" s="21">
        <v>0.47758333333333308</v>
      </c>
      <c r="Y91" s="21">
        <v>0.46987499999999988</v>
      </c>
      <c r="Z91" s="21">
        <v>0.40404166666666685</v>
      </c>
      <c r="AA91" s="21">
        <v>0.23077083333333337</v>
      </c>
      <c r="AB91" s="24">
        <f>AVERAGE(S91,W91)</f>
        <v>0.51650000000000007</v>
      </c>
      <c r="AC91" s="24">
        <f>AVERAGE(T91:V91,X91:Z91)</f>
        <v>0.51189930555555563</v>
      </c>
      <c r="AD91" s="24">
        <f t="shared" si="4"/>
        <v>0.51273579545454562</v>
      </c>
    </row>
    <row r="92" spans="1:30">
      <c r="A92" s="9">
        <v>44004</v>
      </c>
      <c r="B92" s="3">
        <v>525.29660077784797</v>
      </c>
      <c r="C92" s="3">
        <v>385.08095717914932</v>
      </c>
      <c r="D92" s="3">
        <v>339.26966726712254</v>
      </c>
      <c r="E92" s="3">
        <v>183.54963461108534</v>
      </c>
      <c r="F92" s="3">
        <v>187.27211294375465</v>
      </c>
      <c r="G92" s="3">
        <f>(B92-$B$2)/$B$1</f>
        <v>0.58293348182422899</v>
      </c>
      <c r="H92" s="3">
        <f>((C92-$C$2)/$C$1+(D92-$D$2)/$D$1+(E92-$E$2)/$E$1+(F92-$F$2)/$F$1)/4</f>
        <v>0.31038440447751431</v>
      </c>
      <c r="I92" s="19">
        <v>44004</v>
      </c>
      <c r="J92" s="20">
        <v>119.64583333333333</v>
      </c>
      <c r="K92" s="20">
        <v>82.587499999999991</v>
      </c>
      <c r="L92" s="20">
        <v>23.274999999999995</v>
      </c>
      <c r="M92" s="20">
        <v>0.2</v>
      </c>
      <c r="N92" s="20">
        <v>237.95833333333334</v>
      </c>
      <c r="O92" s="20">
        <v>9.0625</v>
      </c>
      <c r="P92" s="20">
        <v>1.4375</v>
      </c>
      <c r="Q92" s="20">
        <v>20.058333333333334</v>
      </c>
      <c r="R92" s="10">
        <v>0.52868193151200105</v>
      </c>
      <c r="S92" s="21">
        <v>0.41993749999999991</v>
      </c>
      <c r="T92" s="21">
        <v>0.5247916666666661</v>
      </c>
      <c r="U92" s="21">
        <v>0.5860208333333331</v>
      </c>
      <c r="V92" s="21">
        <v>0.59556250000000033</v>
      </c>
      <c r="W92" s="21">
        <v>0.59600000000000009</v>
      </c>
      <c r="X92" s="21">
        <v>0.46993750000000017</v>
      </c>
      <c r="Y92" s="21">
        <v>0.46637499999999971</v>
      </c>
      <c r="Z92" s="21">
        <v>0.40081250000000024</v>
      </c>
      <c r="AA92" s="21">
        <v>0.2152916666666668</v>
      </c>
      <c r="AB92" s="24">
        <f>AVERAGE(S92,W92)</f>
        <v>0.50796874999999997</v>
      </c>
      <c r="AC92" s="24">
        <f>AVERAGE(T92:V92,X92:Z92)</f>
        <v>0.50724999999999998</v>
      </c>
      <c r="AD92" s="24">
        <f t="shared" si="4"/>
        <v>0.50738068181818174</v>
      </c>
    </row>
    <row r="93" spans="1:30">
      <c r="A93" s="9">
        <v>44007</v>
      </c>
      <c r="B93" s="3">
        <v>644.28476387256592</v>
      </c>
      <c r="C93" s="3">
        <v>403.99035960753321</v>
      </c>
      <c r="D93" s="3">
        <v>402.79515682006269</v>
      </c>
      <c r="E93" s="3">
        <v>243.51174079578482</v>
      </c>
      <c r="F93" s="3">
        <v>277.87133443143432</v>
      </c>
      <c r="G93" s="3">
        <f>(B93-$B$2)/$B$1</f>
        <v>0.71636579659038591</v>
      </c>
      <c r="H93" s="3">
        <f>((C93-$C$2)/$C$1+(D93-$D$2)/$D$1+(E93-$E$2)/$E$1+(F93-$F$2)/$F$1)/4</f>
        <v>0.38745004808423239</v>
      </c>
      <c r="I93" s="19">
        <v>44007</v>
      </c>
      <c r="J93" s="20">
        <v>237.54166666666666</v>
      </c>
      <c r="K93" s="20">
        <v>81.324999999999989</v>
      </c>
      <c r="L93" s="20">
        <v>22.402083333333334</v>
      </c>
      <c r="M93" s="20">
        <v>0</v>
      </c>
      <c r="N93" s="20">
        <v>230.10416666666666</v>
      </c>
      <c r="O93" s="20">
        <v>3.1458333333333335</v>
      </c>
      <c r="P93" s="20">
        <v>0.27083333333333331</v>
      </c>
      <c r="Q93" s="20">
        <v>18.706250000000001</v>
      </c>
      <c r="R93" s="10">
        <v>0.61139474585586717</v>
      </c>
      <c r="S93" s="21">
        <v>0.45924999999999977</v>
      </c>
      <c r="T93" s="21">
        <v>0.55256249999999996</v>
      </c>
      <c r="U93" s="21">
        <v>0.60300000000000009</v>
      </c>
      <c r="V93" s="21">
        <v>0.61114583333333328</v>
      </c>
      <c r="W93" s="21">
        <v>0.61902083333333313</v>
      </c>
      <c r="X93" s="21">
        <v>0.50108333333333321</v>
      </c>
      <c r="Y93" s="21">
        <v>0.4798124999999997</v>
      </c>
      <c r="Z93" s="21">
        <v>0.41368749999999999</v>
      </c>
      <c r="AA93" s="21">
        <v>0.27483333333333332</v>
      </c>
      <c r="AB93" s="24">
        <f>AVERAGE(S93,W93)</f>
        <v>0.53913541666666642</v>
      </c>
      <c r="AC93" s="24">
        <f>AVERAGE(T93:V93,X93:Z93)</f>
        <v>0.52688194444444436</v>
      </c>
      <c r="AD93" s="24">
        <f t="shared" si="4"/>
        <v>0.52910984848484832</v>
      </c>
    </row>
    <row r="94" spans="1:30">
      <c r="A94" s="9">
        <v>44010</v>
      </c>
      <c r="B94" s="3">
        <v>731.24791014036339</v>
      </c>
      <c r="C94" s="3">
        <v>467.65319172774326</v>
      </c>
      <c r="D94" s="3">
        <v>378.86695701022126</v>
      </c>
      <c r="E94" s="3">
        <v>259.48134160433756</v>
      </c>
      <c r="F94" s="3">
        <v>365.92296804178176</v>
      </c>
      <c r="G94" s="3">
        <f>(B94-$B$2)/$B$1</f>
        <v>0.81388552968033401</v>
      </c>
      <c r="H94" s="3">
        <f>((C94-$C$2)/$C$1+(D94-$D$2)/$D$1+(E94-$E$2)/$E$1+(F94-$F$2)/$F$1)/4</f>
        <v>0.43775056280652014</v>
      </c>
      <c r="I94" s="19">
        <v>44010</v>
      </c>
      <c r="J94" s="20">
        <v>159.95833333333334</v>
      </c>
      <c r="K94" s="20">
        <v>80.972916666666663</v>
      </c>
      <c r="L94" s="20">
        <v>23.975000000000009</v>
      </c>
      <c r="M94" s="20">
        <v>0</v>
      </c>
      <c r="N94" s="20">
        <v>232.75</v>
      </c>
      <c r="O94" s="20">
        <v>13.895833333333334</v>
      </c>
      <c r="P94" s="20">
        <v>2.7708333333333335</v>
      </c>
      <c r="Q94" s="20">
        <v>20.481249999999999</v>
      </c>
      <c r="R94" s="10">
        <v>0.58103213173891732</v>
      </c>
      <c r="S94" s="21">
        <v>0.43518750000000006</v>
      </c>
      <c r="T94" s="21">
        <v>0.53797916666666634</v>
      </c>
      <c r="U94" s="21">
        <v>0.59650000000000036</v>
      </c>
      <c r="V94" s="21">
        <v>0.60756250000000056</v>
      </c>
      <c r="W94" s="21">
        <v>0.61366666666666636</v>
      </c>
      <c r="X94" s="21">
        <v>0.47997916666666685</v>
      </c>
      <c r="Y94" s="21">
        <v>0.46995833333333331</v>
      </c>
      <c r="Z94" s="21">
        <v>0.40372916666666692</v>
      </c>
      <c r="AA94" s="21">
        <v>0.2508333333333333</v>
      </c>
      <c r="AB94" s="24">
        <f>AVERAGE(S94,W94)</f>
        <v>0.52442708333333321</v>
      </c>
      <c r="AC94" s="24">
        <f>AVERAGE(T94:V94,X94:Z94)</f>
        <v>0.51595138888888903</v>
      </c>
      <c r="AD94" s="24">
        <f t="shared" si="4"/>
        <v>0.51749242424242436</v>
      </c>
    </row>
    <row r="95" spans="1:30">
      <c r="A95" s="9">
        <v>44011</v>
      </c>
      <c r="B95" s="3">
        <v>814.9754650840664</v>
      </c>
      <c r="C95" s="3">
        <v>398.45306816146842</v>
      </c>
      <c r="D95" s="3">
        <v>374.77980273759908</v>
      </c>
      <c r="E95" s="3">
        <v>268.45990789511291</v>
      </c>
      <c r="F95" s="3">
        <v>333.59698278805877</v>
      </c>
      <c r="G95" s="3">
        <f>(B95-$B$2)/$B$1</f>
        <v>0.90777689816003471</v>
      </c>
      <c r="H95" s="3">
        <f>((C95-$C$2)/$C$1+(D95-$D$2)/$D$1+(E95-$E$2)/$E$1+(F95-$F$2)/$F$1)/4</f>
        <v>0.40769844780595799</v>
      </c>
      <c r="I95" s="19">
        <v>44011</v>
      </c>
      <c r="J95" s="20">
        <v>198.97916666666666</v>
      </c>
      <c r="K95" s="20">
        <v>79.670833333333334</v>
      </c>
      <c r="L95" s="20">
        <v>24.729166666666668</v>
      </c>
      <c r="M95" s="20">
        <v>0</v>
      </c>
      <c r="N95" s="20">
        <v>239.29166666666666</v>
      </c>
      <c r="O95" s="20">
        <v>10.020833333333334</v>
      </c>
      <c r="P95" s="20">
        <v>1.5833333333333333</v>
      </c>
      <c r="Q95" s="20">
        <v>20.870833333333334</v>
      </c>
      <c r="R95" s="10">
        <v>0.6786145018004559</v>
      </c>
      <c r="S95" s="21">
        <v>0.42435416666666687</v>
      </c>
      <c r="T95" s="21">
        <v>0.52987499999999976</v>
      </c>
      <c r="U95" s="21">
        <v>0.59085416666666679</v>
      </c>
      <c r="V95" s="21">
        <v>0.60385416666666658</v>
      </c>
      <c r="W95" s="21">
        <v>0.60520833333333335</v>
      </c>
      <c r="X95" s="21">
        <v>0.4705416666666668</v>
      </c>
      <c r="Y95" s="21">
        <v>0.46579166666666644</v>
      </c>
      <c r="Z95" s="21">
        <v>0.40052083333333321</v>
      </c>
      <c r="AA95" s="21">
        <v>0.23424999999999999</v>
      </c>
      <c r="AB95" s="24">
        <f>AVERAGE(S95,W95)</f>
        <v>0.51478125000000008</v>
      </c>
      <c r="AC95" s="24">
        <f>AVERAGE(T95:V95,X95:Z95)</f>
        <v>0.5102395833333333</v>
      </c>
      <c r="AD95" s="24">
        <f t="shared" si="4"/>
        <v>0.51106534090909095</v>
      </c>
    </row>
    <row r="96" spans="1:30">
      <c r="A96" s="9">
        <v>44015</v>
      </c>
      <c r="B96" s="3">
        <v>602.76139563028596</v>
      </c>
      <c r="C96" s="3">
        <v>509.89334067160513</v>
      </c>
      <c r="D96" s="3">
        <v>359.95482645092272</v>
      </c>
      <c r="E96" s="3">
        <v>346.08663800412762</v>
      </c>
      <c r="F96" s="3">
        <v>390.33140597224138</v>
      </c>
      <c r="G96" s="3">
        <f>(B96-$B$2)/$B$1</f>
        <v>0.66980184436730217</v>
      </c>
      <c r="H96" s="3">
        <f>((C96-$C$2)/$C$1+(D96-$D$2)/$D$1+(E96-$E$2)/$E$1+(F96-$F$2)/$F$1)/4</f>
        <v>0.48083955181617799</v>
      </c>
      <c r="I96" s="19">
        <v>44015</v>
      </c>
      <c r="J96" s="20">
        <v>171.91666666666666</v>
      </c>
      <c r="K96" s="20">
        <v>85.789583333333326</v>
      </c>
      <c r="L96" s="20">
        <v>22.737500000000008</v>
      </c>
      <c r="M96" s="20">
        <v>0.2</v>
      </c>
      <c r="N96" s="20">
        <v>244.5625</v>
      </c>
      <c r="O96" s="20">
        <v>3.8125</v>
      </c>
      <c r="P96" s="20">
        <v>0.5625</v>
      </c>
      <c r="Q96" s="20">
        <v>20.091666666666665</v>
      </c>
      <c r="R96" s="10">
        <v>0.45126961678542715</v>
      </c>
      <c r="S96" s="21">
        <v>0.46927083333333347</v>
      </c>
      <c r="T96" s="21">
        <v>0.55566666666666642</v>
      </c>
      <c r="U96" s="21">
        <v>0.60439583333333324</v>
      </c>
      <c r="V96" s="21">
        <v>0.61968749999999984</v>
      </c>
      <c r="W96" s="21">
        <v>0.62414583333333284</v>
      </c>
      <c r="X96" s="21">
        <v>0.50666666666666649</v>
      </c>
      <c r="Y96" s="21">
        <v>0.48270833333333346</v>
      </c>
      <c r="Z96" s="21">
        <v>0.41499999999999976</v>
      </c>
      <c r="AA96" s="21">
        <v>0.27489583333333339</v>
      </c>
      <c r="AB96" s="24">
        <f>AVERAGE(S96,W96)</f>
        <v>0.54670833333333313</v>
      </c>
      <c r="AC96" s="24">
        <f>AVERAGE(T96:V96,X96:Z96)</f>
        <v>0.53068749999999987</v>
      </c>
      <c r="AD96" s="24">
        <f t="shared" si="4"/>
        <v>0.53360037878787869</v>
      </c>
    </row>
    <row r="97" spans="1:30">
      <c r="A97" s="9">
        <v>44016</v>
      </c>
      <c r="B97" s="3">
        <v>730.89654982685738</v>
      </c>
      <c r="C97" s="3">
        <v>554.31890270988333</v>
      </c>
      <c r="D97" s="3">
        <v>407.87288505299966</v>
      </c>
      <c r="E97" s="3">
        <v>358.37768495265294</v>
      </c>
      <c r="F97" s="3">
        <v>405.56284721270941</v>
      </c>
      <c r="G97" s="3">
        <f>(B97-$B$2)/$B$1</f>
        <v>0.81349151721112101</v>
      </c>
      <c r="H97" s="3">
        <f>((C97-$C$2)/$C$1+(D97-$D$2)/$D$1+(E97-$E$2)/$E$1+(F97-$F$2)/$F$1)/4</f>
        <v>0.51624364595271777</v>
      </c>
      <c r="I97" s="19">
        <v>44016</v>
      </c>
      <c r="J97" s="20">
        <v>168.02083333333334</v>
      </c>
      <c r="K97" s="20">
        <v>81.38333333333334</v>
      </c>
      <c r="L97" s="20">
        <v>23.266666666666666</v>
      </c>
      <c r="M97" s="20">
        <v>0</v>
      </c>
      <c r="N97" s="20">
        <v>235.75</v>
      </c>
      <c r="O97" s="20">
        <v>12.020833333333334</v>
      </c>
      <c r="P97" s="20">
        <v>1.9583333333333333</v>
      </c>
      <c r="Q97" s="20">
        <v>19.814583333333335</v>
      </c>
      <c r="R97" s="10">
        <v>0.56396467312652476</v>
      </c>
      <c r="S97" s="21">
        <v>0.45516666666666672</v>
      </c>
      <c r="T97" s="21">
        <v>0.54658333333333375</v>
      </c>
      <c r="U97" s="21">
        <v>0.59914583333333327</v>
      </c>
      <c r="V97" s="21">
        <v>0.6146874999999995</v>
      </c>
      <c r="W97" s="21">
        <v>0.61629166666666635</v>
      </c>
      <c r="X97" s="21">
        <v>0.4956041666666664</v>
      </c>
      <c r="Y97" s="21">
        <v>0.47822916666666643</v>
      </c>
      <c r="Z97" s="21">
        <v>0.41041666666666687</v>
      </c>
      <c r="AA97" s="21">
        <v>0.25593750000000004</v>
      </c>
      <c r="AB97" s="24">
        <f>AVERAGE(S97,W97)</f>
        <v>0.53572916666666659</v>
      </c>
      <c r="AC97" s="24">
        <f>AVERAGE(T97:V97,X97:Z97)</f>
        <v>0.52411111111111108</v>
      </c>
      <c r="AD97" s="24">
        <f t="shared" si="4"/>
        <v>0.5262234848484848</v>
      </c>
    </row>
    <row r="98" spans="1:30">
      <c r="A98" s="9">
        <v>44018</v>
      </c>
      <c r="B98" s="3">
        <v>745.76936530437729</v>
      </c>
      <c r="C98" s="3">
        <v>426.15620411446434</v>
      </c>
      <c r="D98" s="3">
        <v>439.21765148789171</v>
      </c>
      <c r="E98" s="3">
        <v>353.88302046369722</v>
      </c>
      <c r="F98" s="3">
        <v>389.71154114170633</v>
      </c>
      <c r="G98" s="3">
        <f>(B98-$B$2)/$B$1</f>
        <v>0.83016976607757065</v>
      </c>
      <c r="H98" s="3">
        <f>((C98-$C$2)/$C$1+(D98-$D$2)/$D$1+(E98-$E$2)/$E$1+(F98-$F$2)/$F$1)/4</f>
        <v>0.4819712014508466</v>
      </c>
      <c r="I98" s="19">
        <v>44018</v>
      </c>
      <c r="J98" s="20">
        <v>239.75</v>
      </c>
      <c r="K98" s="20">
        <v>81.27916666666664</v>
      </c>
      <c r="L98" s="20">
        <v>24.408333333333335</v>
      </c>
      <c r="M98" s="20">
        <v>0</v>
      </c>
      <c r="N98" s="20">
        <v>230.77083333333334</v>
      </c>
      <c r="O98" s="20">
        <v>13.458333333333334</v>
      </c>
      <c r="P98" s="20">
        <v>2.1875</v>
      </c>
      <c r="Q98" s="20">
        <v>20.891666666666669</v>
      </c>
      <c r="R98" s="10">
        <v>0.61266443819946625</v>
      </c>
      <c r="S98" s="21">
        <v>0.47335416666666669</v>
      </c>
      <c r="T98" s="21">
        <v>0.55795833333333333</v>
      </c>
      <c r="U98" s="21">
        <v>0.60495833333333315</v>
      </c>
      <c r="V98" s="21">
        <v>0.61410416666666634</v>
      </c>
      <c r="W98" s="21">
        <v>0.62283333333333324</v>
      </c>
      <c r="X98" s="21">
        <v>0.48202083333333373</v>
      </c>
      <c r="Y98" s="21">
        <v>0.46947916666666628</v>
      </c>
      <c r="Z98" s="21">
        <v>0.40466666666666645</v>
      </c>
      <c r="AA98" s="21">
        <v>0.27797916666666683</v>
      </c>
      <c r="AB98" s="24">
        <f>AVERAGE(S98,W98)</f>
        <v>0.54809374999999994</v>
      </c>
      <c r="AC98" s="24">
        <f>AVERAGE(T98:V98,X98:Z98)</f>
        <v>0.5221979166666666</v>
      </c>
      <c r="AD98" s="24">
        <f t="shared" si="4"/>
        <v>0.52690624999999991</v>
      </c>
    </row>
    <row r="99" spans="1:30">
      <c r="A99" s="9">
        <v>44019</v>
      </c>
      <c r="B99" s="3">
        <v>699.42877018698243</v>
      </c>
      <c r="C99" s="3">
        <v>387.78183093215785</v>
      </c>
      <c r="D99" s="3">
        <v>406.25600597580342</v>
      </c>
      <c r="E99" s="3">
        <v>308.32942672587126</v>
      </c>
      <c r="F99" s="3">
        <v>350.99401291896322</v>
      </c>
      <c r="G99" s="3">
        <f>(B99-$B$2)/$B$1</f>
        <v>0.77820381658028193</v>
      </c>
      <c r="H99" s="3">
        <f>((C99-$C$2)/$C$1+(D99-$D$2)/$D$1+(E99-$E$2)/$E$1+(F99-$F$2)/$F$1)/4</f>
        <v>0.4328028976288919</v>
      </c>
      <c r="I99" s="19">
        <v>44019</v>
      </c>
      <c r="J99" s="20">
        <v>179.8125</v>
      </c>
      <c r="K99" s="20">
        <v>81.268749999999997</v>
      </c>
      <c r="L99" s="20">
        <v>24.487500000000008</v>
      </c>
      <c r="M99" s="20">
        <v>0</v>
      </c>
      <c r="N99" s="20">
        <v>234.97916666666666</v>
      </c>
      <c r="O99" s="20">
        <v>14.583333333333334</v>
      </c>
      <c r="P99" s="20">
        <v>2.7916666666666665</v>
      </c>
      <c r="Q99" s="20">
        <v>21.010416666666668</v>
      </c>
      <c r="R99" s="10">
        <v>0.60092258282422339</v>
      </c>
      <c r="S99" s="21">
        <v>0.44831250000000011</v>
      </c>
      <c r="T99" s="21">
        <v>0.54385416666666686</v>
      </c>
      <c r="U99" s="21">
        <v>0.59764583333333354</v>
      </c>
      <c r="V99" s="21">
        <v>0.6114791666666668</v>
      </c>
      <c r="W99" s="21">
        <v>0.61197916666666663</v>
      </c>
      <c r="X99" s="21">
        <v>0.47543749999999974</v>
      </c>
      <c r="Y99" s="21">
        <v>0.46637499999999998</v>
      </c>
      <c r="Z99" s="21">
        <v>0.4018333333333331</v>
      </c>
      <c r="AA99" s="21">
        <v>0.24816666666666667</v>
      </c>
      <c r="AB99" s="24">
        <f>AVERAGE(S99,W99)</f>
        <v>0.53014583333333332</v>
      </c>
      <c r="AC99" s="24">
        <f>AVERAGE(T99:V99,X99:Z99)</f>
        <v>0.5161041666666667</v>
      </c>
      <c r="AD99" s="24">
        <f t="shared" si="4"/>
        <v>0.51865719696969703</v>
      </c>
    </row>
    <row r="100" spans="1:30">
      <c r="A100" s="9">
        <v>44022</v>
      </c>
      <c r="B100" s="3">
        <v>188.91457609217511</v>
      </c>
      <c r="C100" s="3">
        <v>181.11824922685238</v>
      </c>
      <c r="D100" s="3">
        <v>114.35746152793443</v>
      </c>
      <c r="E100" s="3">
        <v>139.00066001551284</v>
      </c>
      <c r="F100" s="3">
        <v>177.10061400623792</v>
      </c>
      <c r="G100" s="3">
        <f>(B100-$B$2)/$B$1</f>
        <v>0.20571753838784892</v>
      </c>
      <c r="H100" s="3">
        <f>((C100-$C$2)/$C$1+(D100-$D$2)/$D$1+(E100-$E$2)/$E$1+(F100-$F$2)/$F$1)/4</f>
        <v>0.17352229982365508</v>
      </c>
      <c r="I100" s="19">
        <v>44022</v>
      </c>
      <c r="J100" s="20">
        <v>98.145833333333329</v>
      </c>
      <c r="K100" s="20">
        <v>89.925000000000011</v>
      </c>
      <c r="L100" s="20">
        <v>22.287499999999998</v>
      </c>
      <c r="M100" s="20">
        <v>0.89999999999999991</v>
      </c>
      <c r="N100" s="20">
        <v>226.64583333333334</v>
      </c>
      <c r="O100" s="20">
        <v>8.0416666666666661</v>
      </c>
      <c r="P100" s="20">
        <v>0.70833333333333337</v>
      </c>
      <c r="Q100" s="20">
        <v>20.522916666666664</v>
      </c>
      <c r="R100" s="10">
        <v>0.27988866573543997</v>
      </c>
      <c r="S100" s="21">
        <v>0.48891666666666689</v>
      </c>
      <c r="T100" s="21">
        <v>0.56847916666666665</v>
      </c>
      <c r="U100" s="21">
        <v>0.61262499999999998</v>
      </c>
      <c r="V100" s="21">
        <v>0.62677083333333317</v>
      </c>
      <c r="W100" s="21">
        <v>0.63164583333333324</v>
      </c>
      <c r="X100" s="21">
        <v>0.51989583333333333</v>
      </c>
      <c r="Y100" s="21">
        <v>0.48604166666666665</v>
      </c>
      <c r="Z100" s="21">
        <v>0.41806250000000017</v>
      </c>
      <c r="AA100" s="21">
        <v>0.29068750000000004</v>
      </c>
      <c r="AB100" s="24">
        <f>AVERAGE(S100,W100)</f>
        <v>0.56028125000000006</v>
      </c>
      <c r="AC100" s="24">
        <f>AVERAGE(T100:V100,X100:Z100)</f>
        <v>0.53864583333333327</v>
      </c>
      <c r="AD100" s="24">
        <f t="shared" si="4"/>
        <v>0.54257954545454534</v>
      </c>
    </row>
    <row r="101" spans="1:30">
      <c r="A101" s="9">
        <v>44023</v>
      </c>
      <c r="B101" s="3">
        <v>482.17688252706392</v>
      </c>
      <c r="C101" s="3">
        <v>373.78482946613076</v>
      </c>
      <c r="D101" s="3">
        <v>259.36467093541631</v>
      </c>
      <c r="E101" s="3">
        <v>231.51862455223431</v>
      </c>
      <c r="F101" s="3">
        <v>305.00424622518165</v>
      </c>
      <c r="G101" s="3">
        <f>(B101-$B$2)/$B$1</f>
        <v>0.53457939626962958</v>
      </c>
      <c r="H101" s="3">
        <f>((C101-$C$2)/$C$1+(D101-$D$2)/$D$1+(E101-$E$2)/$E$1+(F101-$F$2)/$F$1)/4</f>
        <v>0.34602347446905418</v>
      </c>
      <c r="I101" s="19">
        <v>44023</v>
      </c>
      <c r="J101" s="20">
        <v>123.52083333333333</v>
      </c>
      <c r="K101" s="20">
        <v>85.88333333333334</v>
      </c>
      <c r="L101" s="20">
        <v>22.491666666666664</v>
      </c>
      <c r="M101" s="20">
        <v>0.4</v>
      </c>
      <c r="N101" s="20">
        <v>231</v>
      </c>
      <c r="O101" s="20">
        <v>13.229166666666666</v>
      </c>
      <c r="P101" s="20">
        <v>2.3333333333333335</v>
      </c>
      <c r="Q101" s="20">
        <v>19.989583333333336</v>
      </c>
      <c r="R101" s="10">
        <v>0.39204073573279724</v>
      </c>
      <c r="S101" s="21">
        <v>0.46835416666666657</v>
      </c>
      <c r="T101" s="21">
        <v>0.55604166666666643</v>
      </c>
      <c r="U101" s="21">
        <v>0.60550000000000015</v>
      </c>
      <c r="V101" s="21">
        <v>0.62041666666666639</v>
      </c>
      <c r="W101" s="21">
        <v>0.62356249999999969</v>
      </c>
      <c r="X101" s="21">
        <v>0.50941666666666696</v>
      </c>
      <c r="Y101" s="21">
        <v>0.48300000000000032</v>
      </c>
      <c r="Z101" s="21">
        <v>0.41520833333333357</v>
      </c>
      <c r="AA101" s="21">
        <v>0.26952083333333315</v>
      </c>
      <c r="AB101" s="24">
        <f>AVERAGE(S101,W101)</f>
        <v>0.5459583333333331</v>
      </c>
      <c r="AC101" s="24">
        <f>AVERAGE(T101:V101,X101:Z101)</f>
        <v>0.53159722222222228</v>
      </c>
      <c r="AD101" s="24">
        <f t="shared" si="4"/>
        <v>0.5342083333333334</v>
      </c>
    </row>
    <row r="102" spans="1:30">
      <c r="A102" s="9">
        <v>44026</v>
      </c>
      <c r="B102" s="3">
        <v>804.11076354215515</v>
      </c>
      <c r="C102" s="3">
        <v>427.84154364324701</v>
      </c>
      <c r="D102" s="3">
        <v>435.4372883289351</v>
      </c>
      <c r="E102" s="3">
        <v>334.9969668639356</v>
      </c>
      <c r="F102" s="3">
        <v>447.7036885817717</v>
      </c>
      <c r="G102" s="3">
        <f>(B102-$B$2)/$B$1</f>
        <v>0.89559331419440402</v>
      </c>
      <c r="H102" s="3">
        <f>((C102-$C$2)/$C$1+(D102-$D$2)/$D$1+(E102-$E$2)/$E$1+(F102-$F$2)/$F$1)/4</f>
        <v>0.49809738883186583</v>
      </c>
      <c r="I102" s="19">
        <v>44026</v>
      </c>
      <c r="J102" s="20">
        <v>225.97916666666666</v>
      </c>
      <c r="K102" s="20">
        <v>78.722916666666649</v>
      </c>
      <c r="L102" s="20">
        <v>23.77291666666666</v>
      </c>
      <c r="M102" s="20">
        <v>0</v>
      </c>
      <c r="N102" s="20">
        <v>238.3125</v>
      </c>
      <c r="O102" s="20">
        <v>12.125</v>
      </c>
      <c r="P102" s="20">
        <v>1.7708333333333333</v>
      </c>
      <c r="Q102" s="20">
        <v>19.747916666666665</v>
      </c>
      <c r="R102" s="10">
        <v>0.66749529574709843</v>
      </c>
      <c r="S102" s="21">
        <v>0.46872916666666659</v>
      </c>
      <c r="T102" s="21">
        <v>0.55352083333333357</v>
      </c>
      <c r="U102" s="21">
        <v>0.60352083333333373</v>
      </c>
      <c r="V102" s="21">
        <v>0.61912499999999981</v>
      </c>
      <c r="W102" s="21">
        <v>0.62210416666666613</v>
      </c>
      <c r="X102" s="21">
        <v>0.50193750000000015</v>
      </c>
      <c r="Y102" s="21">
        <v>0.47849999999999993</v>
      </c>
      <c r="Z102" s="21">
        <v>0.4116041666666666</v>
      </c>
      <c r="AA102" s="21">
        <v>0.26325000000000004</v>
      </c>
      <c r="AB102" s="24">
        <f>AVERAGE(S102,W102)</f>
        <v>0.54541666666666633</v>
      </c>
      <c r="AC102" s="24">
        <f>AVERAGE(T102:V102,X102:Z102)</f>
        <v>0.52803472222222225</v>
      </c>
      <c r="AD102" s="24">
        <f t="shared" si="4"/>
        <v>0.53119507575757563</v>
      </c>
    </row>
    <row r="103" spans="1:30">
      <c r="A103" s="9">
        <v>44027</v>
      </c>
      <c r="B103" s="3">
        <v>704.95115951700564</v>
      </c>
      <c r="C103" s="3">
        <v>430.67413896374978</v>
      </c>
      <c r="D103" s="3">
        <v>427.49470414575131</v>
      </c>
      <c r="E103" s="3">
        <v>330.79823051139186</v>
      </c>
      <c r="F103" s="3">
        <v>414.26812884118181</v>
      </c>
      <c r="G103" s="3">
        <f>(B103-$B$2)/$B$1</f>
        <v>0.78439657703796173</v>
      </c>
      <c r="H103" s="3">
        <f>((C103-$C$2)/$C$1+(D103-$D$2)/$D$1+(E103-$E$2)/$E$1+(F103-$F$2)/$F$1)/4</f>
        <v>0.48230253748950513</v>
      </c>
      <c r="I103" s="19">
        <v>44027</v>
      </c>
      <c r="J103" s="20">
        <v>178.64583333333334</v>
      </c>
      <c r="K103" s="20">
        <v>79.708333333333357</v>
      </c>
      <c r="L103" s="20">
        <v>23.952083333333338</v>
      </c>
      <c r="M103" s="20">
        <v>0</v>
      </c>
      <c r="N103" s="20">
        <v>235.52083333333334</v>
      </c>
      <c r="O103" s="20">
        <v>13.1875</v>
      </c>
      <c r="P103" s="20">
        <v>2.0625</v>
      </c>
      <c r="Q103" s="20">
        <v>20.147916666666664</v>
      </c>
      <c r="R103" s="10">
        <v>0.63393720076048399</v>
      </c>
      <c r="S103" s="21">
        <v>0.45252083333333354</v>
      </c>
      <c r="T103" s="21">
        <v>0.54314583333333355</v>
      </c>
      <c r="U103" s="21">
        <v>0.59781249999999986</v>
      </c>
      <c r="V103" s="21">
        <v>0.61427083333333277</v>
      </c>
      <c r="W103" s="21">
        <v>0.61306249999999995</v>
      </c>
      <c r="X103" s="21">
        <v>0.49045833333333366</v>
      </c>
      <c r="Y103" s="21">
        <v>0.47414583333333327</v>
      </c>
      <c r="Z103" s="21">
        <v>0.40814583333333321</v>
      </c>
      <c r="AA103" s="21">
        <v>0.24397916666666666</v>
      </c>
      <c r="AB103" s="24">
        <f>AVERAGE(S103,W103)</f>
        <v>0.53279166666666677</v>
      </c>
      <c r="AC103" s="24">
        <f>AVERAGE(T103:V103,X103:Z103)</f>
        <v>0.52132986111111101</v>
      </c>
      <c r="AD103" s="24">
        <f t="shared" si="4"/>
        <v>0.52341382575757567</v>
      </c>
    </row>
    <row r="104" spans="1:30">
      <c r="A104" s="9">
        <v>44028</v>
      </c>
      <c r="B104" s="3">
        <v>652.67090805847238</v>
      </c>
      <c r="C104" s="3">
        <v>400.22490606968353</v>
      </c>
      <c r="D104" s="3">
        <v>371.50338638737543</v>
      </c>
      <c r="E104" s="3">
        <v>280.2967691446637</v>
      </c>
      <c r="F104" s="3">
        <v>376.37743345602524</v>
      </c>
      <c r="G104" s="3">
        <f>(B104-$B$2)/$B$1</f>
        <v>0.72576994740324885</v>
      </c>
      <c r="H104" s="3">
        <f>((C104-$C$2)/$C$1+(D104-$D$2)/$D$1+(E104-$E$2)/$E$1+(F104-$F$2)/$F$1)/4</f>
        <v>0.42768569573454951</v>
      </c>
      <c r="I104" s="19">
        <v>44028</v>
      </c>
      <c r="J104" s="20">
        <v>174.875</v>
      </c>
      <c r="K104" s="20">
        <v>79.539583333333326</v>
      </c>
      <c r="L104" s="20">
        <v>24.324999999999992</v>
      </c>
      <c r="M104" s="20">
        <v>0</v>
      </c>
      <c r="N104" s="20">
        <v>232.47916666666666</v>
      </c>
      <c r="O104" s="20">
        <v>16.6875</v>
      </c>
      <c r="P104" s="20">
        <v>3.4791666666666665</v>
      </c>
      <c r="Q104" s="20">
        <v>20.493750000000002</v>
      </c>
      <c r="R104" s="10">
        <v>0.64899537056313794</v>
      </c>
      <c r="S104" s="21">
        <v>0.4384791666666667</v>
      </c>
      <c r="T104" s="21">
        <v>0.53470833333333323</v>
      </c>
      <c r="U104" s="21">
        <v>0.59160416666666693</v>
      </c>
      <c r="V104" s="21">
        <v>0.61025000000000029</v>
      </c>
      <c r="W104" s="21">
        <v>0.6036041666666665</v>
      </c>
      <c r="X104" s="21">
        <v>0.4788958333333333</v>
      </c>
      <c r="Y104" s="21">
        <v>0.46883333333333327</v>
      </c>
      <c r="Z104" s="21">
        <v>0.40447916666666678</v>
      </c>
      <c r="AA104" s="21">
        <v>0.22793750000000002</v>
      </c>
      <c r="AB104" s="24">
        <f>AVERAGE(S104,W104)</f>
        <v>0.52104166666666663</v>
      </c>
      <c r="AC104" s="24">
        <f>AVERAGE(T104:V104,X104:Z104)</f>
        <v>0.51479513888888895</v>
      </c>
      <c r="AD104" s="24">
        <f t="shared" si="4"/>
        <v>0.51593087121212122</v>
      </c>
    </row>
    <row r="105" spans="1:30">
      <c r="A105" s="9">
        <v>44030</v>
      </c>
      <c r="B105" s="3">
        <v>554.30380821701397</v>
      </c>
      <c r="C105" s="3">
        <v>256.74189757543644</v>
      </c>
      <c r="D105" s="3">
        <v>271.64677536858085</v>
      </c>
      <c r="E105" s="3">
        <v>305.26756702805915</v>
      </c>
      <c r="F105" s="3">
        <v>276.96719020345671</v>
      </c>
      <c r="G105" s="3">
        <f>(B105-$B$2)/$B$1</f>
        <v>0.61546191770258585</v>
      </c>
      <c r="H105" s="3">
        <f>((C105-$C$2)/$C$1+(D105-$D$2)/$D$1+(E105-$E$2)/$E$1+(F105-$F$2)/$F$1)/4</f>
        <v>0.32929740940236896</v>
      </c>
      <c r="I105" s="19">
        <v>44030</v>
      </c>
      <c r="J105" s="20">
        <v>182.35416666666666</v>
      </c>
      <c r="K105" s="20">
        <v>81.950000000000017</v>
      </c>
      <c r="L105" s="20">
        <v>23.356250000000006</v>
      </c>
      <c r="M105" s="20">
        <v>1.7</v>
      </c>
      <c r="N105" s="20">
        <v>235.72916666666666</v>
      </c>
      <c r="O105" s="20">
        <v>11.645833333333334</v>
      </c>
      <c r="P105" s="20">
        <v>1.2291666666666667</v>
      </c>
      <c r="Q105" s="20">
        <v>20.025000000000002</v>
      </c>
      <c r="R105" s="10">
        <v>0.54615648517103221</v>
      </c>
      <c r="S105" s="21">
        <v>0.4056041666666666</v>
      </c>
      <c r="T105" s="21">
        <v>0.51831249999999995</v>
      </c>
      <c r="U105" s="21">
        <v>0.5775625000000002</v>
      </c>
      <c r="V105" s="21">
        <v>0.60068749999999993</v>
      </c>
      <c r="W105" s="21">
        <v>0.57783333333333364</v>
      </c>
      <c r="X105" s="21">
        <v>0.45641666666666697</v>
      </c>
      <c r="Y105" s="21">
        <v>0.45579166666666676</v>
      </c>
      <c r="Z105" s="21">
        <v>0.39549999999999996</v>
      </c>
      <c r="AA105" s="21">
        <v>0.2246666666666666</v>
      </c>
      <c r="AB105" s="24">
        <f>AVERAGE(S105,W105)</f>
        <v>0.49171875000000009</v>
      </c>
      <c r="AC105" s="24">
        <f>AVERAGE(T105:V105,X105:Z105)</f>
        <v>0.50071180555555561</v>
      </c>
      <c r="AD105" s="24">
        <f t="shared" si="4"/>
        <v>0.49907670454545461</v>
      </c>
    </row>
    <row r="106" spans="1:30">
      <c r="A106" s="9">
        <v>44033</v>
      </c>
      <c r="B106" s="3">
        <v>454.29229475281761</v>
      </c>
      <c r="C106" s="3">
        <v>213.08490399687963</v>
      </c>
      <c r="D106" s="3">
        <v>299.22300182453574</v>
      </c>
      <c r="E106" s="3">
        <v>236.69116778092985</v>
      </c>
      <c r="F106" s="3">
        <v>252.45289530568675</v>
      </c>
      <c r="G106" s="3">
        <f>(B106-$B$2)/$B$1</f>
        <v>0.50330985654191751</v>
      </c>
      <c r="H106" s="3">
        <f>((C106-$C$2)/$C$1+(D106-$D$2)/$D$1+(E106-$E$2)/$E$1+(F106-$F$2)/$F$1)/4</f>
        <v>0.29384037601017921</v>
      </c>
      <c r="I106" s="19">
        <v>44033</v>
      </c>
      <c r="J106" s="20">
        <v>119.89583333333333</v>
      </c>
      <c r="K106" s="20">
        <v>86.422916666666694</v>
      </c>
      <c r="L106" s="20">
        <v>21.704166666666669</v>
      </c>
      <c r="M106" s="20">
        <v>0.2</v>
      </c>
      <c r="N106" s="20">
        <v>229.66666666666666</v>
      </c>
      <c r="O106" s="20">
        <v>19.1875</v>
      </c>
      <c r="P106" s="20">
        <v>3.7916666666666665</v>
      </c>
      <c r="Q106" s="20">
        <v>19.318749999999998</v>
      </c>
      <c r="R106" s="10">
        <v>0.3625778638346398</v>
      </c>
      <c r="S106" s="21">
        <v>0.48729166666666662</v>
      </c>
      <c r="T106" s="21">
        <v>0.56439583333333332</v>
      </c>
      <c r="U106" s="21">
        <v>0.60802083333333368</v>
      </c>
      <c r="V106" s="21">
        <v>0.62806249999999997</v>
      </c>
      <c r="W106" s="21">
        <v>0.62752083333333331</v>
      </c>
      <c r="X106" s="21">
        <v>0.52197916666666688</v>
      </c>
      <c r="Y106" s="21">
        <v>0.48631250000000054</v>
      </c>
      <c r="Z106" s="21">
        <v>0.41881250000000003</v>
      </c>
      <c r="AA106" s="21">
        <v>0.29033333333333339</v>
      </c>
      <c r="AB106" s="24">
        <f>AVERAGE(S106,W106)</f>
        <v>0.55740624999999999</v>
      </c>
      <c r="AC106" s="24">
        <f>AVERAGE(T106:V106,X106:Z106)</f>
        <v>0.53793055555555569</v>
      </c>
      <c r="AD106" s="24">
        <f t="shared" si="4"/>
        <v>0.54147159090909103</v>
      </c>
    </row>
    <row r="107" spans="1:30">
      <c r="A107" s="9">
        <v>44034</v>
      </c>
      <c r="B107" s="3">
        <v>702.27783565280322</v>
      </c>
      <c r="C107" s="3">
        <v>293.00340544039301</v>
      </c>
      <c r="D107" s="3">
        <v>428.9789408469303</v>
      </c>
      <c r="E107" s="3">
        <v>275.9632592221821</v>
      </c>
      <c r="F107" s="3">
        <v>364.09352579054712</v>
      </c>
      <c r="G107" s="3">
        <f>(B107-$B$2)/$B$1</f>
        <v>0.78139873437829999</v>
      </c>
      <c r="H107" s="3">
        <f>((C107-$C$2)/$C$1+(D107-$D$2)/$D$1+(E107-$E$2)/$E$1+(F107-$F$2)/$F$1)/4</f>
        <v>0.40791171493711809</v>
      </c>
      <c r="I107" s="19">
        <v>44034</v>
      </c>
      <c r="J107" s="20">
        <v>164.70833333333334</v>
      </c>
      <c r="K107" s="20">
        <v>82.768750000000026</v>
      </c>
      <c r="L107" s="20">
        <v>22.395833333333332</v>
      </c>
      <c r="M107" s="20">
        <v>0</v>
      </c>
      <c r="N107" s="20">
        <v>231.41666666666666</v>
      </c>
      <c r="O107" s="20">
        <v>19.125</v>
      </c>
      <c r="P107" s="20">
        <v>3.9791666666666665</v>
      </c>
      <c r="Q107" s="20">
        <v>19.289583333333333</v>
      </c>
      <c r="R107" s="10">
        <v>0.47944696431909378</v>
      </c>
      <c r="S107" s="21">
        <v>0.46308333333333329</v>
      </c>
      <c r="T107" s="21">
        <v>0.55031250000000009</v>
      </c>
      <c r="U107" s="21">
        <v>0.60002083333333345</v>
      </c>
      <c r="V107" s="21">
        <v>0.6169791666666663</v>
      </c>
      <c r="W107" s="21">
        <v>0.61760416666666629</v>
      </c>
      <c r="X107" s="21">
        <v>0.50385416666666671</v>
      </c>
      <c r="Y107" s="21">
        <v>0.48112500000000019</v>
      </c>
      <c r="Z107" s="21">
        <v>0.41399999999999976</v>
      </c>
      <c r="AA107" s="21">
        <v>0.2644375000000001</v>
      </c>
      <c r="AB107" s="24">
        <f>AVERAGE(S107,W107)</f>
        <v>0.54034374999999979</v>
      </c>
      <c r="AC107" s="24">
        <f>AVERAGE(T107:V107,X107:Z107)</f>
        <v>0.52771527777777771</v>
      </c>
      <c r="AD107" s="24">
        <f t="shared" si="4"/>
        <v>0.53001136363636359</v>
      </c>
    </row>
    <row r="108" spans="1:30">
      <c r="A108" s="9">
        <v>44035</v>
      </c>
      <c r="B108" s="3">
        <v>888.58749752899848</v>
      </c>
      <c r="C108" s="3">
        <v>417.62997154237399</v>
      </c>
      <c r="D108" s="3">
        <v>570.73992876035663</v>
      </c>
      <c r="E108" s="3">
        <v>318.77275101318389</v>
      </c>
      <c r="F108" s="3">
        <v>477.05836783841067</v>
      </c>
      <c r="G108" s="3">
        <f>(B108-$B$2)/$B$1</f>
        <v>0.99032480568550818</v>
      </c>
      <c r="H108" s="3">
        <f>((C108-$C$2)/$C$1+(D108-$D$2)/$D$1+(E108-$E$2)/$E$1+(F108-$F$2)/$F$1)/4</f>
        <v>0.53929826416317606</v>
      </c>
      <c r="I108" s="19">
        <v>44035</v>
      </c>
      <c r="J108" s="20">
        <v>239.64583333333334</v>
      </c>
      <c r="K108" s="20">
        <v>78.34999999999998</v>
      </c>
      <c r="L108" s="20">
        <v>23.974999999999998</v>
      </c>
      <c r="M108" s="20">
        <v>0</v>
      </c>
      <c r="N108" s="20">
        <v>232.27083333333334</v>
      </c>
      <c r="O108" s="20">
        <v>18.333333333333332</v>
      </c>
      <c r="P108" s="20">
        <v>3.875</v>
      </c>
      <c r="Q108" s="20">
        <v>19.862500000000004</v>
      </c>
      <c r="R108" s="10">
        <v>0.69277424931038434</v>
      </c>
      <c r="S108" s="21">
        <v>0.44787500000000002</v>
      </c>
      <c r="T108" s="21">
        <v>0.54052083333333367</v>
      </c>
      <c r="U108" s="21">
        <v>0.5936458333333331</v>
      </c>
      <c r="V108" s="21">
        <v>0.6124583333333331</v>
      </c>
      <c r="W108" s="21">
        <v>0.60962500000000042</v>
      </c>
      <c r="X108" s="21">
        <v>0.49197916666666702</v>
      </c>
      <c r="Y108" s="21">
        <v>0.47549999999999998</v>
      </c>
      <c r="Z108" s="21">
        <v>0.40989583333333329</v>
      </c>
      <c r="AA108" s="21">
        <v>0.24500000000000008</v>
      </c>
      <c r="AB108" s="24">
        <f>AVERAGE(S108,W108)</f>
        <v>0.52875000000000028</v>
      </c>
      <c r="AC108" s="24">
        <f>AVERAGE(T108:V108,X108:Z108)</f>
        <v>0.52066666666666661</v>
      </c>
      <c r="AD108" s="24">
        <f t="shared" si="4"/>
        <v>0.52213636363636362</v>
      </c>
    </row>
    <row r="109" spans="1:30">
      <c r="A109" s="9">
        <v>44036</v>
      </c>
      <c r="B109" s="3">
        <v>856.61768955996365</v>
      </c>
      <c r="C109" s="3">
        <v>408.89226343539036</v>
      </c>
      <c r="D109" s="3">
        <v>485.65135785721787</v>
      </c>
      <c r="E109" s="3">
        <v>320.88457679325944</v>
      </c>
      <c r="F109" s="3">
        <v>426.49261939186721</v>
      </c>
      <c r="G109" s="3">
        <f>(B109-$B$2)/$B$1</f>
        <v>0.9544741347532899</v>
      </c>
      <c r="H109" s="3">
        <f>((C109-$C$2)/$C$1+(D109-$D$2)/$D$1+(E109-$E$2)/$E$1+(F109-$F$2)/$F$1)/4</f>
        <v>0.49413258783737035</v>
      </c>
      <c r="I109" s="19">
        <v>44036</v>
      </c>
      <c r="J109" s="20">
        <v>257.3125</v>
      </c>
      <c r="K109" s="20">
        <v>77.970833333333346</v>
      </c>
      <c r="L109" s="20">
        <v>24.731250000000003</v>
      </c>
      <c r="M109" s="20">
        <v>0</v>
      </c>
      <c r="N109" s="20">
        <v>234.64583333333334</v>
      </c>
      <c r="O109" s="20">
        <v>15.645833333333334</v>
      </c>
      <c r="P109" s="20">
        <v>2.9166666666666665</v>
      </c>
      <c r="Q109" s="20">
        <v>20.512500000000003</v>
      </c>
      <c r="R109" s="10">
        <v>0.73631827289622664</v>
      </c>
      <c r="S109" s="21">
        <v>0.43020833333333347</v>
      </c>
      <c r="T109" s="21">
        <v>0.53074999999999972</v>
      </c>
      <c r="U109" s="21">
        <v>0.58577083333333291</v>
      </c>
      <c r="V109" s="21">
        <v>0.60758333333333336</v>
      </c>
      <c r="W109" s="21">
        <v>0.59870833333333329</v>
      </c>
      <c r="X109" s="21">
        <v>0.47729166666666645</v>
      </c>
      <c r="Y109" s="21">
        <v>0.46781249999999991</v>
      </c>
      <c r="Z109" s="21">
        <v>0.40491666666666676</v>
      </c>
      <c r="AA109" s="21">
        <v>0.22208333333333338</v>
      </c>
      <c r="AB109" s="24">
        <f>AVERAGE(S109,W109)</f>
        <v>0.51445833333333335</v>
      </c>
      <c r="AC109" s="24">
        <f>AVERAGE(T109:V109,X109:Z109)</f>
        <v>0.51235416666666656</v>
      </c>
      <c r="AD109" s="24">
        <f t="shared" si="4"/>
        <v>0.51273674242424239</v>
      </c>
    </row>
    <row r="110" spans="1:30">
      <c r="A110" s="9">
        <v>44037</v>
      </c>
      <c r="B110" s="3">
        <v>743.97952249720322</v>
      </c>
      <c r="C110" s="3">
        <v>293.91697450477386</v>
      </c>
      <c r="D110" s="3">
        <v>356.15809503094647</v>
      </c>
      <c r="E110" s="3">
        <v>302.99943618469274</v>
      </c>
      <c r="F110" s="3">
        <v>366.76405934830245</v>
      </c>
      <c r="G110" s="3">
        <f>(B110-$B$2)/$B$1</f>
        <v>0.82816265156619961</v>
      </c>
      <c r="H110" s="3">
        <f>((C110-$C$2)/$C$1+(D110-$D$2)/$D$1+(E110-$E$2)/$E$1+(F110-$F$2)/$F$1)/4</f>
        <v>0.39742023430329931</v>
      </c>
      <c r="I110" s="19">
        <v>44037</v>
      </c>
      <c r="J110" s="20">
        <v>204.35416666666666</v>
      </c>
      <c r="K110" s="20">
        <v>79.060416666666654</v>
      </c>
      <c r="L110" s="20">
        <v>24.997916666666665</v>
      </c>
      <c r="M110" s="20">
        <v>0</v>
      </c>
      <c r="N110" s="20">
        <v>232.20833333333334</v>
      </c>
      <c r="O110" s="20">
        <v>11.770833333333334</v>
      </c>
      <c r="P110" s="20">
        <v>2</v>
      </c>
      <c r="Q110" s="20">
        <v>21.008333333333333</v>
      </c>
      <c r="R110" s="10">
        <v>0.711602201324954</v>
      </c>
      <c r="S110" s="21">
        <v>0.40806249999999972</v>
      </c>
      <c r="T110" s="21">
        <v>0.52091666666666681</v>
      </c>
      <c r="U110" s="21">
        <v>0.57620833333333343</v>
      </c>
      <c r="V110" s="21">
        <v>0.60212500000000002</v>
      </c>
      <c r="W110" s="21">
        <v>0.58347916666666655</v>
      </c>
      <c r="X110" s="21">
        <v>0.46054166666666685</v>
      </c>
      <c r="Y110" s="21">
        <v>0.45835416666666701</v>
      </c>
      <c r="Z110" s="21">
        <v>0.39845833333333308</v>
      </c>
      <c r="AA110" s="21">
        <v>0.19620833333333329</v>
      </c>
      <c r="AB110" s="24">
        <f>AVERAGE(S110,W110)</f>
        <v>0.49577083333333316</v>
      </c>
      <c r="AC110" s="24">
        <f>AVERAGE(T110:V110,X110:Z110)</f>
        <v>0.5027673611111112</v>
      </c>
      <c r="AD110" s="24">
        <f t="shared" si="4"/>
        <v>0.50149526515151521</v>
      </c>
    </row>
    <row r="111" spans="1:30">
      <c r="A111" s="9">
        <v>44039</v>
      </c>
      <c r="B111" s="3">
        <v>779.75839480063769</v>
      </c>
      <c r="C111" s="3">
        <v>523.07829429143032</v>
      </c>
      <c r="D111" s="3">
        <v>592.75022607206438</v>
      </c>
      <c r="E111" s="3">
        <v>352.81035419614574</v>
      </c>
      <c r="F111" s="3">
        <v>432.82765577199973</v>
      </c>
      <c r="G111" s="3">
        <f>(B111-$B$2)/$B$1</f>
        <v>0.86828477486824374</v>
      </c>
      <c r="H111" s="3">
        <f>((C111-$C$2)/$C$1+(D111-$D$2)/$D$1+(E111-$E$2)/$E$1+(F111-$F$2)/$F$1)/4</f>
        <v>0.56795789397097285</v>
      </c>
      <c r="I111" s="19">
        <v>44039</v>
      </c>
      <c r="J111" s="20">
        <v>291.97916666666669</v>
      </c>
      <c r="K111" s="20">
        <v>69.70208333333332</v>
      </c>
      <c r="L111" s="20">
        <v>23.341666666666665</v>
      </c>
      <c r="M111" s="20">
        <v>0</v>
      </c>
      <c r="N111" s="20">
        <v>177.97916666666666</v>
      </c>
      <c r="O111" s="20">
        <v>3.8125</v>
      </c>
      <c r="P111" s="20">
        <v>0.125</v>
      </c>
      <c r="Q111" s="20">
        <v>16.712499999999995</v>
      </c>
      <c r="R111" s="10">
        <v>1.1070419800310576</v>
      </c>
      <c r="S111" s="21">
        <v>0.37743750000000009</v>
      </c>
      <c r="T111" s="21">
        <v>0.50489583333333343</v>
      </c>
      <c r="U111" s="21">
        <v>0.56310416666666663</v>
      </c>
      <c r="V111" s="21">
        <v>0.59020833333333289</v>
      </c>
      <c r="W111" s="21">
        <v>0.55887499999999968</v>
      </c>
      <c r="X111" s="21">
        <v>0.44131250000000005</v>
      </c>
      <c r="Y111" s="21">
        <v>0.44591666666666668</v>
      </c>
      <c r="Z111" s="21">
        <v>0.38895833333333329</v>
      </c>
      <c r="AA111" s="21">
        <v>0.21954166666666677</v>
      </c>
      <c r="AB111" s="24">
        <f>AVERAGE(S111,W111)</f>
        <v>0.46815624999999988</v>
      </c>
      <c r="AC111" s="24">
        <f>AVERAGE(T111:V111,X111:Z111)</f>
        <v>0.4890659722222222</v>
      </c>
      <c r="AD111" s="24">
        <f t="shared" si="4"/>
        <v>0.48526420454545449</v>
      </c>
    </row>
    <row r="112" spans="1:30">
      <c r="A112" s="9">
        <v>44040</v>
      </c>
      <c r="B112" s="3">
        <v>836.15506082313743</v>
      </c>
      <c r="C112" s="3">
        <v>404.85203558394488</v>
      </c>
      <c r="D112" s="3">
        <v>600.95322848669468</v>
      </c>
      <c r="E112" s="3">
        <v>372.74676694484378</v>
      </c>
      <c r="F112" s="3">
        <v>384.6535803433589</v>
      </c>
      <c r="G112" s="3">
        <f>(B112-$B$2)/$B$1</f>
        <v>0.93152751680792556</v>
      </c>
      <c r="H112" s="3">
        <f>((C112-$C$2)/$C$1+(D112-$D$2)/$D$1+(E112-$E$2)/$E$1+(F112-$F$2)/$F$1)/4</f>
        <v>0.525035332891988</v>
      </c>
      <c r="I112" s="19">
        <v>44040</v>
      </c>
      <c r="J112" s="20">
        <v>274.85416666666669</v>
      </c>
      <c r="K112" s="20">
        <v>67.783333333333317</v>
      </c>
      <c r="L112" s="20">
        <v>23.958333333333332</v>
      </c>
      <c r="M112" s="20">
        <v>0</v>
      </c>
      <c r="N112" s="20">
        <v>226.02083333333334</v>
      </c>
      <c r="O112" s="20">
        <v>2.0833333333333335</v>
      </c>
      <c r="P112" s="20">
        <v>0</v>
      </c>
      <c r="Q112" s="20">
        <v>17.202083333333334</v>
      </c>
      <c r="R112" s="10">
        <v>1.1201982685885747</v>
      </c>
      <c r="S112" s="21">
        <v>0.35004166666666675</v>
      </c>
      <c r="T112" s="21">
        <v>0.48720833333333341</v>
      </c>
      <c r="U112" s="21">
        <v>0.54906250000000023</v>
      </c>
      <c r="V112" s="21">
        <v>0.57520833333333332</v>
      </c>
      <c r="W112" s="21">
        <v>0.5393958333333333</v>
      </c>
      <c r="X112" s="21">
        <v>0.42197916666666674</v>
      </c>
      <c r="Y112" s="21">
        <v>0.43043750000000019</v>
      </c>
      <c r="Z112" s="21">
        <v>0.37866666666666665</v>
      </c>
      <c r="AA112" s="21">
        <v>0.18804166666666666</v>
      </c>
      <c r="AB112" s="24">
        <f>AVERAGE(S112,W112)</f>
        <v>0.44471875000000005</v>
      </c>
      <c r="AC112" s="24">
        <f>AVERAGE(T112:V112,X112:Z112)</f>
        <v>0.47376041666666674</v>
      </c>
      <c r="AD112" s="24">
        <f t="shared" si="4"/>
        <v>0.46848011363636372</v>
      </c>
    </row>
    <row r="113" spans="1:30">
      <c r="A113" s="9">
        <v>44041</v>
      </c>
      <c r="B113" s="3">
        <v>816.12395340107423</v>
      </c>
      <c r="C113" s="3">
        <v>421.59848984340607</v>
      </c>
      <c r="D113" s="3">
        <v>530.24786180437866</v>
      </c>
      <c r="E113" s="3">
        <v>388.00052261243087</v>
      </c>
      <c r="F113" s="3">
        <v>344.38991758173449</v>
      </c>
      <c r="G113" s="3">
        <f>(B113-$B$2)/$B$1</f>
        <v>0.90906480319726313</v>
      </c>
      <c r="H113" s="3">
        <f>((C113-$C$2)/$C$1+(D113-$D$2)/$D$1+(E113-$E$2)/$E$1+(F113-$F$2)/$F$1)/4</f>
        <v>0.49905302766518334</v>
      </c>
      <c r="I113" s="19">
        <v>44041</v>
      </c>
      <c r="J113" s="20">
        <v>257.33333333333331</v>
      </c>
      <c r="K113" s="20">
        <v>72.814583333333346</v>
      </c>
      <c r="L113" s="20">
        <v>24.068749999999994</v>
      </c>
      <c r="M113" s="20">
        <v>0</v>
      </c>
      <c r="N113" s="20">
        <v>213.375</v>
      </c>
      <c r="O113" s="20">
        <v>5.5</v>
      </c>
      <c r="P113" s="20">
        <v>0.27083333333333331</v>
      </c>
      <c r="Q113" s="20">
        <v>18.568750000000005</v>
      </c>
      <c r="R113" s="10">
        <v>0.92438723048514182</v>
      </c>
      <c r="S113" s="21">
        <v>0.32508333333333328</v>
      </c>
      <c r="T113" s="21">
        <v>0.46712499999999985</v>
      </c>
      <c r="U113" s="21">
        <v>0.53406249999999977</v>
      </c>
      <c r="V113" s="21">
        <v>0.5570624999999999</v>
      </c>
      <c r="W113" s="21">
        <v>0.5187291666666668</v>
      </c>
      <c r="X113" s="21">
        <v>0.40320833333333339</v>
      </c>
      <c r="Y113" s="21">
        <v>0.41239583333333329</v>
      </c>
      <c r="Z113" s="21">
        <v>0.36662500000000015</v>
      </c>
      <c r="AA113" s="21">
        <v>0.16160416666666663</v>
      </c>
      <c r="AB113" s="24">
        <f>AVERAGE(S113,W113)</f>
        <v>0.42190625000000004</v>
      </c>
      <c r="AC113" s="24">
        <f>AVERAGE(T113:V113,X113:Z113)</f>
        <v>0.45674652777777774</v>
      </c>
      <c r="AD113" s="24">
        <f t="shared" si="4"/>
        <v>0.45041193181818179</v>
      </c>
    </row>
    <row r="114" spans="1:30">
      <c r="A114" s="9">
        <v>44042</v>
      </c>
      <c r="B114" s="3">
        <v>785.61257919988236</v>
      </c>
      <c r="C114" s="3">
        <v>422.65420820298408</v>
      </c>
      <c r="D114" s="3">
        <v>500.41593502753193</v>
      </c>
      <c r="E114" s="3">
        <v>391.98893022435777</v>
      </c>
      <c r="F114" s="3">
        <v>266.52455640036612</v>
      </c>
      <c r="G114" s="3">
        <f>(B114-$B$2)/$B$1</f>
        <v>0.87484960749648877</v>
      </c>
      <c r="H114" s="3">
        <f>((C114-$C$2)/$C$1+(D114-$D$2)/$D$1+(E114-$E$2)/$E$1+(F114-$F$2)/$F$1)/4</f>
        <v>0.46190197804307181</v>
      </c>
      <c r="I114" s="19">
        <v>44042</v>
      </c>
      <c r="J114" s="20">
        <v>259.125</v>
      </c>
      <c r="K114" s="20">
        <v>73.983333333333306</v>
      </c>
      <c r="L114" s="20">
        <v>24.527083333333337</v>
      </c>
      <c r="M114" s="20">
        <v>0</v>
      </c>
      <c r="N114" s="20">
        <v>237.45833333333334</v>
      </c>
      <c r="O114" s="20">
        <v>7.666666666666667</v>
      </c>
      <c r="P114" s="20">
        <v>0.39583333333333331</v>
      </c>
      <c r="Q114" s="20">
        <v>19.283333333333324</v>
      </c>
      <c r="R114" s="10">
        <v>0.8969768416974605</v>
      </c>
      <c r="S114" s="21">
        <v>0.30266666666666664</v>
      </c>
      <c r="T114" s="21">
        <v>0.44585416666666666</v>
      </c>
      <c r="U114" s="21">
        <v>0.51883333333333359</v>
      </c>
      <c r="V114" s="21">
        <v>0.5368124999999998</v>
      </c>
      <c r="W114" s="21">
        <v>0.49964583333333329</v>
      </c>
      <c r="X114" s="21">
        <v>0.38585416666666655</v>
      </c>
      <c r="Y114" s="21">
        <v>0.39462500000000023</v>
      </c>
      <c r="Z114" s="21">
        <v>0.35416666666666669</v>
      </c>
      <c r="AA114" s="21">
        <v>0.14449999999999996</v>
      </c>
      <c r="AB114" s="24">
        <f>AVERAGE(S114,W114)</f>
        <v>0.40115624999999999</v>
      </c>
      <c r="AC114" s="24">
        <f>AVERAGE(T114:V114,X114:Z114)</f>
        <v>0.4393576388888889</v>
      </c>
      <c r="AD114" s="24">
        <f t="shared" si="4"/>
        <v>0.43241193181818188</v>
      </c>
    </row>
    <row r="115" spans="1:30">
      <c r="A115" s="9">
        <v>44043</v>
      </c>
      <c r="B115" s="3">
        <v>706.20491742749005</v>
      </c>
      <c r="C115" s="3">
        <v>435.97569370127894</v>
      </c>
      <c r="D115" s="3">
        <v>440.27000597063807</v>
      </c>
      <c r="E115" s="3">
        <v>376.50882315255154</v>
      </c>
      <c r="F115" s="3">
        <v>243.24186202052363</v>
      </c>
      <c r="G115" s="3">
        <f>(B115-$B$2)/$B$1</f>
        <v>0.78580253050258619</v>
      </c>
      <c r="H115" s="3">
        <f>((C115-$C$2)/$C$1+(D115-$D$2)/$D$1+(E115-$E$2)/$E$1+(F115-$F$2)/$F$1)/4</f>
        <v>0.43490233793898203</v>
      </c>
      <c r="I115" s="19">
        <v>44043</v>
      </c>
      <c r="J115" s="20">
        <v>214.41666666666666</v>
      </c>
      <c r="K115" s="20">
        <v>75.560416666666654</v>
      </c>
      <c r="L115" s="20">
        <v>24.518749999999997</v>
      </c>
      <c r="M115" s="20">
        <v>0</v>
      </c>
      <c r="N115" s="20">
        <v>228.10416666666666</v>
      </c>
      <c r="O115" s="20">
        <v>6.354166666666667</v>
      </c>
      <c r="P115" s="20">
        <v>0.39583333333333331</v>
      </c>
      <c r="Q115" s="20">
        <v>19.654166666666665</v>
      </c>
      <c r="R115" s="10">
        <v>0.84287571545245532</v>
      </c>
      <c r="S115" s="21">
        <v>0.28612499999999996</v>
      </c>
      <c r="T115" s="21">
        <v>0.42543749999999986</v>
      </c>
      <c r="U115" s="21">
        <v>0.50433333333333319</v>
      </c>
      <c r="V115" s="21">
        <v>0.51756250000000004</v>
      </c>
      <c r="W115" s="21">
        <v>0.48339583333333341</v>
      </c>
      <c r="X115" s="21">
        <v>0.37158333333333315</v>
      </c>
      <c r="Y115" s="21">
        <v>0.38031250000000005</v>
      </c>
      <c r="Z115" s="21">
        <v>0.3426249999999999</v>
      </c>
      <c r="AA115" s="21">
        <v>0.13472916666666676</v>
      </c>
      <c r="AB115" s="24">
        <f>AVERAGE(S115,W115)</f>
        <v>0.38476041666666672</v>
      </c>
      <c r="AC115" s="24">
        <f>AVERAGE(T115:V115,X115:Z115)</f>
        <v>0.42364236111111103</v>
      </c>
      <c r="AD115" s="24">
        <f t="shared" si="4"/>
        <v>0.41657291666666657</v>
      </c>
    </row>
    <row r="116" spans="1:30">
      <c r="A116" s="9">
        <v>44047</v>
      </c>
      <c r="B116" s="3">
        <v>406.58979231171094</v>
      </c>
      <c r="C116" s="3">
        <v>355.71545800447262</v>
      </c>
      <c r="D116" s="3">
        <v>217.42269153525766</v>
      </c>
      <c r="E116" s="3">
        <v>295.6019889298783</v>
      </c>
      <c r="F116" s="3">
        <v>271.6489643962704</v>
      </c>
      <c r="G116" s="3">
        <f>(B116-$B$2)/$B$1</f>
        <v>0.44981667574721645</v>
      </c>
      <c r="H116" s="3">
        <f>((C116-$C$2)/$C$1+(D116-$D$2)/$D$1+(E116-$E$2)/$E$1+(F116-$F$2)/$F$1)/4</f>
        <v>0.33643787513521473</v>
      </c>
      <c r="I116" s="19">
        <v>44047</v>
      </c>
      <c r="J116" s="20">
        <v>136.10416666666666</v>
      </c>
      <c r="K116" s="20">
        <v>86.218749999999986</v>
      </c>
      <c r="L116" s="20">
        <v>22.368750000000002</v>
      </c>
      <c r="M116" s="20">
        <v>0.2</v>
      </c>
      <c r="N116" s="20">
        <v>213.14583333333334</v>
      </c>
      <c r="O116" s="20">
        <v>2.7708333333333335</v>
      </c>
      <c r="P116" s="20">
        <v>0.10416666666666667</v>
      </c>
      <c r="Q116" s="20">
        <v>19.818750000000005</v>
      </c>
      <c r="R116" s="10">
        <v>0.42443003886107133</v>
      </c>
      <c r="S116" s="21">
        <v>0.39091666666666675</v>
      </c>
      <c r="T116" s="21">
        <v>0.4297500000000003</v>
      </c>
      <c r="U116" s="21">
        <v>0.5130625000000002</v>
      </c>
      <c r="V116" s="21">
        <v>0.49477083333333294</v>
      </c>
      <c r="W116" s="21">
        <v>0.59320833333333345</v>
      </c>
      <c r="X116" s="21">
        <v>0.41508333333333325</v>
      </c>
      <c r="Y116" s="21">
        <v>0.37202083333333319</v>
      </c>
      <c r="Z116" s="21">
        <v>0.32702083333333332</v>
      </c>
      <c r="AA116" s="21">
        <v>0.2725625000000001</v>
      </c>
      <c r="AB116" s="24">
        <f>AVERAGE(S116,W116)</f>
        <v>0.49206250000000007</v>
      </c>
      <c r="AC116" s="24">
        <f>AVERAGE(T116:V116,X116:Z116)</f>
        <v>0.42528472222222219</v>
      </c>
      <c r="AD116" s="24">
        <f t="shared" si="4"/>
        <v>0.43742613636363636</v>
      </c>
    </row>
    <row r="117" spans="1:30">
      <c r="A117" s="9">
        <v>44048</v>
      </c>
      <c r="B117" s="3">
        <v>680.72698960521211</v>
      </c>
      <c r="C117" s="3">
        <v>481.19771937798254</v>
      </c>
      <c r="D117" s="3">
        <v>465.14744886978315</v>
      </c>
      <c r="E117" s="3">
        <v>394.72432519864003</v>
      </c>
      <c r="F117" s="3">
        <v>356.49521224820603</v>
      </c>
      <c r="G117" s="3">
        <f>(B117-$B$2)/$B$1</f>
        <v>0.75723179878984048</v>
      </c>
      <c r="H117" s="3">
        <f>((C117-$C$2)/$C$1+(D117-$D$2)/$D$1+(E117-$E$2)/$E$1+(F117-$F$2)/$F$1)/4</f>
        <v>0.50423177509951156</v>
      </c>
      <c r="I117" s="19">
        <v>44048</v>
      </c>
      <c r="J117" s="20">
        <v>205.79166666666666</v>
      </c>
      <c r="K117" s="20">
        <v>77.491666666666688</v>
      </c>
      <c r="L117" s="20">
        <v>24.345833333333331</v>
      </c>
      <c r="M117" s="20">
        <v>0</v>
      </c>
      <c r="N117" s="20">
        <v>228.10416666666666</v>
      </c>
      <c r="O117" s="20">
        <v>5.5</v>
      </c>
      <c r="P117" s="20">
        <v>0.375</v>
      </c>
      <c r="Q117" s="20">
        <v>19.941666666666663</v>
      </c>
      <c r="R117" s="10">
        <v>0.76496044162125487</v>
      </c>
      <c r="S117" s="21">
        <v>0.35843749999999996</v>
      </c>
      <c r="T117" s="21">
        <v>0.42583333333333306</v>
      </c>
      <c r="U117" s="21">
        <v>0.50495833333333329</v>
      </c>
      <c r="V117" s="21">
        <v>0.49202083333333296</v>
      </c>
      <c r="W117" s="21">
        <v>0.57954166666666662</v>
      </c>
      <c r="X117" s="21">
        <v>0.39864583333333364</v>
      </c>
      <c r="Y117" s="21">
        <v>0.37189583333333326</v>
      </c>
      <c r="Z117" s="21">
        <v>0.32675000000000004</v>
      </c>
      <c r="AA117" s="21">
        <v>0.24475</v>
      </c>
      <c r="AB117" s="24">
        <f>AVERAGE(S117,W117)</f>
        <v>0.46898958333333329</v>
      </c>
      <c r="AC117" s="24">
        <f>AVERAGE(T117:V117,X117:Z117)</f>
        <v>0.42001736111111104</v>
      </c>
      <c r="AD117" s="24">
        <f t="shared" si="4"/>
        <v>0.42892140151515151</v>
      </c>
    </row>
    <row r="118" spans="1:30">
      <c r="A118" s="9">
        <v>44049</v>
      </c>
      <c r="B118" s="3">
        <v>456.30031913865525</v>
      </c>
      <c r="C118" s="3">
        <v>298.54137515393285</v>
      </c>
      <c r="D118" s="3">
        <v>251.95360495936288</v>
      </c>
      <c r="E118" s="3">
        <v>271.38024711742202</v>
      </c>
      <c r="F118" s="3">
        <v>270.85973978297676</v>
      </c>
      <c r="G118" s="3">
        <f>(B118-$B$2)/$B$1</f>
        <v>0.50556163802118881</v>
      </c>
      <c r="H118" s="3">
        <f>((C118-$C$2)/$C$1+(D118-$D$2)/$D$1+(E118-$E$2)/$E$1+(F118-$F$2)/$F$1)/4</f>
        <v>0.3223519045838244</v>
      </c>
      <c r="I118" s="19">
        <v>44049</v>
      </c>
      <c r="J118" s="20">
        <v>135.75</v>
      </c>
      <c r="K118" s="20">
        <v>83.293749999999989</v>
      </c>
      <c r="L118" s="20">
        <v>22.743750000000002</v>
      </c>
      <c r="M118" s="20">
        <v>0</v>
      </c>
      <c r="N118" s="20">
        <v>231.29166666666666</v>
      </c>
      <c r="O118" s="20">
        <v>8.3958333333333339</v>
      </c>
      <c r="P118" s="20">
        <v>0.77083333333333337</v>
      </c>
      <c r="Q118" s="20">
        <v>19.708333333333336</v>
      </c>
      <c r="R118" s="10">
        <v>0.48399098595726397</v>
      </c>
      <c r="S118" s="21">
        <v>0.32875000000000004</v>
      </c>
      <c r="T118" s="21">
        <v>0.42010416666666689</v>
      </c>
      <c r="U118" s="21">
        <v>0.4973541666666666</v>
      </c>
      <c r="V118" s="21">
        <v>0.48906250000000001</v>
      </c>
      <c r="W118" s="21">
        <v>0.56195833333333323</v>
      </c>
      <c r="X118" s="21">
        <v>0.38304166666666667</v>
      </c>
      <c r="Y118" s="21">
        <v>0.37018750000000006</v>
      </c>
      <c r="Z118" s="21">
        <v>0.32549999999999968</v>
      </c>
      <c r="AA118" s="21">
        <v>0.22168749999999993</v>
      </c>
      <c r="AB118" s="24">
        <f>AVERAGE(S118,W118)</f>
        <v>0.44535416666666661</v>
      </c>
      <c r="AC118" s="24">
        <f>AVERAGE(T118:V118,X118:Z118)</f>
        <v>0.41420833333333329</v>
      </c>
      <c r="AD118" s="24">
        <f t="shared" si="4"/>
        <v>0.41987121212121209</v>
      </c>
    </row>
    <row r="119" spans="1:30">
      <c r="A119" s="9">
        <v>44050</v>
      </c>
      <c r="B119" s="3">
        <v>528.25066369359467</v>
      </c>
      <c r="C119" s="3">
        <v>269.05459146014562</v>
      </c>
      <c r="D119" s="3">
        <v>196.40735746575086</v>
      </c>
      <c r="E119" s="3">
        <v>278.5116418531104</v>
      </c>
      <c r="F119" s="3">
        <v>203.96269445001525</v>
      </c>
      <c r="G119" s="3">
        <f>(B119-$B$2)/$B$1</f>
        <v>0.5862461428701784</v>
      </c>
      <c r="H119" s="3">
        <f>((C119-$C$2)/$C$1+(D119-$D$2)/$D$1+(E119-$E$2)/$E$1+(F119-$F$2)/$F$1)/4</f>
        <v>0.27487600831321285</v>
      </c>
      <c r="I119" s="19">
        <v>44050</v>
      </c>
      <c r="J119" s="20">
        <v>144.95833333333334</v>
      </c>
      <c r="K119" s="20">
        <v>82.874999999999986</v>
      </c>
      <c r="L119" s="20">
        <v>22.733333333333331</v>
      </c>
      <c r="M119" s="20">
        <v>0</v>
      </c>
      <c r="N119" s="20">
        <v>232.9375</v>
      </c>
      <c r="O119" s="20">
        <v>12.229166666666666</v>
      </c>
      <c r="P119" s="20">
        <v>1.2291666666666667</v>
      </c>
      <c r="Q119" s="20">
        <v>19.618749999999999</v>
      </c>
      <c r="R119" s="10">
        <v>0.49445379789817001</v>
      </c>
      <c r="S119" s="21">
        <v>0.30820833333333331</v>
      </c>
      <c r="T119" s="21">
        <v>0.41185416666666663</v>
      </c>
      <c r="U119" s="21">
        <v>0.4899166666666665</v>
      </c>
      <c r="V119" s="21">
        <v>0.48535416666666692</v>
      </c>
      <c r="W119" s="21">
        <v>0.54208333333333336</v>
      </c>
      <c r="X119" s="21">
        <v>0.3735208333333333</v>
      </c>
      <c r="Y119" s="21">
        <v>0.3687500000000003</v>
      </c>
      <c r="Z119" s="21">
        <v>0.3241041666666668</v>
      </c>
      <c r="AA119" s="21">
        <v>0.20150000000000004</v>
      </c>
      <c r="AB119" s="24">
        <f>AVERAGE(S119,W119)</f>
        <v>0.42514583333333333</v>
      </c>
      <c r="AC119" s="24">
        <f>AVERAGE(T119:V119,X119:Z119)</f>
        <v>0.40891666666666676</v>
      </c>
      <c r="AD119" s="24">
        <f t="shared" si="4"/>
        <v>0.41186742424242428</v>
      </c>
    </row>
    <row r="120" spans="1:30">
      <c r="A120" s="9">
        <v>44053</v>
      </c>
      <c r="B120" s="3">
        <v>613.31618902564048</v>
      </c>
      <c r="C120" s="3">
        <v>320.06657797655504</v>
      </c>
      <c r="D120" s="3">
        <v>433.52597543170884</v>
      </c>
      <c r="E120" s="3">
        <v>359.64541959516811</v>
      </c>
      <c r="F120" s="3">
        <v>437.90384436009867</v>
      </c>
      <c r="G120" s="3">
        <f>(B120-$B$2)/$B$1</f>
        <v>0.6816378999714181</v>
      </c>
      <c r="H120" s="3">
        <f>((C120-$C$2)/$C$1+(D120-$D$2)/$D$1+(E120-$E$2)/$E$1+(F120-$F$2)/$F$1)/4</f>
        <v>0.47170247490478756</v>
      </c>
      <c r="I120" s="19">
        <v>44053</v>
      </c>
      <c r="J120" s="20">
        <v>198.4375</v>
      </c>
      <c r="K120" s="20">
        <v>81.679166666666646</v>
      </c>
      <c r="L120" s="20">
        <v>24.095833333333335</v>
      </c>
      <c r="M120" s="20">
        <v>0</v>
      </c>
      <c r="N120" s="20">
        <v>231.47916666666666</v>
      </c>
      <c r="O120" s="20">
        <v>4.9375</v>
      </c>
      <c r="P120" s="20">
        <v>0.10416666666666667</v>
      </c>
      <c r="Q120" s="20">
        <v>20.554166666666667</v>
      </c>
      <c r="R120" s="10">
        <v>0.63512456321903499</v>
      </c>
      <c r="S120" s="21">
        <v>0.44437499999999969</v>
      </c>
      <c r="T120" s="21">
        <v>0.54622916666666665</v>
      </c>
      <c r="U120" s="21">
        <v>0.59389583333333307</v>
      </c>
      <c r="V120" s="21">
        <v>0.60731250000000025</v>
      </c>
      <c r="W120" s="21">
        <v>0.61362499999999986</v>
      </c>
      <c r="X120" s="21">
        <v>0.50502083333333347</v>
      </c>
      <c r="Y120" s="21">
        <v>0.47608333333333341</v>
      </c>
      <c r="Z120" s="21">
        <v>0.41027083333333331</v>
      </c>
      <c r="AA120" s="21">
        <v>0.28016666666666662</v>
      </c>
      <c r="AB120" s="24">
        <f>AVERAGE(S120,W120)</f>
        <v>0.5289999999999998</v>
      </c>
      <c r="AC120" s="24">
        <f>AVERAGE(T120:V120,X120:Z120)</f>
        <v>0.52313541666666674</v>
      </c>
      <c r="AD120" s="24">
        <f t="shared" si="4"/>
        <v>0.52420170454545456</v>
      </c>
    </row>
    <row r="121" spans="1:30">
      <c r="A121" s="9">
        <v>44054</v>
      </c>
      <c r="B121" s="3">
        <v>521.85057308467651</v>
      </c>
      <c r="C121" s="3">
        <v>253.60867575057233</v>
      </c>
      <c r="D121" s="3">
        <v>386.01381429902278</v>
      </c>
      <c r="E121" s="3">
        <v>304.12747838966641</v>
      </c>
      <c r="F121" s="3">
        <v>412.64287384499318</v>
      </c>
      <c r="G121" s="3">
        <f>(B121-$B$2)/$B$1</f>
        <v>0.579069135658282</v>
      </c>
      <c r="H121" s="3">
        <f>((C121-$C$2)/$C$1+(D121-$D$2)/$D$1+(E121-$E$2)/$E$1+(F121-$F$2)/$F$1)/4</f>
        <v>0.41285603804940169</v>
      </c>
      <c r="I121" s="19">
        <v>44054</v>
      </c>
      <c r="J121" s="20">
        <v>163.125</v>
      </c>
      <c r="K121" s="20">
        <v>83.310416666666711</v>
      </c>
      <c r="L121" s="20">
        <v>23.866666666666664</v>
      </c>
      <c r="M121" s="20">
        <v>0</v>
      </c>
      <c r="N121" s="20">
        <v>229.97916666666666</v>
      </c>
      <c r="O121" s="20">
        <v>10.083333333333334</v>
      </c>
      <c r="P121" s="20">
        <v>1.9166666666666667</v>
      </c>
      <c r="Q121" s="20">
        <v>20.772916666666664</v>
      </c>
      <c r="R121" s="10">
        <v>0.53040773961314969</v>
      </c>
      <c r="S121" s="21">
        <v>0.42860416666666651</v>
      </c>
      <c r="T121" s="21">
        <v>0.53527083333333314</v>
      </c>
      <c r="U121" s="21">
        <v>0.58706249999999949</v>
      </c>
      <c r="V121" s="21">
        <v>0.60179166666666706</v>
      </c>
      <c r="W121" s="21">
        <v>0.60575000000000023</v>
      </c>
      <c r="X121" s="21">
        <v>0.49077083333333321</v>
      </c>
      <c r="Y121" s="21">
        <v>0.47091666666666671</v>
      </c>
      <c r="Z121" s="21">
        <v>0.40549999999999975</v>
      </c>
      <c r="AA121" s="21">
        <v>0.25310416666666663</v>
      </c>
      <c r="AB121" s="24">
        <f>AVERAGE(S121,W121)</f>
        <v>0.51717708333333334</v>
      </c>
      <c r="AC121" s="24">
        <f>AVERAGE(T121:V121,X121:Z121)</f>
        <v>0.51521874999999995</v>
      </c>
      <c r="AD121" s="24">
        <f t="shared" si="4"/>
        <v>0.51557481060606059</v>
      </c>
    </row>
    <row r="122" spans="1:30">
      <c r="A122" s="9">
        <v>44057</v>
      </c>
      <c r="B122" s="3">
        <v>622.84470797059566</v>
      </c>
      <c r="C122" s="3">
        <v>352.85298673735707</v>
      </c>
      <c r="D122" s="3">
        <v>469.42805964306609</v>
      </c>
      <c r="E122" s="3">
        <v>386.18680442326308</v>
      </c>
      <c r="F122" s="3">
        <v>484.0430754041397</v>
      </c>
      <c r="G122" s="3">
        <f>(B122-$B$2)/$B$1</f>
        <v>0.69232310012957565</v>
      </c>
      <c r="H122" s="3">
        <f>((C122-$C$2)/$C$1+(D122-$D$2)/$D$1+(E122-$E$2)/$E$1+(F122-$F$2)/$F$1)/4</f>
        <v>0.51708047486361586</v>
      </c>
      <c r="I122" s="19">
        <v>44057</v>
      </c>
      <c r="J122" s="20">
        <v>189.875</v>
      </c>
      <c r="K122" s="20">
        <v>81.27291666666666</v>
      </c>
      <c r="L122" s="20">
        <v>22.516666666666669</v>
      </c>
      <c r="M122" s="20">
        <v>0.7</v>
      </c>
      <c r="N122" s="20">
        <v>232.64583333333334</v>
      </c>
      <c r="O122" s="20">
        <v>14.541666666666666</v>
      </c>
      <c r="P122" s="20">
        <v>2.9791666666666665</v>
      </c>
      <c r="Q122" s="20">
        <v>19.062499999999996</v>
      </c>
      <c r="R122" s="10">
        <v>0.53972713872306666</v>
      </c>
      <c r="S122" s="21">
        <v>0.44314583333333341</v>
      </c>
      <c r="T122" s="21">
        <v>0.54370833333333335</v>
      </c>
      <c r="U122" s="21">
        <v>0.59339583333333346</v>
      </c>
      <c r="V122" s="21">
        <v>0.60839583333333336</v>
      </c>
      <c r="W122" s="21">
        <v>0.61187500000000006</v>
      </c>
      <c r="X122" s="21">
        <v>0.49647916666666658</v>
      </c>
      <c r="Y122" s="21">
        <v>0.46900000000000031</v>
      </c>
      <c r="Z122" s="21">
        <v>0.40433333333333349</v>
      </c>
      <c r="AA122" s="21">
        <v>0.2694375</v>
      </c>
      <c r="AB122" s="24">
        <f>AVERAGE(S122,W122)</f>
        <v>0.52751041666666676</v>
      </c>
      <c r="AC122" s="24">
        <f>AVERAGE(T122:V122,X122:Z122)</f>
        <v>0.51921875000000017</v>
      </c>
      <c r="AD122" s="24">
        <f t="shared" si="4"/>
        <v>0.52072632575757594</v>
      </c>
    </row>
    <row r="123" spans="1:30">
      <c r="A123" s="9">
        <v>44058</v>
      </c>
      <c r="B123" s="3">
        <v>498.63011507891406</v>
      </c>
      <c r="C123" s="3">
        <v>329.47750497027107</v>
      </c>
      <c r="D123" s="3">
        <v>350.18821008231873</v>
      </c>
      <c r="E123" s="3">
        <v>301.97018572699704</v>
      </c>
      <c r="F123" s="3">
        <v>415.6897544661594</v>
      </c>
      <c r="G123" s="3">
        <f>(B123-$B$2)/$B$1</f>
        <v>0.55302991141063274</v>
      </c>
      <c r="H123" s="3">
        <f>((C123-$C$2)/$C$1+(D123-$D$2)/$D$1+(E123-$E$2)/$E$1+(F123-$F$2)/$F$1)/4</f>
        <v>0.42435433041710102</v>
      </c>
      <c r="I123" s="19">
        <v>44058</v>
      </c>
      <c r="J123" s="20">
        <v>134.5625</v>
      </c>
      <c r="K123" s="20">
        <v>83.381249999999994</v>
      </c>
      <c r="L123" s="20">
        <v>21.747916666666669</v>
      </c>
      <c r="M123" s="20">
        <v>0</v>
      </c>
      <c r="N123" s="20">
        <v>228.4375</v>
      </c>
      <c r="O123" s="20">
        <v>15.375</v>
      </c>
      <c r="P123" s="20">
        <v>3.4166666666666665</v>
      </c>
      <c r="Q123" s="20">
        <v>18.783333333333339</v>
      </c>
      <c r="R123" s="10">
        <v>0.44261854498555647</v>
      </c>
      <c r="S123" s="21">
        <v>0.42658333333333359</v>
      </c>
      <c r="T123" s="21">
        <v>0.5321874999999997</v>
      </c>
      <c r="U123" s="21">
        <v>0.58504166666666635</v>
      </c>
      <c r="V123" s="21">
        <v>0.60237500000000022</v>
      </c>
      <c r="W123" s="21">
        <v>0.60266666666666668</v>
      </c>
      <c r="X123" s="21">
        <v>0.48308333333333359</v>
      </c>
      <c r="Y123" s="21">
        <v>0.46485416666666651</v>
      </c>
      <c r="Z123" s="21">
        <v>0.40143749999999967</v>
      </c>
      <c r="AA123" s="21">
        <v>0.24810416666666676</v>
      </c>
      <c r="AB123" s="24">
        <f>AVERAGE(S123,W123)</f>
        <v>0.51462500000000011</v>
      </c>
      <c r="AC123" s="24">
        <f>AVERAGE(T123:V123,X123:Z123)</f>
        <v>0.51149652777777765</v>
      </c>
      <c r="AD123" s="24">
        <f t="shared" si="4"/>
        <v>0.51206534090909084</v>
      </c>
    </row>
    <row r="124" spans="1:30">
      <c r="A124" s="9">
        <v>44059</v>
      </c>
      <c r="B124" s="3">
        <v>457.83347480920247</v>
      </c>
      <c r="C124" s="3">
        <v>247.90642715647871</v>
      </c>
      <c r="D124" s="3">
        <v>292.80739516575858</v>
      </c>
      <c r="E124" s="3">
        <v>261.78417909986103</v>
      </c>
      <c r="F124" s="3">
        <v>348.63981811879705</v>
      </c>
      <c r="G124" s="3">
        <f>(B124-$B$2)/$B$1</f>
        <v>0.50728090575923379</v>
      </c>
      <c r="H124" s="3">
        <f>((C124-$C$2)/$C$1+(D124-$D$2)/$D$1+(E124-$E$2)/$E$1+(F124-$F$2)/$F$1)/4</f>
        <v>0.34708453328799949</v>
      </c>
      <c r="I124" s="19">
        <v>44059</v>
      </c>
      <c r="J124" s="20">
        <v>113.27083333333333</v>
      </c>
      <c r="K124" s="20">
        <v>84.452083333333348</v>
      </c>
      <c r="L124" s="20">
        <v>21.158333333333339</v>
      </c>
      <c r="M124" s="20">
        <v>1.9</v>
      </c>
      <c r="N124" s="20">
        <v>230.64583333333334</v>
      </c>
      <c r="O124" s="20">
        <v>15.291666666666666</v>
      </c>
      <c r="P124" s="20">
        <v>3.3958333333333335</v>
      </c>
      <c r="Q124" s="20">
        <v>18.402083333333334</v>
      </c>
      <c r="R124" s="10">
        <v>0.40152166393080302</v>
      </c>
      <c r="S124" s="21">
        <v>0.41331249999999997</v>
      </c>
      <c r="T124" s="21">
        <v>0.52312499999999962</v>
      </c>
      <c r="U124" s="21">
        <v>0.57768750000000024</v>
      </c>
      <c r="V124" s="21">
        <v>0.59754166666666675</v>
      </c>
      <c r="W124" s="21">
        <v>0.59370833333333317</v>
      </c>
      <c r="X124" s="21">
        <v>0.47377083333333331</v>
      </c>
      <c r="Y124" s="21">
        <v>0.46004166666666685</v>
      </c>
      <c r="Z124" s="21">
        <v>0.39835416666666701</v>
      </c>
      <c r="AA124" s="21">
        <v>0.2348124999999999</v>
      </c>
      <c r="AB124" s="24">
        <f>AVERAGE(S124,W124)</f>
        <v>0.50351041666666663</v>
      </c>
      <c r="AC124" s="24">
        <f>AVERAGE(T124:V124,X124:Z124)</f>
        <v>0.50508680555555563</v>
      </c>
      <c r="AD124" s="24">
        <f t="shared" si="4"/>
        <v>0.50480018939393945</v>
      </c>
    </row>
    <row r="125" spans="1:30">
      <c r="A125" s="9">
        <v>44062</v>
      </c>
      <c r="B125" s="3">
        <v>521.04321618565905</v>
      </c>
      <c r="C125" s="3">
        <v>414.76017756554637</v>
      </c>
      <c r="D125" s="3">
        <v>331.98573422180669</v>
      </c>
      <c r="E125" s="3">
        <v>373.66001617211089</v>
      </c>
      <c r="F125" s="3">
        <v>338.2720674573564</v>
      </c>
      <c r="G125" s="3">
        <f>(B125-$B$2)/$B$1</f>
        <v>0.57816377249377482</v>
      </c>
      <c r="H125" s="3">
        <f>((C125-$C$2)/$C$1+(D125-$D$2)/$D$1+(E125-$E$2)/$E$1+(F125-$F$2)/$F$1)/4</f>
        <v>0.4351078450625675</v>
      </c>
      <c r="I125" s="19">
        <v>44062</v>
      </c>
      <c r="J125" s="20">
        <v>198.8125</v>
      </c>
      <c r="K125" s="20">
        <v>83.052083333333343</v>
      </c>
      <c r="L125" s="20">
        <v>20.999999999999996</v>
      </c>
      <c r="M125" s="20">
        <v>0</v>
      </c>
      <c r="N125" s="20">
        <v>241.16666666666666</v>
      </c>
      <c r="O125" s="20">
        <v>2.4375</v>
      </c>
      <c r="P125" s="20">
        <v>0</v>
      </c>
      <c r="Q125" s="20">
        <v>17.764583333333341</v>
      </c>
      <c r="R125" s="10">
        <v>0.52000560092051795</v>
      </c>
      <c r="S125" s="21">
        <v>0.46481249999999957</v>
      </c>
      <c r="T125" s="21">
        <v>0.55933333333333302</v>
      </c>
      <c r="U125" s="21">
        <v>0.60329166666666656</v>
      </c>
      <c r="V125" s="21">
        <v>0.61933333333333296</v>
      </c>
      <c r="W125" s="21">
        <v>0.62137500000000012</v>
      </c>
      <c r="X125" s="21">
        <v>0.51745833333333346</v>
      </c>
      <c r="Y125" s="21">
        <v>0.48216666666666647</v>
      </c>
      <c r="Z125" s="21">
        <v>0.41927083333333309</v>
      </c>
      <c r="AA125" s="21">
        <v>0.29110416666666677</v>
      </c>
      <c r="AB125" s="24">
        <f>AVERAGE(S125,W125)</f>
        <v>0.54309374999999982</v>
      </c>
      <c r="AC125" s="24">
        <f>AVERAGE(T125:V125,X125:Z125)</f>
        <v>0.5334756944444442</v>
      </c>
      <c r="AD125" s="24">
        <f t="shared" si="4"/>
        <v>0.53522443181818158</v>
      </c>
    </row>
    <row r="126" spans="1:30">
      <c r="A126" s="9">
        <v>44063</v>
      </c>
      <c r="B126" s="3">
        <v>654.41526053046607</v>
      </c>
      <c r="C126" s="3">
        <v>493.0104608251479</v>
      </c>
      <c r="D126" s="3">
        <v>487.29194525938647</v>
      </c>
      <c r="E126" s="3">
        <v>387.98313587188204</v>
      </c>
      <c r="F126" s="3">
        <v>505.88465264490446</v>
      </c>
      <c r="G126" s="3">
        <f>(B126-$B$2)/$B$1</f>
        <v>0.72772604943938923</v>
      </c>
      <c r="H126" s="3">
        <f>((C126-$C$2)/$C$1+(D126-$D$2)/$D$1+(E126-$E$2)/$E$1+(F126-$F$2)/$F$1)/4</f>
        <v>0.56985138389188328</v>
      </c>
      <c r="I126" s="19">
        <v>44063</v>
      </c>
      <c r="J126" s="20">
        <v>194.95833333333334</v>
      </c>
      <c r="K126" s="20">
        <v>78.895833333333329</v>
      </c>
      <c r="L126" s="20">
        <v>22.620833333333341</v>
      </c>
      <c r="M126" s="20">
        <v>0</v>
      </c>
      <c r="N126" s="20">
        <v>229.54166666666666</v>
      </c>
      <c r="O126" s="20">
        <v>2.9375</v>
      </c>
      <c r="P126" s="20">
        <v>0</v>
      </c>
      <c r="Q126" s="20">
        <v>18.587500000000002</v>
      </c>
      <c r="R126" s="10">
        <v>0.65442685817700619</v>
      </c>
      <c r="S126" s="21">
        <v>0.44566666666666688</v>
      </c>
      <c r="T126" s="21">
        <v>0.54466666666666685</v>
      </c>
      <c r="U126" s="21">
        <v>0.59433333333333327</v>
      </c>
      <c r="V126" s="21">
        <v>0.60958333333333337</v>
      </c>
      <c r="W126" s="21">
        <v>0.61216666666666708</v>
      </c>
      <c r="X126" s="21">
        <v>0.49658333333333321</v>
      </c>
      <c r="Y126" s="21">
        <v>0.47404166666666625</v>
      </c>
      <c r="Z126" s="21">
        <v>0.40947916666666662</v>
      </c>
      <c r="AA126" s="21">
        <v>0.26150000000000001</v>
      </c>
      <c r="AB126" s="24">
        <f>AVERAGE(S126,W126)</f>
        <v>0.52891666666666692</v>
      </c>
      <c r="AC126" s="24">
        <f>AVERAGE(T126:V126,X126:Z126)</f>
        <v>0.52144791666666668</v>
      </c>
      <c r="AD126" s="24">
        <f t="shared" si="4"/>
        <v>0.5228058712121213</v>
      </c>
    </row>
    <row r="127" spans="1:30">
      <c r="A127" s="9">
        <v>44064</v>
      </c>
      <c r="B127" s="3">
        <v>497.70062228930914</v>
      </c>
      <c r="C127" s="3">
        <v>374.9838701464696</v>
      </c>
      <c r="D127" s="3">
        <v>445.60611622534259</v>
      </c>
      <c r="E127" s="3">
        <v>335.32693346953903</v>
      </c>
      <c r="F127" s="3">
        <v>351.48339654025284</v>
      </c>
      <c r="G127" s="3">
        <f>(B127-$B$2)/$B$1</f>
        <v>0.55198758609650289</v>
      </c>
      <c r="H127" s="3">
        <f>((C127-$C$2)/$C$1+(D127-$D$2)/$D$1+(E127-$E$2)/$E$1+(F127-$F$2)/$F$1)/4</f>
        <v>0.44887532600724134</v>
      </c>
      <c r="I127" s="19">
        <v>44064</v>
      </c>
      <c r="J127" s="20">
        <v>155.6875</v>
      </c>
      <c r="K127" s="20">
        <v>84.102083333333312</v>
      </c>
      <c r="L127" s="20">
        <v>22.014583333333338</v>
      </c>
      <c r="M127" s="20">
        <v>0</v>
      </c>
      <c r="N127" s="20">
        <v>226.20833333333334</v>
      </c>
      <c r="O127" s="20">
        <v>4.229166666666667</v>
      </c>
      <c r="P127" s="20">
        <v>0.20833333333333334</v>
      </c>
      <c r="Q127" s="20">
        <v>19.091666666666658</v>
      </c>
      <c r="R127" s="10">
        <v>0.46711770270670278</v>
      </c>
      <c r="S127" s="21">
        <v>0.431458333333333</v>
      </c>
      <c r="T127" s="21">
        <v>0.53558333333333363</v>
      </c>
      <c r="U127" s="21">
        <v>0.58777083333333313</v>
      </c>
      <c r="V127" s="21">
        <v>0.60556249999999967</v>
      </c>
      <c r="W127" s="21">
        <v>0.60502083333333367</v>
      </c>
      <c r="X127" s="21">
        <v>0.48497916666666679</v>
      </c>
      <c r="Y127" s="21">
        <v>0.46920833333333317</v>
      </c>
      <c r="Z127" s="21">
        <v>0.40581249999999991</v>
      </c>
      <c r="AA127" s="21">
        <v>0.24224999999999999</v>
      </c>
      <c r="AB127" s="24">
        <f>AVERAGE(S127,W127)</f>
        <v>0.51823958333333331</v>
      </c>
      <c r="AC127" s="24">
        <f>AVERAGE(T127:V127,X127:Z127)</f>
        <v>0.51481944444444439</v>
      </c>
      <c r="AD127" s="24">
        <f t="shared" si="4"/>
        <v>0.51544128787878774</v>
      </c>
    </row>
    <row r="128" spans="1:30">
      <c r="A128" s="9">
        <v>44065</v>
      </c>
      <c r="B128" s="3">
        <v>569.43367309603855</v>
      </c>
      <c r="C128" s="3">
        <v>408.74041516531292</v>
      </c>
      <c r="D128" s="3">
        <v>674.90945506157868</v>
      </c>
      <c r="E128" s="3">
        <v>402.67482164517645</v>
      </c>
      <c r="F128" s="3">
        <v>402.51849348958336</v>
      </c>
      <c r="G128" s="3">
        <f>(B128-$B$2)/$B$1</f>
        <v>0.63242841958311669</v>
      </c>
      <c r="H128" s="3">
        <f>((C128-$C$2)/$C$1+(D128-$D$2)/$D$1+(E128-$E$2)/$E$1+(F128-$F$2)/$F$1)/4</f>
        <v>0.5630474434688667</v>
      </c>
      <c r="I128" s="19">
        <v>44065</v>
      </c>
      <c r="J128" s="20">
        <v>210.64583333333334</v>
      </c>
      <c r="K128" s="20">
        <v>78.662500000000023</v>
      </c>
      <c r="L128" s="20">
        <v>22.687499999999989</v>
      </c>
      <c r="M128" s="20">
        <v>0</v>
      </c>
      <c r="N128" s="20">
        <v>237.79166666666666</v>
      </c>
      <c r="O128" s="20">
        <v>10.083333333333334</v>
      </c>
      <c r="P128" s="20">
        <v>1.5</v>
      </c>
      <c r="Q128" s="20">
        <v>18.627083333333335</v>
      </c>
      <c r="R128" s="10">
        <v>0.64895494101892581</v>
      </c>
      <c r="S128" s="21">
        <v>0.41472916666666654</v>
      </c>
      <c r="T128" s="21">
        <v>0.52599999999999991</v>
      </c>
      <c r="U128" s="21">
        <v>0.57945833333333352</v>
      </c>
      <c r="V128" s="21">
        <v>0.60087500000000038</v>
      </c>
      <c r="W128" s="21">
        <v>0.59537499999999999</v>
      </c>
      <c r="X128" s="21">
        <v>0.47377083333333331</v>
      </c>
      <c r="Y128" s="21">
        <v>0.4635624999999996</v>
      </c>
      <c r="Z128" s="21">
        <v>0.40172916666666664</v>
      </c>
      <c r="AA128" s="21">
        <v>0.22622916666666668</v>
      </c>
      <c r="AB128" s="24">
        <f>AVERAGE(S128,W128)</f>
        <v>0.50505208333333329</v>
      </c>
      <c r="AC128" s="24">
        <f>AVERAGE(T128:V128,X128:Z128)</f>
        <v>0.50756597222222222</v>
      </c>
      <c r="AD128" s="24">
        <f t="shared" si="4"/>
        <v>0.50710890151515153</v>
      </c>
    </row>
    <row r="129" spans="1:30">
      <c r="A129" s="9">
        <v>44066</v>
      </c>
      <c r="B129" s="3">
        <v>589.95212734153279</v>
      </c>
      <c r="C129" s="3">
        <v>429.90311964065421</v>
      </c>
      <c r="D129" s="3">
        <v>818.13809379997247</v>
      </c>
      <c r="E129" s="3">
        <v>422.03528304364937</v>
      </c>
      <c r="F129" s="3">
        <v>509.57129208696836</v>
      </c>
      <c r="G129" s="3">
        <f>(B129-$B$2)/$B$1</f>
        <v>0.65543763977941794</v>
      </c>
      <c r="H129" s="3">
        <f>((C129-$C$2)/$C$1+(D129-$D$2)/$D$1+(E129-$E$2)/$E$1+(F129-$F$2)/$F$1)/4</f>
        <v>0.65660488936761696</v>
      </c>
      <c r="I129" s="19">
        <v>44066</v>
      </c>
      <c r="J129" s="20">
        <v>214.35416666666666</v>
      </c>
      <c r="K129" s="20">
        <v>76.722916666666663</v>
      </c>
      <c r="L129" s="20">
        <v>23.402083333333337</v>
      </c>
      <c r="M129" s="20">
        <v>0</v>
      </c>
      <c r="N129" s="20">
        <v>232.04166666666666</v>
      </c>
      <c r="O129" s="20">
        <v>14</v>
      </c>
      <c r="P129" s="20">
        <v>2.5833333333333335</v>
      </c>
      <c r="Q129" s="20">
        <v>18.945833333333329</v>
      </c>
      <c r="R129" s="10">
        <v>0.71917145793861126</v>
      </c>
      <c r="S129" s="21">
        <v>0.38745833333333324</v>
      </c>
      <c r="T129" s="21">
        <v>0.51268750000000007</v>
      </c>
      <c r="U129" s="21">
        <v>0.5666041666666668</v>
      </c>
      <c r="V129" s="21">
        <v>0.59247916666666656</v>
      </c>
      <c r="W129" s="21">
        <v>0.58110416666666687</v>
      </c>
      <c r="X129" s="21">
        <v>0.4574791666666666</v>
      </c>
      <c r="Y129" s="21">
        <v>0.45327083333333373</v>
      </c>
      <c r="Z129" s="21">
        <v>0.39504166666666679</v>
      </c>
      <c r="AA129" s="21">
        <v>0.20233333333333334</v>
      </c>
      <c r="AB129" s="24">
        <f>AVERAGE(S129,W129)</f>
        <v>0.48428125000000005</v>
      </c>
      <c r="AC129" s="24">
        <f>AVERAGE(T129:V129,X129:Z129)</f>
        <v>0.4962604166666667</v>
      </c>
      <c r="AD129" s="24">
        <f t="shared" si="4"/>
        <v>0.49408238636363638</v>
      </c>
    </row>
    <row r="130" spans="1:30">
      <c r="A130" s="9">
        <v>44067</v>
      </c>
      <c r="B130" s="3">
        <v>341.53149885971732</v>
      </c>
      <c r="C130" s="3">
        <v>195.7763317652286</v>
      </c>
      <c r="D130" s="3">
        <v>583.07691419858577</v>
      </c>
      <c r="E130" s="3">
        <v>243.43302339906919</v>
      </c>
      <c r="F130" s="3">
        <v>387.52846053931768</v>
      </c>
      <c r="G130" s="3">
        <f>(B130-$B$2)/$B$1</f>
        <v>0.37686085842675582</v>
      </c>
      <c r="H130" s="3">
        <f>((C130-$C$2)/$C$1+(D130-$D$2)/$D$1+(E130-$E$2)/$E$1+(F130-$F$2)/$F$1)/4</f>
        <v>0.42288533624429325</v>
      </c>
      <c r="I130" s="19">
        <v>44067</v>
      </c>
      <c r="J130" s="20">
        <v>149.8125</v>
      </c>
      <c r="K130" s="20">
        <v>82.070833333333326</v>
      </c>
      <c r="L130" s="20">
        <v>22.677083333333332</v>
      </c>
      <c r="M130" s="20">
        <v>0</v>
      </c>
      <c r="N130" s="20">
        <v>252.5625</v>
      </c>
      <c r="O130" s="20">
        <v>6.5625</v>
      </c>
      <c r="P130" s="20">
        <v>0.33333333333333331</v>
      </c>
      <c r="Q130" s="20">
        <v>19.350000000000005</v>
      </c>
      <c r="R130" s="10">
        <v>0.53633439450765186</v>
      </c>
      <c r="S130" s="21">
        <v>0.35749999999999998</v>
      </c>
      <c r="T130" s="21">
        <v>0.49739583333333354</v>
      </c>
      <c r="U130" s="21">
        <v>0.55499999999999938</v>
      </c>
      <c r="V130" s="21">
        <v>0.58139583333333344</v>
      </c>
      <c r="W130" s="21">
        <v>0.56577083333333344</v>
      </c>
      <c r="X130" s="21">
        <v>0.44170833333333331</v>
      </c>
      <c r="Y130" s="21">
        <v>0.44183333333333358</v>
      </c>
      <c r="Z130" s="21">
        <v>0.38654166666666656</v>
      </c>
      <c r="AA130" s="21">
        <v>0.17812499999999998</v>
      </c>
      <c r="AB130" s="24">
        <f>AVERAGE(S130,W130)</f>
        <v>0.46163541666666674</v>
      </c>
      <c r="AC130" s="24">
        <f>AVERAGE(T130:V130,X130:Z130)</f>
        <v>0.48397916666666663</v>
      </c>
      <c r="AD130" s="24">
        <f t="shared" si="4"/>
        <v>0.47991666666666666</v>
      </c>
    </row>
    <row r="131" spans="1:30">
      <c r="A131" s="9">
        <v>44068</v>
      </c>
      <c r="B131" s="3">
        <v>655.09419565650205</v>
      </c>
      <c r="C131" s="3">
        <v>374.32185753922482</v>
      </c>
      <c r="D131" s="3">
        <v>913.19362992461549</v>
      </c>
      <c r="E131" s="3">
        <v>449.73803515435873</v>
      </c>
      <c r="F131" s="3">
        <v>622.69704243245508</v>
      </c>
      <c r="G131" s="3">
        <f>(B131-$B$2)/$B$1</f>
        <v>0.72848740151918323</v>
      </c>
      <c r="H131" s="3">
        <f>((C131-$C$2)/$C$1+(D131-$D$2)/$D$1+(E131-$E$2)/$E$1+(F131-$F$2)/$F$1)/4</f>
        <v>0.72054661316013602</v>
      </c>
      <c r="I131" s="19">
        <v>44068</v>
      </c>
      <c r="J131" s="20">
        <v>285.14583333333331</v>
      </c>
      <c r="K131" s="20">
        <v>65.58541666666666</v>
      </c>
      <c r="L131" s="20">
        <v>23.722916666666659</v>
      </c>
      <c r="M131" s="20">
        <v>0</v>
      </c>
      <c r="N131" s="20">
        <v>187.20833333333334</v>
      </c>
      <c r="O131" s="20">
        <v>3.6458333333333335</v>
      </c>
      <c r="P131" s="20">
        <v>0</v>
      </c>
      <c r="Q131" s="20">
        <v>16.085416666666667</v>
      </c>
      <c r="R131" s="10">
        <v>1.2245262537789239</v>
      </c>
      <c r="S131" s="21">
        <v>0.33356250000000015</v>
      </c>
      <c r="T131" s="21">
        <v>0.47997916666666668</v>
      </c>
      <c r="U131" s="21">
        <v>0.5425416666666667</v>
      </c>
      <c r="V131" s="21">
        <v>0.56689583333333304</v>
      </c>
      <c r="W131" s="21">
        <v>0.54737500000000006</v>
      </c>
      <c r="X131" s="21">
        <v>0.42597916666666663</v>
      </c>
      <c r="Y131" s="21">
        <v>0.42952083333333335</v>
      </c>
      <c r="Z131" s="21">
        <v>0.37812499999999988</v>
      </c>
      <c r="AA131" s="21">
        <v>0.16068749999999996</v>
      </c>
      <c r="AB131" s="24">
        <f>AVERAGE(S131,W131)</f>
        <v>0.44046875000000008</v>
      </c>
      <c r="AC131" s="24">
        <f>AVERAGE(T131:V131,X131:Z131)</f>
        <v>0.4705069444444443</v>
      </c>
      <c r="AD131" s="24">
        <f t="shared" si="4"/>
        <v>0.46504545454545443</v>
      </c>
    </row>
    <row r="132" spans="1:30">
      <c r="A132" s="9">
        <v>44069</v>
      </c>
      <c r="B132" s="3">
        <v>623.8179109381208</v>
      </c>
      <c r="C132" s="3">
        <v>390.59319212709067</v>
      </c>
      <c r="D132" s="3">
        <v>686.4645662952596</v>
      </c>
      <c r="E132" s="3">
        <v>451.34756525103217</v>
      </c>
      <c r="F132" s="3">
        <v>430.19564554990097</v>
      </c>
      <c r="G132" s="3">
        <f>(B132-$B$2)/$B$1</f>
        <v>0.69341444166571486</v>
      </c>
      <c r="H132" s="3">
        <f>((C132-$C$2)/$C$1+(D132-$D$2)/$D$1+(E132-$E$2)/$E$1+(F132-$F$2)/$F$1)/4</f>
        <v>0.58731648720182339</v>
      </c>
      <c r="I132" s="19">
        <v>44069</v>
      </c>
      <c r="J132" s="20">
        <v>289.1875</v>
      </c>
      <c r="K132" s="20">
        <v>57.204166666666687</v>
      </c>
      <c r="L132" s="20">
        <v>23.818749999999998</v>
      </c>
      <c r="M132" s="20">
        <v>0</v>
      </c>
      <c r="N132" s="20">
        <v>248.85416666666666</v>
      </c>
      <c r="O132" s="20">
        <v>2.5208333333333335</v>
      </c>
      <c r="P132" s="20">
        <v>2.0833333333333332E-2</v>
      </c>
      <c r="Q132" s="20">
        <v>14.05208333333333</v>
      </c>
      <c r="R132" s="10">
        <v>1.5071725417553348</v>
      </c>
      <c r="S132" s="21">
        <v>0.3035208333333333</v>
      </c>
      <c r="T132" s="21">
        <v>0.45235416666666667</v>
      </c>
      <c r="U132" s="21">
        <v>0.52116666666666689</v>
      </c>
      <c r="V132" s="21">
        <v>0.54187499999999988</v>
      </c>
      <c r="W132" s="21">
        <v>0.51952083333333354</v>
      </c>
      <c r="X132" s="21">
        <v>0.39912500000000001</v>
      </c>
      <c r="Y132" s="21">
        <v>0.40872916666666653</v>
      </c>
      <c r="Z132" s="21">
        <v>0.36293749999999997</v>
      </c>
      <c r="AA132" s="21">
        <v>0.14332258064516132</v>
      </c>
      <c r="AB132" s="24">
        <f>AVERAGE(S132,W132)</f>
        <v>0.41152083333333345</v>
      </c>
      <c r="AC132" s="24">
        <f>AVERAGE(T132:V132,X132:Z132)</f>
        <v>0.44769791666666664</v>
      </c>
      <c r="AD132" s="24">
        <f t="shared" si="4"/>
        <v>0.44112026515151515</v>
      </c>
    </row>
    <row r="133" spans="1:30">
      <c r="A133" s="9">
        <v>44070</v>
      </c>
      <c r="B133" s="3">
        <v>611.3424620208059</v>
      </c>
      <c r="C133" s="3">
        <v>385.43295966769307</v>
      </c>
      <c r="D133" s="3">
        <v>537.94311767972283</v>
      </c>
      <c r="E133" s="3">
        <v>431.47778696947</v>
      </c>
      <c r="F133" s="3">
        <v>284.92900595759431</v>
      </c>
      <c r="G133" s="3">
        <f>(B133-$B$2)/$B$1</f>
        <v>0.67942457928369637</v>
      </c>
      <c r="H133" s="3">
        <f>((C133-$C$2)/$C$1+(D133-$D$2)/$D$1+(E133-$E$2)/$E$1+(F133-$F$2)/$F$1)/4</f>
        <v>0.48163100014588756</v>
      </c>
      <c r="I133" s="19">
        <v>44070</v>
      </c>
      <c r="J133" s="20">
        <v>273.64583333333331</v>
      </c>
      <c r="K133" s="20">
        <v>66.533333333333331</v>
      </c>
      <c r="L133" s="20">
        <v>23.885416666666671</v>
      </c>
      <c r="M133" s="20">
        <v>0</v>
      </c>
      <c r="N133" s="20">
        <v>207.10416666666666</v>
      </c>
      <c r="O133" s="20">
        <v>6.0625</v>
      </c>
      <c r="P133" s="20">
        <v>0.875</v>
      </c>
      <c r="Q133" s="20">
        <v>16.889583333333334</v>
      </c>
      <c r="R133" s="10">
        <v>1.1256118135842317</v>
      </c>
      <c r="S133" s="21">
        <v>0.28310416666666671</v>
      </c>
      <c r="T133" s="21">
        <v>0.42620833333333352</v>
      </c>
      <c r="U133" s="21">
        <v>0.50129166666666669</v>
      </c>
      <c r="V133" s="21">
        <v>0.51458333333333339</v>
      </c>
      <c r="W133" s="21">
        <v>0.49579166666666641</v>
      </c>
      <c r="X133" s="21">
        <v>0.37829166666666664</v>
      </c>
      <c r="Y133" s="21">
        <v>0.38972916666666663</v>
      </c>
      <c r="Z133" s="21">
        <v>0.34939583333333329</v>
      </c>
      <c r="AA133" s="21">
        <v>0.13099999999999998</v>
      </c>
      <c r="AB133" s="24">
        <f>AVERAGE(S133,W133)</f>
        <v>0.38944791666666656</v>
      </c>
      <c r="AC133" s="24">
        <f>AVERAGE(T133:V133,X133:Z133)</f>
        <v>0.42658333333333337</v>
      </c>
      <c r="AD133" s="24">
        <f t="shared" si="4"/>
        <v>0.41983143939393947</v>
      </c>
    </row>
    <row r="134" spans="1:30">
      <c r="A134" s="9">
        <v>44071</v>
      </c>
      <c r="B134" s="3">
        <v>456.81291316740061</v>
      </c>
      <c r="C134" s="3">
        <v>282.67990943737129</v>
      </c>
      <c r="D134" s="3">
        <v>418.46828304972308</v>
      </c>
      <c r="E134" s="3">
        <v>362.15327871311945</v>
      </c>
      <c r="F134" s="3">
        <v>268.49350582421067</v>
      </c>
      <c r="G134" s="3">
        <f>(B134-$B$2)/$B$1</f>
        <v>0.5061364566082811</v>
      </c>
      <c r="H134" s="3">
        <f>((C134-$C$2)/$C$1+(D134-$D$2)/$D$1+(E134-$E$2)/$E$1+(F134-$F$2)/$F$1)/4</f>
        <v>0.39184952017267072</v>
      </c>
      <c r="I134" s="19">
        <v>44071</v>
      </c>
      <c r="J134" s="20">
        <v>170.875</v>
      </c>
      <c r="K134" s="20">
        <v>73.760416666666686</v>
      </c>
      <c r="L134" s="20">
        <v>23.887499999999999</v>
      </c>
      <c r="M134" s="20">
        <v>0</v>
      </c>
      <c r="N134" s="20">
        <v>229.08333333333334</v>
      </c>
      <c r="O134" s="20">
        <v>6.979166666666667</v>
      </c>
      <c r="P134" s="20">
        <v>0.5625</v>
      </c>
      <c r="Q134" s="20">
        <v>18.835416666666667</v>
      </c>
      <c r="R134" s="10">
        <v>0.813013433523889</v>
      </c>
      <c r="S134" s="21">
        <v>0.27039583333333334</v>
      </c>
      <c r="T134" s="21">
        <v>0.40527083333333302</v>
      </c>
      <c r="U134" s="21">
        <v>0.48462500000000025</v>
      </c>
      <c r="V134" s="21">
        <v>0.49318750000000017</v>
      </c>
      <c r="W134" s="21">
        <v>0.47854166666666659</v>
      </c>
      <c r="X134" s="21">
        <v>0.3635000000000001</v>
      </c>
      <c r="Y134" s="21">
        <v>0.37539583333333321</v>
      </c>
      <c r="Z134" s="21">
        <v>0.33777083333333341</v>
      </c>
      <c r="AA134" s="21">
        <v>0.12256249999999996</v>
      </c>
      <c r="AB134" s="24">
        <f>AVERAGE(S134,W134)</f>
        <v>0.37446874999999996</v>
      </c>
      <c r="AC134" s="24">
        <f>AVERAGE(T134:V134,X134:Z134)</f>
        <v>0.40995833333333337</v>
      </c>
      <c r="AD134" s="24">
        <f t="shared" si="4"/>
        <v>0.40350568181818186</v>
      </c>
    </row>
    <row r="135" spans="1:30">
      <c r="A135" s="9">
        <v>44073</v>
      </c>
      <c r="B135" s="3">
        <v>443.74240170601331</v>
      </c>
      <c r="C135" s="3">
        <v>298.43649201606877</v>
      </c>
      <c r="D135" s="3">
        <v>470.68789029889558</v>
      </c>
      <c r="E135" s="3">
        <v>338.42439922235536</v>
      </c>
      <c r="F135" s="3">
        <v>461.37199388963199</v>
      </c>
      <c r="G135" s="3">
        <f>(B135-$B$2)/$B$1</f>
        <v>0.49147929614701569</v>
      </c>
      <c r="H135" s="3">
        <f>((C135-$C$2)/$C$1+(D135-$D$2)/$D$1+(E135-$E$2)/$E$1+(F135-$F$2)/$F$1)/4</f>
        <v>0.47857483650746102</v>
      </c>
      <c r="I135" s="19">
        <v>44073</v>
      </c>
      <c r="J135" s="20">
        <v>225.77083333333334</v>
      </c>
      <c r="K135" s="20">
        <v>76.106249999999989</v>
      </c>
      <c r="L135" s="20">
        <v>23.6875</v>
      </c>
      <c r="M135" s="20">
        <v>0</v>
      </c>
      <c r="N135" s="20">
        <v>234</v>
      </c>
      <c r="O135" s="20">
        <v>7.708333333333333</v>
      </c>
      <c r="P135" s="20">
        <v>0.52083333333333337</v>
      </c>
      <c r="Q135" s="20">
        <v>18.987500000000001</v>
      </c>
      <c r="R135" s="10">
        <v>0.77439546046441043</v>
      </c>
      <c r="S135" s="21">
        <v>0.25979166666666659</v>
      </c>
      <c r="T135" s="21">
        <v>0.37970833333333348</v>
      </c>
      <c r="U135" s="21">
        <v>0.45962499999999978</v>
      </c>
      <c r="V135" s="21">
        <v>0.46589583333333318</v>
      </c>
      <c r="W135" s="21">
        <v>0.47245833333333337</v>
      </c>
      <c r="X135" s="21">
        <v>0.34960416666666672</v>
      </c>
      <c r="Y135" s="21">
        <v>0.36062500000000003</v>
      </c>
      <c r="Z135" s="21">
        <v>0.32231250000000006</v>
      </c>
      <c r="AA135" s="21">
        <v>0.14199999999999999</v>
      </c>
      <c r="AB135" s="24">
        <f>AVERAGE(S135,W135)</f>
        <v>0.36612499999999998</v>
      </c>
      <c r="AC135" s="24">
        <f>AVERAGE(T135:V135,X135:Z135)</f>
        <v>0.38962847222222224</v>
      </c>
      <c r="AD135" s="24">
        <f t="shared" si="4"/>
        <v>0.38535511363636366</v>
      </c>
    </row>
    <row r="136" spans="1:30">
      <c r="A136" s="9">
        <v>44074</v>
      </c>
      <c r="B136" s="3">
        <v>466.73836505825693</v>
      </c>
      <c r="C136" s="3">
        <v>387.08696420797389</v>
      </c>
      <c r="D136" s="3">
        <v>505.1719509976225</v>
      </c>
      <c r="E136" s="3">
        <v>375.02709107889592</v>
      </c>
      <c r="F136" s="3">
        <v>490.28778280761605</v>
      </c>
      <c r="G136" s="3">
        <f>(B136-$B$2)/$B$1</f>
        <v>0.51726677399827936</v>
      </c>
      <c r="H136" s="3">
        <f>((C136-$C$2)/$C$1+(D136-$D$2)/$D$1+(E136-$E$2)/$E$1+(F136-$F$2)/$F$1)/4</f>
        <v>0.53542042940826273</v>
      </c>
      <c r="I136" s="19">
        <v>44074</v>
      </c>
      <c r="J136" s="20">
        <v>240.25</v>
      </c>
      <c r="K136" s="20">
        <v>69.504166666666649</v>
      </c>
      <c r="L136" s="20">
        <v>24.241666666666664</v>
      </c>
      <c r="M136" s="20">
        <v>0</v>
      </c>
      <c r="N136" s="20">
        <v>231.79166666666666</v>
      </c>
      <c r="O136" s="20">
        <v>3.9166666666666665</v>
      </c>
      <c r="P136" s="20">
        <v>0.14583333333333334</v>
      </c>
      <c r="Q136" s="20">
        <v>17.881249999999998</v>
      </c>
      <c r="R136" s="10">
        <v>1.0534122207005441</v>
      </c>
      <c r="S136" s="21">
        <v>0.25452083333333353</v>
      </c>
      <c r="T136" s="21">
        <v>0.36708333333333348</v>
      </c>
      <c r="U136" s="21">
        <v>0.44768750000000007</v>
      </c>
      <c r="V136" s="21">
        <v>0.45297916666666693</v>
      </c>
      <c r="W136" s="21">
        <v>0.4542500000000001</v>
      </c>
      <c r="X136" s="21">
        <v>0.34316666666666662</v>
      </c>
      <c r="Y136" s="21">
        <v>0.35310416666666661</v>
      </c>
      <c r="Z136" s="21">
        <v>0.31443750000000015</v>
      </c>
      <c r="AA136" s="21">
        <v>0.12542857142857142</v>
      </c>
      <c r="AB136" s="24">
        <f>AVERAGE(S136,W136)</f>
        <v>0.35438541666666679</v>
      </c>
      <c r="AC136" s="24">
        <f>AVERAGE(T136:V136,X136:Z136)</f>
        <v>0.37974305555555565</v>
      </c>
      <c r="AD136" s="24">
        <f t="shared" si="4"/>
        <v>0.37513257575757591</v>
      </c>
    </row>
    <row r="137" spans="1:30">
      <c r="A137" s="9">
        <v>44075</v>
      </c>
      <c r="B137" s="3">
        <v>405.21276794495941</v>
      </c>
      <c r="C137" s="3">
        <v>391.65351122318992</v>
      </c>
      <c r="D137" s="3">
        <v>470.09701746958928</v>
      </c>
      <c r="E137" s="3">
        <v>418.95748784722235</v>
      </c>
      <c r="F137" s="3">
        <v>450.41678540356173</v>
      </c>
      <c r="G137" s="3">
        <f>(B137-$B$2)/$B$1</f>
        <v>0.44827249232622529</v>
      </c>
      <c r="H137" s="3">
        <f>((C137-$C$2)/$C$1+(D137-$D$2)/$D$1+(E137-$E$2)/$E$1+(F137-$F$2)/$F$1)/4</f>
        <v>0.52513496317220054</v>
      </c>
      <c r="I137" s="19">
        <v>44075</v>
      </c>
      <c r="J137" s="20">
        <v>191.91666666666666</v>
      </c>
      <c r="K137" s="20">
        <v>72.070833333333354</v>
      </c>
      <c r="L137" s="20">
        <v>23.881250000000005</v>
      </c>
      <c r="M137" s="20">
        <v>0</v>
      </c>
      <c r="N137" s="20">
        <v>225.02083333333334</v>
      </c>
      <c r="O137" s="20">
        <v>3.0833333333333335</v>
      </c>
      <c r="P137" s="20">
        <v>0.14583333333333334</v>
      </c>
      <c r="Q137" s="20">
        <v>18.164583333333329</v>
      </c>
      <c r="R137" s="10">
        <v>0.94910748691109825</v>
      </c>
      <c r="S137" s="21">
        <v>0.24997916666666645</v>
      </c>
      <c r="T137" s="21">
        <v>0.3570208333333334</v>
      </c>
      <c r="U137" s="21">
        <v>0.43810416666666679</v>
      </c>
      <c r="V137" s="21">
        <v>0.44197916666666703</v>
      </c>
      <c r="W137" s="21">
        <v>0.44227083333333334</v>
      </c>
      <c r="X137" s="21">
        <v>0.33752083333333366</v>
      </c>
      <c r="Y137" s="21">
        <v>0.34672916666666675</v>
      </c>
      <c r="Z137" s="21">
        <v>0.30762499999999998</v>
      </c>
      <c r="AA137" s="21">
        <v>0.1176</v>
      </c>
      <c r="AB137" s="24">
        <f>AVERAGE(S137,W137)</f>
        <v>0.3461249999999999</v>
      </c>
      <c r="AC137" s="24">
        <f>AVERAGE(T137:V137,X137:Z137)</f>
        <v>0.37149652777777792</v>
      </c>
      <c r="AD137" s="24">
        <f t="shared" ref="AD137:AD200" si="5">(AB137*10+AC137*45)/55</f>
        <v>0.36688352272727282</v>
      </c>
    </row>
    <row r="138" spans="1:30">
      <c r="A138" s="9">
        <v>44076</v>
      </c>
      <c r="B138" s="3">
        <v>334.81286586864769</v>
      </c>
      <c r="C138" s="3">
        <v>353.90957499762055</v>
      </c>
      <c r="D138" s="3">
        <v>478.81072010553498</v>
      </c>
      <c r="E138" s="3">
        <v>446.06160325384184</v>
      </c>
      <c r="F138" s="3">
        <v>420.06591634321393</v>
      </c>
      <c r="G138" s="3">
        <f>(B138-$B$2)/$B$1</f>
        <v>0.36932664049493458</v>
      </c>
      <c r="H138" s="3">
        <f>((C138-$C$2)/$C$1+(D138-$D$2)/$D$1+(E138-$E$2)/$E$1+(F138-$F$2)/$F$1)/4</f>
        <v>0.51378803000499962</v>
      </c>
      <c r="I138" s="19">
        <v>44076</v>
      </c>
      <c r="J138" s="20">
        <v>256.45833333333331</v>
      </c>
      <c r="K138" s="20">
        <v>70.739583333333329</v>
      </c>
      <c r="L138" s="20">
        <v>24.668749999999999</v>
      </c>
      <c r="M138" s="20">
        <v>0.5</v>
      </c>
      <c r="N138" s="20">
        <v>202.25</v>
      </c>
      <c r="O138" s="20">
        <v>3.7291666666666665</v>
      </c>
      <c r="P138" s="20">
        <v>0.1875</v>
      </c>
      <c r="Q138" s="20">
        <v>18.389583333333334</v>
      </c>
      <c r="R138" s="10">
        <v>1.1199542459123231</v>
      </c>
      <c r="S138" s="21">
        <v>0.24629166666666649</v>
      </c>
      <c r="T138" s="21">
        <v>0.34862500000000013</v>
      </c>
      <c r="U138" s="21">
        <v>0.43047916666666658</v>
      </c>
      <c r="V138" s="21">
        <v>0.43322916666666633</v>
      </c>
      <c r="W138" s="21">
        <v>0.43414583333333301</v>
      </c>
      <c r="X138" s="21">
        <v>0.33312499999999995</v>
      </c>
      <c r="Y138" s="21">
        <v>0.34102083333333327</v>
      </c>
      <c r="Z138" s="21">
        <v>0.30141666666666661</v>
      </c>
      <c r="AA138" s="21">
        <v>0.115</v>
      </c>
      <c r="AB138" s="24">
        <f>AVERAGE(S138,W138)</f>
        <v>0.34021874999999974</v>
      </c>
      <c r="AC138" s="24">
        <f>AVERAGE(T138:V138,X138:Z138)</f>
        <v>0.36464930555555547</v>
      </c>
      <c r="AD138" s="24">
        <f t="shared" si="5"/>
        <v>0.36020738636363625</v>
      </c>
    </row>
    <row r="139" spans="1:30">
      <c r="A139" s="9">
        <v>44077</v>
      </c>
      <c r="B139" s="3">
        <v>164.10447185281456</v>
      </c>
      <c r="C139" s="3">
        <v>170.4072437629307</v>
      </c>
      <c r="D139" s="3">
        <v>216.37226673633737</v>
      </c>
      <c r="E139" s="3">
        <v>274.35878875938073</v>
      </c>
      <c r="F139" s="3">
        <v>243.91455378900696</v>
      </c>
      <c r="G139" s="3">
        <f>(B139-$B$2)/$B$1</f>
        <v>0.1778956983648855</v>
      </c>
      <c r="H139" s="3">
        <f>((C139-$C$2)/$C$1+(D139-$D$2)/$D$1+(E139-$E$2)/$E$1+(F139-$F$2)/$F$1)/4</f>
        <v>0.26747682497129799</v>
      </c>
      <c r="I139" s="19">
        <v>44077</v>
      </c>
      <c r="J139" s="20">
        <v>106.08333333333333</v>
      </c>
      <c r="K139" s="20">
        <v>83.999999999999986</v>
      </c>
      <c r="L139" s="20">
        <v>21.887499999999999</v>
      </c>
      <c r="M139" s="20">
        <v>0.2</v>
      </c>
      <c r="N139" s="20">
        <v>193.97916666666666</v>
      </c>
      <c r="O139" s="20">
        <v>2.8958333333333335</v>
      </c>
      <c r="P139" s="20">
        <v>2.0833333333333332E-2</v>
      </c>
      <c r="Q139" s="20">
        <v>18.977083333333329</v>
      </c>
      <c r="R139" s="10">
        <v>0.44841211900930383</v>
      </c>
      <c r="S139" s="21">
        <v>0.24429166666666657</v>
      </c>
      <c r="T139" s="21">
        <v>0.34302083333333333</v>
      </c>
      <c r="U139" s="21">
        <v>0.42570833333333313</v>
      </c>
      <c r="V139" s="21">
        <v>0.42839583333333325</v>
      </c>
      <c r="W139" s="21">
        <v>0.42966666666666681</v>
      </c>
      <c r="X139" s="21">
        <v>0.33070833333333344</v>
      </c>
      <c r="Y139" s="21">
        <v>0.33739583333333334</v>
      </c>
      <c r="Z139" s="21">
        <v>0.29718749999999988</v>
      </c>
      <c r="AA139" s="21">
        <v>0.111</v>
      </c>
      <c r="AB139" s="24">
        <f>AVERAGE(S139,W139)</f>
        <v>0.33697916666666672</v>
      </c>
      <c r="AC139" s="24">
        <f>AVERAGE(T139:V139,X139:Z139)</f>
        <v>0.36040277777777768</v>
      </c>
      <c r="AD139" s="24">
        <f t="shared" si="5"/>
        <v>0.35614393939393935</v>
      </c>
    </row>
    <row r="140" spans="1:30">
      <c r="A140" s="9">
        <v>44078</v>
      </c>
      <c r="B140" s="3">
        <v>304.35771082005743</v>
      </c>
      <c r="C140" s="3">
        <v>347.87841244801416</v>
      </c>
      <c r="D140" s="3">
        <v>358.62687689419732</v>
      </c>
      <c r="E140" s="3">
        <v>439.80413688764435</v>
      </c>
      <c r="F140" s="3">
        <v>397.82413054995652</v>
      </c>
      <c r="G140" s="3">
        <f>(B140-$B$2)/$B$1</f>
        <v>0.33517448847405845</v>
      </c>
      <c r="H140" s="3">
        <f>((C140-$C$2)/$C$1+(D140-$D$2)/$D$1+(E140-$E$2)/$E$1+(F140-$F$2)/$F$1)/4</f>
        <v>0.46803444263993299</v>
      </c>
      <c r="I140" s="19">
        <v>44078</v>
      </c>
      <c r="J140" s="20">
        <v>213.125</v>
      </c>
      <c r="K140" s="20">
        <v>73.822916666666643</v>
      </c>
      <c r="L140" s="20">
        <v>23.714583333333326</v>
      </c>
      <c r="M140" s="20">
        <v>0</v>
      </c>
      <c r="N140" s="20">
        <v>236.45833333333334</v>
      </c>
      <c r="O140" s="20">
        <v>8.2291666666666661</v>
      </c>
      <c r="P140" s="20">
        <v>0.6875</v>
      </c>
      <c r="Q140" s="20">
        <v>18.566666666666663</v>
      </c>
      <c r="R140" s="10">
        <v>0.83531737074946644</v>
      </c>
      <c r="S140" s="21">
        <v>0.24183333333333326</v>
      </c>
      <c r="T140" s="21">
        <v>0.33712500000000006</v>
      </c>
      <c r="U140" s="21">
        <v>0.42108333333333331</v>
      </c>
      <c r="V140" s="21">
        <v>0.42389583333333358</v>
      </c>
      <c r="W140" s="21">
        <v>0.42566666666666647</v>
      </c>
      <c r="X140" s="21">
        <v>0.32789583333333339</v>
      </c>
      <c r="Y140" s="21">
        <v>0.33385416666666673</v>
      </c>
      <c r="Z140" s="21">
        <v>0.29402083333333323</v>
      </c>
      <c r="AA140" s="21">
        <v>0.111</v>
      </c>
      <c r="AB140" s="24">
        <f>AVERAGE(S140,W140)</f>
        <v>0.33374999999999988</v>
      </c>
      <c r="AC140" s="24">
        <f>AVERAGE(T140:V140,X140:Z140)</f>
        <v>0.35631250000000003</v>
      </c>
      <c r="AD140" s="24">
        <f t="shared" si="5"/>
        <v>0.35221022727272727</v>
      </c>
    </row>
    <row r="141" spans="1:30">
      <c r="A141" s="9">
        <v>44081</v>
      </c>
      <c r="B141" s="3">
        <v>246.14827995906052</v>
      </c>
      <c r="C141" s="3">
        <v>212.78471358619092</v>
      </c>
      <c r="D141" s="3">
        <v>269.89565623619535</v>
      </c>
      <c r="E141" s="3">
        <v>263.16198143759283</v>
      </c>
      <c r="F141" s="3">
        <v>172.17959012250847</v>
      </c>
      <c r="G141" s="3">
        <f>(B141-$B$2)/$B$1</f>
        <v>0.26989892745190347</v>
      </c>
      <c r="H141" s="3">
        <f>((C141-$C$2)/$C$1+(D141-$D$2)/$D$1+(E141-$E$2)/$E$1+(F141-$F$2)/$F$1)/4</f>
        <v>0.26256553587855391</v>
      </c>
      <c r="I141" s="19">
        <v>44081</v>
      </c>
      <c r="J141" s="20">
        <v>121.29166666666667</v>
      </c>
      <c r="K141" s="20">
        <v>80.939583333333331</v>
      </c>
      <c r="L141" s="20">
        <v>20.372916666666665</v>
      </c>
      <c r="M141" s="20">
        <v>0</v>
      </c>
      <c r="N141" s="20">
        <v>198.39583333333334</v>
      </c>
      <c r="O141" s="20">
        <v>3.3958333333333335</v>
      </c>
      <c r="P141" s="20">
        <v>0</v>
      </c>
      <c r="Q141" s="20">
        <v>16.927083333333332</v>
      </c>
      <c r="R141" s="10">
        <v>0.4819711981961981</v>
      </c>
      <c r="S141" s="21">
        <v>0.37745833333333323</v>
      </c>
      <c r="T141" s="21">
        <v>0.45718750000000047</v>
      </c>
      <c r="U141" s="21">
        <v>0.55174999999999985</v>
      </c>
      <c r="V141" s="21">
        <v>0.58091666666666653</v>
      </c>
      <c r="W141" s="21">
        <v>0.58527083333333307</v>
      </c>
      <c r="X141" s="21">
        <v>0.43731249999999999</v>
      </c>
      <c r="Y141" s="21">
        <v>0.37354166666666672</v>
      </c>
      <c r="Z141" s="21">
        <v>0.30608333333333304</v>
      </c>
      <c r="AA141" s="21">
        <v>0.23264583333333341</v>
      </c>
      <c r="AB141" s="24">
        <f>AVERAGE(S141,W141)</f>
        <v>0.48136458333333315</v>
      </c>
      <c r="AC141" s="24">
        <f>AVERAGE(T141:V141,X141:Z141)</f>
        <v>0.45113194444444443</v>
      </c>
      <c r="AD141" s="24">
        <f t="shared" si="5"/>
        <v>0.45662878787878786</v>
      </c>
    </row>
    <row r="142" spans="1:30">
      <c r="A142" s="9">
        <v>44083</v>
      </c>
      <c r="B142" s="3">
        <v>328.79834336209285</v>
      </c>
      <c r="C142" s="3">
        <v>327.95700333592788</v>
      </c>
      <c r="D142" s="3">
        <v>332.89531933738198</v>
      </c>
      <c r="E142" s="3">
        <v>335.70882203777057</v>
      </c>
      <c r="F142" s="3">
        <v>303.54580068490804</v>
      </c>
      <c r="G142" s="3">
        <f>(B142-$B$2)/$B$1</f>
        <v>0.36258200607593005</v>
      </c>
      <c r="H142" s="3">
        <f>((C142-$C$2)/$C$1+(D142-$D$2)/$D$1+(E142-$E$2)/$E$1+(F142-$F$2)/$F$1)/4</f>
        <v>0.3859309054724912</v>
      </c>
      <c r="I142" s="19">
        <v>44083</v>
      </c>
      <c r="J142" s="20">
        <v>199.64583333333334</v>
      </c>
      <c r="K142" s="20">
        <v>82.170833333333334</v>
      </c>
      <c r="L142" s="20">
        <v>22.497916666666658</v>
      </c>
      <c r="M142" s="20">
        <v>0.7</v>
      </c>
      <c r="N142" s="20">
        <v>228.08333333333334</v>
      </c>
      <c r="O142" s="20">
        <v>5.083333333333333</v>
      </c>
      <c r="P142" s="20">
        <v>0.45833333333333331</v>
      </c>
      <c r="Q142" s="20">
        <v>19.054166666666664</v>
      </c>
      <c r="R142" s="10">
        <v>0.57077725915487598</v>
      </c>
      <c r="S142" s="21">
        <v>0.3504374999999999</v>
      </c>
      <c r="T142" s="21">
        <v>0.44356250000000036</v>
      </c>
      <c r="U142" s="21">
        <v>0.53585416666666652</v>
      </c>
      <c r="V142" s="21">
        <v>0.56485416666666655</v>
      </c>
      <c r="W142" s="21">
        <v>0.56677083333333333</v>
      </c>
      <c r="X142" s="21">
        <v>0.41168749999999976</v>
      </c>
      <c r="Y142" s="21">
        <v>0.37139583333333331</v>
      </c>
      <c r="Z142" s="21">
        <v>0.30770833333333342</v>
      </c>
      <c r="AA142" s="21">
        <v>0.21797916666666664</v>
      </c>
      <c r="AB142" s="24">
        <f>AVERAGE(S142,W142)</f>
        <v>0.45860416666666659</v>
      </c>
      <c r="AC142" s="24">
        <f>AVERAGE(T142:V142,X142:Z142)</f>
        <v>0.43917708333333327</v>
      </c>
      <c r="AD142" s="24">
        <f t="shared" si="5"/>
        <v>0.44270928030303031</v>
      </c>
    </row>
    <row r="143" spans="1:30">
      <c r="A143" s="9">
        <v>44085</v>
      </c>
      <c r="B143" s="3">
        <v>62.138171960150565</v>
      </c>
      <c r="C143" s="3">
        <v>164.81417361465327</v>
      </c>
      <c r="D143" s="3">
        <v>124.81222298373844</v>
      </c>
      <c r="E143" s="3">
        <v>198.72219603509802</v>
      </c>
      <c r="F143" s="3">
        <v>182.98470224218033</v>
      </c>
      <c r="G143" s="3">
        <f>(B143-$B$2)/$B$1</f>
        <v>6.3551556317849617E-2</v>
      </c>
      <c r="H143" s="3">
        <f>((C143-$C$2)/$C$1+(D143-$D$2)/$D$1+(E143-$E$2)/$E$1+(F143-$F$2)/$F$1)/4</f>
        <v>0.19295284902172471</v>
      </c>
      <c r="I143" s="19">
        <v>44085</v>
      </c>
      <c r="J143" s="20">
        <v>92.854166666666671</v>
      </c>
      <c r="K143" s="20">
        <v>88.66249999999998</v>
      </c>
      <c r="L143" s="20">
        <v>20.183333333333334</v>
      </c>
      <c r="M143" s="20">
        <v>0.8</v>
      </c>
      <c r="N143" s="20">
        <v>274.60416666666669</v>
      </c>
      <c r="O143" s="20">
        <v>2.9166666666666665</v>
      </c>
      <c r="P143" s="20">
        <v>2.0833333333333332E-2</v>
      </c>
      <c r="Q143" s="20">
        <v>18.231249999999999</v>
      </c>
      <c r="R143" s="10">
        <v>0.27932895142493969</v>
      </c>
      <c r="S143" s="21">
        <v>0.385125</v>
      </c>
      <c r="T143" s="21">
        <v>0.50652083333333364</v>
      </c>
      <c r="U143" s="21">
        <v>0.58610416666666632</v>
      </c>
      <c r="V143" s="21">
        <v>0.60225000000000006</v>
      </c>
      <c r="W143" s="21">
        <v>0.60366666666666668</v>
      </c>
      <c r="X143" s="21">
        <v>0.46910416666666649</v>
      </c>
      <c r="Y143" s="21">
        <v>0.41295833333333332</v>
      </c>
      <c r="Z143" s="21">
        <v>0.33918749999999992</v>
      </c>
      <c r="AA143" s="21">
        <v>0.2613125</v>
      </c>
      <c r="AB143" s="24">
        <f>AVERAGE(S143,W143)</f>
        <v>0.49439583333333337</v>
      </c>
      <c r="AC143" s="24">
        <f>AVERAGE(T143:V143,X143:Z143)</f>
        <v>0.48602083333333329</v>
      </c>
      <c r="AD143" s="24">
        <f t="shared" si="5"/>
        <v>0.48754356060606058</v>
      </c>
    </row>
    <row r="144" spans="1:30">
      <c r="A144" s="9">
        <v>44092</v>
      </c>
      <c r="B144" s="3">
        <v>102.94503845179466</v>
      </c>
      <c r="C144" s="3">
        <v>147.86485296969312</v>
      </c>
      <c r="D144" s="3">
        <v>129.72645215753423</v>
      </c>
      <c r="E144" s="3">
        <v>103.83735511475147</v>
      </c>
      <c r="F144" s="3">
        <v>188.44472299660362</v>
      </c>
      <c r="G144" s="3">
        <f>(B144-$B$2)/$B$1</f>
        <v>0.10931202956760691</v>
      </c>
      <c r="H144" s="3">
        <f>((C144-$C$2)/$C$1+(D144-$D$2)/$D$1+(E144-$E$2)/$E$1+(F144-$F$2)/$F$1)/4</f>
        <v>0.16201559659097348</v>
      </c>
      <c r="I144" s="19">
        <v>44092</v>
      </c>
      <c r="J144" s="20">
        <v>86</v>
      </c>
      <c r="K144" s="20">
        <v>86.356250000000003</v>
      </c>
      <c r="L144" s="20">
        <v>15.956249999999997</v>
      </c>
      <c r="M144" s="20">
        <v>0</v>
      </c>
      <c r="N144" s="20">
        <v>230.5625</v>
      </c>
      <c r="O144" s="20">
        <v>3.0833333333333335</v>
      </c>
      <c r="P144" s="20">
        <v>0</v>
      </c>
      <c r="Q144" s="20">
        <v>13.652083333333337</v>
      </c>
      <c r="R144" s="10">
        <v>0.25914933858694983</v>
      </c>
      <c r="S144" s="21">
        <v>0.44347916666666665</v>
      </c>
      <c r="T144" s="21">
        <v>0.53712500000000019</v>
      </c>
      <c r="U144" s="21">
        <v>0.58906249999999949</v>
      </c>
      <c r="V144" s="21">
        <v>0.60060416666666672</v>
      </c>
      <c r="W144" s="21">
        <v>0.60552083333333317</v>
      </c>
      <c r="X144" s="21">
        <v>0.50706250000000008</v>
      </c>
      <c r="Y144" s="21">
        <v>0.47197916666666678</v>
      </c>
      <c r="Z144" s="21">
        <v>0.41193750000000001</v>
      </c>
      <c r="AA144" s="21">
        <v>0.27095833333333341</v>
      </c>
      <c r="AB144" s="24">
        <f>AVERAGE(S144,W144)</f>
        <v>0.52449999999999997</v>
      </c>
      <c r="AC144" s="24">
        <f>AVERAGE(T144:V144,X144:Z144)</f>
        <v>0.51962847222222219</v>
      </c>
      <c r="AD144" s="24">
        <f t="shared" si="5"/>
        <v>0.52051420454545461</v>
      </c>
    </row>
    <row r="145" spans="1:30">
      <c r="A145" s="9">
        <v>44094</v>
      </c>
      <c r="B145" s="3">
        <v>140.30264269887402</v>
      </c>
      <c r="C145" s="3">
        <v>252.44498225079369</v>
      </c>
      <c r="D145" s="3">
        <v>207.7444450551443</v>
      </c>
      <c r="E145" s="3">
        <v>253.13625456481026</v>
      </c>
      <c r="F145" s="3">
        <v>225.12306180165805</v>
      </c>
      <c r="G145" s="3">
        <f>(B145-$B$2)/$B$1</f>
        <v>0.15120452945297655</v>
      </c>
      <c r="H145" s="3">
        <f>((C145-$C$2)/$C$1+(D145-$D$2)/$D$1+(E145-$E$2)/$E$1+(F145-$F$2)/$F$1)/4</f>
        <v>0.27374508996891306</v>
      </c>
      <c r="I145" s="19">
        <v>44094</v>
      </c>
      <c r="J145" s="20">
        <v>116.41666666666667</v>
      </c>
      <c r="K145" s="20">
        <v>89.466666666666683</v>
      </c>
      <c r="L145" s="20">
        <v>18.916666666666664</v>
      </c>
      <c r="M145" s="20">
        <v>1.2</v>
      </c>
      <c r="N145" s="20">
        <v>219.08333333333334</v>
      </c>
      <c r="O145" s="20">
        <v>5.4375</v>
      </c>
      <c r="P145" s="20">
        <v>0.60416666666666663</v>
      </c>
      <c r="Q145" s="20">
        <v>17.070833333333333</v>
      </c>
      <c r="R145" s="10">
        <v>0.2580243093805582</v>
      </c>
      <c r="S145" s="21">
        <v>0.4479999999999999</v>
      </c>
      <c r="T145" s="21">
        <v>0.5366875000000001</v>
      </c>
      <c r="U145" s="21">
        <v>0.58810416666666665</v>
      </c>
      <c r="V145" s="21">
        <v>0.59606250000000005</v>
      </c>
      <c r="W145" s="21">
        <v>0.60210416666666722</v>
      </c>
      <c r="X145" s="21">
        <v>0.49849999999999967</v>
      </c>
      <c r="Y145" s="21">
        <v>0.46618749999999992</v>
      </c>
      <c r="Z145" s="21">
        <v>0.40474999999999978</v>
      </c>
      <c r="AA145" s="21">
        <v>0.26545833333333335</v>
      </c>
      <c r="AB145" s="24">
        <f>AVERAGE(S145,W145)</f>
        <v>0.52505208333333353</v>
      </c>
      <c r="AC145" s="24">
        <f>AVERAGE(T145:V145,X145:Z145)</f>
        <v>0.515048611111111</v>
      </c>
      <c r="AD145" s="24">
        <f t="shared" si="5"/>
        <v>0.51686742424242416</v>
      </c>
    </row>
    <row r="146" spans="1:30">
      <c r="A146" s="9">
        <v>44095</v>
      </c>
      <c r="B146" s="3">
        <v>202.16793789253646</v>
      </c>
      <c r="C146" s="3">
        <v>293.03856148702891</v>
      </c>
      <c r="D146" s="3">
        <v>221.53212651478842</v>
      </c>
      <c r="E146" s="3">
        <v>238.0758585184189</v>
      </c>
      <c r="F146" s="3">
        <v>165.93092290582214</v>
      </c>
      <c r="G146" s="3">
        <f>(B146-$B$2)/$B$1</f>
        <v>0.22057974566512117</v>
      </c>
      <c r="H146" s="3">
        <f>((C146-$C$2)/$C$1+(D146-$D$2)/$D$1+(E146-$E$2)/$E$1+(F146-$F$2)/$F$1)/4</f>
        <v>0.26096765440231723</v>
      </c>
      <c r="I146" s="19">
        <v>44095</v>
      </c>
      <c r="J146" s="20">
        <v>130.0625</v>
      </c>
      <c r="K146" s="20">
        <v>87.537500000000023</v>
      </c>
      <c r="L146" s="20">
        <v>20.218750000000004</v>
      </c>
      <c r="M146" s="20">
        <v>0.2</v>
      </c>
      <c r="N146" s="20">
        <v>234.14583333333334</v>
      </c>
      <c r="O146" s="20">
        <v>11.666666666666666</v>
      </c>
      <c r="P146" s="20">
        <v>1.9375</v>
      </c>
      <c r="Q146" s="20">
        <v>18.020833333333339</v>
      </c>
      <c r="R146" s="10">
        <v>0.31866418686983872</v>
      </c>
      <c r="S146" s="21">
        <v>0.43704166666666677</v>
      </c>
      <c r="T146" s="21">
        <v>0.5305624999999996</v>
      </c>
      <c r="U146" s="21">
        <v>0.58535416666666629</v>
      </c>
      <c r="V146" s="21">
        <v>0.59518750000000042</v>
      </c>
      <c r="W146" s="21">
        <v>0.60185416666666647</v>
      </c>
      <c r="X146" s="21">
        <v>0.49622916666666655</v>
      </c>
      <c r="Y146" s="21">
        <v>0.46489583333333312</v>
      </c>
      <c r="Z146" s="21">
        <v>0.40316666666666673</v>
      </c>
      <c r="AA146" s="21">
        <v>0.26047916666666654</v>
      </c>
      <c r="AB146" s="24">
        <f>AVERAGE(S146,W146)</f>
        <v>0.51944791666666656</v>
      </c>
      <c r="AC146" s="24">
        <f>AVERAGE(T146:V146,X146:Z146)</f>
        <v>0.51256597222222211</v>
      </c>
      <c r="AD146" s="24">
        <f t="shared" si="5"/>
        <v>0.51381723484848474</v>
      </c>
    </row>
    <row r="147" spans="1:30">
      <c r="A147" s="9">
        <v>44097</v>
      </c>
      <c r="B147" s="3">
        <v>30.073486948225863</v>
      </c>
      <c r="C147" s="3">
        <v>119.31638355683479</v>
      </c>
      <c r="D147" s="3">
        <v>49.526321475161687</v>
      </c>
      <c r="E147" s="3">
        <v>131.18725591154336</v>
      </c>
      <c r="F147" s="3">
        <v>43.667305770012753</v>
      </c>
      <c r="G147" s="3">
        <f>(B147-$B$2)/$B$1</f>
        <v>2.7594491076132811E-2</v>
      </c>
      <c r="H147" s="3">
        <f>((C147-$C$2)/$C$1+(D147-$D$2)/$D$1+(E147-$E$2)/$E$1+(F147-$F$2)/$F$1)/4</f>
        <v>8.3880808617622232E-2</v>
      </c>
      <c r="I147" s="19">
        <v>44097</v>
      </c>
      <c r="J147" s="20">
        <v>71.166666666666671</v>
      </c>
      <c r="K147" s="20">
        <v>88.441666666666649</v>
      </c>
      <c r="L147" s="20">
        <v>15.958333333333336</v>
      </c>
      <c r="M147" s="20">
        <v>0.4</v>
      </c>
      <c r="N147" s="20">
        <v>241.875</v>
      </c>
      <c r="O147" s="20">
        <v>2.3333333333333335</v>
      </c>
      <c r="P147" s="20">
        <v>0</v>
      </c>
      <c r="Q147" s="20">
        <v>14.029166666666669</v>
      </c>
      <c r="R147" s="10">
        <v>0.21442741072654561</v>
      </c>
      <c r="S147" s="21">
        <v>0.44408333333333377</v>
      </c>
      <c r="T147" s="21">
        <v>0.53808333333333325</v>
      </c>
      <c r="U147" s="21">
        <v>0.58991666666666664</v>
      </c>
      <c r="V147" s="21">
        <v>0.60145833333333354</v>
      </c>
      <c r="W147" s="21">
        <v>0.60725000000000029</v>
      </c>
      <c r="X147" s="21">
        <v>0.50941666666666663</v>
      </c>
      <c r="Y147" s="21">
        <v>0.47152083333333333</v>
      </c>
      <c r="Z147" s="21">
        <v>0.40956250000000005</v>
      </c>
      <c r="AA147" s="21">
        <v>0.26762500000000006</v>
      </c>
      <c r="AB147" s="24">
        <f>AVERAGE(S147,W147)</f>
        <v>0.52566666666666706</v>
      </c>
      <c r="AC147" s="24">
        <f>AVERAGE(T147:V147,X147:Z147)</f>
        <v>0.51999305555555564</v>
      </c>
      <c r="AD147" s="24">
        <f t="shared" si="5"/>
        <v>0.52102462121212134</v>
      </c>
    </row>
    <row r="148" spans="1:30">
      <c r="A148" s="9">
        <v>44098</v>
      </c>
      <c r="B148" s="3">
        <v>98.920788184544023</v>
      </c>
      <c r="C148" s="3">
        <v>228.16239019940139</v>
      </c>
      <c r="D148" s="3">
        <v>115.01584398156417</v>
      </c>
      <c r="E148" s="3">
        <v>267.97890256470549</v>
      </c>
      <c r="F148" s="3">
        <v>74.261358841231868</v>
      </c>
      <c r="G148" s="3">
        <f>(B148-$B$2)/$B$1</f>
        <v>0.10479926952163378</v>
      </c>
      <c r="H148" s="3">
        <f>((C148-$C$2)/$C$1+(D148-$D$2)/$D$1+(E148-$E$2)/$E$1+(F148-$F$2)/$F$1)/4</f>
        <v>0.18700530090753759</v>
      </c>
      <c r="I148" s="19">
        <v>44098</v>
      </c>
      <c r="J148" s="20">
        <v>77.104166666666671</v>
      </c>
      <c r="K148" s="20">
        <v>88.752083333333317</v>
      </c>
      <c r="L148" s="20">
        <v>16.845833333333335</v>
      </c>
      <c r="M148" s="20">
        <v>0</v>
      </c>
      <c r="N148" s="20">
        <v>232.66666666666666</v>
      </c>
      <c r="O148" s="20">
        <v>3.3958333333333335</v>
      </c>
      <c r="P148" s="20">
        <v>0.33333333333333331</v>
      </c>
      <c r="Q148" s="20">
        <v>14.943749999999994</v>
      </c>
      <c r="R148" s="10">
        <v>0.22779546995063379</v>
      </c>
      <c r="S148" s="21">
        <v>0.43583333333333335</v>
      </c>
      <c r="T148" s="21">
        <v>0.5310625000000001</v>
      </c>
      <c r="U148" s="21">
        <v>0.58462499999999951</v>
      </c>
      <c r="V148" s="21">
        <v>0.59670833333333306</v>
      </c>
      <c r="W148" s="21">
        <v>0.60183333333333289</v>
      </c>
      <c r="X148" s="21">
        <v>0.50222916666666673</v>
      </c>
      <c r="Y148" s="21">
        <v>0.46781250000000024</v>
      </c>
      <c r="Z148" s="21">
        <v>0.40604166666666686</v>
      </c>
      <c r="AA148" s="21">
        <v>0.26729166666666682</v>
      </c>
      <c r="AB148" s="24">
        <f>AVERAGE(S148,W148)</f>
        <v>0.51883333333333315</v>
      </c>
      <c r="AC148" s="24">
        <f>AVERAGE(T148:V148,X148:Z148)</f>
        <v>0.51474652777777774</v>
      </c>
      <c r="AD148" s="24">
        <f t="shared" si="5"/>
        <v>0.51548958333333328</v>
      </c>
    </row>
    <row r="149" spans="1:30">
      <c r="A149" s="9">
        <v>44104</v>
      </c>
      <c r="B149" s="3">
        <v>153.84372910512474</v>
      </c>
      <c r="C149" s="3">
        <v>329.28166919062909</v>
      </c>
      <c r="D149" s="3">
        <v>273.80446726559541</v>
      </c>
      <c r="E149" s="3">
        <v>325.33711621470809</v>
      </c>
      <c r="F149" s="3">
        <v>260.61286097862956</v>
      </c>
      <c r="G149" s="3">
        <f>(B149-$B$2)/$B$1</f>
        <v>0.166389388657806</v>
      </c>
      <c r="H149" s="3">
        <f>((C149-$C$2)/$C$1+(D149-$D$2)/$D$1+(E149-$E$2)/$E$1+(F149-$F$2)/$F$1)/4</f>
        <v>0.34984352828174792</v>
      </c>
      <c r="I149" s="19">
        <v>44104</v>
      </c>
      <c r="J149" s="20">
        <v>96.916666666666671</v>
      </c>
      <c r="K149" s="20">
        <v>84.831250000000026</v>
      </c>
      <c r="L149" s="20">
        <v>17.425000000000001</v>
      </c>
      <c r="M149" s="20">
        <v>0.2</v>
      </c>
      <c r="N149" s="20">
        <v>238.5625</v>
      </c>
      <c r="O149" s="20">
        <v>3.0208333333333335</v>
      </c>
      <c r="P149" s="20">
        <v>2.0833333333333332E-2</v>
      </c>
      <c r="Q149" s="20">
        <v>14.762499999999994</v>
      </c>
      <c r="R149" s="10">
        <v>0.32498057476171205</v>
      </c>
      <c r="S149" s="21">
        <v>0.44704166666666673</v>
      </c>
      <c r="T149" s="21">
        <v>0.53937500000000016</v>
      </c>
      <c r="U149" s="21">
        <v>0.58866666666666612</v>
      </c>
      <c r="V149" s="21">
        <v>0.59977083333333336</v>
      </c>
      <c r="W149" s="21">
        <v>0.60564583333333322</v>
      </c>
      <c r="X149" s="21">
        <v>0.5088750000000003</v>
      </c>
      <c r="Y149" s="21">
        <v>0.47039583333333335</v>
      </c>
      <c r="Z149" s="21">
        <v>0.40877083333333325</v>
      </c>
      <c r="AA149" s="21">
        <v>0.28685416666666658</v>
      </c>
      <c r="AB149" s="24">
        <f>AVERAGE(S149,W149)</f>
        <v>0.52634375</v>
      </c>
      <c r="AC149" s="24">
        <f>AVERAGE(T149:V149,X149:Z149)</f>
        <v>0.51930902777777777</v>
      </c>
      <c r="AD149" s="24">
        <f t="shared" si="5"/>
        <v>0.52058806818181813</v>
      </c>
    </row>
    <row r="150" spans="1:30">
      <c r="A150" s="9">
        <v>44106</v>
      </c>
      <c r="B150" s="3">
        <v>171.04392092411095</v>
      </c>
      <c r="C150" s="3">
        <v>344.0346769909961</v>
      </c>
      <c r="D150" s="3">
        <v>278.02229248083887</v>
      </c>
      <c r="E150" s="3">
        <v>440.77768554815452</v>
      </c>
      <c r="F150" s="3">
        <v>309.24713559226007</v>
      </c>
      <c r="G150" s="3">
        <f>(B150-$B$2)/$B$1</f>
        <v>0.18567753757226829</v>
      </c>
      <c r="H150" s="3">
        <f>((C150-$C$2)/$C$1+(D150-$D$2)/$D$1+(E150-$E$2)/$E$1+(F150-$F$2)/$F$1)/4</f>
        <v>0.41027505008512904</v>
      </c>
      <c r="I150" s="19">
        <v>44106</v>
      </c>
      <c r="J150" s="20">
        <v>113.4375</v>
      </c>
      <c r="K150" s="20">
        <v>86.733333333333334</v>
      </c>
      <c r="L150" s="20">
        <v>20.795833333333324</v>
      </c>
      <c r="M150" s="20">
        <v>0.89999999999999991</v>
      </c>
      <c r="N150" s="20">
        <v>234.0625</v>
      </c>
      <c r="O150" s="20">
        <v>14.354166666666666</v>
      </c>
      <c r="P150" s="20">
        <v>2.7916666666666665</v>
      </c>
      <c r="Q150" s="20">
        <v>18.443750000000005</v>
      </c>
      <c r="R150" s="10">
        <v>0.34971332741970568</v>
      </c>
      <c r="S150" s="21">
        <v>0.44768750000000002</v>
      </c>
      <c r="T150" s="21">
        <v>0.53368750000000043</v>
      </c>
      <c r="U150" s="21">
        <v>0.58470833333333327</v>
      </c>
      <c r="V150" s="21">
        <v>0.59518750000000031</v>
      </c>
      <c r="W150" s="21">
        <v>0.60543750000000063</v>
      </c>
      <c r="X150" s="21">
        <v>0.50183333333333324</v>
      </c>
      <c r="Y150" s="21">
        <v>0.46687500000000021</v>
      </c>
      <c r="Z150" s="21">
        <v>0.4044999999999998</v>
      </c>
      <c r="AA150" s="21">
        <v>0.28604166666666669</v>
      </c>
      <c r="AB150" s="24">
        <f>AVERAGE(S150,W150)</f>
        <v>0.52656250000000027</v>
      </c>
      <c r="AC150" s="24">
        <f>AVERAGE(T150:V150,X150:Z150)</f>
        <v>0.51446527777777795</v>
      </c>
      <c r="AD150" s="24">
        <f t="shared" si="5"/>
        <v>0.51666477272727296</v>
      </c>
    </row>
    <row r="151" spans="1:30">
      <c r="A151" s="9">
        <v>44107</v>
      </c>
      <c r="B151" s="3">
        <v>232.48122368991775</v>
      </c>
      <c r="C151" s="3">
        <v>465.45346614116198</v>
      </c>
      <c r="D151" s="3">
        <v>336.64541240683496</v>
      </c>
      <c r="E151" s="3">
        <v>410.9382582939117</v>
      </c>
      <c r="F151" s="3">
        <v>375.06047909604956</v>
      </c>
      <c r="G151" s="3">
        <f>(B151-$B$2)/$B$1</f>
        <v>0.25457280671349541</v>
      </c>
      <c r="H151" s="3">
        <f>((C151-$C$2)/$C$1+(D151-$D$2)/$D$1+(E151-$E$2)/$E$1+(F151-$F$2)/$F$1)/4</f>
        <v>0.47645488603123076</v>
      </c>
      <c r="I151" s="19">
        <v>44107</v>
      </c>
      <c r="J151" s="20">
        <v>119.47916666666667</v>
      </c>
      <c r="K151" s="20">
        <v>83.35208333333334</v>
      </c>
      <c r="L151" s="20">
        <v>22.120833333333337</v>
      </c>
      <c r="M151" s="20">
        <v>0</v>
      </c>
      <c r="N151" s="20">
        <v>231.52083333333334</v>
      </c>
      <c r="O151" s="20">
        <v>12.416666666666666</v>
      </c>
      <c r="P151" s="20">
        <v>2.1458333333333335</v>
      </c>
      <c r="Q151" s="20">
        <v>19.091666666666669</v>
      </c>
      <c r="R151" s="10">
        <v>0.46969517153563012</v>
      </c>
      <c r="S151" s="21">
        <v>0.43910416666666641</v>
      </c>
      <c r="T151" s="21">
        <v>0.53120833333333339</v>
      </c>
      <c r="U151" s="21">
        <v>0.58281249999999973</v>
      </c>
      <c r="V151" s="21">
        <v>0.59381250000000008</v>
      </c>
      <c r="W151" s="21">
        <v>0.60379166666666706</v>
      </c>
      <c r="X151" s="21">
        <v>0.49800000000000022</v>
      </c>
      <c r="Y151" s="21">
        <v>0.46506249999999977</v>
      </c>
      <c r="Z151" s="21">
        <v>0.40225000000000005</v>
      </c>
      <c r="AA151" s="21">
        <v>0.27770833333333339</v>
      </c>
      <c r="AB151" s="24">
        <f>AVERAGE(S151,W151)</f>
        <v>0.52144791666666679</v>
      </c>
      <c r="AC151" s="24">
        <f>AVERAGE(T151:V151,X151:Z151)</f>
        <v>0.51219097222222221</v>
      </c>
      <c r="AD151" s="24">
        <f t="shared" si="5"/>
        <v>0.51387405303030298</v>
      </c>
    </row>
    <row r="152" spans="1:30">
      <c r="A152" s="9">
        <v>44113</v>
      </c>
      <c r="B152" s="3">
        <v>223.80736842188799</v>
      </c>
      <c r="C152" s="3">
        <v>423.26669061921575</v>
      </c>
      <c r="D152" s="3">
        <v>360.8174478172906</v>
      </c>
      <c r="E152" s="3">
        <v>473.18991702319238</v>
      </c>
      <c r="F152" s="3">
        <v>378.55684693220553</v>
      </c>
      <c r="G152" s="3">
        <f>(B152-$B$2)/$B$1</f>
        <v>0.2448460191385117</v>
      </c>
      <c r="H152" s="3">
        <f>((C152-$C$2)/$C$1+(D152-$D$2)/$D$1+(E152-$E$2)/$E$1+(F152-$F$2)/$F$1)/4</f>
        <v>0.49241527780901295</v>
      </c>
      <c r="I152" s="19">
        <v>44113</v>
      </c>
      <c r="J152" s="20">
        <v>114.39583333333333</v>
      </c>
      <c r="K152" s="20">
        <v>82.533333333333317</v>
      </c>
      <c r="L152" s="20">
        <v>14.920833333333334</v>
      </c>
      <c r="M152" s="20">
        <v>0</v>
      </c>
      <c r="N152" s="20">
        <v>240.3125</v>
      </c>
      <c r="O152" s="20">
        <v>3.4375</v>
      </c>
      <c r="P152" s="20">
        <v>0.125</v>
      </c>
      <c r="Q152" s="20">
        <v>11.841666666666667</v>
      </c>
      <c r="R152" s="10">
        <v>0.33124684186052056</v>
      </c>
      <c r="S152" s="21">
        <v>0.40729166666666666</v>
      </c>
      <c r="T152" s="21">
        <v>0.50345833333333301</v>
      </c>
      <c r="U152" s="21">
        <v>0.55912500000000021</v>
      </c>
      <c r="V152" s="21">
        <v>0.57795833333333346</v>
      </c>
      <c r="W152" s="21">
        <v>0.57650000000000035</v>
      </c>
      <c r="X152" s="21">
        <v>0.4778541666666663</v>
      </c>
      <c r="Y152" s="21">
        <v>0.45362500000000017</v>
      </c>
      <c r="Z152" s="21">
        <v>0.39289583333333306</v>
      </c>
      <c r="AA152" s="21">
        <v>0.25906250000000003</v>
      </c>
      <c r="AB152" s="24">
        <f>AVERAGE(S152,W152)</f>
        <v>0.49189583333333353</v>
      </c>
      <c r="AC152" s="24">
        <f>AVERAGE(T152:V152,X152:Z152)</f>
        <v>0.49415277777777772</v>
      </c>
      <c r="AD152" s="24">
        <f t="shared" si="5"/>
        <v>0.49374242424242426</v>
      </c>
    </row>
    <row r="153" spans="1:30">
      <c r="A153" s="9">
        <v>44114</v>
      </c>
      <c r="B153" s="3">
        <v>303.48945100904575</v>
      </c>
      <c r="C153" s="3">
        <v>554.39590631615613</v>
      </c>
      <c r="D153" s="3">
        <v>454.79598200504489</v>
      </c>
      <c r="E153" s="3">
        <v>525.80201809070979</v>
      </c>
      <c r="F153" s="3">
        <v>434.03164123080268</v>
      </c>
      <c r="G153" s="3">
        <f>(B153-$B$2)/$B$1</f>
        <v>0.33420082930167933</v>
      </c>
      <c r="H153" s="3">
        <f>((C153-$C$2)/$C$1+(D153-$D$2)/$D$1+(E153-$E$2)/$E$1+(F153-$F$2)/$F$1)/4</f>
        <v>0.59293600735258878</v>
      </c>
      <c r="I153" s="19">
        <v>44114</v>
      </c>
      <c r="J153" s="20">
        <v>153.45833333333334</v>
      </c>
      <c r="K153" s="20">
        <v>79.456249999999997</v>
      </c>
      <c r="L153" s="20">
        <v>16.185416666666665</v>
      </c>
      <c r="M153" s="20">
        <v>0</v>
      </c>
      <c r="N153" s="20">
        <v>225.77083333333334</v>
      </c>
      <c r="O153" s="20">
        <v>4.791666666666667</v>
      </c>
      <c r="P153" s="20">
        <v>8.3333333333333329E-2</v>
      </c>
      <c r="Q153" s="20">
        <v>12.38958333333334</v>
      </c>
      <c r="R153" s="10">
        <v>0.43641562614044083</v>
      </c>
      <c r="S153" s="21">
        <v>0.39922916666666652</v>
      </c>
      <c r="T153" s="21">
        <v>0.49939583333333321</v>
      </c>
      <c r="U153" s="21">
        <v>0.55304166666666654</v>
      </c>
      <c r="V153" s="21">
        <v>0.57422916666666646</v>
      </c>
      <c r="W153" s="21">
        <v>0.5728749999999998</v>
      </c>
      <c r="X153" s="21">
        <v>0.47324999999999995</v>
      </c>
      <c r="Y153" s="21">
        <v>0.44897916666666693</v>
      </c>
      <c r="Z153" s="21">
        <v>0.38941666666666674</v>
      </c>
      <c r="AA153" s="21">
        <v>0.24756250000000005</v>
      </c>
      <c r="AB153" s="24">
        <f>AVERAGE(S153,W153)</f>
        <v>0.48605208333333316</v>
      </c>
      <c r="AC153" s="24">
        <f>AVERAGE(T153:V153,X153:Z153)</f>
        <v>0.48971874999999992</v>
      </c>
      <c r="AD153" s="24">
        <f t="shared" si="5"/>
        <v>0.48905208333333328</v>
      </c>
    </row>
    <row r="154" spans="1:30">
      <c r="A154" s="9">
        <v>44115</v>
      </c>
      <c r="B154" s="3">
        <v>154.60693815492371</v>
      </c>
      <c r="C154" s="3">
        <v>376.5160310627416</v>
      </c>
      <c r="D154" s="3">
        <v>284.27938818013024</v>
      </c>
      <c r="E154" s="3">
        <v>365.10367680546887</v>
      </c>
      <c r="F154" s="3">
        <v>279.71731844160087</v>
      </c>
      <c r="G154" s="3">
        <f>(B154-$B$2)/$B$1</f>
        <v>0.16724524479942987</v>
      </c>
      <c r="H154" s="3">
        <f>((C154-$C$2)/$C$1+(D154-$D$2)/$D$1+(E154-$E$2)/$E$1+(F154-$F$2)/$F$1)/4</f>
        <v>0.38573148595707379</v>
      </c>
      <c r="I154" s="19">
        <v>44115</v>
      </c>
      <c r="J154" s="20">
        <v>87.708333333333329</v>
      </c>
      <c r="K154" s="20">
        <v>85.433333333333294</v>
      </c>
      <c r="L154" s="20">
        <v>15.081250000000004</v>
      </c>
      <c r="M154" s="20">
        <v>0</v>
      </c>
      <c r="N154" s="20">
        <v>254.9375</v>
      </c>
      <c r="O154" s="20">
        <v>3.0416666666666665</v>
      </c>
      <c r="P154" s="20">
        <v>0.125</v>
      </c>
      <c r="Q154" s="20">
        <v>12.539583333333333</v>
      </c>
      <c r="R154" s="10">
        <v>0.28048425547789774</v>
      </c>
      <c r="S154" s="21">
        <v>0.38881250000000006</v>
      </c>
      <c r="T154" s="21">
        <v>0.49368749999999989</v>
      </c>
      <c r="U154" s="21">
        <v>0.54783333333333384</v>
      </c>
      <c r="V154" s="21">
        <v>0.57054166666666661</v>
      </c>
      <c r="W154" s="21">
        <v>0.56714583333333357</v>
      </c>
      <c r="X154" s="21">
        <v>0.46770833333333334</v>
      </c>
      <c r="Y154" s="21">
        <v>0.44464583333333341</v>
      </c>
      <c r="Z154" s="21">
        <v>0.38558333333333322</v>
      </c>
      <c r="AA154" s="21">
        <v>0.23335416666666672</v>
      </c>
      <c r="AB154" s="24">
        <f>AVERAGE(S154,W154)</f>
        <v>0.47797916666666684</v>
      </c>
      <c r="AC154" s="24">
        <f>AVERAGE(T154:V154,X154:Z154)</f>
        <v>0.4850000000000001</v>
      </c>
      <c r="AD154" s="24">
        <f t="shared" si="5"/>
        <v>0.48372348484848493</v>
      </c>
    </row>
    <row r="155" spans="1:30">
      <c r="A155" s="9">
        <v>44116</v>
      </c>
      <c r="B155" s="3">
        <v>231.55227197490731</v>
      </c>
      <c r="C155" s="3">
        <v>514.03540955029803</v>
      </c>
      <c r="D155" s="3">
        <v>370.02310472233478</v>
      </c>
      <c r="E155" s="3">
        <v>402.71114625530925</v>
      </c>
      <c r="F155" s="3">
        <v>343.64075632823784</v>
      </c>
      <c r="G155" s="3">
        <f>(B155-$B$2)/$B$1</f>
        <v>0.25353108815581699</v>
      </c>
      <c r="H155" s="3">
        <f>((C155-$C$2)/$C$1+(D155-$D$2)/$D$1+(E155-$E$2)/$E$1+(F155-$F$2)/$F$1)/4</f>
        <v>0.48431800727790431</v>
      </c>
      <c r="I155" s="19">
        <v>44116</v>
      </c>
      <c r="J155" s="20">
        <v>96.729166666666671</v>
      </c>
      <c r="K155" s="20">
        <v>82.074999999999974</v>
      </c>
      <c r="L155" s="20">
        <v>16.706250000000001</v>
      </c>
      <c r="M155" s="20">
        <v>0</v>
      </c>
      <c r="N155" s="20">
        <v>255.91666666666666</v>
      </c>
      <c r="O155" s="20">
        <v>2.3125</v>
      </c>
      <c r="P155" s="20">
        <v>0.10416666666666667</v>
      </c>
      <c r="Q155" s="20">
        <v>13.460416666666665</v>
      </c>
      <c r="R155" s="10">
        <v>0.38391649257586774</v>
      </c>
      <c r="S155" s="21">
        <v>0.37864583333333329</v>
      </c>
      <c r="T155" s="21">
        <v>0.48754166666666671</v>
      </c>
      <c r="U155" s="21">
        <v>0.54243750000000024</v>
      </c>
      <c r="V155" s="21">
        <v>0.56597916666666637</v>
      </c>
      <c r="W155" s="21">
        <v>0.56120833333333342</v>
      </c>
      <c r="X155" s="21">
        <v>0.46208333333333301</v>
      </c>
      <c r="Y155" s="21">
        <v>0.44022916666666689</v>
      </c>
      <c r="Z155" s="21">
        <v>0.3826874999999999</v>
      </c>
      <c r="AA155" s="21">
        <v>0.22131249999999994</v>
      </c>
      <c r="AB155" s="24">
        <f>AVERAGE(S155,W155)</f>
        <v>0.46992708333333333</v>
      </c>
      <c r="AC155" s="24">
        <f>AVERAGE(T155:V155,X155:Z155)</f>
        <v>0.48015972222222225</v>
      </c>
      <c r="AD155" s="24">
        <f t="shared" si="5"/>
        <v>0.47829924242424243</v>
      </c>
    </row>
    <row r="156" spans="1:30">
      <c r="A156" s="9">
        <v>44117</v>
      </c>
      <c r="B156" s="3">
        <v>244.14952976208696</v>
      </c>
      <c r="C156" s="3">
        <v>555.4003792825531</v>
      </c>
      <c r="D156" s="3">
        <v>337.67838152940408</v>
      </c>
      <c r="E156" s="3">
        <v>267.17874124572376</v>
      </c>
      <c r="F156" s="3">
        <v>382.04954146198338</v>
      </c>
      <c r="G156" s="3">
        <f>(B156-$B$2)/$B$1</f>
        <v>0.26765754596919922</v>
      </c>
      <c r="H156" s="3">
        <f>((C156-$C$2)/$C$1+(D156-$D$2)/$D$1+(E156-$E$2)/$E$1+(F156-$F$2)/$F$1)/4</f>
        <v>0.45923272430221307</v>
      </c>
      <c r="I156" s="19">
        <v>44117</v>
      </c>
      <c r="J156" s="20">
        <v>101.41666666666667</v>
      </c>
      <c r="K156" s="20">
        <v>79.131249999999994</v>
      </c>
      <c r="L156" s="20">
        <v>16.497916666666665</v>
      </c>
      <c r="M156" s="20">
        <v>0</v>
      </c>
      <c r="N156" s="20">
        <v>226.83333333333334</v>
      </c>
      <c r="O156" s="20">
        <v>4.708333333333333</v>
      </c>
      <c r="P156" s="20">
        <v>6.25E-2</v>
      </c>
      <c r="Q156" s="20">
        <v>12.785416666666668</v>
      </c>
      <c r="R156" s="10">
        <v>0.41592622814310221</v>
      </c>
      <c r="S156" s="21">
        <v>0.36414583333333334</v>
      </c>
      <c r="T156" s="21">
        <v>0.4802499999999999</v>
      </c>
      <c r="U156" s="21">
        <v>0.53539583333333363</v>
      </c>
      <c r="V156" s="21">
        <v>0.56022916666666644</v>
      </c>
      <c r="W156" s="21">
        <v>0.55364583333333306</v>
      </c>
      <c r="X156" s="21">
        <v>0.45435416666666661</v>
      </c>
      <c r="Y156" s="21">
        <v>0.43506249999999969</v>
      </c>
      <c r="Z156" s="21">
        <v>0.37831250000000005</v>
      </c>
      <c r="AA156" s="21">
        <v>0.20629166666666665</v>
      </c>
      <c r="AB156" s="24">
        <f>AVERAGE(S156,W156)</f>
        <v>0.45889583333333317</v>
      </c>
      <c r="AC156" s="24">
        <f>AVERAGE(T156:V156,X156:Z156)</f>
        <v>0.47393402777777771</v>
      </c>
      <c r="AD156" s="24">
        <f t="shared" si="5"/>
        <v>0.47119981060606053</v>
      </c>
    </row>
    <row r="157" spans="1:30">
      <c r="A157" s="9">
        <v>44123</v>
      </c>
      <c r="B157" s="3">
        <v>175.40613943977729</v>
      </c>
      <c r="C157" s="3">
        <v>308.48222609057098</v>
      </c>
      <c r="D157" s="3">
        <v>243.6906950188789</v>
      </c>
      <c r="E157" s="3">
        <v>350.58150438488269</v>
      </c>
      <c r="F157" s="3">
        <v>295.07851955026501</v>
      </c>
      <c r="G157" s="3">
        <f>(B157-$B$2)/$B$1</f>
        <v>0.19056929233948672</v>
      </c>
      <c r="H157" s="3">
        <f>((C157-$C$2)/$C$1+(D157-$D$2)/$D$1+(E157-$E$2)/$E$1+(F157-$F$2)/$F$1)/4</f>
        <v>0.35708743264774834</v>
      </c>
      <c r="I157" s="19">
        <v>44123</v>
      </c>
      <c r="J157" s="20">
        <v>88.645833333333329</v>
      </c>
      <c r="K157" s="20">
        <v>83.583333333333329</v>
      </c>
      <c r="L157" s="20">
        <v>12.28125</v>
      </c>
      <c r="M157" s="20">
        <v>0</v>
      </c>
      <c r="N157" s="20">
        <v>179.04166666666666</v>
      </c>
      <c r="O157" s="20">
        <v>3.125</v>
      </c>
      <c r="P157" s="20">
        <v>0</v>
      </c>
      <c r="Q157" s="20">
        <v>9.5083333333333329</v>
      </c>
      <c r="R157" s="10">
        <v>0.25217785357492384</v>
      </c>
      <c r="S157" s="21">
        <v>0.4207291666666666</v>
      </c>
      <c r="T157" s="21">
        <v>0.51391666666666691</v>
      </c>
      <c r="U157" s="21">
        <v>0.56577083333333356</v>
      </c>
      <c r="V157" s="21">
        <v>0.58049999999999968</v>
      </c>
      <c r="W157" s="21">
        <v>0.57843750000000005</v>
      </c>
      <c r="X157" s="21">
        <v>0.45879166666666632</v>
      </c>
      <c r="Y157" s="21">
        <v>0.44543749999999999</v>
      </c>
      <c r="Z157" s="21">
        <v>0.39266666666666655</v>
      </c>
      <c r="AA157" s="21">
        <v>0.27072916666666674</v>
      </c>
      <c r="AB157" s="24">
        <f>AVERAGE(S157,W157)</f>
        <v>0.49958333333333332</v>
      </c>
      <c r="AC157" s="24">
        <f>AVERAGE(T157:V157,X157:Z157)</f>
        <v>0.49284722222222221</v>
      </c>
      <c r="AD157" s="24">
        <f t="shared" si="5"/>
        <v>0.4940719696969697</v>
      </c>
    </row>
    <row r="158" spans="1:30">
      <c r="A158" s="9">
        <v>44125</v>
      </c>
      <c r="B158" s="3">
        <v>251.56829155919047</v>
      </c>
      <c r="C158" s="3">
        <v>449.86179433265164</v>
      </c>
      <c r="D158" s="3">
        <v>375.85980953968539</v>
      </c>
      <c r="E158" s="3">
        <v>548.10178057587643</v>
      </c>
      <c r="F158" s="3">
        <v>365.14468113179652</v>
      </c>
      <c r="G158" s="3">
        <f>(B158-$B$2)/$B$1</f>
        <v>0.27597688239343049</v>
      </c>
      <c r="H158" s="3">
        <f>((C158-$C$2)/$C$1+(D158-$D$2)/$D$1+(E158-$E$2)/$E$1+(F158-$F$2)/$F$1)/4</f>
        <v>0.52220308236078417</v>
      </c>
      <c r="I158" s="19">
        <v>44125</v>
      </c>
      <c r="J158" s="20">
        <v>165.97916666666666</v>
      </c>
      <c r="K158" s="20">
        <v>75.089583333333366</v>
      </c>
      <c r="L158" s="20">
        <v>12.875000000000005</v>
      </c>
      <c r="M158" s="20">
        <v>0.60000000000000009</v>
      </c>
      <c r="N158" s="20">
        <v>232.3125</v>
      </c>
      <c r="O158" s="20">
        <v>3.5833333333333335</v>
      </c>
      <c r="P158" s="20">
        <v>0</v>
      </c>
      <c r="Q158" s="20">
        <v>8.1791666666666671</v>
      </c>
      <c r="R158" s="10">
        <v>0.44497322615553087</v>
      </c>
      <c r="S158" s="21">
        <v>0.42845833333333322</v>
      </c>
      <c r="T158" s="21">
        <v>0.51687500000000008</v>
      </c>
      <c r="U158" s="21">
        <v>0.56566666666666643</v>
      </c>
      <c r="V158" s="21">
        <v>0.57662499999999983</v>
      </c>
      <c r="W158" s="21">
        <v>0.57524999999999959</v>
      </c>
      <c r="X158" s="21">
        <v>0.4583750000000002</v>
      </c>
      <c r="Y158" s="21">
        <v>0.44416666666666677</v>
      </c>
      <c r="Z158" s="21">
        <v>0.39077083333333329</v>
      </c>
      <c r="AA158" s="21">
        <v>0.28140476190476188</v>
      </c>
      <c r="AB158" s="24">
        <f>AVERAGE(S158,W158)</f>
        <v>0.50185416666666638</v>
      </c>
      <c r="AC158" s="24">
        <f>AVERAGE(T158:V158,X158:Z158)</f>
        <v>0.49207986111111107</v>
      </c>
      <c r="AD158" s="24">
        <f t="shared" si="5"/>
        <v>0.49385700757575746</v>
      </c>
    </row>
    <row r="159" spans="1:30">
      <c r="A159" s="9">
        <v>44126</v>
      </c>
      <c r="B159" s="3">
        <v>430.64263043650504</v>
      </c>
      <c r="C159" s="3">
        <v>590.41274084473594</v>
      </c>
      <c r="D159" s="3">
        <v>569.65614066691785</v>
      </c>
      <c r="E159" s="3">
        <v>800.81697294727326</v>
      </c>
      <c r="F159" s="3">
        <v>547.00227266593993</v>
      </c>
      <c r="G159" s="3">
        <f>(B159-$B$2)/$B$1</f>
        <v>0.47678932398561441</v>
      </c>
      <c r="H159" s="3">
        <f>((C159-$C$2)/$C$1+(D159-$D$2)/$D$1+(E159-$E$2)/$E$1+(F159-$F$2)/$F$1)/4</f>
        <v>0.76518115936546982</v>
      </c>
      <c r="I159" s="19">
        <v>44126</v>
      </c>
      <c r="J159" s="20">
        <v>212.0625</v>
      </c>
      <c r="K159" s="20">
        <v>56.762499999999996</v>
      </c>
      <c r="L159" s="20">
        <v>14.368750000000004</v>
      </c>
      <c r="M159" s="20">
        <v>0</v>
      </c>
      <c r="N159" s="20">
        <v>214.75</v>
      </c>
      <c r="O159" s="20">
        <v>4.104166666666667</v>
      </c>
      <c r="P159" s="20">
        <v>0.14583333333333334</v>
      </c>
      <c r="Q159" s="20">
        <v>5.0062499999999988</v>
      </c>
      <c r="R159" s="10">
        <v>0.85058292519075918</v>
      </c>
      <c r="S159" s="21">
        <v>0.41568749999999982</v>
      </c>
      <c r="T159" s="21">
        <v>0.50987500000000041</v>
      </c>
      <c r="U159" s="21">
        <v>0.55924999999999958</v>
      </c>
      <c r="V159" s="21">
        <v>0.5734999999999999</v>
      </c>
      <c r="W159" s="21">
        <v>0.57314583333333335</v>
      </c>
      <c r="X159" s="21">
        <v>0.45485416666666706</v>
      </c>
      <c r="Y159" s="21">
        <v>0.44006250000000041</v>
      </c>
      <c r="Z159" s="21">
        <v>0.38745833333333352</v>
      </c>
      <c r="AA159" s="21">
        <v>0.25533333333333336</v>
      </c>
      <c r="AB159" s="24">
        <f>AVERAGE(S159,W159)</f>
        <v>0.49441666666666662</v>
      </c>
      <c r="AC159" s="24">
        <f>AVERAGE(T159:V159,X159:Z159)</f>
        <v>0.4875000000000001</v>
      </c>
      <c r="AD159" s="24">
        <f t="shared" si="5"/>
        <v>0.48875757575757578</v>
      </c>
    </row>
    <row r="160" spans="1:30">
      <c r="A160" s="9">
        <v>44127</v>
      </c>
      <c r="B160" s="3">
        <v>408.41829567205355</v>
      </c>
      <c r="C160" s="3">
        <v>718.89162447301317</v>
      </c>
      <c r="D160" s="3">
        <v>579.13864131590731</v>
      </c>
      <c r="E160" s="3">
        <v>742.80866160710457</v>
      </c>
      <c r="F160" s="3">
        <v>566.09610466556842</v>
      </c>
      <c r="G160" s="3">
        <f>(B160-$B$2)/$B$1</f>
        <v>0.45186714387431909</v>
      </c>
      <c r="H160" s="3">
        <f>((C160-$C$2)/$C$1+(D160-$D$2)/$D$1+(E160-$E$2)/$E$1+(F160-$F$2)/$F$1)/4</f>
        <v>0.79256777562684189</v>
      </c>
      <c r="I160" s="19">
        <v>44127</v>
      </c>
      <c r="J160" s="20">
        <v>193.6875</v>
      </c>
      <c r="K160" s="20">
        <v>55.931250000000013</v>
      </c>
      <c r="L160" s="20">
        <v>14.856250000000001</v>
      </c>
      <c r="M160" s="20">
        <v>0</v>
      </c>
      <c r="N160" s="20">
        <v>212.39583333333334</v>
      </c>
      <c r="O160" s="20">
        <v>3.3958333333333335</v>
      </c>
      <c r="P160" s="20">
        <v>8.3333333333333329E-2</v>
      </c>
      <c r="Q160" s="20">
        <v>5.4770833333333329</v>
      </c>
      <c r="R160" s="10">
        <v>0.86471895299777612</v>
      </c>
      <c r="S160" s="21">
        <v>0.40116666666666667</v>
      </c>
      <c r="T160" s="21">
        <v>0.50104166666666683</v>
      </c>
      <c r="U160" s="21">
        <v>0.55004166666666732</v>
      </c>
      <c r="V160" s="21">
        <v>0.56908333333333327</v>
      </c>
      <c r="W160" s="21">
        <v>0.56691666666666662</v>
      </c>
      <c r="X160" s="21">
        <v>0.44902083333333359</v>
      </c>
      <c r="Y160" s="21">
        <v>0.43543749999999953</v>
      </c>
      <c r="Z160" s="21">
        <v>0.38339583333333332</v>
      </c>
      <c r="AA160" s="21">
        <v>0.24915000000000004</v>
      </c>
      <c r="AB160" s="24">
        <f>AVERAGE(S160,W160)</f>
        <v>0.48404166666666665</v>
      </c>
      <c r="AC160" s="24">
        <f>AVERAGE(T160:V160,X160:Z160)</f>
        <v>0.48133680555555558</v>
      </c>
      <c r="AD160" s="24">
        <f t="shared" si="5"/>
        <v>0.48182859848484849</v>
      </c>
    </row>
    <row r="161" spans="1:30">
      <c r="A161" s="9">
        <v>44128</v>
      </c>
      <c r="B161" s="3">
        <v>392.51419149188825</v>
      </c>
      <c r="C161" s="3">
        <v>638.27173242894241</v>
      </c>
      <c r="D161" s="3">
        <v>503.91593685250041</v>
      </c>
      <c r="E161" s="3">
        <v>515.27194172216798</v>
      </c>
      <c r="F161" s="3">
        <v>507.30568181345905</v>
      </c>
      <c r="G161" s="3">
        <f>(B161-$B$2)/$B$1</f>
        <v>0.43403241662206044</v>
      </c>
      <c r="H161" s="3">
        <f>((C161-$C$2)/$C$1+(D161-$D$2)/$D$1+(E161-$E$2)/$E$1+(F161-$F$2)/$F$1)/4</f>
        <v>0.65506911066799134</v>
      </c>
      <c r="I161" s="19">
        <v>44128</v>
      </c>
      <c r="J161" s="20">
        <v>180.0625</v>
      </c>
      <c r="K161" s="20">
        <v>62.287499999999987</v>
      </c>
      <c r="L161" s="20">
        <v>15.489583333333336</v>
      </c>
      <c r="M161" s="20">
        <v>0</v>
      </c>
      <c r="N161" s="20">
        <v>215.125</v>
      </c>
      <c r="O161" s="20">
        <v>4.666666666666667</v>
      </c>
      <c r="P161" s="20">
        <v>0.25</v>
      </c>
      <c r="Q161" s="20">
        <v>7.9354166666666641</v>
      </c>
      <c r="R161" s="10">
        <v>0.74631909174273792</v>
      </c>
      <c r="S161" s="21">
        <v>0.38658333333333345</v>
      </c>
      <c r="T161" s="21">
        <v>0.49258333333333354</v>
      </c>
      <c r="U161" s="21">
        <v>0.54127083333333303</v>
      </c>
      <c r="V161" s="21">
        <v>0.56404166666666666</v>
      </c>
      <c r="W161" s="21">
        <v>0.55914583333333312</v>
      </c>
      <c r="X161" s="21">
        <v>0.44212499999999993</v>
      </c>
      <c r="Y161" s="21">
        <v>0.43</v>
      </c>
      <c r="Z161" s="21">
        <v>0.37806249999999997</v>
      </c>
      <c r="AA161" s="21">
        <v>0.21838888888888891</v>
      </c>
      <c r="AB161" s="24">
        <f>AVERAGE(S161,W161)</f>
        <v>0.47286458333333325</v>
      </c>
      <c r="AC161" s="24">
        <f>AVERAGE(T161:V161,X161:Z161)</f>
        <v>0.47468055555555555</v>
      </c>
      <c r="AD161" s="24">
        <f t="shared" si="5"/>
        <v>0.47435037878787872</v>
      </c>
    </row>
    <row r="162" spans="1:30">
      <c r="A162" s="9">
        <v>44129</v>
      </c>
      <c r="B162" s="3">
        <v>411.41782807547139</v>
      </c>
      <c r="C162" s="3">
        <v>617.61398097028496</v>
      </c>
      <c r="D162" s="3">
        <v>498.81905268801052</v>
      </c>
      <c r="E162" s="3">
        <v>230.11727790840649</v>
      </c>
      <c r="F162" s="3">
        <v>484.1487274091981</v>
      </c>
      <c r="G162" s="3">
        <f>(B162-$B$2)/$B$1</f>
        <v>0.45523079401727945</v>
      </c>
      <c r="H162" s="3">
        <f>((C162-$C$2)/$C$1+(D162-$D$2)/$D$1+(E162-$E$2)/$E$1+(F162-$F$2)/$F$1)/4</f>
        <v>0.54948637338560502</v>
      </c>
      <c r="I162" s="19">
        <v>44129</v>
      </c>
      <c r="J162" s="20">
        <v>196.72916666666666</v>
      </c>
      <c r="K162" s="20">
        <v>65.916666666666671</v>
      </c>
      <c r="L162" s="20">
        <v>16.854166666666664</v>
      </c>
      <c r="M162" s="20">
        <v>0</v>
      </c>
      <c r="N162" s="20">
        <v>228.41666666666666</v>
      </c>
      <c r="O162" s="20">
        <v>6.125</v>
      </c>
      <c r="P162" s="20">
        <v>0.1875</v>
      </c>
      <c r="Q162" s="20">
        <v>10.110416666666667</v>
      </c>
      <c r="R162" s="10">
        <v>0.73997325659041036</v>
      </c>
      <c r="S162" s="21">
        <v>0.36875000000000019</v>
      </c>
      <c r="T162" s="21">
        <v>0.48281250000000009</v>
      </c>
      <c r="U162" s="21">
        <v>0.53291666666666626</v>
      </c>
      <c r="V162" s="21">
        <v>0.55816666666666637</v>
      </c>
      <c r="W162" s="21">
        <v>0.55025000000000013</v>
      </c>
      <c r="X162" s="21">
        <v>0.43472916666666667</v>
      </c>
      <c r="Y162" s="21">
        <v>0.42406250000000023</v>
      </c>
      <c r="Z162" s="21">
        <v>0.37254166666666655</v>
      </c>
      <c r="AA162" s="21">
        <v>0.19673333333333334</v>
      </c>
      <c r="AB162" s="24">
        <f>AVERAGE(S162,W162)</f>
        <v>0.45950000000000013</v>
      </c>
      <c r="AC162" s="24">
        <f>AVERAGE(T162:V162,X162:Z162)</f>
        <v>0.46753819444444433</v>
      </c>
      <c r="AD162" s="24">
        <f t="shared" si="5"/>
        <v>0.46607670454545452</v>
      </c>
    </row>
    <row r="163" spans="1:30">
      <c r="A163" s="9">
        <v>44130</v>
      </c>
      <c r="B163" s="3">
        <v>108.87167563500613</v>
      </c>
      <c r="C163" s="3">
        <v>256.66108296540676</v>
      </c>
      <c r="D163" s="3">
        <v>118.80923739521616</v>
      </c>
      <c r="E163" s="3">
        <v>3.585425078236113</v>
      </c>
      <c r="F163" s="3">
        <v>203.33863922654803</v>
      </c>
      <c r="G163" s="3">
        <f>(B163-$B$2)/$B$1</f>
        <v>0.11595811013198691</v>
      </c>
      <c r="H163" s="3">
        <f>((C163-$C$2)/$C$1+(D163-$D$2)/$D$1+(E163-$E$2)/$E$1+(F163-$F$2)/$F$1)/4</f>
        <v>0.16340286231887846</v>
      </c>
      <c r="I163" s="19">
        <v>44130</v>
      </c>
      <c r="J163" s="20">
        <v>64.895833333333329</v>
      </c>
      <c r="K163" s="20">
        <v>79.135416666666671</v>
      </c>
      <c r="L163" s="20">
        <v>15.277083333333332</v>
      </c>
      <c r="M163" s="20">
        <v>0</v>
      </c>
      <c r="N163" s="20">
        <v>214.60416666666666</v>
      </c>
      <c r="O163" s="20">
        <v>3.1666666666666665</v>
      </c>
      <c r="P163" s="20">
        <v>0</v>
      </c>
      <c r="Q163" s="20">
        <v>11.660416666666663</v>
      </c>
      <c r="R163" s="10">
        <v>0.36815612260431924</v>
      </c>
      <c r="S163" s="21">
        <v>0.35329166666666673</v>
      </c>
      <c r="T163" s="21">
        <v>0.47493749999999996</v>
      </c>
      <c r="U163" s="21">
        <v>0.52670833333333289</v>
      </c>
      <c r="V163" s="21">
        <v>0.55279166666666646</v>
      </c>
      <c r="W163" s="21">
        <v>0.54164583333333338</v>
      </c>
      <c r="X163" s="21">
        <v>0.42833333333333301</v>
      </c>
      <c r="Y163" s="21">
        <v>0.41912499999999991</v>
      </c>
      <c r="Z163" s="21">
        <v>0.3675000000000001</v>
      </c>
      <c r="AA163" s="25" t="e">
        <f>#REF!*0.5711-0.0033</f>
        <v>#REF!</v>
      </c>
      <c r="AB163" s="24">
        <f>AVERAGE(S163,W163)</f>
        <v>0.44746875000000008</v>
      </c>
      <c r="AC163" s="24">
        <f>AVERAGE(T163:V163,X163:Z163)</f>
        <v>0.46156597222222207</v>
      </c>
      <c r="AD163" s="24">
        <f t="shared" si="5"/>
        <v>0.45900284090909077</v>
      </c>
    </row>
    <row r="164" spans="1:30">
      <c r="A164" s="9">
        <v>44131</v>
      </c>
      <c r="B164" s="3">
        <v>117.34704990211344</v>
      </c>
      <c r="C164" s="3">
        <v>245.52805673209497</v>
      </c>
      <c r="D164" s="3">
        <v>131.15035300601684</v>
      </c>
      <c r="E164" s="3">
        <v>21.886865278820753</v>
      </c>
      <c r="F164" s="3">
        <v>177.06069102878169</v>
      </c>
      <c r="G164" s="3">
        <f>(B164-$B$2)/$B$1</f>
        <v>0.12546232279950603</v>
      </c>
      <c r="H164" s="3">
        <f>((C164-$C$2)/$C$1+(D164-$D$2)/$D$1+(E164-$E$2)/$E$1+(F164-$F$2)/$F$1)/4</f>
        <v>0.15924460417873781</v>
      </c>
      <c r="I164" s="19">
        <v>44131</v>
      </c>
      <c r="J164" s="20">
        <v>66.104166666666671</v>
      </c>
      <c r="K164" s="20">
        <v>85.654166666666654</v>
      </c>
      <c r="L164" s="20">
        <v>15.554166666666667</v>
      </c>
      <c r="M164" s="20">
        <v>0.7</v>
      </c>
      <c r="N164" s="20">
        <v>223.125</v>
      </c>
      <c r="O164" s="20">
        <v>3.5833333333333335</v>
      </c>
      <c r="P164" s="20">
        <v>0.27083333333333331</v>
      </c>
      <c r="Q164" s="20">
        <v>13.102083333333335</v>
      </c>
      <c r="R164" s="10">
        <v>0.26779767549450356</v>
      </c>
      <c r="S164" s="21">
        <v>0.34489583333333335</v>
      </c>
      <c r="T164" s="21">
        <v>0.46795833333333348</v>
      </c>
      <c r="U164" s="21">
        <v>0.52291666666666681</v>
      </c>
      <c r="V164" s="21">
        <v>0.5486458333333335</v>
      </c>
      <c r="W164" s="21">
        <v>0.53375000000000006</v>
      </c>
      <c r="X164" s="21">
        <v>0.42412500000000009</v>
      </c>
      <c r="Y164" s="21">
        <v>0.41622916666666648</v>
      </c>
      <c r="Z164" s="21">
        <v>0.36464583333333328</v>
      </c>
      <c r="AA164" s="21">
        <v>0.17299999999999999</v>
      </c>
      <c r="AB164" s="24">
        <f>AVERAGE(S164,W164)</f>
        <v>0.43932291666666667</v>
      </c>
      <c r="AC164" s="24">
        <f>AVERAGE(T164:V164,X164:Z164)</f>
        <v>0.45742013888888899</v>
      </c>
      <c r="AD164" s="24">
        <f t="shared" si="5"/>
        <v>0.45412973484848496</v>
      </c>
    </row>
    <row r="165" spans="1:30">
      <c r="A165" s="9">
        <v>44138</v>
      </c>
      <c r="B165" s="3">
        <v>99.606495417973022</v>
      </c>
      <c r="C165" s="2">
        <v>269.61850104005833</v>
      </c>
      <c r="D165" s="3">
        <v>213.29197372896093</v>
      </c>
      <c r="E165" s="3">
        <v>263.24790181610848</v>
      </c>
      <c r="F165" s="3">
        <v>275.6171648774324</v>
      </c>
      <c r="G165" s="3">
        <f>(B165-$B$2)/$B$1</f>
        <v>0.10556821578509946</v>
      </c>
      <c r="H165" s="3">
        <f>((C165-$C$2)/$C$1+(D165-$D$2)/$D$1+(E165-$E$2)/$E$1+(F165-$F$2)/$F$1)/4</f>
        <v>0.30291150645936155</v>
      </c>
      <c r="I165" s="19">
        <v>44138</v>
      </c>
      <c r="J165" s="20">
        <v>81.020833333333329</v>
      </c>
      <c r="K165" s="20">
        <v>80.656250000000014</v>
      </c>
      <c r="L165" s="20">
        <v>9.6062499999999975</v>
      </c>
      <c r="M165" s="20">
        <v>0.4</v>
      </c>
      <c r="N165" s="20">
        <v>237.4375</v>
      </c>
      <c r="O165" s="20">
        <v>4.0625</v>
      </c>
      <c r="P165" s="20">
        <v>2.0833333333333332E-2</v>
      </c>
      <c r="Q165" s="20">
        <v>6.3375000000000012</v>
      </c>
      <c r="R165" s="10">
        <v>0.24497329168460505</v>
      </c>
      <c r="S165" s="21">
        <v>0.32156249999999997</v>
      </c>
      <c r="T165" s="21">
        <v>0.43935416666666693</v>
      </c>
      <c r="U165" s="21">
        <v>0.50518750000000001</v>
      </c>
      <c r="V165" s="21">
        <v>0.52339583333333317</v>
      </c>
      <c r="W165" s="21">
        <v>0.50225000000000031</v>
      </c>
      <c r="X165" s="21">
        <v>0.41083333333333316</v>
      </c>
      <c r="Y165" s="21">
        <v>0.40587499999999993</v>
      </c>
      <c r="Z165" s="21">
        <v>0.35360416666666666</v>
      </c>
      <c r="AA165" s="25" t="e">
        <f>#REF!*0.5711-0.0033</f>
        <v>#REF!</v>
      </c>
      <c r="AB165" s="24">
        <f>AVERAGE(S165,W165)</f>
        <v>0.41190625000000014</v>
      </c>
      <c r="AC165" s="24">
        <f>AVERAGE(T165:V165,X165:Z165)</f>
        <v>0.43970833333333331</v>
      </c>
      <c r="AD165" s="24">
        <f t="shared" si="5"/>
        <v>0.4346534090909091</v>
      </c>
    </row>
    <row r="166" spans="1:30">
      <c r="A166" s="9">
        <v>44139</v>
      </c>
      <c r="B166" s="3">
        <v>116.72392202656299</v>
      </c>
      <c r="C166" s="2">
        <v>124.59796051503275</v>
      </c>
      <c r="D166" s="3">
        <v>203.8998404861054</v>
      </c>
      <c r="E166" s="3">
        <v>121.65393528122706</v>
      </c>
      <c r="F166" s="3">
        <v>325.6721340624614</v>
      </c>
      <c r="G166" s="3">
        <f>(B166-$B$2)/$B$1</f>
        <v>0.12476355249607822</v>
      </c>
      <c r="H166" s="3">
        <f>((C166-$C$2)/$C$1+(D166-$D$2)/$D$1+(E166-$E$2)/$E$1+(F166-$F$2)/$F$1)/4</f>
        <v>0.23537856852496086</v>
      </c>
      <c r="I166" s="19">
        <v>44139</v>
      </c>
      <c r="J166" s="20">
        <v>77.354166666666671</v>
      </c>
      <c r="K166" s="20">
        <v>78.862500000000011</v>
      </c>
      <c r="L166" s="20">
        <v>9.970833333333335</v>
      </c>
      <c r="M166" s="20">
        <v>0</v>
      </c>
      <c r="N166" s="20">
        <v>232.5625</v>
      </c>
      <c r="O166" s="20">
        <v>3.5833333333333335</v>
      </c>
      <c r="P166" s="20">
        <v>8.3333333333333329E-2</v>
      </c>
      <c r="Q166" s="20">
        <v>6.3833333333333329</v>
      </c>
      <c r="R166" s="10">
        <v>0.27453754222998328</v>
      </c>
      <c r="S166" s="21">
        <v>0.31741666666666679</v>
      </c>
      <c r="T166" s="21">
        <v>0.4336666666666662</v>
      </c>
      <c r="U166" s="21">
        <v>0.5000625000000003</v>
      </c>
      <c r="V166" s="21">
        <v>0.51706249999999998</v>
      </c>
      <c r="W166" s="21">
        <v>0.49774999999999991</v>
      </c>
      <c r="X166" s="21">
        <v>0.40716666666666684</v>
      </c>
      <c r="Y166" s="21">
        <v>0.40258333333333324</v>
      </c>
      <c r="Z166" s="21">
        <v>0.35045833333333309</v>
      </c>
      <c r="AA166" s="21">
        <v>0.21647619047619054</v>
      </c>
      <c r="AB166" s="24">
        <f>AVERAGE(S166,W166)</f>
        <v>0.40758333333333335</v>
      </c>
      <c r="AC166" s="24">
        <f>AVERAGE(T166:V166,X166:Z166)</f>
        <v>0.43516666666666665</v>
      </c>
      <c r="AD166" s="24">
        <f t="shared" si="5"/>
        <v>0.43015151515151512</v>
      </c>
    </row>
    <row r="167" spans="1:30">
      <c r="A167" s="9">
        <v>44141</v>
      </c>
      <c r="B167" s="3">
        <v>70.961114557808983</v>
      </c>
      <c r="C167" s="2">
        <v>161.95462114958463</v>
      </c>
      <c r="D167" s="3">
        <v>132.16725575506942</v>
      </c>
      <c r="E167" s="3">
        <v>158.12792535597015</v>
      </c>
      <c r="F167" s="3">
        <v>159.98681945649622</v>
      </c>
      <c r="G167" s="3">
        <f>(B167-$B$2)/$B$1</f>
        <v>7.3445529157125697E-2</v>
      </c>
      <c r="H167" s="3">
        <f>((C167-$C$2)/$C$1+(D167-$D$2)/$D$1+(E167-$E$2)/$E$1+(F167-$F$2)/$F$1)/4</f>
        <v>0.17250364441640623</v>
      </c>
      <c r="I167" s="19">
        <v>44141</v>
      </c>
      <c r="J167" s="20">
        <v>86.375</v>
      </c>
      <c r="K167" s="20">
        <v>86.035416666666663</v>
      </c>
      <c r="L167" s="20">
        <v>11.806250000000006</v>
      </c>
      <c r="M167" s="20">
        <v>1.3</v>
      </c>
      <c r="N167" s="20">
        <v>195.375</v>
      </c>
      <c r="O167" s="20">
        <v>3.25</v>
      </c>
      <c r="P167" s="20">
        <v>0</v>
      </c>
      <c r="Q167" s="20">
        <v>9.4416666666666682</v>
      </c>
      <c r="R167" s="10">
        <v>0.21336008449048158</v>
      </c>
      <c r="S167" s="21">
        <v>0.31652083333333353</v>
      </c>
      <c r="T167" s="21">
        <v>0.42906249999999974</v>
      </c>
      <c r="U167" s="21">
        <v>0.4959583333333335</v>
      </c>
      <c r="V167" s="21">
        <v>0.51050000000000006</v>
      </c>
      <c r="W167" s="21">
        <v>0.49560416666666612</v>
      </c>
      <c r="X167" s="21">
        <v>0.40587500000000015</v>
      </c>
      <c r="Y167" s="21">
        <v>0.39956250000000049</v>
      </c>
      <c r="Z167" s="21">
        <v>0.34793750000000007</v>
      </c>
      <c r="AA167" s="21">
        <v>0.23506250000000001</v>
      </c>
      <c r="AB167" s="24">
        <f>AVERAGE(S167,W167)</f>
        <v>0.40606249999999983</v>
      </c>
      <c r="AC167" s="24">
        <f>AVERAGE(T167:V167,X167:Z167)</f>
        <v>0.43148263888888905</v>
      </c>
      <c r="AD167" s="24">
        <f t="shared" si="5"/>
        <v>0.42686079545454558</v>
      </c>
    </row>
    <row r="168" spans="1:30">
      <c r="A168" s="9">
        <v>44142</v>
      </c>
      <c r="B168" s="3">
        <v>310.08199110031342</v>
      </c>
      <c r="C168" s="2">
        <v>151.78667985689015</v>
      </c>
      <c r="D168" s="3">
        <v>489.63417395207637</v>
      </c>
      <c r="E168" s="3">
        <v>148.20023418950416</v>
      </c>
      <c r="F168" s="3">
        <v>344.04514650828776</v>
      </c>
      <c r="G168" s="3">
        <f>(B168-$B$2)/$B$1</f>
        <v>0.34159364772737688</v>
      </c>
      <c r="H168" s="3">
        <f>((C168-$C$2)/$C$1+(D168-$D$2)/$D$1+(E168-$E$2)/$E$1+(F168-$F$2)/$F$1)/4</f>
        <v>0.33789684858327818</v>
      </c>
      <c r="I168" s="19">
        <v>44142</v>
      </c>
      <c r="J168" s="20">
        <v>180.8125</v>
      </c>
      <c r="K168" s="20">
        <v>74.687499999999986</v>
      </c>
      <c r="L168" s="20">
        <v>13.599999999999996</v>
      </c>
      <c r="M168" s="20">
        <v>0</v>
      </c>
      <c r="N168" s="20">
        <v>244.16666666666666</v>
      </c>
      <c r="O168" s="20">
        <v>3.2083333333333335</v>
      </c>
      <c r="P168" s="20">
        <v>4.1666666666666664E-2</v>
      </c>
      <c r="Q168" s="20">
        <v>8.78541666666667</v>
      </c>
      <c r="R168" s="10">
        <v>0.49526584147024072</v>
      </c>
      <c r="S168" s="21">
        <v>0.31393750000000015</v>
      </c>
      <c r="T168" s="21">
        <v>0.42687499999999984</v>
      </c>
      <c r="U168" s="21">
        <v>0.49285416666666654</v>
      </c>
      <c r="V168" s="21">
        <v>0.50652083333333364</v>
      </c>
      <c r="W168" s="21">
        <v>0.49464583333333301</v>
      </c>
      <c r="X168" s="21">
        <v>0.4028958333333334</v>
      </c>
      <c r="Y168" s="21">
        <v>0.39650000000000002</v>
      </c>
      <c r="Z168" s="21">
        <v>0.34458333333333341</v>
      </c>
      <c r="AA168" s="21">
        <v>0.218</v>
      </c>
      <c r="AB168" s="24">
        <f>AVERAGE(S168,W168)</f>
        <v>0.4042916666666666</v>
      </c>
      <c r="AC168" s="24">
        <f>AVERAGE(T168:V168,X168:Z168)</f>
        <v>0.42837152777777782</v>
      </c>
      <c r="AD168" s="24">
        <f t="shared" si="5"/>
        <v>0.42399337121212122</v>
      </c>
    </row>
    <row r="169" spans="1:30">
      <c r="A169" s="9">
        <v>44143</v>
      </c>
      <c r="B169" s="3">
        <v>249.02601583399107</v>
      </c>
      <c r="C169" s="2">
        <v>64.714850896510455</v>
      </c>
      <c r="D169" s="3">
        <v>403.08827547755845</v>
      </c>
      <c r="E169" s="3">
        <v>63.185755610730766</v>
      </c>
      <c r="F169" s="3">
        <v>338.50078856313206</v>
      </c>
      <c r="G169" s="3">
        <f>(B169-$B$2)/$B$1</f>
        <v>0.27312599600301585</v>
      </c>
      <c r="H169" s="3">
        <f>((C169-$C$2)/$C$1+(D169-$D$2)/$D$1+(E169-$E$2)/$E$1+(F169-$F$2)/$F$1)/4</f>
        <v>0.26094066112220826</v>
      </c>
      <c r="I169" s="19">
        <v>44143</v>
      </c>
      <c r="J169" s="20">
        <v>130.4375</v>
      </c>
      <c r="K169" s="20">
        <v>74.847916666666649</v>
      </c>
      <c r="L169" s="20">
        <v>13.335416666666674</v>
      </c>
      <c r="M169" s="20">
        <v>0</v>
      </c>
      <c r="N169" s="20">
        <v>179.66666666666666</v>
      </c>
      <c r="O169" s="20">
        <v>2.0833333333333335</v>
      </c>
      <c r="P169" s="20">
        <v>2.0833333333333332E-2</v>
      </c>
      <c r="Q169" s="20">
        <v>8.7395833333333339</v>
      </c>
      <c r="R169" s="10">
        <v>0.43988951388174308</v>
      </c>
      <c r="S169" s="21">
        <v>0.30877083333333327</v>
      </c>
      <c r="T169" s="21">
        <v>0.42270833333333319</v>
      </c>
      <c r="U169" s="21">
        <v>0.48760416666666656</v>
      </c>
      <c r="V169" s="21">
        <v>0.50262500000000021</v>
      </c>
      <c r="W169" s="21">
        <v>0.4921458333333335</v>
      </c>
      <c r="X169" s="21">
        <v>0.3978750000000002</v>
      </c>
      <c r="Y169" s="21">
        <v>0.39177083333333335</v>
      </c>
      <c r="Z169" s="21">
        <v>0.34081249999999996</v>
      </c>
      <c r="AA169" s="25" t="e">
        <f>#REF!*0.5711-0.0033</f>
        <v>#REF!</v>
      </c>
      <c r="AB169" s="24">
        <f>AVERAGE(S169,W169)</f>
        <v>0.40045833333333336</v>
      </c>
      <c r="AC169" s="24">
        <f>AVERAGE(T169:V169,X169:Z169)</f>
        <v>0.42389930555555555</v>
      </c>
      <c r="AD169" s="24">
        <f t="shared" si="5"/>
        <v>0.41963731060606058</v>
      </c>
    </row>
    <row r="170" spans="1:30">
      <c r="A170" s="9">
        <v>44144</v>
      </c>
      <c r="B170" s="3">
        <v>384.36989485661445</v>
      </c>
      <c r="C170" s="2">
        <v>108.6759297314709</v>
      </c>
      <c r="D170" s="3">
        <v>725.16423016109479</v>
      </c>
      <c r="E170" s="3">
        <v>106.10811338749356</v>
      </c>
      <c r="F170" s="3">
        <v>653.47698805944412</v>
      </c>
      <c r="G170" s="3">
        <f>(B170-$B$2)/$B$1</f>
        <v>0.42489947159691743</v>
      </c>
      <c r="H170" s="3">
        <f>((C170-$C$2)/$C$1+(D170-$D$2)/$D$1+(E170-$E$2)/$E$1+(F170-$F$2)/$F$1)/4</f>
        <v>0.49910772701845185</v>
      </c>
      <c r="I170" s="19">
        <v>44144</v>
      </c>
      <c r="J170" s="20">
        <v>175.35416666666666</v>
      </c>
      <c r="K170" s="20">
        <v>53.45000000000001</v>
      </c>
      <c r="L170" s="20">
        <v>14.639583333333333</v>
      </c>
      <c r="M170" s="20">
        <v>0</v>
      </c>
      <c r="N170" s="20">
        <v>213.39583333333334</v>
      </c>
      <c r="O170" s="20">
        <v>3.3333333333333335</v>
      </c>
      <c r="P170" s="20">
        <v>6.25E-2</v>
      </c>
      <c r="Q170" s="20">
        <v>4.3249999999999993</v>
      </c>
      <c r="R170" s="10">
        <v>0.88269616599950673</v>
      </c>
      <c r="S170" s="21">
        <v>0.30181250000000009</v>
      </c>
      <c r="T170" s="21">
        <v>0.41645833333333315</v>
      </c>
      <c r="U170" s="21">
        <v>0.47987500000000027</v>
      </c>
      <c r="V170" s="21">
        <v>0.49781250000000005</v>
      </c>
      <c r="W170" s="21">
        <v>0.48662500000000003</v>
      </c>
      <c r="X170" s="21">
        <v>0.39006250000000015</v>
      </c>
      <c r="Y170" s="21">
        <v>0.38508333333333317</v>
      </c>
      <c r="Z170" s="21">
        <v>0.33600000000000013</v>
      </c>
      <c r="AA170" s="25" t="e">
        <f>#REF!*0.5711-0.0033</f>
        <v>#REF!</v>
      </c>
      <c r="AB170" s="24">
        <f>AVERAGE(S170,W170)</f>
        <v>0.39421875000000006</v>
      </c>
      <c r="AC170" s="24">
        <f>AVERAGE(T170:V170,X170:Z170)</f>
        <v>0.41754861111111113</v>
      </c>
      <c r="AD170" s="24">
        <f t="shared" si="5"/>
        <v>0.41330681818181814</v>
      </c>
    </row>
    <row r="171" spans="1:30">
      <c r="A171" s="9">
        <v>44145</v>
      </c>
      <c r="B171" s="3">
        <v>411.70218348460071</v>
      </c>
      <c r="C171" s="2">
        <v>156.52620522062463</v>
      </c>
      <c r="D171" s="3">
        <v>517.17441763323961</v>
      </c>
      <c r="E171" s="3">
        <v>152.82777311133043</v>
      </c>
      <c r="F171" s="3">
        <v>649.19170167990762</v>
      </c>
      <c r="G171" s="3">
        <f>(B171-$B$2)/$B$1</f>
        <v>0.45554966775622607</v>
      </c>
      <c r="H171" s="3">
        <f>((C171-$C$2)/$C$1+(D171-$D$2)/$D$1+(E171-$E$2)/$E$1+(F171-$F$2)/$F$1)/4</f>
        <v>0.46742337798103006</v>
      </c>
      <c r="I171" s="19">
        <v>44145</v>
      </c>
      <c r="J171" s="20">
        <v>188.83333333333334</v>
      </c>
      <c r="K171" s="20">
        <v>52.512499999999996</v>
      </c>
      <c r="L171" s="20">
        <v>14.235416666666666</v>
      </c>
      <c r="M171" s="20">
        <v>0</v>
      </c>
      <c r="N171" s="20">
        <v>196.9375</v>
      </c>
      <c r="O171" s="20">
        <v>3.0833333333333335</v>
      </c>
      <c r="P171" s="20">
        <v>0.125</v>
      </c>
      <c r="Q171" s="20">
        <v>3.8000000000000003</v>
      </c>
      <c r="R171" s="10">
        <v>0.92180404086401158</v>
      </c>
      <c r="S171" s="21">
        <v>0.29224999999999984</v>
      </c>
      <c r="T171" s="21">
        <v>0.40633333333333338</v>
      </c>
      <c r="U171" s="21">
        <v>0.4685208333333335</v>
      </c>
      <c r="V171" s="21">
        <v>0.49091666666666667</v>
      </c>
      <c r="W171" s="21">
        <v>0.47760416666666655</v>
      </c>
      <c r="X171" s="21">
        <v>0.37916666666666649</v>
      </c>
      <c r="Y171" s="21">
        <v>0.37583333333333319</v>
      </c>
      <c r="Z171" s="21">
        <v>0.32958333333333345</v>
      </c>
      <c r="AA171" s="21">
        <v>0.1613333333333333</v>
      </c>
      <c r="AB171" s="24">
        <f>AVERAGE(S171,W171)</f>
        <v>0.3849270833333332</v>
      </c>
      <c r="AC171" s="24">
        <f>AVERAGE(T171:V171,X171:Z171)</f>
        <v>0.4083923611111111</v>
      </c>
      <c r="AD171" s="24">
        <f t="shared" si="5"/>
        <v>0.40412594696969695</v>
      </c>
    </row>
    <row r="172" spans="1:30">
      <c r="A172" s="9">
        <v>44146</v>
      </c>
      <c r="B172" s="3">
        <v>417.9355292813745</v>
      </c>
      <c r="C172" s="2">
        <v>214.42438565458366</v>
      </c>
      <c r="D172" s="3">
        <v>345.21803616429804</v>
      </c>
      <c r="E172" s="3">
        <v>209.35792389629336</v>
      </c>
      <c r="F172" s="3">
        <v>643.10405776135519</v>
      </c>
      <c r="G172" s="3">
        <f>(B172-$B$2)/$B$1</f>
        <v>0.46253968875301499</v>
      </c>
      <c r="H172" s="3">
        <f>((C172-$C$2)/$C$1+(D172-$D$2)/$D$1+(E172-$E$2)/$E$1+(F172-$F$2)/$F$1)/4</f>
        <v>0.45091444041586431</v>
      </c>
      <c r="I172" s="19">
        <v>44146</v>
      </c>
      <c r="J172" s="20">
        <v>188.16666666666666</v>
      </c>
      <c r="K172" s="20">
        <v>54.120833333333316</v>
      </c>
      <c r="L172" s="20">
        <v>14.010416666666666</v>
      </c>
      <c r="M172" s="20">
        <v>0</v>
      </c>
      <c r="N172" s="20">
        <v>209.125</v>
      </c>
      <c r="O172" s="20">
        <v>2.3958333333333335</v>
      </c>
      <c r="P172" s="20">
        <v>0</v>
      </c>
      <c r="Q172" s="20">
        <v>4.2250000000000014</v>
      </c>
      <c r="R172" s="10">
        <v>0.87638695739803463</v>
      </c>
      <c r="S172" s="21">
        <v>0.28337500000000004</v>
      </c>
      <c r="T172" s="21">
        <v>0.39602083333333332</v>
      </c>
      <c r="U172" s="21">
        <v>0.45893749999999955</v>
      </c>
      <c r="V172" s="21">
        <v>0.48331250000000009</v>
      </c>
      <c r="W172" s="21">
        <v>0.46897916666666667</v>
      </c>
      <c r="X172" s="21">
        <v>0.3688958333333332</v>
      </c>
      <c r="Y172" s="21">
        <v>0.36783333333333346</v>
      </c>
      <c r="Z172" s="21">
        <v>0.32352083333333326</v>
      </c>
      <c r="AA172" s="21">
        <v>0.1529166666666667</v>
      </c>
      <c r="AB172" s="24">
        <f>AVERAGE(S172,W172)</f>
        <v>0.37617708333333333</v>
      </c>
      <c r="AC172" s="24">
        <f>AVERAGE(T172:V172,X172:Z172)</f>
        <v>0.39975347222222207</v>
      </c>
      <c r="AD172" s="24">
        <f t="shared" si="5"/>
        <v>0.39546685606060594</v>
      </c>
    </row>
    <row r="173" spans="1:30">
      <c r="A173" s="9">
        <v>44147</v>
      </c>
      <c r="B173" s="3">
        <v>389.25703356986105</v>
      </c>
      <c r="C173" s="2">
        <v>234.98445807690712</v>
      </c>
      <c r="D173" s="3">
        <v>333.14901872657629</v>
      </c>
      <c r="E173" s="3">
        <v>229.43219886438891</v>
      </c>
      <c r="F173" s="3">
        <v>580.19279061127952</v>
      </c>
      <c r="G173" s="3">
        <f>(B173-$B$2)/$B$1</f>
        <v>0.43037986741219447</v>
      </c>
      <c r="H173" s="3">
        <f>((C173-$C$2)/$C$1+(D173-$D$2)/$D$1+(E173-$E$2)/$E$1+(F173-$F$2)/$F$1)/4</f>
        <v>0.4349745435362114</v>
      </c>
      <c r="I173" s="19">
        <v>44147</v>
      </c>
      <c r="J173" s="20">
        <v>173.72916666666666</v>
      </c>
      <c r="K173" s="20">
        <v>59.677083333333336</v>
      </c>
      <c r="L173" s="20">
        <v>14.272916666666665</v>
      </c>
      <c r="M173" s="20">
        <v>0</v>
      </c>
      <c r="N173" s="20">
        <v>204.9375</v>
      </c>
      <c r="O173" s="20">
        <v>1.1041666666666667</v>
      </c>
      <c r="P173" s="20">
        <v>0</v>
      </c>
      <c r="Q173" s="20">
        <v>5.9375</v>
      </c>
      <c r="R173" s="10">
        <v>0.79878502173037358</v>
      </c>
      <c r="S173" s="21">
        <v>0.27672916666666669</v>
      </c>
      <c r="T173" s="21">
        <v>0.38714583333333347</v>
      </c>
      <c r="U173" s="21">
        <v>0.45145833333333335</v>
      </c>
      <c r="V173" s="21">
        <v>0.47633333333333305</v>
      </c>
      <c r="W173" s="21">
        <v>0.46133333333333332</v>
      </c>
      <c r="X173" s="21">
        <v>0.36068750000000005</v>
      </c>
      <c r="Y173" s="21">
        <v>0.36181249999999993</v>
      </c>
      <c r="Z173" s="21">
        <v>0.31837500000000024</v>
      </c>
      <c r="AA173" s="21">
        <v>0.14368749999999997</v>
      </c>
      <c r="AB173" s="24">
        <f>AVERAGE(S173,W173)</f>
        <v>0.36903125000000003</v>
      </c>
      <c r="AC173" s="24">
        <f>AVERAGE(T173:V173,X173:Z173)</f>
        <v>0.39263541666666663</v>
      </c>
      <c r="AD173" s="24">
        <f t="shared" si="5"/>
        <v>0.38834374999999999</v>
      </c>
    </row>
    <row r="174" spans="1:30">
      <c r="A174" s="9">
        <v>44148</v>
      </c>
      <c r="B174" s="3">
        <v>379.80012991759179</v>
      </c>
      <c r="C174" s="2">
        <v>251.44653414205521</v>
      </c>
      <c r="D174" s="3">
        <v>362.84802254419202</v>
      </c>
      <c r="E174" s="3">
        <v>245.50530574307285</v>
      </c>
      <c r="F174" s="3">
        <v>590.11655537828949</v>
      </c>
      <c r="G174" s="3">
        <f>(B174-$B$2)/$B$1</f>
        <v>0.41977497603456776</v>
      </c>
      <c r="H174" s="3">
        <f>((C174-$C$2)/$C$1+(D174-$D$2)/$D$1+(E174-$E$2)/$E$1+(F174-$F$2)/$F$1)/4</f>
        <v>0.45669954598692464</v>
      </c>
      <c r="I174" s="19">
        <v>44148</v>
      </c>
      <c r="J174" s="20">
        <v>174.83333333333334</v>
      </c>
      <c r="K174" s="20">
        <v>57.379166666666691</v>
      </c>
      <c r="L174" s="20">
        <v>14.974999999999996</v>
      </c>
      <c r="M174" s="20">
        <v>0</v>
      </c>
      <c r="N174" s="20">
        <v>214.52083333333334</v>
      </c>
      <c r="O174" s="20">
        <v>2.5416666666666665</v>
      </c>
      <c r="P174" s="20">
        <v>8.3333333333333329E-2</v>
      </c>
      <c r="Q174" s="20">
        <v>5.9437499999999988</v>
      </c>
      <c r="R174" s="10">
        <v>0.86757433512385307</v>
      </c>
      <c r="S174" s="21">
        <v>0.27127083333333324</v>
      </c>
      <c r="T174" s="21">
        <v>0.3792916666666668</v>
      </c>
      <c r="U174" s="21">
        <v>0.44477083333333328</v>
      </c>
      <c r="V174" s="21">
        <v>0.46968749999999987</v>
      </c>
      <c r="W174" s="21">
        <v>0.4548541666666665</v>
      </c>
      <c r="X174" s="21">
        <v>0.3538124999999997</v>
      </c>
      <c r="Y174" s="21">
        <v>0.35627083333333309</v>
      </c>
      <c r="Z174" s="21">
        <v>0.31360416666666674</v>
      </c>
      <c r="AA174" s="21">
        <v>0.13760714285714279</v>
      </c>
      <c r="AB174" s="24">
        <f>AVERAGE(S174,W174)</f>
        <v>0.36306249999999984</v>
      </c>
      <c r="AC174" s="24">
        <f>AVERAGE(T174:V174,X174:Z174)</f>
        <v>0.38623958333333325</v>
      </c>
      <c r="AD174" s="24">
        <f t="shared" si="5"/>
        <v>0.38202556818181804</v>
      </c>
    </row>
    <row r="175" spans="1:30">
      <c r="A175" s="9">
        <v>44149</v>
      </c>
      <c r="B175" s="3">
        <v>386.0731077623887</v>
      </c>
      <c r="C175" s="2">
        <v>255.20393733610723</v>
      </c>
      <c r="D175" s="3">
        <v>377.51987358068959</v>
      </c>
      <c r="E175" s="3">
        <v>249.1739282719266</v>
      </c>
      <c r="F175" s="3">
        <v>548.73710926943363</v>
      </c>
      <c r="G175" s="3">
        <f>(B175-$B$2)/$B$1</f>
        <v>0.42680944007316107</v>
      </c>
      <c r="H175" s="3">
        <f>((C175-$C$2)/$C$1+(D175-$D$2)/$D$1+(E175-$E$2)/$E$1+(F175-$F$2)/$F$1)/4</f>
        <v>0.44681966957970298</v>
      </c>
      <c r="I175" s="19">
        <v>44149</v>
      </c>
      <c r="J175" s="20">
        <v>180.33333333333334</v>
      </c>
      <c r="K175" s="20">
        <v>55.758333333333326</v>
      </c>
      <c r="L175" s="20">
        <v>14.16666666666667</v>
      </c>
      <c r="M175" s="20">
        <v>0</v>
      </c>
      <c r="N175" s="20">
        <v>204.54166666666666</v>
      </c>
      <c r="O175" s="20">
        <v>3.4166666666666665</v>
      </c>
      <c r="P175" s="20">
        <v>2.0833333333333332E-2</v>
      </c>
      <c r="Q175" s="20">
        <v>5.0145833333333343</v>
      </c>
      <c r="R175" s="10">
        <v>0.82272313491469917</v>
      </c>
      <c r="S175" s="21">
        <v>0.26616666666666672</v>
      </c>
      <c r="T175" s="21">
        <v>0.37116666666666648</v>
      </c>
      <c r="U175" s="21">
        <v>0.43835416666666638</v>
      </c>
      <c r="V175" s="21">
        <v>0.46327083333333335</v>
      </c>
      <c r="W175" s="21">
        <v>0.44791666666666657</v>
      </c>
      <c r="X175" s="21">
        <v>0.34770833333333334</v>
      </c>
      <c r="Y175" s="21">
        <v>0.35129166666666656</v>
      </c>
      <c r="Z175" s="21">
        <v>0.30922916666666661</v>
      </c>
      <c r="AA175" s="21">
        <v>0.13144444444444447</v>
      </c>
      <c r="AB175" s="24">
        <f>AVERAGE(S175,W175)</f>
        <v>0.35704166666666665</v>
      </c>
      <c r="AC175" s="24">
        <f>AVERAGE(T175:V175,X175:Z175)</f>
        <v>0.38017013888888873</v>
      </c>
      <c r="AD175" s="24">
        <f t="shared" si="5"/>
        <v>0.375964962121212</v>
      </c>
    </row>
    <row r="176" spans="1:30">
      <c r="A176" s="9">
        <v>44150</v>
      </c>
      <c r="B176" s="3">
        <v>422.8916254686323</v>
      </c>
      <c r="C176" s="2">
        <v>297.08678902966398</v>
      </c>
      <c r="D176" s="3">
        <v>428.97627865407145</v>
      </c>
      <c r="E176" s="3">
        <v>290.06716366887713</v>
      </c>
      <c r="F176" s="3">
        <v>514.95194230452057</v>
      </c>
      <c r="G176" s="3">
        <f>(B176-$B$2)/$B$1</f>
        <v>0.46809741289355083</v>
      </c>
      <c r="H176" s="3">
        <f>((C176-$C$2)/$C$1+(D176-$D$2)/$D$1+(E176-$E$2)/$E$1+(F176-$F$2)/$F$1)/4</f>
        <v>0.47234352549742847</v>
      </c>
      <c r="I176" s="19">
        <v>44150</v>
      </c>
      <c r="J176" s="20">
        <v>179.0625</v>
      </c>
      <c r="K176" s="20">
        <v>66.466666666666683</v>
      </c>
      <c r="L176" s="20">
        <v>14.339583333333332</v>
      </c>
      <c r="M176" s="20">
        <v>0</v>
      </c>
      <c r="N176" s="20">
        <v>229.9375</v>
      </c>
      <c r="O176" s="20">
        <v>5.875</v>
      </c>
      <c r="P176" s="20">
        <v>0.58333333333333337</v>
      </c>
      <c r="Q176" s="20">
        <v>7.5583333333333336</v>
      </c>
      <c r="R176" s="10">
        <v>0.6816385243377111</v>
      </c>
      <c r="S176" s="21">
        <v>0.26225000000000009</v>
      </c>
      <c r="T176" s="21">
        <v>0.36399999999999993</v>
      </c>
      <c r="U176" s="21">
        <v>0.43264583333333323</v>
      </c>
      <c r="V176" s="21">
        <v>0.45729166666666615</v>
      </c>
      <c r="W176" s="21">
        <v>0.442</v>
      </c>
      <c r="X176" s="21">
        <v>0.34314583333333332</v>
      </c>
      <c r="Y176" s="21">
        <v>0.34766666666666679</v>
      </c>
      <c r="Z176" s="21">
        <v>0.30554166666666677</v>
      </c>
      <c r="AA176" s="21">
        <v>0.12699999999999995</v>
      </c>
      <c r="AB176" s="24">
        <f>AVERAGE(S176,W176)</f>
        <v>0.35212500000000002</v>
      </c>
      <c r="AC176" s="24">
        <f>AVERAGE(T176:V176,X176:Z176)</f>
        <v>0.37504861111111104</v>
      </c>
      <c r="AD176" s="24">
        <f t="shared" si="5"/>
        <v>0.37088068181818185</v>
      </c>
    </row>
    <row r="177" spans="1:30">
      <c r="A177" s="9">
        <v>44306</v>
      </c>
      <c r="B177" s="3">
        <v>635.51835037152614</v>
      </c>
      <c r="C177" s="2">
        <v>416.86682824900237</v>
      </c>
      <c r="D177" s="3">
        <v>349.83221089391333</v>
      </c>
      <c r="E177" s="3">
        <v>407.01701645089082</v>
      </c>
      <c r="F177" s="3">
        <v>355.7805866311345</v>
      </c>
      <c r="G177" s="3">
        <f>(B177-$B$2)/$B$1</f>
        <v>0.70653521499959449</v>
      </c>
      <c r="H177" s="3">
        <f>((C177-$C$2)/$C$1+(D177-$D$2)/$D$1+(E177-$E$2)/$E$1+(F177-$F$2)/$F$1)/4</f>
        <v>0.45795000553272514</v>
      </c>
      <c r="I177" s="19">
        <v>44306</v>
      </c>
      <c r="J177" s="20">
        <v>225.1875</v>
      </c>
      <c r="K177" s="20">
        <v>78.583333333333343</v>
      </c>
      <c r="L177" s="20">
        <v>19.706250000000004</v>
      </c>
      <c r="M177" s="20">
        <v>0.2</v>
      </c>
      <c r="N177" s="20">
        <v>231.02083333333334</v>
      </c>
      <c r="O177" s="20">
        <v>10.5</v>
      </c>
      <c r="P177" s="20">
        <v>1.5833333333333333</v>
      </c>
      <c r="Q177" s="20">
        <v>15.495833333333332</v>
      </c>
      <c r="R177" s="10">
        <v>0.59292948142752588</v>
      </c>
      <c r="S177" s="21">
        <v>0.29512499999999992</v>
      </c>
      <c r="T177" s="21">
        <v>0.31541666666666685</v>
      </c>
      <c r="U177" s="21">
        <v>0.39770833333333333</v>
      </c>
      <c r="V177" s="21">
        <v>0.40731250000000013</v>
      </c>
      <c r="W177" s="21">
        <v>0.46047916666666655</v>
      </c>
      <c r="X177" s="21">
        <v>0.3120208333333333</v>
      </c>
      <c r="Y177" s="21">
        <v>0.31504166666666661</v>
      </c>
      <c r="Z177" s="21">
        <v>0.26970833333333316</v>
      </c>
      <c r="AA177" s="21">
        <v>0.24732258064516127</v>
      </c>
      <c r="AB177" s="24">
        <f>AVERAGE(S177,W177)</f>
        <v>0.37780208333333321</v>
      </c>
      <c r="AC177" s="24">
        <f>AVERAGE(T177:V177,X177:Z177)</f>
        <v>0.3362013888888889</v>
      </c>
      <c r="AD177" s="24">
        <f t="shared" si="5"/>
        <v>0.34376515151515152</v>
      </c>
    </row>
    <row r="178" spans="1:30">
      <c r="A178" s="9">
        <v>44307</v>
      </c>
      <c r="B178" s="3">
        <v>735.62895122379325</v>
      </c>
      <c r="C178" s="2">
        <v>408.5193758443358</v>
      </c>
      <c r="D178" s="3">
        <v>402.64586646600446</v>
      </c>
      <c r="E178" s="3">
        <v>398.86679930124563</v>
      </c>
      <c r="F178" s="3">
        <v>421.7000744585406</v>
      </c>
      <c r="G178" s="3">
        <f>(B178-$B$2)/$B$1</f>
        <v>0.81879839191506187</v>
      </c>
      <c r="H178" s="3">
        <f>((C178-$C$2)/$C$1+(D178-$D$2)/$D$1+(E178-$E$2)/$E$1+(F178-$F$2)/$F$1)/4</f>
        <v>0.49351463650079752</v>
      </c>
      <c r="I178" s="19">
        <v>44307</v>
      </c>
      <c r="J178" s="20">
        <v>213.125</v>
      </c>
      <c r="K178" s="20">
        <v>75.489583333333343</v>
      </c>
      <c r="L178" s="20">
        <v>20.497916666666661</v>
      </c>
      <c r="M178" s="20">
        <v>0</v>
      </c>
      <c r="N178" s="20">
        <v>225.02083333333334</v>
      </c>
      <c r="O178" s="20">
        <v>5.166666666666667</v>
      </c>
      <c r="P178" s="20">
        <v>0.25</v>
      </c>
      <c r="Q178" s="20">
        <v>15.42083333333334</v>
      </c>
      <c r="R178" s="10">
        <v>0.75340691730483433</v>
      </c>
      <c r="S178" s="21">
        <v>0.2886666666666669</v>
      </c>
      <c r="T178" s="21">
        <v>0.31852083333333353</v>
      </c>
      <c r="U178" s="21">
        <v>0.40120833333333322</v>
      </c>
      <c r="V178" s="21">
        <v>0.40952083333333333</v>
      </c>
      <c r="W178" s="21">
        <v>0.45306250000000015</v>
      </c>
      <c r="X178" s="21">
        <v>0.31535416666666671</v>
      </c>
      <c r="Y178" s="21">
        <v>0.31670833333333342</v>
      </c>
      <c r="Z178" s="21">
        <v>0.27106250000000026</v>
      </c>
      <c r="AA178" s="21">
        <v>0.22109090909090912</v>
      </c>
      <c r="AB178" s="24">
        <f>AVERAGE(S178,W178)</f>
        <v>0.3708645833333335</v>
      </c>
      <c r="AC178" s="24">
        <f>AVERAGE(T178:V178,X178:Z178)</f>
        <v>0.33872916666666675</v>
      </c>
      <c r="AD178" s="24">
        <f t="shared" si="5"/>
        <v>0.34457196969696979</v>
      </c>
    </row>
    <row r="179" spans="1:30">
      <c r="A179" s="9">
        <v>44308</v>
      </c>
      <c r="B179" s="3">
        <v>735.33309857771008</v>
      </c>
      <c r="C179" s="2">
        <v>416.67508791146292</v>
      </c>
      <c r="D179" s="3">
        <v>380.31499378556771</v>
      </c>
      <c r="E179" s="3">
        <v>406.82980659193805</v>
      </c>
      <c r="F179" s="3">
        <v>422.9869245072864</v>
      </c>
      <c r="G179" s="3">
        <f>(B179-$B$2)/$B$1</f>
        <v>0.81846662527231484</v>
      </c>
      <c r="H179" s="3">
        <f>((C179-$C$2)/$C$1+(D179-$D$2)/$D$1+(E179-$E$2)/$E$1+(F179-$F$2)/$F$1)/4</f>
        <v>0.49255245121359237</v>
      </c>
      <c r="I179" s="19">
        <v>44308</v>
      </c>
      <c r="J179" s="20">
        <v>212.25</v>
      </c>
      <c r="K179" s="20">
        <v>75.985416666666652</v>
      </c>
      <c r="L179" s="20">
        <v>21.189583333333328</v>
      </c>
      <c r="M179" s="20">
        <v>0</v>
      </c>
      <c r="N179" s="20">
        <v>234.70833333333334</v>
      </c>
      <c r="O179" s="20">
        <v>11.770833333333334</v>
      </c>
      <c r="P179" s="20">
        <v>2.9375</v>
      </c>
      <c r="Q179" s="20">
        <v>16.458333333333329</v>
      </c>
      <c r="R179" s="10">
        <v>0.72391247983444673</v>
      </c>
      <c r="S179" s="21">
        <v>0.27839583333333345</v>
      </c>
      <c r="T179" s="21">
        <v>0.31964583333333368</v>
      </c>
      <c r="U179" s="21">
        <v>0.40345833333333342</v>
      </c>
      <c r="V179" s="21">
        <v>0.41112499999999996</v>
      </c>
      <c r="W179" s="21">
        <v>0.44299999999999984</v>
      </c>
      <c r="X179" s="21">
        <v>0.31675000000000003</v>
      </c>
      <c r="Y179" s="21">
        <v>0.31781249999999978</v>
      </c>
      <c r="Z179" s="21">
        <v>0.27197916666666683</v>
      </c>
      <c r="AA179" s="21">
        <v>0.20831250000000004</v>
      </c>
      <c r="AB179" s="24">
        <f>AVERAGE(S179,W179)</f>
        <v>0.36069791666666662</v>
      </c>
      <c r="AC179" s="24">
        <f>AVERAGE(T179:V179,X179:Z179)</f>
        <v>0.34012847222222226</v>
      </c>
      <c r="AD179" s="24">
        <f t="shared" si="5"/>
        <v>0.34386837121212122</v>
      </c>
    </row>
    <row r="180" spans="1:30">
      <c r="A180" s="9">
        <v>44309</v>
      </c>
      <c r="B180" s="3">
        <v>805.32898413079602</v>
      </c>
      <c r="C180" s="2">
        <v>437.70093850472466</v>
      </c>
      <c r="D180" s="3">
        <v>340.09618899431371</v>
      </c>
      <c r="E180" s="3">
        <v>427.35885423230292</v>
      </c>
      <c r="F180" s="3">
        <v>343.19638650716581</v>
      </c>
      <c r="G180" s="3">
        <f>(B180-$B$2)/$B$1</f>
        <v>0.89695941640835908</v>
      </c>
      <c r="H180" s="3">
        <f>((C180-$C$2)/$C$1+(D180-$D$2)/$D$1+(E180-$E$2)/$E$1+(F180-$F$2)/$F$1)/4</f>
        <v>0.46246220846619335</v>
      </c>
      <c r="I180" s="19">
        <v>44309</v>
      </c>
      <c r="J180" s="20">
        <v>205.4375</v>
      </c>
      <c r="K180" s="20">
        <v>74.037499999999994</v>
      </c>
      <c r="L180" s="20">
        <v>22.941666666666666</v>
      </c>
      <c r="M180" s="20">
        <v>0</v>
      </c>
      <c r="N180" s="20">
        <v>232.25</v>
      </c>
      <c r="O180" s="20">
        <v>17.875</v>
      </c>
      <c r="P180" s="20">
        <v>4.645833333333333</v>
      </c>
      <c r="Q180" s="20">
        <v>17.941666666666666</v>
      </c>
      <c r="R180" s="10">
        <v>0.77243083366202392</v>
      </c>
      <c r="S180" s="21">
        <v>0.26850000000000013</v>
      </c>
      <c r="T180" s="21">
        <v>0.32002083333333359</v>
      </c>
      <c r="U180" s="21">
        <v>0.40475</v>
      </c>
      <c r="V180" s="21">
        <v>0.41241666666666682</v>
      </c>
      <c r="W180" s="21">
        <v>0.43339583333333298</v>
      </c>
      <c r="X180" s="21">
        <v>0.3174791666666667</v>
      </c>
      <c r="Y180" s="21">
        <v>0.31822916666666651</v>
      </c>
      <c r="Z180" s="21">
        <v>0.27274999999999994</v>
      </c>
      <c r="AA180" s="21">
        <v>0.17364705882352938</v>
      </c>
      <c r="AB180" s="24">
        <f>AVERAGE(S180,W180)</f>
        <v>0.35094791666666658</v>
      </c>
      <c r="AC180" s="24">
        <f>AVERAGE(T180:V180,X180:Z180)</f>
        <v>0.3409409722222223</v>
      </c>
      <c r="AD180" s="24">
        <f t="shared" si="5"/>
        <v>0.34276041666666673</v>
      </c>
    </row>
    <row r="181" spans="1:30">
      <c r="A181" s="9">
        <v>44310</v>
      </c>
      <c r="B181" s="3">
        <v>674.33871564341075</v>
      </c>
      <c r="C181" s="2">
        <v>382.96176672287902</v>
      </c>
      <c r="D181" s="3">
        <v>277.79801574320607</v>
      </c>
      <c r="E181" s="3">
        <v>373.91307041874541</v>
      </c>
      <c r="F181" s="3">
        <v>265.05015333197514</v>
      </c>
      <c r="G181" s="3">
        <f>(B181-$B$2)/$B$1</f>
        <v>0.75006804266558647</v>
      </c>
      <c r="H181" s="3">
        <f>((C181-$C$2)/$C$1+(D181-$D$2)/$D$1+(E181-$E$2)/$E$1+(F181-$F$2)/$F$1)/4</f>
        <v>0.38274590195151703</v>
      </c>
      <c r="I181" s="19">
        <v>44310</v>
      </c>
      <c r="J181" s="20">
        <v>176.47916666666666</v>
      </c>
      <c r="K181" s="20">
        <v>74.250000000000014</v>
      </c>
      <c r="L181" s="20">
        <v>22.783333333333331</v>
      </c>
      <c r="M181" s="20">
        <v>0</v>
      </c>
      <c r="N181" s="20">
        <v>229.70833333333334</v>
      </c>
      <c r="O181" s="20">
        <v>9.0833333333333339</v>
      </c>
      <c r="P181" s="20">
        <v>0.85416666666666663</v>
      </c>
      <c r="Q181" s="20">
        <v>17.681249999999999</v>
      </c>
      <c r="R181" s="10">
        <v>0.80757649764186235</v>
      </c>
      <c r="S181" s="21">
        <v>0.26141666666666669</v>
      </c>
      <c r="T181" s="21">
        <v>0.31985416666666705</v>
      </c>
      <c r="U181" s="21">
        <v>0.4056666666666664</v>
      </c>
      <c r="V181" s="21">
        <v>0.41285416666666669</v>
      </c>
      <c r="W181" s="21">
        <v>0.42660416666666667</v>
      </c>
      <c r="X181" s="21">
        <v>0.31822916666666673</v>
      </c>
      <c r="Y181" s="21">
        <v>0.31858333333333327</v>
      </c>
      <c r="Z181" s="21">
        <v>0.27306249999999987</v>
      </c>
      <c r="AA181" s="21">
        <v>0.1634444444444445</v>
      </c>
      <c r="AB181" s="24">
        <f>AVERAGE(S181,W181)</f>
        <v>0.34401041666666665</v>
      </c>
      <c r="AC181" s="24">
        <f>AVERAGE(T181:V181,X181:Z181)</f>
        <v>0.34137499999999998</v>
      </c>
      <c r="AD181" s="24">
        <f t="shared" si="5"/>
        <v>0.34185416666666663</v>
      </c>
    </row>
    <row r="182" spans="1:30">
      <c r="A182" s="9">
        <v>44311</v>
      </c>
      <c r="B182" s="3">
        <v>199.71126143746037</v>
      </c>
      <c r="C182" s="2">
        <v>121.77710986362824</v>
      </c>
      <c r="D182" s="3">
        <v>22.68485865292573</v>
      </c>
      <c r="E182" s="3">
        <v>118.89973624646382</v>
      </c>
      <c r="F182" s="3">
        <v>59.466045663597349</v>
      </c>
      <c r="G182" s="3">
        <f>(B182-$B$2)/$B$1</f>
        <v>0.2178248495686802</v>
      </c>
      <c r="H182" s="3">
        <f>((C182-$C$2)/$C$1+(D182-$D$2)/$D$1+(E182-$E$2)/$E$1+(F182-$F$2)/$F$1)/4</f>
        <v>7.9404388871472179E-2</v>
      </c>
      <c r="I182" s="19">
        <v>44311</v>
      </c>
      <c r="J182" s="20">
        <v>50</v>
      </c>
      <c r="K182" s="20">
        <v>87.791666666666686</v>
      </c>
      <c r="L182" s="20">
        <v>15.206250000000002</v>
      </c>
      <c r="M182" s="20">
        <v>1.1000000000000001</v>
      </c>
      <c r="N182" s="20">
        <v>227.22916666666666</v>
      </c>
      <c r="O182" s="20">
        <v>7.5</v>
      </c>
      <c r="P182" s="20">
        <v>0.20833333333333334</v>
      </c>
      <c r="Q182" s="20">
        <v>13.170833333333334</v>
      </c>
      <c r="R182" s="10">
        <v>0.22118613206343452</v>
      </c>
      <c r="S182" s="21">
        <v>0.25639583333333343</v>
      </c>
      <c r="T182" s="21">
        <v>0.31877083333333339</v>
      </c>
      <c r="U182" s="21">
        <v>0.4057083333333335</v>
      </c>
      <c r="V182" s="21">
        <v>0.41337499999999999</v>
      </c>
      <c r="W182" s="21">
        <v>0.42087500000000005</v>
      </c>
      <c r="X182" s="21">
        <v>0.31862500000000005</v>
      </c>
      <c r="Y182" s="21">
        <v>0.31860416666666674</v>
      </c>
      <c r="Z182" s="21">
        <v>0.27314583333333325</v>
      </c>
      <c r="AA182" s="25" t="e">
        <f>#REF!*0.5711-0.0033</f>
        <v>#REF!</v>
      </c>
      <c r="AB182" s="24">
        <f>AVERAGE(S182,W182)</f>
        <v>0.33863541666666674</v>
      </c>
      <c r="AC182" s="24">
        <f>AVERAGE(T182:V182,X182:Z182)</f>
        <v>0.34137152777777785</v>
      </c>
      <c r="AD182" s="24">
        <f t="shared" si="5"/>
        <v>0.3408740530303031</v>
      </c>
    </row>
    <row r="183" spans="1:30">
      <c r="A183" s="9">
        <v>44312</v>
      </c>
      <c r="B183" s="3">
        <v>383.26558764851961</v>
      </c>
      <c r="C183" s="2">
        <v>234.05087813796538</v>
      </c>
      <c r="D183" s="3">
        <v>84.159810818372364</v>
      </c>
      <c r="E183" s="3">
        <v>228.52067773673636</v>
      </c>
      <c r="F183" s="3">
        <v>147.71083544127146</v>
      </c>
      <c r="G183" s="3">
        <f>(B183-$B$2)/$B$1</f>
        <v>0.42366111087971103</v>
      </c>
      <c r="H183" s="3">
        <f>((C183-$C$2)/$C$1+(D183-$D$2)/$D$1+(E183-$E$2)/$E$1+(F183-$F$2)/$F$1)/4</f>
        <v>0.19633995010686534</v>
      </c>
      <c r="I183" s="19">
        <v>44312</v>
      </c>
      <c r="J183" s="20">
        <v>100</v>
      </c>
      <c r="K183" s="20">
        <v>83.65</v>
      </c>
      <c r="L183" s="20">
        <v>14.706249999999999</v>
      </c>
      <c r="M183" s="20">
        <v>1.9</v>
      </c>
      <c r="N183" s="20">
        <v>209.41666666666666</v>
      </c>
      <c r="O183" s="20">
        <v>4.208333333333333</v>
      </c>
      <c r="P183" s="20">
        <v>0.10416666666666667</v>
      </c>
      <c r="Q183" s="20">
        <v>11.827083333333333</v>
      </c>
      <c r="R183" s="10">
        <v>0.31021412031893314</v>
      </c>
      <c r="S183" s="21">
        <v>0.2518749999999999</v>
      </c>
      <c r="T183" s="21">
        <v>0.31539583333333326</v>
      </c>
      <c r="U183" s="21">
        <v>0.40216666666666656</v>
      </c>
      <c r="V183" s="21">
        <v>0.41216666666666707</v>
      </c>
      <c r="W183" s="21">
        <v>0.4146875000000001</v>
      </c>
      <c r="X183" s="21">
        <v>0.31543749999999976</v>
      </c>
      <c r="Y183" s="21">
        <v>0.31706250000000025</v>
      </c>
      <c r="Z183" s="21">
        <v>0.27252083333333332</v>
      </c>
      <c r="AA183" s="25" t="e">
        <f>#REF!*0.5711-0.0033</f>
        <v>#REF!</v>
      </c>
      <c r="AB183" s="24">
        <f>AVERAGE(S183,W183)</f>
        <v>0.33328124999999997</v>
      </c>
      <c r="AC183" s="24">
        <f>AVERAGE(T183:V183,X183:Z183)</f>
        <v>0.33912500000000007</v>
      </c>
      <c r="AD183" s="24">
        <f t="shared" si="5"/>
        <v>0.33806250000000004</v>
      </c>
    </row>
    <row r="184" spans="1:30">
      <c r="A184" s="9">
        <v>44315</v>
      </c>
      <c r="B184" s="3">
        <v>686.9805457356282</v>
      </c>
      <c r="C184" s="2">
        <v>449.48432624392626</v>
      </c>
      <c r="D184" s="3">
        <v>401.7261224061013</v>
      </c>
      <c r="E184" s="3">
        <v>438.86382175739726</v>
      </c>
      <c r="F184" s="3">
        <v>340.47262205889422</v>
      </c>
      <c r="G184" s="3">
        <f>(B184-$B$2)/$B$1</f>
        <v>0.76424448348300011</v>
      </c>
      <c r="H184" s="3">
        <f>((C184-$C$2)/$C$1+(D184-$D$2)/$D$1+(E184-$E$2)/$E$1+(F184-$F$2)/$F$1)/4</f>
        <v>0.48541157895671661</v>
      </c>
      <c r="I184" s="19">
        <v>44315</v>
      </c>
      <c r="J184" s="20">
        <v>271.64583333333331</v>
      </c>
      <c r="K184" s="20">
        <v>65.081249999999983</v>
      </c>
      <c r="L184" s="20">
        <v>18.022916666666667</v>
      </c>
      <c r="M184" s="20">
        <v>0.4</v>
      </c>
      <c r="N184" s="20">
        <v>215.20833333333334</v>
      </c>
      <c r="O184" s="20">
        <v>5.291666666666667</v>
      </c>
      <c r="P184" s="20">
        <v>0.4375</v>
      </c>
      <c r="Q184" s="20">
        <v>10.172916666666666</v>
      </c>
      <c r="R184" s="10">
        <v>0.92031888459238065</v>
      </c>
      <c r="S184" s="21">
        <v>0.28079166666666655</v>
      </c>
      <c r="T184" s="21">
        <v>0.32004166666666684</v>
      </c>
      <c r="U184" s="21">
        <v>0.40104166666666669</v>
      </c>
      <c r="V184" s="21">
        <v>0.41145833333333348</v>
      </c>
      <c r="W184" s="21">
        <v>0.44916666666666671</v>
      </c>
      <c r="X184" s="21">
        <v>0.31768749999999996</v>
      </c>
      <c r="Y184" s="21">
        <v>0.31454166666666677</v>
      </c>
      <c r="Z184" s="21">
        <v>0.2707083333333335</v>
      </c>
      <c r="AA184" s="21">
        <v>0.24363636363636365</v>
      </c>
      <c r="AB184" s="24">
        <f>AVERAGE(S184,W184)</f>
        <v>0.36497916666666663</v>
      </c>
      <c r="AC184" s="24">
        <f>AVERAGE(T184:V184,X184:Z184)</f>
        <v>0.33924652777777786</v>
      </c>
      <c r="AD184" s="24">
        <f t="shared" si="5"/>
        <v>0.3439251893939394</v>
      </c>
    </row>
    <row r="185" spans="1:30">
      <c r="A185" s="9">
        <v>44317</v>
      </c>
      <c r="B185" s="3">
        <v>699.55537312960564</v>
      </c>
      <c r="C185" s="3">
        <v>944.00515151624575</v>
      </c>
      <c r="D185" s="3">
        <v>344.19004943495173</v>
      </c>
      <c r="E185" s="3">
        <v>403.11452477249554</v>
      </c>
      <c r="F185" s="3">
        <v>325.15608951784662</v>
      </c>
      <c r="G185" s="3">
        <f>(B185-$B$2)/$B$1</f>
        <v>0.77834578804409027</v>
      </c>
      <c r="H185" s="3">
        <f>((C185-$C$2)/$C$1+(D185-$D$2)/$D$1+(E185-$E$2)/$E$1+(F185-$F$2)/$F$1)/4</f>
        <v>0.58879855414606608</v>
      </c>
      <c r="I185" s="19">
        <v>44317</v>
      </c>
      <c r="J185" s="20">
        <v>256.8125</v>
      </c>
      <c r="K185" s="20">
        <v>70.152083333333351</v>
      </c>
      <c r="L185" s="20">
        <v>20.231250000000006</v>
      </c>
      <c r="M185" s="20">
        <v>0</v>
      </c>
      <c r="N185" s="20">
        <v>234.89583333333334</v>
      </c>
      <c r="O185" s="20">
        <v>5.083333333333333</v>
      </c>
      <c r="P185" s="20">
        <v>0.47916666666666669</v>
      </c>
      <c r="Q185" s="20">
        <v>14.006250000000001</v>
      </c>
      <c r="R185" s="10">
        <v>0.89570311598521857</v>
      </c>
      <c r="S185" s="21">
        <v>0.2661666666666665</v>
      </c>
      <c r="T185" s="21">
        <v>0.32056250000000008</v>
      </c>
      <c r="U185" s="21">
        <v>0.40204166666666663</v>
      </c>
      <c r="V185" s="21">
        <v>0.41160416666666705</v>
      </c>
      <c r="W185" s="21">
        <v>0.4331666666666667</v>
      </c>
      <c r="X185" s="21">
        <v>0.31733333333333341</v>
      </c>
      <c r="Y185" s="21">
        <v>0.31541666666666646</v>
      </c>
      <c r="Z185" s="21">
        <v>0.27087500000000025</v>
      </c>
      <c r="AA185" s="21">
        <v>0.22466666666666668</v>
      </c>
      <c r="AB185" s="24">
        <f>AVERAGE(S185,W185)</f>
        <v>0.34966666666666657</v>
      </c>
      <c r="AC185" s="24">
        <f>AVERAGE(T185:V185,X185:Z185)</f>
        <v>0.33963888888888899</v>
      </c>
      <c r="AD185" s="24">
        <f t="shared" si="5"/>
        <v>0.34146212121212127</v>
      </c>
    </row>
    <row r="186" spans="1:30">
      <c r="A186" s="9">
        <v>44318</v>
      </c>
      <c r="B186" s="3">
        <v>827.18356323414241</v>
      </c>
      <c r="C186" s="3">
        <v>542.27472566862093</v>
      </c>
      <c r="D186" s="3">
        <v>388.41516136675574</v>
      </c>
      <c r="E186" s="3">
        <v>446.26277614694925</v>
      </c>
      <c r="F186" s="3">
        <v>331.24141952694481</v>
      </c>
      <c r="G186" s="3">
        <f>(B186-$B$2)/$B$1</f>
        <v>0.92146695566399317</v>
      </c>
      <c r="H186" s="3">
        <f>((C186-$C$2)/$C$1+(D186-$D$2)/$D$1+(E186-$E$2)/$E$1+(F186-$F$2)/$F$1)/4</f>
        <v>0.50605329820106892</v>
      </c>
      <c r="I186" s="19">
        <v>44318</v>
      </c>
      <c r="J186" s="20">
        <v>230.875</v>
      </c>
      <c r="K186" s="20">
        <v>70.53125</v>
      </c>
      <c r="L186" s="20">
        <v>22.514583333333334</v>
      </c>
      <c r="M186" s="20">
        <v>0.5</v>
      </c>
      <c r="N186" s="20">
        <v>229.8125</v>
      </c>
      <c r="O186" s="20">
        <v>12</v>
      </c>
      <c r="P186" s="20">
        <v>2.3125</v>
      </c>
      <c r="Q186" s="20">
        <v>16.689583333333335</v>
      </c>
      <c r="R186" s="10">
        <v>0.87739811374063814</v>
      </c>
      <c r="S186" s="21">
        <v>0.26210416666666664</v>
      </c>
      <c r="T186" s="21">
        <v>0.32077083333333339</v>
      </c>
      <c r="U186" s="21">
        <v>0.40314583333333337</v>
      </c>
      <c r="V186" s="21">
        <v>0.41177083333333342</v>
      </c>
      <c r="W186" s="21">
        <v>0.42879166666666629</v>
      </c>
      <c r="X186" s="21">
        <v>0.31804166666666661</v>
      </c>
      <c r="Y186" s="21">
        <v>0.31597916666666687</v>
      </c>
      <c r="Z186" s="21">
        <v>0.2710000000000003</v>
      </c>
      <c r="AA186" s="21">
        <v>0.20200000000000001</v>
      </c>
      <c r="AB186" s="24">
        <f>AVERAGE(S186,W186)</f>
        <v>0.34544791666666647</v>
      </c>
      <c r="AC186" s="24">
        <f>AVERAGE(T186:V186,X186:Z186)</f>
        <v>0.34011805555555563</v>
      </c>
      <c r="AD186" s="24">
        <f t="shared" si="5"/>
        <v>0.34108712121212126</v>
      </c>
    </row>
    <row r="187" spans="1:30">
      <c r="A187" s="9">
        <v>44324</v>
      </c>
      <c r="B187" s="3">
        <v>573.2443639868128</v>
      </c>
      <c r="C187" s="3">
        <v>370.75391375024765</v>
      </c>
      <c r="D187" s="3">
        <v>318.3489759214421</v>
      </c>
      <c r="E187" s="3">
        <v>345.3098512456707</v>
      </c>
      <c r="F187" s="3">
        <v>325.04587297954367</v>
      </c>
      <c r="G187" s="3">
        <f>(B187-$B$2)/$B$1</f>
        <v>0.63670169595943615</v>
      </c>
      <c r="H187" s="3">
        <f>((C187-$C$2)/$C$1+(D187-$D$2)/$D$1+(E187-$E$2)/$E$1+(F187-$F$2)/$F$1)/4</f>
        <v>0.4051059968203839</v>
      </c>
      <c r="I187" s="19">
        <v>44324</v>
      </c>
      <c r="J187" s="20">
        <v>178.5</v>
      </c>
      <c r="K187" s="20">
        <v>84.104166666666671</v>
      </c>
      <c r="L187" s="20">
        <v>18.729166666666668</v>
      </c>
      <c r="M187" s="20">
        <v>0</v>
      </c>
      <c r="N187" s="20">
        <v>225.45833333333334</v>
      </c>
      <c r="O187" s="20">
        <v>2.1875</v>
      </c>
      <c r="P187" s="20">
        <v>2.0833333333333332E-2</v>
      </c>
      <c r="Q187" s="20">
        <v>15.72916666666667</v>
      </c>
      <c r="R187" s="10">
        <v>0.42596168480927338</v>
      </c>
      <c r="S187" s="21">
        <v>0.45106249999999992</v>
      </c>
      <c r="T187" s="21">
        <v>0.52460416666666643</v>
      </c>
      <c r="U187" s="21">
        <v>0.571583333333333</v>
      </c>
      <c r="V187" s="21">
        <v>0.58095833333333347</v>
      </c>
      <c r="W187" s="21">
        <v>0.59264583333333276</v>
      </c>
      <c r="X187" s="21">
        <v>0.49237499999999995</v>
      </c>
      <c r="Y187" s="21">
        <v>0.46029166666666682</v>
      </c>
      <c r="Z187" s="21">
        <v>0.39912500000000001</v>
      </c>
      <c r="AA187" s="25" t="e">
        <f>#REF!*0.5711-0.0033</f>
        <v>#REF!</v>
      </c>
      <c r="AB187" s="24">
        <f>AVERAGE(S187,W187)</f>
        <v>0.52185416666666629</v>
      </c>
      <c r="AC187" s="24">
        <f>AVERAGE(T187:V187,X187:Z187)</f>
        <v>0.50482291666666668</v>
      </c>
      <c r="AD187" s="24">
        <f t="shared" si="5"/>
        <v>0.50791950757575755</v>
      </c>
    </row>
    <row r="188" spans="1:30">
      <c r="A188" s="9">
        <v>44326</v>
      </c>
      <c r="B188" s="3">
        <v>755.62938288803082</v>
      </c>
      <c r="C188" s="3">
        <v>470.32418209078077</v>
      </c>
      <c r="D188" s="3">
        <v>516.3865394656774</v>
      </c>
      <c r="E188" s="3">
        <v>505.70699277199623</v>
      </c>
      <c r="F188" s="3">
        <v>356.84778055068716</v>
      </c>
      <c r="G188" s="3">
        <f>(B188-$B$2)/$B$1</f>
        <v>0.84122670599162419</v>
      </c>
      <c r="H188" s="3">
        <f>((C188-$C$2)/$C$1+(D188-$D$2)/$D$1+(E188-$E$2)/$E$1+(F188-$F$2)/$F$1)/4</f>
        <v>0.55042724835259493</v>
      </c>
      <c r="I188" s="19">
        <v>44326</v>
      </c>
      <c r="J188" s="20">
        <v>241.33333333333334</v>
      </c>
      <c r="K188" s="20">
        <v>73.508333333333326</v>
      </c>
      <c r="L188" s="20">
        <v>23.060416666666672</v>
      </c>
      <c r="M188" s="20">
        <v>1.7</v>
      </c>
      <c r="N188" s="20">
        <v>226.25</v>
      </c>
      <c r="O188" s="20">
        <v>11.604166666666666</v>
      </c>
      <c r="P188" s="20">
        <v>2.1458333333333335</v>
      </c>
      <c r="Q188" s="20">
        <v>17.627083333333335</v>
      </c>
      <c r="R188" s="10">
        <v>0.8621002900298288</v>
      </c>
      <c r="S188" s="21">
        <v>0.453125</v>
      </c>
      <c r="T188" s="21">
        <v>0.52310416666666693</v>
      </c>
      <c r="U188" s="21">
        <v>0.57212499999999966</v>
      </c>
      <c r="V188" s="21">
        <v>0.58189583333333361</v>
      </c>
      <c r="W188" s="21">
        <v>0.59702083333333344</v>
      </c>
      <c r="X188" s="21">
        <v>0.48922916666666655</v>
      </c>
      <c r="Y188" s="21">
        <v>0.45681250000000001</v>
      </c>
      <c r="Z188" s="21">
        <v>0.39266666666666633</v>
      </c>
      <c r="AA188" s="21">
        <v>0.26193333333333341</v>
      </c>
      <c r="AB188" s="24">
        <f>AVERAGE(S188,W188)</f>
        <v>0.52507291666666678</v>
      </c>
      <c r="AC188" s="24">
        <f>AVERAGE(T188:V188,X188:Z188)</f>
        <v>0.50263888888888886</v>
      </c>
      <c r="AD188" s="24">
        <f t="shared" si="5"/>
        <v>0.506717803030303</v>
      </c>
    </row>
    <row r="189" spans="1:30">
      <c r="A189" s="9">
        <v>44330</v>
      </c>
      <c r="B189" s="3">
        <v>897.21534454704204</v>
      </c>
      <c r="C189" s="3">
        <v>592.91312606754468</v>
      </c>
      <c r="D189" s="3">
        <v>603.42227180179214</v>
      </c>
      <c r="E189" s="3">
        <v>615.57747473117729</v>
      </c>
      <c r="F189" s="3">
        <v>486.69844426671995</v>
      </c>
      <c r="G189" s="3">
        <f>(B189-$B$2)/$B$1</f>
        <v>1</v>
      </c>
      <c r="H189" s="3">
        <f>((C189-$C$2)/$C$1+(D189-$D$2)/$D$1+(E189-$E$2)/$E$1+(F189-$F$2)/$F$1)/4</f>
        <v>0.69364236228705256</v>
      </c>
      <c r="I189" s="19">
        <v>44330</v>
      </c>
      <c r="J189" s="20">
        <v>264.58333333333331</v>
      </c>
      <c r="K189" s="20">
        <v>68.854166666666671</v>
      </c>
      <c r="L189" s="20">
        <v>23.672916666666666</v>
      </c>
      <c r="M189" s="20">
        <v>0</v>
      </c>
      <c r="N189" s="20">
        <v>228.9375</v>
      </c>
      <c r="O189" s="20">
        <v>21.354166666666668</v>
      </c>
      <c r="P189" s="20">
        <v>5.333333333333333</v>
      </c>
      <c r="Q189" s="20">
        <v>17.460416666666664</v>
      </c>
      <c r="R189" s="10">
        <v>0.97021229785326024</v>
      </c>
      <c r="S189" s="21">
        <v>0.43183333333333335</v>
      </c>
      <c r="T189" s="21">
        <v>0.51575000000000026</v>
      </c>
      <c r="U189" s="21">
        <v>0.56754166666666661</v>
      </c>
      <c r="V189" s="21">
        <v>0.57837500000000031</v>
      </c>
      <c r="W189" s="21">
        <v>0.59129166666666644</v>
      </c>
      <c r="X189" s="21">
        <v>0.48024999999999968</v>
      </c>
      <c r="Y189" s="21">
        <v>0.46227083333333296</v>
      </c>
      <c r="Z189" s="21">
        <v>0.39610416666666687</v>
      </c>
      <c r="AA189" s="21">
        <v>0.26293023255813958</v>
      </c>
      <c r="AB189" s="24">
        <f>AVERAGE(S189,W189)</f>
        <v>0.51156249999999992</v>
      </c>
      <c r="AC189" s="24">
        <f>AVERAGE(T189:V189,X189:Z189)</f>
        <v>0.50004861111111121</v>
      </c>
      <c r="AD189" s="24">
        <f t="shared" si="5"/>
        <v>0.50214204545454555</v>
      </c>
    </row>
    <row r="190" spans="1:30">
      <c r="A190" s="9">
        <v>44331</v>
      </c>
      <c r="B190" s="3">
        <v>845.52113467115657</v>
      </c>
      <c r="C190" s="3">
        <v>560.7086763381941</v>
      </c>
      <c r="D190" s="3">
        <v>670.64261599357849</v>
      </c>
      <c r="E190" s="3">
        <v>616.76629852642498</v>
      </c>
      <c r="F190" s="3">
        <v>473.25677661528277</v>
      </c>
      <c r="G190" s="3">
        <f>(B190-$B$2)/$B$1</f>
        <v>0.94203055241506517</v>
      </c>
      <c r="H190" s="3">
        <f>((C190-$C$2)/$C$1+(D190-$D$2)/$D$1+(E190-$E$2)/$E$1+(F190-$F$2)/$F$1)/4</f>
        <v>0.69857965372390118</v>
      </c>
      <c r="I190" s="19">
        <v>44331</v>
      </c>
      <c r="J190" s="20">
        <v>266.5</v>
      </c>
      <c r="K190" s="20">
        <v>62.62083333333333</v>
      </c>
      <c r="L190" s="20">
        <v>25.224999999999998</v>
      </c>
      <c r="M190" s="20">
        <v>0</v>
      </c>
      <c r="N190" s="20">
        <v>230.3125</v>
      </c>
      <c r="O190" s="20">
        <v>20.958333333333332</v>
      </c>
      <c r="P190" s="20">
        <v>5.479166666666667</v>
      </c>
      <c r="Q190" s="20">
        <v>17.360416666666669</v>
      </c>
      <c r="R190" s="10">
        <v>1.2866305376068625</v>
      </c>
      <c r="S190" s="21">
        <v>0.40493750000000001</v>
      </c>
      <c r="T190" s="21">
        <v>0.50077083333333328</v>
      </c>
      <c r="U190" s="21">
        <v>0.55447916666666663</v>
      </c>
      <c r="V190" s="21">
        <v>0.56983333333333352</v>
      </c>
      <c r="W190" s="21">
        <v>0.58002083333333365</v>
      </c>
      <c r="X190" s="21">
        <v>0.46708333333333302</v>
      </c>
      <c r="Y190" s="21">
        <v>0.45481250000000023</v>
      </c>
      <c r="Z190" s="21">
        <v>0.38989583333333327</v>
      </c>
      <c r="AA190" s="21">
        <v>0.22960416666666672</v>
      </c>
      <c r="AB190" s="24">
        <f>AVERAGE(S190,W190)</f>
        <v>0.4924791666666668</v>
      </c>
      <c r="AC190" s="24">
        <f>AVERAGE(T190:V190,X190:Z190)</f>
        <v>0.48947916666666663</v>
      </c>
      <c r="AD190" s="24">
        <f t="shared" si="5"/>
        <v>0.4900246212121212</v>
      </c>
    </row>
    <row r="191" spans="1:30">
      <c r="A191" s="9">
        <v>44332</v>
      </c>
      <c r="B191" s="3">
        <v>691.30668344130913</v>
      </c>
      <c r="C191" s="3">
        <v>416.54534898968348</v>
      </c>
      <c r="D191" s="3">
        <v>483.99868288694836</v>
      </c>
      <c r="E191" s="3">
        <v>451.31920685155285</v>
      </c>
      <c r="F191" s="3">
        <v>336.85264133115413</v>
      </c>
      <c r="G191" s="3">
        <f>(B191-$B$2)/$B$1</f>
        <v>0.76909577753656622</v>
      </c>
      <c r="H191" s="3">
        <f>((C191-$C$2)/$C$1+(D191-$D$2)/$D$1+(E191-$E$2)/$E$1+(F191-$F$2)/$F$1)/4</f>
        <v>0.50170122014979279</v>
      </c>
      <c r="I191" s="19">
        <v>44332</v>
      </c>
      <c r="J191" s="20">
        <v>162.60416666666666</v>
      </c>
      <c r="K191" s="20">
        <v>74.947916666666657</v>
      </c>
      <c r="L191" s="20">
        <v>20.389583333333334</v>
      </c>
      <c r="M191" s="20">
        <v>0</v>
      </c>
      <c r="N191" s="20">
        <v>248.10416666666666</v>
      </c>
      <c r="O191" s="20">
        <v>4.3125</v>
      </c>
      <c r="P191" s="20">
        <v>8.3333333333333329E-2</v>
      </c>
      <c r="Q191" s="20">
        <v>15.668750000000001</v>
      </c>
      <c r="R191" s="10">
        <v>0.64131754936555041</v>
      </c>
      <c r="S191" s="21">
        <v>0.38045833333333334</v>
      </c>
      <c r="T191" s="21">
        <v>0.48902083333333363</v>
      </c>
      <c r="U191" s="21">
        <v>0.54212500000000008</v>
      </c>
      <c r="V191" s="21">
        <v>0.56168749999999967</v>
      </c>
      <c r="W191" s="21">
        <v>0.56772916666666651</v>
      </c>
      <c r="X191" s="21">
        <v>0.45391666666666652</v>
      </c>
      <c r="Y191" s="21">
        <v>0.44710416666666669</v>
      </c>
      <c r="Z191" s="21">
        <v>0.3838333333333333</v>
      </c>
      <c r="AA191" s="21">
        <v>0.1995744680851064</v>
      </c>
      <c r="AB191" s="24">
        <f>AVERAGE(S191,W191)</f>
        <v>0.47409374999999992</v>
      </c>
      <c r="AC191" s="24">
        <f>AVERAGE(T191:V191,X191:Z191)</f>
        <v>0.47961458333333334</v>
      </c>
      <c r="AD191" s="24">
        <f t="shared" si="5"/>
        <v>0.47861079545454549</v>
      </c>
    </row>
    <row r="192" spans="1:30">
      <c r="A192" s="9">
        <v>44333</v>
      </c>
      <c r="B192" s="3">
        <v>529.94536938439001</v>
      </c>
      <c r="C192" s="3">
        <v>305.67813056459516</v>
      </c>
      <c r="D192" s="3">
        <v>319.46809782587439</v>
      </c>
      <c r="E192" s="3">
        <v>364.16327987052188</v>
      </c>
      <c r="F192" s="3">
        <v>298.3774164102486</v>
      </c>
      <c r="G192" s="3">
        <f>(B192-$B$2)/$B$1</f>
        <v>0.58814657142785087</v>
      </c>
      <c r="H192" s="3">
        <f>((C192-$C$2)/$C$1+(D192-$D$2)/$D$1+(E192-$E$2)/$E$1+(F192-$F$2)/$F$1)/4</f>
        <v>0.38294662124300338</v>
      </c>
      <c r="I192" s="19">
        <v>44333</v>
      </c>
      <c r="J192" s="20">
        <v>92.708333333333329</v>
      </c>
      <c r="K192" s="20">
        <v>77.316666666666649</v>
      </c>
      <c r="L192" s="20">
        <v>16.793750000000003</v>
      </c>
      <c r="M192" s="20">
        <v>0</v>
      </c>
      <c r="N192" s="20">
        <v>226.72916666666666</v>
      </c>
      <c r="O192" s="20">
        <v>3.9375</v>
      </c>
      <c r="P192" s="20">
        <v>6.25E-2</v>
      </c>
      <c r="Q192" s="20">
        <v>12.729166666666671</v>
      </c>
      <c r="R192" s="10">
        <v>0.45152235981549921</v>
      </c>
      <c r="S192" s="21">
        <v>0.35885416666666664</v>
      </c>
      <c r="T192" s="21">
        <v>0.47729166666666667</v>
      </c>
      <c r="U192" s="21">
        <v>0.53112499999999974</v>
      </c>
      <c r="V192" s="21">
        <v>0.55400000000000005</v>
      </c>
      <c r="W192" s="21">
        <v>0.55387500000000012</v>
      </c>
      <c r="X192" s="21">
        <v>0.44245833333333356</v>
      </c>
      <c r="Y192" s="21">
        <v>0.44022916666666695</v>
      </c>
      <c r="Z192" s="21">
        <v>0.37845833333333334</v>
      </c>
      <c r="AA192" s="21">
        <v>0.17927083333333335</v>
      </c>
      <c r="AB192" s="24">
        <f>AVERAGE(S192,W192)</f>
        <v>0.45636458333333341</v>
      </c>
      <c r="AC192" s="24">
        <f>AVERAGE(T192:V192,X192:Z192)</f>
        <v>0.47059375000000009</v>
      </c>
      <c r="AD192" s="24">
        <f t="shared" si="5"/>
        <v>0.46800662878787891</v>
      </c>
    </row>
    <row r="193" spans="1:30">
      <c r="A193" s="9">
        <v>44334</v>
      </c>
      <c r="B193" s="3">
        <v>270.78283325246707</v>
      </c>
      <c r="C193" s="3">
        <v>144.7967772505518</v>
      </c>
      <c r="D193" s="3">
        <v>121.53596631453902</v>
      </c>
      <c r="E193" s="3">
        <v>225.29123418708403</v>
      </c>
      <c r="F193" s="3">
        <v>154.90349110388749</v>
      </c>
      <c r="G193" s="3">
        <f>(B193-$B$2)/$B$1</f>
        <v>0.29752390613615221</v>
      </c>
      <c r="H193" s="3">
        <f>((C193-$C$2)/$C$1+(D193-$D$2)/$D$1+(E193-$E$2)/$E$1+(F193-$F$2)/$F$1)/4</f>
        <v>0.18388354887908648</v>
      </c>
      <c r="I193" s="19">
        <v>44334</v>
      </c>
      <c r="J193" s="20">
        <v>55.479166666666664</v>
      </c>
      <c r="K193" s="20">
        <v>88.429166666666674</v>
      </c>
      <c r="L193" s="20">
        <v>15.33958333333333</v>
      </c>
      <c r="M193" s="20">
        <v>1.5999999999999999</v>
      </c>
      <c r="N193" s="20">
        <v>257.58333333333331</v>
      </c>
      <c r="O193" s="20">
        <v>1.875</v>
      </c>
      <c r="P193" s="20">
        <v>0</v>
      </c>
      <c r="Q193" s="20">
        <v>13.393750000000002</v>
      </c>
      <c r="R193" s="10">
        <v>0.21216307681241439</v>
      </c>
      <c r="S193" s="21">
        <v>0.34424999999999989</v>
      </c>
      <c r="T193" s="21">
        <v>0.46614583333333348</v>
      </c>
      <c r="U193" s="21">
        <v>0.5222291666666663</v>
      </c>
      <c r="V193" s="21">
        <v>0.54662500000000025</v>
      </c>
      <c r="W193" s="21">
        <v>0.5431041666666665</v>
      </c>
      <c r="X193" s="21">
        <v>0.43422916666666639</v>
      </c>
      <c r="Y193" s="21">
        <v>0.4348541666666666</v>
      </c>
      <c r="Z193" s="21">
        <v>0.37385416666666665</v>
      </c>
      <c r="AA193" s="21">
        <v>0.16945833333333324</v>
      </c>
      <c r="AB193" s="24">
        <f>AVERAGE(S193,W193)</f>
        <v>0.44367708333333322</v>
      </c>
      <c r="AC193" s="24">
        <f>AVERAGE(T193:V193,X193:Z193)</f>
        <v>0.46298958333333334</v>
      </c>
      <c r="AD193" s="24">
        <f t="shared" si="5"/>
        <v>0.45947821969696967</v>
      </c>
    </row>
    <row r="194" spans="1:30">
      <c r="A194" s="9">
        <v>44336</v>
      </c>
      <c r="B194" s="3">
        <v>198.08912423522889</v>
      </c>
      <c r="C194" s="3">
        <v>159.80679640464368</v>
      </c>
      <c r="D194" s="3">
        <v>114.43535554250741</v>
      </c>
      <c r="E194" s="3">
        <v>213.65898438424514</v>
      </c>
      <c r="F194" s="3">
        <v>142.21977124257825</v>
      </c>
      <c r="G194" s="3">
        <f>(B194-$B$2)/$B$1</f>
        <v>0.21600579869729442</v>
      </c>
      <c r="H194" s="3">
        <f>((C194-$C$2)/$C$1+(D194-$D$2)/$D$1+(E194-$E$2)/$E$1+(F194-$F$2)/$F$1)/4</f>
        <v>0.17745506665993896</v>
      </c>
      <c r="I194" s="19">
        <v>44336</v>
      </c>
      <c r="J194" s="20">
        <v>62.9375</v>
      </c>
      <c r="K194" s="20">
        <v>89.324999999999974</v>
      </c>
      <c r="L194" s="20">
        <v>16.952083333333327</v>
      </c>
      <c r="M194" s="20">
        <v>0.89999999999999991</v>
      </c>
      <c r="N194" s="20">
        <v>241.6875</v>
      </c>
      <c r="O194" s="20">
        <v>1.5833333333333333</v>
      </c>
      <c r="P194" s="20">
        <v>0</v>
      </c>
      <c r="Q194" s="20">
        <v>15.125</v>
      </c>
      <c r="R194" s="10">
        <v>0.22169648764559269</v>
      </c>
      <c r="S194" s="21">
        <v>0.33070833333333316</v>
      </c>
      <c r="T194" s="21">
        <v>0.45235416666666683</v>
      </c>
      <c r="U194" s="21">
        <v>0.51110416666666636</v>
      </c>
      <c r="V194" s="21">
        <v>0.53537500000000049</v>
      </c>
      <c r="W194" s="21">
        <v>0.53150000000000008</v>
      </c>
      <c r="X194" s="21">
        <v>0.42527083333333288</v>
      </c>
      <c r="Y194" s="21">
        <v>0.42700000000000027</v>
      </c>
      <c r="Z194" s="21">
        <v>0.36693749999999997</v>
      </c>
      <c r="AA194" s="21">
        <v>0.16343750000000004</v>
      </c>
      <c r="AB194" s="24">
        <f>AVERAGE(S194,W194)</f>
        <v>0.43110416666666662</v>
      </c>
      <c r="AC194" s="24">
        <f>AVERAGE(T194:V194,X194:Z194)</f>
        <v>0.45300694444444445</v>
      </c>
      <c r="AD194" s="24">
        <f t="shared" si="5"/>
        <v>0.44902462121212122</v>
      </c>
    </row>
    <row r="195" spans="1:30">
      <c r="A195" s="9">
        <v>44337</v>
      </c>
      <c r="B195" s="3">
        <v>349.7683552825564</v>
      </c>
      <c r="C195" s="3">
        <v>209.32574004682695</v>
      </c>
      <c r="D195" s="3">
        <v>186.1809351728549</v>
      </c>
      <c r="E195" s="3">
        <v>244.75604370054339</v>
      </c>
      <c r="F195" s="3">
        <v>168.52099226526838</v>
      </c>
      <c r="G195" s="3">
        <f>(B195-$B$2)/$B$1</f>
        <v>0.38609759921097164</v>
      </c>
      <c r="H195" s="3">
        <f>((C195-$C$2)/$C$1+(D195-$D$2)/$D$1+(E195-$E$2)/$E$1+(F195-$F$2)/$F$1)/4</f>
        <v>0.23111454159440623</v>
      </c>
      <c r="I195" s="19">
        <v>44337</v>
      </c>
      <c r="J195" s="20">
        <v>94.145833333333329</v>
      </c>
      <c r="K195" s="20">
        <v>90.856249999999989</v>
      </c>
      <c r="L195" s="20">
        <v>19.302083333333332</v>
      </c>
      <c r="M195" s="20">
        <v>1.7</v>
      </c>
      <c r="N195" s="20">
        <v>224.04166666666666</v>
      </c>
      <c r="O195" s="20">
        <v>5</v>
      </c>
      <c r="P195" s="20">
        <v>0.27083333333333331</v>
      </c>
      <c r="Q195" s="20">
        <v>17.691666666666666</v>
      </c>
      <c r="R195" s="10">
        <v>0.23879053316008267</v>
      </c>
      <c r="S195" s="21">
        <v>0.32566666666666649</v>
      </c>
      <c r="T195" s="21">
        <v>0.44672916666666646</v>
      </c>
      <c r="U195" s="21">
        <v>0.50597916666666631</v>
      </c>
      <c r="V195" s="21">
        <v>0.53045833333333359</v>
      </c>
      <c r="W195" s="21">
        <v>0.52687499999999976</v>
      </c>
      <c r="X195" s="21">
        <v>0.42108333333333348</v>
      </c>
      <c r="Y195" s="21">
        <v>0.42329166666666701</v>
      </c>
      <c r="Z195" s="21">
        <v>0.36362500000000025</v>
      </c>
      <c r="AA195" s="21">
        <v>0.1633125</v>
      </c>
      <c r="AB195" s="24">
        <f>AVERAGE(S195,W195)</f>
        <v>0.42627083333333315</v>
      </c>
      <c r="AC195" s="24">
        <f>AVERAGE(T195:V195,X195:Z195)</f>
        <v>0.44852777777777786</v>
      </c>
      <c r="AD195" s="24">
        <f t="shared" si="5"/>
        <v>0.44448106060606063</v>
      </c>
    </row>
    <row r="196" spans="1:30">
      <c r="A196" s="9">
        <v>44341</v>
      </c>
      <c r="B196" s="3">
        <v>567.69587194735573</v>
      </c>
      <c r="C196" s="3">
        <v>375.12017746840161</v>
      </c>
      <c r="D196" s="3">
        <v>372.86880684442275</v>
      </c>
      <c r="E196" s="3">
        <v>410.45069990653911</v>
      </c>
      <c r="F196" s="3">
        <v>360.7046582810645</v>
      </c>
      <c r="G196" s="3">
        <f>(B196-$B$2)/$B$1</f>
        <v>0.63047966414525469</v>
      </c>
      <c r="H196" s="3">
        <f>((C196-$C$2)/$C$1+(D196-$D$2)/$D$1+(E196-$E$2)/$E$1+(F196-$F$2)/$F$1)/4</f>
        <v>0.45582879946828225</v>
      </c>
      <c r="I196" s="19">
        <v>44341</v>
      </c>
      <c r="J196" s="20">
        <v>150.5625</v>
      </c>
      <c r="K196" s="20">
        <v>85.925000000000011</v>
      </c>
      <c r="L196" s="20">
        <v>18.237499999999994</v>
      </c>
      <c r="M196" s="20">
        <v>0.2</v>
      </c>
      <c r="N196" s="20">
        <v>234.39583333333334</v>
      </c>
      <c r="O196" s="20">
        <v>8.3125</v>
      </c>
      <c r="P196" s="20">
        <v>1.25</v>
      </c>
      <c r="Q196" s="20">
        <v>15.737499999999999</v>
      </c>
      <c r="R196" s="10">
        <v>0.33401848595008427</v>
      </c>
      <c r="S196" s="21">
        <v>0.43491666666666656</v>
      </c>
      <c r="T196" s="21">
        <v>0.5167708333333334</v>
      </c>
      <c r="U196" s="21">
        <v>0.56693749999999954</v>
      </c>
      <c r="V196" s="21">
        <v>0.57904166666666657</v>
      </c>
      <c r="W196" s="21">
        <v>0.59160416666666638</v>
      </c>
      <c r="X196" s="21">
        <v>0.47925000000000018</v>
      </c>
      <c r="Y196" s="21">
        <v>0.46089583333333328</v>
      </c>
      <c r="Z196" s="21">
        <v>0.39579166666666654</v>
      </c>
      <c r="AA196" s="21">
        <v>0.27241666666666664</v>
      </c>
      <c r="AB196" s="24">
        <f>AVERAGE(S196,W196)</f>
        <v>0.51326041666666644</v>
      </c>
      <c r="AC196" s="24">
        <f>AVERAGE(T196:V196,X196:Z196)</f>
        <v>0.49978124999999984</v>
      </c>
      <c r="AD196" s="24">
        <f t="shared" si="5"/>
        <v>0.50223200757575737</v>
      </c>
    </row>
    <row r="197" spans="1:30">
      <c r="A197" s="9">
        <v>44342</v>
      </c>
      <c r="B197" s="3">
        <v>250.33328654953786</v>
      </c>
      <c r="C197" s="3">
        <v>192.31005004685909</v>
      </c>
      <c r="D197" s="3">
        <v>171.41723557507086</v>
      </c>
      <c r="E197" s="3">
        <v>242.04403486243223</v>
      </c>
      <c r="F197" s="3">
        <v>176.71072731464028</v>
      </c>
      <c r="G197" s="3">
        <f>(B197-$B$2)/$B$1</f>
        <v>0.2745919582724104</v>
      </c>
      <c r="H197" s="3">
        <f>((C197-$C$2)/$C$1+(D197-$D$2)/$D$1+(E197-$E$2)/$E$1+(F197-$F$2)/$F$1)/4</f>
        <v>0.22465253840208077</v>
      </c>
      <c r="I197" s="19">
        <v>44342</v>
      </c>
      <c r="J197" s="20">
        <v>75.145833333333329</v>
      </c>
      <c r="K197" s="20">
        <v>86.354166666666686</v>
      </c>
      <c r="L197" s="20">
        <v>18.637499999999999</v>
      </c>
      <c r="M197" s="20">
        <v>0</v>
      </c>
      <c r="N197" s="20">
        <v>202.04166666666666</v>
      </c>
      <c r="O197" s="20">
        <v>7.5625</v>
      </c>
      <c r="P197" s="20">
        <v>0.875</v>
      </c>
      <c r="Q197" s="20">
        <v>16.295833333333338</v>
      </c>
      <c r="R197" s="10">
        <v>0.29956941709796914</v>
      </c>
      <c r="S197" s="21">
        <v>0.42343750000000019</v>
      </c>
      <c r="T197" s="21">
        <v>0.5083958333333336</v>
      </c>
      <c r="U197" s="21">
        <v>0.56199999999999994</v>
      </c>
      <c r="V197" s="21">
        <v>0.57495833333333402</v>
      </c>
      <c r="W197" s="21">
        <v>0.58822916666666647</v>
      </c>
      <c r="X197" s="21">
        <v>0.47420833333333312</v>
      </c>
      <c r="Y197" s="21">
        <v>0.45922916666666658</v>
      </c>
      <c r="Z197" s="21">
        <v>0.39347916666666705</v>
      </c>
      <c r="AA197" s="21">
        <v>0.25979166666666681</v>
      </c>
      <c r="AB197" s="24">
        <f>AVERAGE(S197,W197)</f>
        <v>0.50583333333333336</v>
      </c>
      <c r="AC197" s="24">
        <f>AVERAGE(T197:V197,X197:Z197)</f>
        <v>0.49537847222222248</v>
      </c>
      <c r="AD197" s="24">
        <f t="shared" si="5"/>
        <v>0.49727935606060625</v>
      </c>
    </row>
    <row r="198" spans="1:30">
      <c r="A198" s="9">
        <v>44343</v>
      </c>
      <c r="B198" s="3">
        <v>707.20352735867982</v>
      </c>
      <c r="C198" s="3">
        <v>481.00526358114524</v>
      </c>
      <c r="D198" s="3">
        <v>460.56597551482514</v>
      </c>
      <c r="E198" s="3">
        <v>487.11656032197988</v>
      </c>
      <c r="F198" s="3">
        <v>393.72842515789375</v>
      </c>
      <c r="G198" s="3">
        <f>(B198-$B$2)/$B$1</f>
        <v>0.78692236319183495</v>
      </c>
      <c r="H198" s="3">
        <f>((C198-$C$2)/$C$1+(D198-$D$2)/$D$1+(E198-$E$2)/$E$1+(F198-$F$2)/$F$1)/4</f>
        <v>0.54640913393607704</v>
      </c>
      <c r="I198" s="19">
        <v>44343</v>
      </c>
      <c r="J198" s="20">
        <v>211.5</v>
      </c>
      <c r="K198" s="20">
        <v>74.420833333333334</v>
      </c>
      <c r="L198" s="20">
        <v>19.979166666666668</v>
      </c>
      <c r="M198" s="20">
        <v>0.2</v>
      </c>
      <c r="N198" s="20">
        <v>231.0625</v>
      </c>
      <c r="O198" s="20">
        <v>2.9166666666666665</v>
      </c>
      <c r="P198" s="20">
        <v>0.14583333333333334</v>
      </c>
      <c r="Q198" s="20">
        <v>14.891666666666666</v>
      </c>
      <c r="R198" s="10">
        <v>0.71151823132263481</v>
      </c>
      <c r="S198" s="21">
        <v>0.41083333333333333</v>
      </c>
      <c r="T198" s="21">
        <v>0.50079166666666619</v>
      </c>
      <c r="U198" s="21">
        <v>0.55572916666666661</v>
      </c>
      <c r="V198" s="21">
        <v>0.57085416666666655</v>
      </c>
      <c r="W198" s="21">
        <v>0.58135416666666639</v>
      </c>
      <c r="X198" s="21">
        <v>0.46829166666666655</v>
      </c>
      <c r="Y198" s="21">
        <v>0.45622916666666707</v>
      </c>
      <c r="Z198" s="21">
        <v>0.39100000000000018</v>
      </c>
      <c r="AA198" s="21">
        <v>0.2468541666666666</v>
      </c>
      <c r="AB198" s="24">
        <f>AVERAGE(S198,W198)</f>
        <v>0.49609374999999989</v>
      </c>
      <c r="AC198" s="24">
        <f>AVERAGE(T198:V198,X198:Z198)</f>
        <v>0.49048263888888882</v>
      </c>
      <c r="AD198" s="24">
        <f t="shared" si="5"/>
        <v>0.49150284090909091</v>
      </c>
    </row>
    <row r="199" spans="1:30">
      <c r="A199" s="9">
        <v>44352</v>
      </c>
      <c r="B199" s="3">
        <v>695.12950479860604</v>
      </c>
      <c r="C199" s="3">
        <v>555.77207332490775</v>
      </c>
      <c r="D199" s="3">
        <v>582.86709654019478</v>
      </c>
      <c r="E199" s="3">
        <v>411.62192544489585</v>
      </c>
      <c r="F199" s="3">
        <v>423.13480087620468</v>
      </c>
      <c r="G199" s="3">
        <f>(B199-$B$2)/$B$1</f>
        <v>0.77338265691494257</v>
      </c>
      <c r="H199" s="3">
        <f>((C199-$C$2)/$C$1+(D199-$D$2)/$D$1+(E199-$E$2)/$E$1+(F199-$F$2)/$F$1)/4</f>
        <v>0.5888968658963547</v>
      </c>
      <c r="I199" s="19">
        <v>44352</v>
      </c>
      <c r="J199" s="20">
        <v>272</v>
      </c>
      <c r="K199" s="20">
        <v>65.266666666666666</v>
      </c>
      <c r="L199" s="20">
        <v>20.96875</v>
      </c>
      <c r="M199" s="20">
        <v>0</v>
      </c>
      <c r="N199" s="20">
        <v>233.14583333333334</v>
      </c>
      <c r="O199" s="20">
        <v>1.25</v>
      </c>
      <c r="P199" s="20">
        <v>0</v>
      </c>
      <c r="Q199" s="20">
        <v>13.647916666666669</v>
      </c>
      <c r="R199" s="10">
        <v>1.038758515438118</v>
      </c>
      <c r="S199" s="21">
        <v>0.43602083333333325</v>
      </c>
      <c r="T199" s="21">
        <v>0.51312500000000028</v>
      </c>
      <c r="U199" s="21">
        <v>0.56702083333333342</v>
      </c>
      <c r="V199" s="21">
        <v>0.58202083333333299</v>
      </c>
      <c r="W199" s="21">
        <v>0.58814583333333303</v>
      </c>
      <c r="X199" s="21">
        <v>0.4791458333333331</v>
      </c>
      <c r="Y199" s="21">
        <v>0.4648958333333329</v>
      </c>
      <c r="Z199" s="21">
        <v>0.39870833333333344</v>
      </c>
      <c r="AA199" s="21">
        <v>0.26634782608695656</v>
      </c>
      <c r="AB199" s="24">
        <f>AVERAGE(S199,W199)</f>
        <v>0.51208333333333311</v>
      </c>
      <c r="AC199" s="24">
        <f>AVERAGE(T199:V199,X199:Z199)</f>
        <v>0.50081944444444437</v>
      </c>
      <c r="AD199" s="24">
        <f t="shared" si="5"/>
        <v>0.50286742424242414</v>
      </c>
    </row>
    <row r="200" spans="1:30">
      <c r="A200" s="9">
        <v>44353</v>
      </c>
      <c r="B200" s="3">
        <v>628.88361998609287</v>
      </c>
      <c r="C200" s="3">
        <v>459.29136696555963</v>
      </c>
      <c r="D200" s="3">
        <v>568.42635017360283</v>
      </c>
      <c r="E200" s="3">
        <v>407.65415265437639</v>
      </c>
      <c r="F200" s="3">
        <v>375.72684665350937</v>
      </c>
      <c r="G200" s="3">
        <f>(B200-$B$2)/$B$1</f>
        <v>0.69909508473661186</v>
      </c>
      <c r="H200" s="3">
        <f>((C200-$C$2)/$C$1+(D200-$D$2)/$D$1+(E200-$E$2)/$E$1+(F200-$F$2)/$F$1)/4</f>
        <v>0.53848223876447865</v>
      </c>
      <c r="I200" s="19">
        <v>44353</v>
      </c>
      <c r="J200" s="20">
        <v>284.9375</v>
      </c>
      <c r="K200" s="20">
        <v>57.722916666666663</v>
      </c>
      <c r="L200" s="20">
        <v>22.370833333333337</v>
      </c>
      <c r="M200" s="20">
        <v>0</v>
      </c>
      <c r="N200" s="20">
        <v>222.375</v>
      </c>
      <c r="O200" s="20">
        <v>4.354166666666667</v>
      </c>
      <c r="P200" s="20">
        <v>0.41666666666666669</v>
      </c>
      <c r="Q200" s="20">
        <v>12.360416666666667</v>
      </c>
      <c r="R200" s="10">
        <v>1.3816618538163958</v>
      </c>
      <c r="S200" s="21">
        <v>0.41360416666666661</v>
      </c>
      <c r="T200" s="21">
        <v>0.50235416666666655</v>
      </c>
      <c r="U200" s="21">
        <v>0.55622916666666677</v>
      </c>
      <c r="V200" s="21">
        <v>0.57408333333333317</v>
      </c>
      <c r="W200" s="21">
        <v>0.57845833333333319</v>
      </c>
      <c r="X200" s="21">
        <v>0.46774999999999994</v>
      </c>
      <c r="Y200" s="21">
        <v>0.45775000000000038</v>
      </c>
      <c r="Z200" s="21">
        <v>0.3928541666666665</v>
      </c>
      <c r="AA200" s="21">
        <v>0.24445454545454545</v>
      </c>
      <c r="AB200" s="24">
        <f>AVERAGE(S200,W200)</f>
        <v>0.49603124999999992</v>
      </c>
      <c r="AC200" s="24">
        <f>AVERAGE(T200:V200,X200:Z200)</f>
        <v>0.49183680555555559</v>
      </c>
      <c r="AD200" s="24">
        <f t="shared" si="5"/>
        <v>0.49259943181818178</v>
      </c>
    </row>
    <row r="201" spans="1:30">
      <c r="A201" s="9">
        <v>44354</v>
      </c>
      <c r="B201" s="3">
        <v>644.30013451947116</v>
      </c>
      <c r="C201" s="3">
        <v>466.7443231913133</v>
      </c>
      <c r="D201" s="3">
        <v>518.85736421003446</v>
      </c>
      <c r="E201" s="3">
        <v>417.40701315504396</v>
      </c>
      <c r="F201" s="3">
        <v>337.22349854010037</v>
      </c>
      <c r="G201" s="3">
        <f>(B201-$B$2)/$B$1</f>
        <v>0.71638303310318419</v>
      </c>
      <c r="H201" s="3">
        <f>((C201-$C$2)/$C$1+(D201-$D$2)/$D$1+(E201-$E$2)/$E$1+(F201-$F$2)/$F$1)/4</f>
        <v>0.51477689280917216</v>
      </c>
      <c r="I201" s="19">
        <v>44354</v>
      </c>
      <c r="J201" s="20">
        <v>216.54166666666666</v>
      </c>
      <c r="K201" s="20">
        <v>59.039583333333333</v>
      </c>
      <c r="L201" s="20">
        <v>22.839583333333337</v>
      </c>
      <c r="M201" s="20">
        <v>0</v>
      </c>
      <c r="N201" s="20">
        <v>185.5625</v>
      </c>
      <c r="O201" s="20">
        <v>3.0833333333333335</v>
      </c>
      <c r="P201" s="20">
        <v>6.25E-2</v>
      </c>
      <c r="Q201" s="20">
        <v>14.189583333333333</v>
      </c>
      <c r="R201" s="10">
        <v>1.1956994489193311</v>
      </c>
      <c r="S201" s="21">
        <v>0.38487500000000002</v>
      </c>
      <c r="T201" s="21">
        <v>0.48941666666666678</v>
      </c>
      <c r="U201" s="21">
        <v>0.54183333333333306</v>
      </c>
      <c r="V201" s="21">
        <v>0.56370833333333292</v>
      </c>
      <c r="W201" s="21">
        <v>0.56460416666666668</v>
      </c>
      <c r="X201" s="21">
        <v>0.45258333333333312</v>
      </c>
      <c r="Y201" s="21">
        <v>0.44800000000000001</v>
      </c>
      <c r="Z201" s="21">
        <v>0.3859375000000001</v>
      </c>
      <c r="AA201" s="21">
        <v>0.20880000000000001</v>
      </c>
      <c r="AB201" s="24">
        <f>AVERAGE(S201,W201)</f>
        <v>0.47473958333333333</v>
      </c>
      <c r="AC201" s="24">
        <f>AVERAGE(T201:V201,X201:Z201)</f>
        <v>0.48024652777777765</v>
      </c>
      <c r="AD201" s="24">
        <f t="shared" ref="AD201:AD264" si="6">(AB201*10+AC201*45)/55</f>
        <v>0.47924526515151505</v>
      </c>
    </row>
    <row r="202" spans="1:30">
      <c r="A202" s="9">
        <v>44355</v>
      </c>
      <c r="B202" s="3">
        <v>476.14740313311597</v>
      </c>
      <c r="C202" s="3">
        <v>404.5936193103459</v>
      </c>
      <c r="D202" s="3">
        <v>378.00738973159059</v>
      </c>
      <c r="E202" s="3">
        <v>349.89472140682346</v>
      </c>
      <c r="F202" s="3">
        <v>271.26898313603181</v>
      </c>
      <c r="G202" s="3">
        <f>(B202-$B$2)/$B$1</f>
        <v>0.52781798932422697</v>
      </c>
      <c r="H202" s="3">
        <f>((C202-$C$2)/$C$1+(D202-$D$2)/$D$1+(E202-$E$2)/$E$1+(F202-$F$2)/$F$1)/4</f>
        <v>0.41150197215016404</v>
      </c>
      <c r="I202" s="19">
        <v>44355</v>
      </c>
      <c r="J202" s="20">
        <v>136.89583333333334</v>
      </c>
      <c r="K202" s="20">
        <v>72.981249999999989</v>
      </c>
      <c r="L202" s="20">
        <v>21.633333333333336</v>
      </c>
      <c r="M202" s="20">
        <v>0</v>
      </c>
      <c r="N202" s="20">
        <v>173.58333333333334</v>
      </c>
      <c r="O202" s="20">
        <v>0.9375</v>
      </c>
      <c r="P202" s="20">
        <v>0</v>
      </c>
      <c r="Q202" s="20">
        <v>16.474999999999998</v>
      </c>
      <c r="R202" s="10">
        <v>0.74172386617412212</v>
      </c>
      <c r="S202" s="21">
        <v>0.35949999999999999</v>
      </c>
      <c r="T202" s="21">
        <v>0.4766875000000001</v>
      </c>
      <c r="U202" s="21">
        <v>0.52977083333333341</v>
      </c>
      <c r="V202" s="21">
        <v>0.55293750000000041</v>
      </c>
      <c r="W202" s="21">
        <v>0.55216666666666692</v>
      </c>
      <c r="X202" s="21">
        <v>0.43964583333333357</v>
      </c>
      <c r="Y202" s="21">
        <v>0.43939583333333315</v>
      </c>
      <c r="Z202" s="21">
        <v>0.37933333333333352</v>
      </c>
      <c r="AA202" s="21">
        <v>0.18277272727272728</v>
      </c>
      <c r="AB202" s="24">
        <f>AVERAGE(S202,W202)</f>
        <v>0.45583333333333342</v>
      </c>
      <c r="AC202" s="24">
        <f>AVERAGE(T202:V202,X202:Z202)</f>
        <v>0.46962847222222237</v>
      </c>
      <c r="AD202" s="24">
        <f t="shared" si="6"/>
        <v>0.46712026515151528</v>
      </c>
    </row>
    <row r="203" spans="1:30">
      <c r="A203" s="9">
        <v>44356</v>
      </c>
      <c r="B203" s="3">
        <v>578.42992238025761</v>
      </c>
      <c r="C203" s="3">
        <v>431.47589414779156</v>
      </c>
      <c r="D203" s="3">
        <v>402.71435917459576</v>
      </c>
      <c r="E203" s="3">
        <v>427.85046641780212</v>
      </c>
      <c r="F203" s="3">
        <v>288.60630731988033</v>
      </c>
      <c r="G203" s="3">
        <f>(B203-$B$2)/$B$1</f>
        <v>0.64251673706769863</v>
      </c>
      <c r="H203" s="3">
        <f>((C203-$C$2)/$C$1+(D203-$D$2)/$D$1+(E203-$E$2)/$E$1+(F203-$F$2)/$F$1)/4</f>
        <v>0.45701495254909485</v>
      </c>
      <c r="I203" s="19">
        <v>44356</v>
      </c>
      <c r="J203" s="20">
        <v>168.1875</v>
      </c>
      <c r="K203" s="20">
        <v>75.291666666666686</v>
      </c>
      <c r="L203" s="20">
        <v>22.335416666666664</v>
      </c>
      <c r="M203" s="20">
        <v>1.5</v>
      </c>
      <c r="N203" s="20">
        <v>236.25</v>
      </c>
      <c r="O203" s="20">
        <v>4.416666666666667</v>
      </c>
      <c r="P203" s="20">
        <v>0.20833333333333334</v>
      </c>
      <c r="Q203" s="20">
        <v>17.604166666666664</v>
      </c>
      <c r="R203" s="10">
        <v>0.71862134338326633</v>
      </c>
      <c r="S203" s="21">
        <v>0.33918749999999998</v>
      </c>
      <c r="T203" s="21">
        <v>0.46358333333333318</v>
      </c>
      <c r="U203" s="21">
        <v>0.51810416666666714</v>
      </c>
      <c r="V203" s="21">
        <v>0.54166666666666641</v>
      </c>
      <c r="W203" s="21">
        <v>0.54058333333333308</v>
      </c>
      <c r="X203" s="21">
        <v>0.42785416666666681</v>
      </c>
      <c r="Y203" s="21">
        <v>0.43125000000000008</v>
      </c>
      <c r="Z203" s="21">
        <v>0.37262499999999982</v>
      </c>
      <c r="AA203" s="21">
        <v>0.17387234042553196</v>
      </c>
      <c r="AB203" s="24">
        <f>AVERAGE(S203,W203)</f>
        <v>0.43988541666666653</v>
      </c>
      <c r="AC203" s="24">
        <f>AVERAGE(T203:V203,X203:Z203)</f>
        <v>0.45918055555555554</v>
      </c>
      <c r="AD203" s="24">
        <f t="shared" si="6"/>
        <v>0.4556723484848485</v>
      </c>
    </row>
    <row r="204" spans="1:30">
      <c r="A204" s="9">
        <v>44361</v>
      </c>
      <c r="B204" s="3">
        <v>670.15257993545117</v>
      </c>
      <c r="C204" s="3">
        <v>480.31743215511966</v>
      </c>
      <c r="D204" s="3">
        <v>473.53237676978324</v>
      </c>
      <c r="E204" s="3">
        <v>457.97226739563916</v>
      </c>
      <c r="F204" s="3">
        <v>462.10609369858656</v>
      </c>
      <c r="G204" s="3">
        <f>(B204-$B$2)/$B$1</f>
        <v>0.74537374566233172</v>
      </c>
      <c r="H204" s="3">
        <f>((C204-$C$2)/$C$1+(D204-$D$2)/$D$1+(E204-$E$2)/$E$1+(F204-$F$2)/$F$1)/4</f>
        <v>0.56737684322999971</v>
      </c>
      <c r="I204" s="19">
        <v>44361</v>
      </c>
      <c r="J204" s="20">
        <v>201.52083333333334</v>
      </c>
      <c r="K204" s="20">
        <v>81.356250000000003</v>
      </c>
      <c r="L204" s="20">
        <v>22.608333333333338</v>
      </c>
      <c r="M204" s="20">
        <v>0</v>
      </c>
      <c r="N204" s="20">
        <v>230.5625</v>
      </c>
      <c r="O204" s="20">
        <v>14.875</v>
      </c>
      <c r="P204" s="20">
        <v>2.375</v>
      </c>
      <c r="Q204" s="20">
        <v>19.162500000000005</v>
      </c>
      <c r="R204" s="10">
        <v>0.54544557398495164</v>
      </c>
      <c r="S204" s="21">
        <v>0.44258333333333333</v>
      </c>
      <c r="T204" s="21">
        <v>0.52195833333333308</v>
      </c>
      <c r="U204" s="21">
        <v>0.57352083333333337</v>
      </c>
      <c r="V204" s="21">
        <v>0.58745833333333308</v>
      </c>
      <c r="W204" s="21">
        <v>0.59810416666666655</v>
      </c>
      <c r="X204" s="21">
        <v>0.48879166666666701</v>
      </c>
      <c r="Y204" s="21">
        <v>0.46954166666666636</v>
      </c>
      <c r="Z204" s="21">
        <v>0.4018750000000002</v>
      </c>
      <c r="AA204" s="21">
        <v>0.2832564102564103</v>
      </c>
      <c r="AB204" s="24">
        <f>AVERAGE(S204,W204)</f>
        <v>0.52034374999999988</v>
      </c>
      <c r="AC204" s="24">
        <f>AVERAGE(T204:V204,X204:Z204)</f>
        <v>0.5071909722222222</v>
      </c>
      <c r="AD204" s="24">
        <f t="shared" si="6"/>
        <v>0.5095823863636364</v>
      </c>
    </row>
    <row r="205" spans="1:30">
      <c r="A205" s="9">
        <v>44362</v>
      </c>
      <c r="B205" s="3">
        <v>556.94208010755608</v>
      </c>
      <c r="C205" s="3">
        <v>412.35621328639871</v>
      </c>
      <c r="D205" s="3">
        <v>387.71488406317013</v>
      </c>
      <c r="E205" s="3">
        <v>416.85091369377352</v>
      </c>
      <c r="F205" s="3">
        <v>422.38652302396235</v>
      </c>
      <c r="G205" s="3">
        <f>(B205-$B$2)/$B$1</f>
        <v>0.61842045337690577</v>
      </c>
      <c r="H205" s="3">
        <f>((C205-$C$2)/$C$1+(D205-$D$2)/$D$1+(E205-$E$2)/$E$1+(F205-$F$2)/$F$1)/4</f>
        <v>0.49632691723118588</v>
      </c>
      <c r="I205" s="19">
        <v>44362</v>
      </c>
      <c r="J205" s="20">
        <v>152.6875</v>
      </c>
      <c r="K205" s="20">
        <v>82.581250000000011</v>
      </c>
      <c r="L205" s="20">
        <v>22.929166666666671</v>
      </c>
      <c r="M205" s="20">
        <v>0</v>
      </c>
      <c r="N205" s="20">
        <v>233.5</v>
      </c>
      <c r="O205" s="20">
        <v>11.979166666666666</v>
      </c>
      <c r="P205" s="20">
        <v>1.9791666666666667</v>
      </c>
      <c r="Q205" s="20">
        <v>19.752083333333339</v>
      </c>
      <c r="R205" s="10">
        <v>0.51133482309620271</v>
      </c>
      <c r="S205" s="21">
        <v>0.42468749999999994</v>
      </c>
      <c r="T205" s="21">
        <v>0.512083333333333</v>
      </c>
      <c r="U205" s="21">
        <v>0.56535416666666638</v>
      </c>
      <c r="V205" s="21">
        <v>0.58268749999999936</v>
      </c>
      <c r="W205" s="21">
        <v>0.59114583333333359</v>
      </c>
      <c r="X205" s="21">
        <v>0.48014583333333305</v>
      </c>
      <c r="Y205" s="21">
        <v>0.46545833333333347</v>
      </c>
      <c r="Z205" s="21">
        <v>0.39812500000000028</v>
      </c>
      <c r="AA205" s="21">
        <v>0.25140000000000007</v>
      </c>
      <c r="AB205" s="24">
        <f>AVERAGE(S205,W205)</f>
        <v>0.50791666666666679</v>
      </c>
      <c r="AC205" s="24">
        <f>AVERAGE(T205:V205,X205:Z205)</f>
        <v>0.50064236111111093</v>
      </c>
      <c r="AD205" s="24">
        <f t="shared" si="6"/>
        <v>0.501964962121212</v>
      </c>
    </row>
    <row r="206" spans="1:30">
      <c r="A206" s="9">
        <v>44363</v>
      </c>
      <c r="B206" s="3">
        <v>610.99765389109143</v>
      </c>
      <c r="C206" s="3">
        <v>456.43648355556667</v>
      </c>
      <c r="D206" s="3">
        <v>448.84715363479012</v>
      </c>
      <c r="E206" s="3">
        <v>454.26750109813872</v>
      </c>
      <c r="F206" s="3">
        <v>461.88706777597923</v>
      </c>
      <c r="G206" s="3">
        <f>(B206-$B$2)/$B$1</f>
        <v>0.67903791437769756</v>
      </c>
      <c r="H206" s="3">
        <f>((C206-$C$2)/$C$1+(D206-$D$2)/$D$1+(E206-$E$2)/$E$1+(F206-$F$2)/$F$1)/4</f>
        <v>0.55266437489462095</v>
      </c>
      <c r="I206" s="19">
        <v>44363</v>
      </c>
      <c r="J206" s="20">
        <v>184.0625</v>
      </c>
      <c r="K206" s="20">
        <v>83.010416666666671</v>
      </c>
      <c r="L206" s="20">
        <v>24.283333333333331</v>
      </c>
      <c r="M206" s="20">
        <v>0</v>
      </c>
      <c r="N206" s="20">
        <v>232.16666666666666</v>
      </c>
      <c r="O206" s="20">
        <v>10.645833333333334</v>
      </c>
      <c r="P206" s="20">
        <v>2.0625</v>
      </c>
      <c r="Q206" s="20">
        <v>21.104166666666661</v>
      </c>
      <c r="R206" s="10">
        <v>0.56403229273576028</v>
      </c>
      <c r="S206" s="21">
        <v>0.40618749999999998</v>
      </c>
      <c r="T206" s="21">
        <v>0.5039166666666669</v>
      </c>
      <c r="U206" s="21">
        <v>0.55677083333333344</v>
      </c>
      <c r="V206" s="21">
        <v>0.57762500000000039</v>
      </c>
      <c r="W206" s="21">
        <v>0.58420833333333311</v>
      </c>
      <c r="X206" s="21">
        <v>0.47185416666666652</v>
      </c>
      <c r="Y206" s="21">
        <v>0.46062500000000001</v>
      </c>
      <c r="Z206" s="21">
        <v>0.39452083333333343</v>
      </c>
      <c r="AA206" s="21">
        <v>0.229304347826087</v>
      </c>
      <c r="AB206" s="24">
        <f>AVERAGE(S206,W206)</f>
        <v>0.49519791666666657</v>
      </c>
      <c r="AC206" s="24">
        <f>AVERAGE(T206:V206,X206:Z206)</f>
        <v>0.4942187500000001</v>
      </c>
      <c r="AD206" s="24">
        <f t="shared" si="6"/>
        <v>0.49439678030303041</v>
      </c>
    </row>
    <row r="207" spans="1:30">
      <c r="A207" s="9">
        <v>44364</v>
      </c>
      <c r="B207" s="3">
        <v>727.92913371966301</v>
      </c>
      <c r="C207" s="3">
        <v>547.96293080664918</v>
      </c>
      <c r="D207" s="3">
        <v>554.22689174933646</v>
      </c>
      <c r="E207" s="3">
        <v>548.26520342733852</v>
      </c>
      <c r="F207" s="3">
        <v>497.77922070781966</v>
      </c>
      <c r="G207" s="3">
        <f>(B207-$B$2)/$B$1</f>
        <v>0.8101638820097764</v>
      </c>
      <c r="H207" s="3">
        <f>((C207-$C$2)/$C$1+(D207-$D$2)/$D$1+(E207-$E$2)/$E$1+(F207-$F$2)/$F$1)/4</f>
        <v>0.6507540669661136</v>
      </c>
      <c r="I207" s="19">
        <v>44364</v>
      </c>
      <c r="J207" s="20">
        <v>237.20833333333334</v>
      </c>
      <c r="K207" s="20">
        <v>78.752083333333346</v>
      </c>
      <c r="L207" s="20">
        <v>25.724999999999998</v>
      </c>
      <c r="M207" s="20">
        <v>0</v>
      </c>
      <c r="N207" s="20">
        <v>236.3125</v>
      </c>
      <c r="O207" s="20">
        <v>12.791666666666666</v>
      </c>
      <c r="P207" s="20">
        <v>2.4166666666666665</v>
      </c>
      <c r="Q207" s="20">
        <v>21.637500000000003</v>
      </c>
      <c r="R207" s="10">
        <v>0.75360192460588327</v>
      </c>
      <c r="S207" s="21">
        <v>0.37743750000000015</v>
      </c>
      <c r="T207" s="21">
        <v>0.4922500000000003</v>
      </c>
      <c r="U207" s="21">
        <v>0.54362500000000002</v>
      </c>
      <c r="V207" s="21">
        <v>0.56883333333333352</v>
      </c>
      <c r="W207" s="21">
        <v>0.57325000000000015</v>
      </c>
      <c r="X207" s="21">
        <v>0.45839583333333339</v>
      </c>
      <c r="Y207" s="21">
        <v>0.45231250000000012</v>
      </c>
      <c r="Z207" s="21">
        <v>0.38860416666666664</v>
      </c>
      <c r="AA207" s="21">
        <v>0.21018181818181836</v>
      </c>
      <c r="AB207" s="24">
        <f>AVERAGE(S207,W207)</f>
        <v>0.47534375000000018</v>
      </c>
      <c r="AC207" s="24">
        <f>AVERAGE(T207:V207,X207:Z207)</f>
        <v>0.48400347222222234</v>
      </c>
      <c r="AD207" s="24">
        <f t="shared" si="6"/>
        <v>0.48242897727272743</v>
      </c>
    </row>
    <row r="208" spans="1:30">
      <c r="A208" s="9">
        <v>44366</v>
      </c>
      <c r="B208" s="3">
        <v>493.80076346816389</v>
      </c>
      <c r="C208" s="3">
        <v>352.34142863575397</v>
      </c>
      <c r="D208" s="3">
        <v>285.1470152343706</v>
      </c>
      <c r="E208" s="3">
        <v>358.31643398200129</v>
      </c>
      <c r="F208" s="3">
        <v>309.80329011391564</v>
      </c>
      <c r="G208" s="3">
        <f>(B208-$B$2)/$B$1</f>
        <v>0.54761431756093937</v>
      </c>
      <c r="H208" s="3">
        <f>((C208-$C$2)/$C$1+(D208-$D$2)/$D$1+(E208-$E$2)/$E$1+(F208-$F$2)/$F$1)/4</f>
        <v>0.38891046063783064</v>
      </c>
      <c r="I208" s="19">
        <v>44366</v>
      </c>
      <c r="J208" s="20">
        <v>165.9375</v>
      </c>
      <c r="K208" s="20">
        <v>84.620833333333323</v>
      </c>
      <c r="L208" s="20">
        <v>21.947916666666668</v>
      </c>
      <c r="M208" s="20">
        <v>0.89999999999999991</v>
      </c>
      <c r="N208" s="20">
        <v>238.41666666666666</v>
      </c>
      <c r="O208" s="20">
        <v>3.125</v>
      </c>
      <c r="P208" s="20">
        <v>8.3333333333333329E-2</v>
      </c>
      <c r="Q208" s="20">
        <v>19.127083333333331</v>
      </c>
      <c r="R208" s="10">
        <v>0.45780380469585591</v>
      </c>
      <c r="S208" s="21">
        <v>0.32362499999999988</v>
      </c>
      <c r="T208" s="21">
        <v>0.46079166666666654</v>
      </c>
      <c r="U208" s="21">
        <v>0.51366666666666716</v>
      </c>
      <c r="V208" s="21">
        <v>0.5411041666666665</v>
      </c>
      <c r="W208" s="21">
        <v>0.54254166666666681</v>
      </c>
      <c r="X208" s="21">
        <v>0.42343750000000013</v>
      </c>
      <c r="Y208" s="21">
        <v>0.42895833333333333</v>
      </c>
      <c r="Z208" s="21">
        <v>0.37212499999999987</v>
      </c>
      <c r="AA208" s="21">
        <v>0.17230434782608706</v>
      </c>
      <c r="AB208" s="24">
        <f>AVERAGE(S208,W208)</f>
        <v>0.43308333333333338</v>
      </c>
      <c r="AC208" s="24">
        <f>AVERAGE(T208:V208,X208:Z208)</f>
        <v>0.45668055555555559</v>
      </c>
      <c r="AD208" s="24">
        <f t="shared" si="6"/>
        <v>0.45239015151515155</v>
      </c>
    </row>
    <row r="209" spans="1:30">
      <c r="A209" s="9">
        <v>44367</v>
      </c>
      <c r="B209" s="3">
        <v>449.23506790677396</v>
      </c>
      <c r="C209" s="3">
        <v>361.35847030489828</v>
      </c>
      <c r="D209" s="3">
        <v>315.58757739916507</v>
      </c>
      <c r="E209" s="3">
        <v>387.56867159955988</v>
      </c>
      <c r="F209" s="3">
        <v>366.44146233415034</v>
      </c>
      <c r="G209" s="3">
        <f>(B209-$B$2)/$B$1</f>
        <v>0.49763872534016929</v>
      </c>
      <c r="H209" s="3">
        <f>((C209-$C$2)/$C$1+(D209-$D$2)/$D$1+(E209-$E$2)/$E$1+(F209-$F$2)/$F$1)/4</f>
        <v>0.43115150729496854</v>
      </c>
      <c r="I209" s="19">
        <v>44367</v>
      </c>
      <c r="J209" s="20">
        <v>144.52083333333334</v>
      </c>
      <c r="K209" s="20">
        <v>83.36666666666666</v>
      </c>
      <c r="L209" s="20">
        <v>20.779166666666665</v>
      </c>
      <c r="M209" s="20">
        <v>1.7</v>
      </c>
      <c r="N209" s="20">
        <v>182.41666666666666</v>
      </c>
      <c r="O209" s="20">
        <v>1.4791666666666667</v>
      </c>
      <c r="P209" s="20">
        <v>0</v>
      </c>
      <c r="Q209" s="20">
        <v>17.724999999999998</v>
      </c>
      <c r="R209" s="10">
        <v>0.45805477906539971</v>
      </c>
      <c r="S209" s="21">
        <v>0.30929166666666658</v>
      </c>
      <c r="T209" s="21">
        <v>0.44633333333333319</v>
      </c>
      <c r="U209" s="21">
        <v>0.50202083333333347</v>
      </c>
      <c r="V209" s="21">
        <v>0.52906249999999999</v>
      </c>
      <c r="W209" s="21">
        <v>0.52749999999999997</v>
      </c>
      <c r="X209" s="21">
        <v>0.41099999999999975</v>
      </c>
      <c r="Y209" s="21">
        <v>0.4198333333333335</v>
      </c>
      <c r="Z209" s="21">
        <v>0.36629166666666668</v>
      </c>
      <c r="AA209" s="21">
        <v>0.16395555555555552</v>
      </c>
      <c r="AB209" s="24">
        <f>AVERAGE(S209,W209)</f>
        <v>0.4183958333333333</v>
      </c>
      <c r="AC209" s="24">
        <f>AVERAGE(T209:V209,X209:Z209)</f>
        <v>0.44575694444444447</v>
      </c>
      <c r="AD209" s="24">
        <f t="shared" si="6"/>
        <v>0.44078219696969695</v>
      </c>
    </row>
    <row r="210" spans="1:30">
      <c r="A210" s="9">
        <v>44368</v>
      </c>
      <c r="B210" s="3">
        <v>504.99359285380774</v>
      </c>
      <c r="C210" s="3">
        <v>439.33522676448189</v>
      </c>
      <c r="D210" s="3">
        <v>365.58855825682616</v>
      </c>
      <c r="E210" s="3">
        <v>408.90025923929477</v>
      </c>
      <c r="F210" s="3">
        <v>389.41606043403635</v>
      </c>
      <c r="G210" s="3">
        <f>(B210-$B$2)/$B$1</f>
        <v>0.56016586130164125</v>
      </c>
      <c r="H210" s="3">
        <f>((C210-$C$2)/$C$1+(D210-$D$2)/$D$1+(E210-$E$2)/$E$1+(F210-$F$2)/$F$1)/4</f>
        <v>0.48225929472647977</v>
      </c>
      <c r="I210" s="19">
        <v>44368</v>
      </c>
      <c r="J210" s="20">
        <v>146.75</v>
      </c>
      <c r="K210" s="20">
        <v>77.304166666666674</v>
      </c>
      <c r="L210" s="20">
        <v>21.5</v>
      </c>
      <c r="M210" s="20">
        <v>0</v>
      </c>
      <c r="N210" s="20">
        <v>274.02083333333331</v>
      </c>
      <c r="O210" s="20">
        <v>1.5833333333333333</v>
      </c>
      <c r="P210" s="20">
        <v>0</v>
      </c>
      <c r="Q210" s="20">
        <v>17.237500000000001</v>
      </c>
      <c r="R210" s="10">
        <v>0.62798267832191745</v>
      </c>
      <c r="S210" s="21">
        <v>0.29654166666666637</v>
      </c>
      <c r="T210" s="21">
        <v>0.42939583333333348</v>
      </c>
      <c r="U210" s="21">
        <v>0.4882708333333336</v>
      </c>
      <c r="V210" s="21">
        <v>0.51327083333333345</v>
      </c>
      <c r="W210" s="21">
        <v>0.51260416666666675</v>
      </c>
      <c r="X210" s="21">
        <v>0.39660416666666692</v>
      </c>
      <c r="Y210" s="21">
        <v>0.40774999999999983</v>
      </c>
      <c r="Z210" s="21">
        <v>0.35781250000000003</v>
      </c>
      <c r="AA210" s="21">
        <v>0.15767499999999998</v>
      </c>
      <c r="AB210" s="24">
        <f>AVERAGE(S210,W210)</f>
        <v>0.40457291666666656</v>
      </c>
      <c r="AC210" s="24">
        <f>AVERAGE(T210:V210,X210:Z210)</f>
        <v>0.43218402777777792</v>
      </c>
      <c r="AD210" s="24">
        <f t="shared" si="6"/>
        <v>0.42716382575757594</v>
      </c>
    </row>
    <row r="211" spans="1:30">
      <c r="A211" s="9">
        <v>44369</v>
      </c>
      <c r="B211" s="3">
        <v>584.64661811550445</v>
      </c>
      <c r="C211" s="3">
        <v>518.01473256303552</v>
      </c>
      <c r="D211" s="3">
        <v>413.027548805913</v>
      </c>
      <c r="E211" s="3">
        <v>466.83500162254211</v>
      </c>
      <c r="F211" s="3">
        <v>367.14244299923041</v>
      </c>
      <c r="G211" s="3">
        <f>(B211-$B$2)/$B$1</f>
        <v>0.64948808682700676</v>
      </c>
      <c r="H211" s="3">
        <f>((C211-$C$2)/$C$1+(D211-$D$2)/$D$1+(E211-$E$2)/$E$1+(F211-$F$2)/$F$1)/4</f>
        <v>0.52666549762927506</v>
      </c>
      <c r="I211" s="19">
        <v>44369</v>
      </c>
      <c r="J211" s="20">
        <v>216.54166666666666</v>
      </c>
      <c r="K211" s="20">
        <v>71.362499999999983</v>
      </c>
      <c r="L211" s="20">
        <v>22.841666666666672</v>
      </c>
      <c r="M211" s="20">
        <v>0</v>
      </c>
      <c r="N211" s="20">
        <v>234.77083333333334</v>
      </c>
      <c r="O211" s="20">
        <v>1.4583333333333333</v>
      </c>
      <c r="P211" s="20">
        <v>0</v>
      </c>
      <c r="Q211" s="20">
        <v>17.070833333333329</v>
      </c>
      <c r="R211" s="10">
        <v>0.90894842435547807</v>
      </c>
      <c r="S211" s="21">
        <v>0.28458333333333319</v>
      </c>
      <c r="T211" s="21">
        <v>0.40956249999999983</v>
      </c>
      <c r="U211" s="21">
        <v>0.47295833333333342</v>
      </c>
      <c r="V211" s="21">
        <v>0.49558333333333326</v>
      </c>
      <c r="W211" s="21">
        <v>0.49699999999999994</v>
      </c>
      <c r="X211" s="21">
        <v>0.38124999999999981</v>
      </c>
      <c r="Y211" s="21">
        <v>0.39366666666666678</v>
      </c>
      <c r="Z211" s="21">
        <v>0.34806250000000011</v>
      </c>
      <c r="AA211" s="21">
        <v>0.14964285714285708</v>
      </c>
      <c r="AB211" s="24">
        <f>AVERAGE(S211,W211)</f>
        <v>0.39079166666666654</v>
      </c>
      <c r="AC211" s="24">
        <f>AVERAGE(T211:V211,X211:Z211)</f>
        <v>0.4168472222222222</v>
      </c>
      <c r="AD211" s="24">
        <f t="shared" si="6"/>
        <v>0.41210984848484844</v>
      </c>
    </row>
    <row r="212" spans="1:30">
      <c r="A212" s="9">
        <v>44370</v>
      </c>
      <c r="B212" s="3">
        <v>533.32613051828753</v>
      </c>
      <c r="C212" s="3">
        <v>498.90284592574778</v>
      </c>
      <c r="D212" s="3">
        <v>367.62606523732563</v>
      </c>
      <c r="E212" s="3">
        <v>426.72961581275501</v>
      </c>
      <c r="F212" s="3">
        <v>325.36285454568235</v>
      </c>
      <c r="G212" s="3">
        <f>(B212-$B$2)/$B$1</f>
        <v>0.59193772822895485</v>
      </c>
      <c r="H212" s="3">
        <f>((C212-$C$2)/$C$1+(D212-$D$2)/$D$1+(E212-$E$2)/$E$1+(F212-$F$2)/$F$1)/4</f>
        <v>0.4798690971938766</v>
      </c>
      <c r="I212" s="19">
        <v>44370</v>
      </c>
      <c r="J212" s="20">
        <v>156.9375</v>
      </c>
      <c r="K212" s="20">
        <v>76.822916666666671</v>
      </c>
      <c r="L212" s="20">
        <v>23.254166666666666</v>
      </c>
      <c r="M212" s="20">
        <v>0</v>
      </c>
      <c r="N212" s="20">
        <v>220.16666666666666</v>
      </c>
      <c r="O212" s="20">
        <v>4.229166666666667</v>
      </c>
      <c r="P212" s="20">
        <v>6.25E-2</v>
      </c>
      <c r="Q212" s="20">
        <v>18.883333333333329</v>
      </c>
      <c r="R212" s="10">
        <v>0.6942300523962327</v>
      </c>
      <c r="S212" s="21">
        <v>0.27456250000000032</v>
      </c>
      <c r="T212" s="21">
        <v>0.3903541666666665</v>
      </c>
      <c r="U212" s="21">
        <v>0.45797916666666688</v>
      </c>
      <c r="V212" s="21">
        <v>0.47774999999999973</v>
      </c>
      <c r="W212" s="21">
        <v>0.48231249999999998</v>
      </c>
      <c r="X212" s="21">
        <v>0.36616666666666692</v>
      </c>
      <c r="Y212" s="21">
        <v>0.37866666666666665</v>
      </c>
      <c r="Z212" s="21">
        <v>0.33718750000000014</v>
      </c>
      <c r="AA212" s="21">
        <v>0.1437272727272727</v>
      </c>
      <c r="AB212" s="24">
        <f>AVERAGE(S212,W212)</f>
        <v>0.37843750000000015</v>
      </c>
      <c r="AC212" s="24">
        <f>AVERAGE(T212:V212,X212:Z212)</f>
        <v>0.40135069444444449</v>
      </c>
      <c r="AD212" s="24">
        <f>(AB212*10+AC212*45)/55</f>
        <v>0.39718465909090911</v>
      </c>
    </row>
    <row r="213" spans="1:30">
      <c r="A213" s="9">
        <v>44372</v>
      </c>
      <c r="B213" s="3">
        <v>493.82727364586452</v>
      </c>
      <c r="C213" s="3">
        <v>461.26730007234835</v>
      </c>
      <c r="D213" s="3">
        <v>391.14130549995201</v>
      </c>
      <c r="E213" s="3">
        <v>412.24645259418611</v>
      </c>
      <c r="F213" s="3">
        <v>452.56433400220027</v>
      </c>
      <c r="G213" s="3">
        <f>(B213-$B$2)/$B$1</f>
        <v>0.54764404584889215</v>
      </c>
      <c r="H213" s="3">
        <f>((C213-$C$2)/$C$1+(D213-$D$2)/$D$1+(E213-$E$2)/$E$1+(F213-$F$2)/$F$1)/4</f>
        <v>0.52112453249460855</v>
      </c>
      <c r="I213" s="19">
        <v>44372</v>
      </c>
      <c r="J213" s="20">
        <v>175.33333333333334</v>
      </c>
      <c r="K213" s="20">
        <v>82.154166666666654</v>
      </c>
      <c r="L213" s="20">
        <v>23.306250000000002</v>
      </c>
      <c r="M213" s="20">
        <v>0</v>
      </c>
      <c r="N213" s="20">
        <v>225.58333333333334</v>
      </c>
      <c r="O213" s="20">
        <v>6.666666666666667</v>
      </c>
      <c r="P213" s="20">
        <v>0.41666666666666669</v>
      </c>
      <c r="Q213" s="20">
        <v>19.962500000000002</v>
      </c>
      <c r="R213" s="10">
        <v>0.5568939793338572</v>
      </c>
      <c r="S213" s="21">
        <v>0.30485416666666676</v>
      </c>
      <c r="T213" s="21">
        <v>0.37424999999999997</v>
      </c>
      <c r="U213" s="21">
        <v>0.44050000000000028</v>
      </c>
      <c r="V213" s="21">
        <v>0.46039583333333317</v>
      </c>
      <c r="W213" s="21">
        <v>0.47779166666666661</v>
      </c>
      <c r="X213" s="21">
        <v>0.3757291666666665</v>
      </c>
      <c r="Y213" s="21">
        <v>0.3662083333333333</v>
      </c>
      <c r="Z213" s="21">
        <v>0.32452083333333331</v>
      </c>
      <c r="AA213" s="21">
        <v>0.23962962962962966</v>
      </c>
      <c r="AB213" s="24">
        <f>AVERAGE(S213,W213)</f>
        <v>0.39132291666666669</v>
      </c>
      <c r="AC213" s="24">
        <f>AVERAGE(T213:V213,X213:Z213)</f>
        <v>0.3902673611111111</v>
      </c>
      <c r="AD213" s="24">
        <f t="shared" si="6"/>
        <v>0.39045928030303034</v>
      </c>
    </row>
    <row r="214" spans="1:30">
      <c r="A214" s="9">
        <v>44373</v>
      </c>
      <c r="B214" s="3">
        <v>403.62176788526108</v>
      </c>
      <c r="C214" s="3">
        <v>394.75780447924399</v>
      </c>
      <c r="D214" s="3">
        <v>362.377848118418</v>
      </c>
      <c r="E214" s="3">
        <v>377.70718758621109</v>
      </c>
      <c r="F214" s="3">
        <v>399.74146806178408</v>
      </c>
      <c r="G214" s="3">
        <f>(B214-$B$2)/$B$1</f>
        <v>0.44648835838182904</v>
      </c>
      <c r="H214" s="3">
        <f>((C214-$C$2)/$C$1+(D214-$D$2)/$D$1+(E214-$E$2)/$E$1+(F214-$F$2)/$F$1)/4</f>
        <v>0.46330200633099716</v>
      </c>
      <c r="I214" s="19">
        <v>44373</v>
      </c>
      <c r="J214" s="20">
        <v>166.27083333333334</v>
      </c>
      <c r="K214" s="20">
        <v>84.437500000000028</v>
      </c>
      <c r="L214" s="20">
        <v>23.3125</v>
      </c>
      <c r="M214" s="20">
        <v>0.89999999999999991</v>
      </c>
      <c r="N214" s="20">
        <v>235.5</v>
      </c>
      <c r="O214" s="20">
        <v>9.1041666666666661</v>
      </c>
      <c r="P214" s="20">
        <v>1.3333333333333333</v>
      </c>
      <c r="Q214" s="20">
        <v>20.458333333333339</v>
      </c>
      <c r="R214" s="10">
        <v>0.48116569386094121</v>
      </c>
      <c r="S214" s="21">
        <v>0.29168750000000004</v>
      </c>
      <c r="T214" s="21">
        <v>0.37229166666666669</v>
      </c>
      <c r="U214" s="21">
        <v>0.43968749999999979</v>
      </c>
      <c r="V214" s="21">
        <v>0.45831250000000012</v>
      </c>
      <c r="W214" s="21">
        <v>0.47114583333333321</v>
      </c>
      <c r="X214" s="21">
        <v>0.36381250000000015</v>
      </c>
      <c r="Y214" s="21">
        <v>0.36449999999999988</v>
      </c>
      <c r="Z214" s="21">
        <v>0.32185416666666683</v>
      </c>
      <c r="AA214" s="21">
        <v>0.22252941176470592</v>
      </c>
      <c r="AB214" s="24">
        <f>AVERAGE(S214,W214)</f>
        <v>0.38141666666666663</v>
      </c>
      <c r="AC214" s="24">
        <f>AVERAGE(T214:V214,X214:Z214)</f>
        <v>0.38674305555555555</v>
      </c>
      <c r="AD214" s="24">
        <f t="shared" si="6"/>
        <v>0.38577462121212119</v>
      </c>
    </row>
    <row r="215" spans="1:30">
      <c r="A215" s="9">
        <v>44374</v>
      </c>
      <c r="B215" s="3">
        <v>351.56709045848288</v>
      </c>
      <c r="C215" s="3">
        <v>356.89530465356955</v>
      </c>
      <c r="D215" s="3">
        <v>305.92712285626936</v>
      </c>
      <c r="E215" s="3">
        <v>344.05789647621776</v>
      </c>
      <c r="F215" s="3">
        <v>293.26849200754339</v>
      </c>
      <c r="G215" s="3">
        <f>(B215-$B$2)/$B$1</f>
        <v>0.38811468554908179</v>
      </c>
      <c r="H215" s="3">
        <f>((C215-$C$2)/$C$1+(D215-$D$2)/$D$1+(E215-$E$2)/$E$1+(F215-$F$2)/$F$1)/4</f>
        <v>0.3850258395605537</v>
      </c>
      <c r="I215" s="19">
        <v>44374</v>
      </c>
      <c r="J215" s="20">
        <v>126.04166666666667</v>
      </c>
      <c r="K215" s="20">
        <v>83.981250000000003</v>
      </c>
      <c r="L215" s="20">
        <v>23.889583333333331</v>
      </c>
      <c r="M215" s="20">
        <v>0.2</v>
      </c>
      <c r="N215" s="20">
        <v>231.52083333333334</v>
      </c>
      <c r="O215" s="20">
        <v>6.833333333333333</v>
      </c>
      <c r="P215" s="20">
        <v>0.66666666666666663</v>
      </c>
      <c r="Q215" s="20">
        <v>20.958333333333332</v>
      </c>
      <c r="R215" s="10">
        <v>0.50149765947552705</v>
      </c>
      <c r="S215" s="21">
        <v>0.28031249999999996</v>
      </c>
      <c r="T215" s="21">
        <v>0.36856249999999996</v>
      </c>
      <c r="U215" s="21">
        <v>0.4376250000000001</v>
      </c>
      <c r="V215" s="21">
        <v>0.45508333333333328</v>
      </c>
      <c r="W215" s="21">
        <v>0.46427083333333297</v>
      </c>
      <c r="X215" s="21">
        <v>0.3569583333333331</v>
      </c>
      <c r="Y215" s="21">
        <v>0.36172916666666649</v>
      </c>
      <c r="Z215" s="21">
        <v>0.3187500000000002</v>
      </c>
      <c r="AA215" s="25" t="e">
        <f>#REF!*0.5711-0.0033</f>
        <v>#REF!</v>
      </c>
      <c r="AB215" s="24">
        <f>AVERAGE(S215,W215)</f>
        <v>0.37229166666666647</v>
      </c>
      <c r="AC215" s="24">
        <f>AVERAGE(T215:V215,X215:Z215)</f>
        <v>0.3831180555555555</v>
      </c>
      <c r="AD215" s="24">
        <f t="shared" si="6"/>
        <v>0.38114962121212115</v>
      </c>
    </row>
    <row r="216" spans="1:30">
      <c r="A216" s="9">
        <v>44381</v>
      </c>
      <c r="B216" s="3">
        <v>478.11902721031805</v>
      </c>
      <c r="C216" s="3">
        <v>352.52543875090811</v>
      </c>
      <c r="D216" s="3">
        <v>357.17072195488646</v>
      </c>
      <c r="E216" s="3">
        <v>357.76303716706536</v>
      </c>
      <c r="F216" s="3">
        <v>445.34068539405524</v>
      </c>
      <c r="G216" s="3">
        <f>(B216-$B$2)/$B$1</f>
        <v>0.53002895180677534</v>
      </c>
      <c r="H216" s="3">
        <f>((C216-$C$2)/$C$1+(D216-$D$2)/$D$1+(E216-$E$2)/$E$1+(F216-$F$2)/$F$1)/4</f>
        <v>0.46173217607593176</v>
      </c>
      <c r="I216" s="19">
        <v>44381</v>
      </c>
      <c r="J216" s="20">
        <v>168.45833333333334</v>
      </c>
      <c r="K216" s="20">
        <v>87.966666666666683</v>
      </c>
      <c r="L216" s="20">
        <v>22.685416666666665</v>
      </c>
      <c r="M216" s="20">
        <v>1.4</v>
      </c>
      <c r="N216" s="20">
        <v>221.625</v>
      </c>
      <c r="O216" s="20">
        <v>5.3125</v>
      </c>
      <c r="P216" s="20">
        <v>0.83333333333333337</v>
      </c>
      <c r="Q216" s="20">
        <v>20.439583333333328</v>
      </c>
      <c r="R216" s="10">
        <v>0.39529987072719514</v>
      </c>
      <c r="S216" s="21">
        <v>0.46618749999999959</v>
      </c>
      <c r="T216" s="21">
        <v>0.54366666666666696</v>
      </c>
      <c r="U216" s="21">
        <v>0.59127083333333308</v>
      </c>
      <c r="V216" s="21">
        <v>0.60356250000000033</v>
      </c>
      <c r="W216" s="21">
        <v>0.61441666666666672</v>
      </c>
      <c r="X216" s="21">
        <v>0.511354166666667</v>
      </c>
      <c r="Y216" s="21">
        <v>0.48231249999999976</v>
      </c>
      <c r="Z216" s="21">
        <v>0.41974999999999979</v>
      </c>
      <c r="AA216" s="21">
        <v>0.30686111111111114</v>
      </c>
      <c r="AB216" s="24">
        <f>AVERAGE(S216,W216)</f>
        <v>0.54030208333333318</v>
      </c>
      <c r="AC216" s="24">
        <f>AVERAGE(T216:V216,X216:Z216)</f>
        <v>0.52531944444444445</v>
      </c>
      <c r="AD216" s="24">
        <f t="shared" si="6"/>
        <v>0.52804356060606061</v>
      </c>
    </row>
    <row r="217" spans="1:30">
      <c r="A217" s="9">
        <v>44383</v>
      </c>
      <c r="B217" s="3">
        <v>541.18085772840834</v>
      </c>
      <c r="C217" s="3">
        <v>439.50723443584116</v>
      </c>
      <c r="D217" s="3">
        <v>449.23983264711239</v>
      </c>
      <c r="E217" s="3">
        <v>329.25608366879311</v>
      </c>
      <c r="F217" s="3">
        <v>515.15702364437891</v>
      </c>
      <c r="G217" s="3">
        <f>(B217-$B$2)/$B$1</f>
        <v>0.60074595256189833</v>
      </c>
      <c r="H217" s="3">
        <f>((C217-$C$2)/$C$1+(D217-$D$2)/$D$1+(E217-$E$2)/$E$1+(F217-$F$2)/$F$1)/4</f>
        <v>0.52968800097480329</v>
      </c>
      <c r="I217" s="19">
        <v>44383</v>
      </c>
      <c r="J217" s="20">
        <v>154.70833333333334</v>
      </c>
      <c r="K217" s="20">
        <v>83.310416666666683</v>
      </c>
      <c r="L217" s="20">
        <v>23.258333333333336</v>
      </c>
      <c r="M217" s="20">
        <v>0.2</v>
      </c>
      <c r="N217" s="20">
        <v>225.83333333333334</v>
      </c>
      <c r="O217" s="20">
        <v>10.895833333333334</v>
      </c>
      <c r="P217" s="20">
        <v>1.5</v>
      </c>
      <c r="Q217" s="20">
        <v>20.191666666666666</v>
      </c>
      <c r="R217" s="10">
        <v>0.50286529046205908</v>
      </c>
      <c r="S217" s="21">
        <v>0.45147916666666649</v>
      </c>
      <c r="T217" s="21">
        <v>0.53533333333333333</v>
      </c>
      <c r="U217" s="21">
        <v>0.58649999999999991</v>
      </c>
      <c r="V217" s="21">
        <v>0.60008333333333364</v>
      </c>
      <c r="W217" s="21">
        <v>0.61143750000000019</v>
      </c>
      <c r="X217" s="21">
        <v>0.50445833333333356</v>
      </c>
      <c r="Y217" s="21">
        <v>0.47935416666666647</v>
      </c>
      <c r="Z217" s="21">
        <v>0.41402083333333356</v>
      </c>
      <c r="AA217" s="21">
        <v>0.27999999999999997</v>
      </c>
      <c r="AB217" s="24">
        <f>AVERAGE(S217,W217)</f>
        <v>0.53145833333333337</v>
      </c>
      <c r="AC217" s="24">
        <f>AVERAGE(T217:V217,X217:Z217)</f>
        <v>0.51995833333333341</v>
      </c>
      <c r="AD217" s="24">
        <f t="shared" si="6"/>
        <v>0.52204924242424255</v>
      </c>
    </row>
    <row r="218" spans="1:30">
      <c r="A218" s="9">
        <v>44384</v>
      </c>
      <c r="B218" s="3">
        <v>651.69973896039073</v>
      </c>
      <c r="C218" s="3">
        <v>504.49072036711601</v>
      </c>
      <c r="D218" s="3">
        <v>533.94363624591517</v>
      </c>
      <c r="E218" s="3">
        <v>356.60016791082762</v>
      </c>
      <c r="F218" s="3">
        <v>584.24276956132655</v>
      </c>
      <c r="G218" s="3">
        <f>(B218-$B$2)/$B$1</f>
        <v>0.72468088663101682</v>
      </c>
      <c r="H218" s="3">
        <f>((C218-$C$2)/$C$1+(D218-$D$2)/$D$1+(E218-$E$2)/$E$1+(F218-$F$2)/$F$1)/4</f>
        <v>0.60674720633102097</v>
      </c>
      <c r="I218" s="19">
        <v>44384</v>
      </c>
      <c r="J218" s="20">
        <v>229.3125</v>
      </c>
      <c r="K218" s="20">
        <v>79.666666666666657</v>
      </c>
      <c r="L218" s="20">
        <v>23.897916666666664</v>
      </c>
      <c r="M218" s="20">
        <v>0</v>
      </c>
      <c r="N218" s="20">
        <v>222.1875</v>
      </c>
      <c r="O218" s="20">
        <v>5.6875</v>
      </c>
      <c r="P218" s="20">
        <v>0.33333333333333331</v>
      </c>
      <c r="Q218" s="20">
        <v>19.922916666666662</v>
      </c>
      <c r="R218" s="10">
        <v>0.69033696014073787</v>
      </c>
      <c r="S218" s="21">
        <v>0.43106249999999996</v>
      </c>
      <c r="T218" s="21">
        <v>0.5236249999999999</v>
      </c>
      <c r="U218" s="21">
        <v>0.57677083333333312</v>
      </c>
      <c r="V218" s="21">
        <v>0.59424999999999983</v>
      </c>
      <c r="W218" s="21">
        <v>0.60245833333333365</v>
      </c>
      <c r="X218" s="21">
        <v>0.49304166666666654</v>
      </c>
      <c r="Y218" s="21">
        <v>0.47368750000000009</v>
      </c>
      <c r="Z218" s="21">
        <v>0.40877083333333347</v>
      </c>
      <c r="AA218" s="21">
        <v>0.27116279069767435</v>
      </c>
      <c r="AB218" s="24">
        <f>AVERAGE(S218,W218)</f>
        <v>0.51676041666666683</v>
      </c>
      <c r="AC218" s="24">
        <f>AVERAGE(T218:V218,X218:Z218)</f>
        <v>0.51169097222222215</v>
      </c>
      <c r="AD218" s="24">
        <f t="shared" si="6"/>
        <v>0.51261268939393934</v>
      </c>
    </row>
    <row r="219" spans="1:30">
      <c r="A219" s="9">
        <v>44385</v>
      </c>
      <c r="B219" s="3">
        <v>444.6140970636398</v>
      </c>
      <c r="C219" s="3">
        <v>292.83426640286393</v>
      </c>
      <c r="D219" s="3">
        <v>326.80052621908544</v>
      </c>
      <c r="E219" s="3">
        <v>236.20256179246957</v>
      </c>
      <c r="F219" s="3">
        <v>396.91010799165599</v>
      </c>
      <c r="G219" s="3">
        <f>(B219-$B$2)/$B$1</f>
        <v>0.49245680791216856</v>
      </c>
      <c r="H219" s="3">
        <f>((C219-$C$2)/$C$1+(D219-$D$2)/$D$1+(E219-$E$2)/$E$1+(F219-$F$2)/$F$1)/4</f>
        <v>0.3797715565358043</v>
      </c>
      <c r="I219" s="19">
        <v>44385</v>
      </c>
      <c r="J219" s="20">
        <v>143.85416666666666</v>
      </c>
      <c r="K219" s="20">
        <v>84.754166666666663</v>
      </c>
      <c r="L219" s="20">
        <v>22.270833333333332</v>
      </c>
      <c r="M219" s="20">
        <v>0.2</v>
      </c>
      <c r="N219" s="20">
        <v>222</v>
      </c>
      <c r="O219" s="20">
        <v>6.416666666666667</v>
      </c>
      <c r="P219" s="20">
        <v>0.6875</v>
      </c>
      <c r="Q219" s="20">
        <v>19.516666666666669</v>
      </c>
      <c r="R219" s="10">
        <v>0.43509291928196564</v>
      </c>
      <c r="S219" s="21">
        <v>0.40745833333333342</v>
      </c>
      <c r="T219" s="21">
        <v>0.51200000000000012</v>
      </c>
      <c r="U219" s="21">
        <v>0.56583333333333352</v>
      </c>
      <c r="V219" s="21">
        <v>0.58831249999999946</v>
      </c>
      <c r="W219" s="21">
        <v>0.59229166666666677</v>
      </c>
      <c r="X219" s="21">
        <v>0.4812083333333334</v>
      </c>
      <c r="Y219" s="21">
        <v>0.4672708333333333</v>
      </c>
      <c r="Z219" s="21">
        <v>0.40318750000000003</v>
      </c>
      <c r="AA219" s="21">
        <v>0.25054166666666683</v>
      </c>
      <c r="AB219" s="24">
        <f>AVERAGE(S219,W219)</f>
        <v>0.49987500000000007</v>
      </c>
      <c r="AC219" s="24">
        <f>AVERAGE(T219:V219,X219:Z219)</f>
        <v>0.50296875000000008</v>
      </c>
      <c r="AD219" s="24">
        <f t="shared" si="6"/>
        <v>0.50240625000000005</v>
      </c>
    </row>
    <row r="220" spans="1:30">
      <c r="A220" s="9">
        <v>44386</v>
      </c>
      <c r="B220" s="3">
        <v>669.63104291738603</v>
      </c>
      <c r="C220" s="3">
        <v>411.77000337469241</v>
      </c>
      <c r="D220" s="3">
        <v>490.04462302241228</v>
      </c>
      <c r="E220" s="3">
        <v>363.45665010647673</v>
      </c>
      <c r="F220" s="3">
        <v>540.38217999726248</v>
      </c>
      <c r="G220" s="3">
        <f>(B220-$B$2)/$B$1</f>
        <v>0.74478889848302643</v>
      </c>
      <c r="H220" s="3">
        <f>((C220-$C$2)/$C$1+(D220-$D$2)/$D$1+(E220-$E$2)/$E$1+(F220-$F$2)/$F$1)/4</f>
        <v>0.55395246537388321</v>
      </c>
      <c r="I220" s="19">
        <v>44386</v>
      </c>
      <c r="J220" s="20">
        <v>235.8125</v>
      </c>
      <c r="K220" s="20">
        <v>81.358333333333334</v>
      </c>
      <c r="L220" s="20">
        <v>22.695833333333329</v>
      </c>
      <c r="M220" s="20">
        <v>0.4</v>
      </c>
      <c r="N220" s="20">
        <v>233.52083333333334</v>
      </c>
      <c r="O220" s="20">
        <v>12.479166666666666</v>
      </c>
      <c r="P220" s="20">
        <v>1.625</v>
      </c>
      <c r="Q220" s="20">
        <v>19.195833333333322</v>
      </c>
      <c r="R220" s="10">
        <v>0.5633741847165129</v>
      </c>
      <c r="S220" s="21">
        <v>0.38339583333333338</v>
      </c>
      <c r="T220" s="21">
        <v>0.50099999999999989</v>
      </c>
      <c r="U220" s="21">
        <v>0.55445833333333383</v>
      </c>
      <c r="V220" s="21">
        <v>0.58206249999999982</v>
      </c>
      <c r="W220" s="21">
        <v>0.58095833333333369</v>
      </c>
      <c r="X220" s="21">
        <v>0.47020833333333312</v>
      </c>
      <c r="Y220" s="21">
        <v>0.46110416666666637</v>
      </c>
      <c r="Z220" s="21">
        <v>0.39791666666666675</v>
      </c>
      <c r="AA220" s="21">
        <v>0.23848275862068974</v>
      </c>
      <c r="AB220" s="24">
        <f>AVERAGE(S220,W220)</f>
        <v>0.48217708333333353</v>
      </c>
      <c r="AC220" s="24">
        <f>AVERAGE(T220:V220,X220:Z220)</f>
        <v>0.49445833333333322</v>
      </c>
      <c r="AD220" s="24">
        <f t="shared" si="6"/>
        <v>0.49222537878787875</v>
      </c>
    </row>
    <row r="221" spans="1:30">
      <c r="A221" s="9">
        <v>44387</v>
      </c>
      <c r="B221" s="3">
        <v>734.7411447808214</v>
      </c>
      <c r="C221" s="3">
        <v>480.26357936671707</v>
      </c>
      <c r="D221" s="3">
        <v>552.92713848905396</v>
      </c>
      <c r="E221" s="3">
        <v>407.68384761581507</v>
      </c>
      <c r="F221" s="3">
        <v>529.26487062197839</v>
      </c>
      <c r="G221" s="3">
        <f>(B221-$B$2)/$B$1</f>
        <v>0.81780281331573734</v>
      </c>
      <c r="H221" s="3">
        <f>((C221-$C$2)/$C$1+(D221-$D$2)/$D$1+(E221-$E$2)/$E$1+(F221-$F$2)/$F$1)/4</f>
        <v>0.59989884394412352</v>
      </c>
      <c r="I221" s="19">
        <v>44387</v>
      </c>
      <c r="J221" s="20">
        <v>271.625</v>
      </c>
      <c r="K221" s="20">
        <v>76.418750000000017</v>
      </c>
      <c r="L221" s="20">
        <v>23.360416666666666</v>
      </c>
      <c r="M221" s="20">
        <v>0</v>
      </c>
      <c r="N221" s="20">
        <v>225.375</v>
      </c>
      <c r="O221" s="20">
        <v>17.333333333333332</v>
      </c>
      <c r="P221" s="20">
        <v>3.375</v>
      </c>
      <c r="Q221" s="20">
        <v>18.814583333333335</v>
      </c>
      <c r="R221" s="10">
        <v>0.7360902906261716</v>
      </c>
      <c r="S221" s="21">
        <v>0.34804166666666675</v>
      </c>
      <c r="T221" s="21">
        <v>0.48337500000000011</v>
      </c>
      <c r="U221" s="21">
        <v>0.53545833333333326</v>
      </c>
      <c r="V221" s="21">
        <v>0.56945833333333307</v>
      </c>
      <c r="W221" s="21">
        <v>0.56387500000000002</v>
      </c>
      <c r="X221" s="21">
        <v>0.45120833333333343</v>
      </c>
      <c r="Y221" s="21">
        <v>0.44756250000000009</v>
      </c>
      <c r="Z221" s="21">
        <v>0.38845833333333329</v>
      </c>
      <c r="AA221" s="21">
        <v>0.20036842105263156</v>
      </c>
      <c r="AB221" s="24">
        <f>AVERAGE(S221,W221)</f>
        <v>0.45595833333333335</v>
      </c>
      <c r="AC221" s="24">
        <f>AVERAGE(T221:V221,X221:Z221)</f>
        <v>0.47925347222222214</v>
      </c>
      <c r="AD221" s="24">
        <f t="shared" si="6"/>
        <v>0.47501799242424236</v>
      </c>
    </row>
    <row r="222" spans="1:30">
      <c r="A222" s="9">
        <v>44388</v>
      </c>
      <c r="B222" s="3">
        <v>699.76516216349114</v>
      </c>
      <c r="C222" s="3">
        <v>452.68239371099509</v>
      </c>
      <c r="D222" s="3">
        <v>566.71212908257223</v>
      </c>
      <c r="E222" s="3">
        <v>397.19376009041514</v>
      </c>
      <c r="F222" s="3">
        <v>457.43157933994212</v>
      </c>
      <c r="G222" s="3">
        <f>(B222-$B$2)/$B$1</f>
        <v>0.77858104368360814</v>
      </c>
      <c r="H222" s="3">
        <f>((C222-$C$2)/$C$1+(D222-$D$2)/$D$1+(E222-$E$2)/$E$1+(F222-$F$2)/$F$1)/4</f>
        <v>0.56478998019933235</v>
      </c>
      <c r="I222" s="19">
        <v>44388</v>
      </c>
      <c r="J222" s="20">
        <v>266.02083333333331</v>
      </c>
      <c r="K222" s="20">
        <v>74.733333333333334</v>
      </c>
      <c r="L222" s="20">
        <v>23.618750000000002</v>
      </c>
      <c r="M222" s="20">
        <v>0</v>
      </c>
      <c r="N222" s="20">
        <v>225.97916666666666</v>
      </c>
      <c r="O222" s="20">
        <v>15.395833333333334</v>
      </c>
      <c r="P222" s="20">
        <v>2.6875</v>
      </c>
      <c r="Q222" s="20">
        <v>18.783333333333335</v>
      </c>
      <c r="R222" s="10">
        <v>0.77934554577110016</v>
      </c>
      <c r="S222" s="21">
        <v>0.31481250000000011</v>
      </c>
      <c r="T222" s="21">
        <v>0.46095833333333358</v>
      </c>
      <c r="U222" s="21">
        <v>0.51341666666666652</v>
      </c>
      <c r="V222" s="21">
        <v>0.55066666666666686</v>
      </c>
      <c r="W222" s="21">
        <v>0.54156249999999995</v>
      </c>
      <c r="X222" s="21">
        <v>0.42631250000000004</v>
      </c>
      <c r="Y222" s="21">
        <v>0.42897916666666663</v>
      </c>
      <c r="Z222" s="21">
        <v>0.37547916666666664</v>
      </c>
      <c r="AA222" s="21">
        <v>0.17494999999999999</v>
      </c>
      <c r="AB222" s="24">
        <f>AVERAGE(S222,W222)</f>
        <v>0.42818750000000005</v>
      </c>
      <c r="AC222" s="24">
        <f>AVERAGE(T222:V222,X222:Z222)</f>
        <v>0.45930208333333339</v>
      </c>
      <c r="AD222" s="24">
        <f t="shared" si="6"/>
        <v>0.45364488636363642</v>
      </c>
    </row>
    <row r="223" spans="1:30">
      <c r="A223" s="9">
        <v>44389</v>
      </c>
      <c r="B223" s="3">
        <v>636.01963373919443</v>
      </c>
      <c r="C223" s="3">
        <v>455.30778566786489</v>
      </c>
      <c r="D223" s="3">
        <v>488.97389467303486</v>
      </c>
      <c r="E223" s="3">
        <v>382.64562997313715</v>
      </c>
      <c r="F223" s="3">
        <v>471.22943831752178</v>
      </c>
      <c r="G223" s="3">
        <f>(B223-$B$2)/$B$1</f>
        <v>0.70709734990748874</v>
      </c>
      <c r="H223" s="3">
        <f>((C223-$C$2)/$C$1+(D223-$D$2)/$D$1+(E223-$E$2)/$E$1+(F223-$F$2)/$F$1)/4</f>
        <v>0.54470582660593525</v>
      </c>
      <c r="I223" s="19">
        <v>44389</v>
      </c>
      <c r="J223" s="20">
        <v>284.125</v>
      </c>
      <c r="K223" s="20">
        <v>75.810416666666711</v>
      </c>
      <c r="L223" s="20">
        <v>24.489583333333332</v>
      </c>
      <c r="M223" s="20">
        <v>0</v>
      </c>
      <c r="N223" s="20">
        <v>229.125</v>
      </c>
      <c r="O223" s="20">
        <v>14.583333333333334</v>
      </c>
      <c r="P223" s="20">
        <v>2.375</v>
      </c>
      <c r="Q223" s="20">
        <v>19.760416666666668</v>
      </c>
      <c r="R223" s="10">
        <v>0.82395965576254293</v>
      </c>
      <c r="S223" s="21">
        <v>0.29216666666666674</v>
      </c>
      <c r="T223" s="21">
        <v>0.43812499999999993</v>
      </c>
      <c r="U223" s="21">
        <v>0.49308333333333348</v>
      </c>
      <c r="V223" s="21">
        <v>0.52920833333333339</v>
      </c>
      <c r="W223" s="21">
        <v>0.51993750000000027</v>
      </c>
      <c r="X223" s="21">
        <v>0.40127083333333352</v>
      </c>
      <c r="Y223" s="21">
        <v>0.40918749999999976</v>
      </c>
      <c r="Z223" s="21">
        <v>0.36133333333333328</v>
      </c>
      <c r="AA223" s="21">
        <v>0.15786111111111109</v>
      </c>
      <c r="AB223" s="24">
        <f>AVERAGE(S223,W223)</f>
        <v>0.40605208333333354</v>
      </c>
      <c r="AC223" s="24">
        <f>AVERAGE(T223:V223,X223:Z223)</f>
        <v>0.43870138888888882</v>
      </c>
      <c r="AD223" s="24">
        <f t="shared" si="6"/>
        <v>0.43276515151515149</v>
      </c>
    </row>
    <row r="224" spans="1:30">
      <c r="A224" s="9">
        <v>44390</v>
      </c>
      <c r="B224" s="3">
        <v>541.65074607414033</v>
      </c>
      <c r="C224" s="3">
        <v>411.58984500402994</v>
      </c>
      <c r="D224" s="3">
        <v>341.70982555021772</v>
      </c>
      <c r="E224" s="3">
        <v>360.95843356469396</v>
      </c>
      <c r="F224" s="3">
        <v>392.34770367524311</v>
      </c>
      <c r="G224" s="3">
        <f>(B224-$B$2)/$B$1</f>
        <v>0.60127288135903212</v>
      </c>
      <c r="H224" s="3">
        <f>((C224-$C$2)/$C$1+(D224-$D$2)/$D$1+(E224-$E$2)/$E$1+(F224-$F$2)/$F$1)/4</f>
        <v>0.45406155720681685</v>
      </c>
      <c r="I224" s="19">
        <v>44390</v>
      </c>
      <c r="J224" s="20">
        <v>205.39583333333334</v>
      </c>
      <c r="K224" s="20">
        <v>77.229166666666686</v>
      </c>
      <c r="L224" s="20">
        <v>24.612500000000001</v>
      </c>
      <c r="M224" s="20">
        <v>0</v>
      </c>
      <c r="N224" s="20">
        <v>229.77083333333334</v>
      </c>
      <c r="O224" s="20">
        <v>10.1875</v>
      </c>
      <c r="P224" s="20">
        <v>0.97916666666666663</v>
      </c>
      <c r="Q224" s="20">
        <v>20.268749999999997</v>
      </c>
      <c r="R224" s="10">
        <v>0.75309228552959884</v>
      </c>
      <c r="S224" s="21">
        <v>0.27691666666666681</v>
      </c>
      <c r="T224" s="21">
        <v>0.41470833333333323</v>
      </c>
      <c r="U224" s="21">
        <v>0.47483333333333344</v>
      </c>
      <c r="V224" s="21">
        <v>0.50731249999999983</v>
      </c>
      <c r="W224" s="21">
        <v>0.50093749999999992</v>
      </c>
      <c r="X224" s="21">
        <v>0.38049999999999984</v>
      </c>
      <c r="Y224" s="21">
        <v>0.39083333333333359</v>
      </c>
      <c r="Z224" s="21">
        <v>0.34735416666666663</v>
      </c>
      <c r="AA224" s="21">
        <v>0.14441666666666664</v>
      </c>
      <c r="AB224" s="24">
        <f>AVERAGE(S224,W224)</f>
        <v>0.38892708333333337</v>
      </c>
      <c r="AC224" s="24">
        <f>AVERAGE(T224:V224,X224:Z224)</f>
        <v>0.41925694444444445</v>
      </c>
      <c r="AD224" s="24">
        <f t="shared" si="6"/>
        <v>0.4137424242424243</v>
      </c>
    </row>
    <row r="225" spans="1:30">
      <c r="A225" s="9">
        <v>44391</v>
      </c>
      <c r="B225" s="3">
        <v>511.13079382726414</v>
      </c>
      <c r="C225" s="3">
        <v>443.81823623991698</v>
      </c>
      <c r="D225" s="3">
        <v>352.67185785446821</v>
      </c>
      <c r="E225" s="3">
        <v>385.67460148658273</v>
      </c>
      <c r="F225" s="3">
        <v>433.99869006127165</v>
      </c>
      <c r="G225" s="3">
        <f>(B225-$B$2)/$B$1</f>
        <v>0.56704806631073557</v>
      </c>
      <c r="H225" s="3">
        <f>((C225-$C$2)/$C$1+(D225-$D$2)/$D$1+(E225-$E$2)/$E$1+(F225-$F$2)/$F$1)/4</f>
        <v>0.49002103466158686</v>
      </c>
      <c r="I225" s="19">
        <v>44391</v>
      </c>
      <c r="J225" s="20">
        <v>207.1875</v>
      </c>
      <c r="K225" s="20">
        <v>78.006250000000009</v>
      </c>
      <c r="L225" s="20">
        <v>24.762499999999992</v>
      </c>
      <c r="M225" s="20">
        <v>0</v>
      </c>
      <c r="N225" s="20">
        <v>230.25</v>
      </c>
      <c r="O225" s="20">
        <v>14.520833333333334</v>
      </c>
      <c r="P225" s="20">
        <v>2.875</v>
      </c>
      <c r="Q225" s="20">
        <v>20.564583333333335</v>
      </c>
      <c r="R225" s="10">
        <v>0.73484804383761426</v>
      </c>
      <c r="S225" s="21">
        <v>0.26666666666666655</v>
      </c>
      <c r="T225" s="21">
        <v>0.39443750000000005</v>
      </c>
      <c r="U225" s="21">
        <v>0.45989583333333356</v>
      </c>
      <c r="V225" s="21">
        <v>0.48695833333333322</v>
      </c>
      <c r="W225" s="21">
        <v>0.48381250000000015</v>
      </c>
      <c r="X225" s="21">
        <v>0.36502083333333335</v>
      </c>
      <c r="Y225" s="21">
        <v>0.3758333333333333</v>
      </c>
      <c r="Z225" s="21">
        <v>0.3357291666666668</v>
      </c>
      <c r="AA225" s="21">
        <v>0.13879999999999998</v>
      </c>
      <c r="AB225" s="24">
        <f>AVERAGE(S225,W225)</f>
        <v>0.37523958333333335</v>
      </c>
      <c r="AC225" s="24">
        <f>AVERAGE(T225:V225,X225:Z225)</f>
        <v>0.40297916666666672</v>
      </c>
      <c r="AD225" s="24">
        <f t="shared" si="6"/>
        <v>0.39793560606060613</v>
      </c>
    </row>
    <row r="226" spans="1:30">
      <c r="A226" s="9">
        <v>44392</v>
      </c>
      <c r="B226" s="3">
        <v>463.49824163546106</v>
      </c>
      <c r="C226" s="3">
        <v>430.88163131695467</v>
      </c>
      <c r="D226" s="3">
        <v>314.65865386048551</v>
      </c>
      <c r="E226" s="3">
        <v>360.74427923752148</v>
      </c>
      <c r="F226" s="2">
        <v>275.54658318562718</v>
      </c>
      <c r="G226" s="3">
        <f>(B226-$B$2)/$B$1</f>
        <v>0.51363332713106835</v>
      </c>
      <c r="H226" s="3">
        <f>((C226-$C$2)/$C$1+(D226-$D$2)/$D$1+(E226-$E$2)/$E$1+(F226-$F$2)/$F$1)/4</f>
        <v>0.40620614408710237</v>
      </c>
      <c r="I226" s="19">
        <v>44392</v>
      </c>
      <c r="J226" s="20">
        <v>208.39583333333334</v>
      </c>
      <c r="K226" s="20">
        <v>78.24166666666666</v>
      </c>
      <c r="L226" s="20">
        <v>24.089583333333334</v>
      </c>
      <c r="M226" s="20">
        <v>0</v>
      </c>
      <c r="N226" s="20">
        <v>228.39583333333334</v>
      </c>
      <c r="O226" s="20">
        <v>16.270833333333332</v>
      </c>
      <c r="P226" s="20">
        <v>3.2291666666666665</v>
      </c>
      <c r="Q226" s="20">
        <v>19.968750000000004</v>
      </c>
      <c r="R226" s="10">
        <v>0.69252270244538439</v>
      </c>
      <c r="S226" s="21">
        <v>0.25843750000000021</v>
      </c>
      <c r="T226" s="21">
        <v>0.37699999999999995</v>
      </c>
      <c r="U226" s="21">
        <v>0.4447291666666669</v>
      </c>
      <c r="V226" s="21">
        <v>0.4684374999999999</v>
      </c>
      <c r="W226" s="21">
        <v>0.46733333333333321</v>
      </c>
      <c r="X226" s="21">
        <v>0.35252083333333339</v>
      </c>
      <c r="Y226" s="21">
        <v>0.36354166666666665</v>
      </c>
      <c r="Z226" s="21">
        <v>0.32487500000000014</v>
      </c>
      <c r="AA226" s="21">
        <v>0.13416666666666666</v>
      </c>
      <c r="AB226" s="24">
        <f>AVERAGE(S226,W226)</f>
        <v>0.36288541666666674</v>
      </c>
      <c r="AC226" s="24">
        <f>AVERAGE(T226:V226,X226:Z226)</f>
        <v>0.38851736111111107</v>
      </c>
      <c r="AD226" s="24">
        <f t="shared" si="6"/>
        <v>0.38385700757575753</v>
      </c>
    </row>
    <row r="227" spans="1:30">
      <c r="A227" s="9">
        <v>44396</v>
      </c>
      <c r="B227" s="3">
        <v>359.4500866084876</v>
      </c>
      <c r="C227" s="3">
        <v>337.39855939751322</v>
      </c>
      <c r="D227" s="3">
        <v>223.72397833342694</v>
      </c>
      <c r="E227" s="3">
        <v>314.16546158296751</v>
      </c>
      <c r="F227" s="2">
        <v>195.91508782658198</v>
      </c>
      <c r="G227" s="3">
        <f>(B227-$B$2)/$B$1</f>
        <v>0.39695461043094199</v>
      </c>
      <c r="H227" s="3">
        <f>((C227-$C$2)/$C$1+(D227-$D$2)/$D$1+(E227-$E$2)/$E$1+(F227-$F$2)/$F$1)/4</f>
        <v>0.30939358882438944</v>
      </c>
      <c r="I227" s="19">
        <v>44396</v>
      </c>
      <c r="J227" s="20">
        <v>167.10416666666666</v>
      </c>
      <c r="K227" s="20">
        <v>87.16249999999998</v>
      </c>
      <c r="L227" s="20">
        <v>21.170833333333338</v>
      </c>
      <c r="M227" s="20">
        <v>0.5</v>
      </c>
      <c r="N227" s="20">
        <v>224.6875</v>
      </c>
      <c r="O227" s="20">
        <v>2.3541666666666665</v>
      </c>
      <c r="P227" s="20">
        <v>2.0833333333333332E-2</v>
      </c>
      <c r="Q227" s="20">
        <v>18.802083333333332</v>
      </c>
      <c r="R227" s="10">
        <v>0.37782055820488242</v>
      </c>
      <c r="S227" s="21">
        <v>0.43706250000000019</v>
      </c>
      <c r="T227" s="21">
        <v>0.5331041666666666</v>
      </c>
      <c r="U227" s="21">
        <v>0.58364583333333331</v>
      </c>
      <c r="V227" s="21">
        <v>0.59781250000000019</v>
      </c>
      <c r="W227" s="21">
        <v>0.57427083333333317</v>
      </c>
      <c r="X227" s="21">
        <v>0.49272916666666666</v>
      </c>
      <c r="Y227" s="21">
        <v>0.46841666666666693</v>
      </c>
      <c r="Z227" s="21">
        <v>0.40241666666666642</v>
      </c>
      <c r="AA227" s="21">
        <v>0.27952380952380951</v>
      </c>
      <c r="AB227" s="24">
        <f>AVERAGE(S227,W227)</f>
        <v>0.50566666666666671</v>
      </c>
      <c r="AC227" s="24">
        <f>AVERAGE(T227:V227,X227:Z227)</f>
        <v>0.51302083333333337</v>
      </c>
      <c r="AD227" s="24">
        <f t="shared" si="6"/>
        <v>0.51168371212121211</v>
      </c>
    </row>
    <row r="228" spans="1:30">
      <c r="A228" s="9">
        <v>44397</v>
      </c>
      <c r="B228" s="3">
        <v>308.80254900142478</v>
      </c>
      <c r="C228" s="3">
        <v>360.83917550111653</v>
      </c>
      <c r="D228" s="3">
        <v>231.78620238194375</v>
      </c>
      <c r="E228" s="3">
        <v>298.16447144547669</v>
      </c>
      <c r="F228" s="2">
        <v>202.97517742586814</v>
      </c>
      <c r="G228" s="3">
        <f>(B228-$B$2)/$B$1</f>
        <v>0.34015889223217621</v>
      </c>
      <c r="H228" s="3">
        <f>((C228-$C$2)/$C$1+(D228-$D$2)/$D$1+(E228-$E$2)/$E$1+(F228-$F$2)/$F$1)/4</f>
        <v>0.31584937561157322</v>
      </c>
      <c r="I228" s="19">
        <v>44397</v>
      </c>
      <c r="J228" s="20">
        <v>176.14583333333334</v>
      </c>
      <c r="K228" s="20">
        <v>86.175000000000011</v>
      </c>
      <c r="L228" s="20">
        <v>22.041666666666661</v>
      </c>
      <c r="M228" s="20">
        <v>1.5999999999999999</v>
      </c>
      <c r="N228" s="20">
        <v>212.0625</v>
      </c>
      <c r="O228" s="20">
        <v>2.4791666666666665</v>
      </c>
      <c r="P228" s="20">
        <v>4.1666666666666664E-2</v>
      </c>
      <c r="Q228" s="20">
        <v>19.487499999999997</v>
      </c>
      <c r="R228" s="10">
        <v>0.42298313960141337</v>
      </c>
      <c r="S228" s="21">
        <v>0.418375</v>
      </c>
      <c r="T228" s="21">
        <v>0.52141666666666675</v>
      </c>
      <c r="U228" s="21">
        <v>0.57564583333333386</v>
      </c>
      <c r="V228" s="21">
        <v>0.59224999999999994</v>
      </c>
      <c r="W228" s="21">
        <v>0.56997916666666704</v>
      </c>
      <c r="X228" s="21">
        <v>0.48322916666666638</v>
      </c>
      <c r="Y228" s="21">
        <v>0.46320833333333344</v>
      </c>
      <c r="Z228" s="21">
        <v>0.39881250000000001</v>
      </c>
      <c r="AA228" s="21">
        <v>0.27102083333333338</v>
      </c>
      <c r="AB228" s="24">
        <f>AVERAGE(S228,W228)</f>
        <v>0.49417708333333354</v>
      </c>
      <c r="AC228" s="24">
        <f>AVERAGE(T228:V228,X228:Z228)</f>
        <v>0.50576041666666682</v>
      </c>
      <c r="AD228" s="24">
        <f t="shared" si="6"/>
        <v>0.50365435606060627</v>
      </c>
    </row>
    <row r="229" spans="1:30">
      <c r="A229" s="9">
        <v>44399</v>
      </c>
      <c r="B229" s="3">
        <v>291.94205848810134</v>
      </c>
      <c r="C229" s="3">
        <v>288.61128575318901</v>
      </c>
      <c r="D229" s="3">
        <v>236.28715644392454</v>
      </c>
      <c r="E229" s="3">
        <v>245.6315581295014</v>
      </c>
      <c r="F229" s="2">
        <v>206.91666289794472</v>
      </c>
      <c r="G229" s="3">
        <f>(B229-$B$2)/$B$1</f>
        <v>0.32125168147462613</v>
      </c>
      <c r="H229" s="3">
        <f>((C229-$C$2)/$C$1+(D229-$D$2)/$D$1+(E229-$E$2)/$E$1+(F229-$F$2)/$F$1)/4</f>
        <v>0.28221742030099251</v>
      </c>
      <c r="I229" s="19">
        <v>44399</v>
      </c>
      <c r="J229" s="20">
        <v>130.47916666666666</v>
      </c>
      <c r="K229" s="20">
        <v>87.068750000000023</v>
      </c>
      <c r="L229" s="20">
        <v>22.03958333333334</v>
      </c>
      <c r="M229" s="20">
        <v>0.2</v>
      </c>
      <c r="N229" s="20">
        <v>243.39583333333334</v>
      </c>
      <c r="O229" s="20">
        <v>1.7708333333333333</v>
      </c>
      <c r="P229" s="20">
        <v>0.10416666666666667</v>
      </c>
      <c r="Q229" s="20">
        <v>19.6875</v>
      </c>
      <c r="R229" s="10">
        <v>0.38782928637413061</v>
      </c>
      <c r="S229" s="21">
        <v>0.39677083333333324</v>
      </c>
      <c r="T229" s="21">
        <v>0.50845833333333301</v>
      </c>
      <c r="U229" s="21">
        <v>0.55877083333333311</v>
      </c>
      <c r="V229" s="21">
        <v>0.58224999999999927</v>
      </c>
      <c r="W229" s="21">
        <v>0.57062500000000049</v>
      </c>
      <c r="X229" s="21">
        <v>0.47385416666666641</v>
      </c>
      <c r="Y229" s="21">
        <v>0.45166666666666694</v>
      </c>
      <c r="Z229" s="21">
        <v>0.38937500000000019</v>
      </c>
      <c r="AA229" s="21">
        <v>0.27654166666666685</v>
      </c>
      <c r="AB229" s="24">
        <f>AVERAGE(S229,W229)</f>
        <v>0.48369791666666684</v>
      </c>
      <c r="AC229" s="24">
        <f>AVERAGE(T229:V229,X229:Z229)</f>
        <v>0.49406249999999985</v>
      </c>
      <c r="AD229" s="24">
        <f t="shared" si="6"/>
        <v>0.49217803030303026</v>
      </c>
    </row>
    <row r="230" spans="1:30">
      <c r="A230" s="9">
        <v>44407</v>
      </c>
      <c r="B230" s="3">
        <v>427.68539039673198</v>
      </c>
      <c r="C230" s="3">
        <v>528.62056704108829</v>
      </c>
      <c r="D230" s="3">
        <v>448.5447137561876</v>
      </c>
      <c r="E230" s="3">
        <v>534.31228249199944</v>
      </c>
      <c r="F230" s="2">
        <v>392.79060583629348</v>
      </c>
      <c r="G230" s="3">
        <f>(B230-$B$2)/$B$1</f>
        <v>0.4734731001397855</v>
      </c>
      <c r="H230" s="3">
        <f>((C230-$C$2)/$C$1+(D230-$D$2)/$D$1+(E230-$E$2)/$E$1+(F230-$F$2)/$F$1)/4</f>
        <v>0.57064908038061479</v>
      </c>
      <c r="I230" s="19">
        <v>44407</v>
      </c>
      <c r="J230" s="20">
        <v>263</v>
      </c>
      <c r="K230" s="20">
        <v>79.620833333333337</v>
      </c>
      <c r="L230" s="20">
        <v>25.360416666666669</v>
      </c>
      <c r="M230" s="20">
        <v>0</v>
      </c>
      <c r="N230" s="20">
        <v>195.52083333333334</v>
      </c>
      <c r="O230" s="20">
        <v>1.4583333333333333</v>
      </c>
      <c r="P230" s="20">
        <v>8.3333333333333329E-2</v>
      </c>
      <c r="Q230" s="20">
        <v>21.247916666666658</v>
      </c>
      <c r="R230" s="10">
        <v>0.80767386415336073</v>
      </c>
      <c r="S230" s="21">
        <v>0.4314791666666668</v>
      </c>
      <c r="T230" s="21">
        <v>0.53400000000000014</v>
      </c>
      <c r="U230" s="21">
        <v>0.58422916666666669</v>
      </c>
      <c r="V230" s="21">
        <v>0.60477083333333381</v>
      </c>
      <c r="W230" s="21">
        <v>0.610104166666667</v>
      </c>
      <c r="X230" s="21">
        <v>0.49737499999999973</v>
      </c>
      <c r="Y230" s="21">
        <v>0.47702083333333362</v>
      </c>
      <c r="Z230" s="21">
        <v>0.41254166666666697</v>
      </c>
      <c r="AA230" s="21">
        <v>0.28904444444444449</v>
      </c>
      <c r="AB230" s="24">
        <f>AVERAGE(S230,W230)</f>
        <v>0.52079166666666687</v>
      </c>
      <c r="AC230" s="24">
        <f>AVERAGE(T230:V230,X230:Z230)</f>
        <v>0.51832291666666686</v>
      </c>
      <c r="AD230" s="24">
        <f t="shared" si="6"/>
        <v>0.51877178030303051</v>
      </c>
    </row>
    <row r="231" spans="1:30">
      <c r="A231" s="9">
        <v>44408</v>
      </c>
      <c r="B231" s="3">
        <v>160.97328917498979</v>
      </c>
      <c r="C231" s="3">
        <v>243.24828811458647</v>
      </c>
      <c r="D231" s="3">
        <v>163.99136475684477</v>
      </c>
      <c r="E231" s="3">
        <v>366.22479244849978</v>
      </c>
      <c r="F231" s="2">
        <v>143.60723811756898</v>
      </c>
      <c r="G231" s="3">
        <f>(B231-$B$2)/$B$1</f>
        <v>0.17438441672315386</v>
      </c>
      <c r="H231" s="3">
        <f>((C231-$C$2)/$C$1+(D231-$D$2)/$D$1+(E231-$E$2)/$E$1+(F231-$F$2)/$F$1)/4</f>
        <v>0.26267576495185235</v>
      </c>
      <c r="I231" s="19">
        <v>44408</v>
      </c>
      <c r="J231" s="20">
        <v>89.041666666666671</v>
      </c>
      <c r="K231" s="20">
        <v>87.154166666666654</v>
      </c>
      <c r="L231" s="20">
        <v>22.406250000000004</v>
      </c>
      <c r="M231" s="20">
        <v>0</v>
      </c>
      <c r="N231" s="20">
        <v>151.4375</v>
      </c>
      <c r="O231" s="20">
        <v>0.125</v>
      </c>
      <c r="P231" s="20">
        <v>0</v>
      </c>
      <c r="Q231" s="20">
        <v>20.141666666666669</v>
      </c>
      <c r="R231" s="10">
        <v>0.36061390843318558</v>
      </c>
      <c r="S231" s="21">
        <v>0.41091666666666643</v>
      </c>
      <c r="T231" s="21">
        <v>0.52174999999999983</v>
      </c>
      <c r="U231" s="21">
        <v>0.57274999999999998</v>
      </c>
      <c r="V231" s="21">
        <v>0.59945833333333309</v>
      </c>
      <c r="W231" s="21">
        <v>0.60072916666666665</v>
      </c>
      <c r="X231" s="21">
        <v>0.48512500000000008</v>
      </c>
      <c r="Y231" s="21">
        <v>0.47158333333333302</v>
      </c>
      <c r="Z231" s="21">
        <v>0.40747916666666645</v>
      </c>
      <c r="AA231" s="21">
        <v>0.27456249999999999</v>
      </c>
      <c r="AB231" s="24">
        <f>AVERAGE(S231,W231)</f>
        <v>0.50582291666666657</v>
      </c>
      <c r="AC231" s="24">
        <f>AVERAGE(T231:V231,X231:Z231)</f>
        <v>0.50969097222222215</v>
      </c>
      <c r="AD231" s="24">
        <f t="shared" si="6"/>
        <v>0.50898768939393935</v>
      </c>
    </row>
    <row r="232" spans="1:30">
      <c r="A232" s="9">
        <v>44409</v>
      </c>
      <c r="B232" s="3">
        <v>585.46255658920836</v>
      </c>
      <c r="C232" s="3">
        <v>671.22098702944538</v>
      </c>
      <c r="D232" s="3">
        <v>548.60552936862928</v>
      </c>
      <c r="E232" s="3">
        <v>617.26083156612231</v>
      </c>
      <c r="F232" s="2">
        <v>480.4138620681087</v>
      </c>
      <c r="G232" s="3">
        <f>(B232-$B$2)/$B$1</f>
        <v>0.65040307329642899</v>
      </c>
      <c r="H232" s="3">
        <f>((C232-$C$2)/$C$1+(D232-$D$2)/$D$1+(E232-$E$2)/$E$1+(F232-$F$2)/$F$1)/4</f>
        <v>0.69809171924447366</v>
      </c>
      <c r="I232" s="19">
        <v>44409</v>
      </c>
      <c r="J232" s="20">
        <v>288.22916666666669</v>
      </c>
      <c r="K232" s="20">
        <v>68.789583333333326</v>
      </c>
      <c r="L232" s="20">
        <v>25.087500000000006</v>
      </c>
      <c r="M232" s="20">
        <v>0</v>
      </c>
      <c r="N232" s="20">
        <v>116.20833333333333</v>
      </c>
      <c r="O232" s="20">
        <v>1.1458333333333333</v>
      </c>
      <c r="P232" s="20">
        <v>0</v>
      </c>
      <c r="Q232" s="20">
        <v>18.160416666666666</v>
      </c>
      <c r="R232" s="10">
        <v>1.2428157284528296</v>
      </c>
      <c r="S232" s="21">
        <v>0.38824999999999993</v>
      </c>
      <c r="T232" s="21">
        <v>0.51035416666666678</v>
      </c>
      <c r="U232" s="21">
        <v>0.56033333333333324</v>
      </c>
      <c r="V232" s="21">
        <v>0.59297916666666628</v>
      </c>
      <c r="W232" s="21">
        <v>0.58962499999999973</v>
      </c>
      <c r="X232" s="21">
        <v>0.47447916666666662</v>
      </c>
      <c r="Y232" s="21">
        <v>0.46429166666666633</v>
      </c>
      <c r="Z232" s="21">
        <v>0.40202083333333322</v>
      </c>
      <c r="AA232" s="21">
        <v>0.25744827586206898</v>
      </c>
      <c r="AB232" s="24">
        <f>AVERAGE(S232,W232)</f>
        <v>0.4889374999999998</v>
      </c>
      <c r="AC232" s="24">
        <f>AVERAGE(T232:V232,X232:Z232)</f>
        <v>0.50074305555555554</v>
      </c>
      <c r="AD232" s="24">
        <f t="shared" si="6"/>
        <v>0.49859659090909081</v>
      </c>
    </row>
    <row r="233" spans="1:30">
      <c r="A233" s="9">
        <v>44410</v>
      </c>
      <c r="B233" s="3">
        <v>591.91023553546415</v>
      </c>
      <c r="C233" s="3">
        <v>779.14656261353082</v>
      </c>
      <c r="D233" s="3">
        <v>421.55364813346324</v>
      </c>
      <c r="E233" s="3">
        <v>744.926406023661</v>
      </c>
      <c r="F233" s="2">
        <v>369.15452967047378</v>
      </c>
      <c r="G233" s="3">
        <f>(B233-$B$2)/$B$1</f>
        <v>0.65763344566534343</v>
      </c>
      <c r="H233" s="3">
        <f>((C233-$C$2)/$C$1+(D233-$D$2)/$D$1+(E233-$E$2)/$E$1+(F233-$F$2)/$F$1)/4</f>
        <v>0.68915336190952226</v>
      </c>
      <c r="I233" s="19">
        <v>44410</v>
      </c>
      <c r="J233" s="20">
        <v>259.79166666666669</v>
      </c>
      <c r="K233" s="20">
        <v>67.122916666666654</v>
      </c>
      <c r="L233" s="20">
        <v>25.343749999999996</v>
      </c>
      <c r="M233" s="20">
        <v>0</v>
      </c>
      <c r="N233" s="20">
        <v>216.08333333333334</v>
      </c>
      <c r="O233" s="20">
        <v>1.6875</v>
      </c>
      <c r="P233" s="20">
        <v>0</v>
      </c>
      <c r="Q233" s="20">
        <v>18.583333333333332</v>
      </c>
      <c r="R233" s="10">
        <v>1.1906514679283202</v>
      </c>
      <c r="S233" s="21">
        <v>0.34133333333333332</v>
      </c>
      <c r="T233" s="21">
        <v>0.4876458333333335</v>
      </c>
      <c r="U233" s="21">
        <v>0.53297916666666667</v>
      </c>
      <c r="V233" s="21">
        <v>0.57658333333333345</v>
      </c>
      <c r="W233" s="21">
        <v>0.56683333333333319</v>
      </c>
      <c r="X233" s="21">
        <v>0.45022916666666651</v>
      </c>
      <c r="Y233" s="21">
        <v>0.44522916666666679</v>
      </c>
      <c r="Z233" s="21">
        <v>0.38783333333333342</v>
      </c>
      <c r="AA233" s="21">
        <v>0.22339285714285709</v>
      </c>
      <c r="AB233" s="24">
        <f>AVERAGE(S233,W233)</f>
        <v>0.45408333333333328</v>
      </c>
      <c r="AC233" s="24">
        <f>AVERAGE(T233:V233,X233:Z233)</f>
        <v>0.48008333333333336</v>
      </c>
      <c r="AD233" s="24">
        <f t="shared" si="6"/>
        <v>0.47535606060606062</v>
      </c>
    </row>
    <row r="234" spans="1:30">
      <c r="A234" s="9">
        <v>44411</v>
      </c>
      <c r="B234" s="3">
        <v>567.48190306956963</v>
      </c>
      <c r="C234" s="3">
        <v>776.07386272951908</v>
      </c>
      <c r="D234" s="3">
        <v>350.8203523648923</v>
      </c>
      <c r="E234" s="3">
        <v>702.98671816927765</v>
      </c>
      <c r="F234" s="2">
        <v>307.21338256593617</v>
      </c>
      <c r="G234" s="3">
        <f>(B234-$B$2)/$B$1</f>
        <v>0.63023972126431294</v>
      </c>
      <c r="H234" s="3">
        <f>((C234-$C$2)/$C$1+(D234-$D$2)/$D$1+(E234-$E$2)/$E$1+(F234-$F$2)/$F$1)/4</f>
        <v>0.63129322512861952</v>
      </c>
      <c r="I234" s="19">
        <v>44411</v>
      </c>
      <c r="J234" s="20">
        <v>268.1875</v>
      </c>
      <c r="K234" s="20">
        <v>66.975000000000009</v>
      </c>
      <c r="L234" s="20">
        <v>25.597916666666674</v>
      </c>
      <c r="M234" s="20">
        <v>0</v>
      </c>
      <c r="N234" s="20">
        <v>216.8125</v>
      </c>
      <c r="O234" s="20">
        <v>1.2291666666666667</v>
      </c>
      <c r="P234" s="20">
        <v>0</v>
      </c>
      <c r="Q234" s="20">
        <v>18.691666666666666</v>
      </c>
      <c r="R234" s="10">
        <v>1.2429253657469082</v>
      </c>
      <c r="S234" s="21">
        <v>0.30572916666666661</v>
      </c>
      <c r="T234" s="21">
        <v>0.46147916666666672</v>
      </c>
      <c r="U234" s="21">
        <v>0.50524999999999987</v>
      </c>
      <c r="V234" s="21">
        <v>0.55327083333333338</v>
      </c>
      <c r="W234" s="21">
        <v>0.53920833333333318</v>
      </c>
      <c r="X234" s="21">
        <v>0.42066666666666674</v>
      </c>
      <c r="Y234" s="21">
        <v>0.42260416666666667</v>
      </c>
      <c r="Z234" s="21">
        <v>0.37039583333333342</v>
      </c>
      <c r="AA234" s="21">
        <v>0.18634999999999999</v>
      </c>
      <c r="AB234" s="24">
        <f>AVERAGE(S234,W234)</f>
        <v>0.42246874999999989</v>
      </c>
      <c r="AC234" s="24">
        <f>AVERAGE(T234:V234,X234:Z234)</f>
        <v>0.45561111111111113</v>
      </c>
      <c r="AD234" s="24">
        <f t="shared" si="6"/>
        <v>0.44958522727272726</v>
      </c>
    </row>
    <row r="235" spans="1:30">
      <c r="A235" s="9">
        <v>44412</v>
      </c>
      <c r="B235" s="3">
        <v>559.61967758780543</v>
      </c>
      <c r="C235" s="3">
        <v>760.64508790871275</v>
      </c>
      <c r="D235" s="3">
        <v>361.19052028468514</v>
      </c>
      <c r="E235" s="3">
        <v>670.93908297971484</v>
      </c>
      <c r="F235" s="2">
        <v>316.29453861329881</v>
      </c>
      <c r="G235" s="3">
        <f>(B235-$B$2)/$B$1</f>
        <v>0.62142308843327942</v>
      </c>
      <c r="H235" s="3">
        <f>((C235-$C$2)/$C$1+(D235-$D$2)/$D$1+(E235-$E$2)/$E$1+(F235-$F$2)/$F$1)/4</f>
        <v>0.62341239561901118</v>
      </c>
      <c r="I235" s="19">
        <v>44412</v>
      </c>
      <c r="J235" s="20">
        <v>277.14583333333331</v>
      </c>
      <c r="K235" s="20">
        <v>67.133333333333326</v>
      </c>
      <c r="L235" s="20">
        <v>25.997916666666665</v>
      </c>
      <c r="M235" s="20">
        <v>0</v>
      </c>
      <c r="N235" s="20">
        <v>234.70833333333334</v>
      </c>
      <c r="O235" s="20">
        <v>2.0833333333333335</v>
      </c>
      <c r="P235" s="20">
        <v>2.0833333333333332E-2</v>
      </c>
      <c r="Q235" s="20">
        <v>19.066666666666666</v>
      </c>
      <c r="R235" s="10">
        <v>1.2748251516316242</v>
      </c>
      <c r="S235" s="21">
        <v>0.28075</v>
      </c>
      <c r="T235" s="21">
        <v>0.43210416666666679</v>
      </c>
      <c r="U235" s="21">
        <v>0.47939583333333308</v>
      </c>
      <c r="V235" s="21">
        <v>0.52531250000000018</v>
      </c>
      <c r="W235" s="21">
        <v>0.51045833333333346</v>
      </c>
      <c r="X235" s="21">
        <v>0.39079166666666665</v>
      </c>
      <c r="Y235" s="21">
        <v>0.39783333333333348</v>
      </c>
      <c r="Z235" s="21">
        <v>0.35168749999999999</v>
      </c>
      <c r="AA235" s="21">
        <v>0.16399999999999998</v>
      </c>
      <c r="AB235" s="24">
        <f>AVERAGE(S235,W235)</f>
        <v>0.39560416666666676</v>
      </c>
      <c r="AC235" s="24">
        <f>AVERAGE(T235:V235,X235:Z235)</f>
        <v>0.42952083333333335</v>
      </c>
      <c r="AD235" s="24">
        <f t="shared" si="6"/>
        <v>0.4233541666666667</v>
      </c>
    </row>
    <row r="236" spans="1:30">
      <c r="A236" s="9">
        <v>44413</v>
      </c>
      <c r="B236" s="3">
        <v>521.60143843893979</v>
      </c>
      <c r="C236" s="3">
        <v>724.18983020587598</v>
      </c>
      <c r="D236" s="3">
        <v>369.96719166669868</v>
      </c>
      <c r="E236" s="3">
        <v>613.49325473492286</v>
      </c>
      <c r="F236" s="2">
        <v>323.98026974252804</v>
      </c>
      <c r="G236" s="3">
        <f>(B236-$B$2)/$B$1</f>
        <v>0.57878975818404843</v>
      </c>
      <c r="H236" s="3">
        <f>((C236-$C$2)/$C$1+(D236-$D$2)/$D$1+(E236-$E$2)/$E$1+(F236-$F$2)/$F$1)/4</f>
        <v>0.60077147412401699</v>
      </c>
      <c r="I236" s="19">
        <v>44413</v>
      </c>
      <c r="J236" s="20">
        <v>272.64583333333331</v>
      </c>
      <c r="K236" s="20">
        <v>66.749999999999986</v>
      </c>
      <c r="L236" s="20">
        <v>26.110416666666669</v>
      </c>
      <c r="M236" s="20">
        <v>0</v>
      </c>
      <c r="N236" s="20">
        <v>210.6875</v>
      </c>
      <c r="O236" s="20">
        <v>2.2291666666666665</v>
      </c>
      <c r="P236" s="20">
        <v>0</v>
      </c>
      <c r="Q236" s="20">
        <v>18.981249999999996</v>
      </c>
      <c r="R236" s="10">
        <v>1.3189600447859569</v>
      </c>
      <c r="S236" s="21">
        <v>0.26441666666666647</v>
      </c>
      <c r="T236" s="21">
        <v>0.40291666666666665</v>
      </c>
      <c r="U236" s="21">
        <v>0.45860416666666687</v>
      </c>
      <c r="V236" s="21">
        <v>0.49637500000000007</v>
      </c>
      <c r="W236" s="21">
        <v>0.48593750000000013</v>
      </c>
      <c r="X236" s="21">
        <v>0.36779166666666668</v>
      </c>
      <c r="Y236" s="21">
        <v>0.37687500000000013</v>
      </c>
      <c r="Z236" s="21">
        <v>0.33502083333333338</v>
      </c>
      <c r="AA236" s="21">
        <v>0.15</v>
      </c>
      <c r="AB236" s="24">
        <f>AVERAGE(S236,W236)</f>
        <v>0.37517708333333333</v>
      </c>
      <c r="AC236" s="24">
        <f>AVERAGE(T236:V236,X236:Z236)</f>
        <v>0.40626388888888898</v>
      </c>
      <c r="AD236" s="24">
        <f t="shared" si="6"/>
        <v>0.40061174242424252</v>
      </c>
    </row>
    <row r="237" spans="1:30">
      <c r="A237" s="9">
        <v>44414</v>
      </c>
      <c r="B237" s="3">
        <v>474.06684936155619</v>
      </c>
      <c r="C237" s="3">
        <v>664.78148451998788</v>
      </c>
      <c r="D237" s="3">
        <v>349.79073379890667</v>
      </c>
      <c r="E237" s="3">
        <v>584.39686866796978</v>
      </c>
      <c r="F237" s="2">
        <v>306.3117455877026</v>
      </c>
      <c r="G237" s="3">
        <f>(B237-$B$2)/$B$1</f>
        <v>0.52548487400826327</v>
      </c>
      <c r="H237" s="3">
        <f>((C237-$C$2)/$C$1+(D237-$D$2)/$D$1+(E237-$E$2)/$E$1+(F237-$F$2)/$F$1)/4</f>
        <v>0.562727830476494</v>
      </c>
      <c r="I237" s="19">
        <v>44414</v>
      </c>
      <c r="J237" s="20">
        <v>252.39583333333334</v>
      </c>
      <c r="K237" s="20">
        <v>69.964583333333337</v>
      </c>
      <c r="L237" s="20">
        <v>26.112500000000001</v>
      </c>
      <c r="M237" s="20">
        <v>0</v>
      </c>
      <c r="N237" s="20">
        <v>222.41666666666666</v>
      </c>
      <c r="O237" s="20">
        <v>2.5208333333333335</v>
      </c>
      <c r="P237" s="20">
        <v>6.25E-2</v>
      </c>
      <c r="Q237" s="20">
        <v>19.899999999999999</v>
      </c>
      <c r="R237" s="10">
        <v>1.1660348370183631</v>
      </c>
      <c r="S237" s="21">
        <v>0.2539791666666667</v>
      </c>
      <c r="T237" s="21">
        <v>0.37835416666666649</v>
      </c>
      <c r="U237" s="21">
        <v>0.44106249999999997</v>
      </c>
      <c r="V237" s="21">
        <v>0.47020833333333312</v>
      </c>
      <c r="W237" s="21">
        <v>0.46562499999999973</v>
      </c>
      <c r="X237" s="21">
        <v>0.35114583333333349</v>
      </c>
      <c r="Y237" s="21">
        <v>0.36089583333333314</v>
      </c>
      <c r="Z237" s="21">
        <v>0.32089583333333338</v>
      </c>
      <c r="AA237" s="21">
        <v>0.1399</v>
      </c>
      <c r="AB237" s="24">
        <f>AVERAGE(S237,W237)</f>
        <v>0.35980208333333319</v>
      </c>
      <c r="AC237" s="24">
        <f>AVERAGE(T237:V237,X237:Z237)</f>
        <v>0.38709374999999985</v>
      </c>
      <c r="AD237" s="24">
        <f t="shared" si="6"/>
        <v>0.38213162878787865</v>
      </c>
    </row>
    <row r="238" spans="1:30">
      <c r="A238" s="9">
        <v>44415</v>
      </c>
      <c r="B238" s="3">
        <v>436.15703289268066</v>
      </c>
      <c r="C238" s="3">
        <v>617.9570694999253</v>
      </c>
      <c r="D238" s="3">
        <v>379.3994014290202</v>
      </c>
      <c r="E238" s="3">
        <v>547.63078276717749</v>
      </c>
      <c r="F238" s="2">
        <v>332.24005583139302</v>
      </c>
      <c r="G238" s="3">
        <f>(B238-$B$2)/$B$1</f>
        <v>0.48297312803084513</v>
      </c>
      <c r="H238" s="3">
        <f>((C238-$C$2)/$C$1+(D238-$D$2)/$D$1+(E238-$E$2)/$E$1+(F238-$F$2)/$F$1)/4</f>
        <v>0.55662516448587529</v>
      </c>
      <c r="I238" s="19">
        <v>44415</v>
      </c>
      <c r="J238" s="20">
        <v>238.1875</v>
      </c>
      <c r="K238" s="20">
        <v>74.329166666666666</v>
      </c>
      <c r="L238" s="20">
        <v>26.381250000000005</v>
      </c>
      <c r="M238" s="20">
        <v>0</v>
      </c>
      <c r="N238" s="20">
        <v>222.95833333333334</v>
      </c>
      <c r="O238" s="20">
        <v>4.8125</v>
      </c>
      <c r="P238" s="20">
        <v>0.29166666666666669</v>
      </c>
      <c r="Q238" s="20">
        <v>21.133333333333329</v>
      </c>
      <c r="R238" s="10">
        <v>1.0070133103334029</v>
      </c>
      <c r="S238" s="21">
        <v>0.24743749999999987</v>
      </c>
      <c r="T238" s="21">
        <v>0.36222916666666666</v>
      </c>
      <c r="U238" s="21">
        <v>0.42802083333333352</v>
      </c>
      <c r="V238" s="21">
        <v>0.45064583333333325</v>
      </c>
      <c r="W238" s="21">
        <v>0.4512500000000001</v>
      </c>
      <c r="X238" s="21">
        <v>0.34087499999999998</v>
      </c>
      <c r="Y238" s="21">
        <v>0.3507083333333334</v>
      </c>
      <c r="Z238" s="21">
        <v>0.31006249999999996</v>
      </c>
      <c r="AA238" s="21">
        <v>0.136125</v>
      </c>
      <c r="AB238" s="24">
        <f>AVERAGE(S238,W238)</f>
        <v>0.34934374999999995</v>
      </c>
      <c r="AC238" s="24">
        <f>AVERAGE(T238:V238,X238:Z238)</f>
        <v>0.37375694444444446</v>
      </c>
      <c r="AD238" s="24">
        <f t="shared" si="6"/>
        <v>0.36931818181818182</v>
      </c>
    </row>
    <row r="239" spans="1:30">
      <c r="A239" s="9">
        <v>44416</v>
      </c>
      <c r="B239" s="3">
        <v>380.48555575923132</v>
      </c>
      <c r="C239" s="3">
        <v>562.27647949926916</v>
      </c>
      <c r="D239" s="3">
        <v>367.59539177106842</v>
      </c>
      <c r="E239" s="3">
        <v>540.47762917684611</v>
      </c>
      <c r="F239" s="2">
        <v>321.90328457392462</v>
      </c>
      <c r="G239" s="3">
        <f>(B239-$B$2)/$B$1</f>
        <v>0.42054360674767238</v>
      </c>
      <c r="H239" s="3">
        <f>((C239-$C$2)/$C$1+(D239-$D$2)/$D$1+(E239-$E$2)/$E$1+(F239-$F$2)/$F$1)/4</f>
        <v>0.53168372632171623</v>
      </c>
      <c r="I239" s="19">
        <v>44416</v>
      </c>
      <c r="J239" s="20">
        <v>195.45833333333334</v>
      </c>
      <c r="K239" s="20">
        <v>77.67083333333332</v>
      </c>
      <c r="L239" s="20">
        <v>25.797916666666655</v>
      </c>
      <c r="M239" s="20">
        <v>0</v>
      </c>
      <c r="N239" s="20">
        <v>232.33333333333334</v>
      </c>
      <c r="O239" s="20">
        <v>8.4375</v>
      </c>
      <c r="P239" s="20">
        <v>0.75</v>
      </c>
      <c r="Q239" s="20">
        <v>21.447916666666671</v>
      </c>
      <c r="R239" s="10">
        <v>0.80393698280569603</v>
      </c>
      <c r="S239" s="21">
        <v>0.24333333333333332</v>
      </c>
      <c r="T239" s="21">
        <v>0.34947916666666662</v>
      </c>
      <c r="U239" s="21">
        <v>0.41949999999999998</v>
      </c>
      <c r="V239" s="21">
        <v>0.43620833333333336</v>
      </c>
      <c r="W239" s="21">
        <v>0.44016666666666687</v>
      </c>
      <c r="X239" s="21">
        <v>0.33420833333333338</v>
      </c>
      <c r="Y239" s="21">
        <v>0.34352083333333328</v>
      </c>
      <c r="Z239" s="21">
        <v>0.3016250000000002</v>
      </c>
      <c r="AA239" s="21">
        <v>0.13252380952380957</v>
      </c>
      <c r="AB239" s="24">
        <f>AVERAGE(S239,W239)</f>
        <v>0.34175000000000011</v>
      </c>
      <c r="AC239" s="24">
        <f>AVERAGE(T239:V239,X239:Z239)</f>
        <v>0.36409027777777775</v>
      </c>
      <c r="AD239" s="24">
        <f t="shared" si="6"/>
        <v>0.36002840909090905</v>
      </c>
    </row>
    <row r="240" spans="1:30">
      <c r="A240" s="9">
        <v>44418</v>
      </c>
      <c r="B240" s="3">
        <v>438.2471112033835</v>
      </c>
      <c r="C240" s="3">
        <v>487.66551500889904</v>
      </c>
      <c r="D240" s="3">
        <v>392.75579191222306</v>
      </c>
      <c r="E240" s="3">
        <v>450.16644720097634</v>
      </c>
      <c r="F240" s="2">
        <v>343.93624697753376</v>
      </c>
      <c r="G240" s="3">
        <f>(B240-$B$2)/$B$1</f>
        <v>0.48531692408405103</v>
      </c>
      <c r="H240" s="3">
        <f>((C240-$C$2)/$C$1+(D240-$D$2)/$D$1+(E240-$E$2)/$E$1+(F240-$F$2)/$F$1)/4</f>
        <v>0.49835722153147283</v>
      </c>
      <c r="I240" s="19">
        <v>44418</v>
      </c>
      <c r="J240" s="20">
        <v>232.625</v>
      </c>
      <c r="K240" s="20">
        <v>80.347916666666649</v>
      </c>
      <c r="L240" s="20">
        <v>24.664583333333336</v>
      </c>
      <c r="M240" s="20">
        <v>0</v>
      </c>
      <c r="N240" s="20">
        <v>238.77083333333334</v>
      </c>
      <c r="O240" s="20">
        <v>2.4791666666666665</v>
      </c>
      <c r="P240" s="20">
        <v>6.25E-2</v>
      </c>
      <c r="Q240" s="20">
        <v>20.716666666666661</v>
      </c>
      <c r="R240" s="10">
        <v>0.75015926574658331</v>
      </c>
      <c r="S240" s="21">
        <v>0.24154166666666654</v>
      </c>
      <c r="T240" s="21">
        <v>0.33931249999999996</v>
      </c>
      <c r="U240" s="21">
        <v>0.41387499999999994</v>
      </c>
      <c r="V240" s="21">
        <v>0.42725000000000007</v>
      </c>
      <c r="W240" s="21">
        <v>0.43237500000000012</v>
      </c>
      <c r="X240" s="21">
        <v>0.33608333333333357</v>
      </c>
      <c r="Y240" s="21">
        <v>0.33745833333333358</v>
      </c>
      <c r="Z240" s="21">
        <v>0.29539583333333314</v>
      </c>
      <c r="AA240" s="21">
        <v>0.17150000000000001</v>
      </c>
      <c r="AB240" s="24">
        <f>AVERAGE(S240,W240)</f>
        <v>0.33695833333333336</v>
      </c>
      <c r="AC240" s="24">
        <f>AVERAGE(T240:V240,X240:Z240)</f>
        <v>0.35822916666666677</v>
      </c>
      <c r="AD240" s="24">
        <f t="shared" si="6"/>
        <v>0.35436174242424251</v>
      </c>
    </row>
    <row r="241" spans="1:30">
      <c r="A241" s="9">
        <v>44422</v>
      </c>
      <c r="B241" s="3">
        <v>31.71613224752554</v>
      </c>
      <c r="C241" s="3">
        <v>117.84629148682367</v>
      </c>
      <c r="D241" s="3">
        <v>99.912424010815542</v>
      </c>
      <c r="E241" s="3">
        <v>256.99874538189198</v>
      </c>
      <c r="F241" s="2">
        <v>87.493309706271177</v>
      </c>
      <c r="G241" s="3">
        <f>(B241-$B$2)/$B$1</f>
        <v>2.9436539553264335E-2</v>
      </c>
      <c r="H241" s="3">
        <f>((C241-$C$2)/$C$1+(D241-$D$2)/$D$1+(E241-$E$2)/$E$1+(F241-$F$2)/$F$1)/4</f>
        <v>0.15405447579962223</v>
      </c>
      <c r="I241" s="19">
        <v>44422</v>
      </c>
      <c r="J241" s="20">
        <v>77.458333333333329</v>
      </c>
      <c r="K241" s="20">
        <v>88.366666666666632</v>
      </c>
      <c r="L241" s="20">
        <v>20.262499999999999</v>
      </c>
      <c r="M241" s="20">
        <v>0</v>
      </c>
      <c r="N241" s="20">
        <v>215.60416666666666</v>
      </c>
      <c r="O241" s="20">
        <v>1.1041666666666667</v>
      </c>
      <c r="P241" s="20">
        <v>0</v>
      </c>
      <c r="Q241" s="20">
        <v>18.256250000000005</v>
      </c>
      <c r="R241" s="10">
        <v>0.28285461135652545</v>
      </c>
      <c r="S241" s="21">
        <v>0.39891666666666681</v>
      </c>
      <c r="T241" s="21">
        <v>0.5145833333333335</v>
      </c>
      <c r="U241" s="21">
        <v>0.57733333333333348</v>
      </c>
      <c r="V241" s="21">
        <v>0.57575000000000032</v>
      </c>
      <c r="W241" s="21">
        <v>0.5274791666666665</v>
      </c>
      <c r="X241" s="21">
        <v>0.39462499999999984</v>
      </c>
      <c r="Y241" s="21">
        <v>0.36185416666666681</v>
      </c>
      <c r="Z241" s="21">
        <v>0.30627083333333321</v>
      </c>
      <c r="AA241" s="21">
        <v>0.30053571428571429</v>
      </c>
      <c r="AB241" s="24">
        <f>AVERAGE(S241,W241)</f>
        <v>0.46319791666666665</v>
      </c>
      <c r="AC241" s="24">
        <f>AVERAGE(T241:V241,X241:Z241)</f>
        <v>0.45506944444444453</v>
      </c>
      <c r="AD241" s="24">
        <f t="shared" si="6"/>
        <v>0.45654734848484851</v>
      </c>
    </row>
    <row r="242" spans="1:30">
      <c r="A242" s="9">
        <v>44425</v>
      </c>
      <c r="B242" s="3">
        <v>166.55877480249018</v>
      </c>
      <c r="C242" s="3">
        <v>268.09761198310281</v>
      </c>
      <c r="D242" s="3">
        <v>260.83907951161473</v>
      </c>
      <c r="E242" s="3">
        <v>440.78757059553647</v>
      </c>
      <c r="F242" s="2">
        <v>228.41678192832103</v>
      </c>
      <c r="G242" s="3">
        <f>(B242-$B$2)/$B$1</f>
        <v>0.18064793283254374</v>
      </c>
      <c r="H242" s="3">
        <f>((C242-$C$2)/$C$1+(D242-$D$2)/$D$1+(E242-$E$2)/$E$1+(F242-$F$2)/$F$1)/4</f>
        <v>0.35297356038222488</v>
      </c>
      <c r="I242" s="19">
        <v>44425</v>
      </c>
      <c r="J242" s="20">
        <v>133.22916666666666</v>
      </c>
      <c r="K242" s="20">
        <v>85.839583333333323</v>
      </c>
      <c r="L242" s="20">
        <v>22.572916666666671</v>
      </c>
      <c r="M242" s="20">
        <v>1.2</v>
      </c>
      <c r="N242" s="20">
        <v>226.08333333333334</v>
      </c>
      <c r="O242" s="20">
        <v>11.1875</v>
      </c>
      <c r="P242" s="20">
        <v>1.8958333333333333</v>
      </c>
      <c r="Q242" s="20">
        <v>20.029166666666669</v>
      </c>
      <c r="R242" s="10">
        <v>0.4102184430895599</v>
      </c>
      <c r="S242" s="21">
        <v>0.42214583333333344</v>
      </c>
      <c r="T242" s="21">
        <v>0.52552083333333299</v>
      </c>
      <c r="U242" s="21">
        <v>0.58264583333333275</v>
      </c>
      <c r="V242" s="21">
        <v>0.59841666666666671</v>
      </c>
      <c r="W242" s="21">
        <v>0.54610416666666695</v>
      </c>
      <c r="X242" s="21">
        <v>0.40531250000000013</v>
      </c>
      <c r="Y242" s="21">
        <v>0.36481250000000026</v>
      </c>
      <c r="Z242" s="21">
        <v>0.30795833333333322</v>
      </c>
      <c r="AA242" s="21">
        <v>0.28736363636363632</v>
      </c>
      <c r="AB242" s="24">
        <f>AVERAGE(S242,W242)</f>
        <v>0.48412500000000019</v>
      </c>
      <c r="AC242" s="24">
        <f>AVERAGE(T242:V242,X242:Z242)</f>
        <v>0.46411111111111092</v>
      </c>
      <c r="AD242" s="24">
        <f t="shared" si="6"/>
        <v>0.46774999999999989</v>
      </c>
    </row>
    <row r="243" spans="1:30">
      <c r="A243" s="9">
        <v>44427</v>
      </c>
      <c r="B243" s="3">
        <v>361.33830897217956</v>
      </c>
      <c r="C243" s="3">
        <v>442.38354612576279</v>
      </c>
      <c r="D243" s="3">
        <v>462.11944594793817</v>
      </c>
      <c r="E243" s="3">
        <v>574.0789106277449</v>
      </c>
      <c r="F243" s="2">
        <v>404.67799881660949</v>
      </c>
      <c r="G243" s="3">
        <f>(B243-$B$2)/$B$1</f>
        <v>0.39907204694082477</v>
      </c>
      <c r="H243" s="3">
        <f>((C243-$C$2)/$C$1+(D243-$D$2)/$D$1+(E243-$E$2)/$E$1+(F243-$F$2)/$F$1)/4</f>
        <v>0.56771797686793424</v>
      </c>
      <c r="I243" s="19">
        <v>44427</v>
      </c>
      <c r="J243" s="20">
        <v>203.89583333333334</v>
      </c>
      <c r="K243" s="20">
        <v>79.899999999999977</v>
      </c>
      <c r="L243" s="20">
        <v>23.966666666666665</v>
      </c>
      <c r="M243" s="20">
        <v>0</v>
      </c>
      <c r="N243" s="20">
        <v>229.29166666666666</v>
      </c>
      <c r="O243" s="20">
        <v>8.0833333333333339</v>
      </c>
      <c r="P243" s="20">
        <v>0.5</v>
      </c>
      <c r="Q243" s="20">
        <v>20.131250000000001</v>
      </c>
      <c r="R243" s="10">
        <v>0.65877077834560704</v>
      </c>
      <c r="S243" s="21">
        <v>0.42654166666666676</v>
      </c>
      <c r="T243" s="21">
        <v>0.53318750000000004</v>
      </c>
      <c r="U243" s="21">
        <v>0.58435416666666651</v>
      </c>
      <c r="V243" s="21">
        <v>0.60375000000000012</v>
      </c>
      <c r="W243" s="21">
        <v>0.606375</v>
      </c>
      <c r="X243" s="21">
        <v>0.47639583333333335</v>
      </c>
      <c r="Y243" s="21">
        <v>0.46266666666666639</v>
      </c>
      <c r="Z243" s="21">
        <v>0.40374999999999966</v>
      </c>
      <c r="AA243" s="21">
        <v>0.2878</v>
      </c>
      <c r="AB243" s="24">
        <f>AVERAGE(S243,W243)</f>
        <v>0.51645833333333335</v>
      </c>
      <c r="AC243" s="24">
        <f>AVERAGE(T243:V243,X243:Z243)</f>
        <v>0.51068402777777766</v>
      </c>
      <c r="AD243" s="24">
        <f t="shared" si="6"/>
        <v>0.51173390151515141</v>
      </c>
    </row>
    <row r="244" spans="1:30">
      <c r="A244" s="9">
        <v>44428</v>
      </c>
      <c r="B244" s="3">
        <v>457.27666099019876</v>
      </c>
      <c r="C244" s="3">
        <v>430.30758089244881</v>
      </c>
      <c r="D244" s="3">
        <v>465.38337944279834</v>
      </c>
      <c r="E244" s="3">
        <v>561.31266942161608</v>
      </c>
      <c r="F244" s="2">
        <v>407.53622537805853</v>
      </c>
      <c r="G244" s="3">
        <f>(B244-$B$2)/$B$1</f>
        <v>0.50665649947518765</v>
      </c>
      <c r="H244" s="3">
        <f>((C244-$C$2)/$C$1+(D244-$D$2)/$D$1+(E244-$E$2)/$E$1+(F244-$F$2)/$F$1)/4</f>
        <v>0.56240316956413949</v>
      </c>
      <c r="I244" s="19">
        <v>44428</v>
      </c>
      <c r="J244" s="20">
        <v>224.10416666666666</v>
      </c>
      <c r="K244" s="20">
        <v>80.262500000000003</v>
      </c>
      <c r="L244" s="20">
        <v>24.320833333333329</v>
      </c>
      <c r="M244" s="20">
        <v>0</v>
      </c>
      <c r="N244" s="20">
        <v>235.52083333333334</v>
      </c>
      <c r="O244" s="20">
        <v>8.2916666666666661</v>
      </c>
      <c r="P244" s="20">
        <v>0.39583333333333331</v>
      </c>
      <c r="Q244" s="20">
        <v>20.560416666666672</v>
      </c>
      <c r="R244" s="10">
        <v>0.65920919768322139</v>
      </c>
      <c r="S244" s="21">
        <v>0.39987500000000026</v>
      </c>
      <c r="T244" s="21">
        <v>0.5173125000000004</v>
      </c>
      <c r="U244" s="21">
        <v>0.57012499999999999</v>
      </c>
      <c r="V244" s="21">
        <v>0.59506250000000016</v>
      </c>
      <c r="W244" s="21">
        <v>0.59508333333333341</v>
      </c>
      <c r="X244" s="21">
        <v>0.46722916666666681</v>
      </c>
      <c r="Y244" s="21">
        <v>0.45583333333333315</v>
      </c>
      <c r="Z244" s="21">
        <v>0.39674999999999977</v>
      </c>
      <c r="AA244" s="21">
        <v>0.26493333333333335</v>
      </c>
      <c r="AB244" s="24">
        <f>AVERAGE(S244,W244)</f>
        <v>0.49747916666666681</v>
      </c>
      <c r="AC244" s="24">
        <f>AVERAGE(T244:V244,X244:Z244)</f>
        <v>0.50038541666666669</v>
      </c>
      <c r="AD244" s="24">
        <f t="shared" si="6"/>
        <v>0.49985700757575763</v>
      </c>
    </row>
    <row r="245" spans="1:30">
      <c r="A245" s="9">
        <v>44429</v>
      </c>
      <c r="B245" s="3">
        <v>470.30652214565634</v>
      </c>
      <c r="C245" s="3">
        <v>434.38793425094303</v>
      </c>
      <c r="D245" s="3">
        <v>479.13228566194715</v>
      </c>
      <c r="E245" s="3">
        <v>606.02551819642758</v>
      </c>
      <c r="F245" s="2">
        <v>419.57614255416712</v>
      </c>
      <c r="G245" s="3">
        <f>(B245-$B$2)/$B$1</f>
        <v>0.52126807502888672</v>
      </c>
      <c r="H245" s="3">
        <f>((C245-$C$2)/$C$1+(D245-$D$2)/$D$1+(E245-$E$2)/$E$1+(F245-$F$2)/$F$1)/4</f>
        <v>0.58607677212181275</v>
      </c>
      <c r="I245" s="19">
        <v>44429</v>
      </c>
      <c r="J245" s="20">
        <v>227.04166666666666</v>
      </c>
      <c r="K245" s="20">
        <v>79.872916666666669</v>
      </c>
      <c r="L245" s="20">
        <v>24.708333333333332</v>
      </c>
      <c r="M245" s="20">
        <v>0</v>
      </c>
      <c r="N245" s="20">
        <v>236.58333333333334</v>
      </c>
      <c r="O245" s="20">
        <v>9.9791666666666661</v>
      </c>
      <c r="P245" s="20">
        <v>1.1666666666666667</v>
      </c>
      <c r="Q245" s="20">
        <v>20.872916666666672</v>
      </c>
      <c r="R245" s="10">
        <v>0.68056465612410033</v>
      </c>
      <c r="S245" s="21">
        <v>0.37106250000000002</v>
      </c>
      <c r="T245" s="21">
        <v>0.50175000000000003</v>
      </c>
      <c r="U245" s="21">
        <v>0.55312500000000042</v>
      </c>
      <c r="V245" s="21">
        <v>0.58533333333333315</v>
      </c>
      <c r="W245" s="21">
        <v>0.58081249999999995</v>
      </c>
      <c r="X245" s="21">
        <v>0.45356249999999987</v>
      </c>
      <c r="Y245" s="21">
        <v>0.44504166666666684</v>
      </c>
      <c r="Z245" s="21">
        <v>0.38693749999999988</v>
      </c>
      <c r="AA245" s="21">
        <v>0.23459999999999998</v>
      </c>
      <c r="AB245" s="24">
        <f>AVERAGE(S245,W245)</f>
        <v>0.47593750000000001</v>
      </c>
      <c r="AC245" s="24">
        <f>AVERAGE(T245:V245,X245:Z245)</f>
        <v>0.48762500000000003</v>
      </c>
      <c r="AD245" s="24">
        <f t="shared" si="6"/>
        <v>0.48549999999999999</v>
      </c>
    </row>
    <row r="246" spans="1:30">
      <c r="A246" s="9">
        <v>44430</v>
      </c>
      <c r="B246" s="3">
        <v>454.43357749349701</v>
      </c>
      <c r="C246" s="3">
        <v>439.75261321575505</v>
      </c>
      <c r="D246" s="3">
        <v>472.54032276531166</v>
      </c>
      <c r="E246" s="3">
        <v>660.56851978360021</v>
      </c>
      <c r="F246" s="2">
        <v>413.80356064558345</v>
      </c>
      <c r="G246" s="3">
        <f>(B246-$B$2)/$B$1</f>
        <v>0.50346828980649649</v>
      </c>
      <c r="H246" s="3">
        <f>((C246-$C$2)/$C$1+(D246-$D$2)/$D$1+(E246-$E$2)/$E$1+(F246-$F$2)/$F$1)/4</f>
        <v>0.60057487574463297</v>
      </c>
      <c r="I246" s="19">
        <v>44430</v>
      </c>
      <c r="J246" s="20">
        <v>210.79166666666666</v>
      </c>
      <c r="K246" s="20">
        <v>79.329166666666666</v>
      </c>
      <c r="L246" s="20">
        <v>24.7</v>
      </c>
      <c r="M246" s="20">
        <v>0</v>
      </c>
      <c r="N246" s="20">
        <v>227.9375</v>
      </c>
      <c r="O246" s="20">
        <v>13.25</v>
      </c>
      <c r="P246" s="20">
        <v>2.2708333333333335</v>
      </c>
      <c r="Q246" s="20">
        <v>20.80833333333333</v>
      </c>
      <c r="R246" s="10">
        <v>0.67612427235141004</v>
      </c>
      <c r="S246" s="21">
        <v>0.33600000000000008</v>
      </c>
      <c r="T246" s="21">
        <v>0.48083333333333328</v>
      </c>
      <c r="U246" s="21">
        <v>0.53141666666666643</v>
      </c>
      <c r="V246" s="21">
        <v>0.57050000000000001</v>
      </c>
      <c r="W246" s="21">
        <v>0.56041666666666645</v>
      </c>
      <c r="X246" s="21">
        <v>0.43372916666666655</v>
      </c>
      <c r="Y246" s="21">
        <v>0.4306666666666667</v>
      </c>
      <c r="Z246" s="21">
        <v>0.37458333333333343</v>
      </c>
      <c r="AA246" s="21">
        <v>0.20431578947368423</v>
      </c>
      <c r="AB246" s="24">
        <f>AVERAGE(S246,W246)</f>
        <v>0.44820833333333326</v>
      </c>
      <c r="AC246" s="24">
        <f>AVERAGE(T246:V246,X246:Z246)</f>
        <v>0.47028819444444436</v>
      </c>
      <c r="AD246" s="24">
        <f t="shared" si="6"/>
        <v>0.46627367424242416</v>
      </c>
    </row>
    <row r="247" spans="1:30">
      <c r="A247" s="9">
        <v>44433</v>
      </c>
      <c r="B247" s="3">
        <v>222.67263428687508</v>
      </c>
      <c r="C247" s="3">
        <v>294.0965628644567</v>
      </c>
      <c r="D247" s="3">
        <v>271.22454216760741</v>
      </c>
      <c r="E247" s="3">
        <v>250.92655392023124</v>
      </c>
      <c r="F247" s="2">
        <v>237.51133157617383</v>
      </c>
      <c r="G247" s="3">
        <f>(B247-$B$2)/$B$1</f>
        <v>0.24357353792407008</v>
      </c>
      <c r="H247" s="3">
        <f>((C247-$C$2)/$C$1+(D247-$D$2)/$D$1+(E247-$E$2)/$E$1+(F247-$F$2)/$F$1)/4</f>
        <v>0.3070566078334579</v>
      </c>
      <c r="I247" s="19">
        <v>44433</v>
      </c>
      <c r="J247" s="20">
        <v>157.35416666666666</v>
      </c>
      <c r="K247" s="20">
        <v>87.487499999999997</v>
      </c>
      <c r="L247" s="20">
        <v>21.910416666666674</v>
      </c>
      <c r="M247" s="20">
        <v>0.2</v>
      </c>
      <c r="N247" s="20">
        <v>225.1875</v>
      </c>
      <c r="O247" s="20">
        <v>7</v>
      </c>
      <c r="P247" s="20">
        <v>1.0208333333333333</v>
      </c>
      <c r="Q247" s="20">
        <v>19.645833333333329</v>
      </c>
      <c r="R247" s="10">
        <v>0.36413263507644117</v>
      </c>
      <c r="S247" s="21">
        <v>0.32216666666666677</v>
      </c>
      <c r="T247" s="21">
        <v>0.45554166666666668</v>
      </c>
      <c r="U247" s="21">
        <v>0.50564583333333346</v>
      </c>
      <c r="V247" s="21">
        <v>0.53737499999999983</v>
      </c>
      <c r="W247" s="21">
        <v>0.53483333333333338</v>
      </c>
      <c r="X247" s="21">
        <v>0.40141666666666675</v>
      </c>
      <c r="Y247" s="21">
        <v>0.40458333333333324</v>
      </c>
      <c r="Z247" s="21">
        <v>0.35504166666666664</v>
      </c>
      <c r="AA247" s="21">
        <v>0.30499999999999999</v>
      </c>
      <c r="AB247" s="24">
        <f>AVERAGE(S247,W247)</f>
        <v>0.4285000000000001</v>
      </c>
      <c r="AC247" s="24">
        <f>AVERAGE(T247:V247,X247:Z247)</f>
        <v>0.44326736111111109</v>
      </c>
      <c r="AD247" s="24">
        <f t="shared" si="6"/>
        <v>0.44058238636363634</v>
      </c>
    </row>
    <row r="248" spans="1:30">
      <c r="A248" s="9">
        <v>44434</v>
      </c>
      <c r="B248" s="3">
        <v>320.37193288113593</v>
      </c>
      <c r="C248" s="3">
        <v>407.2965622426965</v>
      </c>
      <c r="D248" s="3">
        <v>364.52113435895149</v>
      </c>
      <c r="E248" s="3">
        <v>397.38124045677409</v>
      </c>
      <c r="F248" s="2">
        <v>319.21115735813385</v>
      </c>
      <c r="G248" s="3">
        <f>(B248-$B$2)/$B$1</f>
        <v>0.35313270098203708</v>
      </c>
      <c r="H248" s="3">
        <f>((C248-$C$2)/$C$1+(D248-$D$2)/$D$1+(E248-$E$2)/$E$1+(F248-$F$2)/$F$1)/4</f>
        <v>0.44209912803505047</v>
      </c>
      <c r="I248" s="19">
        <v>44434</v>
      </c>
      <c r="J248" s="20">
        <v>180.95833333333334</v>
      </c>
      <c r="K248" s="20">
        <v>83.104166666666671</v>
      </c>
      <c r="L248" s="20">
        <v>22.035416666666666</v>
      </c>
      <c r="M248" s="20">
        <v>1.8</v>
      </c>
      <c r="N248" s="20">
        <v>207.125</v>
      </c>
      <c r="O248" s="20">
        <v>10.770833333333334</v>
      </c>
      <c r="P248" s="20">
        <v>1.625</v>
      </c>
      <c r="Q248" s="20">
        <v>18.931250000000002</v>
      </c>
      <c r="R248" s="10">
        <v>0.49167302714397509</v>
      </c>
      <c r="S248" s="21">
        <v>0.31204166666666672</v>
      </c>
      <c r="T248" s="21">
        <v>0.44818749999999974</v>
      </c>
      <c r="U248" s="21">
        <v>0.50116666666666687</v>
      </c>
      <c r="V248" s="21">
        <v>0.53054166666666658</v>
      </c>
      <c r="W248" s="21">
        <v>0.52399999999999969</v>
      </c>
      <c r="X248" s="21">
        <v>0.3966666666666665</v>
      </c>
      <c r="Y248" s="21">
        <v>0.40039583333333312</v>
      </c>
      <c r="Z248" s="21">
        <v>0.35085416666666669</v>
      </c>
      <c r="AA248" s="21">
        <v>0.27324999999999999</v>
      </c>
      <c r="AB248" s="24">
        <f>AVERAGE(S248,W248)</f>
        <v>0.41802083333333317</v>
      </c>
      <c r="AC248" s="24">
        <f>AVERAGE(T248:V248,X248:Z248)</f>
        <v>0.43796874999999996</v>
      </c>
      <c r="AD248" s="24">
        <f t="shared" si="6"/>
        <v>0.43434185606060605</v>
      </c>
    </row>
    <row r="249" spans="1:30">
      <c r="A249" s="9">
        <v>44435</v>
      </c>
      <c r="B249" s="3">
        <v>181.85894565574992</v>
      </c>
      <c r="C249" s="3">
        <v>251.68047581599373</v>
      </c>
      <c r="D249" s="3">
        <v>207.11642340566468</v>
      </c>
      <c r="E249" s="3">
        <v>341.84950071920582</v>
      </c>
      <c r="F249" s="2">
        <v>181.37185197634057</v>
      </c>
      <c r="G249" s="3">
        <f>(B249-$B$2)/$B$1</f>
        <v>0.19780541438508284</v>
      </c>
      <c r="H249" s="3">
        <f>((C249-$C$2)/$C$1+(D249-$D$2)/$D$1+(E249-$E$2)/$E$1+(F249-$F$2)/$F$1)/4</f>
        <v>0.28410167949204079</v>
      </c>
      <c r="I249" s="19">
        <v>44435</v>
      </c>
      <c r="J249" s="20">
        <v>110.4375</v>
      </c>
      <c r="K249" s="20">
        <v>87.24166666666666</v>
      </c>
      <c r="L249" s="20">
        <v>19.270833333333336</v>
      </c>
      <c r="M249" s="20">
        <v>0.7</v>
      </c>
      <c r="N249" s="20">
        <v>206.625</v>
      </c>
      <c r="O249" s="20">
        <v>2.4375</v>
      </c>
      <c r="P249" s="20">
        <v>4.1666666666666664E-2</v>
      </c>
      <c r="Q249" s="20">
        <v>17.020833333333332</v>
      </c>
      <c r="R249" s="10">
        <v>0.31524222487451653</v>
      </c>
      <c r="S249" s="21">
        <v>0.30299999999999999</v>
      </c>
      <c r="T249" s="21">
        <v>0.43947916666666659</v>
      </c>
      <c r="U249" s="21">
        <v>0.49604166666666633</v>
      </c>
      <c r="V249" s="21">
        <v>0.52397916666666677</v>
      </c>
      <c r="W249" s="21">
        <v>0.51156249999999992</v>
      </c>
      <c r="X249" s="21">
        <v>0.39141666666666658</v>
      </c>
      <c r="Y249" s="21">
        <v>0.39593749999999989</v>
      </c>
      <c r="Z249" s="21">
        <v>0.34779166666666678</v>
      </c>
      <c r="AA249" s="21">
        <v>0.2597272727272727</v>
      </c>
      <c r="AB249" s="24">
        <f>AVERAGE(S249,W249)</f>
        <v>0.40728124999999993</v>
      </c>
      <c r="AC249" s="24">
        <f>AVERAGE(T249:V249,X249:Z249)</f>
        <v>0.43244097222222216</v>
      </c>
      <c r="AD249" s="24">
        <f t="shared" si="6"/>
        <v>0.4278664772727272</v>
      </c>
    </row>
    <row r="250" spans="1:30">
      <c r="A250" s="9">
        <v>44436</v>
      </c>
      <c r="B250" s="3">
        <v>358.83757269816931</v>
      </c>
      <c r="C250" s="3">
        <v>514.18698917638494</v>
      </c>
      <c r="D250" s="3">
        <v>434.30556690831952</v>
      </c>
      <c r="E250" s="3">
        <v>465.07714741065848</v>
      </c>
      <c r="F250" s="2">
        <v>380.32138494161541</v>
      </c>
      <c r="G250" s="3">
        <f>(B250-$B$2)/$B$1</f>
        <v>0.39626774253791314</v>
      </c>
      <c r="H250" s="3">
        <f>((C250-$C$2)/$C$1+(D250-$D$2)/$D$1+(E250-$E$2)/$E$1+(F250-$F$2)/$F$1)/4</f>
        <v>0.53612210841471886</v>
      </c>
      <c r="I250" s="19">
        <v>44436</v>
      </c>
      <c r="J250" s="20">
        <v>207.04166666666666</v>
      </c>
      <c r="K250" s="20">
        <v>78.7</v>
      </c>
      <c r="L250" s="20">
        <v>22.045833333333334</v>
      </c>
      <c r="M250" s="20">
        <v>1</v>
      </c>
      <c r="N250" s="20">
        <v>224.375</v>
      </c>
      <c r="O250" s="20">
        <v>12.9375</v>
      </c>
      <c r="P250" s="20">
        <v>1.5208333333333333</v>
      </c>
      <c r="Q250" s="20">
        <v>18.041666666666668</v>
      </c>
      <c r="R250" s="10">
        <v>0.60415036549460588</v>
      </c>
      <c r="S250" s="21">
        <v>0.29179166666666673</v>
      </c>
      <c r="T250" s="21">
        <v>0.42835416666666681</v>
      </c>
      <c r="U250" s="21">
        <v>0.48733333333333356</v>
      </c>
      <c r="V250" s="21">
        <v>0.51512500000000006</v>
      </c>
      <c r="W250" s="21">
        <v>0.50179166666666675</v>
      </c>
      <c r="X250" s="21">
        <v>0.38502083333333342</v>
      </c>
      <c r="Y250" s="21">
        <v>0.39033333333333359</v>
      </c>
      <c r="Z250" s="21">
        <v>0.34266666666666651</v>
      </c>
      <c r="AA250" s="21">
        <v>0.24835714285714286</v>
      </c>
      <c r="AB250" s="24">
        <f>AVERAGE(S250,W250)</f>
        <v>0.39679166666666676</v>
      </c>
      <c r="AC250" s="24">
        <f>AVERAGE(T250:V250,X250:Z250)</f>
        <v>0.42480555555555566</v>
      </c>
      <c r="AD250" s="24">
        <f t="shared" si="6"/>
        <v>0.41971212121212131</v>
      </c>
    </row>
    <row r="251" spans="1:30">
      <c r="A251" s="9">
        <v>44437</v>
      </c>
      <c r="B251" s="3">
        <v>384.2213947712242</v>
      </c>
      <c r="C251" s="3">
        <v>409.33284592327158</v>
      </c>
      <c r="D251" s="3">
        <v>327.60163440234788</v>
      </c>
      <c r="E251" s="3">
        <v>232.87883416874953</v>
      </c>
      <c r="F251" s="2">
        <v>286.88075124613607</v>
      </c>
      <c r="G251" s="3">
        <f>(B251-$B$2)/$B$1</f>
        <v>0.42473294486332275</v>
      </c>
      <c r="H251" s="3">
        <f>((C251-$C$2)/$C$1+(D251-$D$2)/$D$1+(E251-$E$2)/$E$1+(F251-$F$2)/$F$1)/4</f>
        <v>0.36818325444572181</v>
      </c>
      <c r="I251" s="19">
        <v>44437</v>
      </c>
      <c r="J251" s="20">
        <v>188.29166666666666</v>
      </c>
      <c r="K251" s="20">
        <v>82.443749999999994</v>
      </c>
      <c r="L251" s="20">
        <v>21.412499999999998</v>
      </c>
      <c r="M251" s="20">
        <v>1.4</v>
      </c>
      <c r="N251" s="20">
        <v>228.66666666666666</v>
      </c>
      <c r="O251" s="20">
        <v>9.5833333333333339</v>
      </c>
      <c r="P251" s="20">
        <v>0.875</v>
      </c>
      <c r="Q251" s="20">
        <v>18.164583333333329</v>
      </c>
      <c r="R251" s="10">
        <v>0.49799996863743634</v>
      </c>
      <c r="S251" s="21">
        <v>0.27729166666666671</v>
      </c>
      <c r="T251" s="21">
        <v>0.41189583333333341</v>
      </c>
      <c r="U251" s="21">
        <v>0.47387499999999999</v>
      </c>
      <c r="V251" s="21">
        <v>0.50187500000000007</v>
      </c>
      <c r="W251" s="21">
        <v>0.48787500000000011</v>
      </c>
      <c r="X251" s="21">
        <v>0.37464583333333329</v>
      </c>
      <c r="Y251" s="21">
        <v>0.38152083333333314</v>
      </c>
      <c r="Z251" s="21">
        <v>0.33450000000000002</v>
      </c>
      <c r="AA251" s="21">
        <v>0.21958333333333335</v>
      </c>
      <c r="AB251" s="24">
        <f>AVERAGE(S251,W251)</f>
        <v>0.38258333333333339</v>
      </c>
      <c r="AC251" s="24">
        <f>AVERAGE(T251:V251,X251:Z251)</f>
        <v>0.41305208333333338</v>
      </c>
      <c r="AD251" s="24">
        <f t="shared" si="6"/>
        <v>0.40751231060606069</v>
      </c>
    </row>
    <row r="252" spans="1:30">
      <c r="A252" s="9">
        <v>44438</v>
      </c>
      <c r="B252" s="3">
        <v>337.43447876345482</v>
      </c>
      <c r="C252" s="3">
        <v>494.29583333214725</v>
      </c>
      <c r="D252" s="3">
        <v>287.11488340688743</v>
      </c>
      <c r="E252" s="3">
        <v>184.23677140289556</v>
      </c>
      <c r="F252" s="2">
        <v>251.42650339941133</v>
      </c>
      <c r="G252" s="3">
        <f>(B252-$B$2)/$B$1</f>
        <v>0.37226649491302882</v>
      </c>
      <c r="H252" s="3">
        <f>((C252-$C$2)/$C$1+(D252-$D$2)/$D$1+(E252-$E$2)/$E$1+(F252-$F$2)/$F$1)/4</f>
        <v>0.35129185441167943</v>
      </c>
      <c r="I252" s="19">
        <v>44438</v>
      </c>
      <c r="J252" s="20">
        <v>162.64583333333334</v>
      </c>
      <c r="K252" s="20">
        <v>80.825000000000003</v>
      </c>
      <c r="L252" s="20">
        <v>21.947916666666661</v>
      </c>
      <c r="M252" s="20">
        <v>0</v>
      </c>
      <c r="N252" s="20">
        <v>232.10416666666666</v>
      </c>
      <c r="O252" s="20">
        <v>12.354166666666666</v>
      </c>
      <c r="P252" s="20">
        <v>1.8958333333333333</v>
      </c>
      <c r="Q252" s="20">
        <v>18.402083333333334</v>
      </c>
      <c r="R252" s="10">
        <v>0.53987922612846562</v>
      </c>
      <c r="S252" s="21">
        <v>0.2683124999999999</v>
      </c>
      <c r="T252" s="21">
        <v>0.39683333333333343</v>
      </c>
      <c r="U252" s="21">
        <v>0.46281249999999985</v>
      </c>
      <c r="V252" s="21">
        <v>0.48929166666666674</v>
      </c>
      <c r="W252" s="21">
        <v>0.47614583333333327</v>
      </c>
      <c r="X252" s="21">
        <v>0.36602083333333346</v>
      </c>
      <c r="Y252" s="21">
        <v>0.3735833333333331</v>
      </c>
      <c r="Z252" s="21">
        <v>0.32775000000000004</v>
      </c>
      <c r="AA252" s="21">
        <v>0.19400000000000001</v>
      </c>
      <c r="AB252" s="24">
        <f>AVERAGE(S252,W252)</f>
        <v>0.37222916666666661</v>
      </c>
      <c r="AC252" s="24">
        <f>AVERAGE(T252:V252,X252:Z252)</f>
        <v>0.40271527777777777</v>
      </c>
      <c r="AD252" s="24">
        <f t="shared" si="6"/>
        <v>0.39717234848484845</v>
      </c>
    </row>
    <row r="253" spans="1:30">
      <c r="A253" s="9">
        <v>44439</v>
      </c>
      <c r="B253" s="3">
        <v>356.7105345231181</v>
      </c>
      <c r="C253" s="3">
        <v>515.74537284846508</v>
      </c>
      <c r="D253" s="3">
        <v>333.06094655728498</v>
      </c>
      <c r="E253" s="3">
        <v>213.04951494390198</v>
      </c>
      <c r="F253" s="2">
        <v>291.66147090021445</v>
      </c>
      <c r="G253" s="3">
        <f>(B253-$B$2)/$B$1</f>
        <v>0.39388250000696373</v>
      </c>
      <c r="H253" s="3">
        <f>((C253-$C$2)/$C$1+(D253-$D$2)/$D$1+(E253-$E$2)/$E$1+(F253-$F$2)/$F$1)/4</f>
        <v>0.39474136727782233</v>
      </c>
      <c r="I253" s="19">
        <v>44439</v>
      </c>
      <c r="J253" s="20">
        <v>165.1875</v>
      </c>
      <c r="K253" s="20">
        <v>78.964583333333323</v>
      </c>
      <c r="L253" s="20">
        <v>22.804166666666671</v>
      </c>
      <c r="M253" s="20">
        <v>0</v>
      </c>
      <c r="N253" s="20">
        <v>228.375</v>
      </c>
      <c r="O253" s="20">
        <v>10.166666666666666</v>
      </c>
      <c r="P253" s="20">
        <v>0.95833333333333337</v>
      </c>
      <c r="Q253" s="20">
        <v>18.870833333333337</v>
      </c>
      <c r="R253" s="10">
        <v>0.61872504115739979</v>
      </c>
      <c r="S253" s="21">
        <v>0.26039583333333333</v>
      </c>
      <c r="T253" s="21">
        <v>0.37983333333333325</v>
      </c>
      <c r="U253" s="21">
        <v>0.45004166666666651</v>
      </c>
      <c r="V253" s="21">
        <v>0.47412500000000013</v>
      </c>
      <c r="W253" s="21">
        <v>0.46502083333333316</v>
      </c>
      <c r="X253" s="21">
        <v>0.35643749999999996</v>
      </c>
      <c r="Y253" s="21">
        <v>0.36489583333333347</v>
      </c>
      <c r="Z253" s="21">
        <v>0.31985416666666666</v>
      </c>
      <c r="AA253" s="21">
        <v>0.17666666666666664</v>
      </c>
      <c r="AB253" s="24">
        <f>AVERAGE(S253,W253)</f>
        <v>0.36270833333333324</v>
      </c>
      <c r="AC253" s="24">
        <f>AVERAGE(T253:V253,X253:Z253)</f>
        <v>0.39086458333333329</v>
      </c>
      <c r="AD253" s="24">
        <f t="shared" si="6"/>
        <v>0.38574526515151508</v>
      </c>
    </row>
    <row r="254" spans="1:30">
      <c r="A254" s="9">
        <v>44440</v>
      </c>
      <c r="B254" s="3">
        <v>412.91156981441105</v>
      </c>
      <c r="C254" s="3">
        <v>554.03555554677632</v>
      </c>
      <c r="D254" s="3">
        <v>421.69229123012758</v>
      </c>
      <c r="E254" s="3">
        <v>314.92706140365863</v>
      </c>
      <c r="F254" s="2">
        <v>369.27593943022276</v>
      </c>
      <c r="G254" s="3">
        <f>(B254-$B$2)/$B$1</f>
        <v>0.45690586330741451</v>
      </c>
      <c r="H254" s="3">
        <f>((C254-$C$2)/$C$1+(D254-$D$2)/$D$1+(E254-$E$2)/$E$1+(F254-$F$2)/$F$1)/4</f>
        <v>0.49222228468674223</v>
      </c>
      <c r="I254" s="19">
        <v>44440</v>
      </c>
      <c r="J254" s="20">
        <v>244.875</v>
      </c>
      <c r="K254" s="20">
        <v>77.493749999999977</v>
      </c>
      <c r="L254" s="20">
        <v>23.731249999999999</v>
      </c>
      <c r="M254" s="20">
        <v>0</v>
      </c>
      <c r="N254" s="20">
        <v>229.83333333333334</v>
      </c>
      <c r="O254" s="20">
        <v>6.75</v>
      </c>
      <c r="P254" s="20">
        <v>0.41666666666666669</v>
      </c>
      <c r="Q254" s="20">
        <v>19.304166666666671</v>
      </c>
      <c r="R254" s="10">
        <v>0.75151568205956576</v>
      </c>
      <c r="S254" s="21">
        <v>0.25366666666666665</v>
      </c>
      <c r="T254" s="21">
        <v>0.36537500000000017</v>
      </c>
      <c r="U254" s="21">
        <v>0.43822916666666661</v>
      </c>
      <c r="V254" s="21">
        <v>0.45877083333333341</v>
      </c>
      <c r="W254" s="21">
        <v>0.45520833333333338</v>
      </c>
      <c r="X254" s="21">
        <v>0.34789583333333335</v>
      </c>
      <c r="Y254" s="21">
        <v>0.35654166666666653</v>
      </c>
      <c r="Z254" s="21">
        <v>0.31116666666666659</v>
      </c>
      <c r="AA254" s="21">
        <v>0.16264705882352942</v>
      </c>
      <c r="AB254" s="24">
        <f>AVERAGE(S254,W254)</f>
        <v>0.35443750000000002</v>
      </c>
      <c r="AC254" s="24">
        <f>AVERAGE(T254:V254,X254:Z254)</f>
        <v>0.37966319444444441</v>
      </c>
      <c r="AD254" s="24">
        <f t="shared" si="6"/>
        <v>0.3750767045454545</v>
      </c>
    </row>
    <row r="255" spans="1:30">
      <c r="A255" s="9">
        <v>44441</v>
      </c>
      <c r="B255" s="3">
        <v>350.49303131787013</v>
      </c>
      <c r="C255" s="3">
        <v>498.95618267517614</v>
      </c>
      <c r="D255" s="3">
        <v>372.01632520134433</v>
      </c>
      <c r="E255" s="3">
        <v>357.56491873027733</v>
      </c>
      <c r="F255" s="2">
        <v>325.77469597881725</v>
      </c>
      <c r="G255" s="3">
        <f>(B255-$B$2)/$B$1</f>
        <v>0.38691024475765934</v>
      </c>
      <c r="H255" s="3">
        <f>((C255-$C$2)/$C$1+(D255-$D$2)/$D$1+(E255-$E$2)/$E$1+(F255-$F$2)/$F$1)/4</f>
        <v>0.45957725569496799</v>
      </c>
      <c r="I255" s="19">
        <v>44441</v>
      </c>
      <c r="J255" s="20">
        <v>202.9375</v>
      </c>
      <c r="K255" s="20">
        <v>77.383333333333312</v>
      </c>
      <c r="L255" s="20">
        <v>23.477083333333326</v>
      </c>
      <c r="M255" s="20">
        <v>0</v>
      </c>
      <c r="N255" s="20">
        <v>228.27083333333334</v>
      </c>
      <c r="O255" s="20">
        <v>6.333333333333333</v>
      </c>
      <c r="P255" s="20">
        <v>0.41666666666666669</v>
      </c>
      <c r="Q255" s="20">
        <v>19.087500000000006</v>
      </c>
      <c r="R255" s="10">
        <v>0.72828064749509946</v>
      </c>
      <c r="S255" s="21">
        <v>0.24722916666666653</v>
      </c>
      <c r="T255" s="21">
        <v>0.35327083333333348</v>
      </c>
      <c r="U255" s="21">
        <v>0.42708333333333343</v>
      </c>
      <c r="V255" s="21">
        <v>0.44391666666666674</v>
      </c>
      <c r="W255" s="21">
        <v>0.44506249999999992</v>
      </c>
      <c r="X255" s="21">
        <v>0.34039583333333318</v>
      </c>
      <c r="Y255" s="21">
        <v>0.3487083333333334</v>
      </c>
      <c r="Z255" s="21">
        <v>0.30291666666666656</v>
      </c>
      <c r="AA255" s="21">
        <v>0.15229999999999999</v>
      </c>
      <c r="AB255" s="24">
        <f>AVERAGE(S255,W255)</f>
        <v>0.34614583333333321</v>
      </c>
      <c r="AC255" s="24">
        <f>AVERAGE(T255:V255,X255:Z255)</f>
        <v>0.36938194444444444</v>
      </c>
      <c r="AD255" s="24">
        <f t="shared" si="6"/>
        <v>0.36515719696969695</v>
      </c>
    </row>
    <row r="256" spans="1:30">
      <c r="A256" s="9">
        <v>44442</v>
      </c>
      <c r="B256" s="3">
        <v>400.18175057765183</v>
      </c>
      <c r="C256" s="3">
        <v>485.16545389149275</v>
      </c>
      <c r="D256" s="3">
        <v>365.1112334204019</v>
      </c>
      <c r="E256" s="3">
        <v>432.31480833556355</v>
      </c>
      <c r="F256" s="2">
        <v>319.72790710624594</v>
      </c>
      <c r="G256" s="3">
        <f>(B256-$B$2)/$B$1</f>
        <v>0.44263075221116682</v>
      </c>
      <c r="H256" s="3">
        <f>((C256-$C$2)/$C$1+(D256-$D$2)/$D$1+(E256-$E$2)/$E$1+(F256-$F$2)/$F$1)/4</f>
        <v>0.47492705678357483</v>
      </c>
      <c r="I256" s="19">
        <v>44442</v>
      </c>
      <c r="J256" s="20">
        <v>212.83333333333334</v>
      </c>
      <c r="K256" s="20">
        <v>79.506249999999994</v>
      </c>
      <c r="L256" s="20">
        <v>23.018750000000001</v>
      </c>
      <c r="M256" s="20">
        <v>0</v>
      </c>
      <c r="N256" s="20">
        <v>228.0625</v>
      </c>
      <c r="O256" s="20">
        <v>10.625</v>
      </c>
      <c r="P256" s="20">
        <v>1.2291666666666667</v>
      </c>
      <c r="Q256" s="20">
        <v>19.160416666666663</v>
      </c>
      <c r="R256" s="10">
        <v>0.62287977460016963</v>
      </c>
      <c r="S256" s="21">
        <v>0.24227083333333332</v>
      </c>
      <c r="T256" s="21">
        <v>0.34343750000000006</v>
      </c>
      <c r="U256" s="21">
        <v>0.41839583333333336</v>
      </c>
      <c r="V256" s="21">
        <v>0.43249999999999994</v>
      </c>
      <c r="W256" s="21">
        <v>0.43656250000000019</v>
      </c>
      <c r="X256" s="21">
        <v>0.33500000000000019</v>
      </c>
      <c r="Y256" s="21">
        <v>0.34277083333333325</v>
      </c>
      <c r="Z256" s="21">
        <v>0.29695833333333349</v>
      </c>
      <c r="AA256" s="21">
        <v>0.14307692307692307</v>
      </c>
      <c r="AB256" s="24">
        <f>AVERAGE(S256,W256)</f>
        <v>0.33941666666666676</v>
      </c>
      <c r="AC256" s="24">
        <f>AVERAGE(T256:V256,X256:Z256)</f>
        <v>0.36151041666666672</v>
      </c>
      <c r="AD256" s="24">
        <f t="shared" si="6"/>
        <v>0.35749337121212127</v>
      </c>
    </row>
    <row r="257" spans="1:30">
      <c r="A257" s="9">
        <v>44443</v>
      </c>
      <c r="B257" s="3">
        <v>356.57339380066134</v>
      </c>
      <c r="C257" s="3">
        <v>427.82206125517274</v>
      </c>
      <c r="D257" s="3">
        <v>338.93312676074322</v>
      </c>
      <c r="E257" s="3">
        <v>457.72321174444306</v>
      </c>
      <c r="F257" s="2">
        <v>296.80373910438283</v>
      </c>
      <c r="G257" s="3">
        <f>(B257-$B$2)/$B$1</f>
        <v>0.39372871156641487</v>
      </c>
      <c r="H257" s="3">
        <f>((C257-$C$2)/$C$1+(D257-$D$2)/$D$1+(E257-$E$2)/$E$1+(F257-$F$2)/$F$1)/4</f>
        <v>0.4508241879704229</v>
      </c>
      <c r="I257" s="19">
        <v>44443</v>
      </c>
      <c r="J257" s="20">
        <v>181.5625</v>
      </c>
      <c r="K257" s="20">
        <v>78.970833333333317</v>
      </c>
      <c r="L257" s="20">
        <v>23.229166666666661</v>
      </c>
      <c r="M257" s="20">
        <v>0</v>
      </c>
      <c r="N257" s="20">
        <v>228.89583333333334</v>
      </c>
      <c r="O257" s="20">
        <v>10.416666666666666</v>
      </c>
      <c r="P257" s="20">
        <v>0.70833333333333337</v>
      </c>
      <c r="Q257" s="20">
        <v>19.27291666666666</v>
      </c>
      <c r="R257" s="10">
        <v>0.63930404649074513</v>
      </c>
      <c r="S257" s="21">
        <v>0.2384375</v>
      </c>
      <c r="T257" s="21">
        <v>0.33560416666666676</v>
      </c>
      <c r="U257" s="21">
        <v>0.41208333333333313</v>
      </c>
      <c r="V257" s="21">
        <v>0.42345833333333344</v>
      </c>
      <c r="W257" s="21">
        <v>0.42985416666666687</v>
      </c>
      <c r="X257" s="21">
        <v>0.33060416666666687</v>
      </c>
      <c r="Y257" s="21">
        <v>0.33716666666666689</v>
      </c>
      <c r="Z257" s="21">
        <v>0.29202083333333312</v>
      </c>
      <c r="AA257" s="21">
        <v>0.13800000000000001</v>
      </c>
      <c r="AB257" s="24">
        <f>AVERAGE(S257,W257)</f>
        <v>0.33414583333333342</v>
      </c>
      <c r="AC257" s="24">
        <f>AVERAGE(T257:V257,X257:Z257)</f>
        <v>0.35515625000000001</v>
      </c>
      <c r="AD257" s="24">
        <f t="shared" si="6"/>
        <v>0.35133617424242425</v>
      </c>
    </row>
    <row r="258" spans="1:30">
      <c r="A258" s="9">
        <v>44446</v>
      </c>
      <c r="B258" s="3">
        <v>229.8630277238054</v>
      </c>
      <c r="C258" s="3">
        <v>342.41548823260212</v>
      </c>
      <c r="D258" s="3">
        <v>302.48684322385054</v>
      </c>
      <c r="E258" s="3">
        <v>542.41292192419485</v>
      </c>
      <c r="F258" s="2">
        <v>264.88772861112591</v>
      </c>
      <c r="G258" s="3">
        <f>(B258-$B$2)/$B$1</f>
        <v>0.25163678401019768</v>
      </c>
      <c r="H258" s="3">
        <f>((C258-$C$2)/$C$1+(D258-$D$2)/$D$1+(E258-$E$2)/$E$1+(F258-$F$2)/$F$1)/4</f>
        <v>0.43119299548589807</v>
      </c>
      <c r="I258" s="19">
        <v>44446</v>
      </c>
      <c r="J258" s="20">
        <v>153.1875</v>
      </c>
      <c r="K258" s="20">
        <v>76.970833333333317</v>
      </c>
      <c r="L258" s="20">
        <v>19.86666666666666</v>
      </c>
      <c r="M258" s="20">
        <v>0</v>
      </c>
      <c r="N258" s="20">
        <v>259.5</v>
      </c>
      <c r="O258" s="20">
        <v>2.2708333333333335</v>
      </c>
      <c r="P258" s="20">
        <v>0</v>
      </c>
      <c r="Q258" s="20">
        <v>15.566666666666668</v>
      </c>
      <c r="R258" s="10">
        <v>0.59043666973273157</v>
      </c>
      <c r="S258" s="21">
        <v>0.23725000000000007</v>
      </c>
      <c r="T258" s="21">
        <v>0.3254166666666663</v>
      </c>
      <c r="U258" s="21">
        <v>0.40570833333333334</v>
      </c>
      <c r="V258" s="21">
        <v>0.41662500000000002</v>
      </c>
      <c r="W258" s="21">
        <v>0.4166250000000003</v>
      </c>
      <c r="X258" s="21">
        <v>0.32643749999999999</v>
      </c>
      <c r="Y258" s="21">
        <v>0.32881249999999984</v>
      </c>
      <c r="Z258" s="21">
        <v>0.28585416666666658</v>
      </c>
      <c r="AA258" s="21">
        <v>0.21622727272727274</v>
      </c>
      <c r="AB258" s="24">
        <f>AVERAGE(S258,W258)</f>
        <v>0.32693750000000021</v>
      </c>
      <c r="AC258" s="24">
        <f>AVERAGE(T258:V258,X258:Z258)</f>
        <v>0.34814236111111102</v>
      </c>
      <c r="AD258" s="24">
        <f t="shared" si="6"/>
        <v>0.34428693181818176</v>
      </c>
    </row>
    <row r="259" spans="1:30">
      <c r="A259" s="9">
        <v>44447</v>
      </c>
      <c r="B259" s="3">
        <v>315.92314035112258</v>
      </c>
      <c r="C259" s="3">
        <v>430.21609494947057</v>
      </c>
      <c r="D259" s="3">
        <v>351.29885274446724</v>
      </c>
      <c r="E259" s="3">
        <v>504.05238000664122</v>
      </c>
      <c r="F259" s="2">
        <v>307.63240534833</v>
      </c>
      <c r="G259" s="3">
        <f>(B259-$B$2)/$B$1</f>
        <v>0.34814386285095728</v>
      </c>
      <c r="H259" s="3">
        <f>((C259-$C$2)/$C$1+(D259-$D$2)/$D$1+(E259-$E$2)/$E$1+(F259-$F$2)/$F$1)/4</f>
        <v>0.47368121070858749</v>
      </c>
      <c r="I259" s="19">
        <v>44447</v>
      </c>
      <c r="J259" s="20">
        <v>194.4375</v>
      </c>
      <c r="K259" s="20">
        <v>77.03958333333334</v>
      </c>
      <c r="L259" s="20">
        <v>20.818750000000005</v>
      </c>
      <c r="M259" s="20">
        <v>0</v>
      </c>
      <c r="N259" s="20">
        <v>231.8125</v>
      </c>
      <c r="O259" s="20">
        <v>1.8541666666666667</v>
      </c>
      <c r="P259" s="20">
        <v>0</v>
      </c>
      <c r="Q259" s="20">
        <v>16.387500000000006</v>
      </c>
      <c r="R259" s="10">
        <v>0.66275833731216927</v>
      </c>
      <c r="S259" s="21">
        <v>0.23537499999999989</v>
      </c>
      <c r="T259" s="21">
        <v>0.32360416666666686</v>
      </c>
      <c r="U259" s="21">
        <v>0.40416666666666662</v>
      </c>
      <c r="V259" s="21">
        <v>0.41485416666666669</v>
      </c>
      <c r="W259" s="21">
        <v>0.41514583333333316</v>
      </c>
      <c r="X259" s="21">
        <v>0.32477083333333329</v>
      </c>
      <c r="Y259" s="21">
        <v>0.32643749999999988</v>
      </c>
      <c r="Z259" s="21">
        <v>0.28487500000000004</v>
      </c>
      <c r="AA259" s="21">
        <v>0.19541666666666671</v>
      </c>
      <c r="AB259" s="24">
        <f>AVERAGE(S259,W259)</f>
        <v>0.3252604166666665</v>
      </c>
      <c r="AC259" s="24">
        <f>AVERAGE(T259:V259,X259:Z259)</f>
        <v>0.34645138888888893</v>
      </c>
      <c r="AD259" s="24">
        <f t="shared" si="6"/>
        <v>0.34259848484848487</v>
      </c>
    </row>
    <row r="260" spans="1:30">
      <c r="A260" s="9">
        <v>44448</v>
      </c>
      <c r="B260" s="3">
        <v>378.99838939185577</v>
      </c>
      <c r="C260" s="3">
        <v>437.20432162934821</v>
      </c>
      <c r="D260" s="3">
        <v>412.81555489728885</v>
      </c>
      <c r="E260" s="3">
        <v>512.92564751459145</v>
      </c>
      <c r="F260" s="2">
        <v>361.50258142355585</v>
      </c>
      <c r="G260" s="3">
        <f>(B260-$B$2)/$B$1</f>
        <v>0.41887591102332261</v>
      </c>
      <c r="H260" s="3">
        <f>((C260-$C$2)/$C$1+(D260-$D$2)/$D$1+(E260-$E$2)/$E$1+(F260-$F$2)/$F$1)/4</f>
        <v>0.51653871687703212</v>
      </c>
      <c r="I260" s="19">
        <v>44448</v>
      </c>
      <c r="J260" s="20">
        <v>260.20833333333331</v>
      </c>
      <c r="K260" s="20">
        <v>79.343750000000014</v>
      </c>
      <c r="L260" s="20">
        <v>22.574999999999992</v>
      </c>
      <c r="M260" s="20">
        <v>0</v>
      </c>
      <c r="N260" s="20">
        <v>207.41666666666666</v>
      </c>
      <c r="O260" s="20">
        <v>2.9166666666666665</v>
      </c>
      <c r="P260" s="20">
        <v>2.0833333333333332E-2</v>
      </c>
      <c r="Q260" s="20">
        <v>18.481249999999999</v>
      </c>
      <c r="R260" s="10">
        <v>0.6918632154290022</v>
      </c>
      <c r="S260" s="21">
        <v>0.23397916666666663</v>
      </c>
      <c r="T260" s="21">
        <v>0.32168749999999996</v>
      </c>
      <c r="U260" s="21">
        <v>0.40277083333333347</v>
      </c>
      <c r="V260" s="21">
        <v>0.41214583333333338</v>
      </c>
      <c r="W260" s="21">
        <v>0.41506249999999967</v>
      </c>
      <c r="X260" s="21">
        <v>0.32337500000000002</v>
      </c>
      <c r="Y260" s="21">
        <v>0.32352083333333309</v>
      </c>
      <c r="Z260" s="21">
        <v>0.2824583333333332</v>
      </c>
      <c r="AA260" s="21">
        <v>0.16269999999999993</v>
      </c>
      <c r="AB260" s="24">
        <f>AVERAGE(S260,W260)</f>
        <v>0.32452083333333315</v>
      </c>
      <c r="AC260" s="24">
        <f>AVERAGE(T260:V260,X260:Z260)</f>
        <v>0.34432638888888883</v>
      </c>
      <c r="AD260" s="24">
        <f t="shared" si="6"/>
        <v>0.34072537878787867</v>
      </c>
    </row>
    <row r="261" spans="1:30">
      <c r="A261" s="9">
        <v>44449</v>
      </c>
      <c r="B261" s="3">
        <v>302.37923295230394</v>
      </c>
      <c r="C261" s="3">
        <v>434.13809854525311</v>
      </c>
      <c r="D261" s="3">
        <v>410.14794927668333</v>
      </c>
      <c r="E261" s="3">
        <v>530.41698254434607</v>
      </c>
      <c r="F261" s="2">
        <v>359.16655918159159</v>
      </c>
      <c r="G261" s="3">
        <f>(B261-$B$2)/$B$1</f>
        <v>0.3329558402090389</v>
      </c>
      <c r="H261" s="3">
        <f>((C261-$C$2)/$C$1+(D261-$D$2)/$D$1+(E261-$E$2)/$E$1+(F261-$F$2)/$F$1)/4</f>
        <v>0.51952274034814827</v>
      </c>
      <c r="I261" s="19">
        <v>44449</v>
      </c>
      <c r="J261" s="20">
        <v>226.5625</v>
      </c>
      <c r="K261" s="20">
        <v>76.283333333333331</v>
      </c>
      <c r="L261" s="20">
        <v>23.375</v>
      </c>
      <c r="M261" s="20">
        <v>0</v>
      </c>
      <c r="N261" s="20">
        <v>155.66666666666666</v>
      </c>
      <c r="O261" s="20">
        <v>1.9791666666666667</v>
      </c>
      <c r="P261" s="20">
        <v>0</v>
      </c>
      <c r="Q261" s="20">
        <v>18.470833333333339</v>
      </c>
      <c r="R261" s="10">
        <v>0.85322279720821281</v>
      </c>
      <c r="S261" s="21">
        <v>0.23206249999999995</v>
      </c>
      <c r="T261" s="21">
        <v>0.31906250000000008</v>
      </c>
      <c r="U261" s="21">
        <v>0.40104166666666691</v>
      </c>
      <c r="V261" s="21">
        <v>0.40920833333333323</v>
      </c>
      <c r="W261" s="21">
        <v>0.41345833333333354</v>
      </c>
      <c r="X261" s="21">
        <v>0.32187500000000002</v>
      </c>
      <c r="Y261" s="21">
        <v>0.32070833333333365</v>
      </c>
      <c r="Z261" s="21">
        <v>0.2796041666666666</v>
      </c>
      <c r="AA261" s="21">
        <v>0.14829999999999993</v>
      </c>
      <c r="AB261" s="24">
        <f>AVERAGE(S261,W261)</f>
        <v>0.32276041666666677</v>
      </c>
      <c r="AC261" s="24">
        <f>AVERAGE(T261:V261,X261:Z261)</f>
        <v>0.3419166666666667</v>
      </c>
      <c r="AD261" s="24">
        <f t="shared" si="6"/>
        <v>0.33843371212121215</v>
      </c>
    </row>
    <row r="262" spans="1:30">
      <c r="A262" s="9">
        <v>44450</v>
      </c>
      <c r="B262" s="3">
        <v>263.02609043733725</v>
      </c>
      <c r="C262" s="3">
        <v>458.73835539276473</v>
      </c>
      <c r="D262" s="3">
        <v>424.45308593714009</v>
      </c>
      <c r="E262" s="3">
        <v>537.34369704954065</v>
      </c>
      <c r="F262" s="2">
        <v>371.69356735515356</v>
      </c>
      <c r="G262" s="3">
        <f>(B262-$B$2)/$B$1</f>
        <v>0.28882556067094284</v>
      </c>
      <c r="H262" s="3">
        <f>((C262-$C$2)/$C$1+(D262-$D$2)/$D$1+(E262-$E$2)/$E$1+(F262-$F$2)/$F$1)/4</f>
        <v>0.53735966846954353</v>
      </c>
      <c r="I262" s="19">
        <v>44450</v>
      </c>
      <c r="J262" s="20">
        <v>260.04166666666669</v>
      </c>
      <c r="K262" s="20">
        <v>71.575000000000003</v>
      </c>
      <c r="L262" s="20">
        <v>24.264583333333334</v>
      </c>
      <c r="M262" s="20">
        <v>0</v>
      </c>
      <c r="N262" s="20">
        <v>229.125</v>
      </c>
      <c r="O262" s="20">
        <v>4.375</v>
      </c>
      <c r="P262" s="20">
        <v>0.1875</v>
      </c>
      <c r="Q262" s="20">
        <v>18.368750000000002</v>
      </c>
      <c r="R262" s="10">
        <v>1.0168219396142339</v>
      </c>
      <c r="S262" s="21">
        <v>0.22945833333333329</v>
      </c>
      <c r="T262" s="21">
        <v>0.31560416666666663</v>
      </c>
      <c r="U262" s="21">
        <v>0.39829166666666671</v>
      </c>
      <c r="V262" s="21">
        <v>0.4052708333333333</v>
      </c>
      <c r="W262" s="21">
        <v>0.41091666666666665</v>
      </c>
      <c r="X262" s="21">
        <v>0.31935416666666666</v>
      </c>
      <c r="Y262" s="21">
        <v>0.31693749999999998</v>
      </c>
      <c r="Z262" s="21">
        <v>0.2767083333333335</v>
      </c>
      <c r="AA262" s="21">
        <v>0.13704000000000002</v>
      </c>
      <c r="AB262" s="24">
        <f>AVERAGE(S262,W262)</f>
        <v>0.32018749999999996</v>
      </c>
      <c r="AC262" s="24">
        <f>AVERAGE(T262:V262,X262:Z262)</f>
        <v>0.33869444444444446</v>
      </c>
      <c r="AD262" s="24">
        <f t="shared" si="6"/>
        <v>0.33532954545454546</v>
      </c>
    </row>
    <row r="263" spans="1:30">
      <c r="A263" s="9">
        <v>44451</v>
      </c>
      <c r="B263" s="3">
        <v>217.25813926028718</v>
      </c>
      <c r="C263" s="3">
        <v>312.42265645044733</v>
      </c>
      <c r="D263" s="3">
        <v>354.35562454628678</v>
      </c>
      <c r="E263" s="3">
        <v>427.23220701151632</v>
      </c>
      <c r="F263" s="2">
        <v>310.30922041518335</v>
      </c>
      <c r="G263" s="3">
        <f>(B263-$B$2)/$B$1</f>
        <v>0.23750176922122557</v>
      </c>
      <c r="H263" s="3">
        <f>((C263-$C$2)/$C$1+(D263-$D$2)/$D$1+(E263-$E$2)/$E$1+(F263-$F$2)/$F$1)/4</f>
        <v>0.41895243540284238</v>
      </c>
      <c r="I263" s="19">
        <v>44451</v>
      </c>
      <c r="J263" s="20">
        <v>240.14583333333334</v>
      </c>
      <c r="K263" s="20">
        <v>73.081250000000011</v>
      </c>
      <c r="L263" s="20">
        <v>24.572916666666661</v>
      </c>
      <c r="M263" s="20">
        <v>1</v>
      </c>
      <c r="N263" s="20">
        <v>234.14583333333334</v>
      </c>
      <c r="O263" s="20">
        <v>4.125</v>
      </c>
      <c r="P263" s="20">
        <v>0.16666666666666666</v>
      </c>
      <c r="Q263" s="20">
        <v>19.070833333333329</v>
      </c>
      <c r="R263" s="10">
        <v>0.99364804801400775</v>
      </c>
      <c r="S263" s="21">
        <v>0.22702083333333348</v>
      </c>
      <c r="T263" s="21">
        <v>0.3125416666666665</v>
      </c>
      <c r="U263" s="21">
        <v>0.39572916666666669</v>
      </c>
      <c r="V263" s="21">
        <v>0.40129166666666699</v>
      </c>
      <c r="W263" s="21">
        <v>0.40854166666666664</v>
      </c>
      <c r="X263" s="21">
        <v>0.3168958333333336</v>
      </c>
      <c r="Y263" s="21">
        <v>0.31268749999999995</v>
      </c>
      <c r="Z263" s="21">
        <v>0.27366666666666678</v>
      </c>
      <c r="AA263" s="21">
        <v>0.12934782608695655</v>
      </c>
      <c r="AB263" s="24">
        <f>AVERAGE(S263,W263)</f>
        <v>0.31778125000000007</v>
      </c>
      <c r="AC263" s="24">
        <f>AVERAGE(T263:V263,X263:Z263)</f>
        <v>0.33546875000000015</v>
      </c>
      <c r="AD263" s="24">
        <f t="shared" si="6"/>
        <v>0.33225284090909102</v>
      </c>
    </row>
    <row r="264" spans="1:30">
      <c r="A264" s="9">
        <v>44454</v>
      </c>
      <c r="B264" s="3">
        <v>216.09848893075173</v>
      </c>
      <c r="C264" s="3">
        <v>386.35030531082811</v>
      </c>
      <c r="D264" s="3">
        <v>355.13099373629245</v>
      </c>
      <c r="E264" s="3">
        <v>430.16521026614356</v>
      </c>
      <c r="F264" s="2">
        <v>310.98821121487128</v>
      </c>
      <c r="G264" s="3">
        <f>(B264-$B$2)/$B$1</f>
        <v>0.23620134719801911</v>
      </c>
      <c r="H264" s="3">
        <f>((C264-$C$2)/$C$1+(D264-$D$2)/$D$1+(E264-$E$2)/$E$1+(F264-$F$2)/$F$1)/4</f>
        <v>0.44077177162562187</v>
      </c>
      <c r="I264" s="19">
        <v>44454</v>
      </c>
      <c r="J264" s="20">
        <v>191.77083333333334</v>
      </c>
      <c r="K264" s="20">
        <v>80.643749999999983</v>
      </c>
      <c r="L264" s="20">
        <v>22.602083333333336</v>
      </c>
      <c r="M264" s="20">
        <v>0</v>
      </c>
      <c r="N264" s="20">
        <v>230.72916666666666</v>
      </c>
      <c r="O264" s="20">
        <v>7.541666666666667</v>
      </c>
      <c r="P264" s="20">
        <v>0.66666666666666663</v>
      </c>
      <c r="Q264" s="20">
        <v>18.945833333333329</v>
      </c>
      <c r="R264" s="10">
        <v>0.59185390682457051</v>
      </c>
      <c r="S264" s="21">
        <v>0.37529166666666658</v>
      </c>
      <c r="T264" s="21">
        <v>0.50600000000000012</v>
      </c>
      <c r="U264" s="21">
        <v>0.56356249999999986</v>
      </c>
      <c r="V264" s="21">
        <v>0.5811041666666662</v>
      </c>
      <c r="W264" s="21">
        <v>0.46639583333333318</v>
      </c>
      <c r="X264" s="21">
        <v>0.37016666666666653</v>
      </c>
      <c r="Y264" s="21">
        <v>0.34231249999999985</v>
      </c>
      <c r="Z264" s="21">
        <v>0.29529166666666667</v>
      </c>
      <c r="AA264" s="21">
        <v>0.25600000000000006</v>
      </c>
      <c r="AB264" s="24">
        <f>AVERAGE(S264,W264)</f>
        <v>0.42084374999999985</v>
      </c>
      <c r="AC264" s="24">
        <f>AVERAGE(T264:V264,X264:Z264)</f>
        <v>0.44307291666666648</v>
      </c>
      <c r="AD264" s="24">
        <f t="shared" si="6"/>
        <v>0.43903124999999982</v>
      </c>
    </row>
    <row r="265" spans="1:30">
      <c r="A265" s="9">
        <v>44459</v>
      </c>
      <c r="B265" s="3">
        <v>247.91505161062182</v>
      </c>
      <c r="C265" s="3">
        <v>552.15194849293755</v>
      </c>
      <c r="D265" s="3">
        <v>424.39883929703115</v>
      </c>
      <c r="E265" s="3">
        <v>556.12741540546494</v>
      </c>
      <c r="F265" s="2">
        <v>371.64606357241018</v>
      </c>
      <c r="G265" s="3">
        <f>(B265-$B$2)/$B$1</f>
        <v>0.2718801701654614</v>
      </c>
      <c r="H265" s="3">
        <f>((C265-$C$2)/$C$1+(D265-$D$2)/$D$1+(E265-$E$2)/$E$1+(F265-$F$2)/$F$1)/4</f>
        <v>0.56901714646898116</v>
      </c>
      <c r="I265" s="19">
        <v>44459</v>
      </c>
      <c r="J265" s="20">
        <v>264</v>
      </c>
      <c r="K265" s="20">
        <v>75.420833333333334</v>
      </c>
      <c r="L265" s="20">
        <v>20.418750000000003</v>
      </c>
      <c r="M265" s="20">
        <v>0</v>
      </c>
      <c r="N265" s="20">
        <v>292.375</v>
      </c>
      <c r="O265" s="20">
        <v>2.8958333333333335</v>
      </c>
      <c r="P265" s="20">
        <v>0.125</v>
      </c>
      <c r="Q265" s="20">
        <v>15.089583333333337</v>
      </c>
      <c r="R265" s="10">
        <v>0.80904150398719299</v>
      </c>
      <c r="S265" s="21">
        <v>0.40510416666666682</v>
      </c>
      <c r="T265" s="21">
        <v>0.52366666666666684</v>
      </c>
      <c r="U265" s="21">
        <v>0.57770833333333349</v>
      </c>
      <c r="V265" s="21">
        <v>0.59475</v>
      </c>
      <c r="W265" s="21">
        <v>0.48677083333333365</v>
      </c>
      <c r="X265" s="21">
        <v>0.39660416666666681</v>
      </c>
      <c r="Y265" s="21">
        <v>0.38627083333333356</v>
      </c>
      <c r="Z265" s="21">
        <v>0.37791666666666668</v>
      </c>
      <c r="AA265" s="21">
        <v>0.28123529411764703</v>
      </c>
      <c r="AB265" s="24">
        <f>AVERAGE(S265,W265)</f>
        <v>0.44593750000000021</v>
      </c>
      <c r="AC265" s="24">
        <f>AVERAGE(T265:V265,X265:Z265)</f>
        <v>0.47615277777777787</v>
      </c>
      <c r="AD265" s="24">
        <f t="shared" ref="AD265:AD299" si="7">(AB265*10+AC265*45)/55</f>
        <v>0.47065909090909097</v>
      </c>
    </row>
    <row r="266" spans="1:30">
      <c r="A266" s="9">
        <v>44460</v>
      </c>
      <c r="B266" s="3">
        <v>326.53359140477733</v>
      </c>
      <c r="C266" s="3">
        <v>625.79778567076369</v>
      </c>
      <c r="D266" s="3">
        <v>520.22455207852147</v>
      </c>
      <c r="E266" s="3">
        <v>582.81362359271543</v>
      </c>
      <c r="F266" s="2">
        <v>455.56064025516127</v>
      </c>
      <c r="G266" s="3">
        <f>(B266-$B$2)/$B$1</f>
        <v>0.36004233248003426</v>
      </c>
      <c r="H266" s="3">
        <f>((C266-$C$2)/$C$1+(D266-$D$2)/$D$1+(E266-$E$2)/$E$1+(F266-$F$2)/$F$1)/4</f>
        <v>0.65714543235992906</v>
      </c>
      <c r="I266" s="19">
        <v>44460</v>
      </c>
      <c r="J266" s="20">
        <v>264.66666666666669</v>
      </c>
      <c r="K266" s="20">
        <v>75.46250000000002</v>
      </c>
      <c r="L266" s="20">
        <v>21.810416666666669</v>
      </c>
      <c r="M266" s="20">
        <v>0</v>
      </c>
      <c r="N266" s="20">
        <v>218.5625</v>
      </c>
      <c r="O266" s="20">
        <v>4.645833333333333</v>
      </c>
      <c r="P266" s="20">
        <v>0.5</v>
      </c>
      <c r="Q266" s="20">
        <v>16.860416666666669</v>
      </c>
      <c r="R266" s="10">
        <v>0.78409174008427251</v>
      </c>
      <c r="S266" s="21">
        <v>0.38256249999999997</v>
      </c>
      <c r="T266" s="21">
        <v>0.50812500000000027</v>
      </c>
      <c r="U266" s="21">
        <v>0.56447916666666664</v>
      </c>
      <c r="V266" s="21">
        <v>0.58683333333333298</v>
      </c>
      <c r="W266" s="21">
        <v>0.48297916666666713</v>
      </c>
      <c r="X266" s="21">
        <v>0.38950000000000012</v>
      </c>
      <c r="Y266" s="21">
        <v>0.39195833333333324</v>
      </c>
      <c r="Z266" s="21">
        <v>0.3719375000000002</v>
      </c>
      <c r="AA266" s="21">
        <v>0.26496296296296296</v>
      </c>
      <c r="AB266" s="24">
        <f>AVERAGE(S266,W266)</f>
        <v>0.43277083333333355</v>
      </c>
      <c r="AC266" s="24">
        <f>AVERAGE(T266:V266,X266:Z266)</f>
        <v>0.46880555555555548</v>
      </c>
      <c r="AD266" s="24">
        <f t="shared" si="7"/>
        <v>0.46225378787878785</v>
      </c>
    </row>
    <row r="267" spans="1:30">
      <c r="A267" s="9">
        <v>44461</v>
      </c>
      <c r="B267" s="3">
        <v>332.58733549052033</v>
      </c>
      <c r="C267" s="3">
        <v>577.61141055161988</v>
      </c>
      <c r="D267" s="3">
        <v>467.08782576347795</v>
      </c>
      <c r="E267" s="3">
        <v>405.169537923929</v>
      </c>
      <c r="F267" s="2">
        <v>409.02880902107768</v>
      </c>
      <c r="G267" s="3">
        <f>(B267-$B$2)/$B$1</f>
        <v>0.36683094964458046</v>
      </c>
      <c r="H267" s="3">
        <f>((C267-$C$2)/$C$1+(D267-$D$2)/$D$1+(E267-$E$2)/$E$1+(F267-$F$2)/$F$1)/4</f>
        <v>0.55518117171432535</v>
      </c>
      <c r="I267" s="19">
        <v>44461</v>
      </c>
      <c r="J267" s="20">
        <v>210.52083333333334</v>
      </c>
      <c r="K267" s="20">
        <v>76.30625000000002</v>
      </c>
      <c r="L267" s="20">
        <v>22.581250000000008</v>
      </c>
      <c r="M267" s="20">
        <v>0</v>
      </c>
      <c r="N267" s="20">
        <v>218.64583333333334</v>
      </c>
      <c r="O267" s="20">
        <v>9.9583333333333339</v>
      </c>
      <c r="P267" s="20">
        <v>1.4791666666666667</v>
      </c>
      <c r="Q267" s="20">
        <v>18.016666666666666</v>
      </c>
      <c r="R267" s="10">
        <v>0.71647136452995452</v>
      </c>
      <c r="S267" s="21">
        <v>0.35681249999999992</v>
      </c>
      <c r="T267" s="21">
        <v>0.49254166666666693</v>
      </c>
      <c r="U267" s="21">
        <v>0.54929166666666662</v>
      </c>
      <c r="V267" s="21">
        <v>0.57772916666666652</v>
      </c>
      <c r="W267" s="21">
        <v>0.47510416666666666</v>
      </c>
      <c r="X267" s="21">
        <v>0.38089583333333343</v>
      </c>
      <c r="Y267" s="21">
        <v>0.39141666666666652</v>
      </c>
      <c r="Z267" s="21">
        <v>0.36339583333333342</v>
      </c>
      <c r="AA267" s="21">
        <v>0.22927272727272729</v>
      </c>
      <c r="AB267" s="24">
        <f>AVERAGE(S267,W267)</f>
        <v>0.41595833333333332</v>
      </c>
      <c r="AC267" s="24">
        <f>AVERAGE(T267:V267,X267:Z267)</f>
        <v>0.45921180555555557</v>
      </c>
      <c r="AD267" s="24">
        <f t="shared" si="7"/>
        <v>0.4513475378787879</v>
      </c>
    </row>
    <row r="268" spans="1:30">
      <c r="A268" s="9">
        <v>44462</v>
      </c>
      <c r="B268" s="3">
        <v>304.02194888961333</v>
      </c>
      <c r="C268" s="3">
        <v>552.75540053879001</v>
      </c>
      <c r="D268" s="3">
        <v>426.14530131925687</v>
      </c>
      <c r="E268" s="3">
        <v>322.48673145509457</v>
      </c>
      <c r="F268" s="2">
        <v>373.17544036527323</v>
      </c>
      <c r="G268" s="3">
        <f>(B268-$B$2)/$B$1</f>
        <v>0.33479796789903415</v>
      </c>
      <c r="H268" s="3">
        <f>((C268-$C$2)/$C$1+(D268-$D$2)/$D$1+(E268-$E$2)/$E$1+(F268-$F$2)/$F$1)/4</f>
        <v>0.49700049703663618</v>
      </c>
      <c r="I268" s="19">
        <v>44462</v>
      </c>
      <c r="J268" s="20">
        <v>171.27083333333334</v>
      </c>
      <c r="K268" s="20">
        <v>77.683333333333323</v>
      </c>
      <c r="L268" s="20">
        <v>22.022916666666664</v>
      </c>
      <c r="M268" s="20">
        <v>0</v>
      </c>
      <c r="N268" s="20">
        <v>229.14583333333334</v>
      </c>
      <c r="O268" s="20">
        <v>9.9375</v>
      </c>
      <c r="P268" s="20">
        <v>0.91666666666666663</v>
      </c>
      <c r="Q268" s="20">
        <v>17.825000000000006</v>
      </c>
      <c r="R268" s="10">
        <v>0.63005966000585178</v>
      </c>
      <c r="S268" s="21">
        <v>0.329625</v>
      </c>
      <c r="T268" s="21">
        <v>0.47379166666666667</v>
      </c>
      <c r="U268" s="21">
        <v>0.53208333333333313</v>
      </c>
      <c r="V268" s="21">
        <v>0.56518749999999984</v>
      </c>
      <c r="W268" s="21">
        <v>0.46470833333333306</v>
      </c>
      <c r="X268" s="21">
        <v>0.37172916666666672</v>
      </c>
      <c r="Y268" s="21">
        <v>0.38783333333333342</v>
      </c>
      <c r="Z268" s="21">
        <v>0.35499999999999993</v>
      </c>
      <c r="AA268" s="21">
        <v>0.20795454545454548</v>
      </c>
      <c r="AB268" s="24">
        <f>AVERAGE(S268,W268)</f>
        <v>0.39716666666666656</v>
      </c>
      <c r="AC268" s="24">
        <f>AVERAGE(T268:V268,X268:Z268)</f>
        <v>0.44760416666666658</v>
      </c>
      <c r="AD268" s="24">
        <f t="shared" si="7"/>
        <v>0.43843371212121207</v>
      </c>
    </row>
    <row r="269" spans="1:30">
      <c r="A269" s="9">
        <v>44463</v>
      </c>
      <c r="B269" s="3">
        <v>329.66572130047518</v>
      </c>
      <c r="C269" s="3">
        <v>611.44005995064992</v>
      </c>
      <c r="D269" s="3">
        <v>450.14808614344065</v>
      </c>
      <c r="E269" s="3">
        <v>413.93918358434388</v>
      </c>
      <c r="F269" s="2">
        <v>394.19467903581102</v>
      </c>
      <c r="G269" s="3">
        <f>(B269-$B$2)/$B$1</f>
        <v>0.36355467632383803</v>
      </c>
      <c r="H269" s="3">
        <f>((C269-$C$2)/$C$1+(D269-$D$2)/$D$1+(E269-$E$2)/$E$1+(F269-$F$2)/$F$1)/4</f>
        <v>0.5567707982546134</v>
      </c>
      <c r="I269" s="19">
        <v>44463</v>
      </c>
      <c r="J269" s="20">
        <v>180.83333333333334</v>
      </c>
      <c r="K269" s="20">
        <v>77.181249999999991</v>
      </c>
      <c r="L269" s="20">
        <v>21.920833333333338</v>
      </c>
      <c r="M269" s="20">
        <v>0.2</v>
      </c>
      <c r="N269" s="20">
        <v>235.79166666666666</v>
      </c>
      <c r="O269" s="20">
        <v>12.541666666666666</v>
      </c>
      <c r="P269" s="20">
        <v>2.3958333333333335</v>
      </c>
      <c r="Q269" s="20">
        <v>17.59791666666667</v>
      </c>
      <c r="R269" s="10">
        <v>0.6463845860666072</v>
      </c>
      <c r="S269" s="21">
        <v>0.30487499999999995</v>
      </c>
      <c r="T269" s="21">
        <v>0.45297916666666665</v>
      </c>
      <c r="U269" s="21">
        <v>0.5122916666666667</v>
      </c>
      <c r="V269" s="21">
        <v>0.54920833333333341</v>
      </c>
      <c r="W269" s="21">
        <v>0.45558333333333362</v>
      </c>
      <c r="X269" s="21">
        <v>0.36349999999999999</v>
      </c>
      <c r="Y269" s="21">
        <v>0.38245833333333329</v>
      </c>
      <c r="Z269" s="21">
        <v>0.34706250000000005</v>
      </c>
      <c r="AA269" s="21">
        <v>0.19619999999999999</v>
      </c>
      <c r="AB269" s="24">
        <f>AVERAGE(S269,W269)</f>
        <v>0.38022916666666678</v>
      </c>
      <c r="AC269" s="24">
        <f>AVERAGE(T269:V269,X269:Z269)</f>
        <v>0.43458333333333332</v>
      </c>
      <c r="AD269" s="24">
        <f t="shared" si="7"/>
        <v>0.42470075757575759</v>
      </c>
    </row>
    <row r="270" spans="1:30">
      <c r="A270" s="9">
        <v>44464</v>
      </c>
      <c r="B270" s="3">
        <v>334.06144111421969</v>
      </c>
      <c r="C270" s="3">
        <v>623.23491936093319</v>
      </c>
      <c r="D270" s="3">
        <v>452.38741209469441</v>
      </c>
      <c r="E270" s="3">
        <v>481.32465789978778</v>
      </c>
      <c r="F270" s="2">
        <v>396.15565677132389</v>
      </c>
      <c r="G270" s="3">
        <f>(B270-$B$2)/$B$1</f>
        <v>0.36848399916198027</v>
      </c>
      <c r="H270" s="3">
        <f>((C270-$C$2)/$C$1+(D270-$D$2)/$D$1+(E270-$E$2)/$E$1+(F270-$F$2)/$F$1)/4</f>
        <v>0.58254816783597529</v>
      </c>
      <c r="I270" s="19">
        <v>44464</v>
      </c>
      <c r="J270" s="20">
        <v>198.91666666666666</v>
      </c>
      <c r="K270" s="20">
        <v>76.052083333333343</v>
      </c>
      <c r="L270" s="20">
        <v>22.322916666666668</v>
      </c>
      <c r="M270" s="20">
        <v>0</v>
      </c>
      <c r="N270" s="20">
        <v>236.75</v>
      </c>
      <c r="O270" s="20">
        <v>11.916666666666666</v>
      </c>
      <c r="P270" s="20">
        <v>1.75</v>
      </c>
      <c r="Q270" s="20">
        <v>17.768750000000001</v>
      </c>
      <c r="R270" s="10">
        <v>0.69565695176932918</v>
      </c>
      <c r="S270" s="21">
        <v>0.28306250000000005</v>
      </c>
      <c r="T270" s="21">
        <v>0.43002083333333346</v>
      </c>
      <c r="U270" s="21">
        <v>0.49062500000000031</v>
      </c>
      <c r="V270" s="21">
        <v>0.52920833333333328</v>
      </c>
      <c r="W270" s="21">
        <v>0.44672916666666662</v>
      </c>
      <c r="X270" s="21">
        <v>0.35520833333333313</v>
      </c>
      <c r="Y270" s="21">
        <v>0.37543749999999987</v>
      </c>
      <c r="Z270" s="21">
        <v>0.33852083333333333</v>
      </c>
      <c r="AA270" s="21">
        <v>0.16666666666666666</v>
      </c>
      <c r="AB270" s="24">
        <f>AVERAGE(S270,W270)</f>
        <v>0.36489583333333331</v>
      </c>
      <c r="AC270" s="24">
        <f>AVERAGE(T270:V270,X270:Z270)</f>
        <v>0.41983680555555564</v>
      </c>
      <c r="AD270" s="24">
        <f t="shared" si="7"/>
        <v>0.40984753787878797</v>
      </c>
    </row>
    <row r="271" spans="1:30">
      <c r="A271" s="9">
        <v>44465</v>
      </c>
      <c r="B271" s="3">
        <v>338.98103921379334</v>
      </c>
      <c r="C271" s="3">
        <v>652.69784871863453</v>
      </c>
      <c r="D271" s="3">
        <v>482.56361634152586</v>
      </c>
      <c r="E271" s="3">
        <v>562.83234296570936</v>
      </c>
      <c r="F271" s="2">
        <v>422.5809588302742</v>
      </c>
      <c r="G271" s="3">
        <f>(B271-$B$2)/$B$1</f>
        <v>0.37400079465719904</v>
      </c>
      <c r="H271" s="3">
        <f>((C271-$C$2)/$C$1+(D271-$D$2)/$D$1+(E271-$E$2)/$E$1+(F271-$F$2)/$F$1)/4</f>
        <v>0.63495686988772948</v>
      </c>
      <c r="I271" s="19">
        <v>44465</v>
      </c>
      <c r="J271" s="20">
        <v>211.20833333333334</v>
      </c>
      <c r="K271" s="20">
        <v>74.212499999999991</v>
      </c>
      <c r="L271" s="20">
        <v>22.545833333333334</v>
      </c>
      <c r="M271" s="20">
        <v>0</v>
      </c>
      <c r="N271" s="20">
        <v>235.3125</v>
      </c>
      <c r="O271" s="20">
        <v>9.875</v>
      </c>
      <c r="P271" s="20">
        <v>1.2083333333333333</v>
      </c>
      <c r="Q271" s="20">
        <v>17.543749999999996</v>
      </c>
      <c r="R271" s="10">
        <v>0.7684428053186676</v>
      </c>
      <c r="S271" s="21">
        <v>0.26722916666666657</v>
      </c>
      <c r="T271" s="21">
        <v>0.40620833333333328</v>
      </c>
      <c r="U271" s="21">
        <v>0.47122916666666642</v>
      </c>
      <c r="V271" s="21">
        <v>0.50693749999999993</v>
      </c>
      <c r="W271" s="21">
        <v>0.43895833333333362</v>
      </c>
      <c r="X271" s="21">
        <v>0.34831250000000008</v>
      </c>
      <c r="Y271" s="21">
        <v>0.36810416666666684</v>
      </c>
      <c r="Z271" s="21">
        <v>0.32941666666666669</v>
      </c>
      <c r="AA271" s="21">
        <v>0.15049999999999997</v>
      </c>
      <c r="AB271" s="24">
        <f>AVERAGE(S271,W271)</f>
        <v>0.3530937500000001</v>
      </c>
      <c r="AC271" s="24">
        <f>AVERAGE(T271:V271,X271:Z271)</f>
        <v>0.40503472222222214</v>
      </c>
      <c r="AD271" s="24">
        <f t="shared" si="7"/>
        <v>0.39559090909090905</v>
      </c>
    </row>
    <row r="272" spans="1:30">
      <c r="A272" s="9">
        <v>44466</v>
      </c>
      <c r="B272" s="3">
        <v>327.13011178271125</v>
      </c>
      <c r="C272" s="3">
        <v>694.67315534621525</v>
      </c>
      <c r="D272" s="3">
        <v>517.75007837087412</v>
      </c>
      <c r="E272" s="3">
        <v>636.78069087303845</v>
      </c>
      <c r="F272" s="2">
        <v>453.39374362937451</v>
      </c>
      <c r="G272" s="3">
        <f>(B272-$B$2)/$B$1</f>
        <v>0.36071126536178277</v>
      </c>
      <c r="H272" s="3">
        <f>((C272-$C$2)/$C$1+(D272-$D$2)/$D$1+(E272-$E$2)/$E$1+(F272-$F$2)/$F$1)/4</f>
        <v>0.6915577169592747</v>
      </c>
      <c r="I272" s="19">
        <v>44466</v>
      </c>
      <c r="J272" s="20">
        <v>238.10416666666666</v>
      </c>
      <c r="K272" s="20">
        <v>71.781249999999986</v>
      </c>
      <c r="L272" s="20">
        <v>22.822916666666668</v>
      </c>
      <c r="M272" s="20">
        <v>0</v>
      </c>
      <c r="N272" s="20">
        <v>225.79166666666666</v>
      </c>
      <c r="O272" s="20">
        <v>6.354166666666667</v>
      </c>
      <c r="P272" s="20">
        <v>0.72916666666666663</v>
      </c>
      <c r="Q272" s="20">
        <v>17.222916666666663</v>
      </c>
      <c r="R272" s="10">
        <v>0.87158836159411512</v>
      </c>
      <c r="S272" s="21">
        <v>0.25493749999999998</v>
      </c>
      <c r="T272" s="21">
        <v>0.3826458333333333</v>
      </c>
      <c r="U272" s="21">
        <v>0.45287499999999992</v>
      </c>
      <c r="V272" s="21">
        <v>0.48304166666666654</v>
      </c>
      <c r="W272" s="21">
        <v>0.43295833333333333</v>
      </c>
      <c r="X272" s="21">
        <v>0.34164583333333337</v>
      </c>
      <c r="Y272" s="21">
        <v>0.36002083333333329</v>
      </c>
      <c r="Z272" s="21">
        <v>0.31991666666666668</v>
      </c>
      <c r="AA272" s="21">
        <v>0.14405000000000001</v>
      </c>
      <c r="AB272" s="24">
        <f>AVERAGE(S272,W272)</f>
        <v>0.34394791666666669</v>
      </c>
      <c r="AC272" s="24">
        <f>AVERAGE(T272:V272,X272:Z272)</f>
        <v>0.39002430555555562</v>
      </c>
      <c r="AD272" s="24">
        <f t="shared" si="7"/>
        <v>0.3816467803030304</v>
      </c>
    </row>
    <row r="273" spans="1:30">
      <c r="A273" s="9">
        <v>44467</v>
      </c>
      <c r="B273" s="3">
        <v>276.13882374362447</v>
      </c>
      <c r="C273" s="3">
        <v>498.95957763087114</v>
      </c>
      <c r="D273" s="3">
        <v>393.69769295478142</v>
      </c>
      <c r="E273" s="3">
        <v>523.54730173269684</v>
      </c>
      <c r="F273" s="2">
        <v>344.76106972050212</v>
      </c>
      <c r="G273" s="3">
        <f>(B273-$B$2)/$B$1</f>
        <v>0.30353006835021851</v>
      </c>
      <c r="H273" s="3">
        <f>((C273-$C$2)/$C$1+(D273-$D$2)/$D$1+(E273-$E$2)/$E$1+(F273-$F$2)/$F$1)/4</f>
        <v>0.52507183561886628</v>
      </c>
      <c r="I273" s="19">
        <v>44467</v>
      </c>
      <c r="J273" s="20">
        <v>219.22916666666666</v>
      </c>
      <c r="K273" s="20">
        <v>76.329166666666666</v>
      </c>
      <c r="L273" s="20">
        <v>22.366666666666671</v>
      </c>
      <c r="M273" s="20">
        <v>1.0999999999999999</v>
      </c>
      <c r="N273" s="20">
        <v>212.9375</v>
      </c>
      <c r="O273" s="20">
        <v>3.9166666666666665</v>
      </c>
      <c r="P273" s="20">
        <v>2.0833333333333332E-2</v>
      </c>
      <c r="Q273" s="20">
        <v>17.672916666666669</v>
      </c>
      <c r="R273" s="10">
        <v>0.76738611977222071</v>
      </c>
      <c r="S273" s="21">
        <v>0.24514583333333362</v>
      </c>
      <c r="T273" s="21">
        <v>0.36277083333333349</v>
      </c>
      <c r="U273" s="21">
        <v>0.43724999999999975</v>
      </c>
      <c r="V273" s="21">
        <v>0.46004166666666668</v>
      </c>
      <c r="W273" s="21">
        <v>0.42585416666666637</v>
      </c>
      <c r="X273" s="21">
        <v>0.33616666666666672</v>
      </c>
      <c r="Y273" s="21">
        <v>0.35235416666666675</v>
      </c>
      <c r="Z273" s="21">
        <v>0.31066666666666648</v>
      </c>
      <c r="AA273" s="21">
        <v>0.13592307692307692</v>
      </c>
      <c r="AB273" s="24">
        <f>AVERAGE(S273,W273)</f>
        <v>0.33550000000000002</v>
      </c>
      <c r="AC273" s="24">
        <f>AVERAGE(T273:V273,X273:Z273)</f>
        <v>0.37654166666666661</v>
      </c>
      <c r="AD273" s="24">
        <f t="shared" si="7"/>
        <v>0.36907954545454541</v>
      </c>
    </row>
    <row r="274" spans="1:30">
      <c r="A274" s="9">
        <v>44468</v>
      </c>
      <c r="B274" s="3">
        <v>214.22998890150163</v>
      </c>
      <c r="C274" s="3">
        <v>654.82564410854548</v>
      </c>
      <c r="D274" s="3">
        <v>453.70452178116579</v>
      </c>
      <c r="E274" s="3">
        <v>574.47665022315368</v>
      </c>
      <c r="F274" s="2">
        <v>397.30904972376692</v>
      </c>
      <c r="G274" s="3">
        <f>(B274-$B$2)/$B$1</f>
        <v>0.23410602714635137</v>
      </c>
      <c r="H274" s="3">
        <f>((C274-$C$2)/$C$1+(D274-$D$2)/$D$1+(E274-$E$2)/$E$1+(F274-$F$2)/$F$1)/4</f>
        <v>0.62130130919810955</v>
      </c>
      <c r="I274" s="19">
        <v>44468</v>
      </c>
      <c r="J274" s="20">
        <v>258.33333333333331</v>
      </c>
      <c r="K274" s="20">
        <v>65.950000000000017</v>
      </c>
      <c r="L274" s="20">
        <v>22.600000000000005</v>
      </c>
      <c r="M274" s="20">
        <v>0.2</v>
      </c>
      <c r="N274" s="20">
        <v>220.83333333333334</v>
      </c>
      <c r="O274" s="20">
        <v>1.0208333333333333</v>
      </c>
      <c r="P274" s="20">
        <v>0</v>
      </c>
      <c r="Q274" s="20">
        <v>14.610416666666666</v>
      </c>
      <c r="R274" s="10">
        <v>1.210576295633232</v>
      </c>
      <c r="S274" s="21">
        <v>0.23912500000000006</v>
      </c>
      <c r="T274" s="21">
        <v>0.34987499999999999</v>
      </c>
      <c r="U274" s="21">
        <v>0.42570833333333341</v>
      </c>
      <c r="V274" s="21">
        <v>0.44304166666666672</v>
      </c>
      <c r="W274" s="21">
        <v>0.42056250000000023</v>
      </c>
      <c r="X274" s="21">
        <v>0.33172916666666674</v>
      </c>
      <c r="Y274" s="21">
        <v>0.34633333333333344</v>
      </c>
      <c r="Z274" s="21">
        <v>0.30368750000000005</v>
      </c>
      <c r="AA274" s="21">
        <v>0.13130000000000003</v>
      </c>
      <c r="AB274" s="24">
        <f>AVERAGE(S274,W274)</f>
        <v>0.32984375000000016</v>
      </c>
      <c r="AC274" s="24">
        <f>AVERAGE(T274:V274,X274:Z274)</f>
        <v>0.36672916666666672</v>
      </c>
      <c r="AD274" s="24">
        <f t="shared" si="7"/>
        <v>0.36002272727272733</v>
      </c>
    </row>
    <row r="275" spans="1:30">
      <c r="A275" s="9">
        <v>44469</v>
      </c>
      <c r="B275" s="3">
        <v>256.73169008191684</v>
      </c>
      <c r="C275" s="3">
        <v>650.06865612050535</v>
      </c>
      <c r="D275" s="3">
        <v>459.57022887614994</v>
      </c>
      <c r="E275" s="3">
        <v>608.74219505163489</v>
      </c>
      <c r="F275" s="2">
        <v>402.44564942684451</v>
      </c>
      <c r="G275" s="3">
        <f>(B275-$B$2)/$B$1</f>
        <v>0.28176707361101488</v>
      </c>
      <c r="H275" s="3">
        <f>((C275-$C$2)/$C$1+(D275-$D$2)/$D$1+(E275-$E$2)/$E$1+(F275-$F$2)/$F$1)/4</f>
        <v>0.63436976244049847</v>
      </c>
      <c r="I275" s="19">
        <v>44469</v>
      </c>
      <c r="J275" s="20">
        <v>245.04166666666666</v>
      </c>
      <c r="K275" s="20">
        <v>65.902083333333351</v>
      </c>
      <c r="L275" s="20">
        <v>22.814583333333331</v>
      </c>
      <c r="M275" s="20">
        <v>0</v>
      </c>
      <c r="N275" s="20">
        <v>227.8125</v>
      </c>
      <c r="O275" s="20">
        <v>3</v>
      </c>
      <c r="P275" s="20">
        <v>0.16666666666666666</v>
      </c>
      <c r="Q275" s="20">
        <v>15.631249999999996</v>
      </c>
      <c r="R275" s="10">
        <v>1.1234496868251027</v>
      </c>
      <c r="S275" s="21">
        <v>0.23414583333333341</v>
      </c>
      <c r="T275" s="21">
        <v>0.33693750000000017</v>
      </c>
      <c r="U275" s="21">
        <v>0.41343749999999996</v>
      </c>
      <c r="V275" s="21">
        <v>0.42610416666666673</v>
      </c>
      <c r="W275" s="21">
        <v>0.41560416666666655</v>
      </c>
      <c r="X275" s="21">
        <v>0.32733333333333337</v>
      </c>
      <c r="Y275" s="21">
        <v>0.3396249999999999</v>
      </c>
      <c r="Z275" s="21">
        <v>0.29612499999999997</v>
      </c>
      <c r="AA275" s="21">
        <v>0.126</v>
      </c>
      <c r="AB275" s="24">
        <f>AVERAGE(S275,W275)</f>
        <v>0.32487499999999997</v>
      </c>
      <c r="AC275" s="24">
        <f>AVERAGE(T275:V275,X275:Z275)</f>
        <v>0.35659374999999999</v>
      </c>
      <c r="AD275" s="24">
        <f t="shared" si="7"/>
        <v>0.35082670454545456</v>
      </c>
    </row>
    <row r="276" spans="1:30">
      <c r="A276" s="9">
        <v>44470</v>
      </c>
      <c r="B276" s="3">
        <v>238.07896083438629</v>
      </c>
      <c r="C276" s="3">
        <v>581.00473185899227</v>
      </c>
      <c r="D276" s="3">
        <v>431.49395267125158</v>
      </c>
      <c r="E276" s="3">
        <v>526.26858401974516</v>
      </c>
      <c r="F276" s="2">
        <v>377.85925435421501</v>
      </c>
      <c r="G276" s="3">
        <f>(B276-$B$2)/$B$1</f>
        <v>0.26085006156988283</v>
      </c>
      <c r="H276" s="3">
        <f>((C276-$C$2)/$C$1+(D276-$D$2)/$D$1+(E276-$E$2)/$E$1+(F276-$F$2)/$F$1)/4</f>
        <v>0.57202248027297964</v>
      </c>
      <c r="I276" s="19">
        <v>44470</v>
      </c>
      <c r="J276" s="20">
        <v>231.60416666666666</v>
      </c>
      <c r="K276" s="20">
        <v>72.654166666666683</v>
      </c>
      <c r="L276" s="20">
        <v>23.333333333333332</v>
      </c>
      <c r="M276" s="20">
        <v>0</v>
      </c>
      <c r="N276" s="20">
        <v>233.64583333333334</v>
      </c>
      <c r="O276" s="20">
        <v>5.166666666666667</v>
      </c>
      <c r="P276" s="20">
        <v>0.52083333333333337</v>
      </c>
      <c r="Q276" s="20">
        <v>17.737500000000001</v>
      </c>
      <c r="R276" s="10">
        <v>0.92083704684426293</v>
      </c>
      <c r="S276" s="21">
        <v>0.23114583333333349</v>
      </c>
      <c r="T276" s="21">
        <v>0.32752083333333321</v>
      </c>
      <c r="U276" s="21">
        <v>0.40604166666666647</v>
      </c>
      <c r="V276" s="21">
        <v>0.41439583333333313</v>
      </c>
      <c r="W276" s="21">
        <v>0.41249999999999987</v>
      </c>
      <c r="X276" s="21">
        <v>0.32452083333333337</v>
      </c>
      <c r="Y276" s="21">
        <v>0.33408333333333334</v>
      </c>
      <c r="Z276" s="21">
        <v>0.29027083333333353</v>
      </c>
      <c r="AA276" s="21">
        <v>0.12252777777777782</v>
      </c>
      <c r="AB276" s="24">
        <f>AVERAGE(S276,W276)</f>
        <v>0.32182291666666668</v>
      </c>
      <c r="AC276" s="24">
        <f>AVERAGE(T276:V276,X276:Z276)</f>
        <v>0.34947222222222218</v>
      </c>
      <c r="AD276" s="24">
        <f t="shared" si="7"/>
        <v>0.34444507575757571</v>
      </c>
    </row>
    <row r="277" spans="1:30">
      <c r="A277" s="9">
        <v>44471</v>
      </c>
      <c r="B277" s="3">
        <v>234.7105671741476</v>
      </c>
      <c r="C277" s="3">
        <v>514.7489642719737</v>
      </c>
      <c r="D277" s="3">
        <v>390.95399654634923</v>
      </c>
      <c r="E277" s="3">
        <v>486.84130773338433</v>
      </c>
      <c r="F277" s="2">
        <v>342.35841477563804</v>
      </c>
      <c r="G277" s="3">
        <f>(B277-$B$2)/$B$1</f>
        <v>0.25707277354862379</v>
      </c>
      <c r="H277" s="3">
        <f>((C277-$C$2)/$C$1+(D277-$D$2)/$D$1+(E277-$E$2)/$E$1+(F277-$F$2)/$F$1)/4</f>
        <v>0.51622111429717921</v>
      </c>
      <c r="I277" s="19">
        <v>44471</v>
      </c>
      <c r="J277" s="20">
        <v>200.41666666666666</v>
      </c>
      <c r="K277" s="20">
        <v>74.218749999999986</v>
      </c>
      <c r="L277" s="20">
        <v>23.633333333333336</v>
      </c>
      <c r="M277" s="20">
        <v>0</v>
      </c>
      <c r="N277" s="20">
        <v>233.79166666666666</v>
      </c>
      <c r="O277" s="20">
        <v>9.1041666666666661</v>
      </c>
      <c r="P277" s="20">
        <v>1.2291666666666667</v>
      </c>
      <c r="Q277" s="20">
        <v>18.547916666666673</v>
      </c>
      <c r="R277" s="10">
        <v>0.82914898722517083</v>
      </c>
      <c r="S277" s="21">
        <v>0.2288958333333333</v>
      </c>
      <c r="T277" s="21">
        <v>0.3204583333333334</v>
      </c>
      <c r="U277" s="21">
        <v>0.40118750000000031</v>
      </c>
      <c r="V277" s="21">
        <v>0.40689583333333307</v>
      </c>
      <c r="W277" s="21">
        <v>0.40945833333333331</v>
      </c>
      <c r="X277" s="21">
        <v>0.32212499999999999</v>
      </c>
      <c r="Y277" s="21">
        <v>0.32933333333333342</v>
      </c>
      <c r="Z277" s="21">
        <v>0.28543749999999984</v>
      </c>
      <c r="AA277" s="21">
        <v>0.12151428571428571</v>
      </c>
      <c r="AB277" s="24">
        <f>AVERAGE(S277,W277)</f>
        <v>0.31917708333333328</v>
      </c>
      <c r="AC277" s="24">
        <f>AVERAGE(T277:V277,X277:Z277)</f>
        <v>0.34423958333333338</v>
      </c>
      <c r="AD277" s="24">
        <f t="shared" si="7"/>
        <v>0.33968276515151519</v>
      </c>
    </row>
    <row r="278" spans="1:30">
      <c r="A278" s="9">
        <v>44472</v>
      </c>
      <c r="B278" s="3">
        <v>245.99119824928121</v>
      </c>
      <c r="C278" s="3">
        <v>450.78997410961534</v>
      </c>
      <c r="D278" s="3">
        <v>309.39401325623089</v>
      </c>
      <c r="E278" s="3">
        <v>435.83039451224846</v>
      </c>
      <c r="F278" s="2">
        <v>270.93633740848139</v>
      </c>
      <c r="G278" s="3">
        <f>(B278-$B$2)/$B$1</f>
        <v>0.26972277735765759</v>
      </c>
      <c r="H278" s="3">
        <f>((C278-$C$2)/$C$1+(D278-$D$2)/$D$1+(E278-$E$2)/$E$1+(F278-$F$2)/$F$1)/4</f>
        <v>0.43198625777626593</v>
      </c>
      <c r="I278" s="19">
        <v>44472</v>
      </c>
      <c r="J278" s="20">
        <v>169.8125</v>
      </c>
      <c r="K278" s="20">
        <v>75.635416666666671</v>
      </c>
      <c r="L278" s="20">
        <v>22.258333333333336</v>
      </c>
      <c r="M278" s="20">
        <v>0</v>
      </c>
      <c r="N278" s="20">
        <v>229.97916666666666</v>
      </c>
      <c r="O278" s="20">
        <v>16.604166666666668</v>
      </c>
      <c r="P278" s="20">
        <v>4.4375</v>
      </c>
      <c r="Q278" s="20">
        <v>17.65208333333333</v>
      </c>
      <c r="R278" s="10">
        <v>0.69231985283720154</v>
      </c>
      <c r="S278" s="21">
        <v>0.22643750000000018</v>
      </c>
      <c r="T278" s="21">
        <v>0.31454166666666672</v>
      </c>
      <c r="U278" s="21">
        <v>0.39716666666666667</v>
      </c>
      <c r="V278" s="21">
        <v>0.40177083333333347</v>
      </c>
      <c r="W278" s="21">
        <v>0.40518750000000009</v>
      </c>
      <c r="X278" s="21">
        <v>0.31906249999999997</v>
      </c>
      <c r="Y278" s="21">
        <v>0.32441666666666641</v>
      </c>
      <c r="Z278" s="21">
        <v>0.28185416666666657</v>
      </c>
      <c r="AA278" s="21">
        <v>0.11811111111111111</v>
      </c>
      <c r="AB278" s="24">
        <f>AVERAGE(S278,W278)</f>
        <v>0.31581250000000016</v>
      </c>
      <c r="AC278" s="24">
        <f>AVERAGE(T278:V278,X278:Z278)</f>
        <v>0.33980208333333328</v>
      </c>
      <c r="AD278" s="24">
        <f t="shared" si="7"/>
        <v>0.33544034090909092</v>
      </c>
    </row>
    <row r="279" spans="1:30">
      <c r="A279" s="9">
        <v>44473</v>
      </c>
      <c r="B279" s="3">
        <v>189.8232244803234</v>
      </c>
      <c r="C279" s="3">
        <v>398.07148512104646</v>
      </c>
      <c r="D279" s="3">
        <v>256.11772274585581</v>
      </c>
      <c r="E279" s="3">
        <v>381.61237981159644</v>
      </c>
      <c r="F279" s="2">
        <v>224.28228980854595</v>
      </c>
      <c r="G279" s="3">
        <f>(B279-$B$2)/$B$1</f>
        <v>0.20673648896735028</v>
      </c>
      <c r="H279" s="3">
        <f>((C279-$C$2)/$C$1+(D279-$D$2)/$D$1+(E279-$E$2)/$E$1+(F279-$F$2)/$F$1)/4</f>
        <v>0.36738827498261906</v>
      </c>
      <c r="I279" s="19">
        <v>44473</v>
      </c>
      <c r="J279" s="20">
        <v>132.0625</v>
      </c>
      <c r="K279" s="20">
        <v>76.312499999999986</v>
      </c>
      <c r="L279" s="20">
        <v>21.881249999999998</v>
      </c>
      <c r="M279" s="20">
        <v>0</v>
      </c>
      <c r="N279" s="20">
        <v>231.77083333333334</v>
      </c>
      <c r="O279" s="20">
        <v>16.5</v>
      </c>
      <c r="P279" s="20">
        <v>3.6875</v>
      </c>
      <c r="Q279" s="20">
        <v>17.477083333333333</v>
      </c>
      <c r="R279" s="10">
        <v>0.6406294546545942</v>
      </c>
      <c r="S279" s="21">
        <v>0.22441666666666671</v>
      </c>
      <c r="T279" s="21">
        <v>0.31016666666666637</v>
      </c>
      <c r="U279" s="21">
        <v>0.39408333333333351</v>
      </c>
      <c r="V279" s="21">
        <v>0.39816666666666661</v>
      </c>
      <c r="W279" s="21">
        <v>0.40114583333333326</v>
      </c>
      <c r="X279" s="21">
        <v>0.31624999999999998</v>
      </c>
      <c r="Y279" s="21">
        <v>0.31979166666666664</v>
      </c>
      <c r="Z279" s="21">
        <v>0.27868749999999981</v>
      </c>
      <c r="AA279" s="25" t="e">
        <f>#REF!*0.5711-0.0033</f>
        <v>#REF!</v>
      </c>
      <c r="AB279" s="24">
        <f>AVERAGE(S279,W279)</f>
        <v>0.31278125000000001</v>
      </c>
      <c r="AC279" s="24">
        <f>AVERAGE(T279:V279,X279:Z279)</f>
        <v>0.33619097222222211</v>
      </c>
      <c r="AD279" s="24">
        <f t="shared" si="7"/>
        <v>0.33193465909090897</v>
      </c>
    </row>
    <row r="280" spans="1:30">
      <c r="A280" s="9">
        <v>44474</v>
      </c>
      <c r="B280" s="3">
        <v>217.26743235015996</v>
      </c>
      <c r="C280" s="3">
        <v>518.42681706324959</v>
      </c>
      <c r="D280" s="3">
        <v>417.20095831854201</v>
      </c>
      <c r="E280" s="3">
        <v>377.0188380253831</v>
      </c>
      <c r="F280" s="2">
        <v>365.34287919954727</v>
      </c>
      <c r="G280" s="3">
        <f>(B280-$B$2)/$B$1</f>
        <v>0.23751219041322319</v>
      </c>
      <c r="H280" s="3">
        <f>((C280-$C$2)/$C$1+(D280-$D$2)/$D$1+(E280-$E$2)/$E$1+(F280-$F$2)/$F$1)/4</f>
        <v>0.49907326462998547</v>
      </c>
      <c r="I280" s="19">
        <v>44474</v>
      </c>
      <c r="J280" s="20">
        <v>236.35416666666666</v>
      </c>
      <c r="K280" s="20">
        <v>69.177083333333329</v>
      </c>
      <c r="L280" s="20">
        <v>23.047916666666662</v>
      </c>
      <c r="M280" s="20">
        <v>0</v>
      </c>
      <c r="N280" s="20">
        <v>232.02083333333334</v>
      </c>
      <c r="O280" s="20">
        <v>14.020833333333334</v>
      </c>
      <c r="P280" s="20">
        <v>3</v>
      </c>
      <c r="Q280" s="20">
        <v>16.758333333333329</v>
      </c>
      <c r="R280" s="10">
        <v>0.96966430727233044</v>
      </c>
      <c r="S280" s="21">
        <v>0.22277083333333356</v>
      </c>
      <c r="T280" s="21">
        <v>0.30633333333333324</v>
      </c>
      <c r="U280" s="21">
        <v>0.39085416666666667</v>
      </c>
      <c r="V280" s="21">
        <v>0.39495833333333347</v>
      </c>
      <c r="W280" s="21">
        <v>0.39922916666666647</v>
      </c>
      <c r="X280" s="21">
        <v>0.31383333333333335</v>
      </c>
      <c r="Y280" s="21">
        <v>0.31512500000000021</v>
      </c>
      <c r="Z280" s="21">
        <v>0.2750416666666668</v>
      </c>
      <c r="AA280" s="21">
        <v>0.11327272727272729</v>
      </c>
      <c r="AB280" s="24">
        <f>AVERAGE(S280,W280)</f>
        <v>0.311</v>
      </c>
      <c r="AC280" s="24">
        <f>AVERAGE(T280:V280,X280:Z280)</f>
        <v>0.33269097222222233</v>
      </c>
      <c r="AD280" s="24">
        <f t="shared" si="7"/>
        <v>0.32874715909090918</v>
      </c>
    </row>
    <row r="281" spans="1:30">
      <c r="A281" s="9">
        <v>44475</v>
      </c>
      <c r="B281" s="3">
        <v>138.87062799839478</v>
      </c>
      <c r="C281" s="3">
        <v>396.63173007638676</v>
      </c>
      <c r="D281" s="3">
        <v>311.74648430518727</v>
      </c>
      <c r="E281" s="3">
        <v>305.05883062735899</v>
      </c>
      <c r="F281" s="2">
        <v>272.99639630605247</v>
      </c>
      <c r="G281" s="3">
        <f>(B281-$B$2)/$B$1</f>
        <v>0.1495986803391281</v>
      </c>
      <c r="H281" s="3">
        <f>((C281-$C$2)/$C$1+(D281-$D$2)/$D$1+(E281-$E$2)/$E$1+(F281-$F$2)/$F$1)/4</f>
        <v>0.37747843829754862</v>
      </c>
      <c r="I281" s="19">
        <v>44475</v>
      </c>
      <c r="J281" s="20">
        <v>166</v>
      </c>
      <c r="K281" s="20">
        <v>71.347916666666649</v>
      </c>
      <c r="L281" s="20">
        <v>22.900000000000002</v>
      </c>
      <c r="M281" s="20">
        <v>0</v>
      </c>
      <c r="N281" s="20">
        <v>234.54166666666666</v>
      </c>
      <c r="O281" s="20">
        <v>8.4791666666666661</v>
      </c>
      <c r="P281" s="20">
        <v>1.1875</v>
      </c>
      <c r="Q281" s="20">
        <v>17.272916666666664</v>
      </c>
      <c r="R281" s="10">
        <v>0.85812654559213897</v>
      </c>
      <c r="S281" s="21">
        <v>0.22116666666666665</v>
      </c>
      <c r="T281" s="21">
        <v>0.30354166666666682</v>
      </c>
      <c r="U281" s="21">
        <v>0.38831250000000023</v>
      </c>
      <c r="V281" s="21">
        <v>0.39172916666666674</v>
      </c>
      <c r="W281" s="21">
        <v>0.39664583333333353</v>
      </c>
      <c r="X281" s="21">
        <v>0.31195833333333328</v>
      </c>
      <c r="Y281" s="21">
        <v>0.31127083333333333</v>
      </c>
      <c r="Z281" s="21">
        <v>0.27174999999999994</v>
      </c>
      <c r="AA281" s="21">
        <v>0.1096</v>
      </c>
      <c r="AB281" s="24">
        <f>AVERAGE(S281,W281)</f>
        <v>0.3089062500000001</v>
      </c>
      <c r="AC281" s="24">
        <f>AVERAGE(T281:V281,X281:Z281)</f>
        <v>0.32976041666666672</v>
      </c>
      <c r="AD281" s="24">
        <f t="shared" si="7"/>
        <v>0.32596875000000008</v>
      </c>
    </row>
    <row r="282" spans="1:30">
      <c r="A282" s="9">
        <v>44476</v>
      </c>
      <c r="B282" s="3">
        <v>76.400870045057331</v>
      </c>
      <c r="C282" s="3">
        <v>269.78999636273534</v>
      </c>
      <c r="D282" s="3">
        <v>183.88438450255907</v>
      </c>
      <c r="E282" s="3">
        <v>267.84006274392863</v>
      </c>
      <c r="F282" s="2">
        <v>161.027555508891</v>
      </c>
      <c r="G282" s="3">
        <f>(B282-$B$2)/$B$1</f>
        <v>7.9545624725856037E-2</v>
      </c>
      <c r="H282" s="3">
        <f>((C282-$C$2)/$C$1+(D282-$D$2)/$D$1+(E282-$E$2)/$E$1+(F282-$F$2)/$F$1)/4</f>
        <v>0.251489707561806</v>
      </c>
      <c r="I282" s="19">
        <v>44476</v>
      </c>
      <c r="J282" s="20">
        <v>111.33333333333333</v>
      </c>
      <c r="K282" s="20">
        <v>75.914583333333312</v>
      </c>
      <c r="L282" s="20">
        <v>21.589583333333326</v>
      </c>
      <c r="M282" s="20">
        <v>0</v>
      </c>
      <c r="N282" s="20">
        <v>216</v>
      </c>
      <c r="O282" s="20">
        <v>2.8541666666666665</v>
      </c>
      <c r="P282" s="20">
        <v>8.3333333333333329E-2</v>
      </c>
      <c r="Q282" s="20">
        <v>17.056250000000002</v>
      </c>
      <c r="R282" s="10">
        <v>0.66044896499588523</v>
      </c>
      <c r="S282" s="21">
        <v>0.21968750000000012</v>
      </c>
      <c r="T282" s="21">
        <v>0.30127083333333343</v>
      </c>
      <c r="U282" s="21">
        <v>0.38641666666666646</v>
      </c>
      <c r="V282" s="21">
        <v>0.38979166666666648</v>
      </c>
      <c r="W282" s="21">
        <v>0.39316666666666689</v>
      </c>
      <c r="X282" s="21">
        <v>0.30966666666666631</v>
      </c>
      <c r="Y282" s="21">
        <v>0.30735416666666643</v>
      </c>
      <c r="Z282" s="21">
        <v>0.26958333333333334</v>
      </c>
      <c r="AA282" s="21">
        <v>0.108</v>
      </c>
      <c r="AB282" s="24">
        <f>AVERAGE(S282,W282)</f>
        <v>0.30642708333333352</v>
      </c>
      <c r="AC282" s="24">
        <f>AVERAGE(T282:V282,X282:Z282)</f>
        <v>0.32734722222222207</v>
      </c>
      <c r="AD282" s="24">
        <f t="shared" si="7"/>
        <v>0.32354356060606049</v>
      </c>
    </row>
    <row r="283" spans="1:30">
      <c r="A283" s="9">
        <v>44477</v>
      </c>
      <c r="B283" s="3">
        <v>60.21368426462562</v>
      </c>
      <c r="C283" s="3">
        <v>338.93758896033881</v>
      </c>
      <c r="D283" s="3">
        <v>298.4523386078522</v>
      </c>
      <c r="E283" s="3">
        <v>334.825395324753</v>
      </c>
      <c r="F283" s="2">
        <v>261.35471291889615</v>
      </c>
      <c r="G283" s="3">
        <f>(B283-$B$2)/$B$1</f>
        <v>6.1393452173082966E-2</v>
      </c>
      <c r="H283" s="3">
        <f>((C283-$C$2)/$C$1+(D283-$D$2)/$D$1+(E283-$E$2)/$E$1+(F283-$F$2)/$F$1)/4</f>
        <v>0.36263434139200901</v>
      </c>
      <c r="I283" s="19">
        <v>44477</v>
      </c>
      <c r="J283" s="20">
        <v>208.89583333333334</v>
      </c>
      <c r="K283" s="20">
        <v>73.32083333333334</v>
      </c>
      <c r="L283" s="20">
        <v>19.837499999999999</v>
      </c>
      <c r="M283" s="20">
        <v>0.89999999999999991</v>
      </c>
      <c r="N283" s="20">
        <v>235.58333333333334</v>
      </c>
      <c r="O283" s="20">
        <v>5.520833333333333</v>
      </c>
      <c r="P283" s="20">
        <v>0.1875</v>
      </c>
      <c r="Q283" s="20">
        <v>14.437500000000002</v>
      </c>
      <c r="R283" s="10">
        <v>0.73644561989090762</v>
      </c>
      <c r="S283" s="21">
        <v>0.21816666666666659</v>
      </c>
      <c r="T283" s="21">
        <v>0.2988541666666667</v>
      </c>
      <c r="U283" s="21">
        <v>0.38479166666666681</v>
      </c>
      <c r="V283" s="21">
        <v>0.38806249999999992</v>
      </c>
      <c r="W283" s="21">
        <v>0.39066666666666655</v>
      </c>
      <c r="X283" s="21">
        <v>0.30747916666666647</v>
      </c>
      <c r="Y283" s="21">
        <v>0.30393749999999992</v>
      </c>
      <c r="Z283" s="21">
        <v>0.26779166666666665</v>
      </c>
      <c r="AA283" s="21">
        <v>0.10627777777777779</v>
      </c>
      <c r="AB283" s="24">
        <f>AVERAGE(S283,W283)</f>
        <v>0.30441666666666656</v>
      </c>
      <c r="AC283" s="24">
        <f>AVERAGE(T283:V283,X283:Z283)</f>
        <v>0.32515277777777779</v>
      </c>
      <c r="AD283" s="24">
        <f t="shared" si="7"/>
        <v>0.32138257575757573</v>
      </c>
    </row>
    <row r="284" spans="1:30">
      <c r="A284" s="9">
        <v>44478</v>
      </c>
      <c r="B284" s="3">
        <v>52.773150491237537</v>
      </c>
      <c r="C284" s="3">
        <v>185.12663858039045</v>
      </c>
      <c r="D284" s="3">
        <v>142.66661509251361</v>
      </c>
      <c r="E284" s="3">
        <v>246.58520638197973</v>
      </c>
      <c r="F284" s="2">
        <v>124.93315483651418</v>
      </c>
      <c r="G284" s="3">
        <f>(B284-$B$2)/$B$1</f>
        <v>5.3049700839694978E-2</v>
      </c>
      <c r="H284" s="3">
        <f>((C284-$C$2)/$C$1+(D284-$D$2)/$D$1+(E284-$E$2)/$E$1+(F284-$F$2)/$F$1)/4</f>
        <v>0.19588247621183821</v>
      </c>
      <c r="I284" s="19">
        <v>44478</v>
      </c>
      <c r="J284" s="20">
        <v>107.02083333333333</v>
      </c>
      <c r="K284" s="20">
        <v>81.902083333333323</v>
      </c>
      <c r="L284" s="20">
        <v>18.279166666666665</v>
      </c>
      <c r="M284" s="20">
        <v>1.2</v>
      </c>
      <c r="N284" s="20">
        <v>237.33333333333334</v>
      </c>
      <c r="O284" s="20">
        <v>4.6875</v>
      </c>
      <c r="P284" s="20">
        <v>2.0833333333333332E-2</v>
      </c>
      <c r="Q284" s="20">
        <v>14.954166666666667</v>
      </c>
      <c r="R284" s="10">
        <v>0.43639121965116173</v>
      </c>
      <c r="S284" s="21">
        <v>0.21645833333333322</v>
      </c>
      <c r="T284" s="21">
        <v>0.29627083333333321</v>
      </c>
      <c r="U284" s="21">
        <v>0.3829375000000001</v>
      </c>
      <c r="V284" s="21">
        <v>0.38620833333333349</v>
      </c>
      <c r="W284" s="21">
        <v>0.38627083333333351</v>
      </c>
      <c r="X284" s="21">
        <v>0.30537500000000001</v>
      </c>
      <c r="Y284" s="21">
        <v>0.30100000000000021</v>
      </c>
      <c r="Z284" s="21">
        <v>0.26600000000000018</v>
      </c>
      <c r="AA284" s="21">
        <v>0.10356521739130439</v>
      </c>
      <c r="AB284" s="24">
        <f>AVERAGE(S284,W284)</f>
        <v>0.30136458333333338</v>
      </c>
      <c r="AC284" s="24">
        <f>AVERAGE(T284:V284,X284:Z284)</f>
        <v>0.32296527777777784</v>
      </c>
      <c r="AD284" s="24">
        <f t="shared" si="7"/>
        <v>0.31903787878787887</v>
      </c>
    </row>
    <row r="285" spans="1:30">
      <c r="A285" s="9">
        <v>44481</v>
      </c>
      <c r="B285" s="3">
        <v>22.906496206745505</v>
      </c>
      <c r="C285" s="3">
        <v>94.621949048880253</v>
      </c>
      <c r="D285" s="3">
        <v>74.992321214802615</v>
      </c>
      <c r="E285" s="3">
        <v>227.53264376588106</v>
      </c>
      <c r="F285" s="2">
        <v>65.670775687802646</v>
      </c>
      <c r="G285" s="3">
        <f>(B285-$B$2)/$B$1</f>
        <v>1.9557488573773887E-2</v>
      </c>
      <c r="H285" s="3">
        <f>((C285-$C$2)/$C$1+(D285-$D$2)/$D$1+(E285-$E$2)/$E$1+(F285-$F$2)/$F$1)/4</f>
        <v>0.12294750540580737</v>
      </c>
      <c r="I285" s="19">
        <v>44481</v>
      </c>
      <c r="J285" s="20">
        <v>81.229166666666671</v>
      </c>
      <c r="K285" s="20">
        <v>87.866666666666674</v>
      </c>
      <c r="L285" s="20">
        <v>14.514583333333334</v>
      </c>
      <c r="M285" s="20">
        <v>0.2</v>
      </c>
      <c r="N285" s="20">
        <v>212.35416666666666</v>
      </c>
      <c r="O285" s="20">
        <v>4.25</v>
      </c>
      <c r="P285" s="20">
        <v>4.1666666666666664E-2</v>
      </c>
      <c r="Q285" s="20">
        <v>12.460416666666667</v>
      </c>
      <c r="R285" s="10">
        <v>0.2178841865181016</v>
      </c>
      <c r="S285" s="21">
        <v>0.21647916666666681</v>
      </c>
      <c r="T285" s="21">
        <v>0.29302083333333306</v>
      </c>
      <c r="U285" s="21">
        <v>0.37837500000000007</v>
      </c>
      <c r="V285" s="21">
        <v>0.38647916666666643</v>
      </c>
      <c r="W285" s="21">
        <v>0.41320833333333357</v>
      </c>
      <c r="X285" s="21">
        <v>0.29793750000000002</v>
      </c>
      <c r="Y285" s="21">
        <v>0.29622916666666649</v>
      </c>
      <c r="Z285" s="21">
        <v>0.26299999999999996</v>
      </c>
      <c r="AA285" s="21">
        <v>0.22733333333333336</v>
      </c>
      <c r="AB285" s="24">
        <f>AVERAGE(S285,W285)</f>
        <v>0.3148437500000002</v>
      </c>
      <c r="AC285" s="24">
        <f>AVERAGE(T285:V285,X285:Z285)</f>
        <v>0.31917361111111103</v>
      </c>
      <c r="AD285" s="24">
        <f t="shared" si="7"/>
        <v>0.31838636363636358</v>
      </c>
    </row>
    <row r="286" spans="1:30">
      <c r="A286" s="9">
        <v>44485</v>
      </c>
      <c r="B286" s="3">
        <v>5.4661209556858212</v>
      </c>
      <c r="C286" s="3">
        <v>38.863413187111533</v>
      </c>
      <c r="D286" s="3">
        <v>18.373695912698118</v>
      </c>
      <c r="E286" s="3">
        <v>136.79976491791163</v>
      </c>
      <c r="F286" s="2">
        <v>16.089845510749743</v>
      </c>
      <c r="G286" s="3">
        <f>(B286-$B$2)/$B$1</f>
        <v>0</v>
      </c>
      <c r="H286" s="3">
        <f>((C286-$C$2)/$C$1+(D286-$D$2)/$D$1+(E286-$E$2)/$E$1+(F286-$F$2)/$F$1)/4</f>
        <v>4.3986850944733098E-2</v>
      </c>
      <c r="I286" s="19">
        <v>44485</v>
      </c>
      <c r="J286" s="20">
        <v>43.979166666666664</v>
      </c>
      <c r="K286" s="20">
        <v>84.61666666666666</v>
      </c>
      <c r="L286" s="20">
        <v>11.516666666666667</v>
      </c>
      <c r="M286" s="20">
        <v>0.2</v>
      </c>
      <c r="N286" s="20">
        <v>251.10416666666666</v>
      </c>
      <c r="O286" s="20">
        <v>5.291666666666667</v>
      </c>
      <c r="P286" s="20">
        <v>6.25E-2</v>
      </c>
      <c r="Q286" s="20">
        <v>8.997916666666665</v>
      </c>
      <c r="R286" s="10">
        <v>0.21130365239483226</v>
      </c>
      <c r="S286" s="21">
        <v>0.21674999999999986</v>
      </c>
      <c r="T286" s="21">
        <v>0.28999999999999976</v>
      </c>
      <c r="U286" s="21">
        <v>0.37547916666666664</v>
      </c>
      <c r="V286" s="21">
        <v>0.38458333333333333</v>
      </c>
      <c r="W286" s="21">
        <v>0.39441666666666664</v>
      </c>
      <c r="X286" s="21">
        <v>0.29679166666666662</v>
      </c>
      <c r="Y286" s="21">
        <v>0.29452083333333351</v>
      </c>
      <c r="Z286" s="21">
        <v>0.26110416666666642</v>
      </c>
      <c r="AA286" s="21">
        <v>0.20600000000000002</v>
      </c>
      <c r="AB286" s="24">
        <f>AVERAGE(S286,W286)</f>
        <v>0.30558333333333326</v>
      </c>
      <c r="AC286" s="24">
        <f>AVERAGE(T286:V286,X286:Z286)</f>
        <v>0.31707986111111103</v>
      </c>
      <c r="AD286" s="24">
        <f t="shared" si="7"/>
        <v>0.31498958333333327</v>
      </c>
    </row>
    <row r="287" spans="1:30">
      <c r="A287" s="9">
        <v>44486</v>
      </c>
      <c r="B287" s="3">
        <v>55.651217808190758</v>
      </c>
      <c r="C287" s="3">
        <v>119.83240771995467</v>
      </c>
      <c r="D287" s="3">
        <v>88.100947586810605</v>
      </c>
      <c r="E287" s="3">
        <v>190.42086990005916</v>
      </c>
      <c r="F287" s="2">
        <v>77.149999801770051</v>
      </c>
      <c r="G287" s="3">
        <f>(B287-$B$2)/$B$1</f>
        <v>5.6277141067074522E-2</v>
      </c>
      <c r="H287" s="3">
        <f>((C287-$C$2)/$C$1+(D287-$D$2)/$D$1+(E287-$E$2)/$E$1+(F287-$F$2)/$F$1)/4</f>
        <v>0.12640123029446068</v>
      </c>
      <c r="I287" s="19">
        <v>44486</v>
      </c>
      <c r="J287" s="20">
        <v>88.9375</v>
      </c>
      <c r="K287" s="20">
        <v>83.708333333333329</v>
      </c>
      <c r="L287" s="20">
        <v>11.2875</v>
      </c>
      <c r="M287" s="20">
        <v>0</v>
      </c>
      <c r="N287" s="20">
        <v>241.08333333333334</v>
      </c>
      <c r="O287" s="20">
        <v>4.395833333333333</v>
      </c>
      <c r="P287" s="20">
        <v>0.27083333333333331</v>
      </c>
      <c r="Q287" s="20">
        <v>8.5708333333333311</v>
      </c>
      <c r="R287" s="10">
        <v>0.23138127693421309</v>
      </c>
      <c r="S287" s="21">
        <v>0.21483333333333343</v>
      </c>
      <c r="T287" s="21">
        <v>0.28768750000000032</v>
      </c>
      <c r="U287" s="21">
        <v>0.37293749999999992</v>
      </c>
      <c r="V287" s="21">
        <v>0.38262499999999999</v>
      </c>
      <c r="W287" s="21">
        <v>0.38877083333333345</v>
      </c>
      <c r="X287" s="21">
        <v>0.29514583333333333</v>
      </c>
      <c r="Y287" s="21">
        <v>0.29347916666666629</v>
      </c>
      <c r="Z287" s="21">
        <v>0.26093749999999982</v>
      </c>
      <c r="AA287" s="25" t="e">
        <f>#REF!*0.5711-0.0033</f>
        <v>#REF!</v>
      </c>
      <c r="AB287" s="24">
        <f>AVERAGE(S287,W287)</f>
        <v>0.30180208333333347</v>
      </c>
      <c r="AC287" s="24">
        <f>AVERAGE(T287:V287,X287:Z287)</f>
        <v>0.31546874999999996</v>
      </c>
      <c r="AD287" s="24">
        <f t="shared" si="7"/>
        <v>0.31298390151515154</v>
      </c>
    </row>
    <row r="288" spans="1:30">
      <c r="A288" s="9">
        <v>44487</v>
      </c>
      <c r="B288" s="3">
        <v>157.27652321135076</v>
      </c>
      <c r="C288" s="3">
        <v>244.63913683910755</v>
      </c>
      <c r="D288" s="3">
        <v>215.32221064326066</v>
      </c>
      <c r="E288" s="3">
        <v>255.1796081347444</v>
      </c>
      <c r="F288" s="2">
        <v>188.55765986030337</v>
      </c>
      <c r="G288" s="3">
        <f>(B288-$B$2)/$B$1</f>
        <v>0.17023889479182996</v>
      </c>
      <c r="H288" s="3">
        <f>((C288-$C$2)/$C$1+(D288-$D$2)/$D$1+(E288-$E$2)/$E$1+(F288-$F$2)/$F$1)/4</f>
        <v>0.26006665427083664</v>
      </c>
      <c r="I288" s="19">
        <v>44487</v>
      </c>
      <c r="J288" s="20">
        <v>135.33333333333334</v>
      </c>
      <c r="K288" s="20">
        <v>83.985416666666652</v>
      </c>
      <c r="L288" s="20">
        <v>14.381249999999996</v>
      </c>
      <c r="M288" s="20">
        <v>0</v>
      </c>
      <c r="N288" s="20">
        <v>242.08333333333334</v>
      </c>
      <c r="O288" s="20">
        <v>4.4375</v>
      </c>
      <c r="P288" s="20">
        <v>0.16666666666666666</v>
      </c>
      <c r="Q288" s="20">
        <v>11.514583333333336</v>
      </c>
      <c r="R288" s="10">
        <v>0.33493215851641162</v>
      </c>
      <c r="S288" s="21">
        <v>0.21447916666666667</v>
      </c>
      <c r="T288" s="21">
        <v>0.28658333333333336</v>
      </c>
      <c r="U288" s="21">
        <v>0.37189583333333348</v>
      </c>
      <c r="V288" s="21">
        <v>0.38102083333333331</v>
      </c>
      <c r="W288" s="21">
        <v>0.38664583333333341</v>
      </c>
      <c r="X288" s="21">
        <v>0.29485416666666664</v>
      </c>
      <c r="Y288" s="21">
        <v>0.29277083333333315</v>
      </c>
      <c r="Z288" s="21">
        <v>0.26016666666666655</v>
      </c>
      <c r="AA288" s="21">
        <v>0.17879999999999999</v>
      </c>
      <c r="AB288" s="24">
        <f>AVERAGE(S288,W288)</f>
        <v>0.30056250000000007</v>
      </c>
      <c r="AC288" s="24">
        <f>AVERAGE(T288:V288,X288:Z288)</f>
        <v>0.3145486111111111</v>
      </c>
      <c r="AD288" s="24">
        <f t="shared" si="7"/>
        <v>0.31200568181818183</v>
      </c>
    </row>
    <row r="289" spans="1:30">
      <c r="A289" s="9">
        <v>44488</v>
      </c>
      <c r="B289" s="3">
        <v>37.678938835678331</v>
      </c>
      <c r="C289" s="3">
        <v>117.73186189823973</v>
      </c>
      <c r="D289" s="3">
        <v>77.000198055702228</v>
      </c>
      <c r="E289" s="3">
        <v>187.08176192944083</v>
      </c>
      <c r="F289" s="2">
        <v>67.429073437378449</v>
      </c>
      <c r="G289" s="3">
        <f>(B289-$B$2)/$B$1</f>
        <v>3.6123180180927209E-2</v>
      </c>
      <c r="H289" s="3">
        <f>((C289-$C$2)/$C$1+(D289-$D$2)/$D$1+(E289-$E$2)/$E$1+(F289-$F$2)/$F$1)/4</f>
        <v>0.11789069223144925</v>
      </c>
      <c r="I289" s="19">
        <v>44488</v>
      </c>
      <c r="J289" s="20">
        <v>69.208333333333329</v>
      </c>
      <c r="K289" s="20">
        <v>89.424999999999969</v>
      </c>
      <c r="L289" s="20">
        <v>15.558333333333335</v>
      </c>
      <c r="M289" s="20">
        <v>0.4</v>
      </c>
      <c r="N289" s="20">
        <v>223.52083333333334</v>
      </c>
      <c r="O289" s="20">
        <v>5.395833333333333</v>
      </c>
      <c r="P289" s="20">
        <v>0.35416666666666669</v>
      </c>
      <c r="Q289" s="20">
        <v>13.756250000000003</v>
      </c>
      <c r="R289" s="10">
        <v>0.21910551725581071</v>
      </c>
      <c r="S289" s="21">
        <v>0.21560416666666649</v>
      </c>
      <c r="T289" s="21">
        <v>0.28706250000000028</v>
      </c>
      <c r="U289" s="21">
        <v>0.37299999999999994</v>
      </c>
      <c r="V289" s="21">
        <v>0.38089583333333349</v>
      </c>
      <c r="W289" s="21">
        <v>0.38602083333333326</v>
      </c>
      <c r="X289" s="21">
        <v>0.29633333333333339</v>
      </c>
      <c r="Y289" s="21">
        <v>0.29356249999999989</v>
      </c>
      <c r="Z289" s="21">
        <v>0.25991666666666652</v>
      </c>
      <c r="AA289" s="21">
        <v>0.168625</v>
      </c>
      <c r="AB289" s="24">
        <f>AVERAGE(S289,W289)</f>
        <v>0.30081249999999987</v>
      </c>
      <c r="AC289" s="24">
        <f>AVERAGE(T289:V289,X289:Z289)</f>
        <v>0.31512847222222223</v>
      </c>
      <c r="AD289" s="24">
        <f t="shared" si="7"/>
        <v>0.31252556818181815</v>
      </c>
    </row>
    <row r="290" spans="1:30">
      <c r="A290" s="9">
        <v>44492</v>
      </c>
      <c r="B290" s="3">
        <v>111.60630656579271</v>
      </c>
      <c r="C290" s="3">
        <v>169.16341186814932</v>
      </c>
      <c r="D290" s="3">
        <v>117.56848663600293</v>
      </c>
      <c r="E290" s="3">
        <v>292.45796622323689</v>
      </c>
      <c r="F290" s="2">
        <v>102.95472374714777</v>
      </c>
      <c r="G290" s="3">
        <f>(B290-$B$2)/$B$1</f>
        <v>0.11902470201504273</v>
      </c>
      <c r="H290" s="3">
        <f>((C290-$C$2)/$C$1+(D290-$D$2)/$D$1+(E290-$E$2)/$E$1+(F290-$F$2)/$F$1)/4</f>
        <v>0.19029578650145534</v>
      </c>
      <c r="I290" s="19">
        <v>44492</v>
      </c>
      <c r="J290" s="20">
        <v>116.22916666666667</v>
      </c>
      <c r="K290" s="20">
        <v>78.749999999999986</v>
      </c>
      <c r="L290" s="20">
        <v>11.202083333333334</v>
      </c>
      <c r="M290" s="20">
        <v>0</v>
      </c>
      <c r="N290" s="20">
        <v>242.60416666666666</v>
      </c>
      <c r="O290" s="20">
        <v>1.9791666666666667</v>
      </c>
      <c r="P290" s="20">
        <v>0</v>
      </c>
      <c r="Q290" s="20">
        <v>7.5249999999999977</v>
      </c>
      <c r="R290" s="10">
        <v>0.31381204751249286</v>
      </c>
      <c r="S290" s="21">
        <v>0.21237499999999979</v>
      </c>
      <c r="T290" s="21">
        <v>0.28237499999999988</v>
      </c>
      <c r="U290" s="21">
        <v>0.36706250000000024</v>
      </c>
      <c r="V290" s="21">
        <v>0.37656249999999997</v>
      </c>
      <c r="W290" s="21">
        <v>0.37660416666666668</v>
      </c>
      <c r="X290" s="21">
        <v>0.29122916666666671</v>
      </c>
      <c r="Y290" s="21">
        <v>0.29006249999999961</v>
      </c>
      <c r="Z290" s="21">
        <v>0.2573541666666665</v>
      </c>
      <c r="AA290" s="21">
        <v>0.1998421052631579</v>
      </c>
      <c r="AB290" s="24">
        <f>AVERAGE(S290,W290)</f>
        <v>0.29448958333333325</v>
      </c>
      <c r="AC290" s="24">
        <f>AVERAGE(T290:V290,X290:Z290)</f>
        <v>0.31077430555555546</v>
      </c>
      <c r="AD290" s="24">
        <f t="shared" si="7"/>
        <v>0.30781344696969692</v>
      </c>
    </row>
    <row r="291" spans="1:30">
      <c r="A291" s="9">
        <v>44493</v>
      </c>
      <c r="B291" s="3">
        <v>110.52160916706218</v>
      </c>
      <c r="C291" s="3">
        <v>181.17611178362827</v>
      </c>
      <c r="D291" s="3">
        <v>141.03694839286965</v>
      </c>
      <c r="E291" s="3">
        <v>254.26700405759985</v>
      </c>
      <c r="F291" s="2">
        <v>123.50605570763595</v>
      </c>
      <c r="G291" s="3">
        <f>(B291-$B$2)/$B$1</f>
        <v>0.11780833157138582</v>
      </c>
      <c r="H291" s="3">
        <f>((C291-$C$2)/$C$1+(D291-$D$2)/$D$1+(E291-$E$2)/$E$1+(F291-$F$2)/$F$1)/4</f>
        <v>0.19618972728154602</v>
      </c>
      <c r="I291" s="19">
        <v>44493</v>
      </c>
      <c r="J291" s="20">
        <v>97.729166666666671</v>
      </c>
      <c r="K291" s="20">
        <v>79.88333333333334</v>
      </c>
      <c r="L291" s="20">
        <v>12.193750000000001</v>
      </c>
      <c r="M291" s="20">
        <v>0</v>
      </c>
      <c r="N291" s="20">
        <v>251.08333333333334</v>
      </c>
      <c r="O291" s="20">
        <v>2.2708333333333335</v>
      </c>
      <c r="P291" s="20">
        <v>0</v>
      </c>
      <c r="Q291" s="20">
        <v>8.7145833333333336</v>
      </c>
      <c r="R291" s="10">
        <v>0.3107960999148609</v>
      </c>
      <c r="S291" s="21">
        <v>0.21272916666666644</v>
      </c>
      <c r="T291" s="21">
        <v>0.28260416666666655</v>
      </c>
      <c r="U291" s="21">
        <v>0.36718750000000028</v>
      </c>
      <c r="V291" s="21">
        <v>0.37547916666666664</v>
      </c>
      <c r="W291" s="21">
        <v>0.37760416666666674</v>
      </c>
      <c r="X291" s="21">
        <v>0.29197916666666651</v>
      </c>
      <c r="Y291" s="21">
        <v>0.28999999999999965</v>
      </c>
      <c r="Z291" s="21">
        <v>0.25693749999999987</v>
      </c>
      <c r="AA291" s="21">
        <v>0.1910869565217391</v>
      </c>
      <c r="AB291" s="24">
        <f>AVERAGE(S291,W291)</f>
        <v>0.29516666666666658</v>
      </c>
      <c r="AC291" s="24">
        <f>AVERAGE(T291:V291,X291:Z291)</f>
        <v>0.31069791666666652</v>
      </c>
      <c r="AD291" s="24">
        <f t="shared" si="7"/>
        <v>0.30787405303030291</v>
      </c>
    </row>
    <row r="292" spans="1:30">
      <c r="A292" s="9">
        <v>44494</v>
      </c>
      <c r="B292" s="3">
        <v>48.960310897526988</v>
      </c>
      <c r="C292" s="3">
        <v>74.451930820940291</v>
      </c>
      <c r="D292" s="3">
        <v>31.864201320099241</v>
      </c>
      <c r="E292" s="3">
        <v>155.82326030447123</v>
      </c>
      <c r="F292" s="2">
        <v>27.903481096010907</v>
      </c>
      <c r="G292" s="3">
        <f>(B292-$B$2)/$B$1</f>
        <v>4.8774014926165343E-2</v>
      </c>
      <c r="H292" s="3">
        <f>((C292-$C$2)/$C$1+(D292-$D$2)/$D$1+(E292-$E$2)/$E$1+(F292-$F$2)/$F$1)/4</f>
        <v>6.8146975446862365E-2</v>
      </c>
      <c r="I292" s="19">
        <v>44494</v>
      </c>
      <c r="J292" s="20">
        <v>68.416666666666671</v>
      </c>
      <c r="K292" s="20">
        <v>83.870833333333351</v>
      </c>
      <c r="L292" s="20">
        <v>12.600000000000001</v>
      </c>
      <c r="M292" s="20">
        <v>0</v>
      </c>
      <c r="N292" s="20">
        <v>232.375</v>
      </c>
      <c r="O292" s="20">
        <v>5.5</v>
      </c>
      <c r="P292" s="20">
        <v>0.41666666666666669</v>
      </c>
      <c r="Q292" s="20">
        <v>9.9208333333333325</v>
      </c>
      <c r="R292" s="10">
        <v>0.23897778895482968</v>
      </c>
      <c r="S292" s="21">
        <v>0.21297916666666653</v>
      </c>
      <c r="T292" s="21">
        <v>0.28299999999999986</v>
      </c>
      <c r="U292" s="21">
        <v>0.36795833333333339</v>
      </c>
      <c r="V292" s="21">
        <v>0.375</v>
      </c>
      <c r="W292" s="21">
        <v>0.37758333333333355</v>
      </c>
      <c r="X292" s="21">
        <v>0.29272916666666643</v>
      </c>
      <c r="Y292" s="21">
        <v>0.28999999999999965</v>
      </c>
      <c r="Z292" s="21">
        <v>0.2564583333333334</v>
      </c>
      <c r="AA292" s="25" t="e">
        <f>#REF!*0.5711-0.0033</f>
        <v>#REF!</v>
      </c>
      <c r="AB292" s="24">
        <f>AVERAGE(S292,W292)</f>
        <v>0.29528125000000005</v>
      </c>
      <c r="AC292" s="24">
        <f>AVERAGE(T292:V292,X292:Z292)</f>
        <v>0.31085763888888879</v>
      </c>
      <c r="AD292" s="24">
        <f t="shared" si="7"/>
        <v>0.30802556818181814</v>
      </c>
    </row>
    <row r="293" spans="1:30">
      <c r="A293" s="9">
        <v>44504</v>
      </c>
      <c r="B293" s="3">
        <v>35.683428667736138</v>
      </c>
      <c r="C293" s="3">
        <v>107.98859180954483</v>
      </c>
      <c r="D293" s="3">
        <v>72.254054914935637</v>
      </c>
      <c r="E293" s="3">
        <v>238.60690035866625</v>
      </c>
      <c r="F293" s="2">
        <v>63.272875889009143</v>
      </c>
      <c r="G293" s="3">
        <f>(B293-$B$2)/$B$1</f>
        <v>3.388543203924043E-2</v>
      </c>
      <c r="H293" s="3">
        <f>((C293-$C$2)/$C$1+(D293-$D$2)/$D$1+(E293-$E$2)/$E$1+(F293-$F$2)/$F$1)/4</f>
        <v>0.12841416825931243</v>
      </c>
      <c r="I293" s="19">
        <v>44504</v>
      </c>
      <c r="J293" s="20">
        <v>109.85416666666667</v>
      </c>
      <c r="K293" s="20">
        <v>88.929166666666674</v>
      </c>
      <c r="L293" s="20">
        <v>16.835416666666671</v>
      </c>
      <c r="M293" s="20">
        <v>0.2</v>
      </c>
      <c r="N293" s="20">
        <v>235.0625</v>
      </c>
      <c r="O293" s="20">
        <v>7.416666666666667</v>
      </c>
      <c r="P293" s="20">
        <v>0.72916666666666663</v>
      </c>
      <c r="Q293" s="20">
        <v>14.914583333333331</v>
      </c>
      <c r="R293" s="10">
        <v>0.23679353814954784</v>
      </c>
      <c r="S293" s="21">
        <v>0.22070833333333326</v>
      </c>
      <c r="T293" s="21">
        <v>0.28456249999999988</v>
      </c>
      <c r="U293" s="21">
        <v>0.36764583333333345</v>
      </c>
      <c r="V293" s="21">
        <v>0.37443750000000015</v>
      </c>
      <c r="W293" s="21">
        <v>0.41604166666666687</v>
      </c>
      <c r="X293" s="21">
        <v>0.29424999999999985</v>
      </c>
      <c r="Y293" s="21">
        <v>0.29093750000000013</v>
      </c>
      <c r="Z293" s="21">
        <v>0.25483333333333352</v>
      </c>
      <c r="AA293" s="25" t="e">
        <f>#REF!*0.5711-0.0033</f>
        <v>#REF!</v>
      </c>
      <c r="AB293" s="24">
        <f>AVERAGE(S293,W293)</f>
        <v>0.31837500000000007</v>
      </c>
      <c r="AC293" s="24">
        <f>AVERAGE(T293:V293,X293:Z293)</f>
        <v>0.31111111111111117</v>
      </c>
      <c r="AD293" s="24">
        <f t="shared" si="7"/>
        <v>0.31243181818181825</v>
      </c>
    </row>
    <row r="294" spans="1:30">
      <c r="A294" s="9">
        <v>44505</v>
      </c>
      <c r="B294" s="3">
        <v>148.03916139531324</v>
      </c>
      <c r="C294" s="3">
        <v>243.3813342306189</v>
      </c>
      <c r="D294" s="3">
        <v>218.83366682743141</v>
      </c>
      <c r="E294" s="3">
        <v>292.3247425113704</v>
      </c>
      <c r="F294" s="2">
        <v>191.63264204078169</v>
      </c>
      <c r="G294" s="3">
        <f>(B294-$B$2)/$B$1</f>
        <v>0.15988019576337917</v>
      </c>
      <c r="H294" s="3">
        <f>((C294-$C$2)/$C$1+(D294-$D$2)/$D$1+(E294-$E$2)/$E$1+(F294-$F$2)/$F$1)/4</f>
        <v>0.27354477159505791</v>
      </c>
      <c r="I294" s="19">
        <v>44505</v>
      </c>
      <c r="J294" s="20">
        <v>133.625</v>
      </c>
      <c r="K294" s="20">
        <v>84.252083333333346</v>
      </c>
      <c r="L294" s="20">
        <v>18.462500000000009</v>
      </c>
      <c r="M294" s="20">
        <v>0</v>
      </c>
      <c r="N294" s="20">
        <v>227.375</v>
      </c>
      <c r="O294" s="20">
        <v>5.708333333333333</v>
      </c>
      <c r="P294" s="20">
        <v>0.375</v>
      </c>
      <c r="Q294" s="20">
        <v>15.591666666666661</v>
      </c>
      <c r="R294" s="10">
        <v>0.38168800473613679</v>
      </c>
      <c r="S294" s="21">
        <v>0.22275000000000014</v>
      </c>
      <c r="T294" s="21">
        <v>0.28716666666666685</v>
      </c>
      <c r="U294" s="21">
        <v>0.37037499999999995</v>
      </c>
      <c r="V294" s="21">
        <v>0.37587499999999996</v>
      </c>
      <c r="W294" s="21">
        <v>0.41287500000000027</v>
      </c>
      <c r="X294" s="21">
        <v>0.29716666666666663</v>
      </c>
      <c r="Y294" s="21">
        <v>0.29293749999999991</v>
      </c>
      <c r="Z294" s="21">
        <v>0.25575000000000009</v>
      </c>
      <c r="AA294" s="21">
        <v>0.22550000000000001</v>
      </c>
      <c r="AB294" s="24">
        <f>AVERAGE(S294,W294)</f>
        <v>0.31781250000000022</v>
      </c>
      <c r="AC294" s="24">
        <f>AVERAGE(T294:V294,X294:Z294)</f>
        <v>0.31321180555555556</v>
      </c>
      <c r="AD294" s="24">
        <f t="shared" si="7"/>
        <v>0.31404829545454549</v>
      </c>
    </row>
    <row r="295" spans="1:30">
      <c r="A295" s="9">
        <v>44506</v>
      </c>
      <c r="B295" s="3">
        <v>188.03748814411082</v>
      </c>
      <c r="C295" s="3">
        <v>361.65983377854991</v>
      </c>
      <c r="D295" s="3">
        <v>306.16366419270514</v>
      </c>
      <c r="E295" s="3">
        <v>322.890948554641</v>
      </c>
      <c r="F295" s="2">
        <v>268.10752073355189</v>
      </c>
      <c r="G295" s="3">
        <f>(B295-$B$2)/$B$1</f>
        <v>0.2047339794176129</v>
      </c>
      <c r="H295" s="3">
        <f>((C295-$C$2)/$C$1+(D295-$D$2)/$D$1+(E295-$E$2)/$E$1+(F295-$F$2)/$F$1)/4</f>
        <v>0.36994933929580792</v>
      </c>
      <c r="I295" s="19">
        <v>44506</v>
      </c>
      <c r="J295" s="20">
        <v>172.95833333333334</v>
      </c>
      <c r="K295" s="20">
        <v>78.845833333333346</v>
      </c>
      <c r="L295" s="20">
        <v>18.925000000000001</v>
      </c>
      <c r="M295" s="20">
        <v>0</v>
      </c>
      <c r="N295" s="20">
        <v>221.22916666666666</v>
      </c>
      <c r="O295" s="20">
        <v>4.104166666666667</v>
      </c>
      <c r="P295" s="20">
        <v>0.20833333333333334</v>
      </c>
      <c r="Q295" s="20">
        <v>14.54791666666666</v>
      </c>
      <c r="R295" s="10">
        <v>0.58810271569958228</v>
      </c>
      <c r="S295" s="21">
        <v>0.22377083333333336</v>
      </c>
      <c r="T295" s="21">
        <v>0.28933333333333294</v>
      </c>
      <c r="U295" s="21">
        <v>0.37333333333333324</v>
      </c>
      <c r="V295" s="21">
        <v>0.37785416666666682</v>
      </c>
      <c r="W295" s="21">
        <v>0.4073958333333334</v>
      </c>
      <c r="X295" s="21">
        <v>0.29966666666666669</v>
      </c>
      <c r="Y295" s="21">
        <v>0.29466666666666658</v>
      </c>
      <c r="Z295" s="21">
        <v>0.25747916666666643</v>
      </c>
      <c r="AA295" s="21">
        <v>0.20670588235294124</v>
      </c>
      <c r="AB295" s="24">
        <f>AVERAGE(S295,W295)</f>
        <v>0.31558333333333338</v>
      </c>
      <c r="AC295" s="24">
        <f>AVERAGE(T295:V295,X295:Z295)</f>
        <v>0.31538888888888877</v>
      </c>
      <c r="AD295" s="24">
        <f t="shared" si="7"/>
        <v>0.31542424242424233</v>
      </c>
    </row>
    <row r="296" spans="1:30">
      <c r="A296" s="9">
        <v>44507</v>
      </c>
      <c r="B296" s="3">
        <v>51.253518170664627</v>
      </c>
      <c r="C296" s="3">
        <v>52.425785803164487</v>
      </c>
      <c r="D296" s="3">
        <v>27.419088854320631</v>
      </c>
      <c r="E296" s="3">
        <v>85.534422376733843</v>
      </c>
      <c r="F296" s="2">
        <v>24.010896109728577</v>
      </c>
      <c r="G296" s="3">
        <f>(B296-$B$2)/$B$1</f>
        <v>5.134559807137086E-2</v>
      </c>
      <c r="H296" s="3">
        <f>((C296-$C$2)/$C$1+(D296-$D$2)/$D$1+(E296-$E$2)/$E$1+(F296-$F$2)/$F$1)/4</f>
        <v>3.7265526422901846E-2</v>
      </c>
      <c r="I296" s="19">
        <v>44507</v>
      </c>
      <c r="J296" s="20">
        <v>76.333333333333329</v>
      </c>
      <c r="K296" s="20">
        <v>77.989583333333357</v>
      </c>
      <c r="L296" s="20">
        <v>10.543749999999999</v>
      </c>
      <c r="M296" s="20">
        <v>0</v>
      </c>
      <c r="N296" s="20">
        <v>248.125</v>
      </c>
      <c r="O296" s="20">
        <v>7.375</v>
      </c>
      <c r="P296" s="20">
        <v>0.20833333333333334</v>
      </c>
      <c r="Q296" s="20">
        <v>6.8104166666666694</v>
      </c>
      <c r="R296" s="10">
        <v>0.2683729990951122</v>
      </c>
      <c r="S296" s="21">
        <v>0.22204166666666669</v>
      </c>
      <c r="T296" s="21">
        <v>0.28964583333333316</v>
      </c>
      <c r="U296" s="21">
        <v>0.3746458333333334</v>
      </c>
      <c r="V296" s="21">
        <v>0.37962500000000016</v>
      </c>
      <c r="W296" s="21">
        <v>0.39733333333333337</v>
      </c>
      <c r="X296" s="21">
        <v>0.30097916666666685</v>
      </c>
      <c r="Y296" s="21">
        <v>0.2959374999999998</v>
      </c>
      <c r="Z296" s="21">
        <v>0.25839583333333344</v>
      </c>
      <c r="AA296" s="21">
        <v>0.19648936170212769</v>
      </c>
      <c r="AB296" s="24">
        <f>AVERAGE(S296,W296)</f>
        <v>0.3096875</v>
      </c>
      <c r="AC296" s="24">
        <f>AVERAGE(T296:V296,X296:Z296)</f>
        <v>0.31653819444444442</v>
      </c>
      <c r="AD296" s="24">
        <f t="shared" si="7"/>
        <v>0.31529261363636363</v>
      </c>
    </row>
    <row r="297" spans="1:30">
      <c r="A297" s="9">
        <v>44508</v>
      </c>
      <c r="B297" s="3">
        <v>174.46731023508525</v>
      </c>
      <c r="C297" s="3">
        <v>219.83037782877184</v>
      </c>
      <c r="D297" s="3">
        <v>127.25836711740182</v>
      </c>
      <c r="E297" s="3">
        <v>218.30088630955802</v>
      </c>
      <c r="F297" s="2">
        <v>111.44015208470877</v>
      </c>
      <c r="G297" s="3">
        <f>(B297-$B$2)/$B$1</f>
        <v>0.1895164972488321</v>
      </c>
      <c r="H297" s="3">
        <f>((C297-$C$2)/$C$1+(D297-$D$2)/$D$1+(E297-$E$2)/$E$1+(F297-$F$2)/$F$1)/4</f>
        <v>0.18704386415485602</v>
      </c>
      <c r="I297" s="19">
        <v>44508</v>
      </c>
      <c r="J297" s="20">
        <v>145.41666666666666</v>
      </c>
      <c r="K297" s="20">
        <v>63.789583333333333</v>
      </c>
      <c r="L297" s="20">
        <v>8.0374999999999979</v>
      </c>
      <c r="M297" s="20">
        <v>0</v>
      </c>
      <c r="N297" s="20">
        <v>242.5625</v>
      </c>
      <c r="O297" s="20">
        <v>3.8958333333333335</v>
      </c>
      <c r="P297" s="20">
        <v>0</v>
      </c>
      <c r="Q297" s="20">
        <v>1.3979166666666665</v>
      </c>
      <c r="R297" s="10">
        <v>0.42454339627103388</v>
      </c>
      <c r="S297" s="21">
        <v>0.21700000000000016</v>
      </c>
      <c r="T297" s="21">
        <v>0.28558333333333347</v>
      </c>
      <c r="U297" s="21">
        <v>0.37031249999999988</v>
      </c>
      <c r="V297" s="21">
        <v>0.37799999999999995</v>
      </c>
      <c r="W297" s="21">
        <v>0.3848541666666665</v>
      </c>
      <c r="X297" s="21">
        <v>0.29672916666666643</v>
      </c>
      <c r="Y297" s="21">
        <v>0.29339583333333313</v>
      </c>
      <c r="Z297" s="21">
        <v>0.25824999999999976</v>
      </c>
      <c r="AA297" s="21">
        <v>0.18568750000000003</v>
      </c>
      <c r="AB297" s="24">
        <f>AVERAGE(S297,W297)</f>
        <v>0.30092708333333335</v>
      </c>
      <c r="AC297" s="24">
        <f>AVERAGE(T297:V297,X297:Z297)</f>
        <v>0.31371180555555545</v>
      </c>
      <c r="AD297" s="24">
        <f t="shared" si="7"/>
        <v>0.31138731060606051</v>
      </c>
    </row>
    <row r="298" spans="1:30">
      <c r="A298" s="9">
        <v>44509</v>
      </c>
      <c r="B298" s="3">
        <v>30.09803031198398</v>
      </c>
      <c r="C298" s="3">
        <v>47.718722973690085</v>
      </c>
      <c r="D298" s="3">
        <v>14.805069876534475</v>
      </c>
      <c r="E298" s="3">
        <v>74.374476878751366</v>
      </c>
      <c r="F298" s="2">
        <v>12.96479969088124</v>
      </c>
      <c r="G298" s="3">
        <f>(B298-$B$2)/$B$1</f>
        <v>2.7622013795647243E-2</v>
      </c>
      <c r="H298" s="3">
        <f>((C298-$C$2)/$C$1+(D298-$D$2)/$D$1+(E298-$E$2)/$E$1+(F298-$F$2)/$F$1)/4</f>
        <v>2.4644232803275923E-2</v>
      </c>
      <c r="I298" s="19">
        <v>44509</v>
      </c>
      <c r="J298" s="20">
        <v>41.729166666666664</v>
      </c>
      <c r="K298" s="20">
        <v>71.391666666666637</v>
      </c>
      <c r="L298" s="20">
        <v>7.4854166666666684</v>
      </c>
      <c r="M298" s="20">
        <v>0</v>
      </c>
      <c r="N298" s="20">
        <v>228.64583333333334</v>
      </c>
      <c r="O298" s="20">
        <v>4.104166666666667</v>
      </c>
      <c r="P298" s="20">
        <v>0</v>
      </c>
      <c r="Q298" s="20">
        <v>2.6124999999999998</v>
      </c>
      <c r="R298" s="10">
        <v>0.29948533341611233</v>
      </c>
      <c r="S298" s="21">
        <v>0.21537500000000007</v>
      </c>
      <c r="T298" s="21">
        <v>0.28366666666666646</v>
      </c>
      <c r="U298" s="21">
        <v>0.36754166666666688</v>
      </c>
      <c r="V298" s="21">
        <v>0.37545833333333328</v>
      </c>
      <c r="W298" s="21">
        <v>0.37906250000000014</v>
      </c>
      <c r="X298" s="21">
        <v>0.29460416666666672</v>
      </c>
      <c r="Y298" s="21">
        <v>0.29120833333333324</v>
      </c>
      <c r="Z298" s="21">
        <v>0.25672916666666662</v>
      </c>
      <c r="AA298" s="25" t="e">
        <f>#REF!*0.5711-0.0033</f>
        <v>#REF!</v>
      </c>
      <c r="AB298" s="24">
        <f>AVERAGE(S298,W298)</f>
        <v>0.29721875000000009</v>
      </c>
      <c r="AC298" s="24">
        <f>AVERAGE(T298:V298,X298:Z298)</f>
        <v>0.31153472222222223</v>
      </c>
      <c r="AD298" s="24">
        <f t="shared" si="7"/>
        <v>0.3089318181818182</v>
      </c>
    </row>
    <row r="299" spans="1:30">
      <c r="A299" s="9">
        <v>44510</v>
      </c>
      <c r="B299" s="3">
        <v>219.17903534748319</v>
      </c>
      <c r="C299" s="3">
        <v>372.94359480994353</v>
      </c>
      <c r="D299" s="3">
        <v>280.28076218880102</v>
      </c>
      <c r="E299" s="3">
        <v>284.9719911754666</v>
      </c>
      <c r="F299" s="2">
        <v>245.44186344873307</v>
      </c>
      <c r="G299" s="3">
        <f>(B299-$B$2)/$B$1</f>
        <v>0.23965584576693866</v>
      </c>
      <c r="H299" s="3">
        <f>((C299-$C$2)/$C$1+(D299-$D$2)/$D$1+(E299-$E$2)/$E$1+(F299-$F$2)/$F$1)/4</f>
        <v>0.34512580551746053</v>
      </c>
      <c r="I299" s="19">
        <v>44510</v>
      </c>
      <c r="J299" s="20">
        <v>184.9375</v>
      </c>
      <c r="K299" s="20">
        <v>63.302083333333336</v>
      </c>
      <c r="L299" s="20">
        <v>11.027083333333335</v>
      </c>
      <c r="M299" s="20">
        <v>0</v>
      </c>
      <c r="N299" s="20">
        <v>276.35416666666669</v>
      </c>
      <c r="O299" s="20">
        <v>2.9166666666666665</v>
      </c>
      <c r="P299" s="20">
        <v>2.0833333333333332E-2</v>
      </c>
      <c r="Q299" s="20">
        <v>3.9187499999999997</v>
      </c>
      <c r="R299" s="10">
        <v>0.56338182536644588</v>
      </c>
      <c r="S299" s="21">
        <v>0.21420833333333331</v>
      </c>
      <c r="T299" s="21">
        <v>0.28179166666666661</v>
      </c>
      <c r="U299" s="21">
        <v>0.36510416666666679</v>
      </c>
      <c r="V299" s="21">
        <v>0.3731041666666664</v>
      </c>
      <c r="W299" s="21">
        <v>0.37606249999999997</v>
      </c>
      <c r="X299" s="21">
        <v>0.29195833333333315</v>
      </c>
      <c r="Y299" s="21">
        <v>0.28935416666666652</v>
      </c>
      <c r="Z299" s="21">
        <v>0.2552291666666669</v>
      </c>
      <c r="AA299" s="21">
        <v>0.159</v>
      </c>
      <c r="AB299" s="24">
        <f>AVERAGE(S299,W299)</f>
        <v>0.29513541666666665</v>
      </c>
      <c r="AC299" s="24">
        <f>AVERAGE(T299:V299,X299:Z299)</f>
        <v>0.30942361111111105</v>
      </c>
      <c r="AD299" s="24">
        <f t="shared" si="7"/>
        <v>0.30682575757575759</v>
      </c>
    </row>
  </sheetData>
  <autoFilter ref="A7:AD7" xr:uid="{BEFEABEE-0D87-4AA4-9063-BE76459D9D0F}"/>
  <mergeCells count="10">
    <mergeCell ref="G1:M3"/>
    <mergeCell ref="C5:F5"/>
    <mergeCell ref="G5:H6"/>
    <mergeCell ref="AB6:AD6"/>
    <mergeCell ref="B4:F4"/>
    <mergeCell ref="I4:I6"/>
    <mergeCell ref="S4:Z4"/>
    <mergeCell ref="S5:V5"/>
    <mergeCell ref="W5:Z5"/>
    <mergeCell ref="S6:Z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isotopes</vt:lpstr>
      <vt:lpstr>sapflow_daily_from baseliner</vt:lpstr>
      <vt:lpstr>AWS_SWC_sapflow (original)</vt:lpstr>
      <vt:lpstr>data for NNs (after filtering)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Qin LIU</dc:creator>
  <cp:lastModifiedBy>HC8284</cp:lastModifiedBy>
  <dcterms:created xsi:type="dcterms:W3CDTF">2015-06-05T18:19:34Z</dcterms:created>
  <dcterms:modified xsi:type="dcterms:W3CDTF">2026-06-07T04:10:33Z</dcterms:modified>
</cp:coreProperties>
</file>