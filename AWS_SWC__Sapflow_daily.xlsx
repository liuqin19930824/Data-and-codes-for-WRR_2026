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qin\Desktop\1\"/>
    </mc:Choice>
  </mc:AlternateContent>
  <xr:revisionPtr revIDLastSave="0" documentId="13_ncr:1_{E8C24006-FBDB-4A25-ACE8-891E0DC8568A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sapflow_daily_from baseliner" sheetId="1" r:id="rId1"/>
    <sheet name="AWS_SWC_SWP_daily" sheetId="2" r:id="rId2"/>
    <sheet name="组合" sheetId="3" r:id="rId3"/>
    <sheet name="筛选后" sheetId="4" r:id="rId4"/>
  </sheets>
  <definedNames>
    <definedName name="_xlnm._FilterDatabase" localSheetId="3" hidden="1">筛选后!$A$7:$AJ$7</definedName>
    <definedName name="_xlnm._FilterDatabase" localSheetId="2" hidden="1">组合!$A$4:$AD$804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02" i="3" l="1"/>
  <c r="AC797" i="3"/>
  <c r="AC796" i="3"/>
  <c r="AC795" i="3"/>
  <c r="AC794" i="3"/>
  <c r="AC793" i="3"/>
  <c r="AC792" i="3"/>
  <c r="AC791" i="3"/>
  <c r="AC790" i="3"/>
  <c r="AC789" i="3"/>
  <c r="AC788" i="3"/>
  <c r="AC787" i="3"/>
  <c r="AC779" i="3"/>
  <c r="AC766" i="3"/>
  <c r="AC670" i="3"/>
  <c r="AC669" i="3"/>
  <c r="AC668" i="3"/>
  <c r="AC667" i="3"/>
  <c r="AC617" i="3"/>
  <c r="AC616" i="3"/>
  <c r="AC606" i="3"/>
  <c r="AC605" i="3"/>
  <c r="AC604" i="3"/>
  <c r="AC558" i="3"/>
  <c r="AC557" i="3"/>
  <c r="AC556" i="3"/>
  <c r="AC555" i="3"/>
  <c r="AC493" i="3"/>
  <c r="AC492" i="3"/>
  <c r="AC491" i="3"/>
  <c r="AC475" i="3"/>
  <c r="AC437" i="3"/>
  <c r="AC436" i="3"/>
  <c r="AC431" i="3"/>
  <c r="AC430" i="3"/>
  <c r="AC429" i="3"/>
  <c r="AC428" i="3"/>
  <c r="AC427" i="3"/>
  <c r="AC426" i="3"/>
  <c r="AC425" i="3"/>
  <c r="AC423" i="3"/>
  <c r="AC238" i="3"/>
  <c r="AC237" i="3"/>
  <c r="AC113" i="3"/>
  <c r="AC87" i="3"/>
  <c r="AG397" i="3"/>
  <c r="AE6" i="3"/>
  <c r="AF6" i="3"/>
  <c r="AE7" i="3"/>
  <c r="AF7" i="3"/>
  <c r="AE8" i="3"/>
  <c r="AF8" i="3"/>
  <c r="AE9" i="3"/>
  <c r="AF9" i="3"/>
  <c r="AE10" i="3"/>
  <c r="AF10" i="3"/>
  <c r="AE11" i="3"/>
  <c r="AF11" i="3"/>
  <c r="AE12" i="3"/>
  <c r="AF12" i="3"/>
  <c r="AE13" i="3"/>
  <c r="AF13" i="3"/>
  <c r="AE14" i="3"/>
  <c r="AF14" i="3"/>
  <c r="AE15" i="3"/>
  <c r="AF15" i="3"/>
  <c r="AE16" i="3"/>
  <c r="AF16" i="3"/>
  <c r="AE17" i="3"/>
  <c r="AF17" i="3"/>
  <c r="AE18" i="3"/>
  <c r="AF18" i="3"/>
  <c r="AG18" i="3" s="1"/>
  <c r="AE19" i="3"/>
  <c r="AF19" i="3"/>
  <c r="AE20" i="3"/>
  <c r="AF20" i="3"/>
  <c r="AE21" i="3"/>
  <c r="AF21" i="3"/>
  <c r="AE22" i="3"/>
  <c r="AF22" i="3"/>
  <c r="AE23" i="3"/>
  <c r="AF23" i="3"/>
  <c r="AE24" i="3"/>
  <c r="AF24" i="3"/>
  <c r="AE25" i="3"/>
  <c r="AF25" i="3"/>
  <c r="AE26" i="3"/>
  <c r="AF26" i="3"/>
  <c r="AE27" i="3"/>
  <c r="AF27" i="3"/>
  <c r="AE28" i="3"/>
  <c r="AF28" i="3"/>
  <c r="AE29" i="3"/>
  <c r="AF29" i="3"/>
  <c r="AE30" i="3"/>
  <c r="AF30" i="3"/>
  <c r="AE31" i="3"/>
  <c r="AF31" i="3"/>
  <c r="AE32" i="3"/>
  <c r="AF32" i="3"/>
  <c r="AE33" i="3"/>
  <c r="AF33" i="3"/>
  <c r="AE34" i="3"/>
  <c r="AF34" i="3"/>
  <c r="AE35" i="3"/>
  <c r="AF35" i="3"/>
  <c r="AE36" i="3"/>
  <c r="AF36" i="3"/>
  <c r="AE37" i="3"/>
  <c r="AF37" i="3"/>
  <c r="AE38" i="3"/>
  <c r="AF38" i="3"/>
  <c r="AG38" i="3" s="1"/>
  <c r="AE39" i="3"/>
  <c r="AF39" i="3"/>
  <c r="AE40" i="3"/>
  <c r="AF40" i="3"/>
  <c r="AE41" i="3"/>
  <c r="AF41" i="3"/>
  <c r="AE42" i="3"/>
  <c r="AF42" i="3"/>
  <c r="AE43" i="3"/>
  <c r="AF43" i="3"/>
  <c r="AE44" i="3"/>
  <c r="AF44" i="3"/>
  <c r="AE45" i="3"/>
  <c r="AF45" i="3"/>
  <c r="AE46" i="3"/>
  <c r="AF46" i="3"/>
  <c r="AE47" i="3"/>
  <c r="AF47" i="3"/>
  <c r="AE48" i="3"/>
  <c r="AF48" i="3"/>
  <c r="AE49" i="3"/>
  <c r="AF49" i="3"/>
  <c r="AE50" i="3"/>
  <c r="AF50" i="3"/>
  <c r="AE51" i="3"/>
  <c r="AF51" i="3"/>
  <c r="AE52" i="3"/>
  <c r="AF52" i="3"/>
  <c r="AE53" i="3"/>
  <c r="AF53" i="3"/>
  <c r="AE54" i="3"/>
  <c r="AF54" i="3"/>
  <c r="AE55" i="3"/>
  <c r="AF55" i="3"/>
  <c r="AE56" i="3"/>
  <c r="AF56" i="3"/>
  <c r="AE57" i="3"/>
  <c r="AF57" i="3"/>
  <c r="AE58" i="3"/>
  <c r="AF58" i="3"/>
  <c r="AE59" i="3"/>
  <c r="AF59" i="3"/>
  <c r="AE60" i="3"/>
  <c r="AF60" i="3"/>
  <c r="AE61" i="3"/>
  <c r="AF61" i="3"/>
  <c r="AE62" i="3"/>
  <c r="AF62" i="3"/>
  <c r="AE63" i="3"/>
  <c r="AF63" i="3"/>
  <c r="AE64" i="3"/>
  <c r="AF64" i="3"/>
  <c r="AE65" i="3"/>
  <c r="AF65" i="3"/>
  <c r="AE66" i="3"/>
  <c r="AF66" i="3"/>
  <c r="AE67" i="3"/>
  <c r="AF67" i="3"/>
  <c r="AE68" i="3"/>
  <c r="AF68" i="3"/>
  <c r="AE69" i="3"/>
  <c r="AF69" i="3"/>
  <c r="AE70" i="3"/>
  <c r="AF70" i="3"/>
  <c r="AE71" i="3"/>
  <c r="AF71" i="3"/>
  <c r="AE72" i="3"/>
  <c r="AF72" i="3"/>
  <c r="AE73" i="3"/>
  <c r="AF73" i="3"/>
  <c r="AE74" i="3"/>
  <c r="AF74" i="3"/>
  <c r="AE75" i="3"/>
  <c r="AF75" i="3"/>
  <c r="AE76" i="3"/>
  <c r="AF76" i="3"/>
  <c r="AE77" i="3"/>
  <c r="AF77" i="3"/>
  <c r="AE78" i="3"/>
  <c r="AF78" i="3"/>
  <c r="AE79" i="3"/>
  <c r="AF79" i="3"/>
  <c r="AE80" i="3"/>
  <c r="AF80" i="3"/>
  <c r="AE81" i="3"/>
  <c r="AF81" i="3"/>
  <c r="AE82" i="3"/>
  <c r="AF82" i="3"/>
  <c r="AE83" i="3"/>
  <c r="AF83" i="3"/>
  <c r="AE84" i="3"/>
  <c r="AF84" i="3"/>
  <c r="AE85" i="3"/>
  <c r="AF85" i="3"/>
  <c r="AE86" i="3"/>
  <c r="AF86" i="3"/>
  <c r="AE87" i="3"/>
  <c r="AF87" i="3"/>
  <c r="AE88" i="3"/>
  <c r="AF88" i="3"/>
  <c r="AE89" i="3"/>
  <c r="AF89" i="3"/>
  <c r="AE90" i="3"/>
  <c r="AF90" i="3"/>
  <c r="AE91" i="3"/>
  <c r="AF91" i="3"/>
  <c r="AE92" i="3"/>
  <c r="AF92" i="3"/>
  <c r="AE93" i="3"/>
  <c r="AF93" i="3"/>
  <c r="AE94" i="3"/>
  <c r="AF94" i="3"/>
  <c r="AE95" i="3"/>
  <c r="AF95" i="3"/>
  <c r="AE96" i="3"/>
  <c r="AF96" i="3"/>
  <c r="AE97" i="3"/>
  <c r="AF97" i="3"/>
  <c r="AE98" i="3"/>
  <c r="AF98" i="3"/>
  <c r="AG98" i="3" s="1"/>
  <c r="AE99" i="3"/>
  <c r="AF99" i="3"/>
  <c r="AE100" i="3"/>
  <c r="AF100" i="3"/>
  <c r="AE101" i="3"/>
  <c r="AF101" i="3"/>
  <c r="AE102" i="3"/>
  <c r="AF102" i="3"/>
  <c r="AE103" i="3"/>
  <c r="AF103" i="3"/>
  <c r="AE104" i="3"/>
  <c r="AF104" i="3"/>
  <c r="AE105" i="3"/>
  <c r="AF105" i="3"/>
  <c r="AE106" i="3"/>
  <c r="AF106" i="3"/>
  <c r="AE107" i="3"/>
  <c r="AF107" i="3"/>
  <c r="AE108" i="3"/>
  <c r="AF108" i="3"/>
  <c r="AE109" i="3"/>
  <c r="AF109" i="3"/>
  <c r="AE110" i="3"/>
  <c r="AF110" i="3"/>
  <c r="AE111" i="3"/>
  <c r="AF111" i="3"/>
  <c r="AE112" i="3"/>
  <c r="AF112" i="3"/>
  <c r="AE113" i="3"/>
  <c r="AF113" i="3"/>
  <c r="AE114" i="3"/>
  <c r="AF114" i="3"/>
  <c r="AE115" i="3"/>
  <c r="AF115" i="3"/>
  <c r="AE116" i="3"/>
  <c r="AF116" i="3"/>
  <c r="AE117" i="3"/>
  <c r="AF117" i="3"/>
  <c r="AE118" i="3"/>
  <c r="AF118" i="3"/>
  <c r="AG118" i="3" s="1"/>
  <c r="AE119" i="3"/>
  <c r="AF119" i="3"/>
  <c r="AE120" i="3"/>
  <c r="AF120" i="3"/>
  <c r="AE121" i="3"/>
  <c r="AF121" i="3"/>
  <c r="AE122" i="3"/>
  <c r="AF122" i="3"/>
  <c r="AE123" i="3"/>
  <c r="AF123" i="3"/>
  <c r="AE124" i="3"/>
  <c r="AF124" i="3"/>
  <c r="AE125" i="3"/>
  <c r="AF125" i="3"/>
  <c r="AE126" i="3"/>
  <c r="AF126" i="3"/>
  <c r="AE127" i="3"/>
  <c r="AF127" i="3"/>
  <c r="AE128" i="3"/>
  <c r="AF128" i="3"/>
  <c r="AE129" i="3"/>
  <c r="AF129" i="3"/>
  <c r="AE130" i="3"/>
  <c r="AF130" i="3"/>
  <c r="AE131" i="3"/>
  <c r="AF131" i="3"/>
  <c r="AE132" i="3"/>
  <c r="AF132" i="3"/>
  <c r="AE133" i="3"/>
  <c r="AF133" i="3"/>
  <c r="AE134" i="3"/>
  <c r="AF134" i="3"/>
  <c r="AE135" i="3"/>
  <c r="AF135" i="3"/>
  <c r="AE136" i="3"/>
  <c r="AF136" i="3"/>
  <c r="AE137" i="3"/>
  <c r="AF137" i="3"/>
  <c r="AE138" i="3"/>
  <c r="AF138" i="3"/>
  <c r="AE139" i="3"/>
  <c r="AF139" i="3"/>
  <c r="AE140" i="3"/>
  <c r="AF140" i="3"/>
  <c r="AE141" i="3"/>
  <c r="AF141" i="3"/>
  <c r="AE142" i="3"/>
  <c r="AF142" i="3"/>
  <c r="AE143" i="3"/>
  <c r="AF143" i="3"/>
  <c r="AE144" i="3"/>
  <c r="AF144" i="3"/>
  <c r="AE145" i="3"/>
  <c r="AF145" i="3"/>
  <c r="AE146" i="3"/>
  <c r="AF146" i="3"/>
  <c r="AE147" i="3"/>
  <c r="AF147" i="3"/>
  <c r="AE148" i="3"/>
  <c r="AF148" i="3"/>
  <c r="AE149" i="3"/>
  <c r="AF149" i="3"/>
  <c r="AE150" i="3"/>
  <c r="AF150" i="3"/>
  <c r="AE151" i="3"/>
  <c r="AF151" i="3"/>
  <c r="AE152" i="3"/>
  <c r="AF152" i="3"/>
  <c r="AE153" i="3"/>
  <c r="AF153" i="3"/>
  <c r="AE154" i="3"/>
  <c r="AF154" i="3"/>
  <c r="AE155" i="3"/>
  <c r="AF155" i="3"/>
  <c r="AE156" i="3"/>
  <c r="AF156" i="3"/>
  <c r="AE157" i="3"/>
  <c r="AF157" i="3"/>
  <c r="AE158" i="3"/>
  <c r="AF158" i="3"/>
  <c r="AE159" i="3"/>
  <c r="AF159" i="3"/>
  <c r="AE160" i="3"/>
  <c r="AF160" i="3"/>
  <c r="AE161" i="3"/>
  <c r="AF161" i="3"/>
  <c r="AE162" i="3"/>
  <c r="AF162" i="3"/>
  <c r="AE163" i="3"/>
  <c r="AF163" i="3"/>
  <c r="AE164" i="3"/>
  <c r="AF164" i="3"/>
  <c r="AE165" i="3"/>
  <c r="AF165" i="3"/>
  <c r="AE166" i="3"/>
  <c r="AF166" i="3"/>
  <c r="AE167" i="3"/>
  <c r="AF167" i="3"/>
  <c r="AE168" i="3"/>
  <c r="AF168" i="3"/>
  <c r="AE169" i="3"/>
  <c r="AF169" i="3"/>
  <c r="AE170" i="3"/>
  <c r="AF170" i="3"/>
  <c r="AE171" i="3"/>
  <c r="AF171" i="3"/>
  <c r="AE172" i="3"/>
  <c r="AF172" i="3"/>
  <c r="AE173" i="3"/>
  <c r="AF173" i="3"/>
  <c r="AE174" i="3"/>
  <c r="AF174" i="3"/>
  <c r="AE175" i="3"/>
  <c r="AF175" i="3"/>
  <c r="AE176" i="3"/>
  <c r="AF176" i="3"/>
  <c r="AE177" i="3"/>
  <c r="AF177" i="3"/>
  <c r="AE178" i="3"/>
  <c r="AF178" i="3"/>
  <c r="AG178" i="3" s="1"/>
  <c r="AE179" i="3"/>
  <c r="AF179" i="3"/>
  <c r="AE180" i="3"/>
  <c r="AF180" i="3"/>
  <c r="AE181" i="3"/>
  <c r="AF181" i="3"/>
  <c r="AE182" i="3"/>
  <c r="AF182" i="3"/>
  <c r="AE183" i="3"/>
  <c r="AF183" i="3"/>
  <c r="AE184" i="3"/>
  <c r="AF184" i="3"/>
  <c r="AE185" i="3"/>
  <c r="AF185" i="3"/>
  <c r="AE186" i="3"/>
  <c r="AF186" i="3"/>
  <c r="AE187" i="3"/>
  <c r="AF187" i="3"/>
  <c r="AE188" i="3"/>
  <c r="AF188" i="3"/>
  <c r="AE189" i="3"/>
  <c r="AF189" i="3"/>
  <c r="AE190" i="3"/>
  <c r="AF190" i="3"/>
  <c r="AE191" i="3"/>
  <c r="AF191" i="3"/>
  <c r="AE192" i="3"/>
  <c r="AF192" i="3"/>
  <c r="AE193" i="3"/>
  <c r="AF193" i="3"/>
  <c r="AE194" i="3"/>
  <c r="AF194" i="3"/>
  <c r="AE195" i="3"/>
  <c r="AF195" i="3"/>
  <c r="AE196" i="3"/>
  <c r="AF196" i="3"/>
  <c r="AE197" i="3"/>
  <c r="AF197" i="3"/>
  <c r="AE198" i="3"/>
  <c r="AF198" i="3"/>
  <c r="AE199" i="3"/>
  <c r="AF199" i="3"/>
  <c r="AE200" i="3"/>
  <c r="AF200" i="3"/>
  <c r="AE201" i="3"/>
  <c r="AF201" i="3"/>
  <c r="AE202" i="3"/>
  <c r="AF202" i="3"/>
  <c r="AE203" i="3"/>
  <c r="AF203" i="3"/>
  <c r="AE204" i="3"/>
  <c r="AF204" i="3"/>
  <c r="AE205" i="3"/>
  <c r="AF205" i="3"/>
  <c r="AE206" i="3"/>
  <c r="AF206" i="3"/>
  <c r="AE207" i="3"/>
  <c r="AF207" i="3"/>
  <c r="AE208" i="3"/>
  <c r="AF208" i="3"/>
  <c r="AE209" i="3"/>
  <c r="AF209" i="3"/>
  <c r="AE210" i="3"/>
  <c r="AF210" i="3"/>
  <c r="AE211" i="3"/>
  <c r="AF211" i="3"/>
  <c r="AE212" i="3"/>
  <c r="AF212" i="3"/>
  <c r="AE213" i="3"/>
  <c r="AF213" i="3"/>
  <c r="AE214" i="3"/>
  <c r="AF214" i="3"/>
  <c r="AE215" i="3"/>
  <c r="AF215" i="3"/>
  <c r="AE216" i="3"/>
  <c r="AF216" i="3"/>
  <c r="AE217" i="3"/>
  <c r="AF217" i="3"/>
  <c r="AE218" i="3"/>
  <c r="AF218" i="3"/>
  <c r="AE219" i="3"/>
  <c r="AF219" i="3"/>
  <c r="AE220" i="3"/>
  <c r="AF220" i="3"/>
  <c r="AE221" i="3"/>
  <c r="AF221" i="3"/>
  <c r="AE222" i="3"/>
  <c r="AF222" i="3"/>
  <c r="AE223" i="3"/>
  <c r="AF223" i="3"/>
  <c r="AE224" i="3"/>
  <c r="AF224" i="3"/>
  <c r="AE225" i="3"/>
  <c r="AF225" i="3"/>
  <c r="AE226" i="3"/>
  <c r="AF226" i="3"/>
  <c r="AE227" i="3"/>
  <c r="AF227" i="3"/>
  <c r="AE228" i="3"/>
  <c r="AF228" i="3"/>
  <c r="AE229" i="3"/>
  <c r="AF229" i="3"/>
  <c r="AE230" i="3"/>
  <c r="AF230" i="3"/>
  <c r="AE231" i="3"/>
  <c r="AF231" i="3"/>
  <c r="AE232" i="3"/>
  <c r="AF232" i="3"/>
  <c r="AE233" i="3"/>
  <c r="AF233" i="3"/>
  <c r="AE234" i="3"/>
  <c r="AF234" i="3"/>
  <c r="AE235" i="3"/>
  <c r="AF235" i="3"/>
  <c r="AE236" i="3"/>
  <c r="AF236" i="3"/>
  <c r="AE237" i="3"/>
  <c r="AF237" i="3"/>
  <c r="AG237" i="3" s="1"/>
  <c r="AE238" i="3"/>
  <c r="AF238" i="3"/>
  <c r="AG238" i="3" s="1"/>
  <c r="AE239" i="3"/>
  <c r="AF239" i="3"/>
  <c r="AE240" i="3"/>
  <c r="AF240" i="3"/>
  <c r="AE241" i="3"/>
  <c r="AF241" i="3"/>
  <c r="AE242" i="3"/>
  <c r="AF242" i="3"/>
  <c r="AE243" i="3"/>
  <c r="AF243" i="3"/>
  <c r="AE244" i="3"/>
  <c r="AF244" i="3"/>
  <c r="AE245" i="3"/>
  <c r="AF245" i="3"/>
  <c r="AE246" i="3"/>
  <c r="AF246" i="3"/>
  <c r="AE247" i="3"/>
  <c r="AF247" i="3"/>
  <c r="AE248" i="3"/>
  <c r="AF248" i="3"/>
  <c r="AE249" i="3"/>
  <c r="AF249" i="3"/>
  <c r="AE250" i="3"/>
  <c r="AF250" i="3"/>
  <c r="AE251" i="3"/>
  <c r="AF251" i="3"/>
  <c r="AE252" i="3"/>
  <c r="AF252" i="3"/>
  <c r="AE253" i="3"/>
  <c r="AF253" i="3"/>
  <c r="AE254" i="3"/>
  <c r="AF254" i="3"/>
  <c r="AE255" i="3"/>
  <c r="AF255" i="3"/>
  <c r="AE256" i="3"/>
  <c r="AF256" i="3"/>
  <c r="AE257" i="3"/>
  <c r="AF257" i="3"/>
  <c r="AE258" i="3"/>
  <c r="AF258" i="3"/>
  <c r="AE259" i="3"/>
  <c r="AF259" i="3"/>
  <c r="AE260" i="3"/>
  <c r="AF260" i="3"/>
  <c r="AE261" i="3"/>
  <c r="AF261" i="3"/>
  <c r="AE262" i="3"/>
  <c r="AF262" i="3"/>
  <c r="AE263" i="3"/>
  <c r="AF263" i="3"/>
  <c r="AE264" i="3"/>
  <c r="AF264" i="3"/>
  <c r="AE265" i="3"/>
  <c r="AF265" i="3"/>
  <c r="AE266" i="3"/>
  <c r="AF266" i="3"/>
  <c r="AE267" i="3"/>
  <c r="AF267" i="3"/>
  <c r="AE268" i="3"/>
  <c r="AF268" i="3"/>
  <c r="AE269" i="3"/>
  <c r="AF269" i="3"/>
  <c r="AE270" i="3"/>
  <c r="AF270" i="3"/>
  <c r="AE271" i="3"/>
  <c r="AF271" i="3"/>
  <c r="AE272" i="3"/>
  <c r="AF272" i="3"/>
  <c r="AE273" i="3"/>
  <c r="AF273" i="3"/>
  <c r="AE274" i="3"/>
  <c r="AF274" i="3"/>
  <c r="AE275" i="3"/>
  <c r="AF275" i="3"/>
  <c r="AE276" i="3"/>
  <c r="AF276" i="3"/>
  <c r="AG276" i="3" s="1"/>
  <c r="AE277" i="3"/>
  <c r="AF277" i="3"/>
  <c r="AG277" i="3" s="1"/>
  <c r="AE278" i="3"/>
  <c r="AF278" i="3"/>
  <c r="AE279" i="3"/>
  <c r="AF279" i="3"/>
  <c r="AE280" i="3"/>
  <c r="AF280" i="3"/>
  <c r="AE281" i="3"/>
  <c r="AF281" i="3"/>
  <c r="AE282" i="3"/>
  <c r="AF282" i="3"/>
  <c r="AE283" i="3"/>
  <c r="AF283" i="3"/>
  <c r="AE284" i="3"/>
  <c r="AF284" i="3"/>
  <c r="AE285" i="3"/>
  <c r="AF285" i="3"/>
  <c r="AE286" i="3"/>
  <c r="AF286" i="3"/>
  <c r="AE287" i="3"/>
  <c r="AF287" i="3"/>
  <c r="AE288" i="3"/>
  <c r="AF288" i="3"/>
  <c r="AE289" i="3"/>
  <c r="AF289" i="3"/>
  <c r="AE290" i="3"/>
  <c r="AF290" i="3"/>
  <c r="AE291" i="3"/>
  <c r="AF291" i="3"/>
  <c r="AE292" i="3"/>
  <c r="AF292" i="3"/>
  <c r="AE293" i="3"/>
  <c r="AF293" i="3"/>
  <c r="AE294" i="3"/>
  <c r="AF294" i="3"/>
  <c r="AE295" i="3"/>
  <c r="AF295" i="3"/>
  <c r="AE296" i="3"/>
  <c r="AF296" i="3"/>
  <c r="AE297" i="3"/>
  <c r="AF297" i="3"/>
  <c r="AE298" i="3"/>
  <c r="AF298" i="3"/>
  <c r="AG298" i="3" s="1"/>
  <c r="AE299" i="3"/>
  <c r="AF299" i="3"/>
  <c r="AE300" i="3"/>
  <c r="AF300" i="3"/>
  <c r="AE301" i="3"/>
  <c r="AF301" i="3"/>
  <c r="AE302" i="3"/>
  <c r="AF302" i="3"/>
  <c r="AE303" i="3"/>
  <c r="AF303" i="3"/>
  <c r="AE304" i="3"/>
  <c r="AF304" i="3"/>
  <c r="AE305" i="3"/>
  <c r="AF305" i="3"/>
  <c r="AE306" i="3"/>
  <c r="AF306" i="3"/>
  <c r="AE307" i="3"/>
  <c r="AF307" i="3"/>
  <c r="AE308" i="3"/>
  <c r="AF308" i="3"/>
  <c r="AE309" i="3"/>
  <c r="AF309" i="3"/>
  <c r="AE310" i="3"/>
  <c r="AF310" i="3"/>
  <c r="AE311" i="3"/>
  <c r="AF311" i="3"/>
  <c r="AE312" i="3"/>
  <c r="AF312" i="3"/>
  <c r="AE313" i="3"/>
  <c r="AF313" i="3"/>
  <c r="AE314" i="3"/>
  <c r="AF314" i="3"/>
  <c r="AE315" i="3"/>
  <c r="AF315" i="3"/>
  <c r="AE316" i="3"/>
  <c r="AF316" i="3"/>
  <c r="AE317" i="3"/>
  <c r="AF317" i="3"/>
  <c r="AE318" i="3"/>
  <c r="AF318" i="3"/>
  <c r="AG318" i="3" s="1"/>
  <c r="AE319" i="3"/>
  <c r="AF319" i="3"/>
  <c r="AE320" i="3"/>
  <c r="AF320" i="3"/>
  <c r="AE321" i="3"/>
  <c r="AF321" i="3"/>
  <c r="AE322" i="3"/>
  <c r="AF322" i="3"/>
  <c r="AE323" i="3"/>
  <c r="AF323" i="3"/>
  <c r="AE324" i="3"/>
  <c r="AF324" i="3"/>
  <c r="AE325" i="3"/>
  <c r="AF325" i="3"/>
  <c r="AE326" i="3"/>
  <c r="AF326" i="3"/>
  <c r="AE327" i="3"/>
  <c r="AF327" i="3"/>
  <c r="AE328" i="3"/>
  <c r="AF328" i="3"/>
  <c r="AE329" i="3"/>
  <c r="AF329" i="3"/>
  <c r="AE330" i="3"/>
  <c r="AF330" i="3"/>
  <c r="AE331" i="3"/>
  <c r="AF331" i="3"/>
  <c r="AE332" i="3"/>
  <c r="AF332" i="3"/>
  <c r="AE333" i="3"/>
  <c r="AF333" i="3"/>
  <c r="AE334" i="3"/>
  <c r="AF334" i="3"/>
  <c r="AE335" i="3"/>
  <c r="AF335" i="3"/>
  <c r="AE336" i="3"/>
  <c r="AF336" i="3"/>
  <c r="AE337" i="3"/>
  <c r="AF337" i="3"/>
  <c r="AG337" i="3" s="1"/>
  <c r="AE338" i="3"/>
  <c r="AF338" i="3"/>
  <c r="AE339" i="3"/>
  <c r="AF339" i="3"/>
  <c r="AE340" i="3"/>
  <c r="AF340" i="3"/>
  <c r="AE341" i="3"/>
  <c r="AF341" i="3"/>
  <c r="AE342" i="3"/>
  <c r="AF342" i="3"/>
  <c r="AE343" i="3"/>
  <c r="AF343" i="3"/>
  <c r="AE344" i="3"/>
  <c r="AF344" i="3"/>
  <c r="AE345" i="3"/>
  <c r="AF345" i="3"/>
  <c r="AE346" i="3"/>
  <c r="AF346" i="3"/>
  <c r="AE347" i="3"/>
  <c r="AF347" i="3"/>
  <c r="AE348" i="3"/>
  <c r="AF348" i="3"/>
  <c r="AE349" i="3"/>
  <c r="AF349" i="3"/>
  <c r="AE350" i="3"/>
  <c r="AF350" i="3"/>
  <c r="AE351" i="3"/>
  <c r="AF351" i="3"/>
  <c r="AE352" i="3"/>
  <c r="AF352" i="3"/>
  <c r="AE353" i="3"/>
  <c r="AF353" i="3"/>
  <c r="AE354" i="3"/>
  <c r="AF354" i="3"/>
  <c r="AE355" i="3"/>
  <c r="AF355" i="3"/>
  <c r="AE356" i="3"/>
  <c r="AF356" i="3"/>
  <c r="AE357" i="3"/>
  <c r="AF357" i="3"/>
  <c r="AE358" i="3"/>
  <c r="AF358" i="3"/>
  <c r="AE359" i="3"/>
  <c r="AF359" i="3"/>
  <c r="AE360" i="3"/>
  <c r="AF360" i="3"/>
  <c r="AE361" i="3"/>
  <c r="AF361" i="3"/>
  <c r="AE362" i="3"/>
  <c r="AF362" i="3"/>
  <c r="AE363" i="3"/>
  <c r="AF363" i="3"/>
  <c r="AE364" i="3"/>
  <c r="AF364" i="3"/>
  <c r="AE365" i="3"/>
  <c r="AF365" i="3"/>
  <c r="AE366" i="3"/>
  <c r="AF366" i="3"/>
  <c r="AE367" i="3"/>
  <c r="AF367" i="3"/>
  <c r="AE368" i="3"/>
  <c r="AF368" i="3"/>
  <c r="AE369" i="3"/>
  <c r="AF369" i="3"/>
  <c r="AE370" i="3"/>
  <c r="AF370" i="3"/>
  <c r="AE371" i="3"/>
  <c r="AF371" i="3"/>
  <c r="AE372" i="3"/>
  <c r="AF372" i="3"/>
  <c r="AE373" i="3"/>
  <c r="AF373" i="3"/>
  <c r="AE374" i="3"/>
  <c r="AF374" i="3"/>
  <c r="AE375" i="3"/>
  <c r="AF375" i="3"/>
  <c r="AE376" i="3"/>
  <c r="AF376" i="3"/>
  <c r="AE377" i="3"/>
  <c r="AF377" i="3"/>
  <c r="AE378" i="3"/>
  <c r="AF378" i="3"/>
  <c r="AG378" i="3" s="1"/>
  <c r="AE379" i="3"/>
  <c r="AF379" i="3"/>
  <c r="AE380" i="3"/>
  <c r="AF380" i="3"/>
  <c r="AE381" i="3"/>
  <c r="AF381" i="3"/>
  <c r="AE382" i="3"/>
  <c r="AF382" i="3"/>
  <c r="AE383" i="3"/>
  <c r="AF383" i="3"/>
  <c r="AE384" i="3"/>
  <c r="AF384" i="3"/>
  <c r="AE385" i="3"/>
  <c r="AF385" i="3"/>
  <c r="AE386" i="3"/>
  <c r="AF386" i="3"/>
  <c r="AE387" i="3"/>
  <c r="AF387" i="3"/>
  <c r="AE388" i="3"/>
  <c r="AF388" i="3"/>
  <c r="AE389" i="3"/>
  <c r="AF389" i="3"/>
  <c r="AE390" i="3"/>
  <c r="AF390" i="3"/>
  <c r="AE391" i="3"/>
  <c r="AF391" i="3"/>
  <c r="AE392" i="3"/>
  <c r="AF392" i="3"/>
  <c r="AE393" i="3"/>
  <c r="AF393" i="3"/>
  <c r="AE394" i="3"/>
  <c r="AF394" i="3"/>
  <c r="AE395" i="3"/>
  <c r="AF395" i="3"/>
  <c r="AE396" i="3"/>
  <c r="AF396" i="3"/>
  <c r="AE397" i="3"/>
  <c r="AF397" i="3"/>
  <c r="AE398" i="3"/>
  <c r="AG398" i="3" s="1"/>
  <c r="AF398" i="3"/>
  <c r="AE399" i="3"/>
  <c r="AF399" i="3"/>
  <c r="AE400" i="3"/>
  <c r="AF400" i="3"/>
  <c r="AE401" i="3"/>
  <c r="AF401" i="3"/>
  <c r="AE402" i="3"/>
  <c r="AF402" i="3"/>
  <c r="AE403" i="3"/>
  <c r="AF403" i="3"/>
  <c r="AE404" i="3"/>
  <c r="AF404" i="3"/>
  <c r="AE405" i="3"/>
  <c r="AF405" i="3"/>
  <c r="AE406" i="3"/>
  <c r="AF406" i="3"/>
  <c r="AE407" i="3"/>
  <c r="AF407" i="3"/>
  <c r="AE408" i="3"/>
  <c r="AF408" i="3"/>
  <c r="AE409" i="3"/>
  <c r="AF409" i="3"/>
  <c r="AE410" i="3"/>
  <c r="AF410" i="3"/>
  <c r="AE411" i="3"/>
  <c r="AF411" i="3"/>
  <c r="AE412" i="3"/>
  <c r="AF412" i="3"/>
  <c r="AE413" i="3"/>
  <c r="AF413" i="3"/>
  <c r="AE414" i="3"/>
  <c r="AF414" i="3"/>
  <c r="AE415" i="3"/>
  <c r="AF415" i="3"/>
  <c r="AE416" i="3"/>
  <c r="AF416" i="3"/>
  <c r="AE417" i="3"/>
  <c r="AF417" i="3"/>
  <c r="AE418" i="3"/>
  <c r="AF418" i="3"/>
  <c r="AE419" i="3"/>
  <c r="AF419" i="3"/>
  <c r="AE420" i="3"/>
  <c r="AF420" i="3"/>
  <c r="AE421" i="3"/>
  <c r="AF421" i="3"/>
  <c r="AE422" i="3"/>
  <c r="AF422" i="3"/>
  <c r="AE423" i="3"/>
  <c r="AF423" i="3"/>
  <c r="AE424" i="3"/>
  <c r="AF424" i="3"/>
  <c r="AE425" i="3"/>
  <c r="AF425" i="3"/>
  <c r="AE426" i="3"/>
  <c r="AF426" i="3"/>
  <c r="AE427" i="3"/>
  <c r="AF427" i="3"/>
  <c r="AE428" i="3"/>
  <c r="AF428" i="3"/>
  <c r="AE429" i="3"/>
  <c r="AF429" i="3"/>
  <c r="AE430" i="3"/>
  <c r="AF430" i="3"/>
  <c r="AE431" i="3"/>
  <c r="AF431" i="3"/>
  <c r="AE432" i="3"/>
  <c r="AF432" i="3"/>
  <c r="AE433" i="3"/>
  <c r="AF433" i="3"/>
  <c r="AE434" i="3"/>
  <c r="AF434" i="3"/>
  <c r="AE435" i="3"/>
  <c r="AF435" i="3"/>
  <c r="AE436" i="3"/>
  <c r="AF436" i="3"/>
  <c r="AE437" i="3"/>
  <c r="AF437" i="3"/>
  <c r="AE438" i="3"/>
  <c r="AF438" i="3"/>
  <c r="AG438" i="3" s="1"/>
  <c r="AE439" i="3"/>
  <c r="AF439" i="3"/>
  <c r="AE440" i="3"/>
  <c r="AF440" i="3"/>
  <c r="AE441" i="3"/>
  <c r="AF441" i="3"/>
  <c r="AE442" i="3"/>
  <c r="AF442" i="3"/>
  <c r="AE443" i="3"/>
  <c r="AF443" i="3"/>
  <c r="AE444" i="3"/>
  <c r="AF444" i="3"/>
  <c r="AE445" i="3"/>
  <c r="AF445" i="3"/>
  <c r="AE446" i="3"/>
  <c r="AF446" i="3"/>
  <c r="AE447" i="3"/>
  <c r="AF447" i="3"/>
  <c r="AE448" i="3"/>
  <c r="AF448" i="3"/>
  <c r="AE449" i="3"/>
  <c r="AF449" i="3"/>
  <c r="AE450" i="3"/>
  <c r="AF450" i="3"/>
  <c r="AE451" i="3"/>
  <c r="AF451" i="3"/>
  <c r="AE452" i="3"/>
  <c r="AF452" i="3"/>
  <c r="AE453" i="3"/>
  <c r="AF453" i="3"/>
  <c r="AE454" i="3"/>
  <c r="AF454" i="3"/>
  <c r="AE455" i="3"/>
  <c r="AF455" i="3"/>
  <c r="AE456" i="3"/>
  <c r="AF456" i="3"/>
  <c r="AE457" i="3"/>
  <c r="AF457" i="3"/>
  <c r="AE458" i="3"/>
  <c r="AF458" i="3"/>
  <c r="AE459" i="3"/>
  <c r="AF459" i="3"/>
  <c r="AE460" i="3"/>
  <c r="AF460" i="3"/>
  <c r="AE461" i="3"/>
  <c r="AF461" i="3"/>
  <c r="AE462" i="3"/>
  <c r="AF462" i="3"/>
  <c r="AE463" i="3"/>
  <c r="AF463" i="3"/>
  <c r="AE464" i="3"/>
  <c r="AF464" i="3"/>
  <c r="AE465" i="3"/>
  <c r="AF465" i="3"/>
  <c r="AE466" i="3"/>
  <c r="AF466" i="3"/>
  <c r="AE467" i="3"/>
  <c r="AF467" i="3"/>
  <c r="AE468" i="3"/>
  <c r="AF468" i="3"/>
  <c r="AE469" i="3"/>
  <c r="AF469" i="3"/>
  <c r="AE470" i="3"/>
  <c r="AF470" i="3"/>
  <c r="AE471" i="3"/>
  <c r="AF471" i="3"/>
  <c r="AE472" i="3"/>
  <c r="AF472" i="3"/>
  <c r="AE473" i="3"/>
  <c r="AF473" i="3"/>
  <c r="AE474" i="3"/>
  <c r="AF474" i="3"/>
  <c r="AE475" i="3"/>
  <c r="AF475" i="3"/>
  <c r="AE476" i="3"/>
  <c r="AF476" i="3"/>
  <c r="AE477" i="3"/>
  <c r="AF477" i="3"/>
  <c r="AE478" i="3"/>
  <c r="AF478" i="3"/>
  <c r="AG478" i="3" s="1"/>
  <c r="AE479" i="3"/>
  <c r="AF479" i="3"/>
  <c r="AE480" i="3"/>
  <c r="AF480" i="3"/>
  <c r="AE481" i="3"/>
  <c r="AF481" i="3"/>
  <c r="AE482" i="3"/>
  <c r="AF482" i="3"/>
  <c r="AE483" i="3"/>
  <c r="AF483" i="3"/>
  <c r="AE484" i="3"/>
  <c r="AF484" i="3"/>
  <c r="AE485" i="3"/>
  <c r="AF485" i="3"/>
  <c r="AE486" i="3"/>
  <c r="AF486" i="3"/>
  <c r="AE487" i="3"/>
  <c r="AF487" i="3"/>
  <c r="AE488" i="3"/>
  <c r="AF488" i="3"/>
  <c r="AE489" i="3"/>
  <c r="AF489" i="3"/>
  <c r="AE490" i="3"/>
  <c r="AF490" i="3"/>
  <c r="AE491" i="3"/>
  <c r="AF491" i="3"/>
  <c r="AE492" i="3"/>
  <c r="AF492" i="3"/>
  <c r="AE493" i="3"/>
  <c r="AF493" i="3"/>
  <c r="AE494" i="3"/>
  <c r="AF494" i="3"/>
  <c r="AE495" i="3"/>
  <c r="AF495" i="3"/>
  <c r="AE496" i="3"/>
  <c r="AF496" i="3"/>
  <c r="AE497" i="3"/>
  <c r="AF497" i="3"/>
  <c r="AE498" i="3"/>
  <c r="AF498" i="3"/>
  <c r="AE499" i="3"/>
  <c r="AF499" i="3"/>
  <c r="AE500" i="3"/>
  <c r="AF500" i="3"/>
  <c r="AE501" i="3"/>
  <c r="AF501" i="3"/>
  <c r="AE502" i="3"/>
  <c r="AF502" i="3"/>
  <c r="AE503" i="3"/>
  <c r="AF503" i="3"/>
  <c r="AE504" i="3"/>
  <c r="AF504" i="3"/>
  <c r="AE505" i="3"/>
  <c r="AF505" i="3"/>
  <c r="AE506" i="3"/>
  <c r="AF506" i="3"/>
  <c r="AE507" i="3"/>
  <c r="AF507" i="3"/>
  <c r="AE508" i="3"/>
  <c r="AF508" i="3"/>
  <c r="AE509" i="3"/>
  <c r="AF509" i="3"/>
  <c r="AE510" i="3"/>
  <c r="AF510" i="3"/>
  <c r="AE511" i="3"/>
  <c r="AF511" i="3"/>
  <c r="AE512" i="3"/>
  <c r="AF512" i="3"/>
  <c r="AE513" i="3"/>
  <c r="AF513" i="3"/>
  <c r="AE514" i="3"/>
  <c r="AF514" i="3"/>
  <c r="AE515" i="3"/>
  <c r="AF515" i="3"/>
  <c r="AE516" i="3"/>
  <c r="AF516" i="3"/>
  <c r="AE517" i="3"/>
  <c r="AF517" i="3"/>
  <c r="AE518" i="3"/>
  <c r="AF518" i="3"/>
  <c r="AG518" i="3" s="1"/>
  <c r="AE519" i="3"/>
  <c r="AF519" i="3"/>
  <c r="AE520" i="3"/>
  <c r="AF520" i="3"/>
  <c r="AE521" i="3"/>
  <c r="AF521" i="3"/>
  <c r="AE522" i="3"/>
  <c r="AF522" i="3"/>
  <c r="AE523" i="3"/>
  <c r="AF523" i="3"/>
  <c r="AE524" i="3"/>
  <c r="AF524" i="3"/>
  <c r="AE525" i="3"/>
  <c r="AF525" i="3"/>
  <c r="AE526" i="3"/>
  <c r="AF526" i="3"/>
  <c r="AE527" i="3"/>
  <c r="AF527" i="3"/>
  <c r="AE528" i="3"/>
  <c r="AF528" i="3"/>
  <c r="AE529" i="3"/>
  <c r="AF529" i="3"/>
  <c r="AE530" i="3"/>
  <c r="AF530" i="3"/>
  <c r="AE531" i="3"/>
  <c r="AF531" i="3"/>
  <c r="AE532" i="3"/>
  <c r="AF532" i="3"/>
  <c r="AE533" i="3"/>
  <c r="AF533" i="3"/>
  <c r="AE534" i="3"/>
  <c r="AF534" i="3"/>
  <c r="AE535" i="3"/>
  <c r="AF535" i="3"/>
  <c r="AE536" i="3"/>
  <c r="AF536" i="3"/>
  <c r="AE537" i="3"/>
  <c r="AF537" i="3"/>
  <c r="AE538" i="3"/>
  <c r="AF538" i="3"/>
  <c r="AG538" i="3" s="1"/>
  <c r="AE539" i="3"/>
  <c r="AF539" i="3"/>
  <c r="AE540" i="3"/>
  <c r="AF540" i="3"/>
  <c r="AE541" i="3"/>
  <c r="AF541" i="3"/>
  <c r="AE542" i="3"/>
  <c r="AF542" i="3"/>
  <c r="AE543" i="3"/>
  <c r="AF543" i="3"/>
  <c r="AE544" i="3"/>
  <c r="AF544" i="3"/>
  <c r="AE545" i="3"/>
  <c r="AF545" i="3"/>
  <c r="AE546" i="3"/>
  <c r="AF546" i="3"/>
  <c r="AE547" i="3"/>
  <c r="AF547" i="3"/>
  <c r="AE548" i="3"/>
  <c r="AF548" i="3"/>
  <c r="AE549" i="3"/>
  <c r="AF549" i="3"/>
  <c r="AE550" i="3"/>
  <c r="AF550" i="3"/>
  <c r="AE551" i="3"/>
  <c r="AF551" i="3"/>
  <c r="AE552" i="3"/>
  <c r="AF552" i="3"/>
  <c r="AE553" i="3"/>
  <c r="AF553" i="3"/>
  <c r="AE554" i="3"/>
  <c r="AF554" i="3"/>
  <c r="AE555" i="3"/>
  <c r="AF555" i="3"/>
  <c r="AE556" i="3"/>
  <c r="AF556" i="3"/>
  <c r="AE557" i="3"/>
  <c r="AF557" i="3"/>
  <c r="AE558" i="3"/>
  <c r="AF558" i="3"/>
  <c r="AE559" i="3"/>
  <c r="AF559" i="3"/>
  <c r="AE560" i="3"/>
  <c r="AF560" i="3"/>
  <c r="AE561" i="3"/>
  <c r="AF561" i="3"/>
  <c r="AE562" i="3"/>
  <c r="AF562" i="3"/>
  <c r="AE563" i="3"/>
  <c r="AF563" i="3"/>
  <c r="AE564" i="3"/>
  <c r="AF564" i="3"/>
  <c r="AE565" i="3"/>
  <c r="AF565" i="3"/>
  <c r="AE566" i="3"/>
  <c r="AF566" i="3"/>
  <c r="AE567" i="3"/>
  <c r="AF567" i="3"/>
  <c r="AE568" i="3"/>
  <c r="AF568" i="3"/>
  <c r="AE569" i="3"/>
  <c r="AF569" i="3"/>
  <c r="AE570" i="3"/>
  <c r="AF570" i="3"/>
  <c r="AE571" i="3"/>
  <c r="AF571" i="3"/>
  <c r="AE572" i="3"/>
  <c r="AF572" i="3"/>
  <c r="AE573" i="3"/>
  <c r="AF573" i="3"/>
  <c r="AE574" i="3"/>
  <c r="AF574" i="3"/>
  <c r="AE575" i="3"/>
  <c r="AF575" i="3"/>
  <c r="AE576" i="3"/>
  <c r="AF576" i="3"/>
  <c r="AE577" i="3"/>
  <c r="AF577" i="3"/>
  <c r="AE578" i="3"/>
  <c r="AF578" i="3"/>
  <c r="AE579" i="3"/>
  <c r="AF579" i="3"/>
  <c r="AE580" i="3"/>
  <c r="AF580" i="3"/>
  <c r="AE581" i="3"/>
  <c r="AF581" i="3"/>
  <c r="AE582" i="3"/>
  <c r="AF582" i="3"/>
  <c r="AE583" i="3"/>
  <c r="AF583" i="3"/>
  <c r="AE584" i="3"/>
  <c r="AF584" i="3"/>
  <c r="AE585" i="3"/>
  <c r="AF585" i="3"/>
  <c r="AE586" i="3"/>
  <c r="AF586" i="3"/>
  <c r="AE587" i="3"/>
  <c r="AF587" i="3"/>
  <c r="AE588" i="3"/>
  <c r="AF588" i="3"/>
  <c r="AE589" i="3"/>
  <c r="AF589" i="3"/>
  <c r="AE590" i="3"/>
  <c r="AF590" i="3"/>
  <c r="AE591" i="3"/>
  <c r="AF591" i="3"/>
  <c r="AE592" i="3"/>
  <c r="AF592" i="3"/>
  <c r="AE593" i="3"/>
  <c r="AF593" i="3"/>
  <c r="AE594" i="3"/>
  <c r="AF594" i="3"/>
  <c r="AE595" i="3"/>
  <c r="AF595" i="3"/>
  <c r="AE596" i="3"/>
  <c r="AF596" i="3"/>
  <c r="AE597" i="3"/>
  <c r="AF597" i="3"/>
  <c r="AE598" i="3"/>
  <c r="AF598" i="3"/>
  <c r="AG598" i="3" s="1"/>
  <c r="AE599" i="3"/>
  <c r="AF599" i="3"/>
  <c r="AE600" i="3"/>
  <c r="AF600" i="3"/>
  <c r="AE601" i="3"/>
  <c r="AF601" i="3"/>
  <c r="AE602" i="3"/>
  <c r="AF602" i="3"/>
  <c r="AE603" i="3"/>
  <c r="AF603" i="3"/>
  <c r="AE604" i="3"/>
  <c r="AF604" i="3"/>
  <c r="AE605" i="3"/>
  <c r="AF605" i="3"/>
  <c r="AE606" i="3"/>
  <c r="AF606" i="3"/>
  <c r="AE607" i="3"/>
  <c r="AF607" i="3"/>
  <c r="AE608" i="3"/>
  <c r="AF608" i="3"/>
  <c r="AE609" i="3"/>
  <c r="AF609" i="3"/>
  <c r="AE610" i="3"/>
  <c r="AF610" i="3"/>
  <c r="AE611" i="3"/>
  <c r="AF611" i="3"/>
  <c r="AE612" i="3"/>
  <c r="AF612" i="3"/>
  <c r="AE613" i="3"/>
  <c r="AF613" i="3"/>
  <c r="AE614" i="3"/>
  <c r="AF614" i="3"/>
  <c r="AE615" i="3"/>
  <c r="AF615" i="3"/>
  <c r="AE616" i="3"/>
  <c r="AF616" i="3"/>
  <c r="AE617" i="3"/>
  <c r="AF617" i="3"/>
  <c r="AE618" i="3"/>
  <c r="AF618" i="3"/>
  <c r="AG618" i="3" s="1"/>
  <c r="AE619" i="3"/>
  <c r="AF619" i="3"/>
  <c r="AE620" i="3"/>
  <c r="AF620" i="3"/>
  <c r="AE621" i="3"/>
  <c r="AF621" i="3"/>
  <c r="AE622" i="3"/>
  <c r="AF622" i="3"/>
  <c r="AE623" i="3"/>
  <c r="AF623" i="3"/>
  <c r="AE624" i="3"/>
  <c r="AF624" i="3"/>
  <c r="AE625" i="3"/>
  <c r="AF625" i="3"/>
  <c r="AE626" i="3"/>
  <c r="AF626" i="3"/>
  <c r="AE627" i="3"/>
  <c r="AF627" i="3"/>
  <c r="AE628" i="3"/>
  <c r="AF628" i="3"/>
  <c r="AE629" i="3"/>
  <c r="AF629" i="3"/>
  <c r="AE630" i="3"/>
  <c r="AF630" i="3"/>
  <c r="AE631" i="3"/>
  <c r="AF631" i="3"/>
  <c r="AE632" i="3"/>
  <c r="AF632" i="3"/>
  <c r="AE633" i="3"/>
  <c r="AF633" i="3"/>
  <c r="AE634" i="3"/>
  <c r="AF634" i="3"/>
  <c r="AE635" i="3"/>
  <c r="AF635" i="3"/>
  <c r="AE636" i="3"/>
  <c r="AF636" i="3"/>
  <c r="AE637" i="3"/>
  <c r="AF637" i="3"/>
  <c r="AE638" i="3"/>
  <c r="AF638" i="3"/>
  <c r="AE639" i="3"/>
  <c r="AF639" i="3"/>
  <c r="AE640" i="3"/>
  <c r="AF640" i="3"/>
  <c r="AE641" i="3"/>
  <c r="AF641" i="3"/>
  <c r="AE642" i="3"/>
  <c r="AF642" i="3"/>
  <c r="AE643" i="3"/>
  <c r="AF643" i="3"/>
  <c r="AE644" i="3"/>
  <c r="AF644" i="3"/>
  <c r="AE645" i="3"/>
  <c r="AF645" i="3"/>
  <c r="AE646" i="3"/>
  <c r="AF646" i="3"/>
  <c r="AE647" i="3"/>
  <c r="AF647" i="3"/>
  <c r="AE648" i="3"/>
  <c r="AF648" i="3"/>
  <c r="AE649" i="3"/>
  <c r="AF649" i="3"/>
  <c r="AE650" i="3"/>
  <c r="AF650" i="3"/>
  <c r="AE651" i="3"/>
  <c r="AF651" i="3"/>
  <c r="AE652" i="3"/>
  <c r="AF652" i="3"/>
  <c r="AE653" i="3"/>
  <c r="AF653" i="3"/>
  <c r="AE654" i="3"/>
  <c r="AF654" i="3"/>
  <c r="AE655" i="3"/>
  <c r="AF655" i="3"/>
  <c r="AE656" i="3"/>
  <c r="AF656" i="3"/>
  <c r="AE657" i="3"/>
  <c r="AF657" i="3"/>
  <c r="AE658" i="3"/>
  <c r="AF658" i="3"/>
  <c r="AE659" i="3"/>
  <c r="AF659" i="3"/>
  <c r="AE660" i="3"/>
  <c r="AF660" i="3"/>
  <c r="AE661" i="3"/>
  <c r="AF661" i="3"/>
  <c r="AE662" i="3"/>
  <c r="AF662" i="3"/>
  <c r="AE663" i="3"/>
  <c r="AF663" i="3"/>
  <c r="AE664" i="3"/>
  <c r="AF664" i="3"/>
  <c r="AE665" i="3"/>
  <c r="AF665" i="3"/>
  <c r="AE666" i="3"/>
  <c r="AF666" i="3"/>
  <c r="AE667" i="3"/>
  <c r="AF667" i="3"/>
  <c r="AE668" i="3"/>
  <c r="AF668" i="3"/>
  <c r="AE669" i="3"/>
  <c r="AF669" i="3"/>
  <c r="AE670" i="3"/>
  <c r="AF670" i="3"/>
  <c r="AE671" i="3"/>
  <c r="AF671" i="3"/>
  <c r="AE672" i="3"/>
  <c r="AF672" i="3"/>
  <c r="AE673" i="3"/>
  <c r="AF673" i="3"/>
  <c r="AE674" i="3"/>
  <c r="AF674" i="3"/>
  <c r="AE675" i="3"/>
  <c r="AF675" i="3"/>
  <c r="AE676" i="3"/>
  <c r="AF676" i="3"/>
  <c r="AE677" i="3"/>
  <c r="AF677" i="3"/>
  <c r="AE678" i="3"/>
  <c r="AF678" i="3"/>
  <c r="AG678" i="3" s="1"/>
  <c r="AE679" i="3"/>
  <c r="AF679" i="3"/>
  <c r="AE680" i="3"/>
  <c r="AF680" i="3"/>
  <c r="AE681" i="3"/>
  <c r="AF681" i="3"/>
  <c r="AE682" i="3"/>
  <c r="AF682" i="3"/>
  <c r="AE683" i="3"/>
  <c r="AF683" i="3"/>
  <c r="AE684" i="3"/>
  <c r="AF684" i="3"/>
  <c r="AE685" i="3"/>
  <c r="AF685" i="3"/>
  <c r="AG685" i="3" s="1"/>
  <c r="AE686" i="3"/>
  <c r="AF686" i="3"/>
  <c r="AE687" i="3"/>
  <c r="AF687" i="3"/>
  <c r="AE688" i="3"/>
  <c r="AF688" i="3"/>
  <c r="AE689" i="3"/>
  <c r="AF689" i="3"/>
  <c r="AE690" i="3"/>
  <c r="AF690" i="3"/>
  <c r="AE691" i="3"/>
  <c r="AF691" i="3"/>
  <c r="AE692" i="3"/>
  <c r="AF692" i="3"/>
  <c r="AE693" i="3"/>
  <c r="AF693" i="3"/>
  <c r="AE694" i="3"/>
  <c r="AF694" i="3"/>
  <c r="AE695" i="3"/>
  <c r="AF695" i="3"/>
  <c r="AE696" i="3"/>
  <c r="AF696" i="3"/>
  <c r="AE697" i="3"/>
  <c r="AF697" i="3"/>
  <c r="AE698" i="3"/>
  <c r="AF698" i="3"/>
  <c r="AG698" i="3" s="1"/>
  <c r="AE699" i="3"/>
  <c r="AF699" i="3"/>
  <c r="AE700" i="3"/>
  <c r="AF700" i="3"/>
  <c r="AE701" i="3"/>
  <c r="AF701" i="3"/>
  <c r="AE702" i="3"/>
  <c r="AF702" i="3"/>
  <c r="AE703" i="3"/>
  <c r="AF703" i="3"/>
  <c r="AE704" i="3"/>
  <c r="AF704" i="3"/>
  <c r="AE705" i="3"/>
  <c r="AF705" i="3"/>
  <c r="AE706" i="3"/>
  <c r="AF706" i="3"/>
  <c r="AE707" i="3"/>
  <c r="AF707" i="3"/>
  <c r="AE708" i="3"/>
  <c r="AF708" i="3"/>
  <c r="AE709" i="3"/>
  <c r="AF709" i="3"/>
  <c r="AE710" i="3"/>
  <c r="AF710" i="3"/>
  <c r="AE711" i="3"/>
  <c r="AF711" i="3"/>
  <c r="AE712" i="3"/>
  <c r="AF712" i="3"/>
  <c r="AE713" i="3"/>
  <c r="AF713" i="3"/>
  <c r="AE714" i="3"/>
  <c r="AF714" i="3"/>
  <c r="AE715" i="3"/>
  <c r="AF715" i="3"/>
  <c r="AE716" i="3"/>
  <c r="AF716" i="3"/>
  <c r="AG716" i="3" s="1"/>
  <c r="AE717" i="3"/>
  <c r="AF717" i="3"/>
  <c r="AE718" i="3"/>
  <c r="AF718" i="3"/>
  <c r="AE719" i="3"/>
  <c r="AF719" i="3"/>
  <c r="AE720" i="3"/>
  <c r="AF720" i="3"/>
  <c r="AE721" i="3"/>
  <c r="AF721" i="3"/>
  <c r="AE722" i="3"/>
  <c r="AF722" i="3"/>
  <c r="AE723" i="3"/>
  <c r="AF723" i="3"/>
  <c r="AE724" i="3"/>
  <c r="AF724" i="3"/>
  <c r="AE725" i="3"/>
  <c r="AF725" i="3"/>
  <c r="AE726" i="3"/>
  <c r="AF726" i="3"/>
  <c r="AE727" i="3"/>
  <c r="AF727" i="3"/>
  <c r="AE728" i="3"/>
  <c r="AF728" i="3"/>
  <c r="AE729" i="3"/>
  <c r="AF729" i="3"/>
  <c r="AE730" i="3"/>
  <c r="AF730" i="3"/>
  <c r="AE731" i="3"/>
  <c r="AF731" i="3"/>
  <c r="AE732" i="3"/>
  <c r="AF732" i="3"/>
  <c r="AE733" i="3"/>
  <c r="AF733" i="3"/>
  <c r="AE734" i="3"/>
  <c r="AF734" i="3"/>
  <c r="AE735" i="3"/>
  <c r="AF735" i="3"/>
  <c r="AE736" i="3"/>
  <c r="AF736" i="3"/>
  <c r="AE737" i="3"/>
  <c r="AF737" i="3"/>
  <c r="AE738" i="3"/>
  <c r="AF738" i="3"/>
  <c r="AG738" i="3" s="1"/>
  <c r="AE739" i="3"/>
  <c r="AF739" i="3"/>
  <c r="AE740" i="3"/>
  <c r="AF740" i="3"/>
  <c r="AE741" i="3"/>
  <c r="AF741" i="3"/>
  <c r="AE742" i="3"/>
  <c r="AF742" i="3"/>
  <c r="AE743" i="3"/>
  <c r="AF743" i="3"/>
  <c r="AE744" i="3"/>
  <c r="AF744" i="3"/>
  <c r="AE745" i="3"/>
  <c r="AF745" i="3"/>
  <c r="AE746" i="3"/>
  <c r="AF746" i="3"/>
  <c r="AE747" i="3"/>
  <c r="AF747" i="3"/>
  <c r="AE748" i="3"/>
  <c r="AF748" i="3"/>
  <c r="AE749" i="3"/>
  <c r="AF749" i="3"/>
  <c r="AE750" i="3"/>
  <c r="AF750" i="3"/>
  <c r="AE751" i="3"/>
  <c r="AF751" i="3"/>
  <c r="AE752" i="3"/>
  <c r="AF752" i="3"/>
  <c r="AE753" i="3"/>
  <c r="AF753" i="3"/>
  <c r="AE754" i="3"/>
  <c r="AF754" i="3"/>
  <c r="AE755" i="3"/>
  <c r="AF755" i="3"/>
  <c r="AE756" i="3"/>
  <c r="AF756" i="3"/>
  <c r="AE757" i="3"/>
  <c r="AF757" i="3"/>
  <c r="AE758" i="3"/>
  <c r="AF758" i="3"/>
  <c r="AE759" i="3"/>
  <c r="AF759" i="3"/>
  <c r="AE760" i="3"/>
  <c r="AF760" i="3"/>
  <c r="AE761" i="3"/>
  <c r="AF761" i="3"/>
  <c r="AE762" i="3"/>
  <c r="AF762" i="3"/>
  <c r="AE763" i="3"/>
  <c r="AF763" i="3"/>
  <c r="AE764" i="3"/>
  <c r="AF764" i="3"/>
  <c r="AE765" i="3"/>
  <c r="AF765" i="3"/>
  <c r="AE766" i="3"/>
  <c r="AF766" i="3"/>
  <c r="AE767" i="3"/>
  <c r="AF767" i="3"/>
  <c r="AE768" i="3"/>
  <c r="AF768" i="3"/>
  <c r="AE769" i="3"/>
  <c r="AF769" i="3"/>
  <c r="AE770" i="3"/>
  <c r="AF770" i="3"/>
  <c r="AE771" i="3"/>
  <c r="AF771" i="3"/>
  <c r="AE772" i="3"/>
  <c r="AF772" i="3"/>
  <c r="AE773" i="3"/>
  <c r="AF773" i="3"/>
  <c r="AE774" i="3"/>
  <c r="AF774" i="3"/>
  <c r="AE775" i="3"/>
  <c r="AF775" i="3"/>
  <c r="AE776" i="3"/>
  <c r="AF776" i="3"/>
  <c r="AE777" i="3"/>
  <c r="AF777" i="3"/>
  <c r="AE778" i="3"/>
  <c r="AF778" i="3"/>
  <c r="AG778" i="3" s="1"/>
  <c r="AE779" i="3"/>
  <c r="AF779" i="3"/>
  <c r="AE780" i="3"/>
  <c r="AF780" i="3"/>
  <c r="AE781" i="3"/>
  <c r="AF781" i="3"/>
  <c r="AE782" i="3"/>
  <c r="AF782" i="3"/>
  <c r="AE783" i="3"/>
  <c r="AF783" i="3"/>
  <c r="AE784" i="3"/>
  <c r="AF784" i="3"/>
  <c r="AE785" i="3"/>
  <c r="AF785" i="3"/>
  <c r="AE786" i="3"/>
  <c r="AF786" i="3"/>
  <c r="AE787" i="3"/>
  <c r="AF787" i="3"/>
  <c r="AE788" i="3"/>
  <c r="AF788" i="3"/>
  <c r="AE789" i="3"/>
  <c r="AF789" i="3"/>
  <c r="AE790" i="3"/>
  <c r="AF790" i="3"/>
  <c r="AE791" i="3"/>
  <c r="AF791" i="3"/>
  <c r="AE792" i="3"/>
  <c r="AF792" i="3"/>
  <c r="AE793" i="3"/>
  <c r="AF793" i="3"/>
  <c r="AE794" i="3"/>
  <c r="AF794" i="3"/>
  <c r="AE795" i="3"/>
  <c r="AF795" i="3"/>
  <c r="AE796" i="3"/>
  <c r="AF796" i="3"/>
  <c r="AE797" i="3"/>
  <c r="AF797" i="3"/>
  <c r="AE798" i="3"/>
  <c r="AF798" i="3"/>
  <c r="AG798" i="3" s="1"/>
  <c r="AE799" i="3"/>
  <c r="AF799" i="3"/>
  <c r="AE800" i="3"/>
  <c r="AF800" i="3"/>
  <c r="AE801" i="3"/>
  <c r="AF801" i="3"/>
  <c r="AE802" i="3"/>
  <c r="AF802" i="3"/>
  <c r="AE803" i="3"/>
  <c r="AF803" i="3"/>
  <c r="AE804" i="3"/>
  <c r="AF804" i="3"/>
  <c r="AF5" i="3"/>
  <c r="AE5" i="3"/>
  <c r="AJ212" i="4"/>
  <c r="AF298" i="4"/>
  <c r="AF293" i="4"/>
  <c r="AF292" i="4"/>
  <c r="AF287" i="4"/>
  <c r="AF279" i="4"/>
  <c r="AF215" i="4"/>
  <c r="AF187" i="4"/>
  <c r="AF183" i="4"/>
  <c r="AF182" i="4"/>
  <c r="AF170" i="4"/>
  <c r="AF169" i="4"/>
  <c r="AF165" i="4"/>
  <c r="AF163" i="4"/>
  <c r="AF61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I8" i="4"/>
  <c r="AH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8" i="4"/>
  <c r="I1" i="4"/>
  <c r="I2" i="4"/>
  <c r="I3" i="4"/>
  <c r="C1" i="4"/>
  <c r="D1" i="4"/>
  <c r="E1" i="4"/>
  <c r="F1" i="4"/>
  <c r="G1" i="4"/>
  <c r="H1" i="4"/>
  <c r="C2" i="4"/>
  <c r="D2" i="4"/>
  <c r="E2" i="4"/>
  <c r="F2" i="4"/>
  <c r="G2" i="4"/>
  <c r="H2" i="4"/>
  <c r="C3" i="4"/>
  <c r="D3" i="4"/>
  <c r="E3" i="4"/>
  <c r="F3" i="4"/>
  <c r="G3" i="4"/>
  <c r="H3" i="4"/>
  <c r="B1" i="4"/>
  <c r="B2" i="4"/>
  <c r="B3" i="4"/>
  <c r="AG139" i="3" l="1"/>
  <c r="AG418" i="3"/>
  <c r="AG797" i="3"/>
  <c r="AG777" i="3"/>
  <c r="AG737" i="3"/>
  <c r="AG637" i="3"/>
  <c r="AG577" i="3"/>
  <c r="AG537" i="3"/>
  <c r="AG437" i="3"/>
  <c r="AG417" i="3"/>
  <c r="AG217" i="3"/>
  <c r="AG197" i="3"/>
  <c r="AG137" i="3"/>
  <c r="AG117" i="3"/>
  <c r="AG77" i="3"/>
  <c r="AG37" i="3"/>
  <c r="AG578" i="3"/>
  <c r="AG218" i="3"/>
  <c r="AG198" i="3"/>
  <c r="AG78" i="3"/>
  <c r="AG733" i="3"/>
  <c r="AG653" i="3"/>
  <c r="AG583" i="3"/>
  <c r="AG503" i="3"/>
  <c r="AG153" i="3"/>
  <c r="AG83" i="3"/>
  <c r="AG576" i="3"/>
  <c r="AG296" i="3"/>
  <c r="AG516" i="3"/>
  <c r="AG295" i="3"/>
  <c r="AG718" i="3"/>
  <c r="AG638" i="3"/>
  <c r="AG498" i="3"/>
  <c r="AG278" i="3"/>
  <c r="AG138" i="3"/>
  <c r="AG717" i="3"/>
  <c r="AG497" i="3"/>
  <c r="AG374" i="3"/>
  <c r="AG723" i="3"/>
  <c r="AG643" i="3"/>
  <c r="AG143" i="3"/>
  <c r="AG338" i="3"/>
  <c r="AG697" i="3"/>
  <c r="AG639" i="3"/>
  <c r="AG339" i="3"/>
  <c r="AG199" i="3"/>
  <c r="AG677" i="3"/>
  <c r="AG617" i="3"/>
  <c r="AG597" i="3"/>
  <c r="AG517" i="3"/>
  <c r="AG477" i="3"/>
  <c r="AG377" i="3"/>
  <c r="AG317" i="3"/>
  <c r="AG297" i="3"/>
  <c r="AG177" i="3"/>
  <c r="AG97" i="3"/>
  <c r="AG17" i="3"/>
  <c r="AG223" i="3"/>
  <c r="AG436" i="3"/>
  <c r="AG416" i="3"/>
  <c r="AG356" i="3"/>
  <c r="AG156" i="3"/>
  <c r="AG355" i="3"/>
  <c r="AG255" i="3"/>
  <c r="AG195" i="3"/>
  <c r="AG175" i="3"/>
  <c r="AG155" i="3"/>
  <c r="AG135" i="3"/>
  <c r="AG115" i="3"/>
  <c r="AG95" i="3"/>
  <c r="AG75" i="3"/>
  <c r="AG55" i="3"/>
  <c r="AG35" i="3"/>
  <c r="AG15" i="3"/>
  <c r="AG736" i="3"/>
  <c r="AG676" i="3"/>
  <c r="AG656" i="3"/>
  <c r="AG596" i="3"/>
  <c r="AG476" i="3"/>
  <c r="AG796" i="3"/>
  <c r="AG776" i="3"/>
  <c r="AG756" i="3"/>
  <c r="AG636" i="3"/>
  <c r="AG616" i="3"/>
  <c r="AG556" i="3"/>
  <c r="AG536" i="3"/>
  <c r="AG496" i="3"/>
  <c r="AG456" i="3"/>
  <c r="AG396" i="3"/>
  <c r="AG376" i="3"/>
  <c r="AG316" i="3"/>
  <c r="AG256" i="3"/>
  <c r="AG196" i="3"/>
  <c r="AG176" i="3"/>
  <c r="AG136" i="3"/>
  <c r="AG116" i="3"/>
  <c r="AG96" i="3"/>
  <c r="AG76" i="3"/>
  <c r="AG56" i="3"/>
  <c r="AG16" i="3"/>
  <c r="AG795" i="3"/>
  <c r="AG775" i="3"/>
  <c r="AG755" i="3"/>
  <c r="AG735" i="3"/>
  <c r="AG715" i="3"/>
  <c r="AG655" i="3"/>
  <c r="AG635" i="3"/>
  <c r="AG615" i="3"/>
  <c r="AG595" i="3"/>
  <c r="AG575" i="3"/>
  <c r="AG555" i="3"/>
  <c r="AG495" i="3"/>
  <c r="AG336" i="3"/>
  <c r="AG696" i="3"/>
  <c r="AG695" i="3"/>
  <c r="AG216" i="3"/>
  <c r="AG36" i="3"/>
  <c r="AG236" i="3"/>
  <c r="AG699" i="3"/>
  <c r="AG499" i="3"/>
  <c r="AG799" i="3"/>
  <c r="AG789" i="3"/>
  <c r="AG779" i="3"/>
  <c r="AG769" i="3"/>
  <c r="AG759" i="3"/>
  <c r="AG749" i="3"/>
  <c r="AG739" i="3"/>
  <c r="AG719" i="3"/>
  <c r="AG709" i="3"/>
  <c r="AG689" i="3"/>
  <c r="AG679" i="3"/>
  <c r="AG669" i="3"/>
  <c r="AG659" i="3"/>
  <c r="AG629" i="3"/>
  <c r="AG619" i="3"/>
  <c r="AG609" i="3"/>
  <c r="AG599" i="3"/>
  <c r="AG579" i="3"/>
  <c r="AG569" i="3"/>
  <c r="AG559" i="3"/>
  <c r="AG539" i="3"/>
  <c r="AG519" i="3"/>
  <c r="AG479" i="3"/>
  <c r="AG459" i="3"/>
  <c r="AG439" i="3"/>
  <c r="AG419" i="3"/>
  <c r="AG399" i="3"/>
  <c r="AG379" i="3"/>
  <c r="AG359" i="3"/>
  <c r="AG319" i="3"/>
  <c r="AG299" i="3"/>
  <c r="AG279" i="3"/>
  <c r="AG259" i="3"/>
  <c r="AG239" i="3"/>
  <c r="AG219" i="3"/>
  <c r="AG179" i="3"/>
  <c r="AG169" i="3"/>
  <c r="AG149" i="3"/>
  <c r="AG129" i="3"/>
  <c r="AG109" i="3"/>
  <c r="AG99" i="3"/>
  <c r="AG89" i="3"/>
  <c r="AG79" i="3"/>
  <c r="AG69" i="3"/>
  <c r="AG59" i="3"/>
  <c r="AG49" i="3"/>
  <c r="AG39" i="3"/>
  <c r="AG29" i="3"/>
  <c r="AG19" i="3"/>
  <c r="AG9" i="3"/>
  <c r="AG729" i="3"/>
  <c r="AG649" i="3"/>
  <c r="AG589" i="3"/>
  <c r="AG549" i="3"/>
  <c r="AG529" i="3"/>
  <c r="AG509" i="3"/>
  <c r="AG489" i="3"/>
  <c r="AG469" i="3"/>
  <c r="AG449" i="3"/>
  <c r="AG429" i="3"/>
  <c r="AG409" i="3"/>
  <c r="AG389" i="3"/>
  <c r="AG369" i="3"/>
  <c r="AG349" i="3"/>
  <c r="AG329" i="3"/>
  <c r="AG309" i="3"/>
  <c r="AG289" i="3"/>
  <c r="AG269" i="3"/>
  <c r="AG249" i="3"/>
  <c r="AG229" i="3"/>
  <c r="AG209" i="3"/>
  <c r="AG189" i="3"/>
  <c r="AG159" i="3"/>
  <c r="AG119" i="3"/>
  <c r="AG757" i="3"/>
  <c r="AG657" i="3"/>
  <c r="AG557" i="3"/>
  <c r="AG457" i="3"/>
  <c r="AG357" i="3"/>
  <c r="AG257" i="3"/>
  <c r="AG157" i="3"/>
  <c r="AG57" i="3"/>
  <c r="AG535" i="3"/>
  <c r="AG435" i="3"/>
  <c r="AG315" i="3"/>
  <c r="AG235" i="3"/>
  <c r="AG784" i="3"/>
  <c r="AG754" i="3"/>
  <c r="AG724" i="3"/>
  <c r="AG684" i="3"/>
  <c r="AG654" i="3"/>
  <c r="AG614" i="3"/>
  <c r="AG584" i="3"/>
  <c r="AG554" i="3"/>
  <c r="AG524" i="3"/>
  <c r="AG494" i="3"/>
  <c r="AG454" i="3"/>
  <c r="AG424" i="3"/>
  <c r="AG394" i="3"/>
  <c r="AG364" i="3"/>
  <c r="AG334" i="3"/>
  <c r="AG294" i="3"/>
  <c r="AG264" i="3"/>
  <c r="AG224" i="3"/>
  <c r="AG194" i="3"/>
  <c r="AG164" i="3"/>
  <c r="AG134" i="3"/>
  <c r="AG104" i="3"/>
  <c r="AG74" i="3"/>
  <c r="AG44" i="3"/>
  <c r="AG14" i="3"/>
  <c r="AG515" i="3"/>
  <c r="AG415" i="3"/>
  <c r="AG794" i="3"/>
  <c r="AG764" i="3"/>
  <c r="AG734" i="3"/>
  <c r="AG714" i="3"/>
  <c r="AG694" i="3"/>
  <c r="AG664" i="3"/>
  <c r="AG634" i="3"/>
  <c r="AG604" i="3"/>
  <c r="AG564" i="3"/>
  <c r="AG534" i="3"/>
  <c r="AG504" i="3"/>
  <c r="AG474" i="3"/>
  <c r="AG444" i="3"/>
  <c r="AG414" i="3"/>
  <c r="AG384" i="3"/>
  <c r="AG354" i="3"/>
  <c r="AG314" i="3"/>
  <c r="AG284" i="3"/>
  <c r="AG254" i="3"/>
  <c r="AG234" i="3"/>
  <c r="AG214" i="3"/>
  <c r="AG184" i="3"/>
  <c r="AG154" i="3"/>
  <c r="AG124" i="3"/>
  <c r="AG84" i="3"/>
  <c r="AG54" i="3"/>
  <c r="AG34" i="3"/>
  <c r="AG803" i="3"/>
  <c r="AG793" i="3"/>
  <c r="AG783" i="3"/>
  <c r="AG753" i="3"/>
  <c r="AG743" i="3"/>
  <c r="AG703" i="3"/>
  <c r="AG693" i="3"/>
  <c r="AG683" i="3"/>
  <c r="AG633" i="3"/>
  <c r="AG623" i="3"/>
  <c r="AG603" i="3"/>
  <c r="AG593" i="3"/>
  <c r="AG553" i="3"/>
  <c r="AG543" i="3"/>
  <c r="AG533" i="3"/>
  <c r="AG523" i="3"/>
  <c r="AG493" i="3"/>
  <c r="AG483" i="3"/>
  <c r="AG453" i="3"/>
  <c r="AG443" i="3"/>
  <c r="AG433" i="3"/>
  <c r="AG423" i="3"/>
  <c r="AG403" i="3"/>
  <c r="AG393" i="3"/>
  <c r="AG383" i="3"/>
  <c r="AG353" i="3"/>
  <c r="AG343" i="3"/>
  <c r="AG333" i="3"/>
  <c r="AG323" i="3"/>
  <c r="AG303" i="3"/>
  <c r="AG293" i="3"/>
  <c r="AG283" i="3"/>
  <c r="AG253" i="3"/>
  <c r="AG243" i="3"/>
  <c r="AG233" i="3"/>
  <c r="AG203" i="3"/>
  <c r="AG193" i="3"/>
  <c r="AG183" i="3"/>
  <c r="AG133" i="3"/>
  <c r="AG123" i="3"/>
  <c r="AG103" i="3"/>
  <c r="AG93" i="3"/>
  <c r="AG53" i="3"/>
  <c r="AG43" i="3"/>
  <c r="AG33" i="3"/>
  <c r="AG23" i="3"/>
  <c r="AG395" i="3"/>
  <c r="AG215" i="3"/>
  <c r="AG804" i="3"/>
  <c r="AG774" i="3"/>
  <c r="AG744" i="3"/>
  <c r="AG704" i="3"/>
  <c r="AG674" i="3"/>
  <c r="AG644" i="3"/>
  <c r="AG624" i="3"/>
  <c r="AG594" i="3"/>
  <c r="AG574" i="3"/>
  <c r="AG544" i="3"/>
  <c r="AG514" i="3"/>
  <c r="AG484" i="3"/>
  <c r="AG464" i="3"/>
  <c r="AG434" i="3"/>
  <c r="AG404" i="3"/>
  <c r="AG344" i="3"/>
  <c r="AG324" i="3"/>
  <c r="AG304" i="3"/>
  <c r="AG274" i="3"/>
  <c r="AG244" i="3"/>
  <c r="AG204" i="3"/>
  <c r="AG174" i="3"/>
  <c r="AG144" i="3"/>
  <c r="AG114" i="3"/>
  <c r="AG94" i="3"/>
  <c r="AG64" i="3"/>
  <c r="AG24" i="3"/>
  <c r="AG475" i="3"/>
  <c r="AG455" i="3"/>
  <c r="AG375" i="3"/>
  <c r="AG335" i="3"/>
  <c r="AG275" i="3"/>
  <c r="AG263" i="3"/>
  <c r="AG352" i="3"/>
  <c r="AG800" i="3"/>
  <c r="AG790" i="3"/>
  <c r="AG780" i="3"/>
  <c r="AG770" i="3"/>
  <c r="AG760" i="3"/>
  <c r="AG750" i="3"/>
  <c r="AG740" i="3"/>
  <c r="AG730" i="3"/>
  <c r="AG720" i="3"/>
  <c r="AG710" i="3"/>
  <c r="AG700" i="3"/>
  <c r="AG690" i="3"/>
  <c r="AG680" i="3"/>
  <c r="AG670" i="3"/>
  <c r="AG650" i="3"/>
  <c r="AG640" i="3"/>
  <c r="AG630" i="3"/>
  <c r="AG620" i="3"/>
  <c r="AG610" i="3"/>
  <c r="AG600" i="3"/>
  <c r="AG590" i="3"/>
  <c r="AG580" i="3"/>
  <c r="AG570" i="3"/>
  <c r="AG560" i="3"/>
  <c r="AG550" i="3"/>
  <c r="AG540" i="3"/>
  <c r="AG530" i="3"/>
  <c r="AG520" i="3"/>
  <c r="AG510" i="3"/>
  <c r="AG500" i="3"/>
  <c r="AG490" i="3"/>
  <c r="AG480" i="3"/>
  <c r="AG470" i="3"/>
  <c r="AG460" i="3"/>
  <c r="AG450" i="3"/>
  <c r="AG440" i="3"/>
  <c r="AG430" i="3"/>
  <c r="AG420" i="3"/>
  <c r="AG410" i="3"/>
  <c r="AG400" i="3"/>
  <c r="AG390" i="3"/>
  <c r="AG380" i="3"/>
  <c r="AG370" i="3"/>
  <c r="AG360" i="3"/>
  <c r="AG350" i="3"/>
  <c r="AG340" i="3"/>
  <c r="AG330" i="3"/>
  <c r="AG320" i="3"/>
  <c r="AG310" i="3"/>
  <c r="AG300" i="3"/>
  <c r="AG290" i="3"/>
  <c r="AG280" i="3"/>
  <c r="AG270" i="3"/>
  <c r="AG260" i="3"/>
  <c r="AG250" i="3"/>
  <c r="AG240" i="3"/>
  <c r="AG230" i="3"/>
  <c r="AG220" i="3"/>
  <c r="AG210" i="3"/>
  <c r="AG200" i="3"/>
  <c r="AG190" i="3"/>
  <c r="AG180" i="3"/>
  <c r="AG170" i="3"/>
  <c r="AG160" i="3"/>
  <c r="AG150" i="3"/>
  <c r="AG140" i="3"/>
  <c r="AG130" i="3"/>
  <c r="AG120" i="3"/>
  <c r="AG110" i="3"/>
  <c r="AG100" i="3"/>
  <c r="AG90" i="3"/>
  <c r="AG80" i="3"/>
  <c r="AG70" i="3"/>
  <c r="AG60" i="3"/>
  <c r="AG50" i="3"/>
  <c r="AG40" i="3"/>
  <c r="AG30" i="3"/>
  <c r="AG20" i="3"/>
  <c r="AG10" i="3"/>
  <c r="AG613" i="3"/>
  <c r="AG573" i="3"/>
  <c r="AG463" i="3"/>
  <c r="AG413" i="3"/>
  <c r="AG363" i="3"/>
  <c r="AG313" i="3"/>
  <c r="AG273" i="3"/>
  <c r="AG173" i="3"/>
  <c r="AG163" i="3"/>
  <c r="AG113" i="3"/>
  <c r="AG63" i="3"/>
  <c r="AG13" i="3"/>
  <c r="AG802" i="3"/>
  <c r="AG782" i="3"/>
  <c r="AG762" i="3"/>
  <c r="AG742" i="3"/>
  <c r="AG722" i="3"/>
  <c r="AG702" i="3"/>
  <c r="AG682" i="3"/>
  <c r="AG662" i="3"/>
  <c r="AG622" i="3"/>
  <c r="AG602" i="3"/>
  <c r="AG582" i="3"/>
  <c r="AG562" i="3"/>
  <c r="AG542" i="3"/>
  <c r="AG522" i="3"/>
  <c r="AG502" i="3"/>
  <c r="AG482" i="3"/>
  <c r="AG462" i="3"/>
  <c r="AG442" i="3"/>
  <c r="AG422" i="3"/>
  <c r="AG392" i="3"/>
  <c r="AG372" i="3"/>
  <c r="AG332" i="3"/>
  <c r="AG312" i="3"/>
  <c r="AG292" i="3"/>
  <c r="AG262" i="3"/>
  <c r="AG242" i="3"/>
  <c r="AG222" i="3"/>
  <c r="AG202" i="3"/>
  <c r="AG162" i="3"/>
  <c r="AG122" i="3"/>
  <c r="AG12" i="3"/>
  <c r="AG801" i="3"/>
  <c r="AG781" i="3"/>
  <c r="AG761" i="3"/>
  <c r="AG741" i="3"/>
  <c r="AG721" i="3"/>
  <c r="AG701" i="3"/>
  <c r="AG758" i="3"/>
  <c r="AG658" i="3"/>
  <c r="AG558" i="3"/>
  <c r="AG458" i="3"/>
  <c r="AG358" i="3"/>
  <c r="AG258" i="3"/>
  <c r="AG158" i="3"/>
  <c r="AG58" i="3"/>
  <c r="AG652" i="3"/>
  <c r="AG42" i="3"/>
  <c r="AG673" i="3"/>
  <c r="AG642" i="3"/>
  <c r="AG22" i="3"/>
  <c r="AG192" i="3"/>
  <c r="AG5" i="3"/>
  <c r="AG785" i="3"/>
  <c r="AG765" i="3"/>
  <c r="AG745" i="3"/>
  <c r="AG725" i="3"/>
  <c r="AG705" i="3"/>
  <c r="AG665" i="3"/>
  <c r="AG645" i="3"/>
  <c r="AG625" i="3"/>
  <c r="AG605" i="3"/>
  <c r="AG585" i="3"/>
  <c r="AG565" i="3"/>
  <c r="AG545" i="3"/>
  <c r="AG525" i="3"/>
  <c r="AG505" i="3"/>
  <c r="AG485" i="3"/>
  <c r="AG465" i="3"/>
  <c r="AG445" i="3"/>
  <c r="AG425" i="3"/>
  <c r="AG405" i="3"/>
  <c r="AG385" i="3"/>
  <c r="AG365" i="3"/>
  <c r="AG345" i="3"/>
  <c r="AG325" i="3"/>
  <c r="AG305" i="3"/>
  <c r="AG285" i="3"/>
  <c r="AG265" i="3"/>
  <c r="AG245" i="3"/>
  <c r="AG225" i="3"/>
  <c r="AG205" i="3"/>
  <c r="AG185" i="3"/>
  <c r="AG165" i="3"/>
  <c r="AG145" i="3"/>
  <c r="AG125" i="3"/>
  <c r="AG105" i="3"/>
  <c r="AG85" i="3"/>
  <c r="AG65" i="3"/>
  <c r="AG45" i="3"/>
  <c r="AG25" i="3"/>
  <c r="AG73" i="3"/>
  <c r="AG362" i="3"/>
  <c r="AG675" i="3"/>
  <c r="AG773" i="3"/>
  <c r="AG763" i="3"/>
  <c r="AG713" i="3"/>
  <c r="AG663" i="3"/>
  <c r="AG563" i="3"/>
  <c r="AG513" i="3"/>
  <c r="AG473" i="3"/>
  <c r="AG373" i="3"/>
  <c r="AG213" i="3"/>
  <c r="AG792" i="3"/>
  <c r="AG772" i="3"/>
  <c r="AG752" i="3"/>
  <c r="AG732" i="3"/>
  <c r="AG712" i="3"/>
  <c r="AG692" i="3"/>
  <c r="AG672" i="3"/>
  <c r="AG632" i="3"/>
  <c r="AG612" i="3"/>
  <c r="AG592" i="3"/>
  <c r="AG572" i="3"/>
  <c r="AG552" i="3"/>
  <c r="AG532" i="3"/>
  <c r="AG512" i="3"/>
  <c r="AG492" i="3"/>
  <c r="AG472" i="3"/>
  <c r="AG452" i="3"/>
  <c r="AG432" i="3"/>
  <c r="AG412" i="3"/>
  <c r="AG402" i="3"/>
  <c r="AG382" i="3"/>
  <c r="AG342" i="3"/>
  <c r="AG322" i="3"/>
  <c r="AG302" i="3"/>
  <c r="AG282" i="3"/>
  <c r="AG272" i="3"/>
  <c r="AG252" i="3"/>
  <c r="AG232" i="3"/>
  <c r="AG212" i="3"/>
  <c r="AG182" i="3"/>
  <c r="AG172" i="3"/>
  <c r="AG152" i="3"/>
  <c r="AG142" i="3"/>
  <c r="AG132" i="3"/>
  <c r="AG112" i="3"/>
  <c r="AG102" i="3"/>
  <c r="AG92" i="3"/>
  <c r="AG82" i="3"/>
  <c r="AG72" i="3"/>
  <c r="AG62" i="3"/>
  <c r="AG52" i="3"/>
  <c r="AG32" i="3"/>
  <c r="AG791" i="3"/>
  <c r="AG771" i="3"/>
  <c r="AG751" i="3"/>
  <c r="AG731" i="3"/>
  <c r="AG711" i="3"/>
  <c r="AG660" i="3"/>
  <c r="AG691" i="3"/>
  <c r="AG681" i="3"/>
  <c r="AG671" i="3"/>
  <c r="AG661" i="3"/>
  <c r="AG651" i="3"/>
  <c r="AG641" i="3"/>
  <c r="AG631" i="3"/>
  <c r="AG621" i="3"/>
  <c r="AG611" i="3"/>
  <c r="AG601" i="3"/>
  <c r="AG591" i="3"/>
  <c r="AG581" i="3"/>
  <c r="AG571" i="3"/>
  <c r="AG561" i="3"/>
  <c r="AG551" i="3"/>
  <c r="AG541" i="3"/>
  <c r="AG531" i="3"/>
  <c r="AG521" i="3"/>
  <c r="AG511" i="3"/>
  <c r="AG501" i="3"/>
  <c r="AG491" i="3"/>
  <c r="AG481" i="3"/>
  <c r="AG471" i="3"/>
  <c r="AG461" i="3"/>
  <c r="AG451" i="3"/>
  <c r="AG441" i="3"/>
  <c r="AG431" i="3"/>
  <c r="AG421" i="3"/>
  <c r="AG411" i="3"/>
  <c r="AG401" i="3"/>
  <c r="AG391" i="3"/>
  <c r="AG381" i="3"/>
  <c r="AG371" i="3"/>
  <c r="AG361" i="3"/>
  <c r="AG351" i="3"/>
  <c r="AG341" i="3"/>
  <c r="AG331" i="3"/>
  <c r="AG321" i="3"/>
  <c r="AG311" i="3"/>
  <c r="AG301" i="3"/>
  <c r="AG291" i="3"/>
  <c r="AG281" i="3"/>
  <c r="AG271" i="3"/>
  <c r="AG261" i="3"/>
  <c r="AG251" i="3"/>
  <c r="AG241" i="3"/>
  <c r="AG231" i="3"/>
  <c r="AG221" i="3"/>
  <c r="AG211" i="3"/>
  <c r="AG201" i="3"/>
  <c r="AG191" i="3"/>
  <c r="AG181" i="3"/>
  <c r="AG171" i="3"/>
  <c r="AG161" i="3"/>
  <c r="AG151" i="3"/>
  <c r="AG141" i="3"/>
  <c r="AG131" i="3"/>
  <c r="AG121" i="3"/>
  <c r="AG111" i="3"/>
  <c r="AG101" i="3"/>
  <c r="AG91" i="3"/>
  <c r="AG81" i="3"/>
  <c r="AG71" i="3"/>
  <c r="AG61" i="3"/>
  <c r="AG51" i="3"/>
  <c r="AG41" i="3"/>
  <c r="AG31" i="3"/>
  <c r="AG21" i="3"/>
  <c r="AG11" i="3"/>
  <c r="AG768" i="3"/>
  <c r="AG668" i="3"/>
  <c r="AG588" i="3"/>
  <c r="AG428" i="3"/>
  <c r="AG268" i="3"/>
  <c r="AG168" i="3"/>
  <c r="AG788" i="3"/>
  <c r="AG728" i="3"/>
  <c r="AG708" i="3"/>
  <c r="AG648" i="3"/>
  <c r="AG548" i="3"/>
  <c r="AG528" i="3"/>
  <c r="AG508" i="3"/>
  <c r="AG488" i="3"/>
  <c r="AG468" i="3"/>
  <c r="AG408" i="3"/>
  <c r="AG388" i="3"/>
  <c r="AG368" i="3"/>
  <c r="AG308" i="3"/>
  <c r="AG288" i="3"/>
  <c r="AG208" i="3"/>
  <c r="AG188" i="3"/>
  <c r="AG148" i="3"/>
  <c r="AG68" i="3"/>
  <c r="AG48" i="3"/>
  <c r="AG8" i="3"/>
  <c r="AG608" i="3"/>
  <c r="AG787" i="3"/>
  <c r="AG767" i="3"/>
  <c r="AG747" i="3"/>
  <c r="AG727" i="3"/>
  <c r="AG707" i="3"/>
  <c r="AG687" i="3"/>
  <c r="AG667" i="3"/>
  <c r="AG647" i="3"/>
  <c r="AG627" i="3"/>
  <c r="AG607" i="3"/>
  <c r="AG587" i="3"/>
  <c r="AG567" i="3"/>
  <c r="AG547" i="3"/>
  <c r="AG527" i="3"/>
  <c r="AG507" i="3"/>
  <c r="AG487" i="3"/>
  <c r="AG467" i="3"/>
  <c r="AG447" i="3"/>
  <c r="AG427" i="3"/>
  <c r="AG407" i="3"/>
  <c r="AG387" i="3"/>
  <c r="AG367" i="3"/>
  <c r="AG347" i="3"/>
  <c r="AG327" i="3"/>
  <c r="AG307" i="3"/>
  <c r="AG287" i="3"/>
  <c r="AG267" i="3"/>
  <c r="AG247" i="3"/>
  <c r="AG227" i="3"/>
  <c r="AG207" i="3"/>
  <c r="AG187" i="3"/>
  <c r="AG167" i="3"/>
  <c r="AG147" i="3"/>
  <c r="AG127" i="3"/>
  <c r="AG107" i="3"/>
  <c r="AG87" i="3"/>
  <c r="AG67" i="3"/>
  <c r="AG47" i="3"/>
  <c r="AG27" i="3"/>
  <c r="AG7" i="3"/>
  <c r="AG568" i="3"/>
  <c r="AG348" i="3"/>
  <c r="AG748" i="3"/>
  <c r="AG688" i="3"/>
  <c r="AG628" i="3"/>
  <c r="AG448" i="3"/>
  <c r="AG328" i="3"/>
  <c r="AG248" i="3"/>
  <c r="AG228" i="3"/>
  <c r="AG128" i="3"/>
  <c r="AG108" i="3"/>
  <c r="AG88" i="3"/>
  <c r="AG28" i="3"/>
  <c r="AG786" i="3"/>
  <c r="AG766" i="3"/>
  <c r="AG746" i="3"/>
  <c r="AG726" i="3"/>
  <c r="AG706" i="3"/>
  <c r="AG686" i="3"/>
  <c r="AG666" i="3"/>
  <c r="AG646" i="3"/>
  <c r="AG626" i="3"/>
  <c r="AG606" i="3"/>
  <c r="AG586" i="3"/>
  <c r="AG566" i="3"/>
  <c r="AG546" i="3"/>
  <c r="AG526" i="3"/>
  <c r="AG506" i="3"/>
  <c r="AG486" i="3"/>
  <c r="AG466" i="3"/>
  <c r="AG446" i="3"/>
  <c r="AG426" i="3"/>
  <c r="AG406" i="3"/>
  <c r="AG386" i="3"/>
  <c r="AG366" i="3"/>
  <c r="AG346" i="3"/>
  <c r="AG326" i="3"/>
  <c r="AG306" i="3"/>
  <c r="AG286" i="3"/>
  <c r="AG266" i="3"/>
  <c r="AG246" i="3"/>
  <c r="AG226" i="3"/>
  <c r="AG206" i="3"/>
  <c r="AG186" i="3"/>
  <c r="AG166" i="3"/>
  <c r="AG146" i="3"/>
  <c r="AG126" i="3"/>
  <c r="AG106" i="3"/>
  <c r="AG86" i="3"/>
  <c r="AG66" i="3"/>
  <c r="AG46" i="3"/>
  <c r="AG26" i="3"/>
  <c r="AG6" i="3"/>
</calcChain>
</file>

<file path=xl/sharedStrings.xml><?xml version="1.0" encoding="utf-8"?>
<sst xmlns="http://schemas.openxmlformats.org/spreadsheetml/2006/main" count="140" uniqueCount="76">
  <si>
    <r>
      <t>kg/m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/d</t>
    </r>
    <phoneticPr fontId="2" type="noConversion"/>
  </si>
  <si>
    <t>HJ</t>
    <phoneticPr fontId="2" type="noConversion"/>
  </si>
  <si>
    <t>HX</t>
    <phoneticPr fontId="2" type="noConversion"/>
  </si>
  <si>
    <r>
      <rPr>
        <sz val="11"/>
        <color theme="1"/>
        <rFont val="宋体"/>
        <family val="1"/>
        <charset val="134"/>
      </rPr>
      <t>边材面积（</t>
    </r>
    <r>
      <rPr>
        <sz val="11"/>
        <color theme="1"/>
        <rFont val="Times New Roman"/>
        <family val="1"/>
      </rPr>
      <t>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）</t>
    </r>
    <phoneticPr fontId="2" type="noConversion"/>
  </si>
  <si>
    <t>该值仅进行了单位转化，没有与边材面积相乘，红色为插补数据</t>
    <phoneticPr fontId="2" type="noConversion"/>
  </si>
  <si>
    <t>Solar Rad (wat/m2)</t>
  </si>
  <si>
    <t>RH (%)</t>
  </si>
  <si>
    <t>Temperature (*C)</t>
  </si>
  <si>
    <t>Rainfall (mm)</t>
  </si>
  <si>
    <t>Wind Dir (Deg)</t>
  </si>
  <si>
    <t>Wind Gust (km/h)</t>
  </si>
  <si>
    <t>Wind Speed (km/h)</t>
  </si>
  <si>
    <t>Dew Point (*C)</t>
  </si>
  <si>
    <t>WP_3</t>
  </si>
  <si>
    <t>WP_4</t>
  </si>
  <si>
    <t>WP_5</t>
  </si>
  <si>
    <t>WP_6</t>
  </si>
  <si>
    <t>WP_7</t>
  </si>
  <si>
    <t>WP_8</t>
  </si>
  <si>
    <t>MPS_2</t>
  </si>
  <si>
    <t>MPS_3</t>
  </si>
  <si>
    <t>MPS_4</t>
  </si>
  <si>
    <t>MPS_5</t>
  </si>
  <si>
    <t>MPS_6</t>
  </si>
  <si>
    <t>MPS_7</t>
  </si>
  <si>
    <t>MPS_8</t>
  </si>
  <si>
    <t>MPS_Temp(1)</t>
  </si>
  <si>
    <t>MPS_Temp(2)</t>
  </si>
  <si>
    <t>MPS_Temp(3)</t>
  </si>
  <si>
    <t>MPS_Temp(4)</t>
  </si>
  <si>
    <t>MPS_Temp(5)</t>
  </si>
  <si>
    <t>MPS_Temp(6)</t>
  </si>
  <si>
    <t>MPS_Temp(7)</t>
  </si>
  <si>
    <t>MPS_Temp(8)</t>
  </si>
  <si>
    <t>SM(2)</t>
  </si>
  <si>
    <t>SM(3)</t>
  </si>
  <si>
    <t>SM(4)</t>
  </si>
  <si>
    <t>MPS_kPa(3)</t>
  </si>
  <si>
    <t>MPS_kPa(4)</t>
  </si>
  <si>
    <t>AWS_daily</t>
  </si>
  <si>
    <t>HX (deciduous tree)</t>
  </si>
  <si>
    <t>HX_soil matric potentail_with 6440 sensors (meauring range:-200 kPa)</t>
  </si>
  <si>
    <t>HX_soil matric potential_with MPS2 (also called TEROS21) sensors</t>
  </si>
  <si>
    <t>HX_soil temperature_with MPS2 (also called TEROS21) sensors</t>
  </si>
  <si>
    <t>HJ_soil matric potentail_with 6440 sensors (meauring range:-200 kPa)</t>
  </si>
  <si>
    <t>HJ_soil matric potential_with MPS2 (also called TEROS21) sensors</t>
  </si>
  <si>
    <t>for PET calculation with Har-equation</t>
  </si>
  <si>
    <t>upper profile</t>
  </si>
  <si>
    <t>lower profile</t>
  </si>
  <si>
    <t>1 (2)</t>
  </si>
  <si>
    <t>VWC_HX (cm3/cm3)</t>
  </si>
  <si>
    <t>SMP_HX (kPa)</t>
  </si>
  <si>
    <t xml:space="preserve">SMT_HX (℃) </t>
  </si>
  <si>
    <t>VWC_HJ (cm3/cm3)</t>
  </si>
  <si>
    <t>SMP_HJ (kPa)</t>
  </si>
  <si>
    <t xml:space="preserve">SMT_HJ (℃) </t>
  </si>
  <si>
    <t>Tmax</t>
  </si>
  <si>
    <t>Tmin</t>
  </si>
  <si>
    <t>Date</t>
  </si>
  <si>
    <t>VPD (kPa)</t>
  </si>
  <si>
    <t>WP_1</t>
  </si>
  <si>
    <t>WP_2</t>
  </si>
  <si>
    <t>MPS_1</t>
  </si>
  <si>
    <t>MPS_kPa(2) &amp; (1)</t>
  </si>
  <si>
    <t>AWS</t>
    <phoneticPr fontId="2" type="noConversion"/>
  </si>
  <si>
    <t>筛选原则：[4月15，11月15]+P&lt;2mm/d+VPD≥0.2kPa，共计292d</t>
    <phoneticPr fontId="2" type="noConversion"/>
  </si>
  <si>
    <t>HJ_3</t>
    <phoneticPr fontId="2" type="noConversion"/>
  </si>
  <si>
    <t>HJ_4</t>
    <phoneticPr fontId="2" type="noConversion"/>
  </si>
  <si>
    <t>HX_5678</t>
    <phoneticPr fontId="2" type="noConversion"/>
  </si>
  <si>
    <t>液流均一化</t>
    <phoneticPr fontId="2" type="noConversion"/>
  </si>
  <si>
    <t>Max</t>
    <phoneticPr fontId="2" type="noConversion"/>
  </si>
  <si>
    <t>Min</t>
    <phoneticPr fontId="2" type="noConversion"/>
  </si>
  <si>
    <t>Max-Min</t>
    <phoneticPr fontId="2" type="noConversion"/>
  </si>
  <si>
    <t>shallow</t>
    <phoneticPr fontId="2" type="noConversion"/>
  </si>
  <si>
    <t>deep</t>
    <phoneticPr fontId="2" type="noConversion"/>
  </si>
  <si>
    <t>HX_profile_depth_weighted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</si>
</sst>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_ "/>
    <numFmt numFmtId="177" formatCode="0.000_ "/>
    <numFmt numFmtId="178" formatCode="0.000"/>
    <numFmt numFmtId="179" formatCode="0.00_ "/>
    <numFmt numFmtId="180" formatCode="0_ "/>
    <numFmt numFmtId="181" formatCode="0.0_ "/>
    <numFmt numFmtId="182" formatCode="0.0"/>
  </numFmts>
  <fonts count="12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2"/>
    </font>
    <font>
      <sz val="11"/>
      <name val="Times New Roman"/>
      <family val="1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0" fillId="0" borderId="0" xfId="0" applyNumberFormat="1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1" fillId="0" borderId="0" xfId="0" applyFont="1"/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180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8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vertical="center"/>
    </xf>
    <xf numFmtId="181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79" fontId="0" fillId="0" borderId="0" xfId="0" applyNumberFormat="1"/>
    <xf numFmtId="179" fontId="1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vertical="center"/>
    </xf>
    <xf numFmtId="179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4" fontId="1" fillId="4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181" fontId="1" fillId="4" borderId="0" xfId="0" applyNumberFormat="1" applyFont="1" applyFill="1" applyAlignment="1">
      <alignment vertical="center"/>
    </xf>
    <xf numFmtId="177" fontId="1" fillId="4" borderId="0" xfId="0" applyNumberFormat="1" applyFont="1" applyFill="1" applyAlignment="1">
      <alignment vertical="center"/>
    </xf>
    <xf numFmtId="179" fontId="1" fillId="4" borderId="0" xfId="0" applyNumberFormat="1" applyFont="1" applyFill="1" applyAlignment="1">
      <alignment vertical="center"/>
    </xf>
    <xf numFmtId="0" fontId="0" fillId="4" borderId="0" xfId="0" applyFill="1"/>
    <xf numFmtId="179" fontId="0" fillId="4" borderId="0" xfId="0" applyNumberFormat="1" applyFill="1"/>
    <xf numFmtId="176" fontId="3" fillId="4" borderId="0" xfId="0" applyNumberFormat="1" applyFont="1" applyFill="1" applyAlignment="1">
      <alignment vertical="center"/>
    </xf>
    <xf numFmtId="179" fontId="3" fillId="0" borderId="0" xfId="0" applyNumberFormat="1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508486439195102"/>
                  <c:y val="-5.55373286672499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筛选后!$AG$8:$AG$299</c:f>
              <c:numCache>
                <c:formatCode>0.00_ </c:formatCode>
                <c:ptCount val="292"/>
                <c:pt idx="0">
                  <c:v>0.24099305555555553</c:v>
                </c:pt>
                <c:pt idx="1">
                  <c:v>0.45774305555555567</c:v>
                </c:pt>
                <c:pt idx="2">
                  <c:v>0.43372916666666655</c:v>
                </c:pt>
                <c:pt idx="3">
                  <c:v>0.40547222222222223</c:v>
                </c:pt>
                <c:pt idx="4">
                  <c:v>0.36841666666666667</c:v>
                </c:pt>
                <c:pt idx="5">
                  <c:v>0.3368680555555556</c:v>
                </c:pt>
                <c:pt idx="6">
                  <c:v>0.31674305555555554</c:v>
                </c:pt>
                <c:pt idx="7">
                  <c:v>0.29816666666666669</c:v>
                </c:pt>
                <c:pt idx="8">
                  <c:v>0.28765972222222219</c:v>
                </c:pt>
                <c:pt idx="9">
                  <c:v>0.27804861111111118</c:v>
                </c:pt>
                <c:pt idx="10">
                  <c:v>0.26709722222222226</c:v>
                </c:pt>
                <c:pt idx="11">
                  <c:v>0.25847222222222216</c:v>
                </c:pt>
                <c:pt idx="12">
                  <c:v>0.25015277777777772</c:v>
                </c:pt>
                <c:pt idx="13">
                  <c:v>0.24490277777777769</c:v>
                </c:pt>
                <c:pt idx="14">
                  <c:v>0.24318055555555559</c:v>
                </c:pt>
                <c:pt idx="15">
                  <c:v>0.24097916666666683</c:v>
                </c:pt>
                <c:pt idx="16">
                  <c:v>0.23824305555555556</c:v>
                </c:pt>
                <c:pt idx="17">
                  <c:v>0.235048611111111</c:v>
                </c:pt>
                <c:pt idx="18">
                  <c:v>0.23222222222222219</c:v>
                </c:pt>
                <c:pt idx="19">
                  <c:v>0.23017361111111112</c:v>
                </c:pt>
                <c:pt idx="20">
                  <c:v>0.23290277777777782</c:v>
                </c:pt>
                <c:pt idx="21">
                  <c:v>0.23223611111111106</c:v>
                </c:pt>
                <c:pt idx="22">
                  <c:v>0.40127777777777779</c:v>
                </c:pt>
                <c:pt idx="23">
                  <c:v>0.3630902777777778</c:v>
                </c:pt>
                <c:pt idx="24">
                  <c:v>0.41288888888888886</c:v>
                </c:pt>
                <c:pt idx="25">
                  <c:v>0.44561111111111118</c:v>
                </c:pt>
                <c:pt idx="26">
                  <c:v>0.46204861111111101</c:v>
                </c:pt>
                <c:pt idx="27">
                  <c:v>0.44686805555555553</c:v>
                </c:pt>
                <c:pt idx="28">
                  <c:v>0.45884027777777775</c:v>
                </c:pt>
                <c:pt idx="29">
                  <c:v>0.47161111111111115</c:v>
                </c:pt>
                <c:pt idx="30">
                  <c:v>0.45364583333333325</c:v>
                </c:pt>
                <c:pt idx="31">
                  <c:v>0.43329861111111106</c:v>
                </c:pt>
                <c:pt idx="32">
                  <c:v>0.41547222222222208</c:v>
                </c:pt>
                <c:pt idx="33">
                  <c:v>0.39478472222222233</c:v>
                </c:pt>
                <c:pt idx="34">
                  <c:v>0.36642361111111121</c:v>
                </c:pt>
                <c:pt idx="35">
                  <c:v>0.35006944444444449</c:v>
                </c:pt>
                <c:pt idx="36">
                  <c:v>0.3330555555555556</c:v>
                </c:pt>
                <c:pt idx="37">
                  <c:v>0.31699999999999989</c:v>
                </c:pt>
                <c:pt idx="38">
                  <c:v>0.30680555555555555</c:v>
                </c:pt>
                <c:pt idx="39">
                  <c:v>0.2997361111111112</c:v>
                </c:pt>
                <c:pt idx="40">
                  <c:v>0.29876388888888888</c:v>
                </c:pt>
                <c:pt idx="41">
                  <c:v>0.29572222222222228</c:v>
                </c:pt>
                <c:pt idx="42">
                  <c:v>0.29243749999999991</c:v>
                </c:pt>
                <c:pt idx="43">
                  <c:v>0.28583333333333338</c:v>
                </c:pt>
                <c:pt idx="44">
                  <c:v>0.27628472222222222</c:v>
                </c:pt>
                <c:pt idx="45">
                  <c:v>0.2614999999999999</c:v>
                </c:pt>
                <c:pt idx="46">
                  <c:v>0.25481250000000016</c:v>
                </c:pt>
                <c:pt idx="47">
                  <c:v>0.24920833333333325</c:v>
                </c:pt>
                <c:pt idx="48">
                  <c:v>0.24437499999999993</c:v>
                </c:pt>
                <c:pt idx="49">
                  <c:v>0.2408958333333332</c:v>
                </c:pt>
                <c:pt idx="50">
                  <c:v>0.24004166666666671</c:v>
                </c:pt>
                <c:pt idx="51">
                  <c:v>0.23618749999999988</c:v>
                </c:pt>
                <c:pt idx="52">
                  <c:v>0.23295833333333318</c:v>
                </c:pt>
                <c:pt idx="53">
                  <c:v>0.22743749999999999</c:v>
                </c:pt>
                <c:pt idx="54">
                  <c:v>0.24454166666666674</c:v>
                </c:pt>
                <c:pt idx="55">
                  <c:v>0.23412499999999983</c:v>
                </c:pt>
                <c:pt idx="56">
                  <c:v>0.23014583333333336</c:v>
                </c:pt>
                <c:pt idx="57">
                  <c:v>0.22777083333333337</c:v>
                </c:pt>
                <c:pt idx="58">
                  <c:v>0.44289583333333321</c:v>
                </c:pt>
                <c:pt idx="59">
                  <c:v>0.41052083333333328</c:v>
                </c:pt>
                <c:pt idx="60">
                  <c:v>0.37387500000000001</c:v>
                </c:pt>
                <c:pt idx="61">
                  <c:v>0.32993750000000005</c:v>
                </c:pt>
                <c:pt idx="62">
                  <c:v>0.28914583333333338</c:v>
                </c:pt>
                <c:pt idx="63">
                  <c:v>0.26329166666666665</c:v>
                </c:pt>
                <c:pt idx="64">
                  <c:v>0.24970833333333331</c:v>
                </c:pt>
                <c:pt idx="65">
                  <c:v>0.24191666666666659</c:v>
                </c:pt>
                <c:pt idx="66">
                  <c:v>0.26395833333333318</c:v>
                </c:pt>
                <c:pt idx="67">
                  <c:v>0.25368750000000007</c:v>
                </c:pt>
                <c:pt idx="68">
                  <c:v>0.24660416666666662</c:v>
                </c:pt>
                <c:pt idx="69">
                  <c:v>0.25904166666666673</c:v>
                </c:pt>
                <c:pt idx="70">
                  <c:v>0.29775000000000001</c:v>
                </c:pt>
                <c:pt idx="71">
                  <c:v>0.39585416666666678</c:v>
                </c:pt>
                <c:pt idx="72">
                  <c:v>0.40158333333333335</c:v>
                </c:pt>
                <c:pt idx="73">
                  <c:v>0.36856249999999996</c:v>
                </c:pt>
                <c:pt idx="74">
                  <c:v>0.4392083333333332</c:v>
                </c:pt>
                <c:pt idx="75">
                  <c:v>0.41597916666666662</c:v>
                </c:pt>
                <c:pt idx="76">
                  <c:v>0.4390833333333331</c:v>
                </c:pt>
                <c:pt idx="77">
                  <c:v>0.48866666666666675</c:v>
                </c:pt>
                <c:pt idx="78">
                  <c:v>0.45735416666666673</c:v>
                </c:pt>
                <c:pt idx="79">
                  <c:v>0.48158333333333331</c:v>
                </c:pt>
                <c:pt idx="80">
                  <c:v>0.45606250000000009</c:v>
                </c:pt>
                <c:pt idx="81">
                  <c:v>0.48808333333333365</c:v>
                </c:pt>
                <c:pt idx="82">
                  <c:v>0.4625416666666668</c:v>
                </c:pt>
                <c:pt idx="83">
                  <c:v>0.43854166666666666</c:v>
                </c:pt>
                <c:pt idx="84">
                  <c:v>0.41437499999999994</c:v>
                </c:pt>
                <c:pt idx="85">
                  <c:v>0.49158333333333343</c:v>
                </c:pt>
                <c:pt idx="86">
                  <c:v>0.45933333333333337</c:v>
                </c:pt>
                <c:pt idx="87">
                  <c:v>0.43545833333333345</c:v>
                </c:pt>
                <c:pt idx="88">
                  <c:v>0.49943750000000015</c:v>
                </c:pt>
                <c:pt idx="89">
                  <c:v>0.47222916666666664</c:v>
                </c:pt>
                <c:pt idx="90">
                  <c:v>0.49677083333333338</c:v>
                </c:pt>
                <c:pt idx="91">
                  <c:v>0.46052083333333343</c:v>
                </c:pt>
                <c:pt idx="92">
                  <c:v>0.51622916666666674</c:v>
                </c:pt>
                <c:pt idx="93">
                  <c:v>0.49383333333333335</c:v>
                </c:pt>
                <c:pt idx="94">
                  <c:v>0.49479166666666674</c:v>
                </c:pt>
                <c:pt idx="95">
                  <c:v>0.46479166666666655</c:v>
                </c:pt>
                <c:pt idx="96">
                  <c:v>0.43939583333333321</c:v>
                </c:pt>
                <c:pt idx="97">
                  <c:v>0.38239583333333343</c:v>
                </c:pt>
                <c:pt idx="98">
                  <c:v>0.50931250000000006</c:v>
                </c:pt>
                <c:pt idx="99">
                  <c:v>0.47995833333333321</c:v>
                </c:pt>
                <c:pt idx="100">
                  <c:v>0.453125</c:v>
                </c:pt>
                <c:pt idx="101">
                  <c:v>0.41681249999999981</c:v>
                </c:pt>
                <c:pt idx="102">
                  <c:v>0.37429166666666663</c:v>
                </c:pt>
                <c:pt idx="103">
                  <c:v>0.35131249999999997</c:v>
                </c:pt>
                <c:pt idx="104">
                  <c:v>0.32808333333333334</c:v>
                </c:pt>
                <c:pt idx="105">
                  <c:v>0.3043749999999999</c:v>
                </c:pt>
                <c:pt idx="106">
                  <c:v>0.28329166666666655</c:v>
                </c:pt>
                <c:pt idx="107">
                  <c:v>0.26806249999999993</c:v>
                </c:pt>
                <c:pt idx="108">
                  <c:v>0.4514166666666668</c:v>
                </c:pt>
                <c:pt idx="109">
                  <c:v>0.42914583333333334</c:v>
                </c:pt>
                <c:pt idx="110">
                  <c:v>0.39166666666666666</c:v>
                </c:pt>
                <c:pt idx="111">
                  <c:v>0.36195833333333338</c:v>
                </c:pt>
                <c:pt idx="112">
                  <c:v>0.4838541666666667</c:v>
                </c:pt>
                <c:pt idx="113">
                  <c:v>0.44858333333333333</c:v>
                </c:pt>
                <c:pt idx="114">
                  <c:v>0.47054166666666669</c:v>
                </c:pt>
                <c:pt idx="115">
                  <c:v>0.43902083333333319</c:v>
                </c:pt>
                <c:pt idx="116">
                  <c:v>0.40947916666666662</c:v>
                </c:pt>
                <c:pt idx="117">
                  <c:v>0.50868749999999996</c:v>
                </c:pt>
                <c:pt idx="118">
                  <c:v>0.47466666666666657</c:v>
                </c:pt>
                <c:pt idx="119">
                  <c:v>0.44516666666666671</c:v>
                </c:pt>
                <c:pt idx="120">
                  <c:v>0.40347916666666667</c:v>
                </c:pt>
                <c:pt idx="121">
                  <c:v>0.35229166666666684</c:v>
                </c:pt>
                <c:pt idx="122">
                  <c:v>0.31508333333333333</c:v>
                </c:pt>
                <c:pt idx="123">
                  <c:v>0.29091666666666671</c:v>
                </c:pt>
                <c:pt idx="124">
                  <c:v>0.26566666666666672</c:v>
                </c:pt>
                <c:pt idx="125">
                  <c:v>0.25049999999999989</c:v>
                </c:pt>
                <c:pt idx="126">
                  <c:v>0.24143749999999986</c:v>
                </c:pt>
                <c:pt idx="127">
                  <c:v>0.25104166666666655</c:v>
                </c:pt>
                <c:pt idx="128">
                  <c:v>0.24127083333333335</c:v>
                </c:pt>
                <c:pt idx="129">
                  <c:v>0.23466666666666658</c:v>
                </c:pt>
                <c:pt idx="130">
                  <c:v>0.22970833333333338</c:v>
                </c:pt>
                <c:pt idx="131">
                  <c:v>0.2264375000000001</c:v>
                </c:pt>
                <c:pt idx="132">
                  <c:v>0.2235</c:v>
                </c:pt>
                <c:pt idx="133">
                  <c:v>0.42860416666666684</c:v>
                </c:pt>
                <c:pt idx="134">
                  <c:v>0.36897916666666669</c:v>
                </c:pt>
                <c:pt idx="135">
                  <c:v>0.4641458333333332</c:v>
                </c:pt>
                <c:pt idx="136">
                  <c:v>0.49993749999999992</c:v>
                </c:pt>
                <c:pt idx="137">
                  <c:v>0.49518749999999984</c:v>
                </c:pt>
                <c:pt idx="138">
                  <c:v>0.47958333333333342</c:v>
                </c:pt>
                <c:pt idx="139">
                  <c:v>0.49699999999999983</c:v>
                </c:pt>
                <c:pt idx="140">
                  <c:v>0.48270833333333335</c:v>
                </c:pt>
                <c:pt idx="141">
                  <c:v>0.4953333333333334</c:v>
                </c:pt>
                <c:pt idx="142">
                  <c:v>0.48510416666666673</c:v>
                </c:pt>
                <c:pt idx="143">
                  <c:v>0.46781249999999991</c:v>
                </c:pt>
                <c:pt idx="144">
                  <c:v>0.42233333333333339</c:v>
                </c:pt>
                <c:pt idx="145">
                  <c:v>0.40556249999999999</c:v>
                </c:pt>
                <c:pt idx="146">
                  <c:v>0.38516666666666666</c:v>
                </c:pt>
                <c:pt idx="147">
                  <c:v>0.36793749999999997</c:v>
                </c:pt>
                <c:pt idx="148">
                  <c:v>0.3458750000000001</c:v>
                </c:pt>
                <c:pt idx="149">
                  <c:v>0.44829166666666653</c:v>
                </c:pt>
                <c:pt idx="150">
                  <c:v>0.46639583333333334</c:v>
                </c:pt>
                <c:pt idx="151">
                  <c:v>0.44075000000000014</c:v>
                </c:pt>
                <c:pt idx="152">
                  <c:v>0.41139583333333318</c:v>
                </c:pt>
                <c:pt idx="153">
                  <c:v>0.3781666666666666</c:v>
                </c:pt>
                <c:pt idx="154">
                  <c:v>0.33979166666666666</c:v>
                </c:pt>
                <c:pt idx="155">
                  <c:v>0.30808333333333338</c:v>
                </c:pt>
                <c:pt idx="156">
                  <c:v>0.29562499999999992</c:v>
                </c:pt>
                <c:pt idx="157">
                  <c:v>0.30889583333333337</c:v>
                </c:pt>
                <c:pt idx="158">
                  <c:v>0.3038333333333334</c:v>
                </c:pt>
                <c:pt idx="159">
                  <c:v>0.30831249999999993</c:v>
                </c:pt>
                <c:pt idx="160">
                  <c:v>0.30481249999999999</c:v>
                </c:pt>
                <c:pt idx="161">
                  <c:v>0.29489583333333325</c:v>
                </c:pt>
                <c:pt idx="162">
                  <c:v>0.28414583333333332</c:v>
                </c:pt>
                <c:pt idx="163">
                  <c:v>0.26737499999999986</c:v>
                </c:pt>
                <c:pt idx="164">
                  <c:v>0.25183333333333324</c:v>
                </c:pt>
                <c:pt idx="165">
                  <c:v>0.23931250000000004</c:v>
                </c:pt>
                <c:pt idx="166">
                  <c:v>0.22868750000000007</c:v>
                </c:pt>
                <c:pt idx="167">
                  <c:v>0.21939583333333332</c:v>
                </c:pt>
                <c:pt idx="168">
                  <c:v>0.2136458333333334</c:v>
                </c:pt>
                <c:pt idx="169">
                  <c:v>0.43181250000000015</c:v>
                </c:pt>
                <c:pt idx="170">
                  <c:v>0.40749999999999981</c:v>
                </c:pt>
                <c:pt idx="171">
                  <c:v>0.38262499999999994</c:v>
                </c:pt>
                <c:pt idx="172">
                  <c:v>0.35091666666666649</c:v>
                </c:pt>
                <c:pt idx="173">
                  <c:v>0.31354166666666661</c:v>
                </c:pt>
                <c:pt idx="174">
                  <c:v>0.28395833333333326</c:v>
                </c:pt>
                <c:pt idx="175">
                  <c:v>0.30197916666666663</c:v>
                </c:pt>
                <c:pt idx="176">
                  <c:v>0.41135416666666647</c:v>
                </c:pt>
                <c:pt idx="177">
                  <c:v>0.40058333333333351</c:v>
                </c:pt>
                <c:pt idx="178">
                  <c:v>0.3713541666666666</c:v>
                </c:pt>
                <c:pt idx="179">
                  <c:v>0.47391666666666649</c:v>
                </c:pt>
                <c:pt idx="180">
                  <c:v>0.47016666666666679</c:v>
                </c:pt>
                <c:pt idx="181">
                  <c:v>0.44372916666666651</c:v>
                </c:pt>
                <c:pt idx="182">
                  <c:v>0.40397916666666678</c:v>
                </c:pt>
                <c:pt idx="183">
                  <c:v>0.35858333333333342</c:v>
                </c:pt>
                <c:pt idx="184">
                  <c:v>0.31677083333333339</c:v>
                </c:pt>
                <c:pt idx="185">
                  <c:v>0.29245833333333332</c:v>
                </c:pt>
                <c:pt idx="186">
                  <c:v>0.2758333333333336</c:v>
                </c:pt>
                <c:pt idx="187">
                  <c:v>0.27177083333333329</c:v>
                </c:pt>
                <c:pt idx="188">
                  <c:v>0.4575833333333334</c:v>
                </c:pt>
                <c:pt idx="189">
                  <c:v>0.4360208333333333</c:v>
                </c:pt>
                <c:pt idx="190">
                  <c:v>0.41493749999999996</c:v>
                </c:pt>
                <c:pt idx="191">
                  <c:v>0.4499583333333334</c:v>
                </c:pt>
                <c:pt idx="192">
                  <c:v>0.41877083333333348</c:v>
                </c:pt>
                <c:pt idx="193">
                  <c:v>0.38020833333333348</c:v>
                </c:pt>
                <c:pt idx="194">
                  <c:v>0.34131250000000007</c:v>
                </c:pt>
                <c:pt idx="195">
                  <c:v>0.30879166666666652</c:v>
                </c:pt>
                <c:pt idx="196">
                  <c:v>0.45514583333333336</c:v>
                </c:pt>
                <c:pt idx="197">
                  <c:v>0.42854166666666677</c:v>
                </c:pt>
                <c:pt idx="198">
                  <c:v>0.40287500000000004</c:v>
                </c:pt>
                <c:pt idx="199">
                  <c:v>0.36133333333333334</c:v>
                </c:pt>
                <c:pt idx="200">
                  <c:v>0.28497916666666662</c:v>
                </c:pt>
                <c:pt idx="201">
                  <c:v>0.26981250000000001</c:v>
                </c:pt>
                <c:pt idx="202">
                  <c:v>0.25910416666666669</c:v>
                </c:pt>
                <c:pt idx="203">
                  <c:v>0.24827083333333336</c:v>
                </c:pt>
                <c:pt idx="204">
                  <c:v>0.23881250000000001</c:v>
                </c:pt>
                <c:pt idx="205">
                  <c:v>0.41433333333333344</c:v>
                </c:pt>
                <c:pt idx="206">
                  <c:v>0.36758333333333337</c:v>
                </c:pt>
                <c:pt idx="207">
                  <c:v>0.32441666666666663</c:v>
                </c:pt>
                <c:pt idx="208">
                  <c:v>0.50189583333333332</c:v>
                </c:pt>
                <c:pt idx="209">
                  <c:v>0.47858333333333319</c:v>
                </c:pt>
                <c:pt idx="210">
                  <c:v>0.448625</c:v>
                </c:pt>
                <c:pt idx="211">
                  <c:v>0.41972916666666671</c:v>
                </c:pt>
                <c:pt idx="212">
                  <c:v>0.39158333333333317</c:v>
                </c:pt>
                <c:pt idx="213">
                  <c:v>0.34500000000000003</c:v>
                </c:pt>
                <c:pt idx="214">
                  <c:v>0.29414583333333338</c:v>
                </c:pt>
                <c:pt idx="215">
                  <c:v>0.26239583333333338</c:v>
                </c:pt>
                <c:pt idx="216">
                  <c:v>0.24462500000000012</c:v>
                </c:pt>
                <c:pt idx="217">
                  <c:v>0.23470833333333332</c:v>
                </c:pt>
                <c:pt idx="218">
                  <c:v>0.22729166666666678</c:v>
                </c:pt>
                <c:pt idx="219">
                  <c:v>0.47322916666666637</c:v>
                </c:pt>
                <c:pt idx="220">
                  <c:v>0.45312500000000022</c:v>
                </c:pt>
                <c:pt idx="221">
                  <c:v>0.46241666666666653</c:v>
                </c:pt>
                <c:pt idx="222">
                  <c:v>0.49189583333333337</c:v>
                </c:pt>
                <c:pt idx="223">
                  <c:v>0.46958333333333346</c:v>
                </c:pt>
                <c:pt idx="224">
                  <c:v>0.45575000000000004</c:v>
                </c:pt>
                <c:pt idx="225">
                  <c:v>0.43387499999999973</c:v>
                </c:pt>
                <c:pt idx="226">
                  <c:v>0.40381250000000013</c:v>
                </c:pt>
                <c:pt idx="227">
                  <c:v>0.36145833333333338</c:v>
                </c:pt>
                <c:pt idx="228">
                  <c:v>0.31389583333333326</c:v>
                </c:pt>
                <c:pt idx="229">
                  <c:v>0.27470833333333333</c:v>
                </c:pt>
                <c:pt idx="230">
                  <c:v>0.25091666666666651</c:v>
                </c:pt>
                <c:pt idx="231">
                  <c:v>0.23797916666666663</c:v>
                </c:pt>
                <c:pt idx="232">
                  <c:v>0.29664583333333333</c:v>
                </c:pt>
                <c:pt idx="233">
                  <c:v>0.49683333333333329</c:v>
                </c:pt>
                <c:pt idx="234">
                  <c:v>0.4895208333333334</c:v>
                </c:pt>
                <c:pt idx="235">
                  <c:v>0.48864583333333339</c:v>
                </c:pt>
                <c:pt idx="236">
                  <c:v>0.45995833333333352</c:v>
                </c:pt>
                <c:pt idx="237">
                  <c:v>0.43560416666666663</c:v>
                </c:pt>
                <c:pt idx="238">
                  <c:v>0.40454166666666674</c:v>
                </c:pt>
                <c:pt idx="239">
                  <c:v>0.48254166666666681</c:v>
                </c:pt>
                <c:pt idx="240">
                  <c:v>0.4568750000000002</c:v>
                </c:pt>
                <c:pt idx="241">
                  <c:v>0.43797916666666675</c:v>
                </c:pt>
                <c:pt idx="242">
                  <c:v>0.42133333333333328</c:v>
                </c:pt>
                <c:pt idx="243">
                  <c:v>0.37293749999999998</c:v>
                </c:pt>
                <c:pt idx="244">
                  <c:v>0.33450000000000002</c:v>
                </c:pt>
                <c:pt idx="245">
                  <c:v>0.30512499999999998</c:v>
                </c:pt>
                <c:pt idx="246">
                  <c:v>0.27699999999999997</c:v>
                </c:pt>
                <c:pt idx="247">
                  <c:v>0.25237500000000002</c:v>
                </c:pt>
                <c:pt idx="248">
                  <c:v>0.23681249999999987</c:v>
                </c:pt>
                <c:pt idx="249">
                  <c:v>0.22556250000000011</c:v>
                </c:pt>
                <c:pt idx="250">
                  <c:v>0.31768750000000007</c:v>
                </c:pt>
                <c:pt idx="251">
                  <c:v>0.2902499999999999</c:v>
                </c:pt>
                <c:pt idx="252">
                  <c:v>0.26541666666666669</c:v>
                </c:pt>
                <c:pt idx="253">
                  <c:v>0.24252083333333332</c:v>
                </c:pt>
                <c:pt idx="254">
                  <c:v>0.22725000000000006</c:v>
                </c:pt>
                <c:pt idx="255">
                  <c:v>0.21629166666666666</c:v>
                </c:pt>
                <c:pt idx="256">
                  <c:v>0.41068750000000004</c:v>
                </c:pt>
                <c:pt idx="257">
                  <c:v>0.45993750000000005</c:v>
                </c:pt>
                <c:pt idx="258">
                  <c:v>0.42491666666666678</c:v>
                </c:pt>
                <c:pt idx="259">
                  <c:v>0.39522916666666658</c:v>
                </c:pt>
                <c:pt idx="260">
                  <c:v>0.36079166666666668</c:v>
                </c:pt>
                <c:pt idx="261">
                  <c:v>0.32320833333333338</c:v>
                </c:pt>
                <c:pt idx="262">
                  <c:v>0.28533333333333338</c:v>
                </c:pt>
                <c:pt idx="263">
                  <c:v>0.25537500000000002</c:v>
                </c:pt>
                <c:pt idx="264">
                  <c:v>0.23497916666666663</c:v>
                </c:pt>
                <c:pt idx="265">
                  <c:v>0.22056249999999999</c:v>
                </c:pt>
                <c:pt idx="266">
                  <c:v>0.21220833333333333</c:v>
                </c:pt>
                <c:pt idx="267">
                  <c:v>0.20429166666666662</c:v>
                </c:pt>
                <c:pt idx="268">
                  <c:v>0.19860416666666672</c:v>
                </c:pt>
                <c:pt idx="269">
                  <c:v>0.19362500000000002</c:v>
                </c:pt>
                <c:pt idx="270">
                  <c:v>0.18929166666666666</c:v>
                </c:pt>
                <c:pt idx="271">
                  <c:v>0.18572916666666664</c:v>
                </c:pt>
                <c:pt idx="272">
                  <c:v>0.1841249999999999</c:v>
                </c:pt>
                <c:pt idx="273">
                  <c:v>0.17981250000000001</c:v>
                </c:pt>
                <c:pt idx="274">
                  <c:v>0.17689583333333334</c:v>
                </c:pt>
                <c:pt idx="275">
                  <c:v>0.17662499999999992</c:v>
                </c:pt>
                <c:pt idx="276">
                  <c:v>0.15689583333333332</c:v>
                </c:pt>
                <c:pt idx="277">
                  <c:v>0.38116666666666671</c:v>
                </c:pt>
                <c:pt idx="278">
                  <c:v>0.3340625000000001</c:v>
                </c:pt>
                <c:pt idx="279">
                  <c:v>0.32324999999999998</c:v>
                </c:pt>
                <c:pt idx="280">
                  <c:v>0.3147916666666668</c:v>
                </c:pt>
                <c:pt idx="281">
                  <c:v>0.30325000000000008</c:v>
                </c:pt>
                <c:pt idx="282">
                  <c:v>0.35593749999999996</c:v>
                </c:pt>
                <c:pt idx="283">
                  <c:v>0.34231250000000008</c:v>
                </c:pt>
                <c:pt idx="284">
                  <c:v>0.32916666666666666</c:v>
                </c:pt>
                <c:pt idx="285">
                  <c:v>0.41491666666666677</c:v>
                </c:pt>
                <c:pt idx="286">
                  <c:v>0.40237499999999993</c:v>
                </c:pt>
                <c:pt idx="287">
                  <c:v>0.38854166666666679</c:v>
                </c:pt>
                <c:pt idx="288">
                  <c:v>0.36920833333333336</c:v>
                </c:pt>
                <c:pt idx="289">
                  <c:v>0.34889583333333335</c:v>
                </c:pt>
                <c:pt idx="290">
                  <c:v>0.33050000000000002</c:v>
                </c:pt>
                <c:pt idx="291">
                  <c:v>0.31487500000000007</c:v>
                </c:pt>
              </c:numCache>
            </c:numRef>
          </c:xVal>
          <c:yVal>
            <c:numRef>
              <c:f>筛选后!$AF$8:$AF$299</c:f>
              <c:numCache>
                <c:formatCode>0.00_ </c:formatCode>
                <c:ptCount val="292"/>
                <c:pt idx="0">
                  <c:v>0.12035416666666669</c:v>
                </c:pt>
                <c:pt idx="1">
                  <c:v>0.24975000000000003</c:v>
                </c:pt>
                <c:pt idx="2">
                  <c:v>0.23235416666666664</c:v>
                </c:pt>
                <c:pt idx="3">
                  <c:v>0.21504861111111109</c:v>
                </c:pt>
                <c:pt idx="4">
                  <c:v>0.19675694444444447</c:v>
                </c:pt>
                <c:pt idx="5">
                  <c:v>0.18083333333333337</c:v>
                </c:pt>
                <c:pt idx="6">
                  <c:v>0.17097916666666671</c:v>
                </c:pt>
                <c:pt idx="7">
                  <c:v>0.15910416666666671</c:v>
                </c:pt>
                <c:pt idx="8">
                  <c:v>0.15718055555555552</c:v>
                </c:pt>
                <c:pt idx="9">
                  <c:v>0.14757638888888891</c:v>
                </c:pt>
                <c:pt idx="10">
                  <c:v>0.13909027777777785</c:v>
                </c:pt>
                <c:pt idx="11">
                  <c:v>0.13290277777777779</c:v>
                </c:pt>
                <c:pt idx="12">
                  <c:v>0.12647222222222218</c:v>
                </c:pt>
                <c:pt idx="13">
                  <c:v>0.12169444444444444</c:v>
                </c:pt>
                <c:pt idx="14">
                  <c:v>0.11978472222222229</c:v>
                </c:pt>
                <c:pt idx="15">
                  <c:v>0.11728472222222219</c:v>
                </c:pt>
                <c:pt idx="16">
                  <c:v>0.11454166666666672</c:v>
                </c:pt>
                <c:pt idx="17">
                  <c:v>0.11177083333333339</c:v>
                </c:pt>
                <c:pt idx="18">
                  <c:v>0.10891666666666661</c:v>
                </c:pt>
                <c:pt idx="19">
                  <c:v>0.10688194444444447</c:v>
                </c:pt>
                <c:pt idx="20">
                  <c:v>0.11163194444444448</c:v>
                </c:pt>
                <c:pt idx="21">
                  <c:v>0.10975694444444445</c:v>
                </c:pt>
                <c:pt idx="22">
                  <c:v>0.21178472222222225</c:v>
                </c:pt>
                <c:pt idx="23">
                  <c:v>0.19380555555555559</c:v>
                </c:pt>
                <c:pt idx="24">
                  <c:v>0.22726388888888885</c:v>
                </c:pt>
                <c:pt idx="25">
                  <c:v>0.25272222222222235</c:v>
                </c:pt>
                <c:pt idx="26">
                  <c:v>0.25320138888888882</c:v>
                </c:pt>
                <c:pt idx="27">
                  <c:v>0.24588888888888882</c:v>
                </c:pt>
                <c:pt idx="28">
                  <c:v>0.24770138888888907</c:v>
                </c:pt>
                <c:pt idx="29">
                  <c:v>0.24872916666666656</c:v>
                </c:pt>
                <c:pt idx="30">
                  <c:v>0.24072916666666658</c:v>
                </c:pt>
                <c:pt idx="31">
                  <c:v>0.23189583333333333</c:v>
                </c:pt>
                <c:pt idx="32">
                  <c:v>0.22230902777777781</c:v>
                </c:pt>
                <c:pt idx="33">
                  <c:v>0.21088194444444441</c:v>
                </c:pt>
                <c:pt idx="34">
                  <c:v>0.19625000000000001</c:v>
                </c:pt>
                <c:pt idx="35">
                  <c:v>0.18721527777777772</c:v>
                </c:pt>
                <c:pt idx="36">
                  <c:v>0.17752777777777765</c:v>
                </c:pt>
                <c:pt idx="37">
                  <c:v>0.16910416666666664</c:v>
                </c:pt>
                <c:pt idx="38">
                  <c:v>0.16259027777777776</c:v>
                </c:pt>
                <c:pt idx="39">
                  <c:v>0.15755555555555553</c:v>
                </c:pt>
                <c:pt idx="40">
                  <c:v>0.16674999999999998</c:v>
                </c:pt>
                <c:pt idx="41">
                  <c:v>0.16144444444444439</c:v>
                </c:pt>
                <c:pt idx="42">
                  <c:v>0.16090070921985816</c:v>
                </c:pt>
                <c:pt idx="43">
                  <c:v>0.15337499999999998</c:v>
                </c:pt>
                <c:pt idx="44">
                  <c:v>0.14622222222222217</c:v>
                </c:pt>
                <c:pt idx="45">
                  <c:v>0.13809523809523808</c:v>
                </c:pt>
                <c:pt idx="46">
                  <c:v>0.13222580645161292</c:v>
                </c:pt>
                <c:pt idx="47">
                  <c:v>0.12718181818181815</c:v>
                </c:pt>
                <c:pt idx="48">
                  <c:v>0.12247999999999999</c:v>
                </c:pt>
                <c:pt idx="49">
                  <c:v>0.11966666666666666</c:v>
                </c:pt>
                <c:pt idx="50">
                  <c:v>0.11912499999999999</c:v>
                </c:pt>
                <c:pt idx="51">
                  <c:v>0.11547916666666676</c:v>
                </c:pt>
                <c:pt idx="52">
                  <c:v>0.11406250000000004</c:v>
                </c:pt>
                <c:pt idx="53">
                  <c:v>0.12658955625000001</c:v>
                </c:pt>
                <c:pt idx="54">
                  <c:v>0.13366666666666671</c:v>
                </c:pt>
                <c:pt idx="55">
                  <c:v>0.12113043478260868</c:v>
                </c:pt>
                <c:pt idx="56">
                  <c:v>0.11542307692307693</c:v>
                </c:pt>
                <c:pt idx="57">
                  <c:v>0.11099999999999999</c:v>
                </c:pt>
                <c:pt idx="58">
                  <c:v>0.24196296296296291</c:v>
                </c:pt>
                <c:pt idx="59">
                  <c:v>0.21966666666666668</c:v>
                </c:pt>
                <c:pt idx="60">
                  <c:v>0.19411111111111112</c:v>
                </c:pt>
                <c:pt idx="61">
                  <c:v>0.17310344827586205</c:v>
                </c:pt>
                <c:pt idx="62">
                  <c:v>0.15026086956521736</c:v>
                </c:pt>
                <c:pt idx="63">
                  <c:v>0.13552173913043475</c:v>
                </c:pt>
                <c:pt idx="64">
                  <c:v>0.12712499999999996</c:v>
                </c:pt>
                <c:pt idx="65">
                  <c:v>0.11894117647058822</c:v>
                </c:pt>
                <c:pt idx="66">
                  <c:v>0.1497727272727272</c:v>
                </c:pt>
                <c:pt idx="67">
                  <c:v>0.14174468085106381</c:v>
                </c:pt>
                <c:pt idx="68">
                  <c:v>0.13020833333333334</c:v>
                </c:pt>
                <c:pt idx="69">
                  <c:v>0.15620833333333328</c:v>
                </c:pt>
                <c:pt idx="70">
                  <c:v>0.19387500000000005</c:v>
                </c:pt>
                <c:pt idx="71">
                  <c:v>0.21647500000000006</c:v>
                </c:pt>
                <c:pt idx="72">
                  <c:v>0.20413157894736841</c:v>
                </c:pt>
                <c:pt idx="73">
                  <c:v>0.18107999999999994</c:v>
                </c:pt>
                <c:pt idx="74">
                  <c:v>0.23385416666666684</c:v>
                </c:pt>
                <c:pt idx="75">
                  <c:v>0.22145833333333342</c:v>
                </c:pt>
                <c:pt idx="76">
                  <c:v>0.23604651162790702</c:v>
                </c:pt>
                <c:pt idx="77">
                  <c:v>0.26289583333333327</c:v>
                </c:pt>
                <c:pt idx="78">
                  <c:v>0.24510416666666671</c:v>
                </c:pt>
                <c:pt idx="79">
                  <c:v>0.25887499999999991</c:v>
                </c:pt>
                <c:pt idx="80">
                  <c:v>0.24545833333333333</c:v>
                </c:pt>
                <c:pt idx="81">
                  <c:v>0.26281250000000017</c:v>
                </c:pt>
                <c:pt idx="82">
                  <c:v>0.24750000000000005</c:v>
                </c:pt>
                <c:pt idx="83">
                  <c:v>0.23077083333333337</c:v>
                </c:pt>
                <c:pt idx="84">
                  <c:v>0.2152916666666668</c:v>
                </c:pt>
                <c:pt idx="85">
                  <c:v>0.27483333333333332</c:v>
                </c:pt>
                <c:pt idx="86">
                  <c:v>0.2508333333333333</c:v>
                </c:pt>
                <c:pt idx="87">
                  <c:v>0.23424999999999999</c:v>
                </c:pt>
                <c:pt idx="88">
                  <c:v>0.27489583333333339</c:v>
                </c:pt>
                <c:pt idx="89">
                  <c:v>0.25593750000000004</c:v>
                </c:pt>
                <c:pt idx="90">
                  <c:v>0.27797916666666683</c:v>
                </c:pt>
                <c:pt idx="91">
                  <c:v>0.24816666666666667</c:v>
                </c:pt>
                <c:pt idx="92">
                  <c:v>0.29068750000000004</c:v>
                </c:pt>
                <c:pt idx="93">
                  <c:v>0.26952083333333315</c:v>
                </c:pt>
                <c:pt idx="94">
                  <c:v>0.26325000000000004</c:v>
                </c:pt>
                <c:pt idx="95">
                  <c:v>0.24397916666666666</c:v>
                </c:pt>
                <c:pt idx="96">
                  <c:v>0.22793750000000002</c:v>
                </c:pt>
                <c:pt idx="97">
                  <c:v>0.2246666666666666</c:v>
                </c:pt>
                <c:pt idx="98">
                  <c:v>0.29033333333333339</c:v>
                </c:pt>
                <c:pt idx="99">
                  <c:v>0.2644375000000001</c:v>
                </c:pt>
                <c:pt idx="100">
                  <c:v>0.24500000000000008</c:v>
                </c:pt>
                <c:pt idx="101">
                  <c:v>0.22208333333333338</c:v>
                </c:pt>
                <c:pt idx="102">
                  <c:v>0.19620833333333329</c:v>
                </c:pt>
                <c:pt idx="103">
                  <c:v>0.21954166666666677</c:v>
                </c:pt>
                <c:pt idx="104">
                  <c:v>0.18804166666666666</c:v>
                </c:pt>
                <c:pt idx="105">
                  <c:v>0.16160416666666663</c:v>
                </c:pt>
                <c:pt idx="106">
                  <c:v>0.14449999999999996</c:v>
                </c:pt>
                <c:pt idx="107">
                  <c:v>0.13472916666666676</c:v>
                </c:pt>
                <c:pt idx="108">
                  <c:v>0.2725625000000001</c:v>
                </c:pt>
                <c:pt idx="109">
                  <c:v>0.24475</c:v>
                </c:pt>
                <c:pt idx="110">
                  <c:v>0.22168749999999993</c:v>
                </c:pt>
                <c:pt idx="111">
                  <c:v>0.20150000000000004</c:v>
                </c:pt>
                <c:pt idx="112">
                  <c:v>0.28016666666666662</c:v>
                </c:pt>
                <c:pt idx="113">
                  <c:v>0.25310416666666663</c:v>
                </c:pt>
                <c:pt idx="114">
                  <c:v>0.2694375</c:v>
                </c:pt>
                <c:pt idx="115">
                  <c:v>0.24810416666666676</c:v>
                </c:pt>
                <c:pt idx="116">
                  <c:v>0.2348124999999999</c:v>
                </c:pt>
                <c:pt idx="117">
                  <c:v>0.29110416666666677</c:v>
                </c:pt>
                <c:pt idx="118">
                  <c:v>0.26150000000000001</c:v>
                </c:pt>
                <c:pt idx="119">
                  <c:v>0.24224999999999999</c:v>
                </c:pt>
                <c:pt idx="120">
                  <c:v>0.22622916666666668</c:v>
                </c:pt>
                <c:pt idx="121">
                  <c:v>0.20233333333333334</c:v>
                </c:pt>
                <c:pt idx="122">
                  <c:v>0.17812499999999998</c:v>
                </c:pt>
                <c:pt idx="123">
                  <c:v>0.16068749999999996</c:v>
                </c:pt>
                <c:pt idx="124">
                  <c:v>0.14332258064516132</c:v>
                </c:pt>
                <c:pt idx="125">
                  <c:v>0.13099999999999998</c:v>
                </c:pt>
                <c:pt idx="126">
                  <c:v>0.12256249999999996</c:v>
                </c:pt>
                <c:pt idx="127">
                  <c:v>0.14199999999999999</c:v>
                </c:pt>
                <c:pt idx="128">
                  <c:v>0.12542857142857142</c:v>
                </c:pt>
                <c:pt idx="129">
                  <c:v>0.1176</c:v>
                </c:pt>
                <c:pt idx="130">
                  <c:v>0.115</c:v>
                </c:pt>
                <c:pt idx="131">
                  <c:v>0.111</c:v>
                </c:pt>
                <c:pt idx="132">
                  <c:v>0.111</c:v>
                </c:pt>
                <c:pt idx="133">
                  <c:v>0.23264583333333341</c:v>
                </c:pt>
                <c:pt idx="134">
                  <c:v>0.21797916666666664</c:v>
                </c:pt>
                <c:pt idx="135">
                  <c:v>0.2613125</c:v>
                </c:pt>
                <c:pt idx="136">
                  <c:v>0.27095833333333341</c:v>
                </c:pt>
                <c:pt idx="137">
                  <c:v>0.26545833333333335</c:v>
                </c:pt>
                <c:pt idx="138">
                  <c:v>0.26047916666666654</c:v>
                </c:pt>
                <c:pt idx="139">
                  <c:v>0.26762500000000006</c:v>
                </c:pt>
                <c:pt idx="140">
                  <c:v>0.26729166666666682</c:v>
                </c:pt>
                <c:pt idx="141">
                  <c:v>0.28685416666666658</c:v>
                </c:pt>
                <c:pt idx="142">
                  <c:v>0.28604166666666669</c:v>
                </c:pt>
                <c:pt idx="143">
                  <c:v>0.27770833333333339</c:v>
                </c:pt>
                <c:pt idx="144">
                  <c:v>0.25906250000000003</c:v>
                </c:pt>
                <c:pt idx="145">
                  <c:v>0.24756250000000005</c:v>
                </c:pt>
                <c:pt idx="146">
                  <c:v>0.23335416666666672</c:v>
                </c:pt>
                <c:pt idx="147">
                  <c:v>0.22131249999999994</c:v>
                </c:pt>
                <c:pt idx="148">
                  <c:v>0.20629166666666665</c:v>
                </c:pt>
                <c:pt idx="149">
                  <c:v>0.27072916666666674</c:v>
                </c:pt>
                <c:pt idx="150">
                  <c:v>0.28140476190476188</c:v>
                </c:pt>
                <c:pt idx="151">
                  <c:v>0.25533333333333336</c:v>
                </c:pt>
                <c:pt idx="152">
                  <c:v>0.24915000000000004</c:v>
                </c:pt>
                <c:pt idx="153">
                  <c:v>0.21838888888888891</c:v>
                </c:pt>
                <c:pt idx="154">
                  <c:v>0.19673333333333334</c:v>
                </c:pt>
                <c:pt idx="155">
                  <c:v>0.1726463916666667</c:v>
                </c:pt>
                <c:pt idx="156">
                  <c:v>0.17299999999999999</c:v>
                </c:pt>
                <c:pt idx="157">
                  <c:v>0.17311041041666669</c:v>
                </c:pt>
                <c:pt idx="158">
                  <c:v>0.21647619047619054</c:v>
                </c:pt>
                <c:pt idx="159">
                  <c:v>0.23506250000000001</c:v>
                </c:pt>
                <c:pt idx="160">
                  <c:v>0.218</c:v>
                </c:pt>
                <c:pt idx="161">
                  <c:v>0.16511501041666662</c:v>
                </c:pt>
                <c:pt idx="162">
                  <c:v>0.15897568541666668</c:v>
                </c:pt>
                <c:pt idx="163">
                  <c:v>0.1613333333333333</c:v>
                </c:pt>
                <c:pt idx="164">
                  <c:v>0.1529166666666667</c:v>
                </c:pt>
                <c:pt idx="165">
                  <c:v>0.14368749999999997</c:v>
                </c:pt>
                <c:pt idx="166">
                  <c:v>0.13760714285714279</c:v>
                </c:pt>
                <c:pt idx="167">
                  <c:v>0.13144444444444447</c:v>
                </c:pt>
                <c:pt idx="168">
                  <c:v>0.12699999999999995</c:v>
                </c:pt>
                <c:pt idx="169">
                  <c:v>0.24732258064516127</c:v>
                </c:pt>
                <c:pt idx="170">
                  <c:v>0.22109090909090912</c:v>
                </c:pt>
                <c:pt idx="171">
                  <c:v>0.20831250000000004</c:v>
                </c:pt>
                <c:pt idx="172">
                  <c:v>0.17364705882352938</c:v>
                </c:pt>
                <c:pt idx="173">
                  <c:v>0.1634444444444445</c:v>
                </c:pt>
                <c:pt idx="174">
                  <c:v>0.15886860416666665</c:v>
                </c:pt>
                <c:pt idx="175">
                  <c:v>0.16916030208333332</c:v>
                </c:pt>
                <c:pt idx="176">
                  <c:v>0.24363636363636365</c:v>
                </c:pt>
                <c:pt idx="177">
                  <c:v>0.22466666666666668</c:v>
                </c:pt>
                <c:pt idx="178">
                  <c:v>0.20200000000000001</c:v>
                </c:pt>
                <c:pt idx="179">
                  <c:v>0.26735380833333322</c:v>
                </c:pt>
                <c:pt idx="180">
                  <c:v>0.26193333333333341</c:v>
                </c:pt>
                <c:pt idx="181">
                  <c:v>0.26293023255813958</c:v>
                </c:pt>
                <c:pt idx="182">
                  <c:v>0.22960416666666672</c:v>
                </c:pt>
                <c:pt idx="183">
                  <c:v>0.1995744680851064</c:v>
                </c:pt>
                <c:pt idx="184">
                  <c:v>0.17927083333333335</c:v>
                </c:pt>
                <c:pt idx="185">
                  <c:v>0.16945833333333324</c:v>
                </c:pt>
                <c:pt idx="186">
                  <c:v>0.16343750000000004</c:v>
                </c:pt>
                <c:pt idx="187">
                  <c:v>0.1633125</c:v>
                </c:pt>
                <c:pt idx="188">
                  <c:v>0.27241666666666664</c:v>
                </c:pt>
                <c:pt idx="189">
                  <c:v>0.25979166666666681</c:v>
                </c:pt>
                <c:pt idx="190">
                  <c:v>0.2468541666666666</c:v>
                </c:pt>
                <c:pt idx="191">
                  <c:v>0.26634782608695656</c:v>
                </c:pt>
                <c:pt idx="192">
                  <c:v>0.24445454545454545</c:v>
                </c:pt>
                <c:pt idx="193">
                  <c:v>0.20880000000000001</c:v>
                </c:pt>
                <c:pt idx="194">
                  <c:v>0.18277272727272728</c:v>
                </c:pt>
                <c:pt idx="195">
                  <c:v>0.17387234042553196</c:v>
                </c:pt>
                <c:pt idx="196">
                  <c:v>0.2832564102564103</c:v>
                </c:pt>
                <c:pt idx="197">
                  <c:v>0.25140000000000007</c:v>
                </c:pt>
                <c:pt idx="198">
                  <c:v>0.229304347826087</c:v>
                </c:pt>
                <c:pt idx="199">
                  <c:v>0.21018181818181836</c:v>
                </c:pt>
                <c:pt idx="200">
                  <c:v>0.17230434782608706</c:v>
                </c:pt>
                <c:pt idx="201">
                  <c:v>0.16395555555555552</c:v>
                </c:pt>
                <c:pt idx="202">
                  <c:v>0.15767499999999998</c:v>
                </c:pt>
                <c:pt idx="203">
                  <c:v>0.14964285714285708</c:v>
                </c:pt>
                <c:pt idx="204">
                  <c:v>0.1437272727272727</c:v>
                </c:pt>
                <c:pt idx="205">
                  <c:v>0.23962962962962966</c:v>
                </c:pt>
                <c:pt idx="206">
                  <c:v>0.22252941176470592</c:v>
                </c:pt>
                <c:pt idx="207">
                  <c:v>0.18197435833333334</c:v>
                </c:pt>
                <c:pt idx="208">
                  <c:v>0.30686111111111114</c:v>
                </c:pt>
                <c:pt idx="209">
                  <c:v>0.27999999999999997</c:v>
                </c:pt>
                <c:pt idx="210">
                  <c:v>0.27116279069767435</c:v>
                </c:pt>
                <c:pt idx="211">
                  <c:v>0.25054166666666683</c:v>
                </c:pt>
                <c:pt idx="212">
                  <c:v>0.23848275862068974</c:v>
                </c:pt>
                <c:pt idx="213">
                  <c:v>0.20036842105263156</c:v>
                </c:pt>
                <c:pt idx="214">
                  <c:v>0.17494999999999999</c:v>
                </c:pt>
                <c:pt idx="215">
                  <c:v>0.15786111111111109</c:v>
                </c:pt>
                <c:pt idx="216">
                  <c:v>0.14441666666666664</c:v>
                </c:pt>
                <c:pt idx="217">
                  <c:v>0.13879999999999998</c:v>
                </c:pt>
                <c:pt idx="218">
                  <c:v>0.13416666666666666</c:v>
                </c:pt>
                <c:pt idx="219">
                  <c:v>0.27952380952380951</c:v>
                </c:pt>
                <c:pt idx="220">
                  <c:v>0.27102083333333338</c:v>
                </c:pt>
                <c:pt idx="221">
                  <c:v>0.27654166666666685</c:v>
                </c:pt>
                <c:pt idx="222">
                  <c:v>0.28904444444444449</c:v>
                </c:pt>
                <c:pt idx="223">
                  <c:v>0.27456249999999999</c:v>
                </c:pt>
                <c:pt idx="224">
                  <c:v>0.25744827586206898</c:v>
                </c:pt>
                <c:pt idx="225">
                  <c:v>0.22339285714285709</c:v>
                </c:pt>
                <c:pt idx="226">
                  <c:v>0.18634999999999999</c:v>
                </c:pt>
                <c:pt idx="227">
                  <c:v>0.16399999999999998</c:v>
                </c:pt>
                <c:pt idx="228">
                  <c:v>0.15</c:v>
                </c:pt>
                <c:pt idx="229">
                  <c:v>0.1399</c:v>
                </c:pt>
                <c:pt idx="230">
                  <c:v>0.136125</c:v>
                </c:pt>
                <c:pt idx="231">
                  <c:v>0.13252380952380957</c:v>
                </c:pt>
                <c:pt idx="232">
                  <c:v>0.17150000000000001</c:v>
                </c:pt>
                <c:pt idx="233">
                  <c:v>0.30053571428571429</c:v>
                </c:pt>
                <c:pt idx="234">
                  <c:v>0.28736363636363632</c:v>
                </c:pt>
                <c:pt idx="235">
                  <c:v>0.2878</c:v>
                </c:pt>
                <c:pt idx="236">
                  <c:v>0.26493333333333335</c:v>
                </c:pt>
                <c:pt idx="237">
                  <c:v>0.23459999999999998</c:v>
                </c:pt>
                <c:pt idx="238">
                  <c:v>0.20431578947368423</c:v>
                </c:pt>
                <c:pt idx="239">
                  <c:v>0.30499999999999999</c:v>
                </c:pt>
                <c:pt idx="240">
                  <c:v>0.27324999999999999</c:v>
                </c:pt>
                <c:pt idx="241">
                  <c:v>0.2597272727272727</c:v>
                </c:pt>
                <c:pt idx="242">
                  <c:v>0.24835714285714286</c:v>
                </c:pt>
                <c:pt idx="243">
                  <c:v>0.21958333333333335</c:v>
                </c:pt>
                <c:pt idx="244">
                  <c:v>0.19400000000000001</c:v>
                </c:pt>
                <c:pt idx="245">
                  <c:v>0.17666666666666664</c:v>
                </c:pt>
                <c:pt idx="246">
                  <c:v>0.16264705882352942</c:v>
                </c:pt>
                <c:pt idx="247">
                  <c:v>0.15229999999999999</c:v>
                </c:pt>
                <c:pt idx="248">
                  <c:v>0.14307692307692307</c:v>
                </c:pt>
                <c:pt idx="249">
                  <c:v>0.13800000000000001</c:v>
                </c:pt>
                <c:pt idx="250">
                  <c:v>0.21622727272727274</c:v>
                </c:pt>
                <c:pt idx="251">
                  <c:v>0.19541666666666671</c:v>
                </c:pt>
                <c:pt idx="252">
                  <c:v>0.16269999999999993</c:v>
                </c:pt>
                <c:pt idx="253">
                  <c:v>0.14829999999999993</c:v>
                </c:pt>
                <c:pt idx="254">
                  <c:v>0.13704000000000002</c:v>
                </c:pt>
                <c:pt idx="255">
                  <c:v>0.12934782608695655</c:v>
                </c:pt>
                <c:pt idx="256">
                  <c:v>0.25600000000000006</c:v>
                </c:pt>
                <c:pt idx="257">
                  <c:v>0.28123529411764703</c:v>
                </c:pt>
                <c:pt idx="258">
                  <c:v>0.26496296296296296</c:v>
                </c:pt>
                <c:pt idx="259">
                  <c:v>0.22927272727272729</c:v>
                </c:pt>
                <c:pt idx="260">
                  <c:v>0.20795454545454548</c:v>
                </c:pt>
                <c:pt idx="261">
                  <c:v>0.19619999999999999</c:v>
                </c:pt>
                <c:pt idx="262">
                  <c:v>0.16666666666666666</c:v>
                </c:pt>
                <c:pt idx="263">
                  <c:v>0.15049999999999997</c:v>
                </c:pt>
                <c:pt idx="264">
                  <c:v>0.14405000000000001</c:v>
                </c:pt>
                <c:pt idx="265">
                  <c:v>0.13592307692307692</c:v>
                </c:pt>
                <c:pt idx="266">
                  <c:v>0.13130000000000003</c:v>
                </c:pt>
                <c:pt idx="267">
                  <c:v>0.126</c:v>
                </c:pt>
                <c:pt idx="268">
                  <c:v>0.12252777777777782</c:v>
                </c:pt>
                <c:pt idx="269">
                  <c:v>0.12151428571428571</c:v>
                </c:pt>
                <c:pt idx="270">
                  <c:v>0.11811111111111111</c:v>
                </c:pt>
                <c:pt idx="271">
                  <c:v>0.10276992708333332</c:v>
                </c:pt>
                <c:pt idx="272">
                  <c:v>0.11327272727272729</c:v>
                </c:pt>
                <c:pt idx="273">
                  <c:v>0.1096</c:v>
                </c:pt>
                <c:pt idx="274">
                  <c:v>0.108</c:v>
                </c:pt>
                <c:pt idx="275">
                  <c:v>0.10627777777777779</c:v>
                </c:pt>
                <c:pt idx="276">
                  <c:v>0.10356521739130439</c:v>
                </c:pt>
                <c:pt idx="277">
                  <c:v>0.22733333333333336</c:v>
                </c:pt>
                <c:pt idx="278">
                  <c:v>0.20600000000000002</c:v>
                </c:pt>
                <c:pt idx="279">
                  <c:v>0.18130807500000001</c:v>
                </c:pt>
                <c:pt idx="280">
                  <c:v>0.17879999999999999</c:v>
                </c:pt>
                <c:pt idx="281">
                  <c:v>0.168625</c:v>
                </c:pt>
                <c:pt idx="282">
                  <c:v>0.1998421052631579</c:v>
                </c:pt>
                <c:pt idx="283">
                  <c:v>0.1910869565217391</c:v>
                </c:pt>
                <c:pt idx="284">
                  <c:v>0.18468708333333336</c:v>
                </c:pt>
                <c:pt idx="285">
                  <c:v>0.23365890833333341</c:v>
                </c:pt>
                <c:pt idx="286">
                  <c:v>0.22550000000000001</c:v>
                </c:pt>
                <c:pt idx="287">
                  <c:v>0.20670588235294124</c:v>
                </c:pt>
                <c:pt idx="288">
                  <c:v>0.19648936170212769</c:v>
                </c:pt>
                <c:pt idx="289">
                  <c:v>0.18568750000000003</c:v>
                </c:pt>
                <c:pt idx="290">
                  <c:v>0.18544855000000002</c:v>
                </c:pt>
                <c:pt idx="291">
                  <c:v>0.159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9-48FD-BC20-32893295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85600"/>
        <c:axId val="765269376"/>
      </c:scatterChart>
      <c:valAx>
        <c:axId val="76528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69376"/>
        <c:crosses val="autoZero"/>
        <c:crossBetween val="midCat"/>
      </c:valAx>
      <c:valAx>
        <c:axId val="7652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28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594360</xdr:colOff>
      <xdr:row>9</xdr:row>
      <xdr:rowOff>106680</xdr:rowOff>
    </xdr:from>
    <xdr:to>
      <xdr:col>24</xdr:col>
      <xdr:colOff>289560</xdr:colOff>
      <xdr:row>25</xdr:row>
      <xdr:rowOff>45720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64E420B-8A0C-40F6-B99F-659B8A08C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0" sqref="D10"/>
    </sheetView>
  </sheetViews>
  <sheetFormatPr defaultRowHeight="13.8" x14ac:dyDescent="0.25"/>
  <cols>
    <col min="1" max="1" width="16.5546875" style="7" customWidth="1"/>
  </cols>
  <sheetData>
    <row r="1" spans="1:9" x14ac:dyDescent="0.25">
      <c r="B1" s="32" t="s">
        <v>4</v>
      </c>
      <c r="C1" s="32"/>
      <c r="D1" s="32"/>
      <c r="E1" s="32"/>
      <c r="F1" s="32"/>
      <c r="G1" s="32"/>
      <c r="H1" s="32"/>
      <c r="I1" s="32"/>
    </row>
    <row r="2" spans="1:9" ht="16.8" x14ac:dyDescent="0.25">
      <c r="A2" s="1" t="s">
        <v>0</v>
      </c>
      <c r="B2" s="31" t="s">
        <v>1</v>
      </c>
      <c r="C2" s="31"/>
      <c r="D2" s="31"/>
      <c r="E2" s="31"/>
      <c r="F2" s="5"/>
      <c r="G2" s="5"/>
      <c r="H2" s="5" t="s">
        <v>2</v>
      </c>
      <c r="I2" s="5"/>
    </row>
    <row r="3" spans="1:9" x14ac:dyDescent="0.25">
      <c r="A3" s="1"/>
      <c r="B3" s="5">
        <v>1</v>
      </c>
      <c r="C3" s="5">
        <v>2</v>
      </c>
      <c r="D3" s="5">
        <v>3</v>
      </c>
      <c r="E3" s="5">
        <v>4</v>
      </c>
      <c r="F3" s="5">
        <v>7</v>
      </c>
      <c r="G3" s="5">
        <v>8</v>
      </c>
      <c r="H3" s="5">
        <v>5</v>
      </c>
      <c r="I3" s="5">
        <v>6</v>
      </c>
    </row>
    <row r="4" spans="1:9" ht="16.8" x14ac:dyDescent="0.25">
      <c r="A4" s="6" t="s">
        <v>3</v>
      </c>
      <c r="B4" s="1">
        <v>3.8000000000000002E-4</v>
      </c>
      <c r="C4" s="1">
        <v>6.0999999999999997E-4</v>
      </c>
      <c r="D4" s="1">
        <v>3.8000000000000002E-4</v>
      </c>
      <c r="E4" s="1">
        <v>4.4999999999999999E-4</v>
      </c>
      <c r="F4" s="1">
        <v>1.9599999999999999E-3</v>
      </c>
      <c r="G4" s="1">
        <v>1.9599999999999999E-3</v>
      </c>
      <c r="H4" s="1">
        <v>3.0100000000000001E-3</v>
      </c>
      <c r="I4" s="1">
        <v>3.0100000000000001E-3</v>
      </c>
    </row>
    <row r="5" spans="1:9" x14ac:dyDescent="0.25">
      <c r="A5" s="9">
        <v>43713</v>
      </c>
      <c r="B5" s="2">
        <v>61.18119559299322</v>
      </c>
      <c r="C5" s="3">
        <v>305.24293879635371</v>
      </c>
      <c r="D5" s="3">
        <v>156.67399639690964</v>
      </c>
      <c r="E5" s="3">
        <v>420.40189858794116</v>
      </c>
      <c r="F5" s="3">
        <v>162.82053118589448</v>
      </c>
      <c r="G5" s="3">
        <v>238.22503262457087</v>
      </c>
      <c r="H5" s="3">
        <v>255.22930799751802</v>
      </c>
      <c r="I5" s="3">
        <v>170.0535629535508</v>
      </c>
    </row>
    <row r="6" spans="1:9" x14ac:dyDescent="0.25">
      <c r="A6" s="9">
        <v>43714</v>
      </c>
      <c r="B6" s="2">
        <v>54.618961772252284</v>
      </c>
      <c r="C6" s="3">
        <v>260.10971435228902</v>
      </c>
      <c r="D6" s="3">
        <v>139.86930031306602</v>
      </c>
      <c r="E6" s="3">
        <v>279.30977000767541</v>
      </c>
      <c r="F6" s="3">
        <v>99.771387173991926</v>
      </c>
      <c r="G6" s="3">
        <v>152.23788136461275</v>
      </c>
      <c r="H6" s="3">
        <v>172.95997856254013</v>
      </c>
      <c r="I6" s="3">
        <v>110.17258839902671</v>
      </c>
    </row>
    <row r="7" spans="1:9" x14ac:dyDescent="0.25">
      <c r="A7" s="9">
        <v>43715</v>
      </c>
      <c r="B7" s="2">
        <v>60.196280357521424</v>
      </c>
      <c r="C7" s="3">
        <v>457.04727616669271</v>
      </c>
      <c r="D7" s="3">
        <v>154.15180629326869</v>
      </c>
      <c r="E7" s="3">
        <v>357.63609986300889</v>
      </c>
      <c r="F7" s="3">
        <v>129.30236246327354</v>
      </c>
      <c r="G7" s="3">
        <v>157.94738533489172</v>
      </c>
      <c r="H7" s="3">
        <v>178.60610113283565</v>
      </c>
      <c r="I7" s="3">
        <v>86.980453573685168</v>
      </c>
    </row>
    <row r="8" spans="1:9" x14ac:dyDescent="0.25">
      <c r="A8" s="9">
        <v>43716</v>
      </c>
      <c r="B8" s="2">
        <v>23.1765097080388</v>
      </c>
      <c r="C8" s="3">
        <v>644.46133991587112</v>
      </c>
      <c r="D8" s="3">
        <v>59.350857126859921</v>
      </c>
      <c r="E8" s="3">
        <v>0.63087818905910109</v>
      </c>
      <c r="F8" s="3">
        <v>29.589802536156409</v>
      </c>
      <c r="G8" s="3">
        <v>24.14487707050802</v>
      </c>
      <c r="H8" s="3">
        <v>52.998638122448696</v>
      </c>
      <c r="I8" s="3">
        <v>63.133772128052016</v>
      </c>
    </row>
    <row r="9" spans="1:9" x14ac:dyDescent="0.25">
      <c r="A9" s="9">
        <v>43717</v>
      </c>
      <c r="B9" s="2">
        <v>64.831906951941718</v>
      </c>
      <c r="C9" s="3">
        <v>165.70089431006943</v>
      </c>
      <c r="D9" s="3">
        <v>166.02280909588148</v>
      </c>
      <c r="E9" s="3">
        <v>47.697049195632275</v>
      </c>
      <c r="F9" s="3">
        <v>77.0236581710314</v>
      </c>
      <c r="G9" s="3">
        <v>114.93427161047288</v>
      </c>
      <c r="H9" s="3">
        <v>80.166788937585537</v>
      </c>
      <c r="I9" s="3">
        <v>231.48488882658131</v>
      </c>
    </row>
    <row r="10" spans="1:9" x14ac:dyDescent="0.25">
      <c r="A10" s="9">
        <v>43718</v>
      </c>
      <c r="B10" s="2">
        <v>52.841164488893355</v>
      </c>
      <c r="C10" s="3">
        <v>274.18740268507963</v>
      </c>
      <c r="D10" s="3">
        <v>135.31668242994456</v>
      </c>
      <c r="E10" s="3">
        <v>30.665344140274549</v>
      </c>
      <c r="F10" s="3">
        <v>94.043411242799664</v>
      </c>
      <c r="G10" s="3">
        <v>131.53532069034236</v>
      </c>
      <c r="H10" s="3">
        <v>143.61073756381194</v>
      </c>
      <c r="I10" s="3">
        <v>138.30128216842445</v>
      </c>
    </row>
    <row r="11" spans="1:9" x14ac:dyDescent="0.25">
      <c r="A11" s="9">
        <v>43719</v>
      </c>
      <c r="B11" s="2">
        <v>92.82901196091116</v>
      </c>
      <c r="C11" s="3">
        <v>99.630213524542697</v>
      </c>
      <c r="D11" s="3">
        <v>237.718340488889</v>
      </c>
      <c r="E11" s="3">
        <v>163.27885950130943</v>
      </c>
      <c r="F11" s="3">
        <v>164.65576475375178</v>
      </c>
      <c r="G11" s="3">
        <v>153.77778541664404</v>
      </c>
      <c r="H11" s="3">
        <v>205.57406224994412</v>
      </c>
      <c r="I11" s="3">
        <v>246.2068972360774</v>
      </c>
    </row>
    <row r="12" spans="1:9" x14ac:dyDescent="0.25">
      <c r="A12" s="9">
        <v>43720</v>
      </c>
      <c r="B12" s="2">
        <v>120.16836032647406</v>
      </c>
      <c r="C12" s="3">
        <v>9.7326483098986678</v>
      </c>
      <c r="D12" s="3">
        <v>307.72947586805134</v>
      </c>
      <c r="E12" s="3">
        <v>252.87200160162453</v>
      </c>
      <c r="F12" s="3">
        <v>239.55295354813643</v>
      </c>
      <c r="G12" s="3">
        <v>275.9314528535478</v>
      </c>
      <c r="H12" s="3">
        <v>274.9470584328954</v>
      </c>
      <c r="I12" s="3">
        <v>301.44130226650617</v>
      </c>
    </row>
    <row r="13" spans="1:9" x14ac:dyDescent="0.25">
      <c r="A13" s="9">
        <v>43721</v>
      </c>
      <c r="B13" s="2">
        <v>114.62883165037987</v>
      </c>
      <c r="C13" s="3">
        <v>57.579570188124329</v>
      </c>
      <c r="D13" s="3">
        <v>293.5437430227397</v>
      </c>
      <c r="E13" s="3">
        <v>279.38819177172098</v>
      </c>
      <c r="F13" s="3">
        <v>240.36657705219636</v>
      </c>
      <c r="G13" s="3">
        <v>211.59130188041902</v>
      </c>
      <c r="H13" s="3">
        <v>274.28932263308616</v>
      </c>
      <c r="I13" s="3">
        <v>251.57666941552969</v>
      </c>
    </row>
    <row r="14" spans="1:9" x14ac:dyDescent="0.25">
      <c r="A14" s="9">
        <v>43722</v>
      </c>
      <c r="B14" s="2">
        <v>117.007756587315</v>
      </c>
      <c r="C14" s="3">
        <v>87.063259590924432</v>
      </c>
      <c r="D14" s="3">
        <v>299.63574030042253</v>
      </c>
      <c r="E14" s="3">
        <v>305.46570474254486</v>
      </c>
      <c r="F14" s="3">
        <v>227.91059172019396</v>
      </c>
      <c r="G14" s="3">
        <v>316.42473698023502</v>
      </c>
      <c r="H14" s="3">
        <v>261.53114871650365</v>
      </c>
      <c r="I14" s="3">
        <v>205.79994106071092</v>
      </c>
    </row>
    <row r="15" spans="1:9" x14ac:dyDescent="0.25">
      <c r="A15" s="9">
        <v>43723</v>
      </c>
      <c r="B15" s="2">
        <v>113.78283475887832</v>
      </c>
      <c r="C15" s="3">
        <v>165.39406500977049</v>
      </c>
      <c r="D15" s="3">
        <v>291.37729771799826</v>
      </c>
      <c r="E15" s="3">
        <v>343.46578292590743</v>
      </c>
      <c r="F15" s="3">
        <v>174.3469938596221</v>
      </c>
      <c r="G15" s="3">
        <v>336.07711949499702</v>
      </c>
      <c r="H15" s="3">
        <v>175.59573456818052</v>
      </c>
      <c r="I15" s="3">
        <v>157.95194725617517</v>
      </c>
    </row>
    <row r="16" spans="1:9" x14ac:dyDescent="0.25">
      <c r="A16" s="9">
        <v>43724</v>
      </c>
      <c r="B16" s="2">
        <v>55.007684460168775</v>
      </c>
      <c r="C16" s="3">
        <v>90.347129945601338</v>
      </c>
      <c r="D16" s="3">
        <v>140.86474893769213</v>
      </c>
      <c r="E16" s="3">
        <v>201.14427318979367</v>
      </c>
      <c r="F16" s="3">
        <v>168.75116748101016</v>
      </c>
      <c r="G16" s="3">
        <v>253.59845831364268</v>
      </c>
      <c r="H16" s="3">
        <v>194.60186741355625</v>
      </c>
      <c r="I16" s="3">
        <v>248.53427387773965</v>
      </c>
    </row>
    <row r="17" spans="1:9" x14ac:dyDescent="0.25">
      <c r="A17" s="9">
        <v>43725</v>
      </c>
      <c r="B17" s="2">
        <v>73.699868273810878</v>
      </c>
      <c r="C17" s="3">
        <v>169.59946939160761</v>
      </c>
      <c r="D17" s="3">
        <v>188.73205703920837</v>
      </c>
      <c r="E17" s="3">
        <v>259.448675787441</v>
      </c>
      <c r="F17" s="3">
        <v>237.93485771682657</v>
      </c>
      <c r="G17" s="3">
        <v>250.9228528407875</v>
      </c>
      <c r="H17" s="3">
        <v>206.81993403700309</v>
      </c>
      <c r="I17" s="3">
        <v>221.10658318633483</v>
      </c>
    </row>
    <row r="18" spans="1:9" x14ac:dyDescent="0.25">
      <c r="A18" s="9">
        <v>43726</v>
      </c>
      <c r="B18" s="2">
        <v>14.473936967934334</v>
      </c>
      <c r="C18" s="3">
        <v>39.741625666612585</v>
      </c>
      <c r="D18" s="3">
        <v>37.065139482546307</v>
      </c>
      <c r="E18" s="3">
        <v>124.71808452583406</v>
      </c>
      <c r="F18" s="3">
        <v>62.406619121085946</v>
      </c>
      <c r="G18" s="3">
        <v>156.70997916363171</v>
      </c>
      <c r="H18" s="3">
        <v>83.173440504841253</v>
      </c>
      <c r="I18" s="3">
        <v>173.15426922305301</v>
      </c>
    </row>
    <row r="19" spans="1:9" x14ac:dyDescent="0.25">
      <c r="A19" s="9">
        <v>43727</v>
      </c>
      <c r="B19" s="2">
        <v>2.1784576785682193</v>
      </c>
      <c r="C19" s="3">
        <v>27.523683562091286</v>
      </c>
      <c r="D19" s="3">
        <v>5.5786368209173345</v>
      </c>
      <c r="E19" s="3">
        <v>44.501622409071906</v>
      </c>
      <c r="F19" s="3">
        <v>76.245148565122875</v>
      </c>
      <c r="G19" s="3">
        <v>38.996534918107031</v>
      </c>
      <c r="H19" s="3">
        <v>75.507148279192236</v>
      </c>
      <c r="I19" s="3">
        <v>107.88446692154209</v>
      </c>
    </row>
    <row r="20" spans="1:9" x14ac:dyDescent="0.25">
      <c r="A20" s="9">
        <v>43728</v>
      </c>
      <c r="B20" s="2">
        <v>39.919641797003614</v>
      </c>
      <c r="C20" s="3">
        <v>47.964861413383311</v>
      </c>
      <c r="D20" s="3">
        <v>102.2269956389337</v>
      </c>
      <c r="E20" s="3">
        <v>174.51794303146031</v>
      </c>
      <c r="F20" s="3">
        <v>306.95241922178735</v>
      </c>
      <c r="G20" s="3">
        <v>59.477474916043619</v>
      </c>
      <c r="H20" s="3">
        <v>126.09550117085816</v>
      </c>
      <c r="I20" s="3">
        <v>121.34787925496128</v>
      </c>
    </row>
    <row r="21" spans="1:9" x14ac:dyDescent="0.25">
      <c r="A21" s="9">
        <v>43729</v>
      </c>
      <c r="B21" s="2">
        <v>122.85438078261906</v>
      </c>
      <c r="C21" s="3">
        <v>242.0820084144936</v>
      </c>
      <c r="D21" s="3">
        <v>314.60788932808975</v>
      </c>
      <c r="E21" s="3">
        <v>421.00542348180977</v>
      </c>
      <c r="F21" s="3">
        <v>463.26285357682951</v>
      </c>
      <c r="G21" s="3">
        <v>172.28894282045817</v>
      </c>
      <c r="H21" s="3">
        <v>276.4953538745475</v>
      </c>
      <c r="I21" s="3">
        <v>161.19613700031096</v>
      </c>
    </row>
    <row r="22" spans="1:9" x14ac:dyDescent="0.25">
      <c r="A22" s="9">
        <v>43730</v>
      </c>
      <c r="B22" s="2">
        <v>123.11462801616887</v>
      </c>
      <c r="C22" s="3">
        <v>299.8707301316187</v>
      </c>
      <c r="D22" s="3">
        <v>315.27433550875509</v>
      </c>
      <c r="E22" s="3">
        <v>439.73358998602123</v>
      </c>
      <c r="F22" s="3">
        <v>225.86725278495049</v>
      </c>
      <c r="G22" s="3">
        <v>182.7344861584653</v>
      </c>
      <c r="H22" s="3">
        <v>194.2906439075031</v>
      </c>
      <c r="I22" s="3">
        <v>170.39837601385011</v>
      </c>
    </row>
    <row r="23" spans="1:9" x14ac:dyDescent="0.25">
      <c r="A23" s="9">
        <v>43731</v>
      </c>
      <c r="B23" s="2">
        <v>129.21574631645242</v>
      </c>
      <c r="C23" s="3">
        <v>370.10392049772446</v>
      </c>
      <c r="D23" s="3">
        <v>330.89819799347612</v>
      </c>
      <c r="E23" s="3">
        <v>451.74658008967083</v>
      </c>
      <c r="F23" s="3">
        <v>247.81604519295962</v>
      </c>
      <c r="G23" s="3">
        <v>216.16551984329863</v>
      </c>
      <c r="H23" s="3">
        <v>183.84298052976436</v>
      </c>
      <c r="I23" s="3">
        <v>203.58479402639648</v>
      </c>
    </row>
    <row r="24" spans="1:9" x14ac:dyDescent="0.25">
      <c r="A24" s="9">
        <v>43732</v>
      </c>
      <c r="B24" s="2">
        <v>110.76440919029405</v>
      </c>
      <c r="C24" s="3">
        <v>330.64254430670451</v>
      </c>
      <c r="D24" s="3">
        <v>283.64765477668129</v>
      </c>
      <c r="E24" s="3">
        <v>422.05308158874232</v>
      </c>
      <c r="F24" s="3">
        <v>200.83854275082552</v>
      </c>
      <c r="G24" s="3">
        <v>241.9870538635046</v>
      </c>
      <c r="H24" s="3">
        <v>154.68600203133852</v>
      </c>
      <c r="I24" s="3">
        <v>189.87013782781722</v>
      </c>
    </row>
    <row r="25" spans="1:9" x14ac:dyDescent="0.25">
      <c r="A25" s="9">
        <v>43733</v>
      </c>
      <c r="B25" s="2">
        <v>48.372550472264585</v>
      </c>
      <c r="C25" s="3">
        <v>105.3630257634825</v>
      </c>
      <c r="D25" s="3">
        <v>123.87336868697716</v>
      </c>
      <c r="E25" s="3">
        <v>204.95296870285532</v>
      </c>
      <c r="F25" s="3">
        <v>153.79172314664635</v>
      </c>
      <c r="G25" s="3">
        <v>208.88202929273925</v>
      </c>
      <c r="H25" s="3">
        <v>100.59301573372758</v>
      </c>
      <c r="I25" s="3">
        <v>248.61086684250694</v>
      </c>
    </row>
    <row r="26" spans="1:9" x14ac:dyDescent="0.25">
      <c r="A26" s="9">
        <v>43734</v>
      </c>
      <c r="B26" s="2">
        <v>76.461435405917229</v>
      </c>
      <c r="C26" s="3">
        <v>219.11465642713773</v>
      </c>
      <c r="D26" s="3">
        <v>195.80393189735526</v>
      </c>
      <c r="E26" s="3">
        <v>311.33484673655863</v>
      </c>
      <c r="F26" s="3">
        <v>270.64989681735727</v>
      </c>
      <c r="G26" s="3">
        <v>250.08237536703703</v>
      </c>
      <c r="H26" s="3">
        <v>187.12407463412495</v>
      </c>
      <c r="I26" s="3">
        <v>289.4738482291217</v>
      </c>
    </row>
    <row r="27" spans="1:9" x14ac:dyDescent="0.25">
      <c r="A27" s="9">
        <v>43735</v>
      </c>
      <c r="B27" s="2">
        <v>86.447930488502237</v>
      </c>
      <c r="C27" s="3">
        <v>279.66760201977849</v>
      </c>
      <c r="D27" s="3">
        <v>221.37754286428228</v>
      </c>
      <c r="E27" s="3">
        <v>412.92257800561498</v>
      </c>
      <c r="F27" s="3">
        <v>331.27302053209797</v>
      </c>
      <c r="G27" s="3">
        <v>313.26592657850694</v>
      </c>
      <c r="H27" s="3">
        <v>272.35274129648491</v>
      </c>
      <c r="I27" s="3">
        <v>244.73789150460368</v>
      </c>
    </row>
    <row r="28" spans="1:9" x14ac:dyDescent="0.25">
      <c r="A28" s="9">
        <v>43736</v>
      </c>
      <c r="B28" s="2">
        <v>97.177620930585832</v>
      </c>
      <c r="C28" s="3">
        <v>376.34894397216738</v>
      </c>
      <c r="D28" s="3">
        <v>248.85434297205077</v>
      </c>
      <c r="E28" s="3">
        <v>486.09305946267983</v>
      </c>
      <c r="F28" s="3">
        <v>363.10057104686075</v>
      </c>
      <c r="G28" s="3">
        <v>334.58074710157621</v>
      </c>
      <c r="H28" s="3">
        <v>323.51593698708393</v>
      </c>
      <c r="I28" s="3">
        <v>298.70697951547021</v>
      </c>
    </row>
    <row r="29" spans="1:9" x14ac:dyDescent="0.25">
      <c r="A29" s="9">
        <v>43737</v>
      </c>
      <c r="B29" s="2">
        <v>94.385197971909776</v>
      </c>
      <c r="C29" s="3">
        <v>395.67709278440969</v>
      </c>
      <c r="D29" s="3">
        <v>241.7034519127011</v>
      </c>
      <c r="E29" s="3">
        <v>459.64482058362881</v>
      </c>
      <c r="F29" s="3">
        <v>329.40098061757413</v>
      </c>
      <c r="G29" s="3">
        <v>281.8688208453965</v>
      </c>
      <c r="H29" s="3">
        <v>267.71089971132898</v>
      </c>
      <c r="I29" s="3">
        <v>270.57007460082315</v>
      </c>
    </row>
    <row r="30" spans="1:9" x14ac:dyDescent="0.25">
      <c r="A30" s="9">
        <v>43738</v>
      </c>
      <c r="B30" s="2">
        <v>96.318083409127738</v>
      </c>
      <c r="C30" s="3">
        <v>308.82249080222533</v>
      </c>
      <c r="D30" s="3">
        <v>246.65322255858575</v>
      </c>
      <c r="E30" s="3">
        <v>432.66223447051703</v>
      </c>
      <c r="F30" s="3">
        <v>282.27203397865247</v>
      </c>
      <c r="G30" s="3">
        <v>211.95163398299439</v>
      </c>
      <c r="H30" s="3">
        <v>162.21638693098615</v>
      </c>
      <c r="I30" s="3">
        <v>165.37448299613479</v>
      </c>
    </row>
    <row r="31" spans="1:9" x14ac:dyDescent="0.25">
      <c r="A31" s="9">
        <v>43739</v>
      </c>
      <c r="B31" s="2">
        <v>95.699705786850672</v>
      </c>
      <c r="C31" s="3">
        <v>268.9513127887426</v>
      </c>
      <c r="D31" s="3">
        <v>245.06966910845242</v>
      </c>
      <c r="E31" s="3">
        <v>396.13222577293971</v>
      </c>
      <c r="F31" s="3">
        <v>282.67373245099168</v>
      </c>
      <c r="G31" s="3">
        <v>210.21229714609871</v>
      </c>
      <c r="H31" s="3">
        <v>158.8229213169746</v>
      </c>
      <c r="I31" s="3">
        <v>138.39198851743296</v>
      </c>
    </row>
    <row r="32" spans="1:9" x14ac:dyDescent="0.25">
      <c r="A32" s="9">
        <v>43740</v>
      </c>
      <c r="B32" s="2">
        <v>50.096425156098462</v>
      </c>
      <c r="C32" s="3">
        <v>209.49368286961203</v>
      </c>
      <c r="D32" s="3">
        <v>128.28790052778095</v>
      </c>
      <c r="E32" s="3">
        <v>263.75889112243669</v>
      </c>
      <c r="F32" s="3">
        <v>178.38261400911861</v>
      </c>
      <c r="G32" s="3">
        <v>187.92790025741817</v>
      </c>
      <c r="H32" s="3">
        <v>160.95207523497788</v>
      </c>
      <c r="I32" s="3">
        <v>120.72196497856042</v>
      </c>
    </row>
    <row r="33" spans="1:9" x14ac:dyDescent="0.25">
      <c r="A33" s="9">
        <v>43741</v>
      </c>
      <c r="B33" s="2">
        <v>50.380990319651829</v>
      </c>
      <c r="C33" s="3">
        <v>175.06433240375591</v>
      </c>
      <c r="D33" s="3">
        <v>129.01662053688048</v>
      </c>
      <c r="E33" s="3">
        <v>202.37371958839438</v>
      </c>
      <c r="F33" s="3">
        <v>165.73099699950751</v>
      </c>
      <c r="G33" s="3">
        <v>178.06901438330954</v>
      </c>
      <c r="H33" s="3">
        <v>165.12227363112177</v>
      </c>
      <c r="I33" s="3">
        <v>151.48180047870071</v>
      </c>
    </row>
    <row r="34" spans="1:9" x14ac:dyDescent="0.25">
      <c r="A34" s="9">
        <v>43742</v>
      </c>
      <c r="B34" s="2">
        <v>18.581321124048184</v>
      </c>
      <c r="C34" s="3">
        <v>165.0415647371336</v>
      </c>
      <c r="D34" s="3">
        <v>47.583408768369225</v>
      </c>
      <c r="E34" s="3">
        <v>159.50754100747216</v>
      </c>
      <c r="F34" s="3">
        <v>170.64195671378528</v>
      </c>
      <c r="G34" s="3">
        <v>198.21516360840198</v>
      </c>
      <c r="H34" s="3">
        <v>187.63591541247868</v>
      </c>
      <c r="I34" s="3">
        <v>180.2810670342603</v>
      </c>
    </row>
    <row r="35" spans="1:9" x14ac:dyDescent="0.25">
      <c r="A35" s="9">
        <v>43743</v>
      </c>
      <c r="B35" s="2">
        <v>34.584416740885764</v>
      </c>
      <c r="C35" s="3">
        <v>121.80766411288234</v>
      </c>
      <c r="D35" s="3">
        <v>88.564447479861116</v>
      </c>
      <c r="E35" s="3">
        <v>97.890921867010903</v>
      </c>
      <c r="F35" s="3">
        <v>146.63296273576307</v>
      </c>
      <c r="G35" s="3">
        <v>193.26062726957053</v>
      </c>
      <c r="H35" s="3">
        <v>160.641430901223</v>
      </c>
      <c r="I35" s="3">
        <v>195.28588778395778</v>
      </c>
    </row>
    <row r="36" spans="1:9" x14ac:dyDescent="0.25">
      <c r="A36" s="9">
        <v>43744</v>
      </c>
      <c r="B36" s="2">
        <v>115.54599291589601</v>
      </c>
      <c r="C36" s="3">
        <v>320.24839693518544</v>
      </c>
      <c r="D36" s="3">
        <v>295.89242744147504</v>
      </c>
      <c r="E36" s="3">
        <v>296.4617748717618</v>
      </c>
      <c r="F36" s="3">
        <v>359.44224492077694</v>
      </c>
      <c r="G36" s="3">
        <v>587.49103411017074</v>
      </c>
      <c r="H36" s="3">
        <v>253.564277430766</v>
      </c>
      <c r="I36" s="3">
        <v>420.10939472128064</v>
      </c>
    </row>
    <row r="37" spans="1:9" x14ac:dyDescent="0.25">
      <c r="A37" s="9">
        <v>43745</v>
      </c>
      <c r="B37" s="2">
        <v>89.624730632590698</v>
      </c>
      <c r="C37" s="3">
        <v>377.04416797781971</v>
      </c>
      <c r="D37" s="3">
        <v>229.51275450087246</v>
      </c>
      <c r="E37" s="3">
        <v>424.51104472506455</v>
      </c>
      <c r="F37" s="3">
        <v>611.82137934127707</v>
      </c>
      <c r="G37" s="3">
        <v>444.09559796568476</v>
      </c>
      <c r="H37" s="3">
        <v>237.64819853389102</v>
      </c>
      <c r="I37" s="3">
        <v>500.37894083479426</v>
      </c>
    </row>
    <row r="38" spans="1:9" x14ac:dyDescent="0.25">
      <c r="A38" s="9">
        <v>43746</v>
      </c>
      <c r="B38" s="2">
        <v>61.151709163116173</v>
      </c>
      <c r="C38" s="3">
        <v>61.297139896063634</v>
      </c>
      <c r="D38" s="3">
        <v>156.59848697340888</v>
      </c>
      <c r="E38" s="3">
        <v>33.029279358536868</v>
      </c>
      <c r="F38" s="3">
        <v>133.62915369432017</v>
      </c>
      <c r="G38" s="3">
        <v>70.270413388852347</v>
      </c>
      <c r="H38" s="3">
        <v>150.85344733330658</v>
      </c>
      <c r="I38" s="3">
        <v>177.48450876875424</v>
      </c>
    </row>
    <row r="39" spans="1:9" x14ac:dyDescent="0.25">
      <c r="A39" s="9">
        <v>43747</v>
      </c>
      <c r="B39" s="2">
        <v>116.59346919183255</v>
      </c>
      <c r="C39" s="3">
        <v>248.07596440498756</v>
      </c>
      <c r="D39" s="3">
        <v>298.57482507511537</v>
      </c>
      <c r="E39" s="3">
        <v>246.70209938389667</v>
      </c>
      <c r="F39" s="3">
        <v>250.51606423282797</v>
      </c>
      <c r="G39" s="3">
        <v>279.39893729257983</v>
      </c>
      <c r="H39" s="3">
        <v>252.63338876966378</v>
      </c>
      <c r="I39" s="3">
        <v>327.60615046149513</v>
      </c>
    </row>
    <row r="40" spans="1:9" x14ac:dyDescent="0.25">
      <c r="A40" s="9">
        <v>43748</v>
      </c>
      <c r="B40" s="2">
        <v>66.991155867442217</v>
      </c>
      <c r="C40" s="3">
        <v>233.26089298102781</v>
      </c>
      <c r="D40" s="3">
        <v>171.55225574248968</v>
      </c>
      <c r="E40" s="3">
        <v>249.8036541679696</v>
      </c>
      <c r="F40" s="3">
        <v>279.89822118020044</v>
      </c>
      <c r="G40" s="3">
        <v>248.44891704920772</v>
      </c>
      <c r="H40" s="3">
        <v>213.87161510873966</v>
      </c>
      <c r="I40" s="3">
        <v>298.38745623261156</v>
      </c>
    </row>
    <row r="41" spans="1:9" x14ac:dyDescent="0.25">
      <c r="A41" s="9">
        <v>43749</v>
      </c>
      <c r="B41" s="2">
        <v>7.0912095379858942</v>
      </c>
      <c r="C41" s="3">
        <v>34.67806416755559</v>
      </c>
      <c r="D41" s="3">
        <v>18.159307395610483</v>
      </c>
      <c r="E41" s="3">
        <v>49.869101614783304</v>
      </c>
      <c r="F41" s="3">
        <v>35.240800053760367</v>
      </c>
      <c r="G41" s="3">
        <v>12.922902235922285</v>
      </c>
      <c r="H41" s="3">
        <v>26.807039418026509</v>
      </c>
      <c r="I41" s="3">
        <v>40.338214176444069</v>
      </c>
    </row>
    <row r="42" spans="1:9" x14ac:dyDescent="0.25">
      <c r="A42" s="9">
        <v>43750</v>
      </c>
      <c r="B42" s="2">
        <v>95.068913363915655</v>
      </c>
      <c r="C42" s="3">
        <v>76.693462198484127</v>
      </c>
      <c r="D42" s="3">
        <v>243.45432359517451</v>
      </c>
      <c r="E42" s="3">
        <v>77.197896366621336</v>
      </c>
      <c r="F42" s="3">
        <v>166.40127624557979</v>
      </c>
      <c r="G42" s="3">
        <v>116.88585205606768</v>
      </c>
      <c r="H42" s="3">
        <v>131.59154338558901</v>
      </c>
      <c r="I42" s="3">
        <v>158.40569559366591</v>
      </c>
    </row>
    <row r="43" spans="1:9" x14ac:dyDescent="0.25">
      <c r="A43" s="9">
        <v>43751</v>
      </c>
      <c r="B43" s="2">
        <v>6.5568226440341242</v>
      </c>
      <c r="C43" s="3">
        <v>9.8162317296535182</v>
      </c>
      <c r="D43" s="3">
        <v>16.790839037219268</v>
      </c>
      <c r="E43" s="3">
        <v>0.11794753323239113</v>
      </c>
      <c r="F43" s="3">
        <v>47.034767930302486</v>
      </c>
      <c r="G43" s="3">
        <v>25.640546930461468</v>
      </c>
      <c r="H43" s="3">
        <v>45.370689059516096</v>
      </c>
      <c r="I43" s="3">
        <v>74.114035897413473</v>
      </c>
    </row>
    <row r="44" spans="1:9" x14ac:dyDescent="0.25">
      <c r="A44" s="9">
        <v>43752</v>
      </c>
      <c r="B44" s="2">
        <v>5.4867767480387055</v>
      </c>
      <c r="C44" s="3">
        <v>15.427551871971309</v>
      </c>
      <c r="D44" s="3">
        <v>14.050644681277095</v>
      </c>
      <c r="E44" s="3">
        <v>16.274858655914148</v>
      </c>
      <c r="F44" s="3">
        <v>35.17108799068788</v>
      </c>
      <c r="G44" s="3">
        <v>13.598664827884205</v>
      </c>
      <c r="H44" s="3">
        <v>34.82338122413082</v>
      </c>
      <c r="I44" s="3">
        <v>63.767199877271445</v>
      </c>
    </row>
    <row r="45" spans="1:9" x14ac:dyDescent="0.25">
      <c r="A45" s="9">
        <v>43753</v>
      </c>
      <c r="B45" s="2">
        <v>0.70929924470589556</v>
      </c>
      <c r="C45" s="3">
        <v>11.837394152268031</v>
      </c>
      <c r="D45" s="3">
        <v>1.8163873103864163</v>
      </c>
      <c r="E45" s="3">
        <v>4.0595179556135177</v>
      </c>
      <c r="F45" s="3">
        <v>21.513611748913313</v>
      </c>
      <c r="G45" s="3">
        <v>17.328854858128402</v>
      </c>
      <c r="H45" s="3">
        <v>46.565762394118764</v>
      </c>
      <c r="I45" s="3">
        <v>73.030444377481032</v>
      </c>
    </row>
    <row r="46" spans="1:9" x14ac:dyDescent="0.25">
      <c r="A46" s="9">
        <v>43754</v>
      </c>
      <c r="B46" s="2">
        <v>1.3237087090210784</v>
      </c>
      <c r="C46" s="3">
        <v>12.559900099491317</v>
      </c>
      <c r="D46" s="3">
        <v>3.3897790243817627</v>
      </c>
      <c r="E46" s="3">
        <v>57.440686187915716</v>
      </c>
      <c r="F46" s="3">
        <v>16.228839751512027</v>
      </c>
      <c r="G46" s="3">
        <v>4.9839115911953487</v>
      </c>
      <c r="H46" s="3">
        <v>14.62029988019574</v>
      </c>
      <c r="I46" s="3">
        <v>39.290600108043918</v>
      </c>
    </row>
    <row r="47" spans="1:9" x14ac:dyDescent="0.25">
      <c r="A47" s="9">
        <v>43755</v>
      </c>
      <c r="B47" s="2">
        <v>3.5224307130181147E-2</v>
      </c>
      <c r="C47" s="3">
        <v>14.486848886039757</v>
      </c>
      <c r="D47" s="3">
        <v>9.0203091242461328E-2</v>
      </c>
      <c r="E47" s="3">
        <v>101.13494682013005</v>
      </c>
      <c r="F47" s="3">
        <v>14.121419479334598</v>
      </c>
      <c r="G47" s="3">
        <v>5.1413881739975835</v>
      </c>
      <c r="H47" s="3">
        <v>35.164560561613719</v>
      </c>
      <c r="I47" s="3">
        <v>45.392059618776592</v>
      </c>
    </row>
    <row r="48" spans="1:9" x14ac:dyDescent="0.25">
      <c r="A48" s="9">
        <v>43756</v>
      </c>
      <c r="B48" s="2">
        <v>121.23903795862543</v>
      </c>
      <c r="C48" s="3">
        <v>101.24354550474871</v>
      </c>
      <c r="D48" s="3">
        <v>310.47128798623669</v>
      </c>
      <c r="E48" s="3">
        <v>273.65126108609337</v>
      </c>
      <c r="F48" s="3">
        <v>216.96232493434846</v>
      </c>
      <c r="G48" s="3">
        <v>271.72212992904917</v>
      </c>
      <c r="H48" s="3">
        <v>320.7677490414834</v>
      </c>
      <c r="I48" s="3">
        <v>235.24818396996642</v>
      </c>
    </row>
    <row r="49" spans="1:9" x14ac:dyDescent="0.25">
      <c r="A49" s="9">
        <v>43757</v>
      </c>
      <c r="B49" s="2">
        <v>82.604740982062197</v>
      </c>
      <c r="C49" s="3">
        <v>99.931583072601313</v>
      </c>
      <c r="D49" s="3">
        <v>211.53582837916056</v>
      </c>
      <c r="E49" s="3">
        <v>155.69442577955908</v>
      </c>
      <c r="F49" s="3">
        <v>169.87845358507647</v>
      </c>
      <c r="G49" s="3">
        <v>209.95845974033975</v>
      </c>
      <c r="H49" s="3">
        <v>227.94428336618546</v>
      </c>
      <c r="I49" s="3">
        <v>196.59378098186662</v>
      </c>
    </row>
    <row r="50" spans="1:9" x14ac:dyDescent="0.25">
      <c r="A50" s="9">
        <v>43758</v>
      </c>
      <c r="B50" s="2">
        <v>0.38288717889731061</v>
      </c>
      <c r="C50" s="3">
        <v>9.1680978107566631</v>
      </c>
      <c r="D50" s="3">
        <v>0.98050493955777362</v>
      </c>
      <c r="E50" s="3">
        <v>5.3374530701802669</v>
      </c>
      <c r="F50" s="3">
        <v>5.6467555167578309</v>
      </c>
      <c r="G50" s="3">
        <v>1.2176813541634313</v>
      </c>
      <c r="H50" s="3">
        <v>1.9569343250649907</v>
      </c>
      <c r="I50" s="3">
        <v>3.8072371719417077</v>
      </c>
    </row>
    <row r="51" spans="1:9" x14ac:dyDescent="0.25">
      <c r="A51" s="9">
        <v>43759</v>
      </c>
      <c r="B51" s="2">
        <v>19.506742670588874</v>
      </c>
      <c r="C51" s="3">
        <v>24.040754870051124</v>
      </c>
      <c r="D51" s="3">
        <v>49.953246275515681</v>
      </c>
      <c r="E51" s="3">
        <v>6.5309194981807419</v>
      </c>
      <c r="F51" s="3">
        <v>83.476488611120345</v>
      </c>
      <c r="G51" s="3">
        <v>63.383868601197683</v>
      </c>
      <c r="H51" s="3">
        <v>110.09626705166498</v>
      </c>
      <c r="I51" s="3">
        <v>123.27643939830678</v>
      </c>
    </row>
    <row r="52" spans="1:9" x14ac:dyDescent="0.25">
      <c r="A52" s="9">
        <v>43760</v>
      </c>
      <c r="B52" s="2">
        <v>19.338642334927531</v>
      </c>
      <c r="C52" s="3">
        <v>4.0214037476909761</v>
      </c>
      <c r="D52" s="3">
        <v>49.522771664347069</v>
      </c>
      <c r="E52" s="3">
        <v>14.763841214117345</v>
      </c>
      <c r="F52" s="3">
        <v>95.05007701276341</v>
      </c>
      <c r="G52" s="3">
        <v>70.78962361636539</v>
      </c>
      <c r="H52" s="3">
        <v>135.05855957997409</v>
      </c>
      <c r="I52" s="3">
        <v>159.14216045839595</v>
      </c>
    </row>
    <row r="53" spans="1:9" x14ac:dyDescent="0.25">
      <c r="A53" s="9">
        <v>43761</v>
      </c>
      <c r="B53" s="2">
        <v>52.710939691967255</v>
      </c>
      <c r="C53" s="3">
        <v>35.515274636209739</v>
      </c>
      <c r="D53" s="3">
        <v>134.98320023551153</v>
      </c>
      <c r="E53" s="3">
        <v>39.908509766496906</v>
      </c>
      <c r="F53" s="3">
        <v>136.52614696143786</v>
      </c>
      <c r="G53" s="3">
        <v>123.69488099707496</v>
      </c>
      <c r="H53" s="3">
        <v>150.78429130711956</v>
      </c>
      <c r="I53" s="3">
        <v>172.71643713183423</v>
      </c>
    </row>
    <row r="54" spans="1:9" x14ac:dyDescent="0.25">
      <c r="A54" s="9">
        <v>43762</v>
      </c>
      <c r="B54" s="2">
        <v>32.155514326570334</v>
      </c>
      <c r="C54" s="3">
        <v>14.088606191535614</v>
      </c>
      <c r="D54" s="3">
        <v>82.344466905429783</v>
      </c>
      <c r="E54" s="3">
        <v>1.7756133760524009</v>
      </c>
      <c r="F54" s="3">
        <v>55.873084992683587</v>
      </c>
      <c r="G54" s="3">
        <v>57.328952263624082</v>
      </c>
      <c r="H54" s="3">
        <v>74.603510038695688</v>
      </c>
      <c r="I54" s="3">
        <v>97.711271973367687</v>
      </c>
    </row>
    <row r="55" spans="1:9" x14ac:dyDescent="0.25">
      <c r="A55" s="9">
        <v>43763</v>
      </c>
      <c r="B55" s="2">
        <v>6.720067756448123</v>
      </c>
      <c r="C55" s="3">
        <v>29.722009847778079</v>
      </c>
      <c r="D55" s="3">
        <v>17.208880298202619</v>
      </c>
      <c r="E55" s="3">
        <v>41.263732252669364</v>
      </c>
      <c r="F55" s="3">
        <v>0.17088534165619543</v>
      </c>
      <c r="G55" s="3">
        <v>2.6101799949557876</v>
      </c>
      <c r="H55" s="3">
        <v>1.1691303204187748</v>
      </c>
      <c r="I55" s="3">
        <v>1.8716798572161488</v>
      </c>
    </row>
    <row r="56" spans="1:9" x14ac:dyDescent="0.25">
      <c r="A56" s="9">
        <v>43764</v>
      </c>
      <c r="B56" s="2">
        <v>4.5525538963163523</v>
      </c>
      <c r="C56" s="3">
        <v>27.544475346998652</v>
      </c>
      <c r="D56" s="3">
        <v>11.65826862052843</v>
      </c>
      <c r="E56" s="3">
        <v>3.094838760296982</v>
      </c>
      <c r="F56" s="3">
        <v>5.901280419399753</v>
      </c>
      <c r="G56" s="3">
        <v>3.8111190290983652</v>
      </c>
      <c r="H56" s="3">
        <v>25.053980950003897</v>
      </c>
      <c r="I56" s="3">
        <v>42.360155752809817</v>
      </c>
    </row>
    <row r="57" spans="1:9" x14ac:dyDescent="0.25">
      <c r="A57" s="9">
        <v>43765</v>
      </c>
      <c r="B57" s="2">
        <v>11.510038848287742</v>
      </c>
      <c r="C57" s="3">
        <v>68.999566213175555</v>
      </c>
      <c r="D57" s="3">
        <v>29.475131493694601</v>
      </c>
      <c r="E57" s="3">
        <v>3.0198934597690892</v>
      </c>
      <c r="F57" s="3">
        <v>25.04916282317738</v>
      </c>
      <c r="G57" s="3">
        <v>19.112542681807348</v>
      </c>
      <c r="H57" s="3">
        <v>40.847799629537427</v>
      </c>
      <c r="I57" s="3">
        <v>60.130652477015524</v>
      </c>
    </row>
    <row r="58" spans="1:9" x14ac:dyDescent="0.25">
      <c r="A58" s="9">
        <v>43766</v>
      </c>
      <c r="B58" s="2">
        <v>151.99232821843657</v>
      </c>
      <c r="C58" s="3">
        <v>173.95775977570935</v>
      </c>
      <c r="D58" s="3">
        <v>389.22491221110516</v>
      </c>
      <c r="E58" s="3">
        <v>268.38308673981084</v>
      </c>
      <c r="F58" s="3">
        <v>319.46816075647217</v>
      </c>
      <c r="G58" s="3">
        <v>314.38944769175976</v>
      </c>
      <c r="H58" s="3">
        <v>335.26258651912008</v>
      </c>
      <c r="I58" s="3">
        <v>320.38075973784157</v>
      </c>
    </row>
    <row r="59" spans="1:9" x14ac:dyDescent="0.25">
      <c r="A59" s="9">
        <v>43767</v>
      </c>
      <c r="B59" s="2">
        <v>166.9035980963659</v>
      </c>
      <c r="C59" s="3">
        <v>342.36206066068667</v>
      </c>
      <c r="D59" s="3">
        <v>427.40998232103942</v>
      </c>
      <c r="E59" s="3">
        <v>744.14589500442401</v>
      </c>
      <c r="F59" s="3">
        <v>557.32663745618856</v>
      </c>
      <c r="G59" s="3">
        <v>534.26462486128401</v>
      </c>
      <c r="H59" s="3">
        <v>558.28927584788653</v>
      </c>
      <c r="I59" s="3">
        <v>506.80721394733035</v>
      </c>
    </row>
    <row r="60" spans="1:9" x14ac:dyDescent="0.25">
      <c r="A60" s="9">
        <v>43768</v>
      </c>
      <c r="B60" s="2">
        <v>197.18941564659653</v>
      </c>
      <c r="C60" s="3">
        <v>407.93468435929469</v>
      </c>
      <c r="D60" s="3">
        <v>504.96649333315372</v>
      </c>
      <c r="E60" s="3">
        <v>760.60234285862532</v>
      </c>
      <c r="F60" s="3">
        <v>501.92140633110239</v>
      </c>
      <c r="G60" s="3">
        <v>492.55972021633983</v>
      </c>
      <c r="H60" s="3">
        <v>542.60585733874996</v>
      </c>
      <c r="I60" s="3">
        <v>503.50648136563171</v>
      </c>
    </row>
    <row r="61" spans="1:9" x14ac:dyDescent="0.25">
      <c r="A61" s="9">
        <v>43769</v>
      </c>
      <c r="B61" s="2">
        <v>197.23828383661291</v>
      </c>
      <c r="C61" s="3">
        <v>405.59159092128016</v>
      </c>
      <c r="D61" s="3">
        <v>505.09163594523153</v>
      </c>
      <c r="E61" s="3">
        <v>798.93051527475802</v>
      </c>
      <c r="F61" s="3">
        <v>568.00185532533703</v>
      </c>
      <c r="G61" s="3">
        <v>484.53669746497741</v>
      </c>
      <c r="H61" s="3">
        <v>557.34606883005779</v>
      </c>
      <c r="I61" s="3">
        <v>507.4226302480144</v>
      </c>
    </row>
    <row r="62" spans="1:9" x14ac:dyDescent="0.25">
      <c r="A62" s="9">
        <v>43770</v>
      </c>
      <c r="B62" s="2">
        <v>226.04915453369907</v>
      </c>
      <c r="C62" s="3">
        <v>404.27001584728856</v>
      </c>
      <c r="D62" s="3">
        <v>578.87107435006158</v>
      </c>
      <c r="E62" s="3">
        <v>749.24602370557625</v>
      </c>
      <c r="F62" s="3">
        <v>533.37236444885184</v>
      </c>
      <c r="G62" s="3">
        <v>478.56697002759671</v>
      </c>
      <c r="H62" s="3">
        <v>483.32662448116707</v>
      </c>
      <c r="I62" s="3">
        <v>441.45536985606554</v>
      </c>
    </row>
    <row r="63" spans="1:9" x14ac:dyDescent="0.25">
      <c r="A63" s="9">
        <v>43771</v>
      </c>
      <c r="B63" s="2">
        <v>22.499764328151119</v>
      </c>
      <c r="C63" s="3">
        <v>20.779005916584605</v>
      </c>
      <c r="D63" s="3">
        <v>57.617834387070722</v>
      </c>
      <c r="E63" s="3">
        <v>16.510698692869607</v>
      </c>
      <c r="F63" s="3">
        <v>45.191003831659479</v>
      </c>
      <c r="G63" s="3">
        <v>20.470325056100158</v>
      </c>
      <c r="H63" s="3">
        <v>51.5364950189091</v>
      </c>
      <c r="I63" s="3">
        <v>45.289174401010733</v>
      </c>
    </row>
    <row r="64" spans="1:9" x14ac:dyDescent="0.25">
      <c r="A64" s="9">
        <v>43772</v>
      </c>
      <c r="B64" s="2">
        <v>162.67293538464438</v>
      </c>
      <c r="C64" s="3">
        <v>141.57553052598197</v>
      </c>
      <c r="D64" s="3">
        <v>416.57601891074103</v>
      </c>
      <c r="E64" s="3">
        <v>126.22768075890633</v>
      </c>
      <c r="F64" s="3">
        <v>215.3486877068336</v>
      </c>
      <c r="G64" s="3">
        <v>173.11446533119204</v>
      </c>
      <c r="H64" s="3">
        <v>198.62035184764605</v>
      </c>
      <c r="I64" s="3">
        <v>134.54895740919443</v>
      </c>
    </row>
    <row r="65" spans="1:9" x14ac:dyDescent="0.25">
      <c r="A65" s="9">
        <v>43773</v>
      </c>
      <c r="B65" s="2">
        <v>201.41165071475234</v>
      </c>
      <c r="C65" s="3">
        <v>252.53377751274161</v>
      </c>
      <c r="D65" s="3">
        <v>515.77887506978834</v>
      </c>
      <c r="E65" s="3">
        <v>422.23727510092118</v>
      </c>
      <c r="F65" s="3">
        <v>491.03257893872052</v>
      </c>
      <c r="G65" s="3">
        <v>390.8691795392777</v>
      </c>
      <c r="H65" s="3">
        <v>386.2535010608587</v>
      </c>
      <c r="I65" s="3">
        <v>175.29316277340092</v>
      </c>
    </row>
    <row r="66" spans="1:9" x14ac:dyDescent="0.25">
      <c r="A66" s="9">
        <v>43774</v>
      </c>
      <c r="B66" s="2">
        <v>133.65315712191477</v>
      </c>
      <c r="C66" s="3">
        <v>95.339445575999704</v>
      </c>
      <c r="D66" s="3">
        <v>342.26160594600452</v>
      </c>
      <c r="E66" s="3">
        <v>92.347708509795979</v>
      </c>
      <c r="F66" s="3">
        <v>225.21850060863386</v>
      </c>
      <c r="G66" s="3">
        <v>147.33687765260257</v>
      </c>
      <c r="H66" s="3">
        <v>195.91068166577617</v>
      </c>
      <c r="I66" s="3">
        <v>95.850002389185008</v>
      </c>
    </row>
    <row r="67" spans="1:9" x14ac:dyDescent="0.25">
      <c r="A67" s="9">
        <v>43775</v>
      </c>
      <c r="B67" s="2">
        <v>0.29232337027334881</v>
      </c>
      <c r="C67" s="3">
        <v>1.3413988150695835</v>
      </c>
      <c r="D67" s="3">
        <v>0.7485873758600482</v>
      </c>
      <c r="E67" s="3">
        <v>0.7647669000327838</v>
      </c>
      <c r="F67" s="3">
        <v>9.7558319647451448</v>
      </c>
      <c r="G67" s="3">
        <v>0.29767530741216713</v>
      </c>
      <c r="H67" s="3">
        <v>11.896534646498701</v>
      </c>
      <c r="I67" s="3">
        <v>21.714011389089254</v>
      </c>
    </row>
    <row r="68" spans="1:9" x14ac:dyDescent="0.25">
      <c r="A68" s="9">
        <v>43776</v>
      </c>
      <c r="B68" s="2">
        <v>161.80759396678511</v>
      </c>
      <c r="C68" s="3">
        <v>132.06604677253682</v>
      </c>
      <c r="D68" s="3">
        <v>414.36003576641514</v>
      </c>
      <c r="E68" s="3">
        <v>155.0524565193102</v>
      </c>
      <c r="F68" s="3">
        <v>227.75432671129818</v>
      </c>
      <c r="G68" s="3">
        <v>169.35942480315677</v>
      </c>
      <c r="H68" s="3">
        <v>208.3629406946431</v>
      </c>
      <c r="I68" s="3">
        <v>196.44241108505722</v>
      </c>
    </row>
    <row r="69" spans="1:9" x14ac:dyDescent="0.25">
      <c r="A69" s="9">
        <v>43777</v>
      </c>
      <c r="B69" s="2">
        <v>135.09051494091943</v>
      </c>
      <c r="C69" s="3">
        <v>101.29806909188586</v>
      </c>
      <c r="D69" s="3">
        <v>345.94241982309711</v>
      </c>
      <c r="E69" s="3">
        <v>100.19839200127103</v>
      </c>
      <c r="F69" s="3">
        <v>161.24984608441935</v>
      </c>
      <c r="G69" s="3">
        <v>105.80866726861919</v>
      </c>
      <c r="H69" s="3">
        <v>156.20321059564549</v>
      </c>
      <c r="I69" s="3">
        <v>155.96954633808653</v>
      </c>
    </row>
    <row r="70" spans="1:9" x14ac:dyDescent="0.25">
      <c r="A70" s="9">
        <v>43778</v>
      </c>
      <c r="B70" s="2">
        <v>82.501331899977075</v>
      </c>
      <c r="C70" s="3">
        <v>62.87381608708268</v>
      </c>
      <c r="D70" s="3">
        <v>211.27101638918583</v>
      </c>
      <c r="E70" s="3">
        <v>47.878127886746917</v>
      </c>
      <c r="F70" s="3">
        <v>87.307430100906032</v>
      </c>
      <c r="G70" s="3">
        <v>49.474828263702577</v>
      </c>
      <c r="H70" s="3">
        <v>98.867473432006818</v>
      </c>
      <c r="I70" s="3">
        <v>94.465596470726794</v>
      </c>
    </row>
    <row r="71" spans="1:9" x14ac:dyDescent="0.25">
      <c r="A71" s="9">
        <v>43779</v>
      </c>
      <c r="B71" s="2">
        <v>24.069211794325742</v>
      </c>
      <c r="C71" s="3">
        <v>13.459023146958577</v>
      </c>
      <c r="D71" s="3">
        <v>61.636906003394984</v>
      </c>
      <c r="E71" s="3">
        <v>38.154849149779388</v>
      </c>
      <c r="F71" s="3">
        <v>40.177258446559051</v>
      </c>
      <c r="G71" s="3">
        <v>35.665834242402816</v>
      </c>
      <c r="H71" s="3">
        <v>92.562690701674683</v>
      </c>
      <c r="I71" s="3">
        <v>71.590222774431894</v>
      </c>
    </row>
    <row r="72" spans="1:9" x14ac:dyDescent="0.25">
      <c r="A72" s="9">
        <v>43780</v>
      </c>
      <c r="B72" s="2">
        <v>151.41550714303105</v>
      </c>
      <c r="C72" s="3">
        <v>126.43099878398071</v>
      </c>
      <c r="D72" s="3">
        <v>387.7477775749835</v>
      </c>
      <c r="E72" s="3">
        <v>213.10549777316393</v>
      </c>
      <c r="F72" s="3">
        <v>208.9842240521757</v>
      </c>
      <c r="G72" s="3">
        <v>199.6846086224906</v>
      </c>
      <c r="H72" s="3">
        <v>241.3124516566954</v>
      </c>
      <c r="I72" s="3">
        <v>223.04475470269452</v>
      </c>
    </row>
    <row r="73" spans="1:9" x14ac:dyDescent="0.25">
      <c r="A73" s="9">
        <v>43781</v>
      </c>
      <c r="B73" s="2">
        <v>70.827273586875421</v>
      </c>
      <c r="C73" s="3">
        <v>54.154314209767463</v>
      </c>
      <c r="D73" s="3">
        <v>181.37586065781159</v>
      </c>
      <c r="E73" s="3">
        <v>100.51254347917904</v>
      </c>
      <c r="F73" s="3">
        <v>76.207011809841106</v>
      </c>
      <c r="G73" s="3">
        <v>92.212154041635003</v>
      </c>
      <c r="H73" s="3">
        <v>130.28924004945918</v>
      </c>
      <c r="I73" s="3">
        <v>117.62845573372363</v>
      </c>
    </row>
    <row r="74" spans="1:9" x14ac:dyDescent="0.25">
      <c r="A74" s="9">
        <v>43782</v>
      </c>
      <c r="B74" s="2">
        <v>87.512715088472319</v>
      </c>
      <c r="C74" s="3">
        <v>29.212027064774954</v>
      </c>
      <c r="D74" s="3">
        <v>224.10426399096625</v>
      </c>
      <c r="E74" s="3">
        <v>120.03834185616556</v>
      </c>
      <c r="F74" s="3">
        <v>56.807329015481791</v>
      </c>
      <c r="G74" s="3">
        <v>72.305047681252617</v>
      </c>
      <c r="H74" s="3">
        <v>115.03249377211269</v>
      </c>
      <c r="I74" s="3">
        <v>96.025459995375527</v>
      </c>
    </row>
    <row r="75" spans="1:9" x14ac:dyDescent="0.25">
      <c r="A75" s="9">
        <v>43783</v>
      </c>
      <c r="B75" s="2">
        <v>233.21775391920741</v>
      </c>
      <c r="C75" s="3">
        <v>314.99114889087554</v>
      </c>
      <c r="D75" s="3">
        <v>597.22856317338642</v>
      </c>
      <c r="E75" s="3">
        <v>715.36407443799726</v>
      </c>
      <c r="F75" s="3">
        <v>423.90133291410473</v>
      </c>
      <c r="G75" s="3">
        <v>391.6318773805454</v>
      </c>
      <c r="H75" s="3">
        <v>403.09875184951511</v>
      </c>
      <c r="I75" s="3">
        <v>384.01433444554999</v>
      </c>
    </row>
    <row r="76" spans="1:9" x14ac:dyDescent="0.25">
      <c r="A76" s="9">
        <v>43784</v>
      </c>
      <c r="B76" s="2">
        <v>186.97198923375294</v>
      </c>
      <c r="C76" s="3">
        <v>297.23305437103835</v>
      </c>
      <c r="D76" s="3">
        <v>478.80150892126227</v>
      </c>
      <c r="E76" s="3">
        <v>413.33099574206886</v>
      </c>
      <c r="F76" s="3">
        <v>358.68642682353357</v>
      </c>
      <c r="G76" s="3">
        <v>311.22038943396842</v>
      </c>
      <c r="H76" s="3">
        <v>324.71190504485281</v>
      </c>
      <c r="I76" s="3">
        <v>361.11561931742983</v>
      </c>
    </row>
    <row r="77" spans="1:9" x14ac:dyDescent="0.25">
      <c r="A77" s="9">
        <v>43785</v>
      </c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9">
        <v>43786</v>
      </c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9">
        <v>43787</v>
      </c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9">
        <v>43788</v>
      </c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9">
        <v>43789</v>
      </c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9">
        <v>43790</v>
      </c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9">
        <v>43791</v>
      </c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9">
        <v>43792</v>
      </c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9">
        <v>43793</v>
      </c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9">
        <v>43794</v>
      </c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9">
        <v>43795</v>
      </c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9">
        <v>43796</v>
      </c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9">
        <v>43797</v>
      </c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9">
        <v>43798</v>
      </c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9">
        <v>43799</v>
      </c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9">
        <v>43800</v>
      </c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9">
        <v>43801</v>
      </c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9">
        <v>43802</v>
      </c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9">
        <v>43803</v>
      </c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9">
        <v>43804</v>
      </c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9">
        <v>43805</v>
      </c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9">
        <v>43806</v>
      </c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9">
        <v>43807</v>
      </c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9">
        <v>43808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9">
        <v>43809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9">
        <v>43810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9">
        <v>43811</v>
      </c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9">
        <v>43812</v>
      </c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9">
        <v>43813</v>
      </c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9">
        <v>43814</v>
      </c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9">
        <v>43815</v>
      </c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9">
        <v>43816</v>
      </c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9">
        <v>43817</v>
      </c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9">
        <v>43818</v>
      </c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9">
        <v>43819</v>
      </c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9">
        <v>43820</v>
      </c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9">
        <v>43821</v>
      </c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9">
        <v>43822</v>
      </c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9">
        <v>43823</v>
      </c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9">
        <v>43824</v>
      </c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9">
        <v>43825</v>
      </c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9">
        <v>43826</v>
      </c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9">
        <v>43827</v>
      </c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9">
        <v>43828</v>
      </c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9">
        <v>43829</v>
      </c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9">
        <v>43830</v>
      </c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9">
        <v>43831</v>
      </c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9">
        <v>43832</v>
      </c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9">
        <v>43833</v>
      </c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9">
        <v>43834</v>
      </c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9">
        <v>43835</v>
      </c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9">
        <v>43836</v>
      </c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9">
        <v>43837</v>
      </c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9">
        <v>43838</v>
      </c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9">
        <v>43839</v>
      </c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9">
        <v>43840</v>
      </c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9">
        <v>43841</v>
      </c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9">
        <v>43842</v>
      </c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9">
        <v>43843</v>
      </c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9">
        <v>43844</v>
      </c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9">
        <v>43845</v>
      </c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9">
        <v>43846</v>
      </c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9">
        <v>43847</v>
      </c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9">
        <v>43848</v>
      </c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9">
        <v>43849</v>
      </c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9">
        <v>43850</v>
      </c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9">
        <v>43851</v>
      </c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9">
        <v>43852</v>
      </c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9">
        <v>43853</v>
      </c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9">
        <v>43854</v>
      </c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9">
        <v>43855</v>
      </c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9">
        <v>43856</v>
      </c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9">
        <v>43857</v>
      </c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9">
        <v>43858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9">
        <v>43859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9">
        <v>43860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9">
        <v>43861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9">
        <v>43862</v>
      </c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9">
        <v>43863</v>
      </c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9">
        <v>43864</v>
      </c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9">
        <v>43865</v>
      </c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9">
        <v>43866</v>
      </c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9">
        <v>43867</v>
      </c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9">
        <v>43868</v>
      </c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9">
        <v>43869</v>
      </c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9">
        <v>43870</v>
      </c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9">
        <v>43871</v>
      </c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9">
        <v>43872</v>
      </c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9">
        <v>43873</v>
      </c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9">
        <v>43874</v>
      </c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9">
        <v>43875</v>
      </c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9">
        <v>43876</v>
      </c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9">
        <v>43877</v>
      </c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9">
        <v>43878</v>
      </c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9">
        <v>43879</v>
      </c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9">
        <v>43880</v>
      </c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9">
        <v>43881</v>
      </c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9">
        <v>43882</v>
      </c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9">
        <v>43883</v>
      </c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9">
        <v>43884</v>
      </c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9">
        <v>43885</v>
      </c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9">
        <v>43886</v>
      </c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9">
        <v>43887</v>
      </c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9">
        <v>43888</v>
      </c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9">
        <v>43889</v>
      </c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9">
        <v>43890</v>
      </c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9">
        <v>43891</v>
      </c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9">
        <v>43892</v>
      </c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9">
        <v>43893</v>
      </c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9">
        <v>43894</v>
      </c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9">
        <v>43895</v>
      </c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9">
        <v>43896</v>
      </c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9">
        <v>43897</v>
      </c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9">
        <v>43898</v>
      </c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9">
        <v>43899</v>
      </c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9">
        <v>43900</v>
      </c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9">
        <v>43901</v>
      </c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9">
        <v>43902</v>
      </c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9">
        <v>43903</v>
      </c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9">
        <v>43904</v>
      </c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9">
        <v>43905</v>
      </c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9">
        <v>43906</v>
      </c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9">
        <v>43907</v>
      </c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9">
        <v>43908</v>
      </c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9">
        <v>43909</v>
      </c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9">
        <v>43910</v>
      </c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9">
        <v>43911</v>
      </c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9">
        <v>43912</v>
      </c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9">
        <v>43913</v>
      </c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9">
        <v>43914</v>
      </c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9">
        <v>43915</v>
      </c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9">
        <v>43916</v>
      </c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9">
        <v>43917</v>
      </c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9">
        <v>43918</v>
      </c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9">
        <v>43919</v>
      </c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9">
        <v>43920</v>
      </c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9">
        <v>43921</v>
      </c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9">
        <v>43922</v>
      </c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9">
        <v>43923</v>
      </c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9">
        <v>43924</v>
      </c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9">
        <v>43925</v>
      </c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9">
        <v>43926</v>
      </c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9">
        <v>43927</v>
      </c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9">
        <v>43928</v>
      </c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9">
        <v>43929</v>
      </c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9">
        <v>43930</v>
      </c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9">
        <v>43931</v>
      </c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9">
        <v>43932</v>
      </c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9">
        <v>43933</v>
      </c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9">
        <v>43934</v>
      </c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9">
        <v>43935</v>
      </c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9">
        <v>43936</v>
      </c>
      <c r="B228" s="3">
        <v>397.08639035955474</v>
      </c>
      <c r="C228" s="3">
        <v>922.1642250711933</v>
      </c>
      <c r="D228" s="3">
        <v>612.53847328530458</v>
      </c>
      <c r="E228" s="3">
        <v>480.05779063695485</v>
      </c>
      <c r="F228" s="3">
        <v>431.87524599052591</v>
      </c>
      <c r="G228" s="3">
        <v>443.9550870406419</v>
      </c>
      <c r="H228" s="3">
        <v>419.11531616125529</v>
      </c>
      <c r="I228" s="3">
        <v>323.27802858769661</v>
      </c>
    </row>
    <row r="229" spans="1:9" x14ac:dyDescent="0.25">
      <c r="A229" s="9">
        <v>43937</v>
      </c>
      <c r="B229" s="3">
        <v>415.10661728117407</v>
      </c>
      <c r="C229" s="3">
        <v>582.38504752256085</v>
      </c>
      <c r="D229" s="3">
        <v>572.83331022587822</v>
      </c>
      <c r="E229" s="3">
        <v>461.70108687036355</v>
      </c>
      <c r="F229" s="3">
        <v>398.9527666231055</v>
      </c>
      <c r="G229" s="3">
        <v>381.22715528770561</v>
      </c>
      <c r="H229" s="3">
        <v>390.47930023008115</v>
      </c>
      <c r="I229" s="3">
        <v>308.38890143435032</v>
      </c>
    </row>
    <row r="230" spans="1:9" x14ac:dyDescent="0.25">
      <c r="A230" s="9">
        <v>43938</v>
      </c>
      <c r="B230" s="3">
        <v>444.40284444298919</v>
      </c>
      <c r="C230" s="3">
        <v>339.82202821192811</v>
      </c>
      <c r="D230" s="3">
        <v>593.1147477214646</v>
      </c>
      <c r="E230" s="3">
        <v>528.32304692557091</v>
      </c>
      <c r="F230" s="3">
        <v>390.18286957028607</v>
      </c>
      <c r="G230" s="3">
        <v>370.38872073828151</v>
      </c>
      <c r="H230" s="3">
        <v>374.26661810917227</v>
      </c>
      <c r="I230" s="3">
        <v>308.05133683454977</v>
      </c>
    </row>
    <row r="231" spans="1:9" x14ac:dyDescent="0.25">
      <c r="A231" s="9">
        <v>43939</v>
      </c>
      <c r="B231" s="3">
        <v>405.34592317073742</v>
      </c>
      <c r="C231" s="3">
        <v>281.27464517129948</v>
      </c>
      <c r="D231" s="3">
        <v>622.59204437719131</v>
      </c>
      <c r="E231" s="3">
        <v>548.46817850700688</v>
      </c>
      <c r="F231" s="3">
        <v>391.68837017498538</v>
      </c>
      <c r="G231" s="3">
        <v>404.48915176377409</v>
      </c>
      <c r="H231" s="3">
        <v>376.41540402354769</v>
      </c>
      <c r="I231" s="3">
        <v>300.87959820101031</v>
      </c>
    </row>
    <row r="232" spans="1:9" x14ac:dyDescent="0.25">
      <c r="A232" s="9">
        <v>43940</v>
      </c>
      <c r="B232" s="3">
        <v>245.34768222870812</v>
      </c>
      <c r="C232" s="3">
        <v>124.08820554935524</v>
      </c>
      <c r="D232" s="3">
        <v>310.50103678402991</v>
      </c>
      <c r="E232" s="3">
        <v>265.78080920596517</v>
      </c>
      <c r="F232" s="3">
        <v>209.08722764642488</v>
      </c>
      <c r="G232" s="3">
        <v>166.33068343764171</v>
      </c>
      <c r="H232" s="3">
        <v>209.61656172076124</v>
      </c>
      <c r="I232" s="3">
        <v>185.93753713985538</v>
      </c>
    </row>
    <row r="233" spans="1:9" x14ac:dyDescent="0.25">
      <c r="A233" s="9">
        <v>43941</v>
      </c>
      <c r="B233" s="3">
        <v>325.79461090366328</v>
      </c>
      <c r="C233" s="3">
        <v>257.55649706418433</v>
      </c>
      <c r="D233" s="3">
        <v>444.46648708860164</v>
      </c>
      <c r="E233" s="3">
        <v>478.54785356766035</v>
      </c>
      <c r="F233" s="3">
        <v>315.83614490042419</v>
      </c>
      <c r="G233" s="3">
        <v>364.16068931733849</v>
      </c>
      <c r="H233" s="3">
        <v>332.26541817833026</v>
      </c>
      <c r="I233" s="3">
        <v>255.89754219276637</v>
      </c>
    </row>
    <row r="234" spans="1:9" x14ac:dyDescent="0.25">
      <c r="A234" s="9">
        <v>43942</v>
      </c>
      <c r="B234" s="3">
        <v>162.21189691389054</v>
      </c>
      <c r="C234" s="3">
        <v>103.36843835724427</v>
      </c>
      <c r="D234" s="3">
        <v>211.99938619035203</v>
      </c>
      <c r="E234" s="3">
        <v>179.68146691473675</v>
      </c>
      <c r="F234" s="3">
        <v>124.68128564826797</v>
      </c>
      <c r="G234" s="3">
        <v>98.203342450105183</v>
      </c>
      <c r="H234" s="3">
        <v>137.74637063348021</v>
      </c>
      <c r="I234" s="3">
        <v>116.8187887570359</v>
      </c>
    </row>
    <row r="235" spans="1:9" x14ac:dyDescent="0.25">
      <c r="A235" s="9">
        <v>43943</v>
      </c>
      <c r="B235" s="3">
        <v>142.48373779396735</v>
      </c>
      <c r="C235" s="3">
        <v>124.8471460196057</v>
      </c>
      <c r="D235" s="3">
        <v>177.76268344712946</v>
      </c>
      <c r="E235" s="3">
        <v>142.7478792119837</v>
      </c>
      <c r="F235" s="3">
        <v>100.89533705225274</v>
      </c>
      <c r="G235" s="3">
        <v>79.649461637058053</v>
      </c>
      <c r="H235" s="3">
        <v>120.31242296281324</v>
      </c>
      <c r="I235" s="3">
        <v>100.11404323051211</v>
      </c>
    </row>
    <row r="236" spans="1:9" x14ac:dyDescent="0.25">
      <c r="A236" s="9">
        <v>43944</v>
      </c>
      <c r="B236" s="3">
        <v>49.706765383656723</v>
      </c>
      <c r="C236" s="3">
        <v>39.072336473790429</v>
      </c>
      <c r="D236" s="3">
        <v>45.087348702554308</v>
      </c>
      <c r="E236" s="3">
        <v>48.930064599444016</v>
      </c>
      <c r="F236" s="3">
        <v>45.001841982004642</v>
      </c>
      <c r="G236" s="3">
        <v>19.167921109751198</v>
      </c>
      <c r="H236" s="3">
        <v>64.955745765605357</v>
      </c>
      <c r="I236" s="3">
        <v>51.17046712865006</v>
      </c>
    </row>
    <row r="237" spans="1:9" x14ac:dyDescent="0.25">
      <c r="A237" s="9">
        <v>43945</v>
      </c>
      <c r="B237" s="3">
        <v>210.11813935721486</v>
      </c>
      <c r="C237" s="3">
        <v>165.18784209366783</v>
      </c>
      <c r="D237" s="3">
        <v>286.22007612374983</v>
      </c>
      <c r="E237" s="3">
        <v>298.71534272678991</v>
      </c>
      <c r="F237" s="3">
        <v>187.11559899725185</v>
      </c>
      <c r="G237" s="3">
        <v>170.58288995787964</v>
      </c>
      <c r="H237" s="3">
        <v>220.47601862732952</v>
      </c>
      <c r="I237" s="3">
        <v>170.20158038617063</v>
      </c>
    </row>
    <row r="238" spans="1:9" x14ac:dyDescent="0.25">
      <c r="A238" s="9">
        <v>43946</v>
      </c>
      <c r="B238" s="3">
        <v>117.57111679951191</v>
      </c>
      <c r="C238" s="3">
        <v>79.642637625276194</v>
      </c>
      <c r="D238" s="3">
        <v>113.1450781279828</v>
      </c>
      <c r="E238" s="3">
        <v>106.18732484805953</v>
      </c>
      <c r="F238" s="3">
        <v>85.570069307239734</v>
      </c>
      <c r="G238" s="3">
        <v>66.73564298020689</v>
      </c>
      <c r="H238" s="3">
        <v>100.20479065398273</v>
      </c>
      <c r="I238" s="3">
        <v>69.40585293183959</v>
      </c>
    </row>
    <row r="239" spans="1:9" x14ac:dyDescent="0.25">
      <c r="A239" s="9">
        <v>43947</v>
      </c>
      <c r="B239" s="3">
        <v>243.70747722021127</v>
      </c>
      <c r="C239" s="3">
        <v>249.67410601244745</v>
      </c>
      <c r="D239" s="3">
        <v>432.34753385434129</v>
      </c>
      <c r="E239" s="3">
        <v>400.93561579967445</v>
      </c>
      <c r="F239" s="3">
        <v>246.99108245266922</v>
      </c>
      <c r="G239" s="3">
        <v>290.40695205716332</v>
      </c>
      <c r="H239" s="3">
        <v>277.77879514850883</v>
      </c>
      <c r="I239" s="3">
        <v>195.96297982472589</v>
      </c>
    </row>
    <row r="240" spans="1:9" x14ac:dyDescent="0.25">
      <c r="A240" s="9">
        <v>43948</v>
      </c>
      <c r="B240" s="3">
        <v>241.50615474964451</v>
      </c>
      <c r="C240" s="3">
        <v>346.24703346773742</v>
      </c>
      <c r="D240" s="3">
        <v>497.46995770254739</v>
      </c>
      <c r="E240" s="3">
        <v>461.36475535889281</v>
      </c>
      <c r="F240" s="3">
        <v>329.18749184754233</v>
      </c>
      <c r="G240" s="3">
        <v>388.28801082788931</v>
      </c>
      <c r="H240" s="3">
        <v>325.08797934002246</v>
      </c>
      <c r="I240" s="3">
        <v>222.34460868249639</v>
      </c>
    </row>
    <row r="241" spans="1:9" x14ac:dyDescent="0.25">
      <c r="A241" s="9">
        <v>43949</v>
      </c>
      <c r="B241" s="3">
        <v>278.14670012292112</v>
      </c>
      <c r="C241" s="3">
        <v>311.52172386539269</v>
      </c>
      <c r="D241" s="3">
        <v>562.36552366240267</v>
      </c>
      <c r="E241" s="3">
        <v>555.07409816240045</v>
      </c>
      <c r="F241" s="3">
        <v>341.71020830797499</v>
      </c>
      <c r="G241" s="3">
        <v>360.7328221891774</v>
      </c>
      <c r="H241" s="3">
        <v>312.75717647303952</v>
      </c>
      <c r="I241" s="3">
        <v>232.26306308675129</v>
      </c>
    </row>
    <row r="242" spans="1:9" x14ac:dyDescent="0.25">
      <c r="A242" s="9">
        <v>43950</v>
      </c>
      <c r="B242" s="3">
        <v>284.62468897281951</v>
      </c>
      <c r="C242" s="3">
        <v>224.17854217452074</v>
      </c>
      <c r="D242" s="3">
        <v>370.48270127761992</v>
      </c>
      <c r="E242" s="3">
        <v>503.29946553194998</v>
      </c>
      <c r="F242" s="3">
        <v>254.30204863590609</v>
      </c>
      <c r="G242" s="3">
        <v>230.16066085227715</v>
      </c>
      <c r="H242" s="3">
        <v>233.87484013561132</v>
      </c>
      <c r="I242" s="3">
        <v>179.49166617971505</v>
      </c>
    </row>
    <row r="243" spans="1:9" x14ac:dyDescent="0.25">
      <c r="A243" s="9">
        <v>43951</v>
      </c>
      <c r="B243" s="3">
        <v>304.30378259282969</v>
      </c>
      <c r="C243" s="3">
        <v>206.11230087511697</v>
      </c>
      <c r="D243" s="3">
        <v>312.67476925065426</v>
      </c>
      <c r="E243" s="3">
        <v>499.91967966155829</v>
      </c>
      <c r="F243" s="3">
        <v>241.4992270033874</v>
      </c>
      <c r="G243" s="3">
        <v>213.87045648824059</v>
      </c>
      <c r="H243" s="3">
        <v>231.35302931686692</v>
      </c>
      <c r="I243" s="3">
        <v>177.9711675080944</v>
      </c>
    </row>
    <row r="244" spans="1:9" x14ac:dyDescent="0.25">
      <c r="A244" s="9">
        <v>43952</v>
      </c>
      <c r="B244" s="3">
        <v>308.66201998846498</v>
      </c>
      <c r="C244" s="3">
        <v>255.18253865466613</v>
      </c>
      <c r="D244" s="3">
        <v>322.17125086981554</v>
      </c>
      <c r="E244" s="3">
        <v>402.96652356339916</v>
      </c>
      <c r="F244" s="3">
        <v>237.07039271520915</v>
      </c>
      <c r="G244" s="3">
        <v>229.1619322622619</v>
      </c>
      <c r="H244" s="3">
        <v>236.87699561158252</v>
      </c>
      <c r="I244" s="3">
        <v>180.30317434317502</v>
      </c>
    </row>
    <row r="245" spans="1:9" x14ac:dyDescent="0.25">
      <c r="A245" s="9">
        <v>43953</v>
      </c>
      <c r="B245" s="3">
        <v>207.71813855411295</v>
      </c>
      <c r="C245" s="3">
        <v>506.16927923978238</v>
      </c>
      <c r="D245" s="3">
        <v>329.57353544663317</v>
      </c>
      <c r="E245" s="3">
        <v>348.39380556377586</v>
      </c>
      <c r="F245" s="3">
        <v>258.67338335244489</v>
      </c>
      <c r="G245" s="3">
        <v>232.00369436788515</v>
      </c>
      <c r="H245" s="3">
        <v>239.16215656348345</v>
      </c>
      <c r="I245" s="3">
        <v>185.74289989860227</v>
      </c>
    </row>
    <row r="246" spans="1:9" x14ac:dyDescent="0.25">
      <c r="A246" s="9">
        <v>43954</v>
      </c>
      <c r="B246" s="3">
        <v>324.00127520706894</v>
      </c>
      <c r="C246" s="3">
        <v>587.29052922464518</v>
      </c>
      <c r="D246" s="3">
        <v>443.20998136027168</v>
      </c>
      <c r="E246" s="3">
        <v>479.15148089602877</v>
      </c>
      <c r="F246" s="3">
        <v>370.25110130398764</v>
      </c>
      <c r="G246" s="3">
        <v>409.60090559359054</v>
      </c>
      <c r="H246" s="3">
        <v>330.95124291748385</v>
      </c>
      <c r="I246" s="3">
        <v>260.74732241590851</v>
      </c>
    </row>
    <row r="247" spans="1:9" x14ac:dyDescent="0.25">
      <c r="A247" s="9">
        <v>43955</v>
      </c>
      <c r="B247" s="3">
        <v>422.79422431383426</v>
      </c>
      <c r="C247" s="3">
        <v>810.16648105120032</v>
      </c>
      <c r="D247" s="3">
        <v>673.05128481625616</v>
      </c>
      <c r="E247" s="3">
        <v>711.32566918727855</v>
      </c>
      <c r="F247" s="3">
        <v>470.94479402571932</v>
      </c>
      <c r="G247" s="3">
        <v>570.33182825266397</v>
      </c>
      <c r="H247" s="3">
        <v>387.09331966492488</v>
      </c>
      <c r="I247" s="3">
        <v>316.86634343807395</v>
      </c>
    </row>
    <row r="248" spans="1:9" x14ac:dyDescent="0.25">
      <c r="A248" s="9">
        <v>43956</v>
      </c>
      <c r="B248" s="3">
        <v>437.50154891409795</v>
      </c>
      <c r="C248" s="3">
        <v>853.27562203427476</v>
      </c>
      <c r="D248" s="3">
        <v>745.2795908031967</v>
      </c>
      <c r="E248" s="3">
        <v>750.94410867729971</v>
      </c>
      <c r="F248" s="3">
        <v>453.89182748014639</v>
      </c>
      <c r="G248" s="3">
        <v>537.57539200386873</v>
      </c>
      <c r="H248" s="3">
        <v>376.79557732736896</v>
      </c>
      <c r="I248" s="3">
        <v>311.0694315172322</v>
      </c>
    </row>
    <row r="249" spans="1:9" x14ac:dyDescent="0.25">
      <c r="A249" s="9">
        <v>43957</v>
      </c>
      <c r="B249" s="3">
        <v>523.72097132327679</v>
      </c>
      <c r="C249" s="3">
        <v>797.64182494990087</v>
      </c>
      <c r="D249" s="3">
        <v>797.92540149240267</v>
      </c>
      <c r="E249" s="3">
        <v>853.59529066950518</v>
      </c>
      <c r="F249" s="3">
        <v>499.63421819351333</v>
      </c>
      <c r="G249" s="3">
        <v>572.20443608301252</v>
      </c>
      <c r="H249" s="3">
        <v>416.78710839320485</v>
      </c>
      <c r="I249" s="3">
        <v>329.71088860476772</v>
      </c>
    </row>
    <row r="250" spans="1:9" x14ac:dyDescent="0.25">
      <c r="A250" s="9">
        <v>43958</v>
      </c>
      <c r="B250" s="3">
        <v>552.93661729788232</v>
      </c>
      <c r="C250" s="3">
        <v>670.48508583019827</v>
      </c>
      <c r="D250" s="3">
        <v>822.1247467631996</v>
      </c>
      <c r="E250" s="3">
        <v>920.57173078242931</v>
      </c>
      <c r="F250" s="3">
        <v>499.11025477988323</v>
      </c>
      <c r="G250" s="3">
        <v>549.11156426544983</v>
      </c>
      <c r="H250" s="3">
        <v>455.44653804035067</v>
      </c>
      <c r="I250" s="3">
        <v>346.73107467043593</v>
      </c>
    </row>
    <row r="251" spans="1:9" x14ac:dyDescent="0.25">
      <c r="A251" s="9">
        <v>43959</v>
      </c>
      <c r="B251" s="3">
        <v>590.6638296009429</v>
      </c>
      <c r="C251" s="3">
        <v>484.07845639168391</v>
      </c>
      <c r="D251" s="3">
        <v>739.46418076210182</v>
      </c>
      <c r="E251" s="3">
        <v>833.74295474621476</v>
      </c>
      <c r="F251" s="3">
        <v>444.15746175492609</v>
      </c>
      <c r="G251" s="3">
        <v>462.92371652927301</v>
      </c>
      <c r="H251" s="3">
        <v>405.53485289375556</v>
      </c>
      <c r="I251" s="3">
        <v>354.30584413673557</v>
      </c>
    </row>
    <row r="252" spans="1:9" x14ac:dyDescent="0.25">
      <c r="A252" s="9">
        <v>43960</v>
      </c>
      <c r="B252" s="3">
        <v>579.24074425338506</v>
      </c>
      <c r="C252" s="3">
        <v>249.55959265343543</v>
      </c>
      <c r="D252" s="3">
        <v>571.25068718222099</v>
      </c>
      <c r="E252" s="3">
        <v>842.48732618834231</v>
      </c>
      <c r="F252" s="3">
        <v>427.12687869262282</v>
      </c>
      <c r="G252" s="3">
        <v>449.2320250576538</v>
      </c>
      <c r="H252" s="3">
        <v>377.18271246213556</v>
      </c>
      <c r="I252" s="3">
        <v>334.89613557517515</v>
      </c>
    </row>
    <row r="253" spans="1:9" x14ac:dyDescent="0.25">
      <c r="A253" s="9">
        <v>43961</v>
      </c>
      <c r="B253" s="3">
        <v>446.72751897556179</v>
      </c>
      <c r="C253" s="3">
        <v>197.51397229389377</v>
      </c>
      <c r="D253" s="3">
        <v>516.81694333406324</v>
      </c>
      <c r="E253" s="3">
        <v>693.25929080876756</v>
      </c>
      <c r="F253" s="3">
        <v>360.09959034164331</v>
      </c>
      <c r="G253" s="3">
        <v>339.27311986180172</v>
      </c>
      <c r="H253" s="3">
        <v>305.63038641644619</v>
      </c>
      <c r="I253" s="3">
        <v>276.46450482639432</v>
      </c>
    </row>
    <row r="254" spans="1:9" x14ac:dyDescent="0.25">
      <c r="A254" s="9">
        <v>43962</v>
      </c>
      <c r="B254" s="3">
        <v>409.13737027223141</v>
      </c>
      <c r="C254" s="3">
        <v>306.08332849836802</v>
      </c>
      <c r="D254" s="3">
        <v>452.31820806271736</v>
      </c>
      <c r="E254" s="3">
        <v>503.68074933275824</v>
      </c>
      <c r="F254" s="3">
        <v>228.31584162907484</v>
      </c>
      <c r="G254" s="3">
        <v>246.62001355482326</v>
      </c>
      <c r="H254" s="3">
        <v>215.38186925594329</v>
      </c>
      <c r="I254" s="3">
        <v>185.22577082090245</v>
      </c>
    </row>
    <row r="255" spans="1:9" x14ac:dyDescent="0.25">
      <c r="A255" s="9">
        <v>43963</v>
      </c>
      <c r="B255" s="3">
        <v>381.36920277796753</v>
      </c>
      <c r="C255" s="3">
        <v>455.91452099336311</v>
      </c>
      <c r="D255" s="3">
        <v>456.61121654042262</v>
      </c>
      <c r="E255" s="3">
        <v>434.3724695888252</v>
      </c>
      <c r="F255" s="3">
        <v>278.66210144427555</v>
      </c>
      <c r="G255" s="3">
        <v>230.43972110725022</v>
      </c>
      <c r="H255" s="3">
        <v>214.88713665027271</v>
      </c>
      <c r="I255" s="3">
        <v>212.86974753284244</v>
      </c>
    </row>
    <row r="256" spans="1:9" x14ac:dyDescent="0.25">
      <c r="A256" s="9">
        <v>43964</v>
      </c>
      <c r="B256" s="3">
        <v>533.59183624290881</v>
      </c>
      <c r="C256" s="3">
        <v>730.42461489044808</v>
      </c>
      <c r="D256" s="3">
        <v>651.41308107922896</v>
      </c>
      <c r="E256" s="3">
        <v>728.22148286605079</v>
      </c>
      <c r="F256" s="3">
        <v>401.09389554328902</v>
      </c>
      <c r="G256" s="3">
        <v>368.59771623562449</v>
      </c>
      <c r="H256" s="3">
        <v>308.52277186191515</v>
      </c>
      <c r="I256" s="3">
        <v>314.93577352703193</v>
      </c>
    </row>
    <row r="257" spans="1:9" x14ac:dyDescent="0.25">
      <c r="A257" s="9">
        <v>43965</v>
      </c>
      <c r="B257" s="3">
        <v>568.49598811576118</v>
      </c>
      <c r="C257" s="3">
        <v>412.09782123232168</v>
      </c>
      <c r="D257" s="3">
        <v>638.04770415704809</v>
      </c>
      <c r="E257" s="3">
        <v>812.94514914013575</v>
      </c>
      <c r="F257" s="3">
        <v>402.06313958625918</v>
      </c>
      <c r="G257" s="3">
        <v>367.14289784841588</v>
      </c>
      <c r="H257" s="3">
        <v>304.89818308354796</v>
      </c>
      <c r="I257" s="3">
        <v>332.17486573185732</v>
      </c>
    </row>
    <row r="258" spans="1:9" x14ac:dyDescent="0.25">
      <c r="A258" s="9">
        <v>43966</v>
      </c>
      <c r="B258" s="3">
        <v>440.28644132267931</v>
      </c>
      <c r="C258" s="3">
        <v>349.03969504804724</v>
      </c>
      <c r="D258" s="3">
        <v>562.4644680318595</v>
      </c>
      <c r="E258" s="3">
        <v>604.07957610671747</v>
      </c>
      <c r="F258" s="3">
        <v>272.39138700531754</v>
      </c>
      <c r="G258" s="3">
        <v>284.4319212033264</v>
      </c>
      <c r="H258" s="3">
        <v>266.86346738830474</v>
      </c>
      <c r="I258" s="3">
        <v>270.94808334787064</v>
      </c>
    </row>
    <row r="259" spans="1:9" x14ac:dyDescent="0.25">
      <c r="A259" s="9">
        <v>43967</v>
      </c>
      <c r="B259" s="3">
        <v>492.60467758806362</v>
      </c>
      <c r="C259" s="3">
        <v>488.71741545712229</v>
      </c>
      <c r="D259" s="3">
        <v>643.0482498263375</v>
      </c>
      <c r="E259" s="3">
        <v>630.7194164206486</v>
      </c>
      <c r="F259" s="3">
        <v>310.95972854264909</v>
      </c>
      <c r="G259" s="3">
        <v>320.53969564127163</v>
      </c>
      <c r="H259" s="3">
        <v>278.98655994133276</v>
      </c>
      <c r="I259" s="3">
        <v>251.28832673419231</v>
      </c>
    </row>
    <row r="260" spans="1:9" x14ac:dyDescent="0.25">
      <c r="A260" s="9">
        <v>43968</v>
      </c>
      <c r="B260" s="3">
        <v>145.20578800665893</v>
      </c>
      <c r="C260" s="3">
        <v>209.71460465247549</v>
      </c>
      <c r="D260" s="3">
        <v>178.74479678134367</v>
      </c>
      <c r="E260" s="3">
        <v>164.69473015969663</v>
      </c>
      <c r="F260" s="3">
        <v>88.136477300571215</v>
      </c>
      <c r="G260" s="3">
        <v>84.513411519424423</v>
      </c>
      <c r="H260" s="3">
        <v>96.176030666314858</v>
      </c>
      <c r="I260" s="3">
        <v>86.406194239018006</v>
      </c>
    </row>
    <row r="261" spans="1:9" x14ac:dyDescent="0.25">
      <c r="A261" s="9">
        <v>43969</v>
      </c>
      <c r="B261" s="3">
        <v>411.86679855265021</v>
      </c>
      <c r="C261" s="3">
        <v>617.55559256343429</v>
      </c>
      <c r="D261" s="3">
        <v>647.11171438269457</v>
      </c>
      <c r="E261" s="3">
        <v>601.71485817504367</v>
      </c>
      <c r="F261" s="3">
        <v>292.93399192293958</v>
      </c>
      <c r="G261" s="3">
        <v>340.37708242325846</v>
      </c>
      <c r="H261" s="3">
        <v>306.67099111588658</v>
      </c>
      <c r="I261" s="3">
        <v>272.10617525550248</v>
      </c>
    </row>
    <row r="262" spans="1:9" x14ac:dyDescent="0.25">
      <c r="A262" s="9">
        <v>43970</v>
      </c>
      <c r="B262" s="3">
        <v>393.94080529518067</v>
      </c>
      <c r="C262" s="3">
        <v>429.99980861702687</v>
      </c>
      <c r="D262" s="3">
        <v>560.70997344779175</v>
      </c>
      <c r="E262" s="3">
        <v>527.28076062683022</v>
      </c>
      <c r="F262" s="3">
        <v>253.98390795427531</v>
      </c>
      <c r="G262" s="3">
        <v>246.7960796785531</v>
      </c>
      <c r="H262" s="3">
        <v>244.55477991830452</v>
      </c>
      <c r="I262" s="3">
        <v>302.95439344288366</v>
      </c>
    </row>
    <row r="263" spans="1:9" x14ac:dyDescent="0.25">
      <c r="A263" s="9">
        <v>43971</v>
      </c>
      <c r="B263" s="3">
        <v>417.23871090797991</v>
      </c>
      <c r="C263" s="3">
        <v>592.93732911275197</v>
      </c>
      <c r="D263" s="3">
        <v>584.03680638463322</v>
      </c>
      <c r="E263" s="3">
        <v>591.69307930981108</v>
      </c>
      <c r="F263" s="3">
        <v>296.31259123383842</v>
      </c>
      <c r="G263" s="3">
        <v>314.42209102767163</v>
      </c>
      <c r="H263" s="3">
        <v>293.3668220735608</v>
      </c>
      <c r="I263" s="3">
        <v>302.68153401510773</v>
      </c>
    </row>
    <row r="264" spans="1:9" x14ac:dyDescent="0.25">
      <c r="A264" s="9">
        <v>43972</v>
      </c>
      <c r="B264" s="3">
        <v>245.32066257209803</v>
      </c>
      <c r="C264" s="3">
        <v>320.65153680006188</v>
      </c>
      <c r="D264" s="3">
        <v>332.22280288736357</v>
      </c>
      <c r="E264" s="3">
        <v>295.63824647317443</v>
      </c>
      <c r="F264" s="3">
        <v>209.00609310400054</v>
      </c>
      <c r="G264" s="3">
        <v>157.67557860960073</v>
      </c>
      <c r="H264" s="3">
        <v>181.11943180434088</v>
      </c>
      <c r="I264" s="3">
        <v>179.20262790287856</v>
      </c>
    </row>
    <row r="265" spans="1:9" x14ac:dyDescent="0.25">
      <c r="A265" s="9">
        <v>43973</v>
      </c>
      <c r="B265" s="3">
        <v>344.61229003042325</v>
      </c>
      <c r="C265" s="3">
        <v>517.85065613439804</v>
      </c>
      <c r="D265" s="3">
        <v>537.81895680985906</v>
      </c>
      <c r="E265" s="3">
        <v>468.95447625271555</v>
      </c>
      <c r="F265" s="3">
        <v>300.38125110856413</v>
      </c>
      <c r="G265" s="3">
        <v>262.13295074464628</v>
      </c>
      <c r="H265" s="3">
        <v>236.51800096992363</v>
      </c>
      <c r="I265" s="3">
        <v>217.29184445598835</v>
      </c>
    </row>
    <row r="266" spans="1:9" x14ac:dyDescent="0.25">
      <c r="A266" s="9">
        <v>43974</v>
      </c>
      <c r="B266" s="3">
        <v>293.73190927936383</v>
      </c>
      <c r="C266" s="3">
        <v>275.73623906702232</v>
      </c>
      <c r="D266" s="3">
        <v>376.79702214538713</v>
      </c>
      <c r="E266" s="3">
        <v>342.45894835452606</v>
      </c>
      <c r="F266" s="3">
        <v>200.71965564622917</v>
      </c>
      <c r="G266" s="3">
        <v>137.7489629151477</v>
      </c>
      <c r="H266" s="3">
        <v>145.89842952111587</v>
      </c>
      <c r="I266" s="3">
        <v>136.06641890011252</v>
      </c>
    </row>
    <row r="267" spans="1:9" x14ac:dyDescent="0.25">
      <c r="A267" s="9">
        <v>43975</v>
      </c>
      <c r="B267" s="3">
        <v>19.125987235504361</v>
      </c>
      <c r="C267" s="3">
        <v>13.433273501310211</v>
      </c>
      <c r="D267" s="3">
        <v>24.542270169966262</v>
      </c>
      <c r="E267" s="3">
        <v>10.938360886725786</v>
      </c>
      <c r="F267" s="3">
        <v>4.1928251502278195</v>
      </c>
      <c r="G267" s="3">
        <v>1.1670253499741889</v>
      </c>
      <c r="H267" s="3">
        <v>6.3049476465571769E-2</v>
      </c>
      <c r="I267" s="3">
        <v>0</v>
      </c>
    </row>
    <row r="268" spans="1:9" x14ac:dyDescent="0.25">
      <c r="A268" s="9">
        <v>43976</v>
      </c>
      <c r="B268" s="3">
        <v>247.2752071173411</v>
      </c>
      <c r="C268" s="3">
        <v>404.28130495860086</v>
      </c>
      <c r="D268" s="3">
        <v>334.75968850128555</v>
      </c>
      <c r="E268" s="3">
        <v>284.7485471273053</v>
      </c>
      <c r="F268" s="3">
        <v>117.30579449981634</v>
      </c>
      <c r="G268" s="3">
        <v>179.33252283691544</v>
      </c>
      <c r="H268" s="3">
        <v>153.62458802744632</v>
      </c>
      <c r="I268" s="3">
        <v>119.59616962965899</v>
      </c>
    </row>
    <row r="269" spans="1:9" x14ac:dyDescent="0.25">
      <c r="A269" s="9">
        <v>43977</v>
      </c>
      <c r="B269" s="3">
        <v>337.92059015111329</v>
      </c>
      <c r="C269" s="3">
        <v>505.91492779994451</v>
      </c>
      <c r="D269" s="3">
        <v>493.47583472833236</v>
      </c>
      <c r="E269" s="3">
        <v>396.12293234032114</v>
      </c>
      <c r="F269" s="3">
        <v>196.6709111432838</v>
      </c>
      <c r="G269" s="3">
        <v>259.07576846884882</v>
      </c>
      <c r="H269" s="3">
        <v>198.95120174641838</v>
      </c>
      <c r="I269" s="3">
        <v>174.16233289521094</v>
      </c>
    </row>
    <row r="270" spans="1:9" x14ac:dyDescent="0.25">
      <c r="A270" s="9">
        <v>43978</v>
      </c>
      <c r="B270" s="3">
        <v>194.781712983501</v>
      </c>
      <c r="C270" s="3">
        <v>235.58523369648987</v>
      </c>
      <c r="D270" s="3">
        <v>300.75032433422558</v>
      </c>
      <c r="E270" s="3">
        <v>232.61320970959721</v>
      </c>
      <c r="F270" s="3">
        <v>121.93546506834822</v>
      </c>
      <c r="G270" s="3">
        <v>152.61686057341842</v>
      </c>
      <c r="H270" s="3">
        <v>126.59000618830727</v>
      </c>
      <c r="I270" s="3">
        <v>110.09423389293819</v>
      </c>
    </row>
    <row r="271" spans="1:9" x14ac:dyDescent="0.25">
      <c r="A271" s="9">
        <v>43979</v>
      </c>
      <c r="B271" s="3">
        <v>38.109831740225474</v>
      </c>
      <c r="C271" s="3">
        <v>96.629091003252313</v>
      </c>
      <c r="D271" s="3">
        <v>83.723102193682109</v>
      </c>
      <c r="E271" s="3">
        <v>57.222226900817184</v>
      </c>
      <c r="F271" s="3">
        <v>47.535539775264645</v>
      </c>
      <c r="G271" s="3">
        <v>47.540200947494021</v>
      </c>
      <c r="H271" s="3">
        <v>47.482068345448688</v>
      </c>
      <c r="I271" s="3">
        <v>43.733522881455116</v>
      </c>
    </row>
    <row r="272" spans="1:9" x14ac:dyDescent="0.25">
      <c r="A272" s="9">
        <v>43980</v>
      </c>
      <c r="B272" s="3">
        <v>226.8085434760213</v>
      </c>
      <c r="C272" s="3">
        <v>611.63749181919832</v>
      </c>
      <c r="D272" s="3">
        <v>415.84831253303076</v>
      </c>
      <c r="E272" s="3">
        <v>411.91207135972257</v>
      </c>
      <c r="F272" s="3">
        <v>248.53500603878447</v>
      </c>
      <c r="G272" s="3">
        <v>191.5286300938555</v>
      </c>
      <c r="H272" s="3">
        <v>220.18450467925862</v>
      </c>
      <c r="I272" s="3">
        <v>150.63515192950149</v>
      </c>
    </row>
    <row r="273" spans="1:9" x14ac:dyDescent="0.25">
      <c r="A273" s="9">
        <v>43981</v>
      </c>
      <c r="B273" s="3">
        <v>330.74715974290086</v>
      </c>
      <c r="C273" s="3">
        <v>1089.343460870198</v>
      </c>
      <c r="D273" s="3">
        <v>648.18478940289765</v>
      </c>
      <c r="E273" s="3">
        <v>658.25144052712631</v>
      </c>
      <c r="F273" s="3">
        <v>361.0839279213539</v>
      </c>
      <c r="G273" s="3">
        <v>358.45517444137454</v>
      </c>
      <c r="H273" s="3">
        <v>304.43787914484011</v>
      </c>
      <c r="I273" s="3">
        <v>227.47325507753439</v>
      </c>
    </row>
    <row r="274" spans="1:9" x14ac:dyDescent="0.25">
      <c r="A274" s="9">
        <v>43982</v>
      </c>
      <c r="B274" s="3">
        <v>232.8447572723359</v>
      </c>
      <c r="C274" s="3">
        <v>750.83802300524189</v>
      </c>
      <c r="D274" s="3">
        <v>502.36770329573557</v>
      </c>
      <c r="E274" s="3">
        <v>492.5333788699806</v>
      </c>
      <c r="F274" s="3">
        <v>271.73490621716576</v>
      </c>
      <c r="G274" s="3">
        <v>265.26330338094397</v>
      </c>
      <c r="H274" s="3">
        <v>215.34397508922322</v>
      </c>
      <c r="I274" s="3">
        <v>192.963988910263</v>
      </c>
    </row>
    <row r="275" spans="1:9" x14ac:dyDescent="0.25">
      <c r="A275" s="9">
        <v>43983</v>
      </c>
      <c r="B275" s="3">
        <v>240.07415647564645</v>
      </c>
      <c r="C275" s="3">
        <v>643.07985499889708</v>
      </c>
      <c r="D275" s="3">
        <v>429.70953108973634</v>
      </c>
      <c r="E275" s="3">
        <v>422.08564397099025</v>
      </c>
      <c r="F275" s="3">
        <v>264.8744704396056</v>
      </c>
      <c r="G275" s="3">
        <v>236.63606209511104</v>
      </c>
      <c r="H275" s="3">
        <v>225.08509076919546</v>
      </c>
      <c r="I275" s="3">
        <v>203.84295599011125</v>
      </c>
    </row>
    <row r="276" spans="1:9" x14ac:dyDescent="0.25">
      <c r="A276" s="9">
        <v>43984</v>
      </c>
      <c r="B276" s="3">
        <v>204.37138110260702</v>
      </c>
      <c r="C276" s="3">
        <v>523.47970048206548</v>
      </c>
      <c r="D276" s="3">
        <v>383.27503957097764</v>
      </c>
      <c r="E276" s="3">
        <v>382.47630536348873</v>
      </c>
      <c r="F276" s="3">
        <v>191.36128712290505</v>
      </c>
      <c r="G276" s="3">
        <v>253.50628970669658</v>
      </c>
      <c r="H276" s="3">
        <v>198.96974509918107</v>
      </c>
      <c r="I276" s="3">
        <v>168.59810190489205</v>
      </c>
    </row>
    <row r="277" spans="1:9" x14ac:dyDescent="0.25">
      <c r="A277" s="9">
        <v>43985</v>
      </c>
      <c r="B277" s="3">
        <v>340.68516244199435</v>
      </c>
      <c r="C277" s="3">
        <v>796.96487044479602</v>
      </c>
      <c r="D277" s="3">
        <v>667.23231924498873</v>
      </c>
      <c r="E277" s="3">
        <v>560.12474804298517</v>
      </c>
      <c r="F277" s="3">
        <v>273.37893445538299</v>
      </c>
      <c r="G277" s="3">
        <v>352.13830748693141</v>
      </c>
      <c r="H277" s="3">
        <v>291.79649409696941</v>
      </c>
      <c r="I277" s="3">
        <v>213.95124216317564</v>
      </c>
    </row>
    <row r="278" spans="1:9" x14ac:dyDescent="0.25">
      <c r="A278" s="9">
        <v>43986</v>
      </c>
      <c r="B278" s="3">
        <v>148.52746608138617</v>
      </c>
      <c r="C278" s="3">
        <v>352.48739861451071</v>
      </c>
      <c r="D278" s="3">
        <v>284.83403137148201</v>
      </c>
      <c r="E278" s="3">
        <v>252.15595963363714</v>
      </c>
      <c r="F278" s="3">
        <v>215.36529332617803</v>
      </c>
      <c r="G278" s="3">
        <v>166.01556657329709</v>
      </c>
      <c r="H278" s="3">
        <v>177.71564748660637</v>
      </c>
      <c r="I278" s="3">
        <v>135.77790109189527</v>
      </c>
    </row>
    <row r="279" spans="1:9" x14ac:dyDescent="0.25">
      <c r="A279" s="9">
        <v>43987</v>
      </c>
      <c r="B279" s="3">
        <v>331.87375104700777</v>
      </c>
      <c r="C279" s="3">
        <v>835.79664387533978</v>
      </c>
      <c r="D279" s="3">
        <v>649.9419531362563</v>
      </c>
      <c r="E279" s="3">
        <v>494.75544013928373</v>
      </c>
      <c r="F279" s="3">
        <v>319.58564854890034</v>
      </c>
      <c r="G279" s="3">
        <v>308.11014119116737</v>
      </c>
      <c r="H279" s="3">
        <v>330.80265623877699</v>
      </c>
      <c r="I279" s="3">
        <v>255.83588795980756</v>
      </c>
    </row>
    <row r="280" spans="1:9" x14ac:dyDescent="0.25">
      <c r="A280" s="9">
        <v>43988</v>
      </c>
      <c r="B280" s="3">
        <v>213.9340826968907</v>
      </c>
      <c r="C280" s="3">
        <v>426.56237200420554</v>
      </c>
      <c r="D280" s="3">
        <v>422.01312712780719</v>
      </c>
      <c r="E280" s="3">
        <v>377.78309622857199</v>
      </c>
      <c r="F280" s="3">
        <v>274.00813228236586</v>
      </c>
      <c r="G280" s="3">
        <v>239.72523570870584</v>
      </c>
      <c r="H280" s="3">
        <v>223.45242620206736</v>
      </c>
      <c r="I280" s="3">
        <v>198.15399390620328</v>
      </c>
    </row>
    <row r="281" spans="1:9" x14ac:dyDescent="0.25">
      <c r="A281" s="9">
        <v>43989</v>
      </c>
      <c r="B281" s="3">
        <v>189.30478618325165</v>
      </c>
      <c r="C281" s="3">
        <v>560.45256675065912</v>
      </c>
      <c r="D281" s="3">
        <v>344.87667549387902</v>
      </c>
      <c r="E281" s="3">
        <v>345.13885472452472</v>
      </c>
      <c r="F281" s="3">
        <v>290.56193092277061</v>
      </c>
      <c r="G281" s="3">
        <v>200.66531059203112</v>
      </c>
      <c r="H281" s="3">
        <v>186.73608773000359</v>
      </c>
      <c r="I281" s="3">
        <v>183.63992728442315</v>
      </c>
    </row>
    <row r="282" spans="1:9" x14ac:dyDescent="0.25">
      <c r="A282" s="9">
        <v>43990</v>
      </c>
      <c r="B282" s="3">
        <v>96.412462526999036</v>
      </c>
      <c r="C282" s="3">
        <v>360.83959522962459</v>
      </c>
      <c r="D282" s="3">
        <v>202.46896233763471</v>
      </c>
      <c r="E282" s="3">
        <v>203.38476008745863</v>
      </c>
      <c r="F282" s="3">
        <v>136.24654150783547</v>
      </c>
      <c r="G282" s="3">
        <v>108.60726769615955</v>
      </c>
      <c r="H282" s="3">
        <v>121.27265967314678</v>
      </c>
      <c r="I282" s="3">
        <v>106.89057537809033</v>
      </c>
    </row>
    <row r="283" spans="1:9" x14ac:dyDescent="0.25">
      <c r="A283" s="9">
        <v>43991</v>
      </c>
      <c r="B283" s="3">
        <v>185.85341631654609</v>
      </c>
      <c r="C283" s="3">
        <v>469.28118415248446</v>
      </c>
      <c r="D283" s="3">
        <v>286.31863959512043</v>
      </c>
      <c r="E283" s="3">
        <v>312.93750127323199</v>
      </c>
      <c r="F283" s="3">
        <v>268.61284004456439</v>
      </c>
      <c r="G283" s="3">
        <v>207.17417499480783</v>
      </c>
      <c r="H283" s="3">
        <v>154.05109840132837</v>
      </c>
      <c r="I283" s="3">
        <v>183.87621214396307</v>
      </c>
    </row>
    <row r="284" spans="1:9" x14ac:dyDescent="0.25">
      <c r="A284" s="9">
        <v>43992</v>
      </c>
      <c r="B284" s="3">
        <v>116.9935198450429</v>
      </c>
      <c r="C284" s="3">
        <v>237.358921495793</v>
      </c>
      <c r="D284" s="3">
        <v>195.7039812682211</v>
      </c>
      <c r="E284" s="3">
        <v>203.36854651394836</v>
      </c>
      <c r="F284" s="3">
        <v>161.08862478671</v>
      </c>
      <c r="G284" s="3">
        <v>104.40587286585536</v>
      </c>
      <c r="H284" s="3">
        <v>93.003901497930414</v>
      </c>
      <c r="I284" s="3">
        <v>116.75396433690884</v>
      </c>
    </row>
    <row r="285" spans="1:9" x14ac:dyDescent="0.25">
      <c r="A285" s="9">
        <v>43993</v>
      </c>
      <c r="B285" s="3">
        <v>344.21890925906155</v>
      </c>
      <c r="C285" s="3">
        <v>803.67455688652421</v>
      </c>
      <c r="D285" s="3">
        <v>536.5174614821434</v>
      </c>
      <c r="E285" s="3">
        <v>605.17029376992821</v>
      </c>
      <c r="F285" s="3">
        <v>491.74184327720508</v>
      </c>
      <c r="G285" s="3">
        <v>363.45177650216056</v>
      </c>
      <c r="H285" s="3">
        <v>222.4425446212575</v>
      </c>
      <c r="I285" s="3">
        <v>302.47682555849991</v>
      </c>
    </row>
    <row r="286" spans="1:9" x14ac:dyDescent="0.25">
      <c r="A286" s="9">
        <v>43994</v>
      </c>
      <c r="B286" s="3">
        <v>321.17305964513127</v>
      </c>
      <c r="C286" s="3">
        <v>728.65122552059563</v>
      </c>
      <c r="D286" s="3">
        <v>604.54785236330019</v>
      </c>
      <c r="E286" s="3">
        <v>592.22406884870441</v>
      </c>
      <c r="F286" s="3">
        <v>476.07815792707953</v>
      </c>
      <c r="G286" s="3">
        <v>360.02326207344743</v>
      </c>
      <c r="H286" s="3">
        <v>217.88511954122043</v>
      </c>
      <c r="I286" s="3">
        <v>329.04617522698032</v>
      </c>
    </row>
    <row r="287" spans="1:9" x14ac:dyDescent="0.25">
      <c r="A287" s="9">
        <v>43995</v>
      </c>
      <c r="B287" s="3">
        <v>109.23428549728516</v>
      </c>
      <c r="C287" s="3">
        <v>268.22662052595376</v>
      </c>
      <c r="D287" s="3">
        <v>299.93937758740537</v>
      </c>
      <c r="E287" s="3">
        <v>203.0982703492266</v>
      </c>
      <c r="F287" s="3">
        <v>208.27871277966761</v>
      </c>
      <c r="G287" s="3">
        <v>122.00508674237818</v>
      </c>
      <c r="H287" s="3">
        <v>103.95085633083718</v>
      </c>
      <c r="I287" s="3">
        <v>86.712558742308573</v>
      </c>
    </row>
    <row r="288" spans="1:9" x14ac:dyDescent="0.25">
      <c r="A288" s="9">
        <v>43996</v>
      </c>
      <c r="B288" s="3">
        <v>158.07823792921025</v>
      </c>
      <c r="C288" s="3">
        <v>273.51496701570721</v>
      </c>
      <c r="D288" s="3">
        <v>383.73017025658532</v>
      </c>
      <c r="E288" s="3">
        <v>222.03809515341135</v>
      </c>
      <c r="F288" s="3">
        <v>185.49693809639615</v>
      </c>
      <c r="G288" s="3">
        <v>124.90775367799056</v>
      </c>
      <c r="H288" s="3">
        <v>110.98679824997889</v>
      </c>
      <c r="I288" s="3">
        <v>88.941232873587992</v>
      </c>
    </row>
    <row r="289" spans="1:9" x14ac:dyDescent="0.25">
      <c r="A289" s="9">
        <v>43997</v>
      </c>
      <c r="B289" s="3">
        <v>219.79656487877239</v>
      </c>
      <c r="C289" s="3">
        <v>653.50993842550918</v>
      </c>
      <c r="D289" s="3">
        <v>591.15190276062037</v>
      </c>
      <c r="E289" s="3">
        <v>447.91640617206048</v>
      </c>
      <c r="F289" s="3">
        <v>369.79004645491597</v>
      </c>
      <c r="G289" s="3">
        <v>297.65149027097345</v>
      </c>
      <c r="H289" s="3">
        <v>212.42216661665273</v>
      </c>
      <c r="I289" s="3">
        <v>227.09793185418243</v>
      </c>
    </row>
    <row r="290" spans="1:9" x14ac:dyDescent="0.25">
      <c r="A290" s="9">
        <v>43998</v>
      </c>
      <c r="B290" s="3">
        <v>264.93502800453564</v>
      </c>
      <c r="C290" s="3">
        <v>577.81462963990884</v>
      </c>
      <c r="D290" s="3">
        <v>539.76307550088563</v>
      </c>
      <c r="E290" s="3">
        <v>450.93662704891671</v>
      </c>
      <c r="F290" s="3">
        <v>416.3241731179474</v>
      </c>
      <c r="G290" s="3">
        <v>324.68615035777248</v>
      </c>
      <c r="H290" s="3">
        <v>209.93250893001738</v>
      </c>
      <c r="I290" s="3">
        <v>238.28873834778173</v>
      </c>
    </row>
    <row r="291" spans="1:9" x14ac:dyDescent="0.25">
      <c r="A291" s="9">
        <v>43999</v>
      </c>
      <c r="B291" s="3">
        <v>283.36916191954691</v>
      </c>
      <c r="C291" s="3">
        <v>673.34276592896231</v>
      </c>
      <c r="D291" s="3">
        <v>615.32068335315546</v>
      </c>
      <c r="E291" s="3">
        <v>561.56870318113999</v>
      </c>
      <c r="F291" s="3">
        <v>490.86575258887967</v>
      </c>
      <c r="G291" s="3">
        <v>382.84017224497205</v>
      </c>
      <c r="H291" s="3">
        <v>229.5819526863381</v>
      </c>
      <c r="I291" s="3">
        <v>275.89885771087307</v>
      </c>
    </row>
    <row r="292" spans="1:9" x14ac:dyDescent="0.25">
      <c r="A292" s="9">
        <v>44000</v>
      </c>
      <c r="B292" s="3">
        <v>93.481022038446454</v>
      </c>
      <c r="C292" s="3">
        <v>140.16945702675008</v>
      </c>
      <c r="D292" s="3">
        <v>167.96763528308878</v>
      </c>
      <c r="E292" s="3">
        <v>128.83058118167432</v>
      </c>
      <c r="F292" s="3">
        <v>126.89299038813175</v>
      </c>
      <c r="G292" s="3">
        <v>83.055293789023395</v>
      </c>
      <c r="H292" s="3">
        <v>69.141695594015474</v>
      </c>
      <c r="I292" s="3">
        <v>96.863648439232648</v>
      </c>
    </row>
    <row r="293" spans="1:9" x14ac:dyDescent="0.25">
      <c r="A293" s="9">
        <v>44001</v>
      </c>
      <c r="B293" s="3">
        <v>243.99638666559491</v>
      </c>
      <c r="C293" s="3">
        <v>487.3080300086562</v>
      </c>
      <c r="D293" s="3">
        <v>497.7802537281998</v>
      </c>
      <c r="E293" s="3">
        <v>466.36333209232129</v>
      </c>
      <c r="F293" s="3">
        <v>419.44084617256993</v>
      </c>
      <c r="G293" s="3">
        <v>338.89324105411339</v>
      </c>
      <c r="H293" s="3">
        <v>181.52623363844734</v>
      </c>
      <c r="I293" s="3">
        <v>230.96835809319603</v>
      </c>
    </row>
    <row r="294" spans="1:9" x14ac:dyDescent="0.25">
      <c r="A294" s="9">
        <v>44002</v>
      </c>
      <c r="B294" s="3">
        <v>365.64910227109243</v>
      </c>
      <c r="C294" s="3">
        <v>772.96981063497844</v>
      </c>
      <c r="D294" s="3">
        <v>738.40535612373662</v>
      </c>
      <c r="E294" s="3">
        <v>706.81091249275084</v>
      </c>
      <c r="F294" s="3">
        <v>593.71180230882862</v>
      </c>
      <c r="G294" s="3">
        <v>498.33270325135959</v>
      </c>
      <c r="H294" s="3">
        <v>262.30423731823839</v>
      </c>
      <c r="I294" s="3">
        <v>315.1258116696153</v>
      </c>
    </row>
    <row r="295" spans="1:9" x14ac:dyDescent="0.25">
      <c r="A295" s="9">
        <v>44003</v>
      </c>
      <c r="B295" s="3">
        <v>278.53424583749825</v>
      </c>
      <c r="C295" s="3">
        <v>627.7192878453576</v>
      </c>
      <c r="D295" s="3">
        <v>622.38821152557955</v>
      </c>
      <c r="E295" s="3">
        <v>603.27072981344043</v>
      </c>
      <c r="F295" s="3">
        <v>450.03547332349092</v>
      </c>
      <c r="G295" s="3">
        <v>414.09191756996745</v>
      </c>
      <c r="H295" s="3">
        <v>212.08387074304534</v>
      </c>
      <c r="I295" s="3">
        <v>217.51532529440695</v>
      </c>
    </row>
    <row r="296" spans="1:9" x14ac:dyDescent="0.25">
      <c r="A296" s="9">
        <v>44004</v>
      </c>
      <c r="B296" s="3">
        <v>227.64758284841096</v>
      </c>
      <c r="C296" s="3">
        <v>516.82200032025401</v>
      </c>
      <c r="D296" s="3">
        <v>525.29660077784797</v>
      </c>
      <c r="E296" s="3">
        <v>491.41193575246473</v>
      </c>
      <c r="F296" s="3">
        <v>385.08095717914932</v>
      </c>
      <c r="G296" s="3">
        <v>339.26966726712254</v>
      </c>
      <c r="H296" s="3">
        <v>183.54963461108534</v>
      </c>
      <c r="I296" s="3">
        <v>187.27211294375465</v>
      </c>
    </row>
    <row r="297" spans="1:9" x14ac:dyDescent="0.25">
      <c r="A297" s="9">
        <v>44005</v>
      </c>
      <c r="B297" s="3">
        <v>56.7424631957931</v>
      </c>
      <c r="C297" s="3">
        <v>180.69253555777098</v>
      </c>
      <c r="D297" s="3">
        <v>166.67529691502722</v>
      </c>
      <c r="E297" s="3">
        <v>126.13611693227092</v>
      </c>
      <c r="F297" s="3">
        <v>112.09181013284774</v>
      </c>
      <c r="G297" s="3">
        <v>75.341535493042343</v>
      </c>
      <c r="H297" s="3">
        <v>65.946309681815279</v>
      </c>
      <c r="I297" s="3">
        <v>87.15819709446626</v>
      </c>
    </row>
    <row r="298" spans="1:9" x14ac:dyDescent="0.25">
      <c r="A298" s="9">
        <v>44006</v>
      </c>
      <c r="B298" s="3">
        <v>12.658509006312354</v>
      </c>
      <c r="C298" s="3">
        <v>54.222483791695005</v>
      </c>
      <c r="D298" s="3">
        <v>42.131581392688553</v>
      </c>
      <c r="E298" s="3">
        <v>11.784279237887729</v>
      </c>
      <c r="F298" s="3">
        <v>10.492724019927525</v>
      </c>
      <c r="G298" s="3">
        <v>4.0415606233610655</v>
      </c>
      <c r="H298" s="3">
        <v>8.024568247642911</v>
      </c>
      <c r="I298" s="3">
        <v>25.682174411568262</v>
      </c>
    </row>
    <row r="299" spans="1:9" x14ac:dyDescent="0.25">
      <c r="A299" s="9">
        <v>44007</v>
      </c>
      <c r="B299" s="3">
        <v>249.50082511674697</v>
      </c>
      <c r="C299" s="3">
        <v>700.53090757127597</v>
      </c>
      <c r="D299" s="3">
        <v>644.28476387256592</v>
      </c>
      <c r="E299" s="3">
        <v>598.18764424794051</v>
      </c>
      <c r="F299" s="3">
        <v>403.99035960753321</v>
      </c>
      <c r="G299" s="3">
        <v>402.79515682006269</v>
      </c>
      <c r="H299" s="3">
        <v>243.51174079578482</v>
      </c>
      <c r="I299" s="3">
        <v>277.87133443143432</v>
      </c>
    </row>
    <row r="300" spans="1:9" x14ac:dyDescent="0.25">
      <c r="A300" s="9">
        <v>44008</v>
      </c>
      <c r="B300" s="3">
        <v>267.33321568246924</v>
      </c>
      <c r="C300" s="3">
        <v>604.25257849931904</v>
      </c>
      <c r="D300" s="3">
        <v>660.69679006225192</v>
      </c>
      <c r="E300" s="3">
        <v>546.14719215755508</v>
      </c>
      <c r="F300" s="3">
        <v>451.85330387349978</v>
      </c>
      <c r="G300" s="3">
        <v>401.07320404561995</v>
      </c>
      <c r="H300" s="3">
        <v>250.12224661482713</v>
      </c>
      <c r="I300" s="3">
        <v>269.97027814421222</v>
      </c>
    </row>
    <row r="301" spans="1:9" x14ac:dyDescent="0.25">
      <c r="A301" s="9">
        <v>44009</v>
      </c>
      <c r="B301" s="3">
        <v>242.08341663120873</v>
      </c>
      <c r="C301" s="3">
        <v>472.5666288816463</v>
      </c>
      <c r="D301" s="3">
        <v>645.36867202967233</v>
      </c>
      <c r="E301" s="3">
        <v>483.10598922979864</v>
      </c>
      <c r="F301" s="3">
        <v>416.89835809565454</v>
      </c>
      <c r="G301" s="3">
        <v>378.6381557173076</v>
      </c>
      <c r="H301" s="3">
        <v>253.57019290358917</v>
      </c>
      <c r="I301" s="3">
        <v>330.29510535819651</v>
      </c>
    </row>
    <row r="302" spans="1:9" x14ac:dyDescent="0.25">
      <c r="A302" s="9">
        <v>44010</v>
      </c>
      <c r="B302" s="3">
        <v>203.81854140854495</v>
      </c>
      <c r="C302" s="3">
        <v>547.68085383443997</v>
      </c>
      <c r="D302" s="3">
        <v>731.24791014036339</v>
      </c>
      <c r="E302" s="3">
        <v>558.71473743780541</v>
      </c>
      <c r="F302" s="3">
        <v>467.65319172774326</v>
      </c>
      <c r="G302" s="3">
        <v>378.86695701022126</v>
      </c>
      <c r="H302" s="3">
        <v>259.48134160433756</v>
      </c>
      <c r="I302" s="3">
        <v>365.92296804178176</v>
      </c>
    </row>
    <row r="303" spans="1:9" x14ac:dyDescent="0.25">
      <c r="A303" s="9">
        <v>44011</v>
      </c>
      <c r="B303" s="3">
        <v>253.34086028908803</v>
      </c>
      <c r="C303" s="3">
        <v>726.8782884096496</v>
      </c>
      <c r="D303" s="3">
        <v>814.9754650840664</v>
      </c>
      <c r="E303" s="3">
        <v>653.36735136913705</v>
      </c>
      <c r="F303" s="3">
        <v>398.45306816146842</v>
      </c>
      <c r="G303" s="3">
        <v>374.77980273759908</v>
      </c>
      <c r="H303" s="3">
        <v>268.45990789511291</v>
      </c>
      <c r="I303" s="3">
        <v>333.59698278805877</v>
      </c>
    </row>
    <row r="304" spans="1:9" x14ac:dyDescent="0.25">
      <c r="A304" s="9">
        <v>44012</v>
      </c>
      <c r="B304" s="3">
        <v>72.059493780230696</v>
      </c>
      <c r="C304" s="3">
        <v>372.61131628328519</v>
      </c>
      <c r="D304" s="3">
        <v>337.26767463480962</v>
      </c>
      <c r="E304" s="3">
        <v>362.79710460650659</v>
      </c>
      <c r="F304" s="3">
        <v>79.375680749270856</v>
      </c>
      <c r="G304" s="3">
        <v>217.34675818552273</v>
      </c>
      <c r="H304" s="3">
        <v>181.54174026291784</v>
      </c>
      <c r="I304" s="3">
        <v>112.97566827514481</v>
      </c>
    </row>
    <row r="305" spans="1:9" x14ac:dyDescent="0.25">
      <c r="A305" s="9">
        <v>44013</v>
      </c>
      <c r="B305" s="3">
        <v>82.872207629230743</v>
      </c>
      <c r="C305" s="3">
        <v>339.58300509541073</v>
      </c>
      <c r="D305" s="3">
        <v>288.36615687690397</v>
      </c>
      <c r="E305" s="3">
        <v>223.85470357158187</v>
      </c>
      <c r="F305" s="3">
        <v>180.72255608008413</v>
      </c>
      <c r="G305" s="3">
        <v>163.02781825714902</v>
      </c>
      <c r="H305" s="3">
        <v>162.12128765931109</v>
      </c>
      <c r="I305" s="3">
        <v>143.05983525268596</v>
      </c>
    </row>
    <row r="306" spans="1:9" x14ac:dyDescent="0.25">
      <c r="A306" s="9">
        <v>44014</v>
      </c>
      <c r="B306" s="3">
        <v>82.109525933595279</v>
      </c>
      <c r="C306" s="3">
        <v>200.83854831061331</v>
      </c>
      <c r="D306" s="3">
        <v>186.77519015367355</v>
      </c>
      <c r="E306" s="3">
        <v>140.38876090105896</v>
      </c>
      <c r="F306" s="3">
        <v>139.40792347552792</v>
      </c>
      <c r="G306" s="3">
        <v>85.270361005371328</v>
      </c>
      <c r="H306" s="3">
        <v>148.27491340932968</v>
      </c>
      <c r="I306" s="3">
        <v>146.94059670733674</v>
      </c>
    </row>
    <row r="307" spans="1:9" x14ac:dyDescent="0.25">
      <c r="A307" s="9">
        <v>44015</v>
      </c>
      <c r="B307" s="3">
        <v>225.8931384511163</v>
      </c>
      <c r="C307" s="3">
        <v>634.02687113295656</v>
      </c>
      <c r="D307" s="3">
        <v>602.76139563028596</v>
      </c>
      <c r="E307" s="3">
        <v>526.55871930185594</v>
      </c>
      <c r="F307" s="3">
        <v>509.89334067160513</v>
      </c>
      <c r="G307" s="3">
        <v>359.95482645092272</v>
      </c>
      <c r="H307" s="3">
        <v>346.08663800412762</v>
      </c>
      <c r="I307" s="3">
        <v>390.33140597224138</v>
      </c>
    </row>
    <row r="308" spans="1:9" x14ac:dyDescent="0.25">
      <c r="A308" s="9">
        <v>44016</v>
      </c>
      <c r="B308" s="3">
        <v>312.76637137806091</v>
      </c>
      <c r="C308" s="3">
        <v>666.61075285721802</v>
      </c>
      <c r="D308" s="3">
        <v>730.89654982685738</v>
      </c>
      <c r="E308" s="3">
        <v>594.12478055579618</v>
      </c>
      <c r="F308" s="3">
        <v>554.31890270988333</v>
      </c>
      <c r="G308" s="3">
        <v>407.87288505299966</v>
      </c>
      <c r="H308" s="3">
        <v>358.37768495265294</v>
      </c>
      <c r="I308" s="3">
        <v>405.56284721270941</v>
      </c>
    </row>
    <row r="309" spans="1:9" x14ac:dyDescent="0.25">
      <c r="A309" s="9">
        <v>44017</v>
      </c>
      <c r="B309" s="3">
        <v>286.38609435366453</v>
      </c>
      <c r="C309" s="3">
        <v>718.37853841195579</v>
      </c>
      <c r="D309" s="3">
        <v>716.49324952315169</v>
      </c>
      <c r="E309" s="3">
        <v>696.78838213477047</v>
      </c>
      <c r="F309" s="3">
        <v>470.04724684007823</v>
      </c>
      <c r="G309" s="3">
        <v>427.53928310318173</v>
      </c>
      <c r="H309" s="3">
        <v>341.3398036187549</v>
      </c>
      <c r="I309" s="3">
        <v>393.23291072928237</v>
      </c>
    </row>
    <row r="310" spans="1:9" x14ac:dyDescent="0.25">
      <c r="A310" s="9">
        <v>44018</v>
      </c>
      <c r="B310" s="3">
        <v>235.67344818368326</v>
      </c>
      <c r="C310" s="3">
        <v>706.27691896358624</v>
      </c>
      <c r="D310" s="3">
        <v>745.76936530437729</v>
      </c>
      <c r="E310" s="3">
        <v>644.57508889767587</v>
      </c>
      <c r="F310" s="3">
        <v>426.15620411446434</v>
      </c>
      <c r="G310" s="3">
        <v>439.21765148789171</v>
      </c>
      <c r="H310" s="3">
        <v>353.88302046369722</v>
      </c>
      <c r="I310" s="3">
        <v>389.71154114170633</v>
      </c>
    </row>
    <row r="311" spans="1:9" x14ac:dyDescent="0.25">
      <c r="A311" s="9">
        <v>44019</v>
      </c>
      <c r="B311" s="3">
        <v>271.11493757755045</v>
      </c>
      <c r="C311" s="3">
        <v>620.98002492249793</v>
      </c>
      <c r="D311" s="3">
        <v>699.42877018698243</v>
      </c>
      <c r="E311" s="3">
        <v>626.07274490388386</v>
      </c>
      <c r="F311" s="3">
        <v>387.78183093215785</v>
      </c>
      <c r="G311" s="3">
        <v>406.25600597580342</v>
      </c>
      <c r="H311" s="3">
        <v>308.32942672587126</v>
      </c>
      <c r="I311" s="3">
        <v>350.99401291896322</v>
      </c>
    </row>
    <row r="312" spans="1:9" x14ac:dyDescent="0.25">
      <c r="A312" s="9">
        <v>44020</v>
      </c>
      <c r="B312" s="3">
        <v>143.33983477803397</v>
      </c>
      <c r="C312" s="3">
        <v>383.08728716703547</v>
      </c>
      <c r="D312" s="3">
        <v>412.74813881830443</v>
      </c>
      <c r="E312" s="3">
        <v>361.61096717347004</v>
      </c>
      <c r="F312" s="3">
        <v>234.9485451642656</v>
      </c>
      <c r="G312" s="3">
        <v>242.99510784775754</v>
      </c>
      <c r="H312" s="3">
        <v>197.05884457505277</v>
      </c>
      <c r="I312" s="3">
        <v>224.51516614443258</v>
      </c>
    </row>
    <row r="313" spans="1:9" x14ac:dyDescent="0.25">
      <c r="A313" s="9">
        <v>44021</v>
      </c>
      <c r="B313" s="3">
        <v>128.56355880791449</v>
      </c>
      <c r="C313" s="3">
        <v>297.47002567044075</v>
      </c>
      <c r="D313" s="3">
        <v>369.70981052313061</v>
      </c>
      <c r="E313" s="3">
        <v>263.31115930362967</v>
      </c>
      <c r="F313" s="3">
        <v>189.68011986617879</v>
      </c>
      <c r="G313" s="3">
        <v>146.75532343340339</v>
      </c>
      <c r="H313" s="3">
        <v>146.95947031509411</v>
      </c>
      <c r="I313" s="3">
        <v>150.6484222175032</v>
      </c>
    </row>
    <row r="314" spans="1:9" x14ac:dyDescent="0.25">
      <c r="A314" s="9">
        <v>44022</v>
      </c>
      <c r="B314" s="3">
        <v>113.8529353888389</v>
      </c>
      <c r="C314" s="3">
        <v>163.56111499158516</v>
      </c>
      <c r="D314" s="3">
        <v>188.91457609217511</v>
      </c>
      <c r="E314" s="3">
        <v>162.86318691395476</v>
      </c>
      <c r="F314" s="3">
        <v>181.11824922685238</v>
      </c>
      <c r="G314" s="3">
        <v>114.35746152793443</v>
      </c>
      <c r="H314" s="3">
        <v>139.00066001551284</v>
      </c>
      <c r="I314" s="3">
        <v>177.10061400623792</v>
      </c>
    </row>
    <row r="315" spans="1:9" x14ac:dyDescent="0.25">
      <c r="A315" s="9">
        <v>44023</v>
      </c>
      <c r="B315" s="3">
        <v>220.05914226638444</v>
      </c>
      <c r="C315" s="3">
        <v>438.54852968930589</v>
      </c>
      <c r="D315" s="3">
        <v>482.17688252706392</v>
      </c>
      <c r="E315" s="3">
        <v>406.55380687774931</v>
      </c>
      <c r="F315" s="3">
        <v>373.78482946613076</v>
      </c>
      <c r="G315" s="3">
        <v>259.36467093541631</v>
      </c>
      <c r="H315" s="3">
        <v>231.51862455223431</v>
      </c>
      <c r="I315" s="3">
        <v>305.00424622518165</v>
      </c>
    </row>
    <row r="316" spans="1:9" x14ac:dyDescent="0.25">
      <c r="A316" s="9">
        <v>44024</v>
      </c>
      <c r="B316" s="3">
        <v>0</v>
      </c>
      <c r="C316" s="3">
        <v>16.131055068140274</v>
      </c>
      <c r="D316" s="3">
        <v>0.70723436448018795</v>
      </c>
      <c r="E316" s="3">
        <v>0</v>
      </c>
      <c r="F316" s="3">
        <v>27.154135649735768</v>
      </c>
      <c r="G316" s="3">
        <v>1.9845536699587787</v>
      </c>
      <c r="H316" s="3">
        <v>12.207699019107118</v>
      </c>
      <c r="I316" s="3">
        <v>37.159990747673675</v>
      </c>
    </row>
    <row r="317" spans="1:9" x14ac:dyDescent="0.25">
      <c r="A317" s="9">
        <v>44025</v>
      </c>
      <c r="B317" s="3">
        <v>115.00195802092709</v>
      </c>
      <c r="C317" s="3">
        <v>109.06690042281272</v>
      </c>
      <c r="D317" s="3">
        <v>124.69518235736024</v>
      </c>
      <c r="E317" s="3">
        <v>115.87007646581753</v>
      </c>
      <c r="F317" s="3">
        <v>110.7392058761356</v>
      </c>
      <c r="G317" s="3">
        <v>82.661093190808316</v>
      </c>
      <c r="H317" s="3">
        <v>112.47508151170058</v>
      </c>
      <c r="I317" s="3">
        <v>173.15766649447323</v>
      </c>
    </row>
    <row r="318" spans="1:9" x14ac:dyDescent="0.25">
      <c r="A318" s="9">
        <v>44026</v>
      </c>
      <c r="B318" s="3">
        <v>293.69414413387688</v>
      </c>
      <c r="C318" s="3">
        <v>833.12803563864429</v>
      </c>
      <c r="D318" s="3">
        <v>804.11076354215515</v>
      </c>
      <c r="E318" s="3">
        <v>663.4588645754377</v>
      </c>
      <c r="F318" s="3">
        <v>427.84154364324701</v>
      </c>
      <c r="G318" s="3">
        <v>435.4372883289351</v>
      </c>
      <c r="H318" s="3">
        <v>334.9969668639356</v>
      </c>
      <c r="I318" s="3">
        <v>447.7036885817717</v>
      </c>
    </row>
    <row r="319" spans="1:9" x14ac:dyDescent="0.25">
      <c r="A319" s="9">
        <v>44027</v>
      </c>
      <c r="B319" s="3">
        <v>245.90486526360272</v>
      </c>
      <c r="C319" s="3">
        <v>672.85062985278523</v>
      </c>
      <c r="D319" s="3">
        <v>704.95115951700564</v>
      </c>
      <c r="E319" s="3">
        <v>596.12699008055722</v>
      </c>
      <c r="F319" s="3">
        <v>430.67413896374978</v>
      </c>
      <c r="G319" s="3">
        <v>427.49470414575131</v>
      </c>
      <c r="H319" s="3">
        <v>330.79823051139186</v>
      </c>
      <c r="I319" s="3">
        <v>414.26812884118181</v>
      </c>
    </row>
    <row r="320" spans="1:9" x14ac:dyDescent="0.25">
      <c r="A320" s="9">
        <v>44028</v>
      </c>
      <c r="B320" s="3">
        <v>279.23221219259528</v>
      </c>
      <c r="C320" s="3">
        <v>672.72389824709592</v>
      </c>
      <c r="D320" s="3">
        <v>652.67090805847238</v>
      </c>
      <c r="E320" s="3">
        <v>587.63935223469116</v>
      </c>
      <c r="F320" s="3">
        <v>400.22490606968353</v>
      </c>
      <c r="G320" s="3">
        <v>371.50338638737543</v>
      </c>
      <c r="H320" s="3">
        <v>280.2967691446637</v>
      </c>
      <c r="I320" s="3">
        <v>376.37743345602524</v>
      </c>
    </row>
    <row r="321" spans="1:9" x14ac:dyDescent="0.25">
      <c r="A321" s="9">
        <v>44029</v>
      </c>
      <c r="B321" s="3">
        <v>202.49740952663831</v>
      </c>
      <c r="C321" s="3">
        <v>540.70374696896272</v>
      </c>
      <c r="D321" s="3">
        <v>545.98886173230323</v>
      </c>
      <c r="E321" s="3">
        <v>475.49067224400977</v>
      </c>
      <c r="F321" s="3">
        <v>252.03347514359726</v>
      </c>
      <c r="G321" s="3">
        <v>272.88590424623169</v>
      </c>
      <c r="H321" s="3">
        <v>231.03799879385843</v>
      </c>
      <c r="I321" s="3">
        <v>274.76501583561054</v>
      </c>
    </row>
    <row r="322" spans="1:9" x14ac:dyDescent="0.25">
      <c r="A322" s="9">
        <v>44030</v>
      </c>
      <c r="B322" s="3">
        <v>188.67701592387263</v>
      </c>
      <c r="C322" s="3">
        <v>662.54701305449578</v>
      </c>
      <c r="D322" s="3">
        <v>554.30380821701397</v>
      </c>
      <c r="E322" s="3">
        <v>501.64231882553992</v>
      </c>
      <c r="F322" s="3">
        <v>256.74189757543644</v>
      </c>
      <c r="G322" s="3">
        <v>271.64677536858085</v>
      </c>
      <c r="H322" s="3">
        <v>305.26756702805915</v>
      </c>
      <c r="I322" s="3">
        <v>276.96719020345671</v>
      </c>
    </row>
    <row r="323" spans="1:9" x14ac:dyDescent="0.25">
      <c r="A323" s="9">
        <v>44031</v>
      </c>
      <c r="B323" s="3">
        <v>189.57832622477733</v>
      </c>
      <c r="C323" s="3">
        <v>392.44841801069117</v>
      </c>
      <c r="D323" s="3">
        <v>360.50084478401646</v>
      </c>
      <c r="E323" s="3">
        <v>294.97701105127618</v>
      </c>
      <c r="F323" s="3">
        <v>215.74183819842852</v>
      </c>
      <c r="G323" s="3">
        <v>253.07033532699538</v>
      </c>
      <c r="H323" s="3">
        <v>195.51962313925605</v>
      </c>
      <c r="I323" s="3">
        <v>187.28069519356356</v>
      </c>
    </row>
    <row r="324" spans="1:9" x14ac:dyDescent="0.25">
      <c r="A324" s="9">
        <v>44032</v>
      </c>
      <c r="B324" s="3">
        <v>40.694896767191366</v>
      </c>
      <c r="C324" s="3">
        <v>106.94405338916486</v>
      </c>
      <c r="D324" s="3">
        <v>60.648795493582</v>
      </c>
      <c r="E324" s="3">
        <v>58.417203595874859</v>
      </c>
      <c r="F324" s="3">
        <v>29.903361679292356</v>
      </c>
      <c r="G324" s="3">
        <v>53.647993468475484</v>
      </c>
      <c r="H324" s="3">
        <v>31.471289825841271</v>
      </c>
      <c r="I324" s="3">
        <v>41.754285288733421</v>
      </c>
    </row>
    <row r="325" spans="1:9" x14ac:dyDescent="0.25">
      <c r="A325" s="9">
        <v>44033</v>
      </c>
      <c r="B325" s="3">
        <v>272.41901712564919</v>
      </c>
      <c r="C325" s="3">
        <v>429.51732752229594</v>
      </c>
      <c r="D325" s="3">
        <v>454.29229475281761</v>
      </c>
      <c r="E325" s="3">
        <v>437.16913603575642</v>
      </c>
      <c r="F325" s="3">
        <v>213.08490399687963</v>
      </c>
      <c r="G325" s="3">
        <v>299.22300182453574</v>
      </c>
      <c r="H325" s="3">
        <v>236.69116778092985</v>
      </c>
      <c r="I325" s="3">
        <v>252.45289530568675</v>
      </c>
    </row>
    <row r="326" spans="1:9" x14ac:dyDescent="0.25">
      <c r="A326" s="9">
        <v>44034</v>
      </c>
      <c r="B326" s="3">
        <v>339.14320529797254</v>
      </c>
      <c r="C326" s="3">
        <v>613.07391136266756</v>
      </c>
      <c r="D326" s="3">
        <v>702.27783565280322</v>
      </c>
      <c r="E326" s="3">
        <v>648.59235637296786</v>
      </c>
      <c r="F326" s="3">
        <v>293.00340544039301</v>
      </c>
      <c r="G326" s="3">
        <v>428.9789408469303</v>
      </c>
      <c r="H326" s="3">
        <v>275.9632592221821</v>
      </c>
      <c r="I326" s="3">
        <v>364.09352579054712</v>
      </c>
    </row>
    <row r="327" spans="1:9" x14ac:dyDescent="0.25">
      <c r="A327" s="9">
        <v>44035</v>
      </c>
      <c r="B327" s="3">
        <v>338.92441166041198</v>
      </c>
      <c r="C327" s="3">
        <v>830.85620868908461</v>
      </c>
      <c r="D327" s="3">
        <v>888.58749752899848</v>
      </c>
      <c r="E327" s="3">
        <v>860.37349922978001</v>
      </c>
      <c r="F327" s="3">
        <v>417.62997154237399</v>
      </c>
      <c r="G327" s="3">
        <v>570.73992876035663</v>
      </c>
      <c r="H327" s="3">
        <v>318.77275101318389</v>
      </c>
      <c r="I327" s="3">
        <v>477.05836783841067</v>
      </c>
    </row>
    <row r="328" spans="1:9" x14ac:dyDescent="0.25">
      <c r="A328" s="9">
        <v>44036</v>
      </c>
      <c r="B328" s="3">
        <v>288.20542772482389</v>
      </c>
      <c r="C328" s="3">
        <v>852.73038992007264</v>
      </c>
      <c r="D328" s="3">
        <v>856.61768955996365</v>
      </c>
      <c r="E328" s="3">
        <v>855.43479196044711</v>
      </c>
      <c r="F328" s="3">
        <v>408.89226343539036</v>
      </c>
      <c r="G328" s="3">
        <v>485.65135785721787</v>
      </c>
      <c r="H328" s="3">
        <v>320.88457679325944</v>
      </c>
      <c r="I328" s="3">
        <v>426.49261939186721</v>
      </c>
    </row>
    <row r="329" spans="1:9" x14ac:dyDescent="0.25">
      <c r="A329" s="9">
        <v>44037</v>
      </c>
      <c r="B329" s="3">
        <v>310.63577510239799</v>
      </c>
      <c r="C329" s="3">
        <v>672.17097983947735</v>
      </c>
      <c r="D329" s="3">
        <v>743.97952249720322</v>
      </c>
      <c r="E329" s="3">
        <v>780.458759145464</v>
      </c>
      <c r="F329" s="3">
        <v>293.91697450477386</v>
      </c>
      <c r="G329" s="3">
        <v>356.15809503094647</v>
      </c>
      <c r="H329" s="3">
        <v>302.99943618469274</v>
      </c>
      <c r="I329" s="3">
        <v>366.76405934830245</v>
      </c>
    </row>
    <row r="330" spans="1:9" x14ac:dyDescent="0.25">
      <c r="A330" s="9">
        <v>44038</v>
      </c>
      <c r="B330" s="3">
        <v>63.040607171414784</v>
      </c>
      <c r="C330" s="3">
        <v>71.531174211425324</v>
      </c>
      <c r="D330" s="3">
        <v>116.55407339931818</v>
      </c>
      <c r="E330" s="3">
        <v>91.399263871561558</v>
      </c>
      <c r="F330" s="3">
        <v>40.940346148075164</v>
      </c>
      <c r="G330" s="3">
        <v>55.085868970790052</v>
      </c>
      <c r="H330" s="3">
        <v>64.145048882833677</v>
      </c>
      <c r="I330" s="3">
        <v>139.32084206951319</v>
      </c>
    </row>
    <row r="331" spans="1:9" x14ac:dyDescent="0.25">
      <c r="A331" s="9">
        <v>44039</v>
      </c>
      <c r="B331" s="3">
        <v>285.27479989039028</v>
      </c>
      <c r="C331" s="3">
        <v>976.76753005456305</v>
      </c>
      <c r="D331" s="3">
        <v>779.75839480063769</v>
      </c>
      <c r="E331" s="3">
        <v>832.68244664338056</v>
      </c>
      <c r="F331" s="3">
        <v>523.07829429143032</v>
      </c>
      <c r="G331" s="3">
        <v>592.75022607206438</v>
      </c>
      <c r="H331" s="3">
        <v>352.81035419614574</v>
      </c>
      <c r="I331" s="3">
        <v>432.82765577199973</v>
      </c>
    </row>
    <row r="332" spans="1:9" x14ac:dyDescent="0.25">
      <c r="A332" s="9">
        <v>44040</v>
      </c>
      <c r="B332" s="3">
        <v>269.08334045302627</v>
      </c>
      <c r="C332" s="3">
        <v>1071.3173227360405</v>
      </c>
      <c r="D332" s="3">
        <v>836.15506082313743</v>
      </c>
      <c r="E332" s="3">
        <v>859.08829177304096</v>
      </c>
      <c r="F332" s="3">
        <v>404.85203558394488</v>
      </c>
      <c r="G332" s="3">
        <v>600.95322848669468</v>
      </c>
      <c r="H332" s="3">
        <v>372.74676694484378</v>
      </c>
      <c r="I332" s="3">
        <v>384.6535803433589</v>
      </c>
    </row>
    <row r="333" spans="1:9" x14ac:dyDescent="0.25">
      <c r="A333" s="9">
        <v>44041</v>
      </c>
      <c r="B333" s="3">
        <v>297.08157276592851</v>
      </c>
      <c r="C333" s="3">
        <v>815.54831718867422</v>
      </c>
      <c r="D333" s="3">
        <v>816.12395340107423</v>
      </c>
      <c r="E333" s="3">
        <v>885.95775109530348</v>
      </c>
      <c r="F333" s="3">
        <v>421.59848984340607</v>
      </c>
      <c r="G333" s="3">
        <v>530.24786180437866</v>
      </c>
      <c r="H333" s="3">
        <v>388.00052261243087</v>
      </c>
      <c r="I333" s="3">
        <v>344.38991758173449</v>
      </c>
    </row>
    <row r="334" spans="1:9" x14ac:dyDescent="0.25">
      <c r="A334" s="9">
        <v>44042</v>
      </c>
      <c r="B334" s="3">
        <v>297.06750203014695</v>
      </c>
      <c r="C334" s="3">
        <v>470.51341615091735</v>
      </c>
      <c r="D334" s="3">
        <v>785.61257919988236</v>
      </c>
      <c r="E334" s="3">
        <v>904.56898175839649</v>
      </c>
      <c r="F334" s="3">
        <v>422.65420820298408</v>
      </c>
      <c r="G334" s="3">
        <v>500.41593502753193</v>
      </c>
      <c r="H334" s="3">
        <v>391.98893022435777</v>
      </c>
      <c r="I334" s="3">
        <v>266.52455640036612</v>
      </c>
    </row>
    <row r="335" spans="1:9" x14ac:dyDescent="0.25">
      <c r="A335" s="9">
        <v>44043</v>
      </c>
      <c r="B335" s="3">
        <v>334.53088355174577</v>
      </c>
      <c r="C335" s="3">
        <v>272.69610241770664</v>
      </c>
      <c r="D335" s="3">
        <v>706.20491742749005</v>
      </c>
      <c r="E335" s="3">
        <v>870.4175426401556</v>
      </c>
      <c r="F335" s="3">
        <v>435.97569370127894</v>
      </c>
      <c r="G335" s="3">
        <v>440.27000597063807</v>
      </c>
      <c r="H335" s="3">
        <v>376.50882315255154</v>
      </c>
      <c r="I335" s="3">
        <v>243.24186202052363</v>
      </c>
    </row>
    <row r="336" spans="1:9" x14ac:dyDescent="0.25">
      <c r="A336" s="9">
        <v>44044</v>
      </c>
      <c r="B336" s="3">
        <v>278.20887377595358</v>
      </c>
      <c r="C336" s="3">
        <v>188.31885906000539</v>
      </c>
      <c r="D336" s="3">
        <v>558.89835501970686</v>
      </c>
      <c r="E336" s="3">
        <v>739.00301489120568</v>
      </c>
      <c r="F336" s="3">
        <v>380.61889229151166</v>
      </c>
      <c r="G336" s="3">
        <v>340.05819551223328</v>
      </c>
      <c r="H336" s="3">
        <v>306.8079682882402</v>
      </c>
      <c r="I336" s="3">
        <v>201.05138795898864</v>
      </c>
    </row>
    <row r="337" spans="1:9" x14ac:dyDescent="0.25">
      <c r="A337" s="9">
        <v>44045</v>
      </c>
      <c r="B337" s="3">
        <v>167.02425933421057</v>
      </c>
      <c r="C337" s="3">
        <v>132.40677283247499</v>
      </c>
      <c r="D337" s="3">
        <v>338.90397380406517</v>
      </c>
      <c r="E337" s="3">
        <v>357.84531543480716</v>
      </c>
      <c r="F337" s="3">
        <v>198.10146010604086</v>
      </c>
      <c r="G337" s="3">
        <v>185.32579237571107</v>
      </c>
      <c r="H337" s="3">
        <v>211.78420395748344</v>
      </c>
      <c r="I337" s="3">
        <v>181.4089754676794</v>
      </c>
    </row>
    <row r="338" spans="1:9" x14ac:dyDescent="0.25">
      <c r="A338" s="9">
        <v>44046</v>
      </c>
      <c r="B338" s="3">
        <v>42.46266647909453</v>
      </c>
      <c r="C338" s="3">
        <v>41.623920678386192</v>
      </c>
      <c r="D338" s="3">
        <v>99.136390392041449</v>
      </c>
      <c r="E338" s="3">
        <v>83.868574833338585</v>
      </c>
      <c r="F338" s="3">
        <v>70.628541196155183</v>
      </c>
      <c r="G338" s="3">
        <v>57.236407644428922</v>
      </c>
      <c r="H338" s="3">
        <v>96.176693853725268</v>
      </c>
      <c r="I338" s="3">
        <v>93.20995314746088</v>
      </c>
    </row>
    <row r="339" spans="1:9" x14ac:dyDescent="0.25">
      <c r="A339" s="9">
        <v>44047</v>
      </c>
      <c r="B339" s="3">
        <v>189.3167122708434</v>
      </c>
      <c r="C339" s="3">
        <v>510.37037438072599</v>
      </c>
      <c r="D339" s="3">
        <v>406.58979231171094</v>
      </c>
      <c r="E339" s="3">
        <v>287.77710438423537</v>
      </c>
      <c r="F339" s="3">
        <v>355.71545800447262</v>
      </c>
      <c r="G339" s="3">
        <v>217.42269153525766</v>
      </c>
      <c r="H339" s="3">
        <v>295.6019889298783</v>
      </c>
      <c r="I339" s="3">
        <v>271.6489643962704</v>
      </c>
    </row>
    <row r="340" spans="1:9" x14ac:dyDescent="0.25">
      <c r="A340" s="9">
        <v>44048</v>
      </c>
      <c r="B340" s="3">
        <v>254.51644671398503</v>
      </c>
      <c r="C340" s="3">
        <v>810.00080534324877</v>
      </c>
      <c r="D340" s="3">
        <v>680.72698960521211</v>
      </c>
      <c r="E340" s="3">
        <v>534.70566259749626</v>
      </c>
      <c r="F340" s="3">
        <v>481.19771937798254</v>
      </c>
      <c r="G340" s="3">
        <v>465.14744886978315</v>
      </c>
      <c r="H340" s="3">
        <v>394.72432519864003</v>
      </c>
      <c r="I340" s="3">
        <v>356.49521224820603</v>
      </c>
    </row>
    <row r="341" spans="1:9" x14ac:dyDescent="0.25">
      <c r="A341" s="9">
        <v>44049</v>
      </c>
      <c r="B341" s="3">
        <v>153.16430376801242</v>
      </c>
      <c r="C341" s="3">
        <v>37.886043163850616</v>
      </c>
      <c r="D341" s="3">
        <v>456.30031913865525</v>
      </c>
      <c r="E341" s="3">
        <v>345.89686856407775</v>
      </c>
      <c r="F341" s="3">
        <v>298.54137515393285</v>
      </c>
      <c r="G341" s="3">
        <v>251.95360495936288</v>
      </c>
      <c r="H341" s="3">
        <v>271.38024711742202</v>
      </c>
      <c r="I341" s="3">
        <v>270.85973978297676</v>
      </c>
    </row>
    <row r="342" spans="1:9" x14ac:dyDescent="0.25">
      <c r="A342" s="9">
        <v>44050</v>
      </c>
      <c r="B342" s="3">
        <v>147.37573515653986</v>
      </c>
      <c r="C342" s="3">
        <v>65.580529158968687</v>
      </c>
      <c r="D342" s="3">
        <v>528.25066369359467</v>
      </c>
      <c r="E342" s="3">
        <v>385.90672450440064</v>
      </c>
      <c r="F342" s="3">
        <v>269.05459146014562</v>
      </c>
      <c r="G342" s="3">
        <v>196.40735746575086</v>
      </c>
      <c r="H342" s="3">
        <v>278.5116418531104</v>
      </c>
      <c r="I342" s="3">
        <v>203.96269445001525</v>
      </c>
    </row>
    <row r="343" spans="1:9" x14ac:dyDescent="0.25">
      <c r="A343" s="9">
        <v>44051</v>
      </c>
      <c r="B343" s="3">
        <v>170.10132768513319</v>
      </c>
      <c r="C343" s="3">
        <v>191.73901642181943</v>
      </c>
      <c r="D343" s="3">
        <v>573.15710172144054</v>
      </c>
      <c r="E343" s="3">
        <v>500.91817854114009</v>
      </c>
      <c r="F343" s="3">
        <v>235.82744449280904</v>
      </c>
      <c r="G343" s="3">
        <v>184.30079297554337</v>
      </c>
      <c r="H343" s="3">
        <v>282.68341176423939</v>
      </c>
      <c r="I343" s="3">
        <v>116.86693096849154</v>
      </c>
    </row>
    <row r="344" spans="1:9" x14ac:dyDescent="0.25">
      <c r="A344" s="9">
        <v>44052</v>
      </c>
      <c r="B344" s="3">
        <v>133.42787606090715</v>
      </c>
      <c r="C344" s="3">
        <v>88.766336960460819</v>
      </c>
      <c r="D344" s="3">
        <v>325.96463321758188</v>
      </c>
      <c r="E344" s="3">
        <v>140.26797898578425</v>
      </c>
      <c r="F344" s="3">
        <v>76.186499533154958</v>
      </c>
      <c r="G344" s="3">
        <v>124.98770227439026</v>
      </c>
      <c r="H344" s="3">
        <v>162.81255332580238</v>
      </c>
      <c r="I344" s="3">
        <v>197.08525520649638</v>
      </c>
    </row>
    <row r="345" spans="1:9" x14ac:dyDescent="0.25">
      <c r="A345" s="9">
        <v>44053</v>
      </c>
      <c r="B345" s="3">
        <v>198.94321877226599</v>
      </c>
      <c r="C345" s="3">
        <v>258.43976551161313</v>
      </c>
      <c r="D345" s="3">
        <v>613.31618902564048</v>
      </c>
      <c r="E345" s="3">
        <v>506.31181843473263</v>
      </c>
      <c r="F345" s="3">
        <v>320.06657797655504</v>
      </c>
      <c r="G345" s="3">
        <v>433.52597543170884</v>
      </c>
      <c r="H345" s="3">
        <v>359.64541959516811</v>
      </c>
      <c r="I345" s="3">
        <v>437.90384436009867</v>
      </c>
    </row>
    <row r="346" spans="1:9" x14ac:dyDescent="0.25">
      <c r="A346" s="9">
        <v>44054</v>
      </c>
      <c r="B346" s="3">
        <v>193.55322802880855</v>
      </c>
      <c r="C346" s="3">
        <v>201.74925880974243</v>
      </c>
      <c r="D346" s="3">
        <v>521.85057308467651</v>
      </c>
      <c r="E346" s="3">
        <v>407.71393698773693</v>
      </c>
      <c r="F346" s="3">
        <v>253.60867575057233</v>
      </c>
      <c r="G346" s="3">
        <v>386.01381429902278</v>
      </c>
      <c r="H346" s="3">
        <v>304.12747838966641</v>
      </c>
      <c r="I346" s="3">
        <v>412.64287384499318</v>
      </c>
    </row>
    <row r="347" spans="1:9" x14ac:dyDescent="0.25">
      <c r="A347" s="9">
        <v>44055</v>
      </c>
      <c r="B347" s="3">
        <v>110.68627940634481</v>
      </c>
      <c r="C347" s="3">
        <v>58.159199814302298</v>
      </c>
      <c r="D347" s="3">
        <v>296.08062403636302</v>
      </c>
      <c r="E347" s="3">
        <v>219.3600488471088</v>
      </c>
      <c r="F347" s="3">
        <v>148.27802539405201</v>
      </c>
      <c r="G347" s="3">
        <v>230.27552852302608</v>
      </c>
      <c r="H347" s="3">
        <v>229.79619879981652</v>
      </c>
      <c r="I347" s="3">
        <v>346.3757760716307</v>
      </c>
    </row>
    <row r="348" spans="1:9" x14ac:dyDescent="0.25">
      <c r="A348" s="9">
        <v>44056</v>
      </c>
      <c r="B348" s="3">
        <v>132.23433156110463</v>
      </c>
      <c r="C348" s="3">
        <v>62.874780086695665</v>
      </c>
      <c r="D348" s="3">
        <v>356.11944963799311</v>
      </c>
      <c r="E348" s="3">
        <v>270.43067224502187</v>
      </c>
      <c r="F348" s="3">
        <v>159.02410936389987</v>
      </c>
      <c r="G348" s="3">
        <v>284.22488266432231</v>
      </c>
      <c r="H348" s="3">
        <v>267.12139682855383</v>
      </c>
      <c r="I348" s="3">
        <v>399.36205778212667</v>
      </c>
    </row>
    <row r="349" spans="1:9" x14ac:dyDescent="0.25">
      <c r="A349" s="9">
        <v>44057</v>
      </c>
      <c r="B349" s="3">
        <v>212.83091175137014</v>
      </c>
      <c r="C349" s="3">
        <v>184.94240183542047</v>
      </c>
      <c r="D349" s="3">
        <v>622.84470797059566</v>
      </c>
      <c r="E349" s="3">
        <v>526.22426674449446</v>
      </c>
      <c r="F349" s="3">
        <v>352.85298673735707</v>
      </c>
      <c r="G349" s="3">
        <v>469.42805964306609</v>
      </c>
      <c r="H349" s="3">
        <v>386.18680442326308</v>
      </c>
      <c r="I349" s="3">
        <v>484.0430754041397</v>
      </c>
    </row>
    <row r="350" spans="1:9" x14ac:dyDescent="0.25">
      <c r="A350" s="9">
        <v>44058</v>
      </c>
      <c r="B350" s="3">
        <v>174.66368022747432</v>
      </c>
      <c r="C350" s="3">
        <v>109.29776388890275</v>
      </c>
      <c r="D350" s="3">
        <v>498.63011507891406</v>
      </c>
      <c r="E350" s="3">
        <v>372.93836710401206</v>
      </c>
      <c r="F350" s="3">
        <v>329.47750497027107</v>
      </c>
      <c r="G350" s="3">
        <v>350.18821008231873</v>
      </c>
      <c r="H350" s="3">
        <v>301.97018572699704</v>
      </c>
      <c r="I350" s="3">
        <v>415.6897544661594</v>
      </c>
    </row>
    <row r="351" spans="1:9" x14ac:dyDescent="0.25">
      <c r="A351" s="9">
        <v>44059</v>
      </c>
      <c r="B351" s="3">
        <v>154.07149843213085</v>
      </c>
      <c r="C351" s="3">
        <v>78.887264528760227</v>
      </c>
      <c r="D351" s="3">
        <v>457.83347480920247</v>
      </c>
      <c r="E351" s="3">
        <v>339.05175559704389</v>
      </c>
      <c r="F351" s="3">
        <v>247.90642715647871</v>
      </c>
      <c r="G351" s="3">
        <v>292.80739516575858</v>
      </c>
      <c r="H351" s="3">
        <v>261.78417909986103</v>
      </c>
      <c r="I351" s="3">
        <v>348.63981811879705</v>
      </c>
    </row>
    <row r="352" spans="1:9" x14ac:dyDescent="0.25">
      <c r="A352" s="9">
        <v>44060</v>
      </c>
      <c r="B352" s="3">
        <v>48.97195490516301</v>
      </c>
      <c r="C352" s="3">
        <v>10.097858261206669</v>
      </c>
      <c r="D352" s="3">
        <v>169.87637321403329</v>
      </c>
      <c r="E352" s="3">
        <v>132.718603437762</v>
      </c>
      <c r="F352" s="3">
        <v>130.52083921064298</v>
      </c>
      <c r="G352" s="3">
        <v>115.21676622819191</v>
      </c>
      <c r="H352" s="3">
        <v>136.34838924297648</v>
      </c>
      <c r="I352" s="3">
        <v>181.92280836239024</v>
      </c>
    </row>
    <row r="353" spans="1:9" x14ac:dyDescent="0.25">
      <c r="A353" s="9">
        <v>44061</v>
      </c>
      <c r="B353" s="3">
        <v>78.229273072818089</v>
      </c>
      <c r="C353" s="3">
        <v>124.77309385060933</v>
      </c>
      <c r="D353" s="3">
        <v>265.16559750237576</v>
      </c>
      <c r="E353" s="3">
        <v>243.51369592132218</v>
      </c>
      <c r="F353" s="3">
        <v>244.84418027897181</v>
      </c>
      <c r="G353" s="3">
        <v>178.0390783766322</v>
      </c>
      <c r="H353" s="3">
        <v>248.73817977213699</v>
      </c>
      <c r="I353" s="3">
        <v>231.4425881386814</v>
      </c>
    </row>
    <row r="354" spans="1:9" x14ac:dyDescent="0.25">
      <c r="A354" s="9">
        <v>44062</v>
      </c>
      <c r="B354" s="3">
        <v>155.71884660230705</v>
      </c>
      <c r="C354" s="3">
        <v>326.12039402978075</v>
      </c>
      <c r="D354" s="3">
        <v>521.04321618565905</v>
      </c>
      <c r="E354" s="3">
        <v>470.92989714029767</v>
      </c>
      <c r="F354" s="3">
        <v>414.76017756554637</v>
      </c>
      <c r="G354" s="3">
        <v>331.98573422180669</v>
      </c>
      <c r="H354" s="3">
        <v>373.66001617211089</v>
      </c>
      <c r="I354" s="3">
        <v>338.2720674573564</v>
      </c>
    </row>
    <row r="355" spans="1:9" x14ac:dyDescent="0.25">
      <c r="A355" s="9">
        <v>44063</v>
      </c>
      <c r="B355" s="3">
        <v>169.84348701053449</v>
      </c>
      <c r="C355" s="3">
        <v>356.76722786040085</v>
      </c>
      <c r="D355" s="3">
        <v>654.41526053046607</v>
      </c>
      <c r="E355" s="3">
        <v>498.4788417407724</v>
      </c>
      <c r="F355" s="3">
        <v>493.0104608251479</v>
      </c>
      <c r="G355" s="3">
        <v>487.29194525938647</v>
      </c>
      <c r="H355" s="3">
        <v>387.98313587188204</v>
      </c>
      <c r="I355" s="3">
        <v>505.88465264490446</v>
      </c>
    </row>
    <row r="356" spans="1:9" x14ac:dyDescent="0.25">
      <c r="A356" s="9">
        <v>44064</v>
      </c>
      <c r="B356" s="3">
        <v>127.29655948092554</v>
      </c>
      <c r="C356" s="3">
        <v>282.16844928972773</v>
      </c>
      <c r="D356" s="3">
        <v>497.70062228930914</v>
      </c>
      <c r="E356" s="3">
        <v>416.55643431424886</v>
      </c>
      <c r="F356" s="3">
        <v>374.9838701464696</v>
      </c>
      <c r="G356" s="3">
        <v>445.60611622534259</v>
      </c>
      <c r="H356" s="3">
        <v>335.32693346953903</v>
      </c>
      <c r="I356" s="3">
        <v>351.48339654025284</v>
      </c>
    </row>
    <row r="357" spans="1:9" x14ac:dyDescent="0.25">
      <c r="A357" s="9">
        <v>44065</v>
      </c>
      <c r="B357" s="3">
        <v>170.5120024118857</v>
      </c>
      <c r="C357" s="3">
        <v>333.70035195177161</v>
      </c>
      <c r="D357" s="3">
        <v>569.43367309603855</v>
      </c>
      <c r="E357" s="3">
        <v>586.6000160983474</v>
      </c>
      <c r="F357" s="3">
        <v>408.74041516531292</v>
      </c>
      <c r="G357" s="3">
        <v>674.90945506157868</v>
      </c>
      <c r="H357" s="3">
        <v>402.67482164517645</v>
      </c>
      <c r="I357" s="3">
        <v>402.51849348958336</v>
      </c>
    </row>
    <row r="358" spans="1:9" x14ac:dyDescent="0.25">
      <c r="A358" s="9">
        <v>44066</v>
      </c>
      <c r="B358" s="3">
        <v>177.18080329546734</v>
      </c>
      <c r="C358" s="3">
        <v>292.92896354362813</v>
      </c>
      <c r="D358" s="3">
        <v>589.95212734153279</v>
      </c>
      <c r="E358" s="3">
        <v>649.41999316676527</v>
      </c>
      <c r="F358" s="3">
        <v>429.90311964065421</v>
      </c>
      <c r="G358" s="3">
        <v>818.13809379997247</v>
      </c>
      <c r="H358" s="3">
        <v>422.03528304364937</v>
      </c>
      <c r="I358" s="3">
        <v>509.57129208696836</v>
      </c>
    </row>
    <row r="359" spans="1:9" x14ac:dyDescent="0.25">
      <c r="A359" s="9">
        <v>44067</v>
      </c>
      <c r="B359" s="3">
        <v>93.686057610559587</v>
      </c>
      <c r="C359" s="3">
        <v>191.78749866975727</v>
      </c>
      <c r="D359" s="3">
        <v>341.53149885971732</v>
      </c>
      <c r="E359" s="3">
        <v>403.88476358561729</v>
      </c>
      <c r="F359" s="3">
        <v>195.7763317652286</v>
      </c>
      <c r="G359" s="3">
        <v>583.07691419858577</v>
      </c>
      <c r="H359" s="3">
        <v>243.43302339906919</v>
      </c>
      <c r="I359" s="3">
        <v>387.52846053931768</v>
      </c>
    </row>
    <row r="360" spans="1:9" x14ac:dyDescent="0.25">
      <c r="A360" s="9">
        <v>44068</v>
      </c>
      <c r="B360" s="3">
        <v>172.13939909920279</v>
      </c>
      <c r="C360" s="3">
        <v>403.57890085971712</v>
      </c>
      <c r="D360" s="3">
        <v>655.09419565650205</v>
      </c>
      <c r="E360" s="3">
        <v>726.97185193374821</v>
      </c>
      <c r="F360" s="3">
        <v>374.32185753922482</v>
      </c>
      <c r="G360" s="3">
        <v>913.19362992461549</v>
      </c>
      <c r="H360" s="3">
        <v>449.73803515435873</v>
      </c>
      <c r="I360" s="3">
        <v>622.69704243245508</v>
      </c>
    </row>
    <row r="361" spans="1:9" x14ac:dyDescent="0.25">
      <c r="A361" s="9">
        <v>44069</v>
      </c>
      <c r="B361" s="3">
        <v>152.81710318352248</v>
      </c>
      <c r="C361" s="3">
        <v>412.75821492575028</v>
      </c>
      <c r="D361" s="3">
        <v>623.8179109381208</v>
      </c>
      <c r="E361" s="3">
        <v>759.3410306850858</v>
      </c>
      <c r="F361" s="3">
        <v>390.59319212709067</v>
      </c>
      <c r="G361" s="3">
        <v>686.4645662952596</v>
      </c>
      <c r="H361" s="3">
        <v>451.34756525103217</v>
      </c>
      <c r="I361" s="3">
        <v>430.19564554990097</v>
      </c>
    </row>
    <row r="362" spans="1:9" x14ac:dyDescent="0.25">
      <c r="A362" s="9">
        <v>44070</v>
      </c>
      <c r="B362" s="3">
        <v>162.58085804820857</v>
      </c>
      <c r="C362" s="3">
        <v>408.13742021096556</v>
      </c>
      <c r="D362" s="3">
        <v>611.3424620208059</v>
      </c>
      <c r="E362" s="3">
        <v>766.29221353693094</v>
      </c>
      <c r="F362" s="3">
        <v>385.43295966769307</v>
      </c>
      <c r="G362" s="3">
        <v>537.94311767972283</v>
      </c>
      <c r="H362" s="3">
        <v>431.47778696947</v>
      </c>
      <c r="I362" s="3">
        <v>284.92900595759431</v>
      </c>
    </row>
    <row r="363" spans="1:9" x14ac:dyDescent="0.25">
      <c r="A363" s="9">
        <v>44071</v>
      </c>
      <c r="B363" s="3">
        <v>138.38345029775303</v>
      </c>
      <c r="C363" s="3">
        <v>263.90334911867569</v>
      </c>
      <c r="D363" s="3">
        <v>456.81291316740061</v>
      </c>
      <c r="E363" s="3">
        <v>595.94023448607788</v>
      </c>
      <c r="F363" s="3">
        <v>282.67990943737129</v>
      </c>
      <c r="G363" s="3">
        <v>418.46828304972308</v>
      </c>
      <c r="H363" s="3">
        <v>362.15327871311945</v>
      </c>
      <c r="I363" s="3">
        <v>268.49350582421067</v>
      </c>
    </row>
    <row r="364" spans="1:9" x14ac:dyDescent="0.25">
      <c r="A364" s="9">
        <v>44072</v>
      </c>
      <c r="B364" s="3">
        <v>123.44126440224014</v>
      </c>
      <c r="C364" s="3">
        <v>241.88123173195484</v>
      </c>
      <c r="D364" s="3">
        <v>336.21771621963364</v>
      </c>
      <c r="E364" s="3">
        <v>502.5880574990843</v>
      </c>
      <c r="F364" s="3">
        <v>246.07439556362041</v>
      </c>
      <c r="G364" s="3">
        <v>380.38335636595264</v>
      </c>
      <c r="H364" s="3">
        <v>298.18171464417986</v>
      </c>
      <c r="I364" s="3">
        <v>397.97839189830972</v>
      </c>
    </row>
    <row r="365" spans="1:9" x14ac:dyDescent="0.25">
      <c r="A365" s="9">
        <v>44073</v>
      </c>
      <c r="B365" s="3">
        <v>167.5564730204747</v>
      </c>
      <c r="C365" s="3">
        <v>303.17594089651806</v>
      </c>
      <c r="D365" s="3">
        <v>443.74240170601331</v>
      </c>
      <c r="E365" s="3">
        <v>680.6369011350846</v>
      </c>
      <c r="F365" s="3">
        <v>298.43649201606877</v>
      </c>
      <c r="G365" s="3">
        <v>470.68789029889558</v>
      </c>
      <c r="H365" s="3">
        <v>338.42439922235536</v>
      </c>
      <c r="I365" s="3">
        <v>461.37199388963199</v>
      </c>
    </row>
    <row r="366" spans="1:9" x14ac:dyDescent="0.25">
      <c r="A366" s="9">
        <v>44074</v>
      </c>
      <c r="B366" s="3">
        <v>163.84496617953818</v>
      </c>
      <c r="C366" s="3">
        <v>309.69185226014213</v>
      </c>
      <c r="D366" s="3">
        <v>466.73836505825693</v>
      </c>
      <c r="E366" s="3">
        <v>745.83519708849212</v>
      </c>
      <c r="F366" s="3">
        <v>387.08696420797389</v>
      </c>
      <c r="G366" s="3">
        <v>505.1719509976225</v>
      </c>
      <c r="H366" s="3">
        <v>375.02709107889592</v>
      </c>
      <c r="I366" s="3">
        <v>490.28778280761605</v>
      </c>
    </row>
    <row r="367" spans="1:9" x14ac:dyDescent="0.25">
      <c r="A367" s="9">
        <v>44075</v>
      </c>
      <c r="B367" s="3">
        <v>156.96066116050559</v>
      </c>
      <c r="C367" s="3">
        <v>275.66283433384109</v>
      </c>
      <c r="D367" s="3">
        <v>405.21276794495941</v>
      </c>
      <c r="E367" s="3">
        <v>666.06173953060545</v>
      </c>
      <c r="F367" s="3">
        <v>391.65351122318992</v>
      </c>
      <c r="G367" s="3">
        <v>470.09701746958928</v>
      </c>
      <c r="H367" s="3">
        <v>418.95748784722235</v>
      </c>
      <c r="I367" s="3">
        <v>450.41678540356173</v>
      </c>
    </row>
    <row r="368" spans="1:9" x14ac:dyDescent="0.25">
      <c r="A368" s="9">
        <v>44076</v>
      </c>
      <c r="B368" s="3">
        <v>108.70429187986312</v>
      </c>
      <c r="C368" s="3">
        <v>298.94996036648655</v>
      </c>
      <c r="D368" s="3">
        <v>334.81286586864769</v>
      </c>
      <c r="E368" s="3">
        <v>783.54070726275415</v>
      </c>
      <c r="F368" s="3">
        <v>353.90957499762055</v>
      </c>
      <c r="G368" s="3">
        <v>478.81072010553498</v>
      </c>
      <c r="H368" s="3">
        <v>446.06160325384184</v>
      </c>
      <c r="I368" s="3">
        <v>420.06591634321393</v>
      </c>
    </row>
    <row r="369" spans="1:9" x14ac:dyDescent="0.25">
      <c r="A369" s="9">
        <v>44077</v>
      </c>
      <c r="B369" s="3">
        <v>72.027031487536888</v>
      </c>
      <c r="C369" s="3">
        <v>121.40476588726928</v>
      </c>
      <c r="D369" s="3">
        <v>164.10447185281456</v>
      </c>
      <c r="E369" s="3">
        <v>373.46039728315719</v>
      </c>
      <c r="F369" s="3">
        <v>170.4072437629307</v>
      </c>
      <c r="G369" s="3">
        <v>216.37226673633737</v>
      </c>
      <c r="H369" s="3">
        <v>274.35878875938073</v>
      </c>
      <c r="I369" s="3">
        <v>243.91455378900696</v>
      </c>
    </row>
    <row r="370" spans="1:9" x14ac:dyDescent="0.25">
      <c r="A370" s="9">
        <v>44078</v>
      </c>
      <c r="B370" s="3">
        <v>141.15139163105593</v>
      </c>
      <c r="C370" s="3">
        <v>237.98946955420615</v>
      </c>
      <c r="D370" s="3">
        <v>304.35771082005743</v>
      </c>
      <c r="E370" s="3">
        <v>741.18140460000825</v>
      </c>
      <c r="F370" s="3">
        <v>347.87841244801416</v>
      </c>
      <c r="G370" s="3">
        <v>358.62687689419732</v>
      </c>
      <c r="H370" s="3">
        <v>439.80413688764435</v>
      </c>
      <c r="I370" s="3">
        <v>397.82413054995652</v>
      </c>
    </row>
    <row r="371" spans="1:9" x14ac:dyDescent="0.25">
      <c r="A371" s="9">
        <v>44079</v>
      </c>
      <c r="B371" s="3">
        <v>103.47598098511845</v>
      </c>
      <c r="C371" s="3">
        <v>111.31397412327929</v>
      </c>
      <c r="D371" s="3">
        <v>194.20297578875039</v>
      </c>
      <c r="E371" s="3">
        <v>386.69828324044653</v>
      </c>
      <c r="F371" s="3">
        <v>174.32068824186945</v>
      </c>
      <c r="G371" s="3">
        <v>136.15598668991032</v>
      </c>
      <c r="H371" s="3">
        <v>222.33029121234324</v>
      </c>
      <c r="I371" s="3">
        <v>168.9092988506705</v>
      </c>
    </row>
    <row r="372" spans="1:9" x14ac:dyDescent="0.25">
      <c r="A372" s="9">
        <v>44080</v>
      </c>
      <c r="B372" s="3">
        <v>112.79633917946283</v>
      </c>
      <c r="C372" s="3">
        <v>22.996836952057826</v>
      </c>
      <c r="D372" s="3">
        <v>46.927709894689848</v>
      </c>
      <c r="E372" s="3">
        <v>98.416172977127758</v>
      </c>
      <c r="F372" s="3">
        <v>53.626999841588642</v>
      </c>
      <c r="G372" s="3">
        <v>54.317732174244057</v>
      </c>
      <c r="H372" s="3">
        <v>178.16884116394883</v>
      </c>
      <c r="I372" s="3">
        <v>99.052755655438787</v>
      </c>
    </row>
    <row r="373" spans="1:9" x14ac:dyDescent="0.25">
      <c r="A373" s="9">
        <v>44081</v>
      </c>
      <c r="B373" s="3">
        <v>104.55059715468796</v>
      </c>
      <c r="C373" s="3">
        <v>94.108536102341731</v>
      </c>
      <c r="D373" s="3">
        <v>246.14827995906052</v>
      </c>
      <c r="E373" s="3">
        <v>298.45201619979207</v>
      </c>
      <c r="F373" s="3">
        <v>212.78471358619092</v>
      </c>
      <c r="G373" s="3">
        <v>269.89565623619535</v>
      </c>
      <c r="H373" s="3">
        <v>263.16198143759283</v>
      </c>
      <c r="I373" s="3">
        <v>172.17959012250847</v>
      </c>
    </row>
    <row r="374" spans="1:9" x14ac:dyDescent="0.25">
      <c r="A374" s="9">
        <v>44082</v>
      </c>
      <c r="B374" s="3">
        <v>88.378713180287434</v>
      </c>
      <c r="C374" s="3">
        <v>89.684260217759984</v>
      </c>
      <c r="D374" s="3">
        <v>234.15086405198545</v>
      </c>
      <c r="E374" s="3">
        <v>310.95924443323372</v>
      </c>
      <c r="F374" s="3">
        <v>190.69429820235266</v>
      </c>
      <c r="G374" s="3">
        <v>251.8348069892246</v>
      </c>
      <c r="H374" s="3">
        <v>188.28303997246351</v>
      </c>
      <c r="I374" s="3">
        <v>223.10252071376331</v>
      </c>
    </row>
    <row r="375" spans="1:9" x14ac:dyDescent="0.25">
      <c r="A375" s="9">
        <v>44083</v>
      </c>
      <c r="B375" s="3">
        <v>168.02726846272355</v>
      </c>
      <c r="C375" s="3">
        <v>209.72285421217302</v>
      </c>
      <c r="D375" s="3">
        <v>328.79834336209285</v>
      </c>
      <c r="E375" s="3">
        <v>468.78991152827052</v>
      </c>
      <c r="F375" s="3">
        <v>327.95700333592788</v>
      </c>
      <c r="G375" s="3">
        <v>332.89531933738198</v>
      </c>
      <c r="H375" s="3">
        <v>335.70882203777057</v>
      </c>
      <c r="I375" s="3">
        <v>303.54580068490804</v>
      </c>
    </row>
    <row r="376" spans="1:9" x14ac:dyDescent="0.25">
      <c r="A376" s="9">
        <v>44084</v>
      </c>
      <c r="B376" s="3">
        <v>8.53491617965663</v>
      </c>
      <c r="C376" s="3">
        <v>13.261051824874366</v>
      </c>
      <c r="D376" s="3">
        <v>11.53159826625126</v>
      </c>
      <c r="E376" s="3">
        <v>13.932548178817376</v>
      </c>
      <c r="F376" s="3">
        <v>4.4104698626164556</v>
      </c>
      <c r="G376" s="3">
        <v>0.39482510707073881</v>
      </c>
      <c r="H376" s="3">
        <v>5.4977500740572864</v>
      </c>
      <c r="I376" s="3">
        <v>4.5044646849428807</v>
      </c>
    </row>
    <row r="377" spans="1:9" x14ac:dyDescent="0.25">
      <c r="A377" s="9">
        <v>44085</v>
      </c>
      <c r="B377" s="3">
        <v>34.363573626865033</v>
      </c>
      <c r="C377" s="3">
        <v>69.079838743395143</v>
      </c>
      <c r="D377" s="3">
        <v>62.138171960150565</v>
      </c>
      <c r="E377" s="3">
        <v>114.18145046899906</v>
      </c>
      <c r="F377" s="3">
        <v>164.81417361465327</v>
      </c>
      <c r="G377" s="3">
        <v>124.81222298373844</v>
      </c>
      <c r="H377" s="3">
        <v>198.72219603509802</v>
      </c>
      <c r="I377" s="3">
        <v>182.98470224218033</v>
      </c>
    </row>
    <row r="378" spans="1:9" x14ac:dyDescent="0.25">
      <c r="A378" s="9">
        <v>44086</v>
      </c>
      <c r="B378" s="3">
        <v>1.4284019632315537</v>
      </c>
      <c r="C378" s="3">
        <v>76.672753342270354</v>
      </c>
      <c r="D378" s="3">
        <v>3.8432451468160522</v>
      </c>
      <c r="E378" s="3">
        <v>1.1193857099621922</v>
      </c>
      <c r="F378" s="3">
        <v>11.674251689819503</v>
      </c>
      <c r="G378" s="3">
        <v>1.4275282413389436</v>
      </c>
      <c r="H378" s="3">
        <v>34.994421425617524</v>
      </c>
      <c r="I378" s="3">
        <v>19.708359913231547</v>
      </c>
    </row>
    <row r="379" spans="1:9" x14ac:dyDescent="0.25">
      <c r="A379" s="9">
        <v>44087</v>
      </c>
      <c r="B379" s="3">
        <v>9.6923727787814062</v>
      </c>
      <c r="C379" s="3">
        <v>58.233389665634469</v>
      </c>
      <c r="D379" s="3">
        <v>3.2317529698242109</v>
      </c>
      <c r="E379" s="3">
        <v>6.2591667591468312</v>
      </c>
      <c r="F379" s="3">
        <v>3.7775841245162637E-3</v>
      </c>
      <c r="G379" s="3">
        <v>0.24109640895470455</v>
      </c>
      <c r="H379" s="3">
        <v>26.990110986395518</v>
      </c>
      <c r="I379" s="3">
        <v>17.236927878751906</v>
      </c>
    </row>
    <row r="380" spans="1:9" x14ac:dyDescent="0.25">
      <c r="A380" s="9">
        <v>44088</v>
      </c>
      <c r="B380" s="3">
        <v>1.3113267771987547</v>
      </c>
      <c r="C380" s="3">
        <v>11.802431477413307</v>
      </c>
      <c r="D380" s="3">
        <v>7.9219345754469233</v>
      </c>
      <c r="E380" s="3">
        <v>7.3933950966243067</v>
      </c>
      <c r="F380" s="3">
        <v>0.20713035898104695</v>
      </c>
      <c r="G380" s="3">
        <v>0.8038685918569094</v>
      </c>
      <c r="H380" s="3">
        <v>15.296596807026067</v>
      </c>
      <c r="I380" s="3">
        <v>2.8286900337095342</v>
      </c>
    </row>
    <row r="381" spans="1:9" x14ac:dyDescent="0.25">
      <c r="A381" s="9">
        <v>44089</v>
      </c>
      <c r="B381" s="3">
        <v>5.0052630316957343</v>
      </c>
      <c r="C381" s="3">
        <v>6.54567222414311</v>
      </c>
      <c r="D381" s="3">
        <v>6.4327104311299754</v>
      </c>
      <c r="E381" s="3">
        <v>6.1021430263571181</v>
      </c>
      <c r="F381" s="3">
        <v>0</v>
      </c>
      <c r="G381" s="3">
        <v>3.0043449196130845</v>
      </c>
      <c r="H381" s="3">
        <v>11.58223776802334</v>
      </c>
      <c r="I381" s="3">
        <v>6.7145658986482903</v>
      </c>
    </row>
    <row r="382" spans="1:9" x14ac:dyDescent="0.25">
      <c r="A382" s="9">
        <v>44090</v>
      </c>
      <c r="B382" s="3">
        <v>0.97914928199891549</v>
      </c>
      <c r="C382" s="3">
        <v>5.1293321843422026</v>
      </c>
      <c r="D382" s="3">
        <v>8.3607692024527918</v>
      </c>
      <c r="E382" s="3">
        <v>50.290506163902087</v>
      </c>
      <c r="F382" s="3">
        <v>0.18373273021255862</v>
      </c>
      <c r="G382" s="3">
        <v>3.4730667275687854</v>
      </c>
      <c r="H382" s="3">
        <v>11.285320901181821</v>
      </c>
      <c r="I382" s="3">
        <v>23.64624231050999</v>
      </c>
    </row>
    <row r="383" spans="1:9" x14ac:dyDescent="0.25">
      <c r="A383" s="9">
        <v>44091</v>
      </c>
      <c r="B383" s="3">
        <v>0.48713966184333435</v>
      </c>
      <c r="C383" s="3">
        <v>6.3357925294251736</v>
      </c>
      <c r="D383" s="3">
        <v>93.91909269527369</v>
      </c>
      <c r="E383" s="3">
        <v>21.181488582572054</v>
      </c>
      <c r="F383" s="3">
        <v>0.11233844274415555</v>
      </c>
      <c r="G383" s="3">
        <v>19.555713806342258</v>
      </c>
      <c r="H383" s="3">
        <v>3.0707091191468119</v>
      </c>
      <c r="I383" s="3">
        <v>104.39340861632205</v>
      </c>
    </row>
    <row r="384" spans="1:9" x14ac:dyDescent="0.25">
      <c r="A384" s="9">
        <v>44092</v>
      </c>
      <c r="B384" s="3">
        <v>13.060367289820729</v>
      </c>
      <c r="C384" s="3">
        <v>64.070636413358841</v>
      </c>
      <c r="D384" s="3">
        <v>102.94503845179466</v>
      </c>
      <c r="E384" s="3">
        <v>134.62634793721725</v>
      </c>
      <c r="F384" s="3">
        <v>147.86485296969312</v>
      </c>
      <c r="G384" s="3">
        <v>129.72645215753423</v>
      </c>
      <c r="H384" s="3">
        <v>103.83735511475147</v>
      </c>
      <c r="I384" s="3">
        <v>188.44472299660362</v>
      </c>
    </row>
    <row r="385" spans="1:9" x14ac:dyDescent="0.25">
      <c r="A385" s="9">
        <v>44093</v>
      </c>
      <c r="B385" s="3">
        <v>0</v>
      </c>
      <c r="C385" s="3">
        <v>49.699476818595599</v>
      </c>
      <c r="D385" s="3">
        <v>0.3302675575984374</v>
      </c>
      <c r="E385" s="3">
        <v>2.0056068686826261</v>
      </c>
      <c r="F385" s="3">
        <v>16.911800992071282</v>
      </c>
      <c r="G385" s="3">
        <v>2.7859856983981288</v>
      </c>
      <c r="H385" s="3">
        <v>6.2329992551002498</v>
      </c>
      <c r="I385" s="3">
        <v>47.610041377783382</v>
      </c>
    </row>
    <row r="386" spans="1:9" x14ac:dyDescent="0.25">
      <c r="A386" s="9">
        <v>44094</v>
      </c>
      <c r="B386" s="3">
        <v>57.311074833128465</v>
      </c>
      <c r="C386" s="3">
        <v>44.350571768473174</v>
      </c>
      <c r="D386" s="3">
        <v>140.30264269887402</v>
      </c>
      <c r="E386" s="3">
        <v>156.01786023723554</v>
      </c>
      <c r="F386" s="3">
        <v>252.44498225079369</v>
      </c>
      <c r="G386" s="3">
        <v>207.7444450551443</v>
      </c>
      <c r="H386" s="3">
        <v>253.13625456481026</v>
      </c>
      <c r="I386" s="3">
        <v>225.12306180165805</v>
      </c>
    </row>
    <row r="387" spans="1:9" x14ac:dyDescent="0.25">
      <c r="A387" s="9">
        <v>44095</v>
      </c>
      <c r="B387" s="3">
        <v>59.061552753167973</v>
      </c>
      <c r="C387" s="3">
        <v>145.09042526982188</v>
      </c>
      <c r="D387" s="3">
        <v>202.16793789253646</v>
      </c>
      <c r="E387" s="3">
        <v>229.79715933910612</v>
      </c>
      <c r="F387" s="3">
        <v>293.03856148702891</v>
      </c>
      <c r="G387" s="3">
        <v>221.53212651478842</v>
      </c>
      <c r="H387" s="3">
        <v>238.0758585184189</v>
      </c>
      <c r="I387" s="3">
        <v>165.93092290582214</v>
      </c>
    </row>
    <row r="388" spans="1:9" x14ac:dyDescent="0.25">
      <c r="A388" s="9">
        <v>44096</v>
      </c>
      <c r="B388" s="3">
        <v>8.9308473256126959</v>
      </c>
      <c r="C388" s="3">
        <v>58.346479860170597</v>
      </c>
      <c r="D388" s="3">
        <v>8.7191779855263292</v>
      </c>
      <c r="E388" s="3">
        <v>16.074866869942817</v>
      </c>
      <c r="F388" s="3">
        <v>67.821894843991771</v>
      </c>
      <c r="G388" s="3">
        <v>25.173095302445766</v>
      </c>
      <c r="H388" s="3">
        <v>113.15646541193911</v>
      </c>
      <c r="I388" s="3">
        <v>29.801524051236033</v>
      </c>
    </row>
    <row r="389" spans="1:9" x14ac:dyDescent="0.25">
      <c r="A389" s="9">
        <v>44097</v>
      </c>
      <c r="B389" s="3">
        <v>9.758647736573419</v>
      </c>
      <c r="C389" s="3">
        <v>44.663891810630432</v>
      </c>
      <c r="D389" s="3">
        <v>30.073486948225863</v>
      </c>
      <c r="E389" s="3">
        <v>49.87137435106559</v>
      </c>
      <c r="F389" s="3">
        <v>119.31638355683479</v>
      </c>
      <c r="G389" s="3">
        <v>49.526321475161687</v>
      </c>
      <c r="H389" s="3">
        <v>131.18725591154336</v>
      </c>
      <c r="I389" s="3">
        <v>43.667305770012753</v>
      </c>
    </row>
    <row r="390" spans="1:9" x14ac:dyDescent="0.25">
      <c r="A390" s="9">
        <v>44098</v>
      </c>
      <c r="B390" s="3">
        <v>51.010848799847473</v>
      </c>
      <c r="C390" s="3">
        <v>97.82750975386503</v>
      </c>
      <c r="D390" s="3">
        <v>98.920788184544023</v>
      </c>
      <c r="E390" s="3">
        <v>174.25699382403738</v>
      </c>
      <c r="F390" s="3">
        <v>228.16239019940139</v>
      </c>
      <c r="G390" s="3">
        <v>115.01584398156417</v>
      </c>
      <c r="H390" s="3">
        <v>267.97890256470549</v>
      </c>
      <c r="I390" s="3">
        <v>74.261358841231868</v>
      </c>
    </row>
    <row r="391" spans="1:9" x14ac:dyDescent="0.25">
      <c r="A391" s="9">
        <v>44099</v>
      </c>
      <c r="B391" s="3">
        <v>4.1133390942614136</v>
      </c>
      <c r="C391" s="3">
        <v>27.471877782912628</v>
      </c>
      <c r="D391" s="3">
        <v>3.8763558166327163</v>
      </c>
      <c r="E391" s="3">
        <v>5.2352463703914278</v>
      </c>
      <c r="F391" s="3">
        <v>13.003240922865157</v>
      </c>
      <c r="G391" s="3">
        <v>0</v>
      </c>
      <c r="H391" s="3">
        <v>26.216983430508375</v>
      </c>
      <c r="I391" s="3">
        <v>0.33987313241374034</v>
      </c>
    </row>
    <row r="392" spans="1:9" x14ac:dyDescent="0.25">
      <c r="A392" s="9">
        <v>44100</v>
      </c>
      <c r="B392" s="3">
        <v>3.2700910043611278</v>
      </c>
      <c r="C392" s="3">
        <v>38.032465017524949</v>
      </c>
      <c r="D392" s="3">
        <v>10.575390200299095</v>
      </c>
      <c r="E392" s="3">
        <v>14.630270203715348</v>
      </c>
      <c r="F392" s="3">
        <v>91.99748399305625</v>
      </c>
      <c r="G392" s="3">
        <v>65.727859274766161</v>
      </c>
      <c r="H392" s="3">
        <v>213.66753260036887</v>
      </c>
      <c r="I392" s="3">
        <v>96.318743702841289</v>
      </c>
    </row>
    <row r="393" spans="1:9" x14ac:dyDescent="0.25">
      <c r="A393" s="9">
        <v>44101</v>
      </c>
      <c r="B393" s="3">
        <v>1.9942453875263491</v>
      </c>
      <c r="C393" s="3">
        <v>15.617488001854186</v>
      </c>
      <c r="D393" s="3">
        <v>4.6431206129588061</v>
      </c>
      <c r="E393" s="3">
        <v>29.330655055026121</v>
      </c>
      <c r="F393" s="3">
        <v>70.169787432100861</v>
      </c>
      <c r="G393" s="3">
        <v>50.83010299720862</v>
      </c>
      <c r="H393" s="3">
        <v>161.22173965442346</v>
      </c>
      <c r="I393" s="3">
        <v>75.637577177780884</v>
      </c>
    </row>
    <row r="394" spans="1:9" x14ac:dyDescent="0.25">
      <c r="A394" s="9">
        <v>44102</v>
      </c>
      <c r="B394" s="3">
        <v>1.3489106735842908</v>
      </c>
      <c r="C394" s="3">
        <v>55.085274710348784</v>
      </c>
      <c r="D394" s="3">
        <v>0.26969745972493475</v>
      </c>
      <c r="E394" s="3">
        <v>1.0027386065733375</v>
      </c>
      <c r="F394" s="3">
        <v>29.45274035385258</v>
      </c>
      <c r="G394" s="3">
        <v>24.186200309278714</v>
      </c>
      <c r="H394" s="3">
        <v>85.505149341301433</v>
      </c>
      <c r="I394" s="3">
        <v>44.998876078798922</v>
      </c>
    </row>
    <row r="395" spans="1:9" x14ac:dyDescent="0.25">
      <c r="A395" s="9">
        <v>44103</v>
      </c>
      <c r="B395" s="3">
        <v>59.423552130497114</v>
      </c>
      <c r="C395" s="3">
        <v>150.34689116352607</v>
      </c>
      <c r="D395" s="3">
        <v>68.730605026930277</v>
      </c>
      <c r="E395" s="3">
        <v>142.44866444362168</v>
      </c>
      <c r="F395" s="3">
        <v>120.61821490689587</v>
      </c>
      <c r="G395" s="3">
        <v>138.91205254870786</v>
      </c>
      <c r="H395" s="3">
        <v>229.46338729209361</v>
      </c>
      <c r="I395" s="3">
        <v>173.09220891202605</v>
      </c>
    </row>
    <row r="396" spans="1:9" x14ac:dyDescent="0.25">
      <c r="A396" s="9">
        <v>44104</v>
      </c>
      <c r="B396" s="3">
        <v>53.500487087366253</v>
      </c>
      <c r="C396" s="3">
        <v>11.714008174196959</v>
      </c>
      <c r="D396" s="3">
        <v>153.84372910512474</v>
      </c>
      <c r="E396" s="3">
        <v>315.58487935022242</v>
      </c>
      <c r="F396" s="3">
        <v>329.28166919062909</v>
      </c>
      <c r="G396" s="3">
        <v>273.80446726559541</v>
      </c>
      <c r="H396" s="3">
        <v>325.33711621470809</v>
      </c>
      <c r="I396" s="3">
        <v>260.61286097862956</v>
      </c>
    </row>
    <row r="397" spans="1:9" x14ac:dyDescent="0.25">
      <c r="A397" s="9">
        <v>44105</v>
      </c>
      <c r="B397" s="3">
        <v>5.7229533668151182</v>
      </c>
      <c r="C397" s="3">
        <v>0</v>
      </c>
      <c r="D397" s="3">
        <v>1.4744264349466809</v>
      </c>
      <c r="E397" s="3">
        <v>2.5532064363078111</v>
      </c>
      <c r="F397" s="3">
        <v>10.579282822083419</v>
      </c>
      <c r="G397" s="3">
        <v>1.5866320930685098</v>
      </c>
      <c r="H397" s="3">
        <v>14.82085855612695</v>
      </c>
      <c r="I397" s="3">
        <v>4.2811074947203993</v>
      </c>
    </row>
    <row r="398" spans="1:9" x14ac:dyDescent="0.25">
      <c r="A398" s="9">
        <v>44106</v>
      </c>
      <c r="B398" s="3">
        <v>100.98230129148838</v>
      </c>
      <c r="C398" s="3">
        <v>72.004244569849547</v>
      </c>
      <c r="D398" s="3">
        <v>171.04392092411095</v>
      </c>
      <c r="E398" s="3">
        <v>309.82045992520307</v>
      </c>
      <c r="F398" s="3">
        <v>344.0346769909961</v>
      </c>
      <c r="G398" s="3">
        <v>278.02229248083887</v>
      </c>
      <c r="H398" s="3">
        <v>440.77768554815452</v>
      </c>
      <c r="I398" s="3">
        <v>309.24713559226007</v>
      </c>
    </row>
    <row r="399" spans="1:9" x14ac:dyDescent="0.25">
      <c r="A399" s="9">
        <v>44107</v>
      </c>
      <c r="B399" s="3">
        <v>79.60748761840523</v>
      </c>
      <c r="C399" s="3">
        <v>80.115834830558526</v>
      </c>
      <c r="D399" s="3">
        <v>232.48122368991775</v>
      </c>
      <c r="E399" s="3">
        <v>315.05388385453085</v>
      </c>
      <c r="F399" s="3">
        <v>465.45346614116198</v>
      </c>
      <c r="G399" s="3">
        <v>336.64541240683496</v>
      </c>
      <c r="H399" s="3">
        <v>410.9382582939117</v>
      </c>
      <c r="I399" s="3">
        <v>375.06047909604956</v>
      </c>
    </row>
    <row r="400" spans="1:9" x14ac:dyDescent="0.25">
      <c r="A400" s="9">
        <v>44108</v>
      </c>
      <c r="B400" s="3">
        <v>1.1650288701386191</v>
      </c>
      <c r="C400" s="3">
        <v>3.4720873840638595</v>
      </c>
      <c r="D400" s="3">
        <v>2.0579570439709887</v>
      </c>
      <c r="E400" s="3">
        <v>0</v>
      </c>
      <c r="F400" s="3">
        <v>24.813322683854899</v>
      </c>
      <c r="G400" s="3">
        <v>5.3921675386801242</v>
      </c>
      <c r="H400" s="3">
        <v>68.678353232865163</v>
      </c>
      <c r="I400" s="3">
        <v>48.451259872781513</v>
      </c>
    </row>
    <row r="401" spans="1:9" x14ac:dyDescent="0.25">
      <c r="A401" s="9">
        <v>44109</v>
      </c>
      <c r="B401" s="3">
        <v>3.9472586888768668</v>
      </c>
      <c r="C401" s="3">
        <v>9.0536065180243064</v>
      </c>
      <c r="D401" s="3">
        <v>5.2331207960517077</v>
      </c>
      <c r="E401" s="3">
        <v>14.845700501774711</v>
      </c>
      <c r="F401" s="3">
        <v>67.629953828078712</v>
      </c>
      <c r="G401" s="3">
        <v>17.664448742610965</v>
      </c>
      <c r="H401" s="3">
        <v>134.46474928949257</v>
      </c>
      <c r="I401" s="3">
        <v>106.90645911418524</v>
      </c>
    </row>
    <row r="402" spans="1:9" x14ac:dyDescent="0.25">
      <c r="A402" s="9">
        <v>44110</v>
      </c>
      <c r="B402" s="3">
        <v>3.0382139107327371</v>
      </c>
      <c r="C402" s="3">
        <v>18.565323434676493</v>
      </c>
      <c r="D402" s="3">
        <v>11.12341045254438</v>
      </c>
      <c r="E402" s="3">
        <v>58.542951923308152</v>
      </c>
      <c r="F402" s="3">
        <v>126.25339744937413</v>
      </c>
      <c r="G402" s="3">
        <v>58.367046402318856</v>
      </c>
      <c r="H402" s="3">
        <v>169.06752885287719</v>
      </c>
      <c r="I402" s="3">
        <v>178.95720633831638</v>
      </c>
    </row>
    <row r="403" spans="1:9" x14ac:dyDescent="0.25">
      <c r="A403" s="9">
        <v>44111</v>
      </c>
      <c r="B403" s="3">
        <v>32.908438280282574</v>
      </c>
      <c r="C403" s="3">
        <v>77.046447130460081</v>
      </c>
      <c r="D403" s="3">
        <v>26.961820375931403</v>
      </c>
      <c r="E403" s="3">
        <v>75.767960533688537</v>
      </c>
      <c r="F403" s="3">
        <v>178.04413660576225</v>
      </c>
      <c r="G403" s="3">
        <v>153.05542502818489</v>
      </c>
      <c r="H403" s="3">
        <v>272.96092300806384</v>
      </c>
      <c r="I403" s="3">
        <v>234.83785620774395</v>
      </c>
    </row>
    <row r="404" spans="1:9" x14ac:dyDescent="0.25">
      <c r="A404" s="9">
        <v>44112</v>
      </c>
      <c r="B404" s="3">
        <v>13.573820733217104</v>
      </c>
      <c r="C404" s="3">
        <v>37.626614346017156</v>
      </c>
      <c r="D404" s="3">
        <v>25.364077705428766</v>
      </c>
      <c r="E404" s="3">
        <v>61.293619599189178</v>
      </c>
      <c r="F404" s="3">
        <v>125.51685318637028</v>
      </c>
      <c r="G404" s="3">
        <v>106.03556138862757</v>
      </c>
      <c r="H404" s="3">
        <v>200.88400152661887</v>
      </c>
      <c r="I404" s="3">
        <v>164.39495650102964</v>
      </c>
    </row>
    <row r="405" spans="1:9" x14ac:dyDescent="0.25">
      <c r="A405" s="9">
        <v>44113</v>
      </c>
      <c r="B405" s="3">
        <v>71.474780512926301</v>
      </c>
      <c r="C405" s="3">
        <v>96.054985033433056</v>
      </c>
      <c r="D405" s="3">
        <v>223.80736842188799</v>
      </c>
      <c r="E405" s="3">
        <v>368.71652247085979</v>
      </c>
      <c r="F405" s="3">
        <v>423.26669061921575</v>
      </c>
      <c r="G405" s="3">
        <v>360.8174478172906</v>
      </c>
      <c r="H405" s="3">
        <v>473.18991702319238</v>
      </c>
      <c r="I405" s="3">
        <v>378.55684693220553</v>
      </c>
    </row>
    <row r="406" spans="1:9" x14ac:dyDescent="0.25">
      <c r="A406" s="9">
        <v>44114</v>
      </c>
      <c r="B406" s="3">
        <v>150.66347243708688</v>
      </c>
      <c r="C406" s="3">
        <v>175.08468245423151</v>
      </c>
      <c r="D406" s="3">
        <v>303.48945100904575</v>
      </c>
      <c r="E406" s="3">
        <v>461.02888626997645</v>
      </c>
      <c r="F406" s="3">
        <v>554.39590631615613</v>
      </c>
      <c r="G406" s="3">
        <v>454.79598200504489</v>
      </c>
      <c r="H406" s="3">
        <v>525.80201809070979</v>
      </c>
      <c r="I406" s="3">
        <v>434.03164123080268</v>
      </c>
    </row>
    <row r="407" spans="1:9" x14ac:dyDescent="0.25">
      <c r="A407" s="9">
        <v>44115</v>
      </c>
      <c r="B407" s="3">
        <v>123.59954074317319</v>
      </c>
      <c r="C407" s="3">
        <v>76.870555025319248</v>
      </c>
      <c r="D407" s="3">
        <v>154.60693815492371</v>
      </c>
      <c r="E407" s="3">
        <v>251.95326367539326</v>
      </c>
      <c r="F407" s="3">
        <v>376.5160310627416</v>
      </c>
      <c r="G407" s="3">
        <v>284.27938818013024</v>
      </c>
      <c r="H407" s="3">
        <v>365.10367680546887</v>
      </c>
      <c r="I407" s="3">
        <v>279.71731844160087</v>
      </c>
    </row>
    <row r="408" spans="1:9" x14ac:dyDescent="0.25">
      <c r="A408" s="9">
        <v>44116</v>
      </c>
      <c r="B408" s="3">
        <v>122.46666740066661</v>
      </c>
      <c r="C408" s="3">
        <v>77.06238329446019</v>
      </c>
      <c r="D408" s="3">
        <v>231.55227197490731</v>
      </c>
      <c r="E408" s="3">
        <v>347.11347898376476</v>
      </c>
      <c r="F408" s="3">
        <v>514.03540955029803</v>
      </c>
      <c r="G408" s="3">
        <v>370.02310472233478</v>
      </c>
      <c r="H408" s="3">
        <v>402.71114625530925</v>
      </c>
      <c r="I408" s="3">
        <v>343.64075632823784</v>
      </c>
    </row>
    <row r="409" spans="1:9" x14ac:dyDescent="0.25">
      <c r="A409" s="9">
        <v>44117</v>
      </c>
      <c r="B409" s="3">
        <v>79.867019931245736</v>
      </c>
      <c r="C409" s="3">
        <v>87.774615089225691</v>
      </c>
      <c r="D409" s="3">
        <v>244.14952976208696</v>
      </c>
      <c r="E409" s="3">
        <v>343.3455181737678</v>
      </c>
      <c r="F409" s="3">
        <v>555.4003792825531</v>
      </c>
      <c r="G409" s="3">
        <v>337.67838152940408</v>
      </c>
      <c r="H409" s="3">
        <v>267.17874124572376</v>
      </c>
      <c r="I409" s="3">
        <v>382.04954146198338</v>
      </c>
    </row>
    <row r="410" spans="1:9" x14ac:dyDescent="0.25">
      <c r="A410" s="9">
        <v>44118</v>
      </c>
      <c r="B410" s="3">
        <v>6.650442599603279</v>
      </c>
      <c r="C410" s="3">
        <v>38.308566484460279</v>
      </c>
      <c r="D410" s="3">
        <v>27.292790585959857</v>
      </c>
      <c r="E410" s="3">
        <v>32.774723446615312</v>
      </c>
      <c r="F410" s="3">
        <v>155.40690461608676</v>
      </c>
      <c r="G410" s="3">
        <v>55.894221243089085</v>
      </c>
      <c r="H410" s="3">
        <v>41.197964784973784</v>
      </c>
      <c r="I410" s="3">
        <v>112.49498404722623</v>
      </c>
    </row>
    <row r="411" spans="1:9" x14ac:dyDescent="0.25">
      <c r="A411" s="9">
        <v>44119</v>
      </c>
      <c r="B411" s="3">
        <v>4.6333336633606921</v>
      </c>
      <c r="C411" s="3">
        <v>36.435270191486765</v>
      </c>
      <c r="D411" s="3">
        <v>4.7212653345720001</v>
      </c>
      <c r="E411" s="3">
        <v>5.0705609118613255</v>
      </c>
      <c r="F411" s="3">
        <v>41.385227653043991</v>
      </c>
      <c r="G411" s="3">
        <v>2.3545186422589652</v>
      </c>
      <c r="H411" s="3">
        <v>12.264767194858626</v>
      </c>
      <c r="I411" s="3">
        <v>4.366390362301078</v>
      </c>
    </row>
    <row r="412" spans="1:9" x14ac:dyDescent="0.25">
      <c r="A412" s="9">
        <v>44120</v>
      </c>
      <c r="B412" s="3">
        <v>5.1297615772725145</v>
      </c>
      <c r="C412" s="3">
        <v>75.591963133332754</v>
      </c>
      <c r="D412" s="3">
        <v>7.9935730161125029</v>
      </c>
      <c r="E412" s="3">
        <v>8.0945325720458747</v>
      </c>
      <c r="F412" s="3">
        <v>64.977878353758783</v>
      </c>
      <c r="G412" s="3">
        <v>55.802982370488927</v>
      </c>
      <c r="H412" s="3">
        <v>171.96354629661997</v>
      </c>
      <c r="I412" s="3">
        <v>94.92240765690542</v>
      </c>
    </row>
    <row r="413" spans="1:9" x14ac:dyDescent="0.25">
      <c r="A413" s="9">
        <v>44121</v>
      </c>
      <c r="B413" s="3">
        <v>1.7168148928113187</v>
      </c>
      <c r="C413" s="3">
        <v>14.067225904342372</v>
      </c>
      <c r="D413" s="3">
        <v>5.0225869987457497</v>
      </c>
      <c r="E413" s="3">
        <v>11.975556079075085</v>
      </c>
      <c r="F413" s="3">
        <v>73.363614609965197</v>
      </c>
      <c r="G413" s="3">
        <v>46.28268951396727</v>
      </c>
      <c r="H413" s="3">
        <v>162.9552269717621</v>
      </c>
      <c r="I413" s="3">
        <v>108.74770262618024</v>
      </c>
    </row>
    <row r="414" spans="1:9" x14ac:dyDescent="0.25">
      <c r="A414" s="9">
        <v>44122</v>
      </c>
      <c r="B414" s="3">
        <v>32.339205824267403</v>
      </c>
      <c r="C414" s="3">
        <v>25.929566713007461</v>
      </c>
      <c r="D414" s="3">
        <v>65.475642364828175</v>
      </c>
      <c r="E414" s="3">
        <v>113.08028007662951</v>
      </c>
      <c r="F414" s="3">
        <v>215.02810101672407</v>
      </c>
      <c r="G414" s="3">
        <v>155.60014117912186</v>
      </c>
      <c r="H414" s="3">
        <v>268.87683643262847</v>
      </c>
      <c r="I414" s="3">
        <v>229.07440837525078</v>
      </c>
    </row>
    <row r="415" spans="1:9" x14ac:dyDescent="0.25">
      <c r="A415" s="9">
        <v>44123</v>
      </c>
      <c r="B415" s="3">
        <v>56.454533227680763</v>
      </c>
      <c r="C415" s="3">
        <v>57.129478318246242</v>
      </c>
      <c r="D415" s="3">
        <v>175.40613943977729</v>
      </c>
      <c r="E415" s="3">
        <v>237.68749914154654</v>
      </c>
      <c r="F415" s="3">
        <v>308.48222609057098</v>
      </c>
      <c r="G415" s="3">
        <v>243.6906950188789</v>
      </c>
      <c r="H415" s="3">
        <v>350.58150438488269</v>
      </c>
      <c r="I415" s="3">
        <v>295.07851955026501</v>
      </c>
    </row>
    <row r="416" spans="1:9" x14ac:dyDescent="0.25">
      <c r="A416" s="9">
        <v>44124</v>
      </c>
      <c r="B416" s="3">
        <v>2.6071469742197659</v>
      </c>
      <c r="C416" s="3">
        <v>29.268761905488098</v>
      </c>
      <c r="D416" s="3">
        <v>5.0793917978391256</v>
      </c>
      <c r="E416" s="3">
        <v>3.1171175948089469</v>
      </c>
      <c r="F416" s="3">
        <v>34.027744250241774</v>
      </c>
      <c r="G416" s="3">
        <v>0.24869908263602519</v>
      </c>
      <c r="H416" s="3">
        <v>51.254724952444541</v>
      </c>
      <c r="I416" s="3">
        <v>18.472004365211099</v>
      </c>
    </row>
    <row r="417" spans="1:9" x14ac:dyDescent="0.25">
      <c r="A417" s="9">
        <v>44125</v>
      </c>
      <c r="B417" s="3">
        <v>188.44339699159843</v>
      </c>
      <c r="C417" s="3">
        <v>125.96431702718066</v>
      </c>
      <c r="D417" s="3">
        <v>251.56829155919047</v>
      </c>
      <c r="E417" s="3">
        <v>373.01887245280943</v>
      </c>
      <c r="F417" s="3">
        <v>449.86179433265164</v>
      </c>
      <c r="G417" s="3">
        <v>375.85980953968539</v>
      </c>
      <c r="H417" s="3">
        <v>548.10178057587643</v>
      </c>
      <c r="I417" s="3">
        <v>365.14468113179652</v>
      </c>
    </row>
    <row r="418" spans="1:9" x14ac:dyDescent="0.25">
      <c r="A418" s="9">
        <v>44126</v>
      </c>
      <c r="B418" s="3">
        <v>205.3622863872659</v>
      </c>
      <c r="C418" s="3">
        <v>240.72940213369185</v>
      </c>
      <c r="D418" s="3">
        <v>430.64263043650504</v>
      </c>
      <c r="E418" s="3">
        <v>603.72491015700837</v>
      </c>
      <c r="F418" s="3">
        <v>590.41274084473594</v>
      </c>
      <c r="G418" s="3">
        <v>569.65614066691785</v>
      </c>
      <c r="H418" s="3">
        <v>800.81697294727326</v>
      </c>
      <c r="I418" s="3">
        <v>547.00227266593993</v>
      </c>
    </row>
    <row r="419" spans="1:9" x14ac:dyDescent="0.25">
      <c r="A419" s="9">
        <v>44127</v>
      </c>
      <c r="B419" s="3">
        <v>146.11719745834228</v>
      </c>
      <c r="C419" s="3">
        <v>286.54332653827453</v>
      </c>
      <c r="D419" s="3">
        <v>408.41829567205355</v>
      </c>
      <c r="E419" s="3">
        <v>548.94538107568565</v>
      </c>
      <c r="F419" s="3">
        <v>718.89162447301317</v>
      </c>
      <c r="G419" s="3">
        <v>579.13864131590731</v>
      </c>
      <c r="H419" s="3">
        <v>742.80866160710457</v>
      </c>
      <c r="I419" s="3">
        <v>566.09610466556842</v>
      </c>
    </row>
    <row r="420" spans="1:9" x14ac:dyDescent="0.25">
      <c r="A420" s="9">
        <v>44128</v>
      </c>
      <c r="B420" s="3">
        <v>139.54876623421501</v>
      </c>
      <c r="C420" s="3">
        <v>263.11026387888404</v>
      </c>
      <c r="D420" s="3">
        <v>392.51419149188825</v>
      </c>
      <c r="E420" s="3">
        <v>509.239897375829</v>
      </c>
      <c r="F420" s="3">
        <v>638.27173242894241</v>
      </c>
      <c r="G420" s="3">
        <v>503.91593685250041</v>
      </c>
      <c r="H420" s="3">
        <v>515.27194172216798</v>
      </c>
      <c r="I420" s="3">
        <v>507.30568181345905</v>
      </c>
    </row>
    <row r="421" spans="1:9" x14ac:dyDescent="0.25">
      <c r="A421" s="9">
        <v>44129</v>
      </c>
      <c r="B421" s="3">
        <v>127.44674638802739</v>
      </c>
      <c r="C421" s="3">
        <v>322.73536599609486</v>
      </c>
      <c r="D421" s="3">
        <v>411.41782807547139</v>
      </c>
      <c r="E421" s="3">
        <v>598.49351323072665</v>
      </c>
      <c r="F421" s="3">
        <v>617.61398097028496</v>
      </c>
      <c r="G421" s="3">
        <v>498.81905268801052</v>
      </c>
      <c r="H421" s="3">
        <v>230.11727790840649</v>
      </c>
      <c r="I421" s="3">
        <v>484.1487274091981</v>
      </c>
    </row>
    <row r="422" spans="1:9" x14ac:dyDescent="0.25">
      <c r="A422" s="9">
        <v>44130</v>
      </c>
      <c r="B422" s="3">
        <v>2.9225550781793892</v>
      </c>
      <c r="C422" s="3">
        <v>52.2488418932545</v>
      </c>
      <c r="D422" s="3">
        <v>108.87167563500613</v>
      </c>
      <c r="E422" s="3">
        <v>153.63954762092118</v>
      </c>
      <c r="F422" s="3">
        <v>256.66108296540676</v>
      </c>
      <c r="G422" s="3">
        <v>118.80923739521616</v>
      </c>
      <c r="H422" s="3">
        <v>3.585425078236113</v>
      </c>
      <c r="I422" s="3">
        <v>203.33863922654803</v>
      </c>
    </row>
    <row r="423" spans="1:9" x14ac:dyDescent="0.25">
      <c r="A423" s="9">
        <v>44131</v>
      </c>
      <c r="B423" s="3">
        <v>7.8941404540722093</v>
      </c>
      <c r="C423" s="3">
        <v>60.38729591256385</v>
      </c>
      <c r="D423" s="3">
        <v>117.34704990211344</v>
      </c>
      <c r="E423" s="3">
        <v>163.18469443486495</v>
      </c>
      <c r="F423" s="3">
        <v>245.52805673209497</v>
      </c>
      <c r="G423" s="3">
        <v>131.15035300601684</v>
      </c>
      <c r="H423" s="3">
        <v>21.886865278820753</v>
      </c>
      <c r="I423" s="3">
        <v>177.06069102878169</v>
      </c>
    </row>
    <row r="424" spans="1:9" x14ac:dyDescent="0.25">
      <c r="A424" s="9">
        <v>44132</v>
      </c>
      <c r="B424" s="3">
        <v>1.1456125839496374</v>
      </c>
      <c r="C424" s="3">
        <v>25.227677978658392</v>
      </c>
      <c r="D424" s="3">
        <v>7.40386295046891</v>
      </c>
      <c r="E424" s="3">
        <v>4.568899188410863</v>
      </c>
      <c r="F424" s="3">
        <v>36.865333663685121</v>
      </c>
      <c r="G424" s="3">
        <v>17.77419784921959</v>
      </c>
      <c r="H424" s="3">
        <v>0</v>
      </c>
      <c r="I424" s="3">
        <v>7.3228839033786581</v>
      </c>
    </row>
    <row r="425" spans="1:9" x14ac:dyDescent="0.25">
      <c r="A425" s="9">
        <v>44133</v>
      </c>
      <c r="B425" s="3">
        <v>17.488104427974637</v>
      </c>
      <c r="C425" s="3">
        <v>17.039270521159207</v>
      </c>
      <c r="D425" s="3">
        <v>34.212390422599057</v>
      </c>
      <c r="E425" s="3">
        <v>119.19382763324657</v>
      </c>
      <c r="F425" s="3">
        <v>219.56560704930109</v>
      </c>
      <c r="G425" s="3">
        <v>65.167051553063871</v>
      </c>
      <c r="H425" s="3">
        <v>134.1407203789615</v>
      </c>
      <c r="I425" s="3">
        <v>171.48530367463911</v>
      </c>
    </row>
    <row r="426" spans="1:9" x14ac:dyDescent="0.25">
      <c r="A426" s="9">
        <v>44134</v>
      </c>
      <c r="B426" s="3">
        <v>14.537304343851822</v>
      </c>
      <c r="C426" s="3">
        <v>48.073192429974625</v>
      </c>
      <c r="D426" s="3">
        <v>47.940490627102847</v>
      </c>
      <c r="E426" s="3">
        <v>114.56337396668393</v>
      </c>
      <c r="F426" s="3">
        <v>204.52777233620628</v>
      </c>
      <c r="G426" s="3">
        <v>117.90633910552074</v>
      </c>
      <c r="H426" s="3">
        <v>214.34489248859049</v>
      </c>
      <c r="I426" s="3">
        <v>183.23655057869661</v>
      </c>
    </row>
    <row r="427" spans="1:9" x14ac:dyDescent="0.25">
      <c r="A427" s="9">
        <v>44135</v>
      </c>
      <c r="B427" s="3">
        <v>0.32689471599421038</v>
      </c>
      <c r="C427" s="3">
        <v>10.902303569318331</v>
      </c>
      <c r="D427" s="3">
        <v>1.0865273671140163</v>
      </c>
      <c r="E427" s="3">
        <v>0</v>
      </c>
      <c r="F427" s="3">
        <v>3.558457362599714</v>
      </c>
      <c r="G427" s="3">
        <v>0.28114852004462632</v>
      </c>
      <c r="H427" s="3">
        <v>1.5074383595512071</v>
      </c>
      <c r="I427" s="3">
        <v>2.6493375434945761</v>
      </c>
    </row>
    <row r="428" spans="1:9" x14ac:dyDescent="0.25">
      <c r="A428" s="9">
        <v>44136</v>
      </c>
      <c r="B428" s="3">
        <v>1.1004555283013846</v>
      </c>
      <c r="C428" s="3">
        <v>34.879603976312318</v>
      </c>
      <c r="D428" s="3">
        <v>11.672810599200291</v>
      </c>
      <c r="E428" s="3">
        <v>0.43178349558237261</v>
      </c>
      <c r="F428" s="2">
        <v>26.664172284515054</v>
      </c>
      <c r="G428" s="3">
        <v>0.21625350303454202</v>
      </c>
      <c r="H428" s="3">
        <v>26.034145952465391</v>
      </c>
      <c r="I428" s="3">
        <v>29.8295111942654</v>
      </c>
    </row>
    <row r="429" spans="1:9" x14ac:dyDescent="0.25">
      <c r="A429" s="9">
        <v>44137</v>
      </c>
      <c r="B429" s="3">
        <v>6.510226355456691</v>
      </c>
      <c r="C429" s="3">
        <v>24.009387467969837</v>
      </c>
      <c r="D429" s="3">
        <v>18.51380055462424</v>
      </c>
      <c r="E429" s="3">
        <v>40.072113129438776</v>
      </c>
      <c r="F429" s="2">
        <v>236.70946376275009</v>
      </c>
      <c r="G429" s="3">
        <v>97.398269165395774</v>
      </c>
      <c r="H429" s="3">
        <v>231.11644577499521</v>
      </c>
      <c r="I429" s="3">
        <v>187.97801174559177</v>
      </c>
    </row>
    <row r="430" spans="1:9" x14ac:dyDescent="0.25">
      <c r="A430" s="9">
        <v>44138</v>
      </c>
      <c r="B430" s="3">
        <v>42.225535874941158</v>
      </c>
      <c r="C430" s="3">
        <v>53.754392470465412</v>
      </c>
      <c r="D430" s="3">
        <v>99.606495417973022</v>
      </c>
      <c r="E430" s="3">
        <v>203.50406156556488</v>
      </c>
      <c r="F430" s="2">
        <v>269.61850104005833</v>
      </c>
      <c r="G430" s="3">
        <v>213.29197372896093</v>
      </c>
      <c r="H430" s="3">
        <v>263.24790181610848</v>
      </c>
      <c r="I430" s="3">
        <v>275.6171648774324</v>
      </c>
    </row>
    <row r="431" spans="1:9" x14ac:dyDescent="0.25">
      <c r="A431" s="9">
        <v>44139</v>
      </c>
      <c r="B431" s="3">
        <v>27.636587306997704</v>
      </c>
      <c r="C431" s="3">
        <v>56.478436333741776</v>
      </c>
      <c r="D431" s="3">
        <v>116.72392202656299</v>
      </c>
      <c r="E431" s="3">
        <v>258.30900551515072</v>
      </c>
      <c r="F431" s="2">
        <v>124.59796051503275</v>
      </c>
      <c r="G431" s="3">
        <v>203.8998404861054</v>
      </c>
      <c r="H431" s="3">
        <v>121.65393528122706</v>
      </c>
      <c r="I431" s="3">
        <v>325.6721340624614</v>
      </c>
    </row>
    <row r="432" spans="1:9" x14ac:dyDescent="0.25">
      <c r="A432" s="9">
        <v>44140</v>
      </c>
      <c r="B432" s="3">
        <v>0.36460200316773694</v>
      </c>
      <c r="C432" s="3">
        <v>31.271930885137298</v>
      </c>
      <c r="D432" s="3">
        <v>2.6119237276486582</v>
      </c>
      <c r="E432" s="3">
        <v>11.469001426972355</v>
      </c>
      <c r="F432" s="2">
        <v>0</v>
      </c>
      <c r="G432" s="3">
        <v>1.9391963886501374E-2</v>
      </c>
      <c r="H432" s="3">
        <v>0</v>
      </c>
      <c r="I432" s="3">
        <v>18.062674327803002</v>
      </c>
    </row>
    <row r="433" spans="1:9" x14ac:dyDescent="0.25">
      <c r="A433" s="9">
        <v>44141</v>
      </c>
      <c r="B433" s="3">
        <v>21.476172705820563</v>
      </c>
      <c r="C433" s="3">
        <v>66.899001366105168</v>
      </c>
      <c r="D433" s="3">
        <v>70.961114557808983</v>
      </c>
      <c r="E433" s="3">
        <v>198.67845512614161</v>
      </c>
      <c r="F433" s="2">
        <v>161.95462114958463</v>
      </c>
      <c r="G433" s="3">
        <v>132.16725575506942</v>
      </c>
      <c r="H433" s="3">
        <v>158.12792535597015</v>
      </c>
      <c r="I433" s="3">
        <v>159.98681945649622</v>
      </c>
    </row>
    <row r="434" spans="1:9" x14ac:dyDescent="0.25">
      <c r="A434" s="9">
        <v>44142</v>
      </c>
      <c r="B434" s="3">
        <v>131.40188202691425</v>
      </c>
      <c r="C434" s="3">
        <v>252.55893777873413</v>
      </c>
      <c r="D434" s="3">
        <v>310.08199110031342</v>
      </c>
      <c r="E434" s="3">
        <v>583.0993463220309</v>
      </c>
      <c r="F434" s="2">
        <v>151.78667985689015</v>
      </c>
      <c r="G434" s="3">
        <v>489.63417395207637</v>
      </c>
      <c r="H434" s="3">
        <v>148.20023418950416</v>
      </c>
      <c r="I434" s="3">
        <v>344.04514650828776</v>
      </c>
    </row>
    <row r="435" spans="1:9" x14ac:dyDescent="0.25">
      <c r="A435" s="9">
        <v>44143</v>
      </c>
      <c r="B435" s="3">
        <v>53.019876380744662</v>
      </c>
      <c r="C435" s="3">
        <v>216.10999134117606</v>
      </c>
      <c r="D435" s="3">
        <v>249.02601583399107</v>
      </c>
      <c r="E435" s="3">
        <v>470.38773034111875</v>
      </c>
      <c r="F435" s="2">
        <v>64.714850896510455</v>
      </c>
      <c r="G435" s="3">
        <v>403.08827547755845</v>
      </c>
      <c r="H435" s="3">
        <v>63.185755610730766</v>
      </c>
      <c r="I435" s="3">
        <v>338.50078856313206</v>
      </c>
    </row>
    <row r="436" spans="1:9" x14ac:dyDescent="0.25">
      <c r="A436" s="9">
        <v>44144</v>
      </c>
      <c r="B436" s="3">
        <v>142.75965420640924</v>
      </c>
      <c r="C436" s="3">
        <v>300.46681432746141</v>
      </c>
      <c r="D436" s="3">
        <v>384.36989485661445</v>
      </c>
      <c r="E436" s="3">
        <v>573.35479248111812</v>
      </c>
      <c r="F436" s="2">
        <v>108.6759297314709</v>
      </c>
      <c r="G436" s="3">
        <v>725.16423016109479</v>
      </c>
      <c r="H436" s="3">
        <v>106.10811338749356</v>
      </c>
      <c r="I436" s="3">
        <v>653.47698805944412</v>
      </c>
    </row>
    <row r="437" spans="1:9" x14ac:dyDescent="0.25">
      <c r="A437" s="9">
        <v>44145</v>
      </c>
      <c r="B437" s="3">
        <v>157.95503116676684</v>
      </c>
      <c r="C437" s="3">
        <v>365.39709343984043</v>
      </c>
      <c r="D437" s="3">
        <v>411.70218348460071</v>
      </c>
      <c r="E437" s="3">
        <v>611.12194847602098</v>
      </c>
      <c r="F437" s="2">
        <v>156.52620522062463</v>
      </c>
      <c r="G437" s="3">
        <v>517.17441763323961</v>
      </c>
      <c r="H437" s="3">
        <v>152.82777311133043</v>
      </c>
      <c r="I437" s="3">
        <v>649.19170167990762</v>
      </c>
    </row>
    <row r="438" spans="1:9" x14ac:dyDescent="0.25">
      <c r="A438" s="9">
        <v>44146</v>
      </c>
      <c r="B438" s="3">
        <v>198.67318227012871</v>
      </c>
      <c r="C438" s="3">
        <v>366.83150138054287</v>
      </c>
      <c r="D438" s="3">
        <v>417.9355292813745</v>
      </c>
      <c r="E438" s="3">
        <v>623.37245852771935</v>
      </c>
      <c r="F438" s="2">
        <v>214.42438565458366</v>
      </c>
      <c r="G438" s="3">
        <v>345.21803616429804</v>
      </c>
      <c r="H438" s="3">
        <v>209.35792389629336</v>
      </c>
      <c r="I438" s="3">
        <v>643.10405776135519</v>
      </c>
    </row>
    <row r="439" spans="1:9" x14ac:dyDescent="0.25">
      <c r="A439" s="9">
        <v>44147</v>
      </c>
      <c r="B439" s="3">
        <v>189.47253000893545</v>
      </c>
      <c r="C439" s="3">
        <v>321.9206066505094</v>
      </c>
      <c r="D439" s="3">
        <v>389.25703356986105</v>
      </c>
      <c r="E439" s="3">
        <v>609.70628959054636</v>
      </c>
      <c r="F439" s="2">
        <v>234.98445807690712</v>
      </c>
      <c r="G439" s="3">
        <v>333.14901872657629</v>
      </c>
      <c r="H439" s="3">
        <v>229.43219886438891</v>
      </c>
      <c r="I439" s="3">
        <v>580.19279061127952</v>
      </c>
    </row>
    <row r="440" spans="1:9" x14ac:dyDescent="0.25">
      <c r="A440" s="9">
        <v>44148</v>
      </c>
      <c r="B440" s="3">
        <v>182.52180340649571</v>
      </c>
      <c r="C440" s="3">
        <v>311.70140756977372</v>
      </c>
      <c r="D440" s="3">
        <v>379.80012991759179</v>
      </c>
      <c r="E440" s="3">
        <v>643.5504519619833</v>
      </c>
      <c r="F440" s="2">
        <v>251.44653414205521</v>
      </c>
      <c r="G440" s="3">
        <v>362.84802254419202</v>
      </c>
      <c r="H440" s="3">
        <v>245.50530574307285</v>
      </c>
      <c r="I440" s="3">
        <v>590.11655537828949</v>
      </c>
    </row>
    <row r="441" spans="1:9" x14ac:dyDescent="0.25">
      <c r="A441" s="9">
        <v>44149</v>
      </c>
      <c r="B441" s="3">
        <v>214.78421688318582</v>
      </c>
      <c r="C441" s="3">
        <v>320.95843523145879</v>
      </c>
      <c r="D441" s="3">
        <v>386.0731077623887</v>
      </c>
      <c r="E441" s="3">
        <v>698.9758656025308</v>
      </c>
      <c r="F441" s="2">
        <v>255.20393733610723</v>
      </c>
      <c r="G441" s="3">
        <v>377.51987358068959</v>
      </c>
      <c r="H441" s="3">
        <v>249.1739282719266</v>
      </c>
      <c r="I441" s="3">
        <v>548.73710926943363</v>
      </c>
    </row>
    <row r="442" spans="1:9" x14ac:dyDescent="0.25">
      <c r="A442" s="9">
        <v>44150</v>
      </c>
      <c r="B442" s="3">
        <v>166.32170522237104</v>
      </c>
      <c r="C442" s="3">
        <v>315.05028657041248</v>
      </c>
      <c r="D442" s="3">
        <v>422.8916254686323</v>
      </c>
      <c r="E442" s="3">
        <v>788.92633292897824</v>
      </c>
      <c r="F442" s="2">
        <v>297.08678902966398</v>
      </c>
      <c r="G442" s="3">
        <v>428.97627865407145</v>
      </c>
      <c r="H442" s="3">
        <v>290.06716366887713</v>
      </c>
      <c r="I442" s="3">
        <v>514.95194230452057</v>
      </c>
    </row>
    <row r="443" spans="1:9" x14ac:dyDescent="0.25">
      <c r="A443" s="9">
        <v>44151</v>
      </c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9">
        <v>44152</v>
      </c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9">
        <v>44153</v>
      </c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9">
        <v>44154</v>
      </c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9">
        <v>44155</v>
      </c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9">
        <v>44156</v>
      </c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9">
        <v>44157</v>
      </c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9">
        <v>44158</v>
      </c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9">
        <v>44159</v>
      </c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9">
        <v>44160</v>
      </c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9">
        <v>44161</v>
      </c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9">
        <v>44162</v>
      </c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9">
        <v>44163</v>
      </c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9">
        <v>44164</v>
      </c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9">
        <v>44165</v>
      </c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9">
        <v>44166</v>
      </c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9">
        <v>44167</v>
      </c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9">
        <v>44168</v>
      </c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9">
        <v>44169</v>
      </c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9">
        <v>44170</v>
      </c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9">
        <v>44171</v>
      </c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9">
        <v>44172</v>
      </c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9">
        <v>44173</v>
      </c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9">
        <v>44174</v>
      </c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9">
        <v>44175</v>
      </c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9">
        <v>44176</v>
      </c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9">
        <v>44177</v>
      </c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9">
        <v>44178</v>
      </c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9">
        <v>44179</v>
      </c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9">
        <v>44180</v>
      </c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9">
        <v>44181</v>
      </c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9">
        <v>44182</v>
      </c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9">
        <v>44183</v>
      </c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9">
        <v>44184</v>
      </c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9">
        <v>44185</v>
      </c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9">
        <v>44186</v>
      </c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9">
        <v>44187</v>
      </c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9">
        <v>44188</v>
      </c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9">
        <v>44189</v>
      </c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9">
        <v>44190</v>
      </c>
      <c r="B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9">
        <v>44191</v>
      </c>
      <c r="B483" s="3"/>
      <c r="C483" s="3"/>
      <c r="D483" s="3"/>
      <c r="E483" s="3"/>
      <c r="F483" s="3"/>
      <c r="G483" s="3"/>
      <c r="H483" s="3"/>
      <c r="I483" s="3"/>
    </row>
    <row r="484" spans="1:9" x14ac:dyDescent="0.25">
      <c r="A484" s="9">
        <v>44192</v>
      </c>
      <c r="B484" s="3"/>
      <c r="C484" s="3"/>
      <c r="D484" s="3"/>
      <c r="E484" s="3"/>
      <c r="F484" s="3"/>
      <c r="G484" s="3"/>
      <c r="H484" s="3"/>
      <c r="I484" s="3"/>
    </row>
    <row r="485" spans="1:9" x14ac:dyDescent="0.25">
      <c r="A485" s="9">
        <v>44193</v>
      </c>
      <c r="B485" s="3"/>
      <c r="C485" s="3"/>
      <c r="D485" s="3"/>
      <c r="E485" s="3"/>
      <c r="F485" s="3"/>
      <c r="G485" s="3"/>
      <c r="H485" s="3"/>
      <c r="I485" s="3"/>
    </row>
    <row r="486" spans="1:9" x14ac:dyDescent="0.25">
      <c r="A486" s="9">
        <v>44194</v>
      </c>
      <c r="B486" s="3"/>
      <c r="C486" s="3"/>
      <c r="D486" s="3"/>
      <c r="E486" s="3"/>
      <c r="F486" s="3"/>
      <c r="G486" s="3"/>
      <c r="H486" s="3"/>
      <c r="I486" s="3"/>
    </row>
    <row r="487" spans="1:9" x14ac:dyDescent="0.25">
      <c r="A487" s="9">
        <v>44195</v>
      </c>
      <c r="B487" s="3"/>
      <c r="C487" s="3"/>
      <c r="D487" s="3"/>
      <c r="E487" s="3"/>
      <c r="F487" s="3"/>
      <c r="G487" s="3"/>
      <c r="H487" s="3"/>
      <c r="I487" s="3"/>
    </row>
    <row r="488" spans="1:9" x14ac:dyDescent="0.25">
      <c r="A488" s="9">
        <v>44196</v>
      </c>
      <c r="B488" s="3"/>
      <c r="C488" s="3"/>
      <c r="D488" s="3"/>
      <c r="E488" s="3"/>
      <c r="F488" s="3"/>
      <c r="G488" s="3"/>
      <c r="H488" s="3"/>
      <c r="I488" s="3"/>
    </row>
    <row r="489" spans="1:9" x14ac:dyDescent="0.25">
      <c r="A489" s="9">
        <v>44197</v>
      </c>
      <c r="B489" s="3"/>
      <c r="C489" s="3"/>
      <c r="D489" s="3"/>
      <c r="E489" s="3"/>
      <c r="F489" s="3"/>
      <c r="G489" s="3"/>
      <c r="H489" s="3"/>
      <c r="I489" s="3"/>
    </row>
    <row r="490" spans="1:9" x14ac:dyDescent="0.25">
      <c r="A490" s="9">
        <v>44198</v>
      </c>
      <c r="B490" s="3"/>
      <c r="C490" s="3"/>
      <c r="D490" s="3"/>
      <c r="E490" s="3"/>
      <c r="F490" s="3"/>
      <c r="G490" s="3"/>
      <c r="H490" s="3"/>
      <c r="I490" s="3"/>
    </row>
    <row r="491" spans="1:9" x14ac:dyDescent="0.25">
      <c r="A491" s="9">
        <v>44199</v>
      </c>
      <c r="B491" s="3"/>
      <c r="C491" s="3"/>
      <c r="D491" s="3"/>
      <c r="E491" s="3"/>
      <c r="F491" s="3"/>
      <c r="G491" s="3"/>
      <c r="H491" s="3"/>
      <c r="I491" s="3"/>
    </row>
    <row r="492" spans="1:9" x14ac:dyDescent="0.25">
      <c r="A492" s="9">
        <v>44200</v>
      </c>
      <c r="B492" s="3"/>
      <c r="C492" s="3"/>
      <c r="D492" s="3"/>
      <c r="E492" s="3"/>
      <c r="F492" s="3"/>
      <c r="G492" s="3"/>
      <c r="H492" s="3"/>
      <c r="I492" s="3"/>
    </row>
    <row r="493" spans="1:9" x14ac:dyDescent="0.25">
      <c r="A493" s="9">
        <v>44201</v>
      </c>
      <c r="B493" s="3"/>
      <c r="C493" s="3"/>
      <c r="D493" s="3"/>
      <c r="E493" s="3"/>
      <c r="F493" s="3"/>
      <c r="G493" s="3"/>
      <c r="H493" s="3"/>
      <c r="I493" s="3"/>
    </row>
    <row r="494" spans="1:9" x14ac:dyDescent="0.25">
      <c r="A494" s="9">
        <v>44202</v>
      </c>
      <c r="B494" s="3"/>
      <c r="C494" s="3"/>
      <c r="D494" s="3"/>
      <c r="E494" s="3"/>
      <c r="F494" s="3"/>
      <c r="G494" s="3"/>
      <c r="H494" s="3"/>
      <c r="I494" s="3"/>
    </row>
    <row r="495" spans="1:9" x14ac:dyDescent="0.25">
      <c r="A495" s="9">
        <v>44203</v>
      </c>
      <c r="B495" s="3"/>
      <c r="C495" s="3"/>
      <c r="D495" s="3"/>
      <c r="E495" s="3"/>
      <c r="F495" s="3"/>
      <c r="G495" s="3"/>
      <c r="H495" s="3"/>
      <c r="I495" s="3"/>
    </row>
    <row r="496" spans="1:9" x14ac:dyDescent="0.25">
      <c r="A496" s="9">
        <v>44204</v>
      </c>
      <c r="B496" s="3"/>
      <c r="C496" s="3"/>
      <c r="D496" s="3"/>
      <c r="E496" s="3"/>
      <c r="F496" s="3"/>
      <c r="G496" s="3"/>
      <c r="H496" s="3"/>
      <c r="I496" s="3"/>
    </row>
    <row r="497" spans="1:9" x14ac:dyDescent="0.25">
      <c r="A497" s="9">
        <v>44205</v>
      </c>
      <c r="B497" s="3"/>
      <c r="C497" s="3"/>
      <c r="D497" s="3"/>
      <c r="E497" s="3"/>
      <c r="F497" s="3"/>
      <c r="G497" s="3"/>
      <c r="H497" s="3"/>
      <c r="I497" s="3"/>
    </row>
    <row r="498" spans="1:9" x14ac:dyDescent="0.25">
      <c r="A498" s="9">
        <v>44206</v>
      </c>
      <c r="B498" s="3"/>
      <c r="C498" s="3"/>
      <c r="D498" s="3"/>
      <c r="E498" s="3"/>
      <c r="F498" s="3"/>
      <c r="G498" s="3"/>
      <c r="H498" s="3"/>
      <c r="I498" s="3"/>
    </row>
    <row r="499" spans="1:9" x14ac:dyDescent="0.25">
      <c r="A499" s="9">
        <v>44207</v>
      </c>
      <c r="B499" s="3"/>
      <c r="C499" s="3"/>
      <c r="D499" s="3"/>
      <c r="E499" s="3"/>
      <c r="F499" s="3"/>
      <c r="G499" s="3"/>
      <c r="H499" s="3"/>
      <c r="I499" s="3"/>
    </row>
    <row r="500" spans="1:9" x14ac:dyDescent="0.25">
      <c r="A500" s="9">
        <v>44208</v>
      </c>
      <c r="B500" s="3"/>
      <c r="C500" s="3"/>
      <c r="D500" s="3"/>
      <c r="E500" s="3"/>
      <c r="F500" s="3"/>
      <c r="G500" s="3"/>
      <c r="H500" s="3"/>
      <c r="I500" s="3"/>
    </row>
    <row r="501" spans="1:9" x14ac:dyDescent="0.25">
      <c r="A501" s="9">
        <v>44209</v>
      </c>
      <c r="B501" s="3"/>
      <c r="C501" s="3"/>
      <c r="D501" s="3"/>
      <c r="E501" s="3"/>
      <c r="F501" s="3"/>
      <c r="G501" s="3"/>
      <c r="H501" s="3"/>
      <c r="I501" s="3"/>
    </row>
    <row r="502" spans="1:9" x14ac:dyDescent="0.25">
      <c r="A502" s="9">
        <v>44210</v>
      </c>
      <c r="B502" s="3"/>
      <c r="C502" s="3"/>
      <c r="D502" s="3"/>
      <c r="E502" s="3"/>
      <c r="F502" s="3"/>
      <c r="G502" s="3"/>
      <c r="H502" s="3"/>
      <c r="I502" s="3"/>
    </row>
    <row r="503" spans="1:9" x14ac:dyDescent="0.25">
      <c r="A503" s="9">
        <v>44211</v>
      </c>
      <c r="B503" s="3"/>
      <c r="C503" s="3"/>
      <c r="D503" s="3"/>
      <c r="E503" s="3"/>
      <c r="F503" s="3"/>
      <c r="G503" s="3"/>
      <c r="H503" s="3"/>
      <c r="I503" s="3"/>
    </row>
    <row r="504" spans="1:9" x14ac:dyDescent="0.25">
      <c r="A504" s="9">
        <v>44212</v>
      </c>
      <c r="B504" s="3"/>
      <c r="C504" s="3"/>
      <c r="D504" s="3"/>
      <c r="E504" s="3"/>
      <c r="F504" s="3"/>
      <c r="G504" s="3"/>
      <c r="H504" s="3"/>
      <c r="I504" s="3"/>
    </row>
    <row r="505" spans="1:9" x14ac:dyDescent="0.25">
      <c r="A505" s="9">
        <v>44213</v>
      </c>
      <c r="B505" s="3"/>
      <c r="C505" s="3"/>
      <c r="D505" s="3"/>
      <c r="E505" s="3"/>
      <c r="F505" s="3"/>
      <c r="G505" s="3"/>
      <c r="H505" s="3"/>
      <c r="I505" s="3"/>
    </row>
    <row r="506" spans="1:9" x14ac:dyDescent="0.25">
      <c r="A506" s="9">
        <v>44214</v>
      </c>
      <c r="B506" s="3"/>
      <c r="C506" s="3"/>
      <c r="D506" s="3"/>
      <c r="E506" s="3"/>
      <c r="F506" s="3"/>
      <c r="G506" s="3"/>
      <c r="H506" s="3"/>
      <c r="I506" s="3"/>
    </row>
    <row r="507" spans="1:9" x14ac:dyDescent="0.25">
      <c r="A507" s="9">
        <v>44215</v>
      </c>
      <c r="B507" s="3"/>
      <c r="C507" s="3"/>
      <c r="D507" s="3"/>
      <c r="E507" s="3"/>
      <c r="F507" s="3"/>
      <c r="G507" s="3"/>
      <c r="H507" s="3"/>
      <c r="I507" s="3"/>
    </row>
    <row r="508" spans="1:9" x14ac:dyDescent="0.25">
      <c r="A508" s="9">
        <v>44216</v>
      </c>
      <c r="B508" s="3"/>
      <c r="C508" s="3"/>
      <c r="D508" s="3"/>
      <c r="E508" s="3"/>
      <c r="F508" s="3"/>
      <c r="G508" s="3"/>
      <c r="H508" s="3"/>
      <c r="I508" s="3"/>
    </row>
    <row r="509" spans="1:9" x14ac:dyDescent="0.25">
      <c r="A509" s="9">
        <v>44217</v>
      </c>
      <c r="B509" s="3"/>
      <c r="C509" s="3"/>
      <c r="D509" s="3"/>
      <c r="E509" s="3"/>
      <c r="F509" s="3"/>
      <c r="G509" s="3"/>
      <c r="H509" s="3"/>
      <c r="I509" s="3"/>
    </row>
    <row r="510" spans="1:9" x14ac:dyDescent="0.25">
      <c r="A510" s="9">
        <v>44218</v>
      </c>
      <c r="B510" s="3"/>
      <c r="C510" s="3"/>
      <c r="D510" s="3"/>
      <c r="E510" s="3"/>
      <c r="F510" s="3"/>
      <c r="G510" s="3"/>
      <c r="H510" s="3"/>
      <c r="I510" s="3"/>
    </row>
    <row r="511" spans="1:9" x14ac:dyDescent="0.25">
      <c r="A511" s="9">
        <v>44219</v>
      </c>
      <c r="B511" s="3"/>
      <c r="C511" s="3"/>
      <c r="D511" s="3"/>
      <c r="E511" s="3"/>
      <c r="F511" s="3"/>
      <c r="G511" s="3"/>
      <c r="H511" s="3"/>
      <c r="I511" s="3"/>
    </row>
    <row r="512" spans="1:9" x14ac:dyDescent="0.25">
      <c r="A512" s="9">
        <v>44220</v>
      </c>
      <c r="B512" s="3"/>
      <c r="C512" s="3"/>
      <c r="D512" s="3"/>
      <c r="E512" s="3"/>
      <c r="F512" s="3"/>
      <c r="G512" s="3"/>
      <c r="H512" s="3"/>
      <c r="I512" s="3"/>
    </row>
    <row r="513" spans="1:9" x14ac:dyDescent="0.25">
      <c r="A513" s="9">
        <v>44221</v>
      </c>
      <c r="B513" s="3"/>
      <c r="C513" s="3"/>
      <c r="D513" s="3"/>
      <c r="E513" s="3"/>
      <c r="F513" s="3"/>
      <c r="G513" s="3"/>
      <c r="H513" s="3"/>
      <c r="I513" s="3"/>
    </row>
    <row r="514" spans="1:9" x14ac:dyDescent="0.25">
      <c r="A514" s="9">
        <v>44222</v>
      </c>
      <c r="B514" s="3"/>
      <c r="C514" s="3"/>
      <c r="D514" s="3"/>
      <c r="E514" s="3"/>
      <c r="F514" s="3"/>
      <c r="G514" s="3"/>
      <c r="H514" s="3"/>
      <c r="I514" s="3"/>
    </row>
    <row r="515" spans="1:9" x14ac:dyDescent="0.25">
      <c r="A515" s="9">
        <v>44223</v>
      </c>
      <c r="B515" s="3"/>
      <c r="C515" s="3"/>
      <c r="D515" s="3"/>
      <c r="E515" s="3"/>
      <c r="F515" s="3"/>
      <c r="G515" s="3"/>
      <c r="H515" s="3"/>
      <c r="I515" s="3"/>
    </row>
    <row r="516" spans="1:9" x14ac:dyDescent="0.25">
      <c r="A516" s="9">
        <v>44224</v>
      </c>
      <c r="B516" s="3"/>
      <c r="C516" s="3"/>
      <c r="D516" s="3"/>
      <c r="E516" s="3"/>
      <c r="F516" s="3"/>
      <c r="G516" s="3"/>
      <c r="H516" s="3"/>
      <c r="I516" s="3"/>
    </row>
    <row r="517" spans="1:9" x14ac:dyDescent="0.25">
      <c r="A517" s="9">
        <v>44225</v>
      </c>
      <c r="B517" s="3"/>
      <c r="C517" s="3"/>
      <c r="D517" s="3"/>
      <c r="E517" s="3"/>
      <c r="F517" s="3"/>
      <c r="G517" s="3"/>
      <c r="H517" s="3"/>
      <c r="I517" s="3"/>
    </row>
    <row r="518" spans="1:9" x14ac:dyDescent="0.25">
      <c r="A518" s="9">
        <v>44226</v>
      </c>
      <c r="B518" s="3"/>
      <c r="C518" s="3"/>
      <c r="D518" s="3"/>
      <c r="E518" s="3"/>
      <c r="F518" s="3"/>
      <c r="G518" s="3"/>
      <c r="H518" s="3"/>
      <c r="I518" s="3"/>
    </row>
    <row r="519" spans="1:9" x14ac:dyDescent="0.25">
      <c r="A519" s="9">
        <v>44227</v>
      </c>
      <c r="B519" s="3"/>
      <c r="C519" s="3"/>
      <c r="D519" s="3"/>
      <c r="E519" s="3"/>
      <c r="F519" s="3"/>
      <c r="G519" s="3"/>
      <c r="H519" s="3"/>
      <c r="I519" s="3"/>
    </row>
    <row r="520" spans="1:9" x14ac:dyDescent="0.25">
      <c r="A520" s="9">
        <v>44228</v>
      </c>
      <c r="B520" s="3"/>
      <c r="C520" s="3"/>
      <c r="D520" s="3"/>
      <c r="E520" s="3"/>
      <c r="F520" s="3"/>
      <c r="G520" s="3"/>
      <c r="H520" s="3"/>
      <c r="I520" s="3"/>
    </row>
    <row r="521" spans="1:9" x14ac:dyDescent="0.25">
      <c r="A521" s="9">
        <v>44229</v>
      </c>
      <c r="B521" s="3"/>
      <c r="C521" s="3"/>
      <c r="D521" s="3"/>
      <c r="E521" s="3"/>
      <c r="F521" s="3"/>
      <c r="G521" s="3"/>
      <c r="H521" s="3"/>
      <c r="I521" s="3"/>
    </row>
    <row r="522" spans="1:9" x14ac:dyDescent="0.25">
      <c r="A522" s="9">
        <v>44230</v>
      </c>
      <c r="B522" s="3"/>
      <c r="C522" s="3"/>
      <c r="D522" s="3"/>
      <c r="E522" s="3"/>
      <c r="F522" s="3"/>
      <c r="G522" s="3"/>
      <c r="H522" s="3"/>
      <c r="I522" s="3"/>
    </row>
    <row r="523" spans="1:9" x14ac:dyDescent="0.25">
      <c r="A523" s="9">
        <v>44231</v>
      </c>
      <c r="B523" s="3"/>
      <c r="C523" s="3"/>
      <c r="D523" s="3"/>
      <c r="E523" s="3"/>
      <c r="F523" s="3"/>
      <c r="G523" s="3"/>
      <c r="H523" s="3"/>
      <c r="I523" s="3"/>
    </row>
    <row r="524" spans="1:9" x14ac:dyDescent="0.25">
      <c r="A524" s="9">
        <v>44232</v>
      </c>
      <c r="B524" s="3"/>
      <c r="C524" s="3"/>
      <c r="D524" s="3"/>
      <c r="E524" s="3"/>
      <c r="F524" s="3"/>
      <c r="G524" s="3"/>
      <c r="H524" s="3"/>
      <c r="I524" s="3"/>
    </row>
    <row r="525" spans="1:9" x14ac:dyDescent="0.25">
      <c r="A525" s="9">
        <v>44233</v>
      </c>
      <c r="B525" s="3"/>
      <c r="C525" s="3"/>
      <c r="D525" s="3"/>
      <c r="E525" s="3"/>
      <c r="F525" s="3"/>
      <c r="G525" s="3"/>
      <c r="H525" s="3"/>
      <c r="I525" s="3"/>
    </row>
    <row r="526" spans="1:9" x14ac:dyDescent="0.25">
      <c r="A526" s="9">
        <v>44234</v>
      </c>
      <c r="B526" s="3"/>
      <c r="C526" s="3"/>
      <c r="D526" s="3"/>
      <c r="E526" s="3"/>
      <c r="F526" s="3"/>
      <c r="G526" s="3"/>
      <c r="H526" s="3"/>
      <c r="I526" s="3"/>
    </row>
    <row r="527" spans="1:9" x14ac:dyDescent="0.25">
      <c r="A527" s="9">
        <v>44235</v>
      </c>
      <c r="B527" s="3"/>
      <c r="C527" s="3"/>
      <c r="D527" s="3"/>
      <c r="E527" s="3"/>
      <c r="F527" s="3"/>
      <c r="G527" s="3"/>
      <c r="H527" s="3"/>
      <c r="I527" s="3"/>
    </row>
    <row r="528" spans="1:9" x14ac:dyDescent="0.25">
      <c r="A528" s="9">
        <v>44236</v>
      </c>
      <c r="B528" s="3"/>
      <c r="C528" s="3"/>
      <c r="D528" s="3"/>
      <c r="E528" s="3"/>
      <c r="F528" s="3"/>
      <c r="G528" s="3"/>
      <c r="H528" s="3"/>
      <c r="I528" s="3"/>
    </row>
    <row r="529" spans="1:9" x14ac:dyDescent="0.25">
      <c r="A529" s="9">
        <v>44237</v>
      </c>
      <c r="B529" s="3"/>
      <c r="C529" s="3"/>
      <c r="D529" s="3"/>
      <c r="E529" s="3"/>
      <c r="F529" s="3"/>
      <c r="G529" s="3"/>
      <c r="H529" s="3"/>
      <c r="I529" s="3"/>
    </row>
    <row r="530" spans="1:9" x14ac:dyDescent="0.25">
      <c r="A530" s="9">
        <v>44238</v>
      </c>
      <c r="B530" s="3"/>
      <c r="C530" s="3"/>
      <c r="D530" s="3"/>
      <c r="E530" s="3"/>
      <c r="F530" s="3"/>
      <c r="G530" s="3"/>
      <c r="H530" s="3"/>
      <c r="I530" s="3"/>
    </row>
    <row r="531" spans="1:9" x14ac:dyDescent="0.25">
      <c r="A531" s="9">
        <v>44239</v>
      </c>
      <c r="B531" s="3"/>
      <c r="C531" s="3"/>
      <c r="D531" s="3"/>
      <c r="E531" s="3"/>
      <c r="F531" s="3"/>
      <c r="G531" s="3"/>
      <c r="H531" s="3"/>
      <c r="I531" s="3"/>
    </row>
    <row r="532" spans="1:9" x14ac:dyDescent="0.25">
      <c r="A532" s="9">
        <v>44240</v>
      </c>
      <c r="B532" s="3"/>
      <c r="C532" s="3"/>
      <c r="D532" s="3"/>
      <c r="E532" s="3"/>
      <c r="F532" s="3"/>
      <c r="G532" s="3"/>
      <c r="H532" s="3"/>
      <c r="I532" s="3"/>
    </row>
    <row r="533" spans="1:9" x14ac:dyDescent="0.25">
      <c r="A533" s="9">
        <v>44241</v>
      </c>
      <c r="B533" s="3"/>
      <c r="C533" s="3"/>
      <c r="D533" s="3"/>
      <c r="E533" s="3"/>
      <c r="F533" s="3"/>
      <c r="G533" s="3"/>
      <c r="H533" s="3"/>
      <c r="I533" s="3"/>
    </row>
    <row r="534" spans="1:9" x14ac:dyDescent="0.25">
      <c r="A534" s="9">
        <v>44242</v>
      </c>
      <c r="B534" s="3"/>
      <c r="C534" s="3"/>
      <c r="D534" s="3"/>
      <c r="E534" s="3"/>
      <c r="F534" s="3"/>
      <c r="G534" s="3"/>
      <c r="H534" s="3"/>
      <c r="I534" s="3"/>
    </row>
    <row r="535" spans="1:9" x14ac:dyDescent="0.25">
      <c r="A535" s="9">
        <v>44243</v>
      </c>
      <c r="B535" s="3"/>
      <c r="C535" s="3"/>
      <c r="D535" s="3"/>
      <c r="E535" s="3"/>
      <c r="F535" s="3"/>
      <c r="G535" s="3"/>
      <c r="H535" s="3"/>
      <c r="I535" s="3"/>
    </row>
    <row r="536" spans="1:9" x14ac:dyDescent="0.25">
      <c r="A536" s="9">
        <v>44244</v>
      </c>
      <c r="B536" s="3"/>
      <c r="C536" s="3"/>
      <c r="D536" s="3"/>
      <c r="E536" s="3"/>
      <c r="F536" s="3"/>
      <c r="G536" s="3"/>
      <c r="H536" s="3"/>
      <c r="I536" s="3"/>
    </row>
    <row r="537" spans="1:9" x14ac:dyDescent="0.25">
      <c r="A537" s="9">
        <v>44245</v>
      </c>
      <c r="B537" s="3"/>
      <c r="C537" s="3"/>
      <c r="D537" s="3"/>
      <c r="E537" s="3"/>
      <c r="F537" s="3"/>
      <c r="G537" s="3"/>
      <c r="H537" s="3"/>
      <c r="I537" s="3"/>
    </row>
    <row r="538" spans="1:9" x14ac:dyDescent="0.25">
      <c r="A538" s="9">
        <v>44246</v>
      </c>
      <c r="B538" s="3"/>
      <c r="C538" s="3"/>
      <c r="D538" s="3"/>
      <c r="E538" s="3"/>
      <c r="F538" s="3"/>
      <c r="G538" s="3"/>
      <c r="H538" s="3"/>
      <c r="I538" s="3"/>
    </row>
    <row r="539" spans="1:9" x14ac:dyDescent="0.25">
      <c r="A539" s="9">
        <v>44247</v>
      </c>
      <c r="B539" s="3"/>
      <c r="C539" s="3"/>
      <c r="D539" s="3"/>
      <c r="E539" s="3"/>
      <c r="F539" s="3"/>
      <c r="G539" s="3"/>
      <c r="H539" s="3"/>
      <c r="I539" s="3"/>
    </row>
    <row r="540" spans="1:9" x14ac:dyDescent="0.25">
      <c r="A540" s="9">
        <v>44248</v>
      </c>
      <c r="B540" s="3"/>
      <c r="C540" s="3"/>
      <c r="D540" s="3"/>
      <c r="E540" s="3"/>
      <c r="F540" s="3"/>
      <c r="G540" s="3"/>
      <c r="H540" s="3"/>
      <c r="I540" s="3"/>
    </row>
    <row r="541" spans="1:9" x14ac:dyDescent="0.25">
      <c r="A541" s="9">
        <v>44249</v>
      </c>
      <c r="B541" s="3"/>
      <c r="C541" s="3"/>
      <c r="D541" s="3"/>
      <c r="E541" s="3"/>
      <c r="F541" s="3"/>
      <c r="G541" s="3"/>
      <c r="H541" s="3"/>
      <c r="I541" s="3"/>
    </row>
    <row r="542" spans="1:9" x14ac:dyDescent="0.25">
      <c r="A542" s="9">
        <v>44250</v>
      </c>
      <c r="B542" s="3"/>
      <c r="C542" s="3"/>
      <c r="D542" s="3"/>
      <c r="E542" s="3"/>
      <c r="F542" s="3"/>
      <c r="G542" s="3"/>
      <c r="H542" s="3"/>
      <c r="I542" s="3"/>
    </row>
    <row r="543" spans="1:9" x14ac:dyDescent="0.25">
      <c r="A543" s="9">
        <v>44251</v>
      </c>
      <c r="B543" s="3"/>
      <c r="C543" s="3"/>
      <c r="D543" s="3"/>
      <c r="E543" s="3"/>
      <c r="F543" s="3"/>
      <c r="G543" s="3"/>
      <c r="H543" s="3"/>
      <c r="I543" s="3"/>
    </row>
    <row r="544" spans="1:9" x14ac:dyDescent="0.25">
      <c r="A544" s="9">
        <v>44252</v>
      </c>
      <c r="B544" s="3"/>
      <c r="C544" s="3"/>
      <c r="D544" s="3"/>
      <c r="E544" s="3"/>
      <c r="F544" s="3"/>
      <c r="G544" s="3"/>
      <c r="H544" s="3"/>
      <c r="I544" s="3"/>
    </row>
    <row r="545" spans="1:9" x14ac:dyDescent="0.25">
      <c r="A545" s="9">
        <v>44253</v>
      </c>
      <c r="B545" s="3"/>
      <c r="C545" s="3"/>
      <c r="D545" s="3"/>
      <c r="E545" s="3"/>
      <c r="F545" s="3"/>
      <c r="G545" s="3"/>
      <c r="H545" s="3"/>
      <c r="I545" s="3"/>
    </row>
    <row r="546" spans="1:9" x14ac:dyDescent="0.25">
      <c r="A546" s="9">
        <v>44254</v>
      </c>
      <c r="B546" s="3"/>
      <c r="C546" s="3"/>
      <c r="D546" s="3"/>
      <c r="E546" s="3"/>
      <c r="F546" s="3"/>
      <c r="G546" s="3"/>
      <c r="H546" s="3"/>
      <c r="I546" s="3"/>
    </row>
    <row r="547" spans="1:9" x14ac:dyDescent="0.25">
      <c r="A547" s="9">
        <v>44255</v>
      </c>
      <c r="B547" s="3"/>
      <c r="C547" s="3"/>
      <c r="D547" s="3"/>
      <c r="E547" s="3"/>
      <c r="F547" s="3"/>
      <c r="G547" s="3"/>
      <c r="H547" s="3"/>
      <c r="I547" s="3"/>
    </row>
    <row r="548" spans="1:9" x14ac:dyDescent="0.25">
      <c r="A548" s="9">
        <v>44256</v>
      </c>
      <c r="B548" s="3"/>
      <c r="C548" s="3"/>
      <c r="D548" s="3"/>
      <c r="E548" s="3"/>
      <c r="F548" s="3"/>
      <c r="G548" s="3"/>
      <c r="H548" s="3"/>
      <c r="I548" s="3"/>
    </row>
    <row r="549" spans="1:9" x14ac:dyDescent="0.25">
      <c r="A549" s="9">
        <v>44257</v>
      </c>
      <c r="B549" s="3"/>
      <c r="C549" s="3"/>
      <c r="D549" s="3"/>
      <c r="E549" s="3"/>
      <c r="F549" s="3"/>
      <c r="G549" s="3"/>
      <c r="H549" s="3"/>
      <c r="I549" s="3"/>
    </row>
    <row r="550" spans="1:9" x14ac:dyDescent="0.25">
      <c r="A550" s="9">
        <v>44258</v>
      </c>
      <c r="B550" s="3"/>
      <c r="C550" s="3"/>
      <c r="D550" s="3"/>
      <c r="E550" s="3"/>
      <c r="F550" s="3"/>
      <c r="G550" s="3"/>
      <c r="H550" s="3"/>
      <c r="I550" s="3"/>
    </row>
    <row r="551" spans="1:9" x14ac:dyDescent="0.25">
      <c r="A551" s="9">
        <v>44259</v>
      </c>
      <c r="B551" s="3"/>
      <c r="C551" s="3"/>
      <c r="D551" s="3"/>
      <c r="E551" s="3"/>
      <c r="F551" s="3"/>
      <c r="G551" s="3"/>
      <c r="H551" s="3"/>
      <c r="I551" s="3"/>
    </row>
    <row r="552" spans="1:9" x14ac:dyDescent="0.25">
      <c r="A552" s="9">
        <v>44260</v>
      </c>
      <c r="B552" s="3"/>
      <c r="C552" s="3"/>
      <c r="D552" s="3"/>
      <c r="E552" s="3"/>
      <c r="F552" s="3"/>
      <c r="G552" s="3"/>
      <c r="H552" s="3"/>
      <c r="I552" s="3"/>
    </row>
    <row r="553" spans="1:9" x14ac:dyDescent="0.25">
      <c r="A553" s="9">
        <v>44261</v>
      </c>
      <c r="B553" s="3"/>
      <c r="C553" s="3"/>
      <c r="D553" s="3"/>
      <c r="E553" s="3"/>
      <c r="F553" s="3"/>
      <c r="G553" s="3"/>
      <c r="H553" s="3"/>
      <c r="I553" s="3"/>
    </row>
    <row r="554" spans="1:9" x14ac:dyDescent="0.25">
      <c r="A554" s="9">
        <v>44262</v>
      </c>
      <c r="B554" s="3"/>
      <c r="C554" s="3"/>
      <c r="D554" s="3"/>
      <c r="E554" s="3"/>
      <c r="F554" s="3"/>
      <c r="G554" s="3"/>
      <c r="H554" s="3"/>
      <c r="I554" s="3"/>
    </row>
    <row r="555" spans="1:9" x14ac:dyDescent="0.25">
      <c r="A555" s="9">
        <v>44263</v>
      </c>
      <c r="B555" s="3"/>
      <c r="C555" s="3"/>
      <c r="D555" s="3"/>
      <c r="E555" s="3"/>
      <c r="F555" s="3"/>
      <c r="G555" s="3"/>
      <c r="H555" s="3"/>
      <c r="I555" s="3"/>
    </row>
    <row r="556" spans="1:9" x14ac:dyDescent="0.25">
      <c r="A556" s="9">
        <v>44264</v>
      </c>
      <c r="B556" s="3"/>
      <c r="C556" s="3"/>
      <c r="D556" s="3"/>
      <c r="E556" s="3"/>
      <c r="F556" s="3"/>
      <c r="G556" s="3"/>
      <c r="H556" s="3"/>
      <c r="I556" s="3"/>
    </row>
    <row r="557" spans="1:9" x14ac:dyDescent="0.25">
      <c r="A557" s="9">
        <v>44265</v>
      </c>
      <c r="B557" s="3"/>
      <c r="C557" s="3"/>
      <c r="D557" s="3"/>
      <c r="E557" s="3"/>
      <c r="F557" s="3"/>
      <c r="G557" s="3"/>
      <c r="H557" s="3"/>
      <c r="I557" s="3"/>
    </row>
    <row r="558" spans="1:9" x14ac:dyDescent="0.25">
      <c r="A558" s="9">
        <v>44266</v>
      </c>
      <c r="B558" s="3"/>
      <c r="C558" s="3"/>
      <c r="D558" s="3"/>
      <c r="E558" s="3"/>
      <c r="F558" s="3"/>
      <c r="G558" s="3"/>
      <c r="H558" s="3"/>
      <c r="I558" s="3"/>
    </row>
    <row r="559" spans="1:9" x14ac:dyDescent="0.25">
      <c r="A559" s="9">
        <v>44267</v>
      </c>
      <c r="B559" s="3"/>
      <c r="C559" s="3"/>
      <c r="D559" s="3"/>
      <c r="E559" s="3"/>
      <c r="F559" s="3"/>
      <c r="G559" s="3"/>
      <c r="H559" s="3"/>
      <c r="I559" s="3"/>
    </row>
    <row r="560" spans="1:9" x14ac:dyDescent="0.25">
      <c r="A560" s="9">
        <v>44268</v>
      </c>
      <c r="B560" s="3"/>
      <c r="C560" s="3"/>
      <c r="D560" s="3"/>
      <c r="E560" s="3"/>
      <c r="F560" s="3"/>
      <c r="G560" s="3"/>
      <c r="H560" s="3"/>
      <c r="I560" s="3"/>
    </row>
    <row r="561" spans="1:9" x14ac:dyDescent="0.25">
      <c r="A561" s="9">
        <v>44269</v>
      </c>
      <c r="B561" s="3"/>
      <c r="C561" s="3"/>
      <c r="D561" s="3"/>
      <c r="E561" s="3"/>
      <c r="F561" s="3"/>
      <c r="G561" s="3"/>
      <c r="H561" s="3"/>
      <c r="I561" s="3"/>
    </row>
    <row r="562" spans="1:9" x14ac:dyDescent="0.25">
      <c r="A562" s="9">
        <v>44270</v>
      </c>
      <c r="B562" s="3"/>
      <c r="C562" s="3"/>
      <c r="D562" s="3"/>
      <c r="E562" s="3"/>
      <c r="F562" s="3"/>
      <c r="G562" s="3"/>
      <c r="H562" s="3"/>
      <c r="I562" s="3"/>
    </row>
    <row r="563" spans="1:9" x14ac:dyDescent="0.25">
      <c r="A563" s="9">
        <v>44271</v>
      </c>
      <c r="B563" s="3"/>
      <c r="C563" s="3"/>
      <c r="D563" s="3"/>
      <c r="E563" s="3"/>
      <c r="F563" s="3"/>
      <c r="G563" s="3"/>
      <c r="H563" s="3"/>
      <c r="I563" s="3"/>
    </row>
    <row r="564" spans="1:9" x14ac:dyDescent="0.25">
      <c r="A564" s="9">
        <v>44272</v>
      </c>
      <c r="B564" s="3"/>
      <c r="C564" s="3"/>
      <c r="D564" s="3"/>
      <c r="E564" s="3"/>
      <c r="F564" s="3"/>
      <c r="G564" s="3"/>
      <c r="H564" s="3"/>
      <c r="I564" s="3"/>
    </row>
    <row r="565" spans="1:9" x14ac:dyDescent="0.25">
      <c r="A565" s="9">
        <v>44273</v>
      </c>
      <c r="B565" s="3"/>
      <c r="C565" s="3"/>
      <c r="D565" s="3"/>
      <c r="E565" s="3"/>
      <c r="F565" s="3"/>
      <c r="G565" s="3"/>
      <c r="H565" s="3"/>
      <c r="I565" s="3"/>
    </row>
    <row r="566" spans="1:9" x14ac:dyDescent="0.25">
      <c r="A566" s="9">
        <v>44274</v>
      </c>
      <c r="B566" s="3"/>
      <c r="C566" s="3"/>
      <c r="D566" s="3"/>
      <c r="E566" s="3"/>
      <c r="F566" s="3"/>
      <c r="G566" s="3"/>
      <c r="H566" s="3"/>
      <c r="I566" s="3"/>
    </row>
    <row r="567" spans="1:9" x14ac:dyDescent="0.25">
      <c r="A567" s="9">
        <v>44275</v>
      </c>
      <c r="B567" s="3"/>
      <c r="C567" s="3"/>
      <c r="D567" s="3"/>
      <c r="E567" s="3"/>
      <c r="F567" s="3"/>
      <c r="G567" s="3"/>
      <c r="H567" s="3"/>
      <c r="I567" s="3"/>
    </row>
    <row r="568" spans="1:9" x14ac:dyDescent="0.25">
      <c r="A568" s="9">
        <v>44276</v>
      </c>
      <c r="B568" s="3"/>
      <c r="C568" s="3"/>
      <c r="D568" s="3"/>
      <c r="E568" s="3"/>
      <c r="F568" s="3"/>
      <c r="G568" s="3"/>
      <c r="H568" s="3"/>
      <c r="I568" s="3"/>
    </row>
    <row r="569" spans="1:9" x14ac:dyDescent="0.25">
      <c r="A569" s="9">
        <v>44277</v>
      </c>
      <c r="B569" s="3"/>
      <c r="C569" s="3"/>
      <c r="D569" s="3"/>
      <c r="E569" s="3"/>
      <c r="F569" s="3"/>
      <c r="G569" s="3"/>
      <c r="H569" s="3"/>
      <c r="I569" s="3"/>
    </row>
    <row r="570" spans="1:9" x14ac:dyDescent="0.25">
      <c r="A570" s="9">
        <v>44278</v>
      </c>
      <c r="B570" s="3"/>
      <c r="C570" s="3"/>
      <c r="D570" s="3"/>
      <c r="E570" s="3"/>
      <c r="F570" s="3"/>
      <c r="G570" s="3"/>
      <c r="H570" s="3"/>
      <c r="I570" s="3"/>
    </row>
    <row r="571" spans="1:9" x14ac:dyDescent="0.25">
      <c r="A571" s="9">
        <v>44279</v>
      </c>
      <c r="B571" s="3"/>
      <c r="C571" s="3"/>
      <c r="D571" s="3"/>
      <c r="E571" s="3"/>
      <c r="F571" s="3"/>
      <c r="G571" s="3"/>
      <c r="H571" s="3"/>
      <c r="I571" s="3"/>
    </row>
    <row r="572" spans="1:9" x14ac:dyDescent="0.25">
      <c r="A572" s="9">
        <v>44280</v>
      </c>
      <c r="B572" s="3"/>
      <c r="C572" s="3"/>
      <c r="D572" s="3"/>
      <c r="E572" s="3"/>
      <c r="F572" s="3"/>
      <c r="G572" s="3"/>
      <c r="H572" s="3"/>
      <c r="I572" s="3"/>
    </row>
    <row r="573" spans="1:9" x14ac:dyDescent="0.25">
      <c r="A573" s="9">
        <v>44281</v>
      </c>
      <c r="B573" s="3"/>
      <c r="C573" s="3"/>
      <c r="D573" s="3"/>
      <c r="E573" s="3"/>
      <c r="F573" s="3"/>
      <c r="G573" s="3"/>
      <c r="H573" s="3"/>
      <c r="I573" s="3"/>
    </row>
    <row r="574" spans="1:9" x14ac:dyDescent="0.25">
      <c r="A574" s="9">
        <v>44282</v>
      </c>
      <c r="B574" s="3"/>
      <c r="C574" s="3"/>
      <c r="D574" s="3"/>
      <c r="E574" s="3"/>
      <c r="F574" s="3"/>
      <c r="G574" s="3"/>
      <c r="H574" s="3"/>
      <c r="I574" s="3"/>
    </row>
    <row r="575" spans="1:9" x14ac:dyDescent="0.25">
      <c r="A575" s="9">
        <v>44283</v>
      </c>
      <c r="B575" s="3"/>
      <c r="C575" s="3"/>
      <c r="D575" s="3"/>
      <c r="E575" s="3"/>
      <c r="F575" s="3"/>
      <c r="G575" s="3"/>
      <c r="H575" s="3"/>
      <c r="I575" s="3"/>
    </row>
    <row r="576" spans="1:9" x14ac:dyDescent="0.25">
      <c r="A576" s="9">
        <v>44284</v>
      </c>
      <c r="B576" s="3"/>
      <c r="C576" s="3"/>
      <c r="D576" s="3"/>
      <c r="E576" s="3"/>
      <c r="F576" s="3"/>
      <c r="G576" s="3"/>
      <c r="H576" s="3"/>
      <c r="I576" s="3"/>
    </row>
    <row r="577" spans="1:9" x14ac:dyDescent="0.25">
      <c r="A577" s="9">
        <v>44285</v>
      </c>
      <c r="B577" s="3"/>
      <c r="C577" s="3"/>
      <c r="D577" s="3"/>
      <c r="E577" s="3"/>
      <c r="F577" s="3"/>
      <c r="G577" s="3"/>
      <c r="H577" s="3"/>
      <c r="I577" s="3"/>
    </row>
    <row r="578" spans="1:9" x14ac:dyDescent="0.25">
      <c r="A578" s="9">
        <v>44286</v>
      </c>
      <c r="B578" s="3"/>
      <c r="C578" s="3"/>
      <c r="D578" s="3"/>
      <c r="E578" s="3"/>
      <c r="F578" s="3"/>
      <c r="G578" s="3"/>
      <c r="H578" s="3"/>
      <c r="I578" s="3"/>
    </row>
    <row r="579" spans="1:9" x14ac:dyDescent="0.25">
      <c r="A579" s="9">
        <v>44287</v>
      </c>
      <c r="B579" s="3"/>
      <c r="C579" s="3"/>
      <c r="D579" s="3"/>
      <c r="E579" s="3"/>
      <c r="F579" s="3"/>
      <c r="G579" s="3"/>
      <c r="H579" s="3"/>
      <c r="I579" s="3"/>
    </row>
    <row r="580" spans="1:9" x14ac:dyDescent="0.25">
      <c r="A580" s="9">
        <v>44288</v>
      </c>
      <c r="B580" s="3"/>
      <c r="C580" s="3"/>
      <c r="D580" s="3"/>
      <c r="E580" s="3"/>
      <c r="F580" s="3"/>
      <c r="G580" s="3"/>
      <c r="H580" s="3"/>
      <c r="I580" s="3"/>
    </row>
    <row r="581" spans="1:9" x14ac:dyDescent="0.25">
      <c r="A581" s="9">
        <v>44289</v>
      </c>
      <c r="B581" s="3"/>
      <c r="C581" s="3"/>
      <c r="D581" s="3"/>
      <c r="E581" s="3"/>
      <c r="F581" s="3"/>
      <c r="G581" s="3"/>
      <c r="H581" s="3"/>
      <c r="I581" s="3"/>
    </row>
    <row r="582" spans="1:9" x14ac:dyDescent="0.25">
      <c r="A582" s="9">
        <v>44290</v>
      </c>
      <c r="B582" s="3"/>
      <c r="C582" s="3"/>
      <c r="D582" s="3"/>
      <c r="E582" s="3"/>
      <c r="F582" s="3"/>
      <c r="G582" s="3"/>
      <c r="H582" s="3"/>
      <c r="I582" s="3"/>
    </row>
    <row r="583" spans="1:9" x14ac:dyDescent="0.25">
      <c r="A583" s="9">
        <v>44291</v>
      </c>
      <c r="B583" s="3"/>
      <c r="C583" s="3"/>
      <c r="D583" s="3"/>
      <c r="E583" s="3"/>
      <c r="F583" s="3"/>
      <c r="G583" s="3"/>
      <c r="H583" s="3"/>
      <c r="I583" s="3"/>
    </row>
    <row r="584" spans="1:9" x14ac:dyDescent="0.25">
      <c r="A584" s="9">
        <v>44292</v>
      </c>
      <c r="B584" s="3"/>
      <c r="C584" s="3"/>
      <c r="D584" s="3"/>
      <c r="E584" s="3"/>
      <c r="F584" s="3"/>
      <c r="G584" s="3"/>
      <c r="H584" s="3"/>
      <c r="I584" s="3"/>
    </row>
    <row r="585" spans="1:9" x14ac:dyDescent="0.25">
      <c r="A585" s="9">
        <v>44293</v>
      </c>
      <c r="B585" s="3"/>
      <c r="C585" s="3"/>
      <c r="D585" s="3"/>
      <c r="E585" s="3"/>
      <c r="F585" s="3"/>
      <c r="G585" s="3"/>
      <c r="H585" s="3"/>
      <c r="I585" s="3"/>
    </row>
    <row r="586" spans="1:9" x14ac:dyDescent="0.25">
      <c r="A586" s="9">
        <v>44294</v>
      </c>
      <c r="B586" s="3"/>
      <c r="C586" s="3"/>
      <c r="D586" s="3"/>
      <c r="E586" s="3"/>
      <c r="F586" s="3"/>
      <c r="G586" s="3"/>
      <c r="H586" s="3"/>
      <c r="I586" s="3"/>
    </row>
    <row r="587" spans="1:9" x14ac:dyDescent="0.25">
      <c r="A587" s="9">
        <v>44295</v>
      </c>
      <c r="B587" s="3"/>
      <c r="C587" s="3"/>
      <c r="D587" s="3"/>
      <c r="E587" s="3"/>
      <c r="F587" s="3"/>
      <c r="G587" s="3"/>
      <c r="H587" s="3"/>
      <c r="I587" s="3"/>
    </row>
    <row r="588" spans="1:9" x14ac:dyDescent="0.25">
      <c r="A588" s="9">
        <v>44296</v>
      </c>
      <c r="B588" s="3"/>
      <c r="C588" s="3"/>
      <c r="D588" s="3"/>
      <c r="E588" s="3"/>
      <c r="F588" s="3"/>
      <c r="G588" s="3"/>
      <c r="H588" s="3"/>
      <c r="I588" s="3"/>
    </row>
    <row r="589" spans="1:9" x14ac:dyDescent="0.25">
      <c r="A589" s="9">
        <v>44297</v>
      </c>
      <c r="B589" s="3"/>
      <c r="C589" s="3"/>
      <c r="D589" s="3"/>
      <c r="E589" s="3"/>
      <c r="F589" s="3"/>
      <c r="G589" s="3"/>
      <c r="H589" s="3"/>
      <c r="I589" s="3"/>
    </row>
    <row r="590" spans="1:9" x14ac:dyDescent="0.25">
      <c r="A590" s="9">
        <v>44298</v>
      </c>
      <c r="B590" s="3"/>
      <c r="C590" s="3"/>
      <c r="D590" s="3"/>
      <c r="E590" s="3"/>
      <c r="F590" s="3"/>
      <c r="G590" s="3"/>
      <c r="H590" s="3"/>
      <c r="I590" s="3"/>
    </row>
    <row r="591" spans="1:9" x14ac:dyDescent="0.25">
      <c r="A591" s="9">
        <v>44299</v>
      </c>
      <c r="B591" s="3"/>
      <c r="C591" s="3"/>
      <c r="D591" s="3"/>
      <c r="E591" s="3"/>
      <c r="F591" s="3"/>
      <c r="G591" s="3"/>
      <c r="H591" s="3"/>
      <c r="I591" s="3"/>
    </row>
    <row r="592" spans="1:9" x14ac:dyDescent="0.25">
      <c r="A592" s="9">
        <v>44300</v>
      </c>
      <c r="B592" s="3"/>
      <c r="C592" s="3"/>
      <c r="D592" s="3"/>
      <c r="E592" s="3"/>
      <c r="F592" s="3"/>
      <c r="G592" s="3"/>
      <c r="H592" s="3"/>
      <c r="I592" s="3"/>
    </row>
    <row r="593" spans="1:9" x14ac:dyDescent="0.25">
      <c r="A593" s="9">
        <v>44301</v>
      </c>
      <c r="B593" s="3">
        <v>60.059796831</v>
      </c>
      <c r="C593" s="3">
        <v>34.842776502436571</v>
      </c>
      <c r="D593" s="3">
        <v>140.26507513989867</v>
      </c>
      <c r="E593" s="3">
        <v>121.5788322795221</v>
      </c>
      <c r="F593" s="2">
        <v>128.8251497126044</v>
      </c>
      <c r="G593" s="3">
        <v>39.362168664964003</v>
      </c>
      <c r="H593" s="3">
        <v>125.78124361707128</v>
      </c>
      <c r="I593" s="3">
        <v>59.323076980014882</v>
      </c>
    </row>
    <row r="594" spans="1:9" x14ac:dyDescent="0.25">
      <c r="A594" s="9">
        <v>44302</v>
      </c>
      <c r="B594" s="3">
        <v>119.0693075634</v>
      </c>
      <c r="C594" s="3">
        <v>93.932610439384149</v>
      </c>
      <c r="D594" s="3">
        <v>228.57162342268282</v>
      </c>
      <c r="E594" s="3">
        <v>179.61322632807395</v>
      </c>
      <c r="F594" s="2">
        <v>167.32941728282768</v>
      </c>
      <c r="G594" s="3">
        <v>52.189679515476776</v>
      </c>
      <c r="H594" s="3">
        <v>163.37572474402234</v>
      </c>
      <c r="I594" s="3">
        <v>120.68532314400049</v>
      </c>
    </row>
    <row r="595" spans="1:9" x14ac:dyDescent="0.25">
      <c r="A595" s="9">
        <v>44303</v>
      </c>
      <c r="B595" s="3">
        <v>0.71209800000000045</v>
      </c>
      <c r="C595" s="3">
        <v>6.0645048755988178</v>
      </c>
      <c r="D595" s="3">
        <v>7.3346052061789075</v>
      </c>
      <c r="E595" s="3">
        <v>0.90130771969749002</v>
      </c>
      <c r="F595" s="2">
        <v>40.818489112921952</v>
      </c>
      <c r="G595" s="3">
        <v>1.8453621366633413</v>
      </c>
      <c r="H595" s="3">
        <v>39.854021785707822</v>
      </c>
      <c r="I595" s="3">
        <v>28.514296948708374</v>
      </c>
    </row>
    <row r="596" spans="1:9" x14ac:dyDescent="0.25">
      <c r="A596" s="9">
        <v>44304</v>
      </c>
      <c r="B596" s="3">
        <v>3.5052008903999998</v>
      </c>
      <c r="C596" s="3">
        <v>10.283616205068181</v>
      </c>
      <c r="D596" s="3">
        <v>5.4163364228750916</v>
      </c>
      <c r="E596" s="3">
        <v>5.2090273457573932</v>
      </c>
      <c r="F596" s="2">
        <v>27.138165632441961</v>
      </c>
      <c r="G596" s="3">
        <v>5.4987587340985566</v>
      </c>
      <c r="H596" s="3">
        <v>26.496939691898028</v>
      </c>
      <c r="I596" s="3">
        <v>21.214364006974968</v>
      </c>
    </row>
    <row r="597" spans="1:9" x14ac:dyDescent="0.25">
      <c r="A597" s="9">
        <v>44305</v>
      </c>
      <c r="B597" s="3">
        <v>87.040902679200002</v>
      </c>
      <c r="C597" s="3">
        <v>23.520338029184636</v>
      </c>
      <c r="D597" s="3">
        <v>94.659077009989986</v>
      </c>
      <c r="E597" s="3">
        <v>245.12275174154561</v>
      </c>
      <c r="F597" s="2">
        <v>126.85469452549329</v>
      </c>
      <c r="G597" s="3">
        <v>18.202490724311396</v>
      </c>
      <c r="H597" s="3">
        <v>123.85734673451795</v>
      </c>
      <c r="I597" s="3">
        <v>72.677869071315541</v>
      </c>
    </row>
    <row r="598" spans="1:9" x14ac:dyDescent="0.25">
      <c r="A598" s="9">
        <v>44306</v>
      </c>
      <c r="B598" s="3">
        <v>246.67116646679997</v>
      </c>
      <c r="C598" s="3">
        <v>263.94449512548249</v>
      </c>
      <c r="D598" s="3">
        <v>635.51835037152614</v>
      </c>
      <c r="E598" s="3">
        <v>741.58309075989246</v>
      </c>
      <c r="F598" s="2">
        <v>416.86682824900237</v>
      </c>
      <c r="G598" s="3">
        <v>349.83221089391333</v>
      </c>
      <c r="H598" s="3">
        <v>407.01701645089082</v>
      </c>
      <c r="I598" s="3">
        <v>355.7805866311345</v>
      </c>
    </row>
    <row r="599" spans="1:9" x14ac:dyDescent="0.25">
      <c r="A599" s="9">
        <v>44307</v>
      </c>
      <c r="B599" s="3">
        <v>270.30769598879999</v>
      </c>
      <c r="C599" s="3">
        <v>331.65979769427594</v>
      </c>
      <c r="D599" s="3">
        <v>735.62895122379325</v>
      </c>
      <c r="E599" s="3">
        <v>774.08743048799556</v>
      </c>
      <c r="F599" s="2">
        <v>408.5193758443358</v>
      </c>
      <c r="G599" s="3">
        <v>402.64586646600446</v>
      </c>
      <c r="H599" s="3">
        <v>398.86679930124563</v>
      </c>
      <c r="I599" s="3">
        <v>421.7000744585406</v>
      </c>
    </row>
    <row r="600" spans="1:9" x14ac:dyDescent="0.25">
      <c r="A600" s="9">
        <v>44308</v>
      </c>
      <c r="B600" s="3">
        <v>326.71052411580013</v>
      </c>
      <c r="C600" s="3">
        <v>360.32714225482988</v>
      </c>
      <c r="D600" s="3">
        <v>735.33309857771008</v>
      </c>
      <c r="E600" s="3">
        <v>791.40006353503247</v>
      </c>
      <c r="F600" s="2">
        <v>416.67508791146292</v>
      </c>
      <c r="G600" s="3">
        <v>380.31499378556771</v>
      </c>
      <c r="H600" s="3">
        <v>406.82980659193805</v>
      </c>
      <c r="I600" s="3">
        <v>422.9869245072864</v>
      </c>
    </row>
    <row r="601" spans="1:9" x14ac:dyDescent="0.25">
      <c r="A601" s="9">
        <v>44309</v>
      </c>
      <c r="B601" s="3">
        <v>361.5450662412</v>
      </c>
      <c r="C601" s="3">
        <v>366.24143973085194</v>
      </c>
      <c r="D601" s="3">
        <v>805.32898413079602</v>
      </c>
      <c r="E601" s="3">
        <v>859.8436306990551</v>
      </c>
      <c r="F601" s="2">
        <v>437.70093850472466</v>
      </c>
      <c r="G601" s="3">
        <v>340.09618899431371</v>
      </c>
      <c r="H601" s="3">
        <v>427.35885423230292</v>
      </c>
      <c r="I601" s="3">
        <v>343.19638650716581</v>
      </c>
    </row>
    <row r="602" spans="1:9" x14ac:dyDescent="0.25">
      <c r="A602" s="9">
        <v>44310</v>
      </c>
      <c r="B602" s="3">
        <v>324.35257312440012</v>
      </c>
      <c r="C602" s="3">
        <v>336.39039549252669</v>
      </c>
      <c r="D602" s="3">
        <v>674.33871564341075</v>
      </c>
      <c r="E602" s="3">
        <v>712.6739291434908</v>
      </c>
      <c r="F602" s="2">
        <v>382.96176672287902</v>
      </c>
      <c r="G602" s="3">
        <v>277.79801574320607</v>
      </c>
      <c r="H602" s="3">
        <v>373.91307041874541</v>
      </c>
      <c r="I602" s="3">
        <v>265.05015333197514</v>
      </c>
    </row>
    <row r="603" spans="1:9" x14ac:dyDescent="0.25">
      <c r="A603" s="9">
        <v>44311</v>
      </c>
      <c r="B603" s="3">
        <v>91.147935445200005</v>
      </c>
      <c r="C603" s="3">
        <v>54.031324374771124</v>
      </c>
      <c r="D603" s="3">
        <v>199.71126143746037</v>
      </c>
      <c r="E603" s="3">
        <v>175.16062657692029</v>
      </c>
      <c r="F603" s="2">
        <v>121.77710986362824</v>
      </c>
      <c r="G603" s="3">
        <v>22.68485865292573</v>
      </c>
      <c r="H603" s="3">
        <v>118.89973624646382</v>
      </c>
      <c r="I603" s="3">
        <v>59.466045663597349</v>
      </c>
    </row>
    <row r="604" spans="1:9" x14ac:dyDescent="0.25">
      <c r="A604" s="9">
        <v>44312</v>
      </c>
      <c r="B604" s="3">
        <v>168.01772311439998</v>
      </c>
      <c r="C604" s="3">
        <v>120.36496671014278</v>
      </c>
      <c r="D604" s="3">
        <v>383.26558764851961</v>
      </c>
      <c r="E604" s="3">
        <v>396.70960222206111</v>
      </c>
      <c r="F604" s="2">
        <v>234.05087813796538</v>
      </c>
      <c r="G604" s="3">
        <v>84.159810818372364</v>
      </c>
      <c r="H604" s="3">
        <v>228.52067773673636</v>
      </c>
      <c r="I604" s="3">
        <v>147.71083544127146</v>
      </c>
    </row>
    <row r="605" spans="1:9" x14ac:dyDescent="0.25">
      <c r="A605" s="9">
        <v>44313</v>
      </c>
      <c r="B605" s="3">
        <v>85.079512693799998</v>
      </c>
      <c r="C605" s="3">
        <v>112.55772237370431</v>
      </c>
      <c r="D605" s="3">
        <v>197.41177477163976</v>
      </c>
      <c r="E605" s="3">
        <v>204.89215271597575</v>
      </c>
      <c r="F605" s="2">
        <v>154.44303327715525</v>
      </c>
      <c r="G605" s="3">
        <v>59.603134362792652</v>
      </c>
      <c r="H605" s="3">
        <v>150.79382276621291</v>
      </c>
      <c r="I605" s="3">
        <v>92.829209423437504</v>
      </c>
    </row>
    <row r="606" spans="1:9" x14ac:dyDescent="0.25">
      <c r="A606" s="9">
        <v>44314</v>
      </c>
      <c r="B606" s="3">
        <v>86.528976314399998</v>
      </c>
      <c r="C606" s="3">
        <v>92.227390512029061</v>
      </c>
      <c r="D606" s="3">
        <v>213.12656845992504</v>
      </c>
      <c r="E606" s="3">
        <v>201.65968245563431</v>
      </c>
      <c r="F606" s="2">
        <v>177.22248105818784</v>
      </c>
      <c r="G606" s="3">
        <v>57.114666724345632</v>
      </c>
      <c r="H606" s="3">
        <v>173.03503325345426</v>
      </c>
      <c r="I606" s="3">
        <v>93.581796493892227</v>
      </c>
    </row>
    <row r="607" spans="1:9" x14ac:dyDescent="0.25">
      <c r="A607" s="9">
        <v>44315</v>
      </c>
      <c r="B607" s="3">
        <v>255.22046749620003</v>
      </c>
      <c r="C607" s="3">
        <v>344.31351064848718</v>
      </c>
      <c r="D607" s="3">
        <v>686.9805457356282</v>
      </c>
      <c r="E607" s="3">
        <v>704.83404597885783</v>
      </c>
      <c r="F607" s="2">
        <v>449.48432624392626</v>
      </c>
      <c r="G607" s="3">
        <v>401.7261224061013</v>
      </c>
      <c r="H607" s="3">
        <v>438.86382175739726</v>
      </c>
      <c r="I607" s="3">
        <v>340.47262205889422</v>
      </c>
    </row>
    <row r="608" spans="1:9" x14ac:dyDescent="0.25">
      <c r="A608" s="9">
        <v>44316</v>
      </c>
      <c r="B608" s="3">
        <v>281.56057192979995</v>
      </c>
      <c r="C608" s="3">
        <v>395.5354111847264</v>
      </c>
      <c r="D608" s="3">
        <v>785.55270872163987</v>
      </c>
      <c r="E608" s="3">
        <v>800.19257676809582</v>
      </c>
      <c r="F608" s="2">
        <v>427.96885671235736</v>
      </c>
      <c r="G608" s="3">
        <v>404.02759796267469</v>
      </c>
      <c r="H608" s="3">
        <v>417.85672399175684</v>
      </c>
      <c r="I608" s="3">
        <v>341.54932296377604</v>
      </c>
    </row>
    <row r="609" spans="1:9" x14ac:dyDescent="0.25">
      <c r="A609" s="9">
        <v>44317</v>
      </c>
      <c r="B609" s="3">
        <v>239.2760938824</v>
      </c>
      <c r="C609" s="3">
        <v>369.1003772979837</v>
      </c>
      <c r="D609" s="3">
        <v>699.55537312960564</v>
      </c>
      <c r="E609" s="3">
        <v>673.752799209165</v>
      </c>
      <c r="F609" s="3">
        <v>944.00515151624575</v>
      </c>
      <c r="G609" s="3">
        <v>344.19004943495173</v>
      </c>
      <c r="H609" s="3">
        <v>403.11452477249554</v>
      </c>
      <c r="I609" s="3">
        <v>325.15608951784662</v>
      </c>
    </row>
    <row r="610" spans="1:9" x14ac:dyDescent="0.25">
      <c r="A610" s="9">
        <v>44318</v>
      </c>
      <c r="B610" s="3">
        <v>341.51864196779997</v>
      </c>
      <c r="C610" s="3">
        <v>420.4981083808392</v>
      </c>
      <c r="D610" s="3">
        <v>827.18356323414241</v>
      </c>
      <c r="E610" s="3">
        <v>757.51087206546242</v>
      </c>
      <c r="F610" s="3">
        <v>542.27472566862093</v>
      </c>
      <c r="G610" s="3">
        <v>388.41516136675574</v>
      </c>
      <c r="H610" s="3">
        <v>446.26277614694925</v>
      </c>
      <c r="I610" s="3">
        <v>331.24141952694481</v>
      </c>
    </row>
    <row r="611" spans="1:9" x14ac:dyDescent="0.25">
      <c r="A611" s="9">
        <v>44319</v>
      </c>
      <c r="B611" s="3">
        <v>281.36383286939997</v>
      </c>
      <c r="C611" s="3">
        <v>412.17425648310882</v>
      </c>
      <c r="D611" s="3">
        <v>725.00970937253794</v>
      </c>
      <c r="E611" s="3">
        <v>706.7196295818859</v>
      </c>
      <c r="F611" s="3">
        <v>207.66815149432293</v>
      </c>
      <c r="G611" s="3">
        <v>366.23492470935412</v>
      </c>
      <c r="H611" s="3">
        <v>492.06490150975651</v>
      </c>
      <c r="I611" s="3">
        <v>316.91752203428302</v>
      </c>
    </row>
    <row r="612" spans="1:9" x14ac:dyDescent="0.25">
      <c r="A612" s="9">
        <v>44320</v>
      </c>
      <c r="B612" s="3">
        <v>47.803016248199995</v>
      </c>
      <c r="C612" s="3">
        <v>93.407054651074532</v>
      </c>
      <c r="D612" s="3">
        <v>161.24693996216467</v>
      </c>
      <c r="E612" s="3">
        <v>121.08226913865592</v>
      </c>
      <c r="F612" s="3">
        <v>55.90613728769474</v>
      </c>
      <c r="G612" s="3">
        <v>36.726454146873806</v>
      </c>
      <c r="H612" s="3">
        <v>123.76737917743696</v>
      </c>
      <c r="I612" s="3">
        <v>65.282923009649835</v>
      </c>
    </row>
    <row r="613" spans="1:9" x14ac:dyDescent="0.25">
      <c r="A613" s="9">
        <v>44321</v>
      </c>
      <c r="B613" s="3">
        <v>24.495197268600002</v>
      </c>
      <c r="C613" s="3">
        <v>36.043702899402227</v>
      </c>
      <c r="D613" s="3">
        <v>15.882582272934146</v>
      </c>
      <c r="E613" s="3">
        <v>41.132560702262658</v>
      </c>
      <c r="F613" s="3">
        <v>19.360066306071538</v>
      </c>
      <c r="G613" s="3">
        <v>5.2351783298629515</v>
      </c>
      <c r="H613" s="3">
        <v>5.9751228717857767</v>
      </c>
      <c r="I613" s="3">
        <v>2.2792341189536311</v>
      </c>
    </row>
    <row r="614" spans="1:9" x14ac:dyDescent="0.25">
      <c r="A614" s="9">
        <v>44322</v>
      </c>
      <c r="B614" s="3">
        <v>82.517744708999984</v>
      </c>
      <c r="C614" s="3">
        <v>207.32770246964469</v>
      </c>
      <c r="D614" s="3">
        <v>251.66584497584884</v>
      </c>
      <c r="E614" s="3">
        <v>258.27138941014124</v>
      </c>
      <c r="F614" s="3">
        <v>138.54232937767668</v>
      </c>
      <c r="G614" s="3">
        <v>119.49465679483798</v>
      </c>
      <c r="H614" s="3">
        <v>192.06237349120437</v>
      </c>
      <c r="I614" s="3">
        <v>156.43324125413972</v>
      </c>
    </row>
    <row r="615" spans="1:9" x14ac:dyDescent="0.25">
      <c r="A615" s="9">
        <v>44323</v>
      </c>
      <c r="B615" s="3">
        <v>69.377100510599973</v>
      </c>
      <c r="C615" s="3">
        <v>153.17947985228557</v>
      </c>
      <c r="D615" s="3">
        <v>167.29107944306278</v>
      </c>
      <c r="E615" s="3">
        <v>172.82845782292281</v>
      </c>
      <c r="F615" s="3">
        <v>82.926096937039546</v>
      </c>
      <c r="G615" s="3">
        <v>63.548062485320671</v>
      </c>
      <c r="H615" s="3">
        <v>130.44591098891752</v>
      </c>
      <c r="I615" s="3">
        <v>96.76843534457781</v>
      </c>
    </row>
    <row r="616" spans="1:9" x14ac:dyDescent="0.25">
      <c r="A616" s="9">
        <v>44324</v>
      </c>
      <c r="B616" s="3">
        <v>161.18505113399999</v>
      </c>
      <c r="C616" s="3">
        <v>291.32394396313435</v>
      </c>
      <c r="D616" s="3">
        <v>573.2443639868128</v>
      </c>
      <c r="E616" s="3">
        <v>529.83308722388654</v>
      </c>
      <c r="F616" s="3">
        <v>370.75391375024765</v>
      </c>
      <c r="G616" s="3">
        <v>318.3489759214421</v>
      </c>
      <c r="H616" s="3">
        <v>345.3098512456707</v>
      </c>
      <c r="I616" s="3">
        <v>325.04587297954367</v>
      </c>
    </row>
    <row r="617" spans="1:9" x14ac:dyDescent="0.25">
      <c r="A617" s="9">
        <v>44325</v>
      </c>
      <c r="B617" s="3">
        <v>196.39806359939999</v>
      </c>
      <c r="C617" s="3">
        <v>271.63520384247329</v>
      </c>
      <c r="D617" s="3">
        <v>588.09861667775954</v>
      </c>
      <c r="E617" s="3">
        <v>675.81321295651128</v>
      </c>
      <c r="F617" s="3">
        <v>449.13484169910481</v>
      </c>
      <c r="G617" s="3">
        <v>421.06364985208734</v>
      </c>
      <c r="H617" s="3">
        <v>399.34900546398853</v>
      </c>
      <c r="I617" s="3">
        <v>362.22291357062505</v>
      </c>
    </row>
    <row r="618" spans="1:9" x14ac:dyDescent="0.25">
      <c r="A618" s="9">
        <v>44326</v>
      </c>
      <c r="B618" s="3">
        <v>243.80575932599993</v>
      </c>
      <c r="C618" s="3">
        <v>296.24802838227879</v>
      </c>
      <c r="D618" s="3">
        <v>755.62938288803082</v>
      </c>
      <c r="E618" s="3">
        <v>729.22188571833806</v>
      </c>
      <c r="F618" s="3">
        <v>470.32418209078077</v>
      </c>
      <c r="G618" s="3">
        <v>516.3865394656774</v>
      </c>
      <c r="H618" s="3">
        <v>505.70699277199623</v>
      </c>
      <c r="I618" s="3">
        <v>356.84778055068716</v>
      </c>
    </row>
    <row r="619" spans="1:9" x14ac:dyDescent="0.25">
      <c r="A619" s="9">
        <v>44327</v>
      </c>
      <c r="B619" s="3">
        <v>220.62331628460001</v>
      </c>
      <c r="C619" s="3">
        <v>232.13523146838932</v>
      </c>
      <c r="D619" s="3">
        <v>630.13180941441021</v>
      </c>
      <c r="E619" s="3">
        <v>642.2797432295697</v>
      </c>
      <c r="F619" s="3">
        <v>345.97466853066902</v>
      </c>
      <c r="G619" s="3">
        <v>381.85433667883825</v>
      </c>
      <c r="H619" s="3">
        <v>423.27753375189263</v>
      </c>
      <c r="I619" s="3">
        <v>245.95583875609958</v>
      </c>
    </row>
    <row r="620" spans="1:9" x14ac:dyDescent="0.25">
      <c r="A620" s="9">
        <v>44328</v>
      </c>
      <c r="B620" s="3">
        <v>181.71288933299999</v>
      </c>
      <c r="C620" s="3">
        <v>200.77190678505607</v>
      </c>
      <c r="D620" s="3">
        <v>521.40176984637856</v>
      </c>
      <c r="E620" s="3">
        <v>438.8689267127595</v>
      </c>
      <c r="F620" s="3">
        <v>822.47192723290823</v>
      </c>
      <c r="G620" s="3">
        <v>270.96793760323612</v>
      </c>
      <c r="H620" s="3">
        <v>382.22804303462698</v>
      </c>
      <c r="I620" s="3">
        <v>257.78685012060942</v>
      </c>
    </row>
    <row r="621" spans="1:9" x14ac:dyDescent="0.25">
      <c r="A621" s="9">
        <v>44329</v>
      </c>
      <c r="B621" s="3">
        <v>228.36304949580003</v>
      </c>
      <c r="C621" s="3">
        <v>279.63730470609164</v>
      </c>
      <c r="D621" s="3">
        <v>705.71491388747222</v>
      </c>
      <c r="E621" s="3">
        <v>641.90738271583257</v>
      </c>
      <c r="F621" s="3">
        <v>508.18511705086979</v>
      </c>
      <c r="G621" s="3">
        <v>452.79984327552569</v>
      </c>
      <c r="H621" s="3">
        <v>531.8131449572254</v>
      </c>
      <c r="I621" s="3">
        <v>409.85226211169339</v>
      </c>
    </row>
    <row r="622" spans="1:9" x14ac:dyDescent="0.25">
      <c r="A622" s="9">
        <v>44330</v>
      </c>
      <c r="B622" s="3">
        <v>297.52216268040002</v>
      </c>
      <c r="C622" s="3">
        <v>345.66178145320134</v>
      </c>
      <c r="D622" s="3">
        <v>897.21534454704204</v>
      </c>
      <c r="E622" s="3">
        <v>843.64975466813235</v>
      </c>
      <c r="F622" s="3">
        <v>592.91312606754468</v>
      </c>
      <c r="G622" s="3">
        <v>603.42227180179214</v>
      </c>
      <c r="H622" s="3">
        <v>615.57747473117729</v>
      </c>
      <c r="I622" s="3">
        <v>486.69844426671995</v>
      </c>
    </row>
    <row r="623" spans="1:9" x14ac:dyDescent="0.25">
      <c r="A623" s="9">
        <v>44331</v>
      </c>
      <c r="B623" s="3">
        <v>288.77734473300012</v>
      </c>
      <c r="C623" s="3">
        <v>358.93849508437802</v>
      </c>
      <c r="D623" s="3">
        <v>845.52113467115657</v>
      </c>
      <c r="E623" s="3">
        <v>866.29560365884379</v>
      </c>
      <c r="F623" s="3">
        <v>560.7086763381941</v>
      </c>
      <c r="G623" s="3">
        <v>670.64261599357849</v>
      </c>
      <c r="H623" s="3">
        <v>616.76629852642498</v>
      </c>
      <c r="I623" s="3">
        <v>473.25677661528277</v>
      </c>
    </row>
    <row r="624" spans="1:9" x14ac:dyDescent="0.25">
      <c r="A624" s="9">
        <v>44332</v>
      </c>
      <c r="B624" s="3">
        <v>246.44085966719996</v>
      </c>
      <c r="C624" s="3">
        <v>253.61349468456928</v>
      </c>
      <c r="D624" s="3">
        <v>691.30668344130913</v>
      </c>
      <c r="E624" s="3">
        <v>681.64416138616252</v>
      </c>
      <c r="F624" s="3">
        <v>416.54534898968348</v>
      </c>
      <c r="G624" s="3">
        <v>483.99868288694836</v>
      </c>
      <c r="H624" s="3">
        <v>451.31920685155285</v>
      </c>
      <c r="I624" s="3">
        <v>336.85264133115413</v>
      </c>
    </row>
    <row r="625" spans="1:9" x14ac:dyDescent="0.25">
      <c r="A625" s="9">
        <v>44333</v>
      </c>
      <c r="B625" s="3">
        <v>159.70946133239997</v>
      </c>
      <c r="C625" s="3">
        <v>155.37852516867591</v>
      </c>
      <c r="D625" s="3">
        <v>529.94536938439001</v>
      </c>
      <c r="E625" s="3">
        <v>501.61324753111944</v>
      </c>
      <c r="F625" s="3">
        <v>305.67813056459516</v>
      </c>
      <c r="G625" s="3">
        <v>319.46809782587439</v>
      </c>
      <c r="H625" s="3">
        <v>364.16327987052188</v>
      </c>
      <c r="I625" s="3">
        <v>298.3774164102486</v>
      </c>
    </row>
    <row r="626" spans="1:9" x14ac:dyDescent="0.25">
      <c r="A626" s="9">
        <v>44334</v>
      </c>
      <c r="B626" s="3">
        <v>74.888200742400016</v>
      </c>
      <c r="C626" s="3">
        <v>74.108864100901798</v>
      </c>
      <c r="D626" s="3">
        <v>270.78283325246707</v>
      </c>
      <c r="E626" s="3">
        <v>299.15902482774169</v>
      </c>
      <c r="F626" s="3">
        <v>144.7967772505518</v>
      </c>
      <c r="G626" s="3">
        <v>121.53596631453902</v>
      </c>
      <c r="H626" s="3">
        <v>225.29123418708403</v>
      </c>
      <c r="I626" s="3">
        <v>154.90349110388749</v>
      </c>
    </row>
    <row r="627" spans="1:9" x14ac:dyDescent="0.25">
      <c r="A627" s="9">
        <v>44335</v>
      </c>
      <c r="B627" s="3">
        <v>125.74003330800001</v>
      </c>
      <c r="C627" s="3">
        <v>93.062209717803512</v>
      </c>
      <c r="D627" s="3">
        <v>330.08098975353147</v>
      </c>
      <c r="E627" s="3">
        <v>326.75394260635608</v>
      </c>
      <c r="F627" s="3">
        <v>225.64143757781633</v>
      </c>
      <c r="G627" s="3">
        <v>225.25917086182091</v>
      </c>
      <c r="H627" s="3">
        <v>274.03841311102013</v>
      </c>
      <c r="I627" s="3">
        <v>217.61374656322931</v>
      </c>
    </row>
    <row r="628" spans="1:9" x14ac:dyDescent="0.25">
      <c r="A628" s="9">
        <v>44336</v>
      </c>
      <c r="B628" s="3">
        <v>55.764201015000005</v>
      </c>
      <c r="C628" s="3">
        <v>29.446713195969838</v>
      </c>
      <c r="D628" s="3">
        <v>198.08912423522889</v>
      </c>
      <c r="E628" s="3">
        <v>222.75195394367273</v>
      </c>
      <c r="F628" s="3">
        <v>159.80679640464368</v>
      </c>
      <c r="G628" s="3">
        <v>114.43535554250741</v>
      </c>
      <c r="H628" s="3">
        <v>213.65898438424514</v>
      </c>
      <c r="I628" s="3">
        <v>142.21977124257825</v>
      </c>
    </row>
    <row r="629" spans="1:9" x14ac:dyDescent="0.25">
      <c r="A629" s="9">
        <v>44337</v>
      </c>
      <c r="B629" s="3">
        <v>126.91929357000002</v>
      </c>
      <c r="C629" s="3">
        <v>94.600031833113263</v>
      </c>
      <c r="D629" s="3">
        <v>349.7683552825564</v>
      </c>
      <c r="E629" s="3">
        <v>346.78742666316657</v>
      </c>
      <c r="F629" s="3">
        <v>209.32574004682695</v>
      </c>
      <c r="G629" s="3">
        <v>186.1809351728549</v>
      </c>
      <c r="H629" s="3">
        <v>244.75604370054339</v>
      </c>
      <c r="I629" s="3">
        <v>168.52099226526838</v>
      </c>
    </row>
    <row r="630" spans="1:9" x14ac:dyDescent="0.25">
      <c r="A630" s="9">
        <v>44338</v>
      </c>
      <c r="B630" s="3">
        <v>91.307996784000011</v>
      </c>
      <c r="C630" s="3">
        <v>81.237519464246461</v>
      </c>
      <c r="D630" s="3">
        <v>258.40746370512619</v>
      </c>
      <c r="E630" s="3">
        <v>228.26881541443075</v>
      </c>
      <c r="F630" s="3">
        <v>238.65434765248551</v>
      </c>
      <c r="G630" s="3">
        <v>123.14984988784536</v>
      </c>
      <c r="H630" s="3">
        <v>215.91181517914004</v>
      </c>
      <c r="I630" s="3">
        <v>115.74648586321733</v>
      </c>
    </row>
    <row r="631" spans="1:9" x14ac:dyDescent="0.25">
      <c r="A631" s="9">
        <v>44339</v>
      </c>
      <c r="B631" s="3">
        <v>186.56681931</v>
      </c>
      <c r="C631" s="3">
        <v>131.57746617568355</v>
      </c>
      <c r="D631" s="3">
        <v>323.13051931304148</v>
      </c>
      <c r="E631" s="3">
        <v>276.18236759602382</v>
      </c>
      <c r="F631" s="3">
        <v>185.47091725147249</v>
      </c>
      <c r="G631" s="3">
        <v>172.47934876256909</v>
      </c>
      <c r="H631" s="3">
        <v>305.77505674624103</v>
      </c>
      <c r="I631" s="3">
        <v>219.27475474482029</v>
      </c>
    </row>
    <row r="632" spans="1:9" x14ac:dyDescent="0.25">
      <c r="A632" s="9">
        <v>44340</v>
      </c>
      <c r="B632" s="3">
        <v>76.954577707799999</v>
      </c>
      <c r="C632" s="3">
        <v>96.522803598098093</v>
      </c>
      <c r="D632" s="3">
        <v>252.54710743849645</v>
      </c>
      <c r="E632" s="3">
        <v>190.92967711195055</v>
      </c>
      <c r="F632" s="3">
        <v>157.595599858002</v>
      </c>
      <c r="G632" s="3">
        <v>137.2173307824184</v>
      </c>
      <c r="H632" s="3">
        <v>229.48877878909749</v>
      </c>
      <c r="I632" s="3">
        <v>192.72510957911726</v>
      </c>
    </row>
    <row r="633" spans="1:9" x14ac:dyDescent="0.25">
      <c r="A633" s="9">
        <v>44341</v>
      </c>
      <c r="B633" s="3">
        <v>235.8290768796</v>
      </c>
      <c r="C633" s="3">
        <v>238.37736270614462</v>
      </c>
      <c r="D633" s="3">
        <v>567.69587194735573</v>
      </c>
      <c r="E633" s="3">
        <v>615.64462698857812</v>
      </c>
      <c r="F633" s="3">
        <v>375.12017746840161</v>
      </c>
      <c r="G633" s="3">
        <v>372.86880684442275</v>
      </c>
      <c r="H633" s="3">
        <v>410.45069990653911</v>
      </c>
      <c r="I633" s="3">
        <v>360.7046582810645</v>
      </c>
    </row>
    <row r="634" spans="1:9" x14ac:dyDescent="0.25">
      <c r="A634" s="9">
        <v>44342</v>
      </c>
      <c r="B634" s="3">
        <v>90.766850405399978</v>
      </c>
      <c r="C634" s="3">
        <v>83.083442413213504</v>
      </c>
      <c r="D634" s="3">
        <v>250.33328654953786</v>
      </c>
      <c r="E634" s="3">
        <v>277.87534348323095</v>
      </c>
      <c r="F634" s="3">
        <v>192.31005004685909</v>
      </c>
      <c r="G634" s="3">
        <v>171.41723557507086</v>
      </c>
      <c r="H634" s="3">
        <v>242.04403486243223</v>
      </c>
      <c r="I634" s="3">
        <v>176.71072731464028</v>
      </c>
    </row>
    <row r="635" spans="1:9" x14ac:dyDescent="0.25">
      <c r="A635" s="9">
        <v>44343</v>
      </c>
      <c r="B635" s="3">
        <v>318.49113533040003</v>
      </c>
      <c r="C635" s="3">
        <v>334.52967410293735</v>
      </c>
      <c r="D635" s="3">
        <v>707.20352735867982</v>
      </c>
      <c r="E635" s="3">
        <v>720.89835708045086</v>
      </c>
      <c r="F635" s="3">
        <v>481.00526358114524</v>
      </c>
      <c r="G635" s="3">
        <v>460.56597551482514</v>
      </c>
      <c r="H635" s="3">
        <v>487.11656032197988</v>
      </c>
      <c r="I635" s="3">
        <v>393.72842515789375</v>
      </c>
    </row>
    <row r="636" spans="1:9" x14ac:dyDescent="0.25">
      <c r="A636" s="9">
        <v>44344</v>
      </c>
      <c r="B636" s="3">
        <v>61.938771434999992</v>
      </c>
      <c r="C636" s="3">
        <v>60.732721837483922</v>
      </c>
      <c r="D636" s="3">
        <v>200.95072876131627</v>
      </c>
      <c r="E636" s="3">
        <v>210.58246904691981</v>
      </c>
      <c r="F636" s="3">
        <v>148.04886775136433</v>
      </c>
      <c r="G636" s="3">
        <v>115.11698473678966</v>
      </c>
      <c r="H636" s="3">
        <v>217.60716078617898</v>
      </c>
      <c r="I636" s="3">
        <v>119.1714361600565</v>
      </c>
    </row>
    <row r="637" spans="1:9" x14ac:dyDescent="0.25">
      <c r="A637" s="9">
        <v>44345</v>
      </c>
      <c r="B637" s="3">
        <v>69.178785901200001</v>
      </c>
      <c r="C637" s="3">
        <v>70.351169909867934</v>
      </c>
      <c r="D637" s="3">
        <v>200.2063953327912</v>
      </c>
      <c r="E637" s="3">
        <v>234.31672656535915</v>
      </c>
      <c r="F637" s="3">
        <v>140.45705163398182</v>
      </c>
      <c r="G637" s="3">
        <v>123.55079430555931</v>
      </c>
      <c r="H637" s="3">
        <v>206.26269983854056</v>
      </c>
      <c r="I637" s="3">
        <v>141.54691441358921</v>
      </c>
    </row>
    <row r="638" spans="1:9" x14ac:dyDescent="0.25">
      <c r="A638" s="9">
        <v>44346</v>
      </c>
      <c r="B638" s="3">
        <v>193.88939621759999</v>
      </c>
      <c r="C638" s="3">
        <v>258.33808326242951</v>
      </c>
      <c r="D638" s="3">
        <v>577.88489446677136</v>
      </c>
      <c r="E638" s="3">
        <v>533.23038588424981</v>
      </c>
      <c r="F638" s="3">
        <v>337.79066842192395</v>
      </c>
      <c r="G638" s="3">
        <v>341.81670868122114</v>
      </c>
      <c r="H638" s="3">
        <v>401.8009612281038</v>
      </c>
      <c r="I638" s="3">
        <v>340.6693165551564</v>
      </c>
    </row>
    <row r="639" spans="1:9" x14ac:dyDescent="0.25">
      <c r="A639" s="9">
        <v>44347</v>
      </c>
      <c r="B639" s="3">
        <v>10.961354174400002</v>
      </c>
      <c r="C639" s="3">
        <v>58.316573106641812</v>
      </c>
      <c r="D639" s="3">
        <v>175.02054467270369</v>
      </c>
      <c r="E639" s="3">
        <v>127.94103460436898</v>
      </c>
      <c r="F639" s="3">
        <v>86.377736182854079</v>
      </c>
      <c r="G639" s="3">
        <v>93.602775785758013</v>
      </c>
      <c r="H639" s="3">
        <v>146.34575302746697</v>
      </c>
      <c r="I639" s="3">
        <v>112.18042824295652</v>
      </c>
    </row>
    <row r="640" spans="1:9" x14ac:dyDescent="0.25">
      <c r="A640" s="9">
        <v>44348</v>
      </c>
      <c r="B640" s="3">
        <v>29.790256681800003</v>
      </c>
      <c r="C640" s="3">
        <v>59.590459356756448</v>
      </c>
      <c r="D640" s="3">
        <v>205.63137769611379</v>
      </c>
      <c r="E640" s="3">
        <v>187.17784392170717</v>
      </c>
      <c r="F640" s="3">
        <v>90.168169624222514</v>
      </c>
      <c r="G640" s="3">
        <v>67.095652599107055</v>
      </c>
      <c r="H640" s="3">
        <v>163.31784271518995</v>
      </c>
      <c r="I640" s="3">
        <v>115.37922565970811</v>
      </c>
    </row>
    <row r="641" spans="1:9" x14ac:dyDescent="0.25">
      <c r="A641" s="9">
        <v>44349</v>
      </c>
      <c r="B641" s="3">
        <v>20.676118771799995</v>
      </c>
      <c r="C641" s="3">
        <v>64.513185480844783</v>
      </c>
      <c r="D641" s="3">
        <v>167.67897791499865</v>
      </c>
      <c r="E641" s="3">
        <v>120.84340055627715</v>
      </c>
      <c r="F641" s="3">
        <v>71.370402048754244</v>
      </c>
      <c r="G641" s="3">
        <v>68.176421005346</v>
      </c>
      <c r="H641" s="3">
        <v>145.54834199067918</v>
      </c>
      <c r="I641" s="3">
        <v>91.762918660331621</v>
      </c>
    </row>
    <row r="642" spans="1:9" x14ac:dyDescent="0.25">
      <c r="A642" s="9">
        <v>44350</v>
      </c>
      <c r="B642" s="3">
        <v>91.66455820260002</v>
      </c>
      <c r="C642" s="3">
        <v>26.597164430839843</v>
      </c>
      <c r="D642" s="3">
        <v>176.52221149909747</v>
      </c>
      <c r="E642" s="3">
        <v>207.1934281470069</v>
      </c>
      <c r="F642" s="3">
        <v>113.04969442602679</v>
      </c>
      <c r="G642" s="3">
        <v>102.0696613406984</v>
      </c>
      <c r="H642" s="3">
        <v>185.54588812740172</v>
      </c>
      <c r="I642" s="3">
        <v>124.16756830223328</v>
      </c>
    </row>
    <row r="643" spans="1:9" x14ac:dyDescent="0.25">
      <c r="A643" s="9">
        <v>44351</v>
      </c>
      <c r="B643" s="3">
        <v>181.91022131880007</v>
      </c>
      <c r="C643" s="3">
        <v>221.59091330142692</v>
      </c>
      <c r="D643" s="3">
        <v>575.73228181494994</v>
      </c>
      <c r="E643" s="3">
        <v>591.21551358286479</v>
      </c>
      <c r="F643" s="3">
        <v>416.5450862775113</v>
      </c>
      <c r="G643" s="3">
        <v>403.38181943372592</v>
      </c>
      <c r="H643" s="3">
        <v>354.74992429633477</v>
      </c>
      <c r="I643" s="3">
        <v>321.72258541794241</v>
      </c>
    </row>
    <row r="644" spans="1:9" x14ac:dyDescent="0.25">
      <c r="A644" s="9">
        <v>44352</v>
      </c>
      <c r="B644" s="3">
        <v>149.67004008239999</v>
      </c>
      <c r="C644" s="3">
        <v>285.71373469219157</v>
      </c>
      <c r="D644" s="3">
        <v>695.12950479860604</v>
      </c>
      <c r="E644" s="3">
        <v>762.5706126687146</v>
      </c>
      <c r="F644" s="3">
        <v>555.77207332490775</v>
      </c>
      <c r="G644" s="3">
        <v>582.86709654019478</v>
      </c>
      <c r="H644" s="3">
        <v>411.62192544489585</v>
      </c>
      <c r="I644" s="3">
        <v>423.13480087620468</v>
      </c>
    </row>
    <row r="645" spans="1:9" x14ac:dyDescent="0.25">
      <c r="A645" s="9">
        <v>44353</v>
      </c>
      <c r="B645" s="3">
        <v>178.26228531719997</v>
      </c>
      <c r="C645" s="3">
        <v>297.52354796467415</v>
      </c>
      <c r="D645" s="3">
        <v>628.88361998609287</v>
      </c>
      <c r="E645" s="3">
        <v>742.52645369416064</v>
      </c>
      <c r="F645" s="3">
        <v>459.29136696555963</v>
      </c>
      <c r="G645" s="3">
        <v>568.42635017360283</v>
      </c>
      <c r="H645" s="3">
        <v>407.65415265437639</v>
      </c>
      <c r="I645" s="3">
        <v>375.72684665350937</v>
      </c>
    </row>
    <row r="646" spans="1:9" x14ac:dyDescent="0.25">
      <c r="A646" s="9">
        <v>44354</v>
      </c>
      <c r="B646" s="3">
        <v>132.33146538060004</v>
      </c>
      <c r="C646" s="3">
        <v>253.37696008342152</v>
      </c>
      <c r="D646" s="3">
        <v>644.30013451947116</v>
      </c>
      <c r="E646" s="3">
        <v>743.35567894120788</v>
      </c>
      <c r="F646" s="3">
        <v>466.7443231913133</v>
      </c>
      <c r="G646" s="3">
        <v>518.85736421003446</v>
      </c>
      <c r="H646" s="3">
        <v>417.40701315504396</v>
      </c>
      <c r="I646" s="3">
        <v>337.22349854010037</v>
      </c>
    </row>
    <row r="647" spans="1:9" x14ac:dyDescent="0.25">
      <c r="A647" s="9">
        <v>44355</v>
      </c>
      <c r="B647" s="3">
        <v>46.079611189199994</v>
      </c>
      <c r="C647" s="3">
        <v>159.10625051279055</v>
      </c>
      <c r="D647" s="3">
        <v>476.14740313311597</v>
      </c>
      <c r="E647" s="3">
        <v>628.01107286928504</v>
      </c>
      <c r="F647" s="3">
        <v>404.5936193103459</v>
      </c>
      <c r="G647" s="3">
        <v>378.00738973159059</v>
      </c>
      <c r="H647" s="3">
        <v>349.89472140682346</v>
      </c>
      <c r="I647" s="3">
        <v>271.26898313603181</v>
      </c>
    </row>
    <row r="648" spans="1:9" x14ac:dyDescent="0.25">
      <c r="A648" s="9">
        <v>44356</v>
      </c>
      <c r="B648" s="3">
        <v>105.24785683499999</v>
      </c>
      <c r="C648" s="3">
        <v>207.28442224402366</v>
      </c>
      <c r="D648" s="3">
        <v>578.42992238025761</v>
      </c>
      <c r="E648" s="3">
        <v>696.45110522306061</v>
      </c>
      <c r="F648" s="3">
        <v>431.47589414779156</v>
      </c>
      <c r="G648" s="3">
        <v>402.71435917459576</v>
      </c>
      <c r="H648" s="3">
        <v>427.85046641780212</v>
      </c>
      <c r="I648" s="3">
        <v>288.60630731988033</v>
      </c>
    </row>
    <row r="649" spans="1:9" x14ac:dyDescent="0.25">
      <c r="A649" s="9">
        <v>44357</v>
      </c>
      <c r="B649" s="3">
        <v>33.292765888200002</v>
      </c>
      <c r="C649" s="3">
        <v>49.721990227808035</v>
      </c>
      <c r="D649" s="3">
        <v>212.81341508274116</v>
      </c>
      <c r="E649" s="3">
        <v>113.00461642991486</v>
      </c>
      <c r="F649" s="3">
        <v>100.23191147330643</v>
      </c>
      <c r="G649" s="3">
        <v>48.742774725351161</v>
      </c>
      <c r="H649" s="3">
        <v>203.00565726592615</v>
      </c>
      <c r="I649" s="3">
        <v>152.26470289464754</v>
      </c>
    </row>
    <row r="650" spans="1:9" x14ac:dyDescent="0.25">
      <c r="A650" s="9">
        <v>44358</v>
      </c>
      <c r="B650" s="3">
        <v>17.103113603999997</v>
      </c>
      <c r="C650" s="3">
        <v>3.1420989342228345</v>
      </c>
      <c r="D650" s="3">
        <v>29.491712396178141</v>
      </c>
      <c r="E650" s="3">
        <v>15.27720363746198</v>
      </c>
      <c r="F650" s="3">
        <v>53.957500373030982</v>
      </c>
      <c r="G650" s="3">
        <v>6.1694021425815571</v>
      </c>
      <c r="H650" s="3">
        <v>50.430414172675938</v>
      </c>
      <c r="I650" s="3">
        <v>28.509027166426428</v>
      </c>
    </row>
    <row r="651" spans="1:9" x14ac:dyDescent="0.25">
      <c r="A651" s="9">
        <v>44359</v>
      </c>
      <c r="B651" s="3">
        <v>99.691407566999985</v>
      </c>
      <c r="C651" s="3">
        <v>169.48699132769451</v>
      </c>
      <c r="D651" s="3">
        <v>526.91179385671046</v>
      </c>
      <c r="E651" s="3">
        <v>465.05553638199564</v>
      </c>
      <c r="F651" s="3">
        <v>388.73057824294534</v>
      </c>
      <c r="G651" s="3">
        <v>344.8965496775794</v>
      </c>
      <c r="H651" s="3">
        <v>407.07564078014923</v>
      </c>
      <c r="I651" s="3">
        <v>376.20907715254504</v>
      </c>
    </row>
    <row r="652" spans="1:9" x14ac:dyDescent="0.25">
      <c r="A652" s="9">
        <v>44360</v>
      </c>
      <c r="B652" s="3">
        <v>124.45519434839998</v>
      </c>
      <c r="C652" s="3">
        <v>123.56808336837584</v>
      </c>
      <c r="D652" s="3">
        <v>413.22102198452262</v>
      </c>
      <c r="E652" s="3">
        <v>377.99995783858111</v>
      </c>
      <c r="F652" s="3">
        <v>314.16840632479722</v>
      </c>
      <c r="G652" s="3">
        <v>295.37518025193435</v>
      </c>
      <c r="H652" s="3">
        <v>321.92561266762385</v>
      </c>
      <c r="I652" s="3">
        <v>319.21417191914691</v>
      </c>
    </row>
    <row r="653" spans="1:9" x14ac:dyDescent="0.25">
      <c r="A653" s="9">
        <v>44361</v>
      </c>
      <c r="B653" s="3">
        <v>161.55962125199997</v>
      </c>
      <c r="C653" s="3">
        <v>240.12315226039371</v>
      </c>
      <c r="D653" s="3">
        <v>670.15257993545117</v>
      </c>
      <c r="E653" s="3">
        <v>705.88798786425889</v>
      </c>
      <c r="F653" s="3">
        <v>480.31743215511966</v>
      </c>
      <c r="G653" s="3">
        <v>473.53237676978324</v>
      </c>
      <c r="H653" s="3">
        <v>457.97226739563916</v>
      </c>
      <c r="I653" s="3">
        <v>462.10609369858656</v>
      </c>
    </row>
    <row r="654" spans="1:9" x14ac:dyDescent="0.25">
      <c r="A654" s="9">
        <v>44362</v>
      </c>
      <c r="B654" s="3">
        <v>138.9520726092</v>
      </c>
      <c r="C654" s="3">
        <v>187.49608145905634</v>
      </c>
      <c r="D654" s="3">
        <v>556.94208010755608</v>
      </c>
      <c r="E654" s="3">
        <v>610.95875297476096</v>
      </c>
      <c r="F654" s="3">
        <v>412.35621328639871</v>
      </c>
      <c r="G654" s="3">
        <v>387.71488406317013</v>
      </c>
      <c r="H654" s="3">
        <v>416.85091369377352</v>
      </c>
      <c r="I654" s="3">
        <v>422.38652302396235</v>
      </c>
    </row>
    <row r="655" spans="1:9" x14ac:dyDescent="0.25">
      <c r="A655" s="9">
        <v>44363</v>
      </c>
      <c r="B655" s="3">
        <v>156.79480216499999</v>
      </c>
      <c r="C655" s="3">
        <v>221.22706464016073</v>
      </c>
      <c r="D655" s="3">
        <v>610.99765389109143</v>
      </c>
      <c r="E655" s="3">
        <v>692.93170852471064</v>
      </c>
      <c r="F655" s="3">
        <v>456.43648355556667</v>
      </c>
      <c r="G655" s="3">
        <v>448.84715363479012</v>
      </c>
      <c r="H655" s="3">
        <v>454.26750109813872</v>
      </c>
      <c r="I655" s="3">
        <v>461.88706777597923</v>
      </c>
    </row>
    <row r="656" spans="1:9" x14ac:dyDescent="0.25">
      <c r="A656" s="9">
        <v>44364</v>
      </c>
      <c r="B656" s="3">
        <v>171.89496539460004</v>
      </c>
      <c r="C656" s="3">
        <v>274.37703592565862</v>
      </c>
      <c r="D656" s="3">
        <v>727.92913371966301</v>
      </c>
      <c r="E656" s="3">
        <v>819.60569672899362</v>
      </c>
      <c r="F656" s="3">
        <v>547.96293080664918</v>
      </c>
      <c r="G656" s="3">
        <v>554.22689174933646</v>
      </c>
      <c r="H656" s="3">
        <v>548.26520342733852</v>
      </c>
      <c r="I656" s="3">
        <v>497.77922070781966</v>
      </c>
    </row>
    <row r="657" spans="1:9" x14ac:dyDescent="0.25">
      <c r="A657" s="9">
        <v>44365</v>
      </c>
      <c r="B657" s="3">
        <v>166.75229021220002</v>
      </c>
      <c r="C657" s="3">
        <v>279.7886024137207</v>
      </c>
      <c r="D657" s="3">
        <v>708.60290434200601</v>
      </c>
      <c r="E657" s="3">
        <v>709.62665557226603</v>
      </c>
      <c r="F657" s="3">
        <v>514.36343813036729</v>
      </c>
      <c r="G657" s="3">
        <v>487.29808365687512</v>
      </c>
      <c r="H657" s="3">
        <v>558.62571373506898</v>
      </c>
      <c r="I657" s="3">
        <v>480.12386455702352</v>
      </c>
    </row>
    <row r="658" spans="1:9" x14ac:dyDescent="0.25">
      <c r="A658" s="9">
        <v>44366</v>
      </c>
      <c r="B658" s="3">
        <v>101.02763406960001</v>
      </c>
      <c r="C658" s="3">
        <v>237.985116173384</v>
      </c>
      <c r="D658" s="3">
        <v>493.80076346816389</v>
      </c>
      <c r="E658" s="3">
        <v>469.02521300166359</v>
      </c>
      <c r="F658" s="3">
        <v>352.34142863575397</v>
      </c>
      <c r="G658" s="3">
        <v>285.1470152343706</v>
      </c>
      <c r="H658" s="3">
        <v>358.31643398200129</v>
      </c>
      <c r="I658" s="3">
        <v>309.80329011391564</v>
      </c>
    </row>
    <row r="659" spans="1:9" x14ac:dyDescent="0.25">
      <c r="A659" s="9">
        <v>44367</v>
      </c>
      <c r="B659" s="3">
        <v>97.414666212599997</v>
      </c>
      <c r="C659" s="3">
        <v>196.47576323426296</v>
      </c>
      <c r="D659" s="3">
        <v>449.23506790677396</v>
      </c>
      <c r="E659" s="3">
        <v>469.45939179080148</v>
      </c>
      <c r="F659" s="3">
        <v>361.35847030489828</v>
      </c>
      <c r="G659" s="3">
        <v>315.58757739916507</v>
      </c>
      <c r="H659" s="3">
        <v>387.56867159955988</v>
      </c>
      <c r="I659" s="3">
        <v>366.44146233415034</v>
      </c>
    </row>
    <row r="660" spans="1:9" x14ac:dyDescent="0.25">
      <c r="A660" s="9">
        <v>44368</v>
      </c>
      <c r="B660" s="3">
        <v>123.76375766460002</v>
      </c>
      <c r="C660" s="3">
        <v>197.31704351996717</v>
      </c>
      <c r="D660" s="3">
        <v>504.99359285380774</v>
      </c>
      <c r="E660" s="3">
        <v>652.97884334183232</v>
      </c>
      <c r="F660" s="3">
        <v>439.33522676448189</v>
      </c>
      <c r="G660" s="3">
        <v>365.58855825682616</v>
      </c>
      <c r="H660" s="3">
        <v>408.90025923929477</v>
      </c>
      <c r="I660" s="3">
        <v>389.41606043403635</v>
      </c>
    </row>
    <row r="661" spans="1:9" x14ac:dyDescent="0.25">
      <c r="A661" s="9">
        <v>44369</v>
      </c>
      <c r="B661" s="3">
        <v>172.06867150379998</v>
      </c>
      <c r="C661" s="3">
        <v>247.47285110773893</v>
      </c>
      <c r="D661" s="3">
        <v>584.64661811550445</v>
      </c>
      <c r="E661" s="3">
        <v>810.3084117707017</v>
      </c>
      <c r="F661" s="3">
        <v>518.01473256303552</v>
      </c>
      <c r="G661" s="3">
        <v>413.027548805913</v>
      </c>
      <c r="H661" s="3">
        <v>466.83500162254211</v>
      </c>
      <c r="I661" s="3">
        <v>367.14244299923041</v>
      </c>
    </row>
    <row r="662" spans="1:9" x14ac:dyDescent="0.25">
      <c r="A662" s="9">
        <v>44370</v>
      </c>
      <c r="B662" s="3">
        <v>162.69525544679999</v>
      </c>
      <c r="C662" s="3">
        <v>191.76850431217332</v>
      </c>
      <c r="D662" s="3">
        <v>533.32613051828753</v>
      </c>
      <c r="E662" s="3">
        <v>794.71453373605038</v>
      </c>
      <c r="F662" s="3">
        <v>498.90284592574778</v>
      </c>
      <c r="G662" s="3">
        <v>367.62606523732563</v>
      </c>
      <c r="H662" s="3">
        <v>426.72961581275501</v>
      </c>
      <c r="I662" s="3">
        <v>325.36285454568235</v>
      </c>
    </row>
    <row r="663" spans="1:9" x14ac:dyDescent="0.25">
      <c r="A663" s="9">
        <v>44371</v>
      </c>
      <c r="B663" s="3">
        <v>159.83954808300001</v>
      </c>
      <c r="C663" s="3">
        <v>148.07407219565809</v>
      </c>
      <c r="D663" s="3">
        <v>439.52413543929288</v>
      </c>
      <c r="E663" s="3">
        <v>704.2141351949308</v>
      </c>
      <c r="F663" s="3">
        <v>418.64505549968789</v>
      </c>
      <c r="G663" s="3">
        <v>326.55538703411474</v>
      </c>
      <c r="H663" s="3">
        <v>351.197613421357</v>
      </c>
      <c r="I663" s="3">
        <v>347.98701821096722</v>
      </c>
    </row>
    <row r="664" spans="1:9" x14ac:dyDescent="0.25">
      <c r="A664" s="9">
        <v>44372</v>
      </c>
      <c r="B664" s="3">
        <v>107.9114698692</v>
      </c>
      <c r="C664" s="3">
        <v>168.40589268386594</v>
      </c>
      <c r="D664" s="3">
        <v>493.82727364586452</v>
      </c>
      <c r="E664" s="3">
        <v>701.03097024395993</v>
      </c>
      <c r="F664" s="3">
        <v>461.26730007234835</v>
      </c>
      <c r="G664" s="3">
        <v>391.14130549995201</v>
      </c>
      <c r="H664" s="3">
        <v>412.24645259418611</v>
      </c>
      <c r="I664" s="3">
        <v>452.56433400220027</v>
      </c>
    </row>
    <row r="665" spans="1:9" x14ac:dyDescent="0.25">
      <c r="A665" s="9">
        <v>44373</v>
      </c>
      <c r="B665" s="3">
        <v>124.46369623799995</v>
      </c>
      <c r="C665" s="3">
        <v>165.27240690182396</v>
      </c>
      <c r="D665" s="3">
        <v>403.62176788526108</v>
      </c>
      <c r="E665" s="3">
        <v>646.7457837063057</v>
      </c>
      <c r="F665" s="3">
        <v>394.75780447924399</v>
      </c>
      <c r="G665" s="3">
        <v>362.377848118418</v>
      </c>
      <c r="H665" s="3">
        <v>377.70718758621109</v>
      </c>
      <c r="I665" s="3">
        <v>399.74146806178408</v>
      </c>
    </row>
    <row r="666" spans="1:9" x14ac:dyDescent="0.25">
      <c r="A666" s="9">
        <v>44374</v>
      </c>
      <c r="B666" s="3">
        <v>77.117066319599999</v>
      </c>
      <c r="C666" s="3">
        <v>124.33264812428223</v>
      </c>
      <c r="D666" s="3">
        <v>351.56709045848288</v>
      </c>
      <c r="E666" s="3">
        <v>590.05474643686762</v>
      </c>
      <c r="F666" s="3">
        <v>356.89530465356955</v>
      </c>
      <c r="G666" s="3">
        <v>305.92712285626936</v>
      </c>
      <c r="H666" s="3">
        <v>344.05789647621776</v>
      </c>
      <c r="I666" s="3">
        <v>293.26849200754339</v>
      </c>
    </row>
    <row r="667" spans="1:9" x14ac:dyDescent="0.25">
      <c r="A667" s="9">
        <v>44375</v>
      </c>
      <c r="B667" s="3">
        <v>59.359240756799998</v>
      </c>
      <c r="C667" s="3">
        <v>69.79203665611027</v>
      </c>
      <c r="D667" s="3">
        <v>149.60708842555604</v>
      </c>
      <c r="E667" s="3">
        <v>165.05169717175846</v>
      </c>
      <c r="F667" s="3">
        <v>82.262106817203787</v>
      </c>
      <c r="G667" s="3">
        <v>52.499551779298216</v>
      </c>
      <c r="H667" s="3">
        <v>153.35537197227185</v>
      </c>
      <c r="I667" s="3">
        <v>88.059677587977788</v>
      </c>
    </row>
    <row r="668" spans="1:9" x14ac:dyDescent="0.25">
      <c r="A668" s="9">
        <v>44376</v>
      </c>
      <c r="B668" s="3">
        <v>69.588386161199992</v>
      </c>
      <c r="C668" s="3">
        <v>129.52951893498451</v>
      </c>
      <c r="D668" s="3">
        <v>253.43431198374131</v>
      </c>
      <c r="E668" s="3">
        <v>208.75619074131578</v>
      </c>
      <c r="F668" s="3">
        <v>152.0985188554707</v>
      </c>
      <c r="G668" s="3">
        <v>113.52488675572276</v>
      </c>
      <c r="H668" s="3">
        <v>204.19701315039219</v>
      </c>
      <c r="I668" s="3">
        <v>194.17174967909293</v>
      </c>
    </row>
    <row r="669" spans="1:9" x14ac:dyDescent="0.25">
      <c r="A669" s="9">
        <v>44377</v>
      </c>
      <c r="B669" s="3">
        <v>71.485216660799992</v>
      </c>
      <c r="C669" s="3">
        <v>100.36206967533046</v>
      </c>
      <c r="D669" s="3">
        <v>8.7052365951142647</v>
      </c>
      <c r="E669" s="3">
        <v>30.078630551444359</v>
      </c>
      <c r="F669" s="3">
        <v>113.37976065703971</v>
      </c>
      <c r="G669" s="3">
        <v>43.356450941234023</v>
      </c>
      <c r="H669" s="3">
        <v>70.000812230577708</v>
      </c>
      <c r="I669" s="3">
        <v>95.255268680047109</v>
      </c>
    </row>
    <row r="670" spans="1:9" x14ac:dyDescent="0.25">
      <c r="A670" s="9">
        <v>44378</v>
      </c>
      <c r="B670" s="3">
        <v>63.191378971800006</v>
      </c>
      <c r="C670" s="3">
        <v>166.06433103625008</v>
      </c>
      <c r="D670" s="3">
        <v>487.57705993139103</v>
      </c>
      <c r="E670" s="3">
        <v>394.40846279398698</v>
      </c>
      <c r="F670" s="3">
        <v>354.73478880197075</v>
      </c>
      <c r="G670" s="3">
        <v>176.61313536416495</v>
      </c>
      <c r="H670" s="3">
        <v>262.65958609641217</v>
      </c>
      <c r="I670" s="3">
        <v>355.50808428951268</v>
      </c>
    </row>
    <row r="671" spans="1:9" x14ac:dyDescent="0.25">
      <c r="A671" s="9">
        <v>44379</v>
      </c>
      <c r="B671" s="3">
        <v>36.583710317999994</v>
      </c>
      <c r="C671" s="3">
        <v>90.042688070354643</v>
      </c>
      <c r="D671" s="3">
        <v>156.38784822014856</v>
      </c>
      <c r="E671" s="3">
        <v>71.40030658412293</v>
      </c>
      <c r="F671" s="3">
        <v>104.54719492301747</v>
      </c>
      <c r="G671" s="3">
        <v>39.314511686196845</v>
      </c>
      <c r="H671" s="3">
        <v>150.98004102185598</v>
      </c>
      <c r="I671" s="3">
        <v>98.761088370642156</v>
      </c>
    </row>
    <row r="672" spans="1:9" x14ac:dyDescent="0.25">
      <c r="A672" s="9">
        <v>44380</v>
      </c>
      <c r="B672" s="3">
        <v>39.82627144260001</v>
      </c>
      <c r="C672" s="3">
        <v>101.26153387904363</v>
      </c>
      <c r="D672" s="3">
        <v>123.48922219362815</v>
      </c>
      <c r="E672" s="3">
        <v>90.64382519993228</v>
      </c>
      <c r="F672" s="3">
        <v>129.25202531902343</v>
      </c>
      <c r="G672" s="3">
        <v>55.39213698308906</v>
      </c>
      <c r="H672" s="3">
        <v>130.00277381714145</v>
      </c>
      <c r="I672" s="3">
        <v>136.08007381778756</v>
      </c>
    </row>
    <row r="673" spans="1:9" x14ac:dyDescent="0.25">
      <c r="A673" s="9">
        <v>44381</v>
      </c>
      <c r="B673" s="3">
        <v>155.30090198940002</v>
      </c>
      <c r="C673" s="3">
        <v>173.24679564706574</v>
      </c>
      <c r="D673" s="3">
        <v>478.11902721031805</v>
      </c>
      <c r="E673" s="3">
        <v>423.17417011883424</v>
      </c>
      <c r="F673" s="3">
        <v>352.52543875090811</v>
      </c>
      <c r="G673" s="3">
        <v>357.17072195488646</v>
      </c>
      <c r="H673" s="3">
        <v>357.76303716706536</v>
      </c>
      <c r="I673" s="3">
        <v>445.34068539405524</v>
      </c>
    </row>
    <row r="674" spans="1:9" x14ac:dyDescent="0.25">
      <c r="A674" s="9">
        <v>44382</v>
      </c>
      <c r="B674" s="3">
        <v>185.11517983320002</v>
      </c>
      <c r="C674" s="3">
        <v>259.05933005265143</v>
      </c>
      <c r="D674" s="3">
        <v>495.91455306324031</v>
      </c>
      <c r="E674" s="3">
        <v>383.85004117966167</v>
      </c>
      <c r="F674" s="3">
        <v>366.52761283055901</v>
      </c>
      <c r="G674" s="3">
        <v>380.95043558611496</v>
      </c>
      <c r="H674" s="3">
        <v>343.37453962767626</v>
      </c>
      <c r="I674" s="3">
        <v>474.52958385680483</v>
      </c>
    </row>
    <row r="675" spans="1:9" x14ac:dyDescent="0.25">
      <c r="A675" s="9">
        <v>44383</v>
      </c>
      <c r="B675" s="3">
        <v>219.31127878319995</v>
      </c>
      <c r="C675" s="3">
        <v>197.5393558308179</v>
      </c>
      <c r="D675" s="3">
        <v>541.18085772840834</v>
      </c>
      <c r="E675" s="3">
        <v>462.23113305633228</v>
      </c>
      <c r="F675" s="3">
        <v>439.50723443584116</v>
      </c>
      <c r="G675" s="3">
        <v>449.23983264711239</v>
      </c>
      <c r="H675" s="3">
        <v>329.25608366879311</v>
      </c>
      <c r="I675" s="3">
        <v>515.15702364437891</v>
      </c>
    </row>
    <row r="676" spans="1:9" x14ac:dyDescent="0.25">
      <c r="A676" s="9">
        <v>44384</v>
      </c>
      <c r="B676" s="3">
        <v>235.43602649459996</v>
      </c>
      <c r="C676" s="3">
        <v>271.90449366265307</v>
      </c>
      <c r="D676" s="3">
        <v>651.69973896039073</v>
      </c>
      <c r="E676" s="3">
        <v>531.57023068441674</v>
      </c>
      <c r="F676" s="3">
        <v>504.49072036711601</v>
      </c>
      <c r="G676" s="3">
        <v>533.94363624591517</v>
      </c>
      <c r="H676" s="3">
        <v>356.60016791082762</v>
      </c>
      <c r="I676" s="3">
        <v>584.24276956132655</v>
      </c>
    </row>
    <row r="677" spans="1:9" x14ac:dyDescent="0.25">
      <c r="A677" s="9">
        <v>44385</v>
      </c>
      <c r="B677" s="3">
        <v>149.667093126</v>
      </c>
      <c r="C677" s="3">
        <v>147.90854965669172</v>
      </c>
      <c r="D677" s="3">
        <v>444.6140970636398</v>
      </c>
      <c r="E677" s="3">
        <v>379.07819153871208</v>
      </c>
      <c r="F677" s="3">
        <v>292.83426640286393</v>
      </c>
      <c r="G677" s="3">
        <v>326.80052621908544</v>
      </c>
      <c r="H677" s="3">
        <v>236.20256179246957</v>
      </c>
      <c r="I677" s="3">
        <v>396.91010799165599</v>
      </c>
    </row>
    <row r="678" spans="1:9" x14ac:dyDescent="0.25">
      <c r="A678" s="9">
        <v>44386</v>
      </c>
      <c r="B678" s="3">
        <v>181.3876736094</v>
      </c>
      <c r="C678" s="3">
        <v>230.38701705464231</v>
      </c>
      <c r="D678" s="3">
        <v>669.63104291738603</v>
      </c>
      <c r="E678" s="3">
        <v>574.27587538383091</v>
      </c>
      <c r="F678" s="3">
        <v>411.77000337469241</v>
      </c>
      <c r="G678" s="3">
        <v>490.04462302241228</v>
      </c>
      <c r="H678" s="3">
        <v>363.45665010647673</v>
      </c>
      <c r="I678" s="3">
        <v>540.38217999726248</v>
      </c>
    </row>
    <row r="679" spans="1:9" x14ac:dyDescent="0.25">
      <c r="A679" s="9">
        <v>44387</v>
      </c>
      <c r="B679" s="3">
        <v>236.61603705959996</v>
      </c>
      <c r="C679" s="3">
        <v>269.00149589702676</v>
      </c>
      <c r="D679" s="3">
        <v>734.7411447808214</v>
      </c>
      <c r="E679" s="3">
        <v>665.91468417714759</v>
      </c>
      <c r="F679" s="3">
        <v>480.26357936671707</v>
      </c>
      <c r="G679" s="3">
        <v>552.92713848905396</v>
      </c>
      <c r="H679" s="3">
        <v>407.68384761581507</v>
      </c>
      <c r="I679" s="3">
        <v>529.26487062197839</v>
      </c>
    </row>
    <row r="680" spans="1:9" x14ac:dyDescent="0.25">
      <c r="A680" s="9">
        <v>44388</v>
      </c>
      <c r="B680" s="3">
        <v>208.65528715320005</v>
      </c>
      <c r="C680" s="3">
        <v>264.57463501782229</v>
      </c>
      <c r="D680" s="3">
        <v>699.76516216349114</v>
      </c>
      <c r="E680" s="3">
        <v>654.62359251331702</v>
      </c>
      <c r="F680" s="3">
        <v>452.68239371099509</v>
      </c>
      <c r="G680" s="3">
        <v>566.71212908257223</v>
      </c>
      <c r="H680" s="3">
        <v>397.19376009041514</v>
      </c>
      <c r="I680" s="3">
        <v>457.43157933994212</v>
      </c>
    </row>
    <row r="681" spans="1:9" x14ac:dyDescent="0.25">
      <c r="A681" s="9">
        <v>44389</v>
      </c>
      <c r="B681" s="3">
        <v>188.22239267219999</v>
      </c>
      <c r="C681" s="3">
        <v>256.61340893945146</v>
      </c>
      <c r="D681" s="3">
        <v>636.01963373919443</v>
      </c>
      <c r="E681" s="3">
        <v>695.59998571955384</v>
      </c>
      <c r="F681" s="3">
        <v>455.30778566786489</v>
      </c>
      <c r="G681" s="3">
        <v>488.97389467303486</v>
      </c>
      <c r="H681" s="3">
        <v>382.64562997313715</v>
      </c>
      <c r="I681" s="3">
        <v>471.22943831752178</v>
      </c>
    </row>
    <row r="682" spans="1:9" x14ac:dyDescent="0.25">
      <c r="A682" s="9">
        <v>44390</v>
      </c>
      <c r="B682" s="3">
        <v>145.91058100200001</v>
      </c>
      <c r="C682" s="3">
        <v>199.76212834435279</v>
      </c>
      <c r="D682" s="3">
        <v>541.65074607414033</v>
      </c>
      <c r="E682" s="3">
        <v>607.32209305127617</v>
      </c>
      <c r="F682" s="3">
        <v>411.58984500402994</v>
      </c>
      <c r="G682" s="3">
        <v>341.70982555021772</v>
      </c>
      <c r="H682" s="3">
        <v>360.95843356469396</v>
      </c>
      <c r="I682" s="3">
        <v>392.34770367524311</v>
      </c>
    </row>
    <row r="683" spans="1:9" x14ac:dyDescent="0.25">
      <c r="A683" s="9">
        <v>44391</v>
      </c>
      <c r="B683" s="3">
        <v>163.91074134960002</v>
      </c>
      <c r="C683" s="3">
        <v>201.00654489365448</v>
      </c>
      <c r="D683" s="3">
        <v>511.13079382726414</v>
      </c>
      <c r="E683" s="3">
        <v>668.98552820315263</v>
      </c>
      <c r="F683" s="3">
        <v>443.81823623991698</v>
      </c>
      <c r="G683" s="3">
        <v>352.67185785446821</v>
      </c>
      <c r="H683" s="3">
        <v>385.67460148658273</v>
      </c>
      <c r="I683" s="3">
        <v>433.99869006127165</v>
      </c>
    </row>
    <row r="684" spans="1:9" x14ac:dyDescent="0.25">
      <c r="A684" s="9">
        <v>44392</v>
      </c>
      <c r="B684" s="3">
        <v>164.82706021620004</v>
      </c>
      <c r="C684" s="3">
        <v>186.22880379533257</v>
      </c>
      <c r="D684" s="3">
        <v>463.49824163546106</v>
      </c>
      <c r="E684" s="3">
        <v>686.6023577648881</v>
      </c>
      <c r="F684" s="3">
        <v>430.88163131695467</v>
      </c>
      <c r="G684" s="3">
        <v>314.65865386048551</v>
      </c>
      <c r="H684" s="3">
        <v>360.74427923752148</v>
      </c>
      <c r="I684" s="2">
        <v>275.54658318562718</v>
      </c>
    </row>
    <row r="685" spans="1:9" x14ac:dyDescent="0.25">
      <c r="A685" s="9">
        <v>44393</v>
      </c>
      <c r="B685" s="3">
        <v>138.242527956</v>
      </c>
      <c r="C685" s="3">
        <v>178.88360727834305</v>
      </c>
      <c r="D685" s="3">
        <v>360.78441766116669</v>
      </c>
      <c r="E685" s="3">
        <v>703.61003767022885</v>
      </c>
      <c r="F685" s="3">
        <v>429.31302422621576</v>
      </c>
      <c r="G685" s="3">
        <v>291.8043271807478</v>
      </c>
      <c r="H685" s="3">
        <v>351.69012426719752</v>
      </c>
      <c r="I685" s="2">
        <v>255.53304931218085</v>
      </c>
    </row>
    <row r="686" spans="1:9" x14ac:dyDescent="0.25">
      <c r="A686" s="9">
        <v>44394</v>
      </c>
      <c r="B686" s="3">
        <v>52.589986678799995</v>
      </c>
      <c r="C686" s="3">
        <v>71.50661504163314</v>
      </c>
      <c r="D686" s="3">
        <v>216.96002441202626</v>
      </c>
      <c r="E686" s="3">
        <v>270.38783841634404</v>
      </c>
      <c r="F686" s="3">
        <v>131.29562744139153</v>
      </c>
      <c r="G686" s="3">
        <v>77.165020288595983</v>
      </c>
      <c r="H686" s="3">
        <v>164.34535245445559</v>
      </c>
      <c r="I686" s="2">
        <v>67.573408266723504</v>
      </c>
    </row>
    <row r="687" spans="1:9" x14ac:dyDescent="0.25">
      <c r="A687" s="9">
        <v>44395</v>
      </c>
      <c r="B687" s="3">
        <v>92.47544766</v>
      </c>
      <c r="C687" s="3">
        <v>87.088402927864749</v>
      </c>
      <c r="D687" s="3">
        <v>244.23535885618705</v>
      </c>
      <c r="E687" s="3">
        <v>381.29371297417225</v>
      </c>
      <c r="F687" s="3">
        <v>193.24214740373822</v>
      </c>
      <c r="G687" s="3">
        <v>104.24251438241814</v>
      </c>
      <c r="H687" s="3">
        <v>201.19402219385194</v>
      </c>
      <c r="I687" s="2">
        <v>91.285169844683566</v>
      </c>
    </row>
    <row r="688" spans="1:9" x14ac:dyDescent="0.25">
      <c r="A688" s="9">
        <v>44396</v>
      </c>
      <c r="B688" s="3">
        <v>105.56570055060003</v>
      </c>
      <c r="C688" s="3">
        <v>134.15515330010541</v>
      </c>
      <c r="D688" s="3">
        <v>359.4500866084876</v>
      </c>
      <c r="E688" s="3">
        <v>521.06608740814193</v>
      </c>
      <c r="F688" s="3">
        <v>337.39855939751322</v>
      </c>
      <c r="G688" s="3">
        <v>223.72397833342694</v>
      </c>
      <c r="H688" s="3">
        <v>314.16546158296751</v>
      </c>
      <c r="I688" s="2">
        <v>195.91508782658198</v>
      </c>
    </row>
    <row r="689" spans="1:9" x14ac:dyDescent="0.25">
      <c r="A689" s="9">
        <v>44397</v>
      </c>
      <c r="B689" s="3">
        <v>98.668781632799991</v>
      </c>
      <c r="C689" s="3">
        <v>122.14948607870112</v>
      </c>
      <c r="D689" s="3">
        <v>308.80254900142478</v>
      </c>
      <c r="E689" s="3">
        <v>484.26409461563361</v>
      </c>
      <c r="F689" s="3">
        <v>360.83917550111653</v>
      </c>
      <c r="G689" s="3">
        <v>231.78620238194375</v>
      </c>
      <c r="H689" s="3">
        <v>298.16447144547669</v>
      </c>
      <c r="I689" s="2">
        <v>202.97517742586814</v>
      </c>
    </row>
    <row r="690" spans="1:9" x14ac:dyDescent="0.25">
      <c r="A690" s="9">
        <v>44398</v>
      </c>
      <c r="B690" s="3">
        <v>93.74462155259998</v>
      </c>
      <c r="C690" s="3">
        <v>118.20981321565932</v>
      </c>
      <c r="D690" s="3">
        <v>432.95669958576929</v>
      </c>
      <c r="E690" s="3">
        <v>608.47401472739125</v>
      </c>
      <c r="F690" s="3">
        <v>457.3097768166736</v>
      </c>
      <c r="G690" s="3">
        <v>330.26479895175771</v>
      </c>
      <c r="H690" s="3">
        <v>359.88909268052731</v>
      </c>
      <c r="I690" s="2">
        <v>289.21288444205425</v>
      </c>
    </row>
    <row r="691" spans="1:9" x14ac:dyDescent="0.25">
      <c r="A691" s="9">
        <v>44399</v>
      </c>
      <c r="B691" s="3">
        <v>63.108415756800014</v>
      </c>
      <c r="C691" s="3">
        <v>96.951152225347926</v>
      </c>
      <c r="D691" s="3">
        <v>291.94205848810134</v>
      </c>
      <c r="E691" s="3">
        <v>448.8377914525031</v>
      </c>
      <c r="F691" s="3">
        <v>288.61128575318901</v>
      </c>
      <c r="G691" s="3">
        <v>236.28715644392454</v>
      </c>
      <c r="H691" s="3">
        <v>245.6315581295014</v>
      </c>
      <c r="I691" s="2">
        <v>206.91666289794472</v>
      </c>
    </row>
    <row r="692" spans="1:9" x14ac:dyDescent="0.25">
      <c r="A692" s="9">
        <v>44400</v>
      </c>
      <c r="B692" s="3">
        <v>17.602305404399999</v>
      </c>
      <c r="C692" s="3">
        <v>64.896459412237377</v>
      </c>
      <c r="D692" s="3">
        <v>140.24305837978397</v>
      </c>
      <c r="E692" s="3">
        <v>212.42739819264406</v>
      </c>
      <c r="F692" s="3">
        <v>158.72931714777889</v>
      </c>
      <c r="G692" s="3">
        <v>128.79046919904079</v>
      </c>
      <c r="H692" s="3">
        <v>127.06442096574757</v>
      </c>
      <c r="I692" s="2">
        <v>112.78181387760002</v>
      </c>
    </row>
    <row r="693" spans="1:9" x14ac:dyDescent="0.25">
      <c r="A693" s="9">
        <v>44401</v>
      </c>
      <c r="B693" s="3">
        <v>42.010657745400003</v>
      </c>
      <c r="C693" s="3">
        <v>144.83370432552758</v>
      </c>
      <c r="D693" s="3">
        <v>281.25965069468612</v>
      </c>
      <c r="E693" s="3">
        <v>337.93375551874414</v>
      </c>
      <c r="F693" s="3">
        <v>228.10743999534031</v>
      </c>
      <c r="G693" s="3">
        <v>206.2474336717743</v>
      </c>
      <c r="H693" s="3">
        <v>220.89115308376307</v>
      </c>
      <c r="I693" s="2">
        <v>180.61087766637277</v>
      </c>
    </row>
    <row r="694" spans="1:9" x14ac:dyDescent="0.25">
      <c r="A694" s="9">
        <v>44402</v>
      </c>
      <c r="B694" s="3">
        <v>32.635506148199994</v>
      </c>
      <c r="C694" s="3">
        <v>120.11915780180766</v>
      </c>
      <c r="D694" s="3">
        <v>264.69668752211044</v>
      </c>
      <c r="E694" s="3">
        <v>352.43523633460472</v>
      </c>
      <c r="F694" s="3">
        <v>256.85569752346498</v>
      </c>
      <c r="G694" s="3">
        <v>229.18773547722856</v>
      </c>
      <c r="H694" s="3">
        <v>288.90287064508783</v>
      </c>
      <c r="I694" s="2">
        <v>200.69969995740905</v>
      </c>
    </row>
    <row r="695" spans="1:9" x14ac:dyDescent="0.25">
      <c r="A695" s="9">
        <v>44403</v>
      </c>
      <c r="B695" s="3">
        <v>65.925571354200017</v>
      </c>
      <c r="C695" s="3">
        <v>204.84869074901098</v>
      </c>
      <c r="D695" s="3">
        <v>407.974218450367</v>
      </c>
      <c r="E695" s="3">
        <v>572.64992212702577</v>
      </c>
      <c r="F695" s="3">
        <v>423.59622868944967</v>
      </c>
      <c r="G695" s="3">
        <v>414.75292078140581</v>
      </c>
      <c r="H695" s="3">
        <v>451.37847674305266</v>
      </c>
      <c r="I695" s="2">
        <v>363.19913272827705</v>
      </c>
    </row>
    <row r="696" spans="1:9" x14ac:dyDescent="0.25">
      <c r="A696" s="9">
        <v>44404</v>
      </c>
      <c r="B696" s="3">
        <v>57.799045368000009</v>
      </c>
      <c r="C696" s="3">
        <v>180.74860042973538</v>
      </c>
      <c r="D696" s="3">
        <v>411.23939522712863</v>
      </c>
      <c r="E696" s="3">
        <v>495.9678275816388</v>
      </c>
      <c r="F696" s="3">
        <v>441.58901816348379</v>
      </c>
      <c r="G696" s="3">
        <v>379.27693401969077</v>
      </c>
      <c r="H696" s="3">
        <v>509.82577515004073</v>
      </c>
      <c r="I696" s="2">
        <v>332.13281112104323</v>
      </c>
    </row>
    <row r="697" spans="1:9" x14ac:dyDescent="0.25">
      <c r="A697" s="9">
        <v>44405</v>
      </c>
      <c r="B697" s="3">
        <v>55.52468081819999</v>
      </c>
      <c r="C697" s="3">
        <v>140.94689259646412</v>
      </c>
      <c r="D697" s="3">
        <v>356.69094843935181</v>
      </c>
      <c r="E697" s="3">
        <v>445.75850609432189</v>
      </c>
      <c r="F697" s="3">
        <v>374.9245977199277</v>
      </c>
      <c r="G697" s="3">
        <v>313.92931791167814</v>
      </c>
      <c r="H697" s="3">
        <v>469.19253852063349</v>
      </c>
      <c r="I697" s="2">
        <v>274.90790369525655</v>
      </c>
    </row>
    <row r="698" spans="1:9" x14ac:dyDescent="0.25">
      <c r="A698" s="9">
        <v>44406</v>
      </c>
      <c r="B698" s="3">
        <v>86.1829549542</v>
      </c>
      <c r="C698" s="3">
        <v>183.18173462507292</v>
      </c>
      <c r="D698" s="3">
        <v>408.31812061621719</v>
      </c>
      <c r="E698" s="3">
        <v>566.1156456755316</v>
      </c>
      <c r="F698" s="3">
        <v>567.84904676871963</v>
      </c>
      <c r="G698" s="3">
        <v>483.23450720904225</v>
      </c>
      <c r="H698" s="3">
        <v>578.43686458770139</v>
      </c>
      <c r="I698" s="2">
        <v>423.16845796295831</v>
      </c>
    </row>
    <row r="699" spans="1:9" x14ac:dyDescent="0.25">
      <c r="A699" s="9">
        <v>44407</v>
      </c>
      <c r="B699" s="3">
        <v>26.645154638400008</v>
      </c>
      <c r="C699" s="3">
        <v>176.85279069444294</v>
      </c>
      <c r="D699" s="3">
        <v>427.68539039673198</v>
      </c>
      <c r="E699" s="3">
        <v>585.78112823370964</v>
      </c>
      <c r="F699" s="3">
        <v>528.62056704108829</v>
      </c>
      <c r="G699" s="3">
        <v>448.5447137561876</v>
      </c>
      <c r="H699" s="3">
        <v>534.31228249199944</v>
      </c>
      <c r="I699" s="2">
        <v>392.79060583629348</v>
      </c>
    </row>
    <row r="700" spans="1:9" x14ac:dyDescent="0.25">
      <c r="A700" s="9">
        <v>44408</v>
      </c>
      <c r="B700" s="3">
        <v>1.0129988195999999</v>
      </c>
      <c r="C700" s="3">
        <v>52.140140095209304</v>
      </c>
      <c r="D700" s="3">
        <v>160.97328917498979</v>
      </c>
      <c r="E700" s="3">
        <v>192.60110491288953</v>
      </c>
      <c r="F700" s="3">
        <v>243.24828811458647</v>
      </c>
      <c r="G700" s="3">
        <v>163.99136475684477</v>
      </c>
      <c r="H700" s="3">
        <v>366.22479244849978</v>
      </c>
      <c r="I700" s="2">
        <v>143.60723811756898</v>
      </c>
    </row>
    <row r="701" spans="1:9" x14ac:dyDescent="0.25">
      <c r="A701" s="9">
        <v>44409</v>
      </c>
      <c r="B701" s="3">
        <v>39.4820659584</v>
      </c>
      <c r="C701" s="3">
        <v>200.54352423935089</v>
      </c>
      <c r="D701" s="3">
        <v>585.46255658920836</v>
      </c>
      <c r="E701" s="3">
        <v>759.38362792111957</v>
      </c>
      <c r="F701" s="3">
        <v>671.22098702944538</v>
      </c>
      <c r="G701" s="3">
        <v>548.60552936862928</v>
      </c>
      <c r="H701" s="3">
        <v>617.26083156612231</v>
      </c>
      <c r="I701" s="2">
        <v>480.4138620681087</v>
      </c>
    </row>
    <row r="702" spans="1:9" x14ac:dyDescent="0.25">
      <c r="A702" s="9">
        <v>44410</v>
      </c>
      <c r="B702" s="3">
        <v>56.530964593800007</v>
      </c>
      <c r="C702" s="3">
        <v>213.51343746700368</v>
      </c>
      <c r="D702" s="3">
        <v>591.91023553546415</v>
      </c>
      <c r="E702" s="3">
        <v>925.29818478742106</v>
      </c>
      <c r="F702" s="3">
        <v>779.14656261353082</v>
      </c>
      <c r="G702" s="3">
        <v>421.55364813346324</v>
      </c>
      <c r="H702" s="3">
        <v>744.926406023661</v>
      </c>
      <c r="I702" s="2">
        <v>369.15452967047378</v>
      </c>
    </row>
    <row r="703" spans="1:9" x14ac:dyDescent="0.25">
      <c r="A703" s="9">
        <v>44411</v>
      </c>
      <c r="B703" s="3">
        <v>49.325153191200009</v>
      </c>
      <c r="C703" s="3">
        <v>210.98167984896205</v>
      </c>
      <c r="D703" s="3">
        <v>567.48190306956963</v>
      </c>
      <c r="E703" s="3">
        <v>894.45921899551502</v>
      </c>
      <c r="F703" s="3">
        <v>776.07386272951908</v>
      </c>
      <c r="G703" s="3">
        <v>350.8203523648923</v>
      </c>
      <c r="H703" s="3">
        <v>702.98671816927765</v>
      </c>
      <c r="I703" s="2">
        <v>307.21338256593617</v>
      </c>
    </row>
    <row r="704" spans="1:9" x14ac:dyDescent="0.25">
      <c r="A704" s="9">
        <v>44412</v>
      </c>
      <c r="B704" s="3">
        <v>57.294612790199984</v>
      </c>
      <c r="C704" s="3">
        <v>208.23898200157149</v>
      </c>
      <c r="D704" s="3">
        <v>559.61967758780543</v>
      </c>
      <c r="E704" s="3">
        <v>959.70308266864902</v>
      </c>
      <c r="F704" s="3">
        <v>760.64508790871275</v>
      </c>
      <c r="G704" s="3">
        <v>361.19052028468514</v>
      </c>
      <c r="H704" s="3">
        <v>670.93908297971484</v>
      </c>
      <c r="I704" s="2">
        <v>316.29453861329881</v>
      </c>
    </row>
    <row r="705" spans="1:9" x14ac:dyDescent="0.25">
      <c r="A705" s="9">
        <v>44413</v>
      </c>
      <c r="B705" s="3">
        <v>51.638419074600002</v>
      </c>
      <c r="C705" s="3">
        <v>200.81059006088591</v>
      </c>
      <c r="D705" s="3">
        <v>521.60143843893979</v>
      </c>
      <c r="E705" s="3">
        <v>970.63815170373118</v>
      </c>
      <c r="F705" s="3">
        <v>724.18983020587598</v>
      </c>
      <c r="G705" s="3">
        <v>369.96719166669868</v>
      </c>
      <c r="H705" s="3">
        <v>613.49325473492286</v>
      </c>
      <c r="I705" s="2">
        <v>323.98026974252804</v>
      </c>
    </row>
    <row r="706" spans="1:9" x14ac:dyDescent="0.25">
      <c r="A706" s="9">
        <v>44414</v>
      </c>
      <c r="B706" s="3">
        <v>44.301915095399998</v>
      </c>
      <c r="C706" s="3">
        <v>168.40469999207377</v>
      </c>
      <c r="D706" s="3">
        <v>474.06684936155619</v>
      </c>
      <c r="E706" s="3">
        <v>1026.0412651625702</v>
      </c>
      <c r="F706" s="3">
        <v>664.78148451998788</v>
      </c>
      <c r="G706" s="3">
        <v>349.79073379890667</v>
      </c>
      <c r="H706" s="3">
        <v>584.39686866796978</v>
      </c>
      <c r="I706" s="2">
        <v>306.3117455877026</v>
      </c>
    </row>
    <row r="707" spans="1:9" x14ac:dyDescent="0.25">
      <c r="A707" s="9">
        <v>44415</v>
      </c>
      <c r="B707" s="3">
        <v>65.578904472600001</v>
      </c>
      <c r="C707" s="3">
        <v>160.42463223429343</v>
      </c>
      <c r="D707" s="3">
        <v>436.15703289268066</v>
      </c>
      <c r="E707" s="3">
        <v>1011.2795208651953</v>
      </c>
      <c r="F707" s="3">
        <v>617.9570694999253</v>
      </c>
      <c r="G707" s="3">
        <v>379.3994014290202</v>
      </c>
      <c r="H707" s="3">
        <v>547.63078276717749</v>
      </c>
      <c r="I707" s="2">
        <v>332.24005583139302</v>
      </c>
    </row>
    <row r="708" spans="1:9" x14ac:dyDescent="0.25">
      <c r="A708" s="9">
        <v>44416</v>
      </c>
      <c r="B708" s="3">
        <v>86.083745826600008</v>
      </c>
      <c r="C708" s="3">
        <v>156.42121330005239</v>
      </c>
      <c r="D708" s="3">
        <v>380.48555575923132</v>
      </c>
      <c r="E708" s="3">
        <v>965.79497771031231</v>
      </c>
      <c r="F708" s="3">
        <v>562.27647949926916</v>
      </c>
      <c r="G708" s="3">
        <v>367.59539177106842</v>
      </c>
      <c r="H708" s="3">
        <v>540.47762917684611</v>
      </c>
      <c r="I708" s="2">
        <v>321.90328457392462</v>
      </c>
    </row>
    <row r="709" spans="1:9" x14ac:dyDescent="0.25">
      <c r="A709" s="9">
        <v>44417</v>
      </c>
      <c r="B709" s="3">
        <v>21.684553480800002</v>
      </c>
      <c r="C709" s="3">
        <v>42.278569449712741</v>
      </c>
      <c r="D709" s="3">
        <v>156.228344113904</v>
      </c>
      <c r="E709" s="3">
        <v>296.9230871507055</v>
      </c>
      <c r="F709" s="3">
        <v>218.98774228151262</v>
      </c>
      <c r="G709" s="3">
        <v>146.15806431824103</v>
      </c>
      <c r="H709" s="3">
        <v>304.49332415966205</v>
      </c>
      <c r="I709" s="2">
        <v>127.99061692348367</v>
      </c>
    </row>
    <row r="710" spans="1:9" x14ac:dyDescent="0.25">
      <c r="A710" s="9">
        <v>44418</v>
      </c>
      <c r="B710" s="3">
        <v>36.739177770600001</v>
      </c>
      <c r="C710" s="3">
        <v>143.99484571681788</v>
      </c>
      <c r="D710" s="3">
        <v>438.2471112033835</v>
      </c>
      <c r="E710" s="3">
        <v>730.52183468518854</v>
      </c>
      <c r="F710" s="3">
        <v>487.66551500889904</v>
      </c>
      <c r="G710" s="3">
        <v>392.75579191222306</v>
      </c>
      <c r="H710" s="3">
        <v>450.16644720097634</v>
      </c>
      <c r="I710" s="2">
        <v>343.93624697753376</v>
      </c>
    </row>
    <row r="711" spans="1:9" x14ac:dyDescent="0.25">
      <c r="A711" s="9">
        <v>44419</v>
      </c>
      <c r="B711" s="3">
        <v>34.385931235799994</v>
      </c>
      <c r="C711" s="3">
        <v>26.198648359813575</v>
      </c>
      <c r="D711" s="3">
        <v>48.698891460444251</v>
      </c>
      <c r="E711" s="3">
        <v>133.54917013575962</v>
      </c>
      <c r="F711" s="3">
        <v>89.575394582921533</v>
      </c>
      <c r="G711" s="3">
        <v>51.375020395377497</v>
      </c>
      <c r="H711" s="3">
        <v>206.51203844605752</v>
      </c>
      <c r="I711" s="2">
        <v>44.989105360232074</v>
      </c>
    </row>
    <row r="712" spans="1:9" x14ac:dyDescent="0.25">
      <c r="A712" s="9">
        <v>44420</v>
      </c>
      <c r="B712" s="3">
        <v>37.526373428400007</v>
      </c>
      <c r="C712" s="3">
        <v>51.778201478708681</v>
      </c>
      <c r="D712" s="3">
        <v>288.79487123506215</v>
      </c>
      <c r="E712" s="3">
        <v>556.63217282400626</v>
      </c>
      <c r="F712" s="3">
        <v>315.23647254842246</v>
      </c>
      <c r="G712" s="3">
        <v>296.8216804509496</v>
      </c>
      <c r="H712" s="3">
        <v>415.16462849720904</v>
      </c>
      <c r="I712" s="2">
        <v>259.92674557089657</v>
      </c>
    </row>
    <row r="713" spans="1:9" x14ac:dyDescent="0.25">
      <c r="A713" s="9">
        <v>44421</v>
      </c>
      <c r="B713" s="3">
        <v>10.814812268400003</v>
      </c>
      <c r="C713" s="3">
        <v>28.6995119406794</v>
      </c>
      <c r="D713" s="3">
        <v>99.024858462875599</v>
      </c>
      <c r="E713" s="3">
        <v>212.33262036962839</v>
      </c>
      <c r="F713" s="3">
        <v>118.58130926241448</v>
      </c>
      <c r="G713" s="3">
        <v>128.10282711825781</v>
      </c>
      <c r="H713" s="3">
        <v>223.12849090839677</v>
      </c>
      <c r="I713" s="2">
        <v>112.17964570745836</v>
      </c>
    </row>
    <row r="714" spans="1:9" x14ac:dyDescent="0.25">
      <c r="A714" s="9">
        <v>44422</v>
      </c>
      <c r="B714" s="3">
        <v>0.89734741559999998</v>
      </c>
      <c r="C714" s="3">
        <v>2.2119767137737303</v>
      </c>
      <c r="D714" s="3">
        <v>31.71613224752554</v>
      </c>
      <c r="E714" s="3">
        <v>177.86492552936781</v>
      </c>
      <c r="F714" s="3">
        <v>117.84629148682367</v>
      </c>
      <c r="G714" s="3">
        <v>99.912424010815542</v>
      </c>
      <c r="H714" s="3">
        <v>256.99874538189198</v>
      </c>
      <c r="I714" s="2">
        <v>87.493309706271177</v>
      </c>
    </row>
    <row r="715" spans="1:9" x14ac:dyDescent="0.25">
      <c r="A715" s="9">
        <v>44423</v>
      </c>
      <c r="B715" s="3">
        <v>12.222314751599997</v>
      </c>
      <c r="C715" s="3">
        <v>24.126868060377625</v>
      </c>
      <c r="D715" s="3">
        <v>2.1771031436701178</v>
      </c>
      <c r="E715" s="3">
        <v>22.789622415531941</v>
      </c>
      <c r="F715" s="3">
        <v>39.041509217751731</v>
      </c>
      <c r="G715" s="3">
        <v>25.792360285521649</v>
      </c>
      <c r="H715" s="3">
        <v>83.919186578099954</v>
      </c>
      <c r="I715" s="2">
        <v>22.586369902031308</v>
      </c>
    </row>
    <row r="716" spans="1:9" x14ac:dyDescent="0.25">
      <c r="A716" s="9">
        <v>44424</v>
      </c>
      <c r="B716" s="3">
        <v>9.6758211005999986</v>
      </c>
      <c r="C716" s="3">
        <v>30.652030333430893</v>
      </c>
      <c r="D716" s="3">
        <v>223.53471683859902</v>
      </c>
      <c r="E716" s="3">
        <v>367.88247992586611</v>
      </c>
      <c r="F716" s="3">
        <v>278.97177217008499</v>
      </c>
      <c r="G716" s="3">
        <v>255.66552378670619</v>
      </c>
      <c r="H716" s="3">
        <v>361.85102005930463</v>
      </c>
      <c r="I716" s="2">
        <v>223.88629918001863</v>
      </c>
    </row>
    <row r="717" spans="1:9" x14ac:dyDescent="0.25">
      <c r="A717" s="9">
        <v>44425</v>
      </c>
      <c r="B717" s="3">
        <v>9.639761759999999</v>
      </c>
      <c r="C717" s="3">
        <v>42.998676909046715</v>
      </c>
      <c r="D717" s="3">
        <v>166.55877480249018</v>
      </c>
      <c r="E717" s="3">
        <v>409.24635418802779</v>
      </c>
      <c r="F717" s="3">
        <v>268.09761198310281</v>
      </c>
      <c r="G717" s="3">
        <v>260.83907951161473</v>
      </c>
      <c r="H717" s="3">
        <v>440.78757059553647</v>
      </c>
      <c r="I717" s="2">
        <v>228.41678192832103</v>
      </c>
    </row>
    <row r="718" spans="1:9" x14ac:dyDescent="0.25">
      <c r="A718" s="9">
        <v>44426</v>
      </c>
      <c r="B718" s="3">
        <v>28.937673898200003</v>
      </c>
      <c r="C718" s="3">
        <v>74.32635139856896</v>
      </c>
      <c r="D718" s="3">
        <v>233.18031906589192</v>
      </c>
      <c r="E718" s="3">
        <v>444.06516642776666</v>
      </c>
      <c r="F718" s="3">
        <v>356.96244373028799</v>
      </c>
      <c r="G718" s="3">
        <v>394.16039104955638</v>
      </c>
      <c r="H718" s="3">
        <v>450.29842940158386</v>
      </c>
      <c r="I718" s="2">
        <v>345.16625444209654</v>
      </c>
    </row>
    <row r="719" spans="1:9" x14ac:dyDescent="0.25">
      <c r="A719" s="9">
        <v>44427</v>
      </c>
      <c r="B719" s="3">
        <v>29.205910911599997</v>
      </c>
      <c r="C719" s="3">
        <v>115.11425825241091</v>
      </c>
      <c r="D719" s="3">
        <v>361.33830897217956</v>
      </c>
      <c r="E719" s="3">
        <v>584.5025826679323</v>
      </c>
      <c r="F719" s="3">
        <v>442.38354612576279</v>
      </c>
      <c r="G719" s="3">
        <v>462.11944594793817</v>
      </c>
      <c r="H719" s="3">
        <v>574.0789106277449</v>
      </c>
      <c r="I719" s="2">
        <v>404.67799881660949</v>
      </c>
    </row>
    <row r="720" spans="1:9" x14ac:dyDescent="0.25">
      <c r="A720" s="9">
        <v>44428</v>
      </c>
      <c r="B720" s="3">
        <v>18.2607863436</v>
      </c>
      <c r="C720" s="3">
        <v>128.63120668547606</v>
      </c>
      <c r="D720" s="3">
        <v>457.27666099019876</v>
      </c>
      <c r="E720" s="3">
        <v>668.14782106672988</v>
      </c>
      <c r="F720" s="3">
        <v>430.30758089244881</v>
      </c>
      <c r="G720" s="3">
        <v>465.38337944279834</v>
      </c>
      <c r="H720" s="3">
        <v>561.31266942161608</v>
      </c>
      <c r="I720" s="2">
        <v>407.53622537805853</v>
      </c>
    </row>
    <row r="721" spans="1:9" x14ac:dyDescent="0.25">
      <c r="A721" s="9">
        <v>44429</v>
      </c>
      <c r="B721" s="3">
        <v>20.019717568800001</v>
      </c>
      <c r="C721" s="3">
        <v>139.14521071604287</v>
      </c>
      <c r="D721" s="3">
        <v>470.30652214565634</v>
      </c>
      <c r="E721" s="3">
        <v>697.56524884557484</v>
      </c>
      <c r="F721" s="3">
        <v>434.38793425094303</v>
      </c>
      <c r="G721" s="3">
        <v>479.13228566194715</v>
      </c>
      <c r="H721" s="3">
        <v>606.02551819642758</v>
      </c>
      <c r="I721" s="2">
        <v>419.57614255416712</v>
      </c>
    </row>
    <row r="722" spans="1:9" x14ac:dyDescent="0.25">
      <c r="A722" s="9">
        <v>44430</v>
      </c>
      <c r="B722" s="3">
        <v>13.343193297000001</v>
      </c>
      <c r="C722" s="3">
        <v>126.82725161058235</v>
      </c>
      <c r="D722" s="3">
        <v>454.43357749349701</v>
      </c>
      <c r="E722" s="3">
        <v>721.84329212394448</v>
      </c>
      <c r="F722" s="3">
        <v>439.75261321575505</v>
      </c>
      <c r="G722" s="3">
        <v>472.54032276531166</v>
      </c>
      <c r="H722" s="3">
        <v>660.56851978360021</v>
      </c>
      <c r="I722" s="2">
        <v>413.80356064558345</v>
      </c>
    </row>
    <row r="723" spans="1:9" x14ac:dyDescent="0.25">
      <c r="A723" s="9">
        <v>44431</v>
      </c>
      <c r="B723" s="3">
        <v>11.090662352999999</v>
      </c>
      <c r="C723" s="3">
        <v>117.04185003396687</v>
      </c>
      <c r="D723" s="3">
        <v>351.05463891626306</v>
      </c>
      <c r="E723" s="3">
        <v>626.0929006764627</v>
      </c>
      <c r="F723" s="3">
        <v>413.20790984878136</v>
      </c>
      <c r="G723" s="3">
        <v>386.94238345390903</v>
      </c>
      <c r="H723" s="3">
        <v>585.34404976340932</v>
      </c>
      <c r="I723" s="2">
        <v>338.84544519058818</v>
      </c>
    </row>
    <row r="724" spans="1:9" x14ac:dyDescent="0.25">
      <c r="A724" s="9">
        <v>44432</v>
      </c>
      <c r="B724" s="3">
        <v>21.340455402599996</v>
      </c>
      <c r="C724" s="3">
        <v>29.252784296612074</v>
      </c>
      <c r="D724" s="3">
        <v>105.28278831112392</v>
      </c>
      <c r="E724" s="3">
        <v>250.56142119872962</v>
      </c>
      <c r="F724" s="3">
        <v>148.14529641391792</v>
      </c>
      <c r="G724" s="3">
        <v>134.32586911964214</v>
      </c>
      <c r="H724" s="3">
        <v>263.74191122637143</v>
      </c>
      <c r="I724" s="2">
        <v>117.62916358807063</v>
      </c>
    </row>
    <row r="725" spans="1:9" x14ac:dyDescent="0.25">
      <c r="A725" s="9">
        <v>44433</v>
      </c>
      <c r="B725" s="3">
        <v>8.1850368600000021</v>
      </c>
      <c r="C725" s="3">
        <v>51.721812356172862</v>
      </c>
      <c r="D725" s="3">
        <v>222.67263428687508</v>
      </c>
      <c r="E725" s="3">
        <v>446.55733950852016</v>
      </c>
      <c r="F725" s="3">
        <v>294.0965628644567</v>
      </c>
      <c r="G725" s="3">
        <v>271.22454216760741</v>
      </c>
      <c r="H725" s="3">
        <v>250.92655392023124</v>
      </c>
      <c r="I725" s="2">
        <v>237.51133157617383</v>
      </c>
    </row>
    <row r="726" spans="1:9" x14ac:dyDescent="0.25">
      <c r="A726" s="9">
        <v>44434</v>
      </c>
      <c r="B726" s="3">
        <v>7.8439573493999992</v>
      </c>
      <c r="C726" s="3">
        <v>69.64290480517181</v>
      </c>
      <c r="D726" s="3">
        <v>320.37193288113593</v>
      </c>
      <c r="E726" s="3">
        <v>563.90966229261699</v>
      </c>
      <c r="F726" s="3">
        <v>407.2965622426965</v>
      </c>
      <c r="G726" s="3">
        <v>364.52113435895149</v>
      </c>
      <c r="H726" s="3">
        <v>397.38124045677409</v>
      </c>
      <c r="I726" s="2">
        <v>319.21115735813385</v>
      </c>
    </row>
    <row r="727" spans="1:9" x14ac:dyDescent="0.25">
      <c r="A727" s="9">
        <v>44435</v>
      </c>
      <c r="B727" s="3">
        <v>4.9229390501999983</v>
      </c>
      <c r="C727" s="3">
        <v>36.869796280625188</v>
      </c>
      <c r="D727" s="3">
        <v>181.85894565574992</v>
      </c>
      <c r="E727" s="3">
        <v>364.51173248715361</v>
      </c>
      <c r="F727" s="3">
        <v>251.68047581599373</v>
      </c>
      <c r="G727" s="3">
        <v>207.11642340566468</v>
      </c>
      <c r="H727" s="3">
        <v>341.84950071920582</v>
      </c>
      <c r="I727" s="2">
        <v>181.37185197634057</v>
      </c>
    </row>
    <row r="728" spans="1:9" x14ac:dyDescent="0.25">
      <c r="A728" s="9">
        <v>44436</v>
      </c>
      <c r="B728" s="3">
        <v>44.663452723799999</v>
      </c>
      <c r="C728" s="3">
        <v>51.497726502180605</v>
      </c>
      <c r="D728" s="3">
        <v>358.83757269816931</v>
      </c>
      <c r="E728" s="3">
        <v>686.30080677188357</v>
      </c>
      <c r="F728" s="3">
        <v>514.18698917638494</v>
      </c>
      <c r="G728" s="3">
        <v>434.30556690831952</v>
      </c>
      <c r="H728" s="3">
        <v>465.07714741065848</v>
      </c>
      <c r="I728" s="2">
        <v>380.32138494161541</v>
      </c>
    </row>
    <row r="729" spans="1:9" x14ac:dyDescent="0.25">
      <c r="A729" s="9">
        <v>44437</v>
      </c>
      <c r="B729" s="3">
        <v>110.32136989740002</v>
      </c>
      <c r="C729" s="3">
        <v>88.312171180969116</v>
      </c>
      <c r="D729" s="3">
        <v>384.2213947712242</v>
      </c>
      <c r="E729" s="3">
        <v>614.20393182032501</v>
      </c>
      <c r="F729" s="3">
        <v>409.33284592327158</v>
      </c>
      <c r="G729" s="3">
        <v>327.60163440234788</v>
      </c>
      <c r="H729" s="3">
        <v>232.87883416874953</v>
      </c>
      <c r="I729" s="2">
        <v>286.88075124613607</v>
      </c>
    </row>
    <row r="730" spans="1:9" x14ac:dyDescent="0.25">
      <c r="A730" s="9">
        <v>44438</v>
      </c>
      <c r="B730" s="3">
        <v>89.886071143799995</v>
      </c>
      <c r="C730" s="3">
        <v>60.576504964846698</v>
      </c>
      <c r="D730" s="3">
        <v>337.43447876345482</v>
      </c>
      <c r="E730" s="3">
        <v>623.96762596609699</v>
      </c>
      <c r="F730" s="3">
        <v>494.29583333214725</v>
      </c>
      <c r="G730" s="3">
        <v>287.11488340688743</v>
      </c>
      <c r="H730" s="3">
        <v>184.23677140289556</v>
      </c>
      <c r="I730" s="2">
        <v>251.42650339941133</v>
      </c>
    </row>
    <row r="731" spans="1:9" x14ac:dyDescent="0.25">
      <c r="A731" s="9">
        <v>44439</v>
      </c>
      <c r="B731" s="3">
        <v>89.437403430000018</v>
      </c>
      <c r="C731" s="3">
        <v>81.747823061708601</v>
      </c>
      <c r="D731" s="3">
        <v>356.7105345231181</v>
      </c>
      <c r="E731" s="3">
        <v>714.33616174096278</v>
      </c>
      <c r="F731" s="3">
        <v>515.74537284846508</v>
      </c>
      <c r="G731" s="3">
        <v>333.06094655728498</v>
      </c>
      <c r="H731" s="3">
        <v>213.04951494390198</v>
      </c>
      <c r="I731" s="2">
        <v>291.66147090021445</v>
      </c>
    </row>
    <row r="732" spans="1:9" x14ac:dyDescent="0.25">
      <c r="A732" s="9">
        <v>44440</v>
      </c>
      <c r="B732" s="3">
        <v>77.660042543999992</v>
      </c>
      <c r="C732" s="3">
        <v>119.90369944260743</v>
      </c>
      <c r="D732" s="3">
        <v>412.91156981441105</v>
      </c>
      <c r="E732" s="3">
        <v>832.87801453430416</v>
      </c>
      <c r="F732" s="3">
        <v>554.03555554677632</v>
      </c>
      <c r="G732" s="3">
        <v>421.69229123012758</v>
      </c>
      <c r="H732" s="3">
        <v>314.92706140365863</v>
      </c>
      <c r="I732" s="2">
        <v>369.27593943022276</v>
      </c>
    </row>
    <row r="733" spans="1:9" x14ac:dyDescent="0.25">
      <c r="A733" s="9">
        <v>44441</v>
      </c>
      <c r="B733" s="3">
        <v>64.624461982199989</v>
      </c>
      <c r="C733" s="3">
        <v>104.92362169865051</v>
      </c>
      <c r="D733" s="3">
        <v>350.49303131787013</v>
      </c>
      <c r="E733" s="3">
        <v>793.54604229344204</v>
      </c>
      <c r="F733" s="3">
        <v>498.95618267517614</v>
      </c>
      <c r="G733" s="3">
        <v>372.01632520134433</v>
      </c>
      <c r="H733" s="3">
        <v>357.56491873027733</v>
      </c>
      <c r="I733" s="2">
        <v>325.77469597881725</v>
      </c>
    </row>
    <row r="734" spans="1:9" x14ac:dyDescent="0.25">
      <c r="A734" s="9">
        <v>44442</v>
      </c>
      <c r="B734" s="3">
        <v>72.290459262599995</v>
      </c>
      <c r="C734" s="3">
        <v>106.78891988872586</v>
      </c>
      <c r="D734" s="3">
        <v>400.18175057765183</v>
      </c>
      <c r="E734" s="3">
        <v>796.37805805048629</v>
      </c>
      <c r="F734" s="3">
        <v>485.16545389149275</v>
      </c>
      <c r="G734" s="3">
        <v>365.1112334204019</v>
      </c>
      <c r="H734" s="3">
        <v>432.31480833556355</v>
      </c>
      <c r="I734" s="2">
        <v>319.72790710624594</v>
      </c>
    </row>
    <row r="735" spans="1:9" x14ac:dyDescent="0.25">
      <c r="A735" s="9">
        <v>44443</v>
      </c>
      <c r="B735" s="3">
        <v>59.735848714200003</v>
      </c>
      <c r="C735" s="3">
        <v>89.766154810932775</v>
      </c>
      <c r="D735" s="3">
        <v>356.57339380066134</v>
      </c>
      <c r="E735" s="3">
        <v>799.74646048118848</v>
      </c>
      <c r="F735" s="3">
        <v>427.82206125517274</v>
      </c>
      <c r="G735" s="3">
        <v>338.93312676074322</v>
      </c>
      <c r="H735" s="3">
        <v>457.72321174444306</v>
      </c>
      <c r="I735" s="2">
        <v>296.80373910438283</v>
      </c>
    </row>
    <row r="736" spans="1:9" x14ac:dyDescent="0.25">
      <c r="A736" s="9">
        <v>44444</v>
      </c>
      <c r="B736" s="3">
        <v>69.642770839200026</v>
      </c>
      <c r="C736" s="3">
        <v>50.512863854875519</v>
      </c>
      <c r="D736" s="3">
        <v>325.65415142180012</v>
      </c>
      <c r="E736" s="3">
        <v>666.96752965109567</v>
      </c>
      <c r="F736" s="3">
        <v>393.64925481242273</v>
      </c>
      <c r="G736" s="3">
        <v>323.66539208779056</v>
      </c>
      <c r="H736" s="3">
        <v>452.55558549505059</v>
      </c>
      <c r="I736" s="2">
        <v>283.43378385127824</v>
      </c>
    </row>
    <row r="737" spans="1:9" x14ac:dyDescent="0.25">
      <c r="A737" s="9">
        <v>44445</v>
      </c>
      <c r="B737" s="3">
        <v>63.168750228600011</v>
      </c>
      <c r="C737" s="3">
        <v>100.82624601453512</v>
      </c>
      <c r="D737" s="3">
        <v>269.08621125918006</v>
      </c>
      <c r="E737" s="3">
        <v>690.21713690840954</v>
      </c>
      <c r="F737" s="3">
        <v>278.78253257675226</v>
      </c>
      <c r="G737" s="3">
        <v>260.45906269759007</v>
      </c>
      <c r="H737" s="3">
        <v>320.22223371631736</v>
      </c>
      <c r="I737" s="2">
        <v>228.08400120427964</v>
      </c>
    </row>
    <row r="738" spans="1:9" x14ac:dyDescent="0.25">
      <c r="A738" s="9">
        <v>44446</v>
      </c>
      <c r="B738" s="3">
        <v>27.827424903600001</v>
      </c>
      <c r="C738" s="3">
        <v>18.247896218984067</v>
      </c>
      <c r="D738" s="3">
        <v>229.8630277238054</v>
      </c>
      <c r="E738" s="3">
        <v>592.65272017924099</v>
      </c>
      <c r="F738" s="3">
        <v>342.41548823260212</v>
      </c>
      <c r="G738" s="3">
        <v>302.48684322385054</v>
      </c>
      <c r="H738" s="3">
        <v>542.41292192419485</v>
      </c>
      <c r="I738" s="2">
        <v>264.88772861112591</v>
      </c>
    </row>
    <row r="739" spans="1:9" x14ac:dyDescent="0.25">
      <c r="A739" s="9">
        <v>44447</v>
      </c>
      <c r="B739" s="3">
        <v>45.744348342599999</v>
      </c>
      <c r="C739" s="3">
        <v>113.5760533135272</v>
      </c>
      <c r="D739" s="3">
        <v>315.92314035112258</v>
      </c>
      <c r="E739" s="3">
        <v>738.85912918788438</v>
      </c>
      <c r="F739" s="3">
        <v>430.21609494947057</v>
      </c>
      <c r="G739" s="3">
        <v>351.29885274446724</v>
      </c>
      <c r="H739" s="3">
        <v>504.05238000664122</v>
      </c>
      <c r="I739" s="2">
        <v>307.63240534833</v>
      </c>
    </row>
    <row r="740" spans="1:9" x14ac:dyDescent="0.25">
      <c r="A740" s="9">
        <v>44448</v>
      </c>
      <c r="B740" s="3">
        <v>70.601229563399983</v>
      </c>
      <c r="C740" s="3">
        <v>150.67961880258605</v>
      </c>
      <c r="D740" s="3">
        <v>378.99838939185577</v>
      </c>
      <c r="E740" s="3">
        <v>844.42765904304019</v>
      </c>
      <c r="F740" s="3">
        <v>437.20432162934821</v>
      </c>
      <c r="G740" s="3">
        <v>412.81555489728885</v>
      </c>
      <c r="H740" s="3">
        <v>512.92564751459145</v>
      </c>
      <c r="I740" s="2">
        <v>361.50258142355585</v>
      </c>
    </row>
    <row r="741" spans="1:9" x14ac:dyDescent="0.25">
      <c r="A741" s="9">
        <v>44449</v>
      </c>
      <c r="B741" s="3">
        <v>80.732232687599975</v>
      </c>
      <c r="C741" s="3">
        <v>145.4570687748616</v>
      </c>
      <c r="D741" s="3">
        <v>302.37923295230394</v>
      </c>
      <c r="E741" s="3">
        <v>820.71457986382961</v>
      </c>
      <c r="F741" s="3">
        <v>434.13809854525311</v>
      </c>
      <c r="G741" s="3">
        <v>410.14794927668333</v>
      </c>
      <c r="H741" s="3">
        <v>530.41698254434607</v>
      </c>
      <c r="I741" s="2">
        <v>359.16655918159159</v>
      </c>
    </row>
    <row r="742" spans="1:9" x14ac:dyDescent="0.25">
      <c r="A742" s="9">
        <v>44450</v>
      </c>
      <c r="B742" s="3">
        <v>53.526417685200002</v>
      </c>
      <c r="C742" s="3">
        <v>186.93052898929074</v>
      </c>
      <c r="D742" s="3">
        <v>263.02609043733725</v>
      </c>
      <c r="E742" s="3">
        <v>890.17932887181928</v>
      </c>
      <c r="F742" s="3">
        <v>458.73835539276473</v>
      </c>
      <c r="G742" s="3">
        <v>424.45308593714009</v>
      </c>
      <c r="H742" s="3">
        <v>537.34369704954065</v>
      </c>
      <c r="I742" s="2">
        <v>371.69356735515356</v>
      </c>
    </row>
    <row r="743" spans="1:9" x14ac:dyDescent="0.25">
      <c r="A743" s="9">
        <v>44451</v>
      </c>
      <c r="B743" s="3">
        <v>36.282361167000005</v>
      </c>
      <c r="C743" s="3">
        <v>167.43049830322468</v>
      </c>
      <c r="D743" s="3">
        <v>217.25813926028718</v>
      </c>
      <c r="E743" s="3">
        <v>782.8593474337265</v>
      </c>
      <c r="F743" s="3">
        <v>312.42265645044733</v>
      </c>
      <c r="G743" s="3">
        <v>354.35562454628678</v>
      </c>
      <c r="H743" s="3">
        <v>427.23220701151632</v>
      </c>
      <c r="I743" s="2">
        <v>310.30922041518335</v>
      </c>
    </row>
    <row r="744" spans="1:9" x14ac:dyDescent="0.25">
      <c r="A744" s="9">
        <v>44452</v>
      </c>
      <c r="B744" s="3">
        <v>42.046497169200002</v>
      </c>
      <c r="C744" s="3">
        <v>10.901473601707409</v>
      </c>
      <c r="D744" s="3">
        <v>103.17563499316033</v>
      </c>
      <c r="E744" s="3">
        <v>315.7720370825885</v>
      </c>
      <c r="F744" s="3">
        <v>206.84174517241669</v>
      </c>
      <c r="G744" s="3">
        <v>201.36004945957495</v>
      </c>
      <c r="H744" s="3">
        <v>335.12009473166245</v>
      </c>
      <c r="I744" s="2">
        <v>176.3309953117498</v>
      </c>
    </row>
    <row r="745" spans="1:9" x14ac:dyDescent="0.25">
      <c r="A745" s="9">
        <v>44453</v>
      </c>
      <c r="B745" s="3">
        <v>43.691077729799993</v>
      </c>
      <c r="C745" s="3">
        <v>60.720540960975605</v>
      </c>
      <c r="D745" s="3">
        <v>173.76781142244565</v>
      </c>
      <c r="E745" s="3">
        <v>364.26111689832794</v>
      </c>
      <c r="F745" s="3">
        <v>306.15009131726134</v>
      </c>
      <c r="G745" s="3">
        <v>277.13477873574709</v>
      </c>
      <c r="H745" s="3">
        <v>402.22800954784748</v>
      </c>
      <c r="I745" s="2">
        <v>242.68692573889373</v>
      </c>
    </row>
    <row r="746" spans="1:9" x14ac:dyDescent="0.25">
      <c r="A746" s="9">
        <v>44454</v>
      </c>
      <c r="B746" s="3">
        <v>25.0090215894</v>
      </c>
      <c r="C746" s="3">
        <v>114.63362487096767</v>
      </c>
      <c r="D746" s="3">
        <v>216.09848893075173</v>
      </c>
      <c r="E746" s="3">
        <v>551.31331933231513</v>
      </c>
      <c r="F746" s="3">
        <v>386.35030531082811</v>
      </c>
      <c r="G746" s="3">
        <v>355.13099373629245</v>
      </c>
      <c r="H746" s="3">
        <v>430.16521026614356</v>
      </c>
      <c r="I746" s="2">
        <v>310.98821121487128</v>
      </c>
    </row>
    <row r="747" spans="1:9" x14ac:dyDescent="0.25">
      <c r="A747" s="9">
        <v>44455</v>
      </c>
      <c r="B747" s="3">
        <v>11.395894975200001</v>
      </c>
      <c r="C747" s="3">
        <v>96.446179971283058</v>
      </c>
      <c r="D747" s="3">
        <v>151.14409167847481</v>
      </c>
      <c r="E747" s="3">
        <v>412.46556219355199</v>
      </c>
      <c r="F747" s="3">
        <v>227.04540361960923</v>
      </c>
      <c r="G747" s="3">
        <v>236.54960571430067</v>
      </c>
      <c r="H747" s="3">
        <v>331.58953162971983</v>
      </c>
      <c r="I747" s="2">
        <v>207.14648972401309</v>
      </c>
    </row>
    <row r="748" spans="1:9" x14ac:dyDescent="0.25">
      <c r="A748" s="9">
        <v>44456</v>
      </c>
      <c r="B748" s="3">
        <v>26.366588299799997</v>
      </c>
      <c r="C748" s="3">
        <v>115.14122551857072</v>
      </c>
      <c r="D748" s="3">
        <v>111.00173593004352</v>
      </c>
      <c r="E748" s="3">
        <v>325.23670202757921</v>
      </c>
      <c r="F748" s="3">
        <v>238.89141189792127</v>
      </c>
      <c r="G748" s="3">
        <v>239.4385583360681</v>
      </c>
      <c r="H748" s="3">
        <v>336.35402485208027</v>
      </c>
      <c r="I748" s="2">
        <v>209.67634553489484</v>
      </c>
    </row>
    <row r="749" spans="1:9" x14ac:dyDescent="0.25">
      <c r="A749" s="9">
        <v>44457</v>
      </c>
      <c r="B749" s="3">
        <v>30.440977585200002</v>
      </c>
      <c r="C749" s="3">
        <v>89.072526445367146</v>
      </c>
      <c r="D749" s="3">
        <v>159.23175648785073</v>
      </c>
      <c r="E749" s="3">
        <v>533.13757688847909</v>
      </c>
      <c r="F749" s="3">
        <v>342.73783813060277</v>
      </c>
      <c r="G749" s="3">
        <v>323.50169733599245</v>
      </c>
      <c r="H749" s="3">
        <v>509.66413645545981</v>
      </c>
      <c r="I749" s="2">
        <v>283.29043635712861</v>
      </c>
    </row>
    <row r="750" spans="1:9" x14ac:dyDescent="0.25">
      <c r="A750" s="9">
        <v>44458</v>
      </c>
      <c r="B750" s="3">
        <v>0</v>
      </c>
      <c r="C750" s="3">
        <v>8.0671637691633613</v>
      </c>
      <c r="D750" s="3">
        <v>5.7914251291773668</v>
      </c>
      <c r="E750" s="3">
        <v>39.333031816793898</v>
      </c>
      <c r="F750" s="3">
        <v>59.213850845859206</v>
      </c>
      <c r="G750" s="3">
        <v>34.869561451970263</v>
      </c>
      <c r="H750" s="3">
        <v>193.04100111774389</v>
      </c>
      <c r="I750" s="2">
        <v>30.535274963490359</v>
      </c>
    </row>
    <row r="751" spans="1:9" x14ac:dyDescent="0.25">
      <c r="A751" s="9">
        <v>44459</v>
      </c>
      <c r="B751" s="3">
        <v>27.9559910304</v>
      </c>
      <c r="C751" s="3">
        <v>117.63411743896152</v>
      </c>
      <c r="D751" s="3">
        <v>247.91505161062182</v>
      </c>
      <c r="E751" s="3">
        <v>639.83373964983741</v>
      </c>
      <c r="F751" s="3">
        <v>552.15194849293755</v>
      </c>
      <c r="G751" s="3">
        <v>424.39883929703115</v>
      </c>
      <c r="H751" s="3">
        <v>556.12741540546494</v>
      </c>
      <c r="I751" s="2">
        <v>371.64606357241018</v>
      </c>
    </row>
    <row r="752" spans="1:9" x14ac:dyDescent="0.25">
      <c r="A752" s="9">
        <v>44460</v>
      </c>
      <c r="B752" s="3">
        <v>70.144208603999985</v>
      </c>
      <c r="C752" s="3">
        <v>178.58813293050684</v>
      </c>
      <c r="D752" s="3">
        <v>326.53359140477733</v>
      </c>
      <c r="E752" s="3">
        <v>712.08235819194886</v>
      </c>
      <c r="F752" s="3">
        <v>625.79778567076369</v>
      </c>
      <c r="G752" s="3">
        <v>520.22455207852147</v>
      </c>
      <c r="H752" s="3">
        <v>582.81362359271543</v>
      </c>
      <c r="I752" s="2">
        <v>455.56064025516127</v>
      </c>
    </row>
    <row r="753" spans="1:9" x14ac:dyDescent="0.25">
      <c r="A753" s="9">
        <v>44461</v>
      </c>
      <c r="B753" s="3">
        <v>53.860874106599994</v>
      </c>
      <c r="C753" s="3">
        <v>130.37476678085616</v>
      </c>
      <c r="D753" s="3">
        <v>332.58733549052033</v>
      </c>
      <c r="E753" s="3">
        <v>768.57457898817279</v>
      </c>
      <c r="F753" s="3">
        <v>577.61141055161988</v>
      </c>
      <c r="G753" s="3">
        <v>467.08782576347795</v>
      </c>
      <c r="H753" s="3">
        <v>405.169537923929</v>
      </c>
      <c r="I753" s="2">
        <v>409.02880902107768</v>
      </c>
    </row>
    <row r="754" spans="1:9" x14ac:dyDescent="0.25">
      <c r="A754" s="9">
        <v>44462</v>
      </c>
      <c r="B754" s="3">
        <v>57.473635026600007</v>
      </c>
      <c r="C754" s="3">
        <v>110.42463764460433</v>
      </c>
      <c r="D754" s="3">
        <v>304.02194888961333</v>
      </c>
      <c r="E754" s="3">
        <v>749.83437792123391</v>
      </c>
      <c r="F754" s="3">
        <v>552.75540053879001</v>
      </c>
      <c r="G754" s="3">
        <v>426.14530131925687</v>
      </c>
      <c r="H754" s="3">
        <v>322.48673145509457</v>
      </c>
      <c r="I754" s="2">
        <v>373.17544036527323</v>
      </c>
    </row>
    <row r="755" spans="1:9" x14ac:dyDescent="0.25">
      <c r="A755" s="9">
        <v>44463</v>
      </c>
      <c r="B755" s="3">
        <v>72.2600497026</v>
      </c>
      <c r="C755" s="3">
        <v>138.09116196862004</v>
      </c>
      <c r="D755" s="3">
        <v>329.66572130047518</v>
      </c>
      <c r="E755" s="3">
        <v>682.17965222655118</v>
      </c>
      <c r="F755" s="3">
        <v>611.44005995064992</v>
      </c>
      <c r="G755" s="3">
        <v>450.14808614344065</v>
      </c>
      <c r="H755" s="3">
        <v>413.93918358434388</v>
      </c>
      <c r="I755" s="2">
        <v>394.19467903581102</v>
      </c>
    </row>
    <row r="756" spans="1:9" x14ac:dyDescent="0.25">
      <c r="A756" s="9">
        <v>44464</v>
      </c>
      <c r="B756" s="3">
        <v>66.1993077618</v>
      </c>
      <c r="C756" s="3">
        <v>162.83598045837715</v>
      </c>
      <c r="D756" s="3">
        <v>334.06144111421969</v>
      </c>
      <c r="E756" s="3">
        <v>734.85121692540315</v>
      </c>
      <c r="F756" s="3">
        <v>623.23491936093319</v>
      </c>
      <c r="G756" s="3">
        <v>452.38741209469441</v>
      </c>
      <c r="H756" s="3">
        <v>481.32465789978778</v>
      </c>
      <c r="I756" s="2">
        <v>396.15565677132389</v>
      </c>
    </row>
    <row r="757" spans="1:9" x14ac:dyDescent="0.25">
      <c r="A757" s="9">
        <v>44465</v>
      </c>
      <c r="B757" s="3">
        <v>57.104839211399991</v>
      </c>
      <c r="C757" s="3">
        <v>162.87333083740404</v>
      </c>
      <c r="D757" s="3">
        <v>338.98103921379334</v>
      </c>
      <c r="E757" s="3">
        <v>785.68886544638053</v>
      </c>
      <c r="F757" s="3">
        <v>652.69784871863453</v>
      </c>
      <c r="G757" s="3">
        <v>482.56361634152586</v>
      </c>
      <c r="H757" s="3">
        <v>562.83234296570936</v>
      </c>
      <c r="I757" s="2">
        <v>422.5809588302742</v>
      </c>
    </row>
    <row r="758" spans="1:9" x14ac:dyDescent="0.25">
      <c r="A758" s="9">
        <v>44466</v>
      </c>
      <c r="B758" s="3">
        <v>51.773279081399998</v>
      </c>
      <c r="C758" s="3">
        <v>185.02151956381334</v>
      </c>
      <c r="D758" s="3">
        <v>327.13011178271125</v>
      </c>
      <c r="E758" s="3">
        <v>832.1979531091672</v>
      </c>
      <c r="F758" s="3">
        <v>694.67315534621525</v>
      </c>
      <c r="G758" s="3">
        <v>517.75007837087412</v>
      </c>
      <c r="H758" s="3">
        <v>636.78069087303845</v>
      </c>
      <c r="I758" s="2">
        <v>453.39374362937451</v>
      </c>
    </row>
    <row r="759" spans="1:9" x14ac:dyDescent="0.25">
      <c r="A759" s="9">
        <v>44467</v>
      </c>
      <c r="B759" s="3">
        <v>35.0723867958</v>
      </c>
      <c r="C759" s="3">
        <v>153.2809354678173</v>
      </c>
      <c r="D759" s="3">
        <v>276.13882374362447</v>
      </c>
      <c r="E759" s="3">
        <v>769.5456743563492</v>
      </c>
      <c r="F759" s="3">
        <v>498.95957763087114</v>
      </c>
      <c r="G759" s="3">
        <v>393.69769295478142</v>
      </c>
      <c r="H759" s="3">
        <v>523.54730173269684</v>
      </c>
      <c r="I759" s="2">
        <v>344.76106972050212</v>
      </c>
    </row>
    <row r="760" spans="1:9" x14ac:dyDescent="0.25">
      <c r="A760" s="9">
        <v>44468</v>
      </c>
      <c r="B760" s="3">
        <v>36.19456555859999</v>
      </c>
      <c r="C760" s="3">
        <v>146.99917107377405</v>
      </c>
      <c r="D760" s="3">
        <v>214.22998890150163</v>
      </c>
      <c r="E760" s="3">
        <v>803.28385801027571</v>
      </c>
      <c r="F760" s="3">
        <v>654.82564410854548</v>
      </c>
      <c r="G760" s="3">
        <v>453.70452178116579</v>
      </c>
      <c r="H760" s="3">
        <v>574.47665022315368</v>
      </c>
      <c r="I760" s="2">
        <v>397.30904972376692</v>
      </c>
    </row>
    <row r="761" spans="1:9" x14ac:dyDescent="0.25">
      <c r="A761" s="9">
        <v>44469</v>
      </c>
      <c r="B761" s="3">
        <v>38.713241806200003</v>
      </c>
      <c r="C761" s="3">
        <v>190.98401284473476</v>
      </c>
      <c r="D761" s="3">
        <v>256.73169008191684</v>
      </c>
      <c r="E761" s="3">
        <v>833.04216752060086</v>
      </c>
      <c r="F761" s="3">
        <v>650.06865612050535</v>
      </c>
      <c r="G761" s="3">
        <v>459.57022887614994</v>
      </c>
      <c r="H761" s="3">
        <v>608.74219505163489</v>
      </c>
      <c r="I761" s="2">
        <v>402.44564942684451</v>
      </c>
    </row>
    <row r="762" spans="1:9" x14ac:dyDescent="0.25">
      <c r="A762" s="9">
        <v>44470</v>
      </c>
      <c r="B762" s="3">
        <v>70.846641822599992</v>
      </c>
      <c r="C762" s="3">
        <v>204.83668607045351</v>
      </c>
      <c r="D762" s="3">
        <v>238.07896083438629</v>
      </c>
      <c r="E762" s="3">
        <v>805.91522874941177</v>
      </c>
      <c r="F762" s="3">
        <v>581.00473185899227</v>
      </c>
      <c r="G762" s="3">
        <v>431.49395267125158</v>
      </c>
      <c r="H762" s="3">
        <v>526.26858401974516</v>
      </c>
      <c r="I762" s="2">
        <v>377.85925435421501</v>
      </c>
    </row>
    <row r="763" spans="1:9" x14ac:dyDescent="0.25">
      <c r="A763" s="9">
        <v>44471</v>
      </c>
      <c r="B763" s="3">
        <v>90.297153464400026</v>
      </c>
      <c r="C763" s="3">
        <v>160.43677030630334</v>
      </c>
      <c r="D763" s="3">
        <v>234.7105671741476</v>
      </c>
      <c r="E763" s="3">
        <v>750.91508810842095</v>
      </c>
      <c r="F763" s="3">
        <v>514.7489642719737</v>
      </c>
      <c r="G763" s="3">
        <v>390.95399654634923</v>
      </c>
      <c r="H763" s="3">
        <v>486.84130773338433</v>
      </c>
      <c r="I763" s="2">
        <v>342.35841477563804</v>
      </c>
    </row>
    <row r="764" spans="1:9" x14ac:dyDescent="0.25">
      <c r="A764" s="9">
        <v>44472</v>
      </c>
      <c r="B764" s="3">
        <v>113.7051572562</v>
      </c>
      <c r="C764" s="3">
        <v>153.01828786320661</v>
      </c>
      <c r="D764" s="3">
        <v>245.99119824928121</v>
      </c>
      <c r="E764" s="3">
        <v>621.7910590069157</v>
      </c>
      <c r="F764" s="3">
        <v>450.78997410961534</v>
      </c>
      <c r="G764" s="3">
        <v>309.39401325623089</v>
      </c>
      <c r="H764" s="3">
        <v>435.83039451224846</v>
      </c>
      <c r="I764" s="2">
        <v>270.93633740848139</v>
      </c>
    </row>
    <row r="765" spans="1:9" x14ac:dyDescent="0.25">
      <c r="A765" s="9">
        <v>44473</v>
      </c>
      <c r="B765" s="3">
        <v>55.963129514399995</v>
      </c>
      <c r="C765" s="3">
        <v>76.206440473827257</v>
      </c>
      <c r="D765" s="3">
        <v>189.8232244803234</v>
      </c>
      <c r="E765" s="3">
        <v>560.47210466403646</v>
      </c>
      <c r="F765" s="3">
        <v>398.07148512104646</v>
      </c>
      <c r="G765" s="3">
        <v>256.11772274585581</v>
      </c>
      <c r="H765" s="3">
        <v>381.61237981159644</v>
      </c>
      <c r="I765" s="2">
        <v>224.28228980854595</v>
      </c>
    </row>
    <row r="766" spans="1:9" x14ac:dyDescent="0.25">
      <c r="A766" s="9">
        <v>44474</v>
      </c>
      <c r="B766" s="3">
        <v>71.464678749000015</v>
      </c>
      <c r="C766" s="3">
        <v>203.63619229053995</v>
      </c>
      <c r="D766" s="3">
        <v>217.26743235015996</v>
      </c>
      <c r="E766" s="3">
        <v>895.10664430965574</v>
      </c>
      <c r="F766" s="3">
        <v>518.42681706324959</v>
      </c>
      <c r="G766" s="3">
        <v>417.20095831854201</v>
      </c>
      <c r="H766" s="3">
        <v>377.0188380253831</v>
      </c>
      <c r="I766" s="2">
        <v>365.34287919954727</v>
      </c>
    </row>
    <row r="767" spans="1:9" x14ac:dyDescent="0.25">
      <c r="A767" s="9">
        <v>44475</v>
      </c>
      <c r="B767" s="3">
        <v>21.918843599400002</v>
      </c>
      <c r="C767" s="3">
        <v>109.35651042872796</v>
      </c>
      <c r="D767" s="3">
        <v>138.87062799839478</v>
      </c>
      <c r="E767" s="3">
        <v>734.41067096714619</v>
      </c>
      <c r="F767" s="3">
        <v>396.63173007638676</v>
      </c>
      <c r="G767" s="3">
        <v>311.74648430518727</v>
      </c>
      <c r="H767" s="3">
        <v>305.05883062735899</v>
      </c>
      <c r="I767" s="2">
        <v>272.99639630605247</v>
      </c>
    </row>
    <row r="768" spans="1:9" x14ac:dyDescent="0.25">
      <c r="A768" s="9">
        <v>44476</v>
      </c>
      <c r="B768" s="3">
        <v>5.4751520394000002</v>
      </c>
      <c r="C768" s="3">
        <v>64.693298922896744</v>
      </c>
      <c r="D768" s="3">
        <v>76.400870045057331</v>
      </c>
      <c r="E768" s="3">
        <v>462.15162224418879</v>
      </c>
      <c r="F768" s="3">
        <v>269.78999636273534</v>
      </c>
      <c r="G768" s="3">
        <v>183.88438450255907</v>
      </c>
      <c r="H768" s="3">
        <v>267.84006274392863</v>
      </c>
      <c r="I768" s="2">
        <v>161.027555508891</v>
      </c>
    </row>
    <row r="769" spans="1:9" x14ac:dyDescent="0.25">
      <c r="A769" s="9">
        <v>44477</v>
      </c>
      <c r="B769" s="3">
        <v>49.457127475800007</v>
      </c>
      <c r="C769" s="3">
        <v>142.7012430914948</v>
      </c>
      <c r="D769" s="3">
        <v>60.21368426462562</v>
      </c>
      <c r="E769" s="3">
        <v>715.56098412360632</v>
      </c>
      <c r="F769" s="3">
        <v>338.93758896033881</v>
      </c>
      <c r="G769" s="3">
        <v>298.4523386078522</v>
      </c>
      <c r="H769" s="3">
        <v>334.825395324753</v>
      </c>
      <c r="I769" s="2">
        <v>261.35471291889615</v>
      </c>
    </row>
    <row r="770" spans="1:9" x14ac:dyDescent="0.25">
      <c r="A770" s="9">
        <v>44478</v>
      </c>
      <c r="B770" s="3">
        <v>1.4816009952000002</v>
      </c>
      <c r="C770" s="3">
        <v>89.595368004690613</v>
      </c>
      <c r="D770" s="3">
        <v>52.773150491237537</v>
      </c>
      <c r="E770" s="3">
        <v>424.61423382953325</v>
      </c>
      <c r="F770" s="3">
        <v>185.12663858039045</v>
      </c>
      <c r="G770" s="3">
        <v>142.66661509251361</v>
      </c>
      <c r="H770" s="3">
        <v>246.58520638197973</v>
      </c>
      <c r="I770" s="2">
        <v>124.93315483651418</v>
      </c>
    </row>
    <row r="771" spans="1:9" x14ac:dyDescent="0.25">
      <c r="A771" s="9">
        <v>44479</v>
      </c>
      <c r="B771" s="3">
        <v>14.119006195800003</v>
      </c>
      <c r="C771" s="3">
        <v>22.18666149984729</v>
      </c>
      <c r="D771" s="3">
        <v>2.8198895226843659</v>
      </c>
      <c r="E771" s="3">
        <v>29.649410519099963</v>
      </c>
      <c r="F771" s="3">
        <v>15.98090585640071</v>
      </c>
      <c r="G771" s="3">
        <v>0.92276329538647661</v>
      </c>
      <c r="H771" s="3">
        <v>4.8020821386818442</v>
      </c>
      <c r="I771" s="2">
        <v>0.80806381776993763</v>
      </c>
    </row>
    <row r="772" spans="1:9" x14ac:dyDescent="0.25">
      <c r="A772" s="9">
        <v>44480</v>
      </c>
      <c r="B772" s="3">
        <v>1.9895850756</v>
      </c>
      <c r="C772" s="3">
        <v>21.095016181172024</v>
      </c>
      <c r="D772" s="3">
        <v>6.2888712402908205</v>
      </c>
      <c r="E772" s="3">
        <v>7.965055940566927</v>
      </c>
      <c r="F772" s="3">
        <v>9.8431814014064525</v>
      </c>
      <c r="G772" s="3">
        <v>0.47427440454007042</v>
      </c>
      <c r="H772" s="3">
        <v>38.085852603355335</v>
      </c>
      <c r="I772" s="2">
        <v>0.41532209605573966</v>
      </c>
    </row>
    <row r="773" spans="1:9" x14ac:dyDescent="0.25">
      <c r="A773" s="9">
        <v>44481</v>
      </c>
      <c r="B773" s="3">
        <v>3.4944718068</v>
      </c>
      <c r="C773" s="3">
        <v>20.468941201365428</v>
      </c>
      <c r="D773" s="3">
        <v>22.906496206745505</v>
      </c>
      <c r="E773" s="3">
        <v>164.08301604289159</v>
      </c>
      <c r="F773" s="3">
        <v>94.621949048880253</v>
      </c>
      <c r="G773" s="3">
        <v>74.992321214802615</v>
      </c>
      <c r="H773" s="3">
        <v>227.53264376588106</v>
      </c>
      <c r="I773" s="2">
        <v>65.670775687802646</v>
      </c>
    </row>
    <row r="774" spans="1:9" x14ac:dyDescent="0.25">
      <c r="A774" s="9">
        <v>44482</v>
      </c>
      <c r="B774" s="3">
        <v>3.0781602917999993</v>
      </c>
      <c r="C774" s="3">
        <v>22.03735822444068</v>
      </c>
      <c r="D774" s="3">
        <v>4.6312888129245078</v>
      </c>
      <c r="E774" s="3">
        <v>15.264310084642121</v>
      </c>
      <c r="F774" s="3">
        <v>30.467323620343674</v>
      </c>
      <c r="G774" s="3">
        <v>13.875223671993862</v>
      </c>
      <c r="H774" s="3">
        <v>174.65253647135989</v>
      </c>
      <c r="I774" s="2">
        <v>12.150533369565025</v>
      </c>
    </row>
    <row r="775" spans="1:9" x14ac:dyDescent="0.25">
      <c r="A775" s="9">
        <v>44483</v>
      </c>
      <c r="B775" s="3">
        <v>1.5533506224</v>
      </c>
      <c r="C775" s="3">
        <v>29.597903798113567</v>
      </c>
      <c r="D775" s="3">
        <v>12.996083565875509</v>
      </c>
      <c r="E775" s="3">
        <v>0.85739404535168129</v>
      </c>
      <c r="F775" s="3">
        <v>6.1139416613738486</v>
      </c>
      <c r="G775" s="3">
        <v>7.695065085957431E-2</v>
      </c>
      <c r="H775" s="3">
        <v>46.750938473908285</v>
      </c>
      <c r="I775" s="2">
        <v>6.7385684957729231E-2</v>
      </c>
    </row>
    <row r="776" spans="1:9" x14ac:dyDescent="0.25">
      <c r="A776" s="9">
        <v>44484</v>
      </c>
      <c r="B776" s="3">
        <v>0.70084361519999994</v>
      </c>
      <c r="C776" s="3">
        <v>14.753923441897324</v>
      </c>
      <c r="D776" s="3">
        <v>7.1633952208381242</v>
      </c>
      <c r="E776" s="3">
        <v>1.5870609314555824</v>
      </c>
      <c r="F776" s="3">
        <v>7.2767541423254718</v>
      </c>
      <c r="G776" s="3">
        <v>1.1364808208706241</v>
      </c>
      <c r="H776" s="3">
        <v>81.324077248083242</v>
      </c>
      <c r="I776" s="2">
        <v>0.99521625483640552</v>
      </c>
    </row>
    <row r="777" spans="1:9" x14ac:dyDescent="0.25">
      <c r="A777" s="9">
        <v>44485</v>
      </c>
      <c r="B777" s="3">
        <v>3.6504187775999997</v>
      </c>
      <c r="C777" s="3">
        <v>4.12319953677199</v>
      </c>
      <c r="D777" s="3">
        <v>5.4661209556858212</v>
      </c>
      <c r="E777" s="3">
        <v>44.553296805134167</v>
      </c>
      <c r="F777" s="3">
        <v>38.863413187111533</v>
      </c>
      <c r="G777" s="3">
        <v>18.373695912698118</v>
      </c>
      <c r="H777" s="3">
        <v>136.79976491791163</v>
      </c>
      <c r="I777" s="2">
        <v>16.089845510749743</v>
      </c>
    </row>
    <row r="778" spans="1:9" x14ac:dyDescent="0.25">
      <c r="A778" s="9">
        <v>44486</v>
      </c>
      <c r="B778" s="3">
        <v>3.2805177750000003</v>
      </c>
      <c r="C778" s="3">
        <v>47.21713658915823</v>
      </c>
      <c r="D778" s="3">
        <v>55.651217808190758</v>
      </c>
      <c r="E778" s="3">
        <v>185.21520850450531</v>
      </c>
      <c r="F778" s="3">
        <v>119.83240771995467</v>
      </c>
      <c r="G778" s="3">
        <v>88.100947586810605</v>
      </c>
      <c r="H778" s="3">
        <v>190.42086990005916</v>
      </c>
      <c r="I778" s="2">
        <v>77.149999801770051</v>
      </c>
    </row>
    <row r="779" spans="1:9" x14ac:dyDescent="0.25">
      <c r="A779" s="9">
        <v>44487</v>
      </c>
      <c r="B779" s="3">
        <v>64.285386141600029</v>
      </c>
      <c r="C779" s="3">
        <v>125.00338614412181</v>
      </c>
      <c r="D779" s="3">
        <v>157.27652321135076</v>
      </c>
      <c r="E779" s="3">
        <v>319.08797223130148</v>
      </c>
      <c r="F779" s="3">
        <v>244.63913683910755</v>
      </c>
      <c r="G779" s="3">
        <v>215.32221064326066</v>
      </c>
      <c r="H779" s="3">
        <v>255.1796081347444</v>
      </c>
      <c r="I779" s="2">
        <v>188.55765986030337</v>
      </c>
    </row>
    <row r="780" spans="1:9" x14ac:dyDescent="0.25">
      <c r="A780" s="9">
        <v>44488</v>
      </c>
      <c r="B780" s="3">
        <v>7.4393739107999997</v>
      </c>
      <c r="C780" s="3">
        <v>66.005105330996372</v>
      </c>
      <c r="D780" s="3">
        <v>37.678938835678331</v>
      </c>
      <c r="E780" s="3">
        <v>140.96253409364073</v>
      </c>
      <c r="F780" s="3">
        <v>117.73186189823973</v>
      </c>
      <c r="G780" s="3">
        <v>77.000198055702228</v>
      </c>
      <c r="H780" s="3">
        <v>187.08176192944083</v>
      </c>
      <c r="I780" s="2">
        <v>67.429073437378449</v>
      </c>
    </row>
    <row r="781" spans="1:9" x14ac:dyDescent="0.25">
      <c r="A781" s="9">
        <v>44489</v>
      </c>
      <c r="B781" s="3">
        <v>4.793327837999998</v>
      </c>
      <c r="C781" s="3">
        <v>7.7485391641017047</v>
      </c>
      <c r="D781" s="3">
        <v>2.1828226590884161</v>
      </c>
      <c r="E781" s="3">
        <v>6.4139389115705754</v>
      </c>
      <c r="F781" s="3">
        <v>15.185928578813261</v>
      </c>
      <c r="G781" s="3">
        <v>8.8889367944603475</v>
      </c>
      <c r="H781" s="3">
        <v>9.4665584200360033</v>
      </c>
      <c r="I781" s="2">
        <v>7.7840419509089269</v>
      </c>
    </row>
    <row r="782" spans="1:9" x14ac:dyDescent="0.25">
      <c r="A782" s="9">
        <v>44490</v>
      </c>
      <c r="B782" s="3">
        <v>3.0300406308000003</v>
      </c>
      <c r="C782" s="3">
        <v>0.81801024452318871</v>
      </c>
      <c r="D782" s="3">
        <v>1.8576790967436843</v>
      </c>
      <c r="E782" s="3">
        <v>6.3238258776267537</v>
      </c>
      <c r="F782" s="3">
        <v>18.717339673758932</v>
      </c>
      <c r="G782" s="3">
        <v>6.1091255688785351</v>
      </c>
      <c r="H782" s="3">
        <v>81.64889763816268</v>
      </c>
      <c r="I782" s="2">
        <v>5.3497612606669334</v>
      </c>
    </row>
    <row r="783" spans="1:9" x14ac:dyDescent="0.25">
      <c r="A783" s="9">
        <v>44491</v>
      </c>
      <c r="B783" s="3">
        <v>26.611723931399997</v>
      </c>
      <c r="C783" s="3">
        <v>3.7630722096639482</v>
      </c>
      <c r="D783" s="3">
        <v>0.69647980625912842</v>
      </c>
      <c r="E783" s="3">
        <v>91.214368324501848</v>
      </c>
      <c r="F783" s="3">
        <v>67.242565290154062</v>
      </c>
      <c r="G783" s="3">
        <v>28.848459625899235</v>
      </c>
      <c r="H783" s="3">
        <v>196.63320030314139</v>
      </c>
      <c r="I783" s="2">
        <v>25.26259609439996</v>
      </c>
    </row>
    <row r="784" spans="1:9" x14ac:dyDescent="0.25">
      <c r="A784" s="9">
        <v>44492</v>
      </c>
      <c r="B784" s="3">
        <v>0.10512000000000001</v>
      </c>
      <c r="C784" s="3">
        <v>41.09673364481683</v>
      </c>
      <c r="D784" s="3">
        <v>111.60630656579271</v>
      </c>
      <c r="E784" s="3">
        <v>262.9657450233413</v>
      </c>
      <c r="F784" s="3">
        <v>169.16341186814932</v>
      </c>
      <c r="G784" s="3">
        <v>117.56848663600293</v>
      </c>
      <c r="H784" s="3">
        <v>292.45796622323689</v>
      </c>
      <c r="I784" s="2">
        <v>102.95472374714777</v>
      </c>
    </row>
    <row r="785" spans="1:9" x14ac:dyDescent="0.25">
      <c r="A785" s="9">
        <v>44493</v>
      </c>
      <c r="B785" s="3">
        <v>20.483755930799997</v>
      </c>
      <c r="C785" s="3">
        <v>77.945635056689355</v>
      </c>
      <c r="D785" s="3">
        <v>110.52160916706218</v>
      </c>
      <c r="E785" s="3">
        <v>217.17934746330627</v>
      </c>
      <c r="F785" s="3">
        <v>181.17611178362827</v>
      </c>
      <c r="G785" s="3">
        <v>141.03694839286965</v>
      </c>
      <c r="H785" s="3">
        <v>254.26700405759985</v>
      </c>
      <c r="I785" s="2">
        <v>123.50605570763595</v>
      </c>
    </row>
    <row r="786" spans="1:9" x14ac:dyDescent="0.25">
      <c r="A786" s="9">
        <v>44494</v>
      </c>
      <c r="B786" s="3">
        <v>3.1829811209999996</v>
      </c>
      <c r="C786" s="3">
        <v>40.434863333362131</v>
      </c>
      <c r="D786" s="3">
        <v>48.960310897526988</v>
      </c>
      <c r="E786" s="3">
        <v>121.08027988696905</v>
      </c>
      <c r="F786" s="3">
        <v>74.451930820940291</v>
      </c>
      <c r="G786" s="3">
        <v>31.864201320099241</v>
      </c>
      <c r="H786" s="3">
        <v>155.82326030447123</v>
      </c>
      <c r="I786" s="2">
        <v>27.903481096010907</v>
      </c>
    </row>
    <row r="787" spans="1:9" x14ac:dyDescent="0.25">
      <c r="A787" s="9">
        <v>44495</v>
      </c>
      <c r="B787" s="3">
        <v>5.8408756686000007</v>
      </c>
      <c r="C787" s="3">
        <v>22.648575970303789</v>
      </c>
      <c r="D787" s="3">
        <v>18.178316335290958</v>
      </c>
      <c r="E787" s="3">
        <v>33.534913338347749</v>
      </c>
      <c r="F787" s="3">
        <v>24.434391148651248</v>
      </c>
      <c r="G787" s="3">
        <v>11.336308367273183</v>
      </c>
      <c r="H787" s="3">
        <v>75.128182622321233</v>
      </c>
      <c r="I787" s="2">
        <v>9.927205237221127</v>
      </c>
    </row>
    <row r="788" spans="1:9" x14ac:dyDescent="0.25">
      <c r="A788" s="9">
        <v>44496</v>
      </c>
      <c r="B788" s="3">
        <v>2.1130472825999997</v>
      </c>
      <c r="C788" s="3">
        <v>11.700513481239208</v>
      </c>
      <c r="D788" s="3">
        <v>1.2794408364542122</v>
      </c>
      <c r="E788" s="3">
        <v>4.2375669603029467</v>
      </c>
      <c r="F788" s="3">
        <v>1.3261282282622091</v>
      </c>
      <c r="G788" s="3">
        <v>0.47549234898595227</v>
      </c>
      <c r="H788" s="3">
        <v>46.889833794558605</v>
      </c>
      <c r="I788" s="2">
        <v>0.41638865000699843</v>
      </c>
    </row>
    <row r="789" spans="1:9" x14ac:dyDescent="0.25">
      <c r="A789" s="9">
        <v>44497</v>
      </c>
      <c r="B789" s="3">
        <v>6.4670311674000009</v>
      </c>
      <c r="C789" s="3">
        <v>10.841243805764103</v>
      </c>
      <c r="D789" s="3">
        <v>4.1651936255780706</v>
      </c>
      <c r="E789" s="3">
        <v>6.7974006172268266</v>
      </c>
      <c r="F789" s="3">
        <v>4.4570874187456537</v>
      </c>
      <c r="G789" s="3">
        <v>4.643138140692014</v>
      </c>
      <c r="H789" s="3">
        <v>5.9143481346457589</v>
      </c>
      <c r="I789" s="2">
        <v>4.0659960698039965</v>
      </c>
    </row>
    <row r="790" spans="1:9" x14ac:dyDescent="0.25">
      <c r="A790" s="9">
        <v>44498</v>
      </c>
      <c r="B790" s="3">
        <v>5.5642277250000003</v>
      </c>
      <c r="C790" s="3">
        <v>33.438280978263407</v>
      </c>
      <c r="D790" s="3">
        <v>5.0003849427316096</v>
      </c>
      <c r="E790" s="3">
        <v>17.658551642269654</v>
      </c>
      <c r="F790" s="3">
        <v>10.709216216037426</v>
      </c>
      <c r="G790" s="3">
        <v>4.5048400672296642</v>
      </c>
      <c r="H790" s="3">
        <v>55.759351446400629</v>
      </c>
      <c r="I790" s="2">
        <v>3.944888446873017</v>
      </c>
    </row>
    <row r="791" spans="1:9" x14ac:dyDescent="0.25">
      <c r="A791" s="9">
        <v>44499</v>
      </c>
      <c r="B791" s="3">
        <v>0.41534836740000014</v>
      </c>
      <c r="C791" s="3">
        <v>12.972079493423127</v>
      </c>
      <c r="D791" s="3">
        <v>3.2594913816826989</v>
      </c>
      <c r="E791" s="3">
        <v>66.658870034492566</v>
      </c>
      <c r="F791" s="3">
        <v>17.683017604573578</v>
      </c>
      <c r="G791" s="3">
        <v>16.461901135886272</v>
      </c>
      <c r="H791" s="3">
        <v>129.68884503112329</v>
      </c>
      <c r="I791" s="2">
        <v>14.415686824695609</v>
      </c>
    </row>
    <row r="792" spans="1:9" x14ac:dyDescent="0.25">
      <c r="A792" s="9">
        <v>44500</v>
      </c>
      <c r="B792" s="3">
        <v>18.536130963000002</v>
      </c>
      <c r="C792" s="3">
        <v>30.31359187413894</v>
      </c>
      <c r="D792" s="3">
        <v>9.9642739908705327</v>
      </c>
      <c r="E792" s="3">
        <v>28.687604747748136</v>
      </c>
      <c r="F792" s="3">
        <v>1.5089043180852588</v>
      </c>
      <c r="G792" s="3">
        <v>11.63903242568594</v>
      </c>
      <c r="H792" s="3">
        <v>6.3701052581265136</v>
      </c>
      <c r="I792" s="2">
        <v>10.192300695173179</v>
      </c>
    </row>
    <row r="793" spans="1:9" x14ac:dyDescent="0.25">
      <c r="A793" s="9">
        <v>44501</v>
      </c>
      <c r="B793" s="3">
        <v>4.4885591315999998</v>
      </c>
      <c r="C793" s="3">
        <v>26.649519883161364</v>
      </c>
      <c r="D793" s="3">
        <v>2.109705003319057</v>
      </c>
      <c r="E793" s="3">
        <v>6.1034260204196302</v>
      </c>
      <c r="F793" s="3">
        <v>2.3239964148817935</v>
      </c>
      <c r="G793" s="3">
        <v>0.62801418696975009</v>
      </c>
      <c r="H793" s="3">
        <v>22.237988128221833</v>
      </c>
      <c r="I793" s="2">
        <v>0.54995202352941019</v>
      </c>
    </row>
    <row r="794" spans="1:9" x14ac:dyDescent="0.25">
      <c r="A794" s="9">
        <v>44502</v>
      </c>
      <c r="B794" s="3">
        <v>0</v>
      </c>
      <c r="C794" s="3">
        <v>18.972832694928911</v>
      </c>
      <c r="D794" s="3">
        <v>2.3493804662735687</v>
      </c>
      <c r="E794" s="3">
        <v>27.889015667247566</v>
      </c>
      <c r="F794" s="3">
        <v>2.2241918259637421</v>
      </c>
      <c r="G794" s="3">
        <v>0.48002905484796504</v>
      </c>
      <c r="H794" s="3">
        <v>11.314765375489506</v>
      </c>
      <c r="I794" s="2">
        <v>0.42036144333036302</v>
      </c>
    </row>
    <row r="795" spans="1:9" x14ac:dyDescent="0.25">
      <c r="A795" s="9">
        <v>44503</v>
      </c>
      <c r="B795" s="3">
        <v>0.14455438560000028</v>
      </c>
      <c r="C795" s="3">
        <v>30.444908040764943</v>
      </c>
      <c r="D795" s="3">
        <v>12.364743979325794</v>
      </c>
      <c r="E795" s="3">
        <v>56.491003579238303</v>
      </c>
      <c r="F795" s="3">
        <v>42.802090277612542</v>
      </c>
      <c r="G795" s="3">
        <v>19.565280755692598</v>
      </c>
      <c r="H795" s="3">
        <v>71.438283624689916</v>
      </c>
      <c r="I795" s="2">
        <v>17.133316357760009</v>
      </c>
    </row>
    <row r="796" spans="1:9" x14ac:dyDescent="0.25">
      <c r="A796" s="9">
        <v>44504</v>
      </c>
      <c r="B796" s="3">
        <v>20.5710727572</v>
      </c>
      <c r="C796" s="3">
        <v>36.011172786472265</v>
      </c>
      <c r="D796" s="3">
        <v>35.683428667736138</v>
      </c>
      <c r="E796" s="3">
        <v>257.56562739142538</v>
      </c>
      <c r="F796" s="3">
        <v>107.98859180954483</v>
      </c>
      <c r="G796" s="3">
        <v>72.254054914935637</v>
      </c>
      <c r="H796" s="3">
        <v>238.60690035866625</v>
      </c>
      <c r="I796" s="2">
        <v>63.272875889009143</v>
      </c>
    </row>
    <row r="797" spans="1:9" x14ac:dyDescent="0.25">
      <c r="A797" s="9">
        <v>44505</v>
      </c>
      <c r="B797" s="3">
        <v>60.62690107440001</v>
      </c>
      <c r="C797" s="3">
        <v>100.33016870260003</v>
      </c>
      <c r="D797" s="3">
        <v>148.03916139531324</v>
      </c>
      <c r="E797" s="3">
        <v>302.23400660646456</v>
      </c>
      <c r="F797" s="3">
        <v>243.3813342306189</v>
      </c>
      <c r="G797" s="3">
        <v>218.83366682743141</v>
      </c>
      <c r="H797" s="3">
        <v>292.3247425113704</v>
      </c>
      <c r="I797" s="2">
        <v>191.63264204078169</v>
      </c>
    </row>
    <row r="798" spans="1:9" x14ac:dyDescent="0.25">
      <c r="A798" s="9">
        <v>44506</v>
      </c>
      <c r="B798" s="3">
        <v>97.6666028004</v>
      </c>
      <c r="C798" s="3">
        <v>148.97116781650013</v>
      </c>
      <c r="D798" s="3">
        <v>188.03748814411082</v>
      </c>
      <c r="E798" s="3">
        <v>608.7221389079989</v>
      </c>
      <c r="F798" s="3">
        <v>361.65983377854991</v>
      </c>
      <c r="G798" s="3">
        <v>306.16366419270514</v>
      </c>
      <c r="H798" s="3">
        <v>322.890948554641</v>
      </c>
      <c r="I798" s="2">
        <v>268.10752073355189</v>
      </c>
    </row>
    <row r="799" spans="1:9" x14ac:dyDescent="0.25">
      <c r="A799" s="9">
        <v>44507</v>
      </c>
      <c r="B799" s="3">
        <v>18.951458565600003</v>
      </c>
      <c r="C799" s="3">
        <v>19.099658403419454</v>
      </c>
      <c r="D799" s="3">
        <v>51.253518170664627</v>
      </c>
      <c r="E799" s="3">
        <v>118.07046010992858</v>
      </c>
      <c r="F799" s="3">
        <v>52.425785803164487</v>
      </c>
      <c r="G799" s="3">
        <v>27.419088854320631</v>
      </c>
      <c r="H799" s="3">
        <v>85.534422376733843</v>
      </c>
      <c r="I799" s="2">
        <v>24.010896109728577</v>
      </c>
    </row>
    <row r="800" spans="1:9" x14ac:dyDescent="0.25">
      <c r="A800" s="9">
        <v>44508</v>
      </c>
      <c r="B800" s="3">
        <v>15.998152768200001</v>
      </c>
      <c r="C800" s="3">
        <v>132.53491595018207</v>
      </c>
      <c r="D800" s="3">
        <v>174.46731023508525</v>
      </c>
      <c r="E800" s="3">
        <v>411.41693988477783</v>
      </c>
      <c r="F800" s="3">
        <v>219.83037782877184</v>
      </c>
      <c r="G800" s="3">
        <v>127.25836711740182</v>
      </c>
      <c r="H800" s="3">
        <v>218.30088630955802</v>
      </c>
      <c r="I800" s="2">
        <v>111.44015208470877</v>
      </c>
    </row>
    <row r="801" spans="1:9" x14ac:dyDescent="0.25">
      <c r="A801" s="9">
        <v>44509</v>
      </c>
      <c r="B801" s="3">
        <v>0</v>
      </c>
      <c r="C801" s="3">
        <v>18.990175623962315</v>
      </c>
      <c r="D801" s="3">
        <v>30.09803031198398</v>
      </c>
      <c r="E801" s="3">
        <v>56.90077059517391</v>
      </c>
      <c r="F801" s="3">
        <v>47.718722973690085</v>
      </c>
      <c r="G801" s="3">
        <v>14.805069876534475</v>
      </c>
      <c r="H801" s="3">
        <v>74.374476878751366</v>
      </c>
      <c r="I801" s="2">
        <v>12.96479969088124</v>
      </c>
    </row>
    <row r="802" spans="1:9" x14ac:dyDescent="0.25">
      <c r="A802" s="9">
        <v>44510</v>
      </c>
      <c r="B802" s="3">
        <v>69.100934889599998</v>
      </c>
      <c r="C802" s="3">
        <v>164.25925701731626</v>
      </c>
      <c r="D802" s="3">
        <v>219.17903534748319</v>
      </c>
      <c r="E802" s="3">
        <v>827.82229258613108</v>
      </c>
      <c r="F802" s="3">
        <v>372.94359480994353</v>
      </c>
      <c r="G802" s="3">
        <v>280.28076218880102</v>
      </c>
      <c r="H802" s="3">
        <v>284.9719911754666</v>
      </c>
      <c r="I802" s="2">
        <v>245.44186344873307</v>
      </c>
    </row>
  </sheetData>
  <mergeCells count="2">
    <mergeCell ref="B2:E2"/>
    <mergeCell ref="B1:I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3F63-D21D-4095-A7D2-DE3D22FA4B2E}">
  <dimension ref="A1:BE80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795" sqref="G795"/>
    </sheetView>
  </sheetViews>
  <sheetFormatPr defaultRowHeight="13.8" x14ac:dyDescent="0.25"/>
  <cols>
    <col min="4" max="4" width="10.77734375" customWidth="1"/>
  </cols>
  <sheetData>
    <row r="1" spans="1:57" ht="13.8" customHeight="1" x14ac:dyDescent="0.25">
      <c r="A1" s="1"/>
      <c r="B1" s="1"/>
      <c r="C1" s="37" t="s">
        <v>39</v>
      </c>
      <c r="D1" s="37"/>
      <c r="E1" s="5"/>
      <c r="F1" s="5"/>
      <c r="G1" s="5"/>
      <c r="H1" s="5"/>
      <c r="I1" s="5"/>
      <c r="J1" s="5"/>
      <c r="K1" s="5"/>
      <c r="L1" s="5"/>
      <c r="M1" s="10"/>
      <c r="N1" s="38" t="s">
        <v>40</v>
      </c>
      <c r="O1" s="38"/>
      <c r="P1" s="38"/>
      <c r="Q1" s="38"/>
      <c r="R1" s="38"/>
      <c r="S1" s="38"/>
      <c r="T1" s="38"/>
      <c r="U1" s="38"/>
      <c r="V1" s="39" t="s">
        <v>41</v>
      </c>
      <c r="W1" s="39"/>
      <c r="X1" s="39"/>
      <c r="Y1" s="39"/>
      <c r="Z1" s="39"/>
      <c r="AA1" s="39"/>
      <c r="AB1" s="39"/>
      <c r="AC1" s="39"/>
      <c r="AD1" s="39" t="s">
        <v>42</v>
      </c>
      <c r="AE1" s="39"/>
      <c r="AF1" s="39"/>
      <c r="AG1" s="39"/>
      <c r="AH1" s="39"/>
      <c r="AI1" s="39"/>
      <c r="AJ1" s="39"/>
      <c r="AK1" s="39"/>
      <c r="AL1" s="39" t="s">
        <v>43</v>
      </c>
      <c r="AM1" s="39"/>
      <c r="AN1" s="39"/>
      <c r="AO1" s="39"/>
      <c r="AP1" s="39"/>
      <c r="AQ1" s="39"/>
      <c r="AR1" s="39"/>
      <c r="AS1" s="39"/>
      <c r="AT1" s="11"/>
      <c r="AU1" s="11"/>
      <c r="AV1" s="11"/>
      <c r="AW1" s="33" t="s">
        <v>44</v>
      </c>
      <c r="AX1" s="33"/>
      <c r="AY1" s="33"/>
      <c r="AZ1" s="33" t="s">
        <v>45</v>
      </c>
      <c r="BA1" s="33"/>
      <c r="BB1" s="33"/>
      <c r="BC1" s="31"/>
      <c r="BD1" s="31"/>
      <c r="BE1" s="31"/>
    </row>
    <row r="2" spans="1:57" ht="13.8" customHeight="1" x14ac:dyDescent="0.25">
      <c r="A2" s="34" t="s">
        <v>46</v>
      </c>
      <c r="B2" s="34"/>
      <c r="C2" s="37"/>
      <c r="D2" s="37"/>
      <c r="E2" s="5"/>
      <c r="F2" s="5"/>
      <c r="G2" s="5"/>
      <c r="H2" s="5"/>
      <c r="I2" s="5"/>
      <c r="J2" s="5"/>
      <c r="K2" s="5"/>
      <c r="L2" s="5"/>
      <c r="M2" s="10"/>
      <c r="N2" s="35" t="s">
        <v>47</v>
      </c>
      <c r="O2" s="35"/>
      <c r="P2" s="35"/>
      <c r="Q2" s="35"/>
      <c r="R2" s="35" t="s">
        <v>48</v>
      </c>
      <c r="S2" s="35"/>
      <c r="T2" s="35"/>
      <c r="U2" s="35"/>
      <c r="V2" s="12">
        <v>1</v>
      </c>
      <c r="W2" s="12">
        <v>2</v>
      </c>
      <c r="X2" s="12">
        <v>3</v>
      </c>
      <c r="Y2" s="12">
        <v>4</v>
      </c>
      <c r="Z2" s="12">
        <v>5</v>
      </c>
      <c r="AA2" s="12">
        <v>6</v>
      </c>
      <c r="AB2" s="12">
        <v>7</v>
      </c>
      <c r="AC2" s="12">
        <v>8</v>
      </c>
      <c r="AD2" s="12">
        <v>1</v>
      </c>
      <c r="AE2" s="12">
        <v>2</v>
      </c>
      <c r="AF2" s="12">
        <v>3</v>
      </c>
      <c r="AG2" s="12">
        <v>4</v>
      </c>
      <c r="AH2" s="12">
        <v>5</v>
      </c>
      <c r="AI2" s="12">
        <v>6</v>
      </c>
      <c r="AJ2" s="12">
        <v>7</v>
      </c>
      <c r="AK2" s="12">
        <v>8</v>
      </c>
      <c r="AL2" s="12">
        <v>1</v>
      </c>
      <c r="AM2" s="12">
        <v>2</v>
      </c>
      <c r="AN2" s="12">
        <v>3</v>
      </c>
      <c r="AO2" s="12">
        <v>4</v>
      </c>
      <c r="AP2" s="12">
        <v>5</v>
      </c>
      <c r="AQ2" s="12">
        <v>6</v>
      </c>
      <c r="AR2" s="12">
        <v>7</v>
      </c>
      <c r="AS2" s="12">
        <v>8</v>
      </c>
      <c r="AT2" s="13" t="s">
        <v>49</v>
      </c>
      <c r="AU2" s="13">
        <v>3</v>
      </c>
      <c r="AV2" s="13">
        <v>4</v>
      </c>
      <c r="AW2" s="12" t="s">
        <v>49</v>
      </c>
      <c r="AX2" s="12">
        <v>3</v>
      </c>
      <c r="AY2" s="12">
        <v>4</v>
      </c>
      <c r="AZ2" s="13" t="s">
        <v>49</v>
      </c>
      <c r="BA2" s="13">
        <v>3</v>
      </c>
      <c r="BB2" s="13">
        <v>4</v>
      </c>
      <c r="BC2" s="13" t="s">
        <v>49</v>
      </c>
      <c r="BD2" s="13">
        <v>3</v>
      </c>
      <c r="BE2" s="13">
        <v>4</v>
      </c>
    </row>
    <row r="3" spans="1:57" x14ac:dyDescent="0.25">
      <c r="A3" s="34"/>
      <c r="B3" s="34"/>
      <c r="C3" s="37"/>
      <c r="D3" s="37"/>
      <c r="E3" s="5"/>
      <c r="F3" s="5"/>
      <c r="G3" s="5"/>
      <c r="H3" s="5"/>
      <c r="I3" s="5"/>
      <c r="J3" s="5"/>
      <c r="K3" s="5"/>
      <c r="L3" s="5"/>
      <c r="M3" s="10"/>
      <c r="N3" s="35" t="s">
        <v>50</v>
      </c>
      <c r="O3" s="35"/>
      <c r="P3" s="35"/>
      <c r="Q3" s="35"/>
      <c r="R3" s="35"/>
      <c r="S3" s="35"/>
      <c r="T3" s="35"/>
      <c r="U3" s="35"/>
      <c r="V3" s="31" t="s">
        <v>51</v>
      </c>
      <c r="W3" s="31"/>
      <c r="X3" s="31"/>
      <c r="Y3" s="31"/>
      <c r="Z3" s="31"/>
      <c r="AA3" s="31"/>
      <c r="AB3" s="31"/>
      <c r="AC3" s="31"/>
      <c r="AD3" s="36" t="s">
        <v>51</v>
      </c>
      <c r="AE3" s="36"/>
      <c r="AF3" s="36"/>
      <c r="AG3" s="36"/>
      <c r="AH3" s="36"/>
      <c r="AI3" s="36"/>
      <c r="AJ3" s="36"/>
      <c r="AK3" s="36"/>
      <c r="AL3" s="31" t="s">
        <v>52</v>
      </c>
      <c r="AM3" s="31"/>
      <c r="AN3" s="31"/>
      <c r="AO3" s="31"/>
      <c r="AP3" s="31"/>
      <c r="AQ3" s="31"/>
      <c r="AR3" s="31"/>
      <c r="AS3" s="31"/>
      <c r="AT3" s="31" t="s">
        <v>53</v>
      </c>
      <c r="AU3" s="31"/>
      <c r="AV3" s="31"/>
      <c r="AW3" s="31" t="s">
        <v>54</v>
      </c>
      <c r="AX3" s="31"/>
      <c r="AY3" s="31"/>
      <c r="AZ3" s="31" t="s">
        <v>54</v>
      </c>
      <c r="BA3" s="31"/>
      <c r="BB3" s="31"/>
      <c r="BC3" s="31" t="s">
        <v>55</v>
      </c>
      <c r="BD3" s="31"/>
      <c r="BE3" s="31"/>
    </row>
    <row r="4" spans="1:57" ht="41.4" x14ac:dyDescent="0.25">
      <c r="A4" s="14" t="s">
        <v>56</v>
      </c>
      <c r="B4" s="14" t="s">
        <v>57</v>
      </c>
      <c r="C4" s="15"/>
      <c r="D4" s="16" t="s">
        <v>58</v>
      </c>
      <c r="E4" s="17" t="s">
        <v>5</v>
      </c>
      <c r="F4" s="18" t="s">
        <v>6</v>
      </c>
      <c r="G4" s="18" t="s">
        <v>7</v>
      </c>
      <c r="H4" s="18" t="s">
        <v>8</v>
      </c>
      <c r="I4" s="17" t="s">
        <v>9</v>
      </c>
      <c r="J4" s="17" t="s">
        <v>10</v>
      </c>
      <c r="K4" s="18" t="s">
        <v>11</v>
      </c>
      <c r="L4" s="18" t="s">
        <v>12</v>
      </c>
      <c r="M4" s="19" t="s">
        <v>59</v>
      </c>
      <c r="N4" s="1">
        <v>1</v>
      </c>
      <c r="O4" s="1">
        <v>2</v>
      </c>
      <c r="P4" s="1">
        <v>3</v>
      </c>
      <c r="Q4" s="1">
        <v>4</v>
      </c>
      <c r="R4" s="1">
        <v>5</v>
      </c>
      <c r="S4" s="1">
        <v>6</v>
      </c>
      <c r="T4" s="1">
        <v>7</v>
      </c>
      <c r="U4" s="1">
        <v>8</v>
      </c>
      <c r="V4" s="20" t="s">
        <v>60</v>
      </c>
      <c r="W4" s="20" t="s">
        <v>61</v>
      </c>
      <c r="X4" s="20" t="s">
        <v>13</v>
      </c>
      <c r="Y4" s="20" t="s">
        <v>14</v>
      </c>
      <c r="Z4" s="20" t="s">
        <v>15</v>
      </c>
      <c r="AA4" s="20" t="s">
        <v>16</v>
      </c>
      <c r="AB4" s="20" t="s">
        <v>17</v>
      </c>
      <c r="AC4" s="20" t="s">
        <v>18</v>
      </c>
      <c r="AD4" s="21" t="s">
        <v>62</v>
      </c>
      <c r="AE4" s="21" t="s">
        <v>19</v>
      </c>
      <c r="AF4" s="21" t="s">
        <v>20</v>
      </c>
      <c r="AG4" s="21" t="s">
        <v>21</v>
      </c>
      <c r="AH4" s="21" t="s">
        <v>22</v>
      </c>
      <c r="AI4" s="21" t="s">
        <v>23</v>
      </c>
      <c r="AJ4" s="21" t="s">
        <v>24</v>
      </c>
      <c r="AK4" s="21" t="s">
        <v>25</v>
      </c>
      <c r="AL4" s="21" t="s">
        <v>26</v>
      </c>
      <c r="AM4" s="21" t="s">
        <v>27</v>
      </c>
      <c r="AN4" s="21" t="s">
        <v>28</v>
      </c>
      <c r="AO4" s="21" t="s">
        <v>29</v>
      </c>
      <c r="AP4" s="21" t="s">
        <v>30</v>
      </c>
      <c r="AQ4" s="21" t="s">
        <v>31</v>
      </c>
      <c r="AR4" s="21" t="s">
        <v>32</v>
      </c>
      <c r="AS4" s="21" t="s">
        <v>33</v>
      </c>
      <c r="AT4" s="14" t="s">
        <v>34</v>
      </c>
      <c r="AU4" s="14" t="s">
        <v>35</v>
      </c>
      <c r="AV4" s="14" t="s">
        <v>36</v>
      </c>
      <c r="AW4" s="12" t="s">
        <v>49</v>
      </c>
      <c r="AX4" s="12">
        <v>3</v>
      </c>
      <c r="AY4" s="12">
        <v>4</v>
      </c>
      <c r="AZ4" s="14" t="s">
        <v>63</v>
      </c>
      <c r="BA4" s="14" t="s">
        <v>37</v>
      </c>
      <c r="BB4" s="14" t="s">
        <v>38</v>
      </c>
      <c r="BC4" s="14" t="s">
        <v>27</v>
      </c>
      <c r="BD4" s="14" t="s">
        <v>28</v>
      </c>
      <c r="BE4" s="14" t="s">
        <v>29</v>
      </c>
    </row>
    <row r="5" spans="1:57" x14ac:dyDescent="0.25">
      <c r="A5" s="1">
        <v>30.2</v>
      </c>
      <c r="B5" s="1">
        <v>17.399999999999999</v>
      </c>
      <c r="C5" s="22"/>
      <c r="D5" s="23">
        <v>43712</v>
      </c>
      <c r="E5" s="24">
        <v>184.5</v>
      </c>
      <c r="F5" s="24">
        <v>71.618750000000006</v>
      </c>
      <c r="G5" s="24">
        <v>22.220833333333335</v>
      </c>
      <c r="H5" s="24">
        <v>0</v>
      </c>
      <c r="I5" s="24">
        <v>159.16666666666666</v>
      </c>
      <c r="J5" s="24">
        <v>3.2291666666666665</v>
      </c>
      <c r="K5" s="24">
        <v>6.25E-2</v>
      </c>
      <c r="L5" s="24">
        <v>16.360416666666666</v>
      </c>
      <c r="M5" s="10">
        <v>0.88186226544367818</v>
      </c>
      <c r="N5" s="25">
        <v>0.25610416666666697</v>
      </c>
      <c r="O5" s="25">
        <v>0.34916666666666679</v>
      </c>
      <c r="P5" s="25">
        <v>0.43210416666666673</v>
      </c>
      <c r="Q5" s="25">
        <v>0.42829166666666657</v>
      </c>
      <c r="R5" s="25">
        <v>0.43002083333333313</v>
      </c>
      <c r="S5" s="25">
        <v>0.31618750000000001</v>
      </c>
      <c r="T5" s="25">
        <v>0.32089583333333355</v>
      </c>
      <c r="U5" s="25">
        <v>0.28377083333333331</v>
      </c>
      <c r="V5" s="25">
        <v>-241.1270833333333</v>
      </c>
      <c r="W5" s="25">
        <v>-184.56190476190474</v>
      </c>
      <c r="X5" s="25">
        <v>-231.77708333333328</v>
      </c>
      <c r="Y5" s="25">
        <v>-164.52291666666667</v>
      </c>
      <c r="Z5" s="25">
        <v>-161.85416666666669</v>
      </c>
      <c r="AA5" s="25">
        <v>-163.75208333333333</v>
      </c>
      <c r="AB5" s="25">
        <v>-156.62083333333331</v>
      </c>
      <c r="AC5" s="25">
        <v>-162.46666666666667</v>
      </c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>
        <v>0.18448611111111105</v>
      </c>
      <c r="AU5" s="25">
        <v>0.12792361111111114</v>
      </c>
      <c r="AV5" s="25">
        <v>0.2492291666666667</v>
      </c>
      <c r="AW5" s="25"/>
      <c r="AX5" s="25"/>
      <c r="AY5" s="25"/>
      <c r="AZ5" s="25"/>
      <c r="BA5" s="25"/>
      <c r="BB5" s="25"/>
      <c r="BC5" s="25"/>
      <c r="BD5" s="25"/>
      <c r="BE5" s="25"/>
    </row>
    <row r="6" spans="1:57" x14ac:dyDescent="0.25">
      <c r="A6" s="1">
        <v>29.8</v>
      </c>
      <c r="B6" s="1">
        <v>18.899999999999999</v>
      </c>
      <c r="C6" s="22"/>
      <c r="D6" s="23">
        <v>43713</v>
      </c>
      <c r="E6" s="24">
        <v>182.25</v>
      </c>
      <c r="F6" s="24">
        <v>68.768750000000011</v>
      </c>
      <c r="G6" s="24">
        <v>23.229166666666671</v>
      </c>
      <c r="H6" s="24">
        <v>0</v>
      </c>
      <c r="I6" s="24">
        <v>142.66666666666666</v>
      </c>
      <c r="J6" s="24">
        <v>4.916666666666667</v>
      </c>
      <c r="K6" s="24">
        <v>0.33333333333333331</v>
      </c>
      <c r="L6" s="24">
        <v>16.922916666666673</v>
      </c>
      <c r="M6" s="10">
        <v>0.96945504132439053</v>
      </c>
      <c r="N6" s="25">
        <v>0.25387500000000002</v>
      </c>
      <c r="O6" s="25">
        <v>0.34710416666666655</v>
      </c>
      <c r="P6" s="25">
        <v>0.43006249999999963</v>
      </c>
      <c r="Q6" s="25">
        <v>0.42489583333333297</v>
      </c>
      <c r="R6" s="25">
        <v>0.42829166666666713</v>
      </c>
      <c r="S6" s="25">
        <v>0.31452083333333342</v>
      </c>
      <c r="T6" s="25">
        <v>0.31787500000000013</v>
      </c>
      <c r="U6" s="25">
        <v>0.28110416666666638</v>
      </c>
      <c r="V6" s="25">
        <v>-253.33958333333337</v>
      </c>
      <c r="W6" s="25">
        <v>-120.1747272727273</v>
      </c>
      <c r="X6" s="25">
        <v>-242.9666666666667</v>
      </c>
      <c r="Y6" s="25">
        <v>-180.02499999999998</v>
      </c>
      <c r="Z6" s="25">
        <v>-187.9</v>
      </c>
      <c r="AA6" s="25">
        <v>-185.48541666666674</v>
      </c>
      <c r="AB6" s="25">
        <v>-169.67291666666662</v>
      </c>
      <c r="AC6" s="25">
        <v>-172.29583333333332</v>
      </c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>
        <v>0.17868055555555554</v>
      </c>
      <c r="AU6" s="25">
        <v>0.12035416666666669</v>
      </c>
      <c r="AV6" s="25">
        <v>0.24099305555555553</v>
      </c>
      <c r="AW6" s="25"/>
      <c r="AX6" s="25"/>
      <c r="AY6" s="25"/>
      <c r="AZ6" s="25"/>
      <c r="BA6" s="25"/>
      <c r="BB6" s="25"/>
      <c r="BC6" s="25"/>
      <c r="BD6" s="25"/>
      <c r="BE6" s="25"/>
    </row>
    <row r="7" spans="1:57" x14ac:dyDescent="0.25">
      <c r="A7" s="1">
        <v>27.9</v>
      </c>
      <c r="B7" s="1">
        <v>18.600000000000001</v>
      </c>
      <c r="C7" s="22"/>
      <c r="D7" s="23">
        <v>43714</v>
      </c>
      <c r="E7" s="24">
        <v>140.58333333333334</v>
      </c>
      <c r="F7" s="24">
        <v>80.458333333333357</v>
      </c>
      <c r="G7" s="24">
        <v>22.091666666666658</v>
      </c>
      <c r="H7" s="24">
        <v>15.899999999999999</v>
      </c>
      <c r="I7" s="24">
        <v>137</v>
      </c>
      <c r="J7" s="24">
        <v>3.75</v>
      </c>
      <c r="K7" s="24">
        <v>8.3333333333333329E-2</v>
      </c>
      <c r="L7" s="24">
        <v>18.289583333333336</v>
      </c>
      <c r="M7" s="10">
        <v>0.59260902481603017</v>
      </c>
      <c r="N7" s="25">
        <v>0.29885416666666659</v>
      </c>
      <c r="O7" s="25">
        <v>0.34593750000000006</v>
      </c>
      <c r="P7" s="25">
        <v>0.42925000000000008</v>
      </c>
      <c r="Q7" s="25">
        <v>0.42370833333333308</v>
      </c>
      <c r="R7" s="25">
        <v>0.43154166666666649</v>
      </c>
      <c r="S7" s="25">
        <v>0.31474999999999997</v>
      </c>
      <c r="T7" s="25">
        <v>0.31589583333333349</v>
      </c>
      <c r="U7" s="25">
        <v>0.27999999999999986</v>
      </c>
      <c r="V7" s="25">
        <v>-256.74791666666664</v>
      </c>
      <c r="W7" s="25">
        <v>-65.091290322580647</v>
      </c>
      <c r="X7" s="25">
        <v>-244.02083333333334</v>
      </c>
      <c r="Y7" s="25">
        <v>-191.35833333333335</v>
      </c>
      <c r="Z7" s="25">
        <v>-86.798749999999984</v>
      </c>
      <c r="AA7" s="25">
        <v>-202.60833333333332</v>
      </c>
      <c r="AB7" s="25">
        <v>-179.6270833333333</v>
      </c>
      <c r="AC7" s="25">
        <v>-178.1583333333333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>
        <v>0.21402777777777768</v>
      </c>
      <c r="AU7" s="25">
        <v>0.19688888888888889</v>
      </c>
      <c r="AV7" s="25">
        <v>0.35933333333333328</v>
      </c>
      <c r="AW7" s="25"/>
      <c r="AX7" s="25"/>
      <c r="AY7" s="25"/>
      <c r="AZ7" s="25"/>
      <c r="BA7" s="25"/>
      <c r="BB7" s="25"/>
      <c r="BC7" s="25"/>
      <c r="BD7" s="25"/>
      <c r="BE7" s="25"/>
    </row>
    <row r="8" spans="1:57" x14ac:dyDescent="0.25">
      <c r="A8" s="1">
        <v>28.7</v>
      </c>
      <c r="B8" s="1">
        <v>19.7</v>
      </c>
      <c r="C8" s="22"/>
      <c r="D8" s="23">
        <v>43715</v>
      </c>
      <c r="E8" s="24">
        <v>144.79166666666666</v>
      </c>
      <c r="F8" s="24">
        <v>80.443749999999994</v>
      </c>
      <c r="G8" s="24">
        <v>22.537500000000005</v>
      </c>
      <c r="H8" s="24">
        <v>6.3000000000000007</v>
      </c>
      <c r="I8" s="24">
        <v>136.66666666666666</v>
      </c>
      <c r="J8" s="24">
        <v>7.166666666666667</v>
      </c>
      <c r="K8" s="24">
        <v>0.66666666666666663</v>
      </c>
      <c r="L8" s="24">
        <v>18.820833333333336</v>
      </c>
      <c r="M8" s="10">
        <v>0.58873222368155165</v>
      </c>
      <c r="N8" s="25">
        <v>0.28904166666666681</v>
      </c>
      <c r="O8" s="25">
        <v>0.34724999999999989</v>
      </c>
      <c r="P8" s="25">
        <v>0.43097916666666647</v>
      </c>
      <c r="Q8" s="25">
        <v>0.42537499999999984</v>
      </c>
      <c r="R8" s="25">
        <v>0.43668749999999967</v>
      </c>
      <c r="S8" s="25">
        <v>0.31627083333333339</v>
      </c>
      <c r="T8" s="25">
        <v>0.31602083333333358</v>
      </c>
      <c r="U8" s="25">
        <v>0.27999999999999986</v>
      </c>
      <c r="V8" s="25">
        <v>-242.04791666666665</v>
      </c>
      <c r="W8" s="25">
        <v>-124.96963414634146</v>
      </c>
      <c r="X8" s="25">
        <v>-234.86041666666665</v>
      </c>
      <c r="Y8" s="25">
        <v>-201.62291666666661</v>
      </c>
      <c r="Z8" s="25">
        <v>-40.531666666666688</v>
      </c>
      <c r="AA8" s="25">
        <v>-215.36458333333337</v>
      </c>
      <c r="AB8" s="25">
        <v>-189.2104166666667</v>
      </c>
      <c r="AC8" s="25">
        <v>-188.10416666666663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>
        <v>0.22297916666666664</v>
      </c>
      <c r="AU8" s="25">
        <v>0.2050694444444445</v>
      </c>
      <c r="AV8" s="25">
        <v>0.3784861111111113</v>
      </c>
      <c r="AW8" s="25"/>
      <c r="AX8" s="25"/>
      <c r="AY8" s="25"/>
      <c r="AZ8" s="25"/>
      <c r="BA8" s="25"/>
      <c r="BB8" s="25"/>
      <c r="BC8" s="25"/>
      <c r="BD8" s="25"/>
      <c r="BE8" s="25"/>
    </row>
    <row r="9" spans="1:57" x14ac:dyDescent="0.25">
      <c r="A9" s="1">
        <v>23.4</v>
      </c>
      <c r="B9" s="1">
        <v>19.3</v>
      </c>
      <c r="C9" s="22"/>
      <c r="D9" s="23">
        <v>43716</v>
      </c>
      <c r="E9" s="24">
        <v>54.354166666666664</v>
      </c>
      <c r="F9" s="24">
        <v>90.585416666666674</v>
      </c>
      <c r="G9" s="24">
        <v>21.299999999999994</v>
      </c>
      <c r="H9" s="24">
        <v>49.699999999999996</v>
      </c>
      <c r="I9" s="24">
        <v>122.47916666666667</v>
      </c>
      <c r="J9" s="24">
        <v>11.4375</v>
      </c>
      <c r="K9" s="24">
        <v>2.625</v>
      </c>
      <c r="L9" s="24">
        <v>19.685416666666661</v>
      </c>
      <c r="M9" s="10">
        <v>0.24241613472018383</v>
      </c>
      <c r="N9" s="25">
        <v>0.38635416666666661</v>
      </c>
      <c r="O9" s="25">
        <v>0.37945833333333318</v>
      </c>
      <c r="P9" s="25">
        <v>0.45279166666666693</v>
      </c>
      <c r="Q9" s="25">
        <v>0.44766666666666682</v>
      </c>
      <c r="R9" s="25">
        <v>0.4847708333333336</v>
      </c>
      <c r="S9" s="25">
        <v>0.42904166666666654</v>
      </c>
      <c r="T9" s="25">
        <v>0.35604166666666676</v>
      </c>
      <c r="U9" s="25">
        <v>0.28077083333333358</v>
      </c>
      <c r="V9" s="25">
        <v>-163.59041666666664</v>
      </c>
      <c r="W9" s="25">
        <v>-212.70374999999993</v>
      </c>
      <c r="X9" s="25">
        <v>-211.66354166666665</v>
      </c>
      <c r="Y9" s="25">
        <v>-200.13541666666663</v>
      </c>
      <c r="Z9" s="25">
        <v>-19.072291666666661</v>
      </c>
      <c r="AA9" s="25">
        <v>-69.346458333333331</v>
      </c>
      <c r="AB9" s="25">
        <v>-183.36291666666662</v>
      </c>
      <c r="AC9" s="25">
        <v>-190.80416666666665</v>
      </c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>
        <v>0.36522916666666672</v>
      </c>
      <c r="AU9" s="25">
        <v>0.26509722222222226</v>
      </c>
      <c r="AV9" s="25">
        <v>0.4617430555555555</v>
      </c>
      <c r="AW9" s="25"/>
      <c r="AX9" s="25"/>
      <c r="AY9" s="25"/>
      <c r="AZ9" s="25"/>
      <c r="BA9" s="25"/>
      <c r="BB9" s="25"/>
      <c r="BC9" s="25"/>
      <c r="BD9" s="25"/>
      <c r="BE9" s="25"/>
    </row>
    <row r="10" spans="1:57" x14ac:dyDescent="0.25">
      <c r="A10" s="1">
        <v>23.6</v>
      </c>
      <c r="B10" s="1">
        <v>19.100000000000001</v>
      </c>
      <c r="C10" s="22"/>
      <c r="D10" s="23">
        <v>43717</v>
      </c>
      <c r="E10" s="24">
        <v>101.22916666666667</v>
      </c>
      <c r="F10" s="24">
        <v>92.183333333333323</v>
      </c>
      <c r="G10" s="24">
        <v>20.220833333333335</v>
      </c>
      <c r="H10" s="24">
        <v>116.60000000000001</v>
      </c>
      <c r="I10" s="24">
        <v>120.89583333333333</v>
      </c>
      <c r="J10" s="24">
        <v>7.25</v>
      </c>
      <c r="K10" s="24">
        <v>0.70833333333333337</v>
      </c>
      <c r="L10" s="24">
        <v>18.860416666666669</v>
      </c>
      <c r="M10" s="10">
        <v>0.19833580748646221</v>
      </c>
      <c r="N10" s="25">
        <v>0.49383333333333318</v>
      </c>
      <c r="O10" s="25">
        <v>0.56999999999999995</v>
      </c>
      <c r="P10" s="25">
        <v>0.60508333333333331</v>
      </c>
      <c r="Q10" s="25">
        <v>0.63681249999999967</v>
      </c>
      <c r="R10" s="25">
        <v>0.61777083333333327</v>
      </c>
      <c r="S10" s="25">
        <v>0.53808333333333347</v>
      </c>
      <c r="T10" s="25">
        <v>0.49272916666666683</v>
      </c>
      <c r="U10" s="25">
        <v>0.44747916666666671</v>
      </c>
      <c r="V10" s="25">
        <v>-13.476041666666667</v>
      </c>
      <c r="W10" s="25">
        <v>-20.43770833333333</v>
      </c>
      <c r="X10" s="25">
        <v>-11.647708333333329</v>
      </c>
      <c r="Y10" s="25">
        <v>-15.770625000000004</v>
      </c>
      <c r="Z10" s="25">
        <v>-11.763750000000002</v>
      </c>
      <c r="AA10" s="25">
        <v>-11.617708333333331</v>
      </c>
      <c r="AB10" s="25">
        <v>-11.714583333333332</v>
      </c>
      <c r="AC10" s="25">
        <v>-23.584583333333338</v>
      </c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>
        <v>0.48722222222222228</v>
      </c>
      <c r="AU10" s="25">
        <v>0.43150694444444437</v>
      </c>
      <c r="AV10" s="25">
        <v>0.51505555555555571</v>
      </c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 x14ac:dyDescent="0.25">
      <c r="A11" s="1">
        <v>25.3</v>
      </c>
      <c r="B11" s="1">
        <v>19.399999999999999</v>
      </c>
      <c r="C11" s="22"/>
      <c r="D11" s="23">
        <v>43718</v>
      </c>
      <c r="E11" s="24">
        <v>114.10416666666667</v>
      </c>
      <c r="F11" s="24">
        <v>90.752083333333317</v>
      </c>
      <c r="G11" s="24">
        <v>20.681250000000002</v>
      </c>
      <c r="H11" s="24">
        <v>7.7</v>
      </c>
      <c r="I11" s="24">
        <v>115.9375</v>
      </c>
      <c r="J11" s="24">
        <v>9.0833333333333339</v>
      </c>
      <c r="K11" s="24">
        <v>1.2708333333333333</v>
      </c>
      <c r="L11" s="24">
        <v>19.077083333333338</v>
      </c>
      <c r="M11" s="10">
        <v>0.23573704986871347</v>
      </c>
      <c r="N11" s="25">
        <v>0.47243750000000001</v>
      </c>
      <c r="O11" s="25">
        <v>0.56989583333333338</v>
      </c>
      <c r="P11" s="25">
        <v>0.60054166666666675</v>
      </c>
      <c r="Q11" s="25">
        <v>0.61754166666666654</v>
      </c>
      <c r="R11" s="25">
        <v>0.62239583333333315</v>
      </c>
      <c r="S11" s="25">
        <v>0.50866666666666671</v>
      </c>
      <c r="T11" s="25">
        <v>0.4781458333333331</v>
      </c>
      <c r="U11" s="25">
        <v>0.43577083333333327</v>
      </c>
      <c r="V11" s="25">
        <v>-13.544791666666663</v>
      </c>
      <c r="W11" s="25">
        <v>-20.2075</v>
      </c>
      <c r="X11" s="25">
        <v>-11.706249999999999</v>
      </c>
      <c r="Y11" s="25">
        <v>-12.463958333333331</v>
      </c>
      <c r="Z11" s="25">
        <v>-11.787708333333336</v>
      </c>
      <c r="AA11" s="25">
        <v>-11.789583333333335</v>
      </c>
      <c r="AB11" s="25">
        <v>-11.725416666666668</v>
      </c>
      <c r="AC11" s="25">
        <v>-12.669583333333335</v>
      </c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>
        <v>0.45350694444444462</v>
      </c>
      <c r="AU11" s="25">
        <v>0.28952083333333323</v>
      </c>
      <c r="AV11" s="25">
        <v>0.4963055555555555</v>
      </c>
      <c r="AW11" s="25"/>
      <c r="AX11" s="25"/>
      <c r="AY11" s="25"/>
      <c r="AZ11" s="25"/>
      <c r="BA11" s="25"/>
      <c r="BB11" s="25"/>
      <c r="BC11" s="25"/>
      <c r="BD11" s="25"/>
      <c r="BE11" s="25"/>
    </row>
    <row r="12" spans="1:57" x14ac:dyDescent="0.25">
      <c r="A12" s="1">
        <v>25.9</v>
      </c>
      <c r="B12" s="1">
        <v>18.899999999999999</v>
      </c>
      <c r="C12" s="22"/>
      <c r="D12" s="23">
        <v>43719</v>
      </c>
      <c r="E12" s="24">
        <v>158.33333333333334</v>
      </c>
      <c r="F12" s="24">
        <v>84.372916666666654</v>
      </c>
      <c r="G12" s="24">
        <v>21.187500000000004</v>
      </c>
      <c r="H12" s="24">
        <v>2.3000000000000003</v>
      </c>
      <c r="I12" s="24">
        <v>129.77083333333334</v>
      </c>
      <c r="J12" s="24">
        <v>12.5625</v>
      </c>
      <c r="K12" s="24">
        <v>2.8333333333333335</v>
      </c>
      <c r="L12" s="24">
        <v>18.379166666666659</v>
      </c>
      <c r="M12" s="10">
        <v>0.41639100088324327</v>
      </c>
      <c r="N12" s="25">
        <v>0.46116666666666656</v>
      </c>
      <c r="O12" s="25">
        <v>0.5635416666666665</v>
      </c>
      <c r="P12" s="25">
        <v>0.5972291666666667</v>
      </c>
      <c r="Q12" s="25">
        <v>0.60756250000000034</v>
      </c>
      <c r="R12" s="25">
        <v>0.61895833333333283</v>
      </c>
      <c r="S12" s="25">
        <v>0.49814583333333307</v>
      </c>
      <c r="T12" s="25">
        <v>0.47410416666666677</v>
      </c>
      <c r="U12" s="25">
        <v>0.4265624999999999</v>
      </c>
      <c r="V12" s="25">
        <v>-13.551875000000003</v>
      </c>
      <c r="W12" s="25">
        <v>-20.127083333333328</v>
      </c>
      <c r="X12" s="25">
        <v>-11.686458333333334</v>
      </c>
      <c r="Y12" s="25">
        <v>-12.460208333333334</v>
      </c>
      <c r="Z12" s="25">
        <v>-11.829166666666664</v>
      </c>
      <c r="AA12" s="25">
        <v>-11.853958333333333</v>
      </c>
      <c r="AB12" s="25">
        <v>-11.892708333333333</v>
      </c>
      <c r="AC12" s="25">
        <v>-12.558125000000004</v>
      </c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>
        <v>0.44064583333333335</v>
      </c>
      <c r="AU12" s="25">
        <v>0.27033333333333326</v>
      </c>
      <c r="AV12" s="25">
        <v>0.48590277777777779</v>
      </c>
      <c r="AW12" s="25"/>
      <c r="AX12" s="25"/>
      <c r="AY12" s="25"/>
      <c r="AZ12" s="25"/>
      <c r="BA12" s="25"/>
      <c r="BB12" s="25"/>
      <c r="BC12" s="25"/>
      <c r="BD12" s="25"/>
      <c r="BE12" s="25"/>
    </row>
    <row r="13" spans="1:57" x14ac:dyDescent="0.25">
      <c r="A13" s="1">
        <v>26.9</v>
      </c>
      <c r="B13" s="1">
        <v>19.5</v>
      </c>
      <c r="C13" s="22"/>
      <c r="D13" s="23">
        <v>43720</v>
      </c>
      <c r="E13" s="24">
        <v>174.125</v>
      </c>
      <c r="F13" s="24">
        <v>78.895833333333343</v>
      </c>
      <c r="G13" s="24">
        <v>22.375</v>
      </c>
      <c r="H13" s="24">
        <v>0</v>
      </c>
      <c r="I13" s="24">
        <v>151.75</v>
      </c>
      <c r="J13" s="24">
        <v>10.708333333333334</v>
      </c>
      <c r="K13" s="24">
        <v>1.3541666666666667</v>
      </c>
      <c r="L13" s="24">
        <v>18.381249999999998</v>
      </c>
      <c r="M13" s="10">
        <v>0.61606613419564316</v>
      </c>
      <c r="N13" s="25">
        <v>0.44339583333333343</v>
      </c>
      <c r="O13" s="25">
        <v>0.55031250000000032</v>
      </c>
      <c r="P13" s="25">
        <v>0.59054166666666685</v>
      </c>
      <c r="Q13" s="25">
        <v>0.59929166666666689</v>
      </c>
      <c r="R13" s="25">
        <v>0.61125000000000052</v>
      </c>
      <c r="S13" s="25">
        <v>0.48552083333333368</v>
      </c>
      <c r="T13" s="25">
        <v>0.46916666666666645</v>
      </c>
      <c r="U13" s="25">
        <v>0.41952083333333362</v>
      </c>
      <c r="V13" s="25">
        <v>-13.865833333333336</v>
      </c>
      <c r="W13" s="25">
        <v>-20.319791666666664</v>
      </c>
      <c r="X13" s="25">
        <v>-11.841875</v>
      </c>
      <c r="Y13" s="25">
        <v>-12.579374999999999</v>
      </c>
      <c r="Z13" s="25">
        <v>-12.070208333333333</v>
      </c>
      <c r="AA13" s="25">
        <v>-12.061875000000001</v>
      </c>
      <c r="AB13" s="25">
        <v>-12.108749999999999</v>
      </c>
      <c r="AC13" s="25">
        <v>-12.699374999999998</v>
      </c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>
        <v>0.42286111111111091</v>
      </c>
      <c r="AU13" s="25">
        <v>0.24975000000000003</v>
      </c>
      <c r="AV13" s="25">
        <v>0.45774305555555567</v>
      </c>
      <c r="AW13" s="25"/>
      <c r="AX13" s="25"/>
      <c r="AY13" s="25"/>
      <c r="AZ13" s="25"/>
      <c r="BA13" s="25"/>
      <c r="BB13" s="25"/>
      <c r="BC13" s="25"/>
      <c r="BD13" s="25"/>
      <c r="BE13" s="25"/>
    </row>
    <row r="14" spans="1:57" x14ac:dyDescent="0.25">
      <c r="A14" s="1">
        <v>29.4</v>
      </c>
      <c r="B14" s="1">
        <v>19.899999999999999</v>
      </c>
      <c r="C14" s="22"/>
      <c r="D14" s="23">
        <v>43721</v>
      </c>
      <c r="E14" s="24">
        <v>237.10416666666666</v>
      </c>
      <c r="F14" s="24">
        <v>74.779166666666683</v>
      </c>
      <c r="G14" s="24">
        <v>23.452083333333324</v>
      </c>
      <c r="H14" s="24">
        <v>0</v>
      </c>
      <c r="I14" s="24">
        <v>155.77083333333334</v>
      </c>
      <c r="J14" s="24">
        <v>9.7708333333333339</v>
      </c>
      <c r="K14" s="24">
        <v>1.3125</v>
      </c>
      <c r="L14" s="24">
        <v>18.466666666666665</v>
      </c>
      <c r="M14" s="10">
        <v>0.80873882521636287</v>
      </c>
      <c r="N14" s="25">
        <v>0.43858333333333349</v>
      </c>
      <c r="O14" s="25">
        <v>0.54087499999999988</v>
      </c>
      <c r="P14" s="25">
        <v>0.5859166666666662</v>
      </c>
      <c r="Q14" s="25">
        <v>0.59510416666666666</v>
      </c>
      <c r="R14" s="25">
        <v>0.60497916666666707</v>
      </c>
      <c r="S14" s="25">
        <v>0.47808333333333342</v>
      </c>
      <c r="T14" s="25">
        <v>0.46564583333333337</v>
      </c>
      <c r="U14" s="25">
        <v>0.4152499999999999</v>
      </c>
      <c r="V14" s="25">
        <v>-13.979999999999999</v>
      </c>
      <c r="W14" s="25">
        <v>-20.517083333333332</v>
      </c>
      <c r="X14" s="25">
        <v>-12.022916666666667</v>
      </c>
      <c r="Y14" s="25">
        <v>-12.694166666666669</v>
      </c>
      <c r="Z14" s="25">
        <v>-12.507291666666662</v>
      </c>
      <c r="AA14" s="25">
        <v>-12.592916666666666</v>
      </c>
      <c r="AB14" s="25">
        <v>-12.313958333333334</v>
      </c>
      <c r="AC14" s="25">
        <v>-12.850000000000001</v>
      </c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>
        <v>0.4080425531914893</v>
      </c>
      <c r="AU14" s="25">
        <v>0.23235416666666664</v>
      </c>
      <c r="AV14" s="25">
        <v>0.43372916666666655</v>
      </c>
      <c r="AW14" s="25"/>
      <c r="AX14" s="25"/>
      <c r="AY14" s="25"/>
      <c r="AZ14" s="25"/>
      <c r="BA14" s="25"/>
      <c r="BB14" s="25"/>
      <c r="BC14" s="25"/>
      <c r="BD14" s="25"/>
      <c r="BE14" s="25"/>
    </row>
    <row r="15" spans="1:57" x14ac:dyDescent="0.25">
      <c r="A15" s="1">
        <v>30</v>
      </c>
      <c r="B15" s="1">
        <v>19.600000000000001</v>
      </c>
      <c r="C15" s="22"/>
      <c r="D15" s="23">
        <v>43722</v>
      </c>
      <c r="E15" s="24">
        <v>253.85416666666666</v>
      </c>
      <c r="F15" s="24">
        <v>69.139583333333334</v>
      </c>
      <c r="G15" s="24">
        <v>23.904166666666665</v>
      </c>
      <c r="H15" s="24">
        <v>0</v>
      </c>
      <c r="I15" s="24">
        <v>134.0625</v>
      </c>
      <c r="J15" s="24">
        <v>7.708333333333333</v>
      </c>
      <c r="K15" s="24">
        <v>1.2916666666666667</v>
      </c>
      <c r="L15" s="24">
        <v>17.435416666666669</v>
      </c>
      <c r="M15" s="10">
        <v>1.0239300479339237</v>
      </c>
      <c r="N15" s="25">
        <v>0.43512499999999993</v>
      </c>
      <c r="O15" s="25">
        <v>0.53172916666666681</v>
      </c>
      <c r="P15" s="25">
        <v>0.58093749999999966</v>
      </c>
      <c r="Q15" s="25">
        <v>0.59147916666666656</v>
      </c>
      <c r="R15" s="25">
        <v>0.59647916666666678</v>
      </c>
      <c r="S15" s="25">
        <v>0.47054166666666664</v>
      </c>
      <c r="T15" s="25">
        <v>0.46197916666666661</v>
      </c>
      <c r="U15" s="25">
        <v>0.41106250000000033</v>
      </c>
      <c r="V15" s="25">
        <v>-17.177708333333339</v>
      </c>
      <c r="W15" s="25">
        <v>-21.159166666666664</v>
      </c>
      <c r="X15" s="25">
        <v>-12.18333333333333</v>
      </c>
      <c r="Y15" s="25">
        <v>-12.734791666666672</v>
      </c>
      <c r="Z15" s="25">
        <v>-13.867916666666671</v>
      </c>
      <c r="AA15" s="25">
        <v>-13.952708333333334</v>
      </c>
      <c r="AB15" s="25">
        <v>-12.880833333333335</v>
      </c>
      <c r="AC15" s="25">
        <v>-13.11458333333333</v>
      </c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>
        <v>0.39343055555555556</v>
      </c>
      <c r="AU15" s="25">
        <v>0.21504861111111109</v>
      </c>
      <c r="AV15" s="25">
        <v>0.40547222222222223</v>
      </c>
      <c r="AW15" s="25"/>
      <c r="AX15" s="25"/>
      <c r="AY15" s="25"/>
      <c r="AZ15" s="25"/>
      <c r="BA15" s="25"/>
      <c r="BB15" s="25"/>
      <c r="BC15" s="25"/>
      <c r="BD15" s="25"/>
      <c r="BE15" s="25"/>
    </row>
    <row r="16" spans="1:57" x14ac:dyDescent="0.25">
      <c r="A16" s="1">
        <v>29.8</v>
      </c>
      <c r="B16" s="1">
        <v>18</v>
      </c>
      <c r="C16" s="22"/>
      <c r="D16" s="23">
        <v>43723</v>
      </c>
      <c r="E16" s="24">
        <v>254.14583333333334</v>
      </c>
      <c r="F16" s="24">
        <v>69.441666666666649</v>
      </c>
      <c r="G16" s="24">
        <v>23.231249999999999</v>
      </c>
      <c r="H16" s="24">
        <v>0</v>
      </c>
      <c r="I16" s="24">
        <v>138.16666666666666</v>
      </c>
      <c r="J16" s="24">
        <v>5.958333333333333</v>
      </c>
      <c r="K16" s="24">
        <v>0.60416666666666663</v>
      </c>
      <c r="L16" s="24">
        <v>16.929166666666667</v>
      </c>
      <c r="M16" s="10">
        <v>0.99045577232761473</v>
      </c>
      <c r="N16" s="25">
        <v>0.41831249999999992</v>
      </c>
      <c r="O16" s="25">
        <v>0.51914583333333375</v>
      </c>
      <c r="P16" s="25">
        <v>0.57270833333333371</v>
      </c>
      <c r="Q16" s="25">
        <v>0.58710416666666654</v>
      </c>
      <c r="R16" s="25">
        <v>0.58100000000000018</v>
      </c>
      <c r="S16" s="25">
        <v>0.4585416666666669</v>
      </c>
      <c r="T16" s="25">
        <v>0.45589583333333356</v>
      </c>
      <c r="U16" s="25">
        <v>0.40556250000000021</v>
      </c>
      <c r="V16" s="25">
        <v>-25.198958333333334</v>
      </c>
      <c r="W16" s="25">
        <v>-23.288750000000004</v>
      </c>
      <c r="X16" s="25">
        <v>-12.693333333333333</v>
      </c>
      <c r="Y16" s="25">
        <v>-13.024999999999999</v>
      </c>
      <c r="Z16" s="25">
        <v>-16.699375</v>
      </c>
      <c r="AA16" s="25">
        <v>-16.423541666666665</v>
      </c>
      <c r="AB16" s="25">
        <v>-14.54875</v>
      </c>
      <c r="AC16" s="25">
        <v>-14.055208333333331</v>
      </c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>
        <v>0.37813888888888886</v>
      </c>
      <c r="AU16" s="25">
        <v>0.19675694444444447</v>
      </c>
      <c r="AV16" s="25">
        <v>0.36841666666666667</v>
      </c>
      <c r="AW16" s="25"/>
      <c r="AX16" s="25"/>
      <c r="AY16" s="25"/>
      <c r="AZ16" s="25"/>
      <c r="BA16" s="25"/>
      <c r="BB16" s="25"/>
      <c r="BC16" s="25"/>
      <c r="BD16" s="25"/>
      <c r="BE16" s="25"/>
    </row>
    <row r="17" spans="1:57" x14ac:dyDescent="0.25">
      <c r="A17" s="1">
        <v>26.3</v>
      </c>
      <c r="B17" s="1">
        <v>15.6</v>
      </c>
      <c r="C17" s="22"/>
      <c r="D17" s="23">
        <v>43724</v>
      </c>
      <c r="E17" s="24">
        <v>146.02083333333334</v>
      </c>
      <c r="F17" s="24">
        <v>79.733333333333306</v>
      </c>
      <c r="G17" s="24">
        <v>20.093749999999996</v>
      </c>
      <c r="H17" s="24">
        <v>1.7</v>
      </c>
      <c r="I17" s="24">
        <v>185.72916666666666</v>
      </c>
      <c r="J17" s="24">
        <v>3.375</v>
      </c>
      <c r="K17" s="24">
        <v>6.25E-2</v>
      </c>
      <c r="L17" s="24">
        <v>16.320833333333333</v>
      </c>
      <c r="M17" s="10">
        <v>0.52871269649274466</v>
      </c>
      <c r="N17" s="25">
        <v>0.39064583333333336</v>
      </c>
      <c r="O17" s="25">
        <v>0.50650000000000028</v>
      </c>
      <c r="P17" s="25">
        <v>0.56341666666666679</v>
      </c>
      <c r="Q17" s="25">
        <v>0.58310416666666631</v>
      </c>
      <c r="R17" s="25">
        <v>0.56420833333333331</v>
      </c>
      <c r="S17" s="25">
        <v>0.4475208333333332</v>
      </c>
      <c r="T17" s="25">
        <v>0.44945833333333352</v>
      </c>
      <c r="U17" s="25">
        <v>0.3999791666666665</v>
      </c>
      <c r="V17" s="25">
        <v>-33.123333333333328</v>
      </c>
      <c r="W17" s="25">
        <v>-29.055416666666677</v>
      </c>
      <c r="X17" s="25">
        <v>-13.914375</v>
      </c>
      <c r="Y17" s="25">
        <v>-14.023125000000002</v>
      </c>
      <c r="Z17" s="25">
        <v>-20.054166666666664</v>
      </c>
      <c r="AA17" s="25">
        <v>-18.655208333333331</v>
      </c>
      <c r="AB17" s="25">
        <v>-16.363541666666666</v>
      </c>
      <c r="AC17" s="25">
        <v>-15.503541666666669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>
        <v>0.36539492753623187</v>
      </c>
      <c r="AU17" s="25">
        <v>0.18083333333333337</v>
      </c>
      <c r="AV17" s="25">
        <v>0.3368680555555556</v>
      </c>
      <c r="AW17" s="25"/>
      <c r="AX17" s="25"/>
      <c r="AY17" s="25"/>
      <c r="AZ17" s="25"/>
      <c r="BA17" s="25"/>
      <c r="BB17" s="25"/>
      <c r="BC17" s="25"/>
      <c r="BD17" s="25"/>
      <c r="BE17" s="25"/>
    </row>
    <row r="18" spans="1:57" x14ac:dyDescent="0.25">
      <c r="A18" s="1">
        <v>27.8</v>
      </c>
      <c r="B18" s="1">
        <v>17.899999999999999</v>
      </c>
      <c r="C18" s="22"/>
      <c r="D18" s="23">
        <v>43725</v>
      </c>
      <c r="E18" s="24">
        <v>169.47916666666666</v>
      </c>
      <c r="F18" s="24">
        <v>77.00624999999998</v>
      </c>
      <c r="G18" s="24">
        <v>21.797916666666676</v>
      </c>
      <c r="H18" s="24">
        <v>0</v>
      </c>
      <c r="I18" s="24">
        <v>143.8125</v>
      </c>
      <c r="J18" s="24">
        <v>6.666666666666667</v>
      </c>
      <c r="K18" s="24">
        <v>0.47916666666666669</v>
      </c>
      <c r="L18" s="24">
        <v>17.364583333333332</v>
      </c>
      <c r="M18" s="10">
        <v>0.66831989735542818</v>
      </c>
      <c r="N18" s="25">
        <v>0.36216666666666658</v>
      </c>
      <c r="O18" s="25">
        <v>0.49324999999999997</v>
      </c>
      <c r="P18" s="25">
        <v>0.5523125000000001</v>
      </c>
      <c r="Q18" s="25">
        <v>0.57843749999999983</v>
      </c>
      <c r="R18" s="25">
        <v>0.54887500000000022</v>
      </c>
      <c r="S18" s="25">
        <v>0.4371666666666667</v>
      </c>
      <c r="T18" s="25">
        <v>0.44293749999999982</v>
      </c>
      <c r="U18" s="25">
        <v>0.39400000000000013</v>
      </c>
      <c r="V18" s="25">
        <v>-42.779791666666661</v>
      </c>
      <c r="W18" s="25">
        <v>-39.903541666666662</v>
      </c>
      <c r="X18" s="25">
        <v>-16.509791666666665</v>
      </c>
      <c r="Y18" s="25">
        <v>-16.584791666666668</v>
      </c>
      <c r="Z18" s="25">
        <v>-24.995833333333337</v>
      </c>
      <c r="AA18" s="25">
        <v>-22.051458333333329</v>
      </c>
      <c r="AB18" s="25">
        <v>-19.021249999999998</v>
      </c>
      <c r="AC18" s="25">
        <v>-18.495416666666671</v>
      </c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>
        <v>0.35551063829787233</v>
      </c>
      <c r="AU18" s="25">
        <v>0.17097916666666671</v>
      </c>
      <c r="AV18" s="25">
        <v>0.31674305555555554</v>
      </c>
      <c r="AW18" s="25"/>
      <c r="AX18" s="25"/>
      <c r="AY18" s="25"/>
      <c r="AZ18" s="25"/>
      <c r="BA18" s="25"/>
      <c r="BB18" s="25"/>
      <c r="BC18" s="25"/>
      <c r="BD18" s="25"/>
      <c r="BE18" s="25"/>
    </row>
    <row r="19" spans="1:57" x14ac:dyDescent="0.25">
      <c r="A19" s="1">
        <v>21.6</v>
      </c>
      <c r="B19" s="1">
        <v>16.5</v>
      </c>
      <c r="C19" s="22"/>
      <c r="D19" s="23">
        <v>43726</v>
      </c>
      <c r="E19" s="24">
        <v>78.645833333333329</v>
      </c>
      <c r="F19" s="24">
        <v>81.414583333333368</v>
      </c>
      <c r="G19" s="24">
        <v>17.931249999999995</v>
      </c>
      <c r="H19" s="24">
        <v>0.4</v>
      </c>
      <c r="I19" s="24">
        <v>211.66666666666666</v>
      </c>
      <c r="J19" s="24">
        <v>4.1875</v>
      </c>
      <c r="K19" s="24">
        <v>6.25E-2</v>
      </c>
      <c r="L19" s="24">
        <v>14.670833333333333</v>
      </c>
      <c r="M19" s="10">
        <v>0.38986425873090225</v>
      </c>
      <c r="N19" s="25">
        <v>0.33931250000000013</v>
      </c>
      <c r="O19" s="25">
        <v>0.47845833333333315</v>
      </c>
      <c r="P19" s="25">
        <v>0.54164583333333327</v>
      </c>
      <c r="Q19" s="25">
        <v>0.57285416666666678</v>
      </c>
      <c r="R19" s="25">
        <v>0.53212500000000007</v>
      </c>
      <c r="S19" s="25">
        <v>0.4261875</v>
      </c>
      <c r="T19" s="25">
        <v>0.43520833333333325</v>
      </c>
      <c r="U19" s="25">
        <v>0.38750000000000001</v>
      </c>
      <c r="V19" s="25">
        <v>-48.624999999999993</v>
      </c>
      <c r="W19" s="25">
        <v>-48.09708333333333</v>
      </c>
      <c r="X19" s="25">
        <v>-18.920625000000005</v>
      </c>
      <c r="Y19" s="25">
        <v>-18.546875000000004</v>
      </c>
      <c r="Z19" s="25">
        <v>-28.816666666666663</v>
      </c>
      <c r="AA19" s="25">
        <v>-24.42541666666666</v>
      </c>
      <c r="AB19" s="25">
        <v>-20.957083333333333</v>
      </c>
      <c r="AC19" s="25">
        <v>-20.782291666666673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>
        <v>0.34340972222222227</v>
      </c>
      <c r="AU19" s="25">
        <v>0.15910416666666671</v>
      </c>
      <c r="AV19" s="25">
        <v>0.29816666666666669</v>
      </c>
      <c r="AW19" s="25"/>
      <c r="AX19" s="25"/>
      <c r="AY19" s="25"/>
      <c r="AZ19" s="25"/>
      <c r="BA19" s="25"/>
      <c r="BB19" s="25"/>
      <c r="BC19" s="25"/>
      <c r="BD19" s="25"/>
      <c r="BE19" s="25"/>
    </row>
    <row r="20" spans="1:57" x14ac:dyDescent="0.25">
      <c r="A20" s="1">
        <v>21.6</v>
      </c>
      <c r="B20" s="1">
        <v>16.3</v>
      </c>
      <c r="C20" s="22"/>
      <c r="D20" s="23">
        <v>43727</v>
      </c>
      <c r="E20" s="24">
        <v>57.5</v>
      </c>
      <c r="F20" s="24">
        <v>90.995833333333337</v>
      </c>
      <c r="G20" s="24">
        <v>18.152083333333344</v>
      </c>
      <c r="H20" s="24">
        <v>1.4</v>
      </c>
      <c r="I20" s="24">
        <v>119.0625</v>
      </c>
      <c r="J20" s="24">
        <v>1.875</v>
      </c>
      <c r="K20" s="24">
        <v>2.0833333333333332E-2</v>
      </c>
      <c r="L20" s="24">
        <v>16.622916666666669</v>
      </c>
      <c r="M20" s="10">
        <v>0.1995172620719329</v>
      </c>
      <c r="N20" s="25">
        <v>0.32833333333333325</v>
      </c>
      <c r="O20" s="25">
        <v>0.4677291666666667</v>
      </c>
      <c r="P20" s="25">
        <v>0.53431250000000019</v>
      </c>
      <c r="Q20" s="25">
        <v>0.56802083333333309</v>
      </c>
      <c r="R20" s="25">
        <v>0.52270833333333333</v>
      </c>
      <c r="S20" s="25">
        <v>0.42052083333333329</v>
      </c>
      <c r="T20" s="25">
        <v>0.43112499999999976</v>
      </c>
      <c r="U20" s="25">
        <v>0.38439583333333305</v>
      </c>
      <c r="V20" s="25">
        <v>-55.058749999999996</v>
      </c>
      <c r="W20" s="25">
        <v>-59.834166666666675</v>
      </c>
      <c r="X20" s="25">
        <v>-22.301666666666666</v>
      </c>
      <c r="Y20" s="25">
        <v>-21.064375000000002</v>
      </c>
      <c r="Z20" s="25">
        <v>-33.070000000000007</v>
      </c>
      <c r="AA20" s="25">
        <v>-26.778125000000006</v>
      </c>
      <c r="AB20" s="25">
        <v>-22.82416666666667</v>
      </c>
      <c r="AC20" s="25">
        <v>-23.639999999999997</v>
      </c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>
        <v>0.33535416666666701</v>
      </c>
      <c r="AU20" s="25">
        <v>0.16098611111111105</v>
      </c>
      <c r="AV20" s="25">
        <v>0.29142361111111115</v>
      </c>
      <c r="AW20" s="25"/>
      <c r="AX20" s="25"/>
      <c r="AY20" s="25"/>
      <c r="AZ20" s="25"/>
      <c r="BA20" s="25"/>
      <c r="BB20" s="25"/>
      <c r="BC20" s="25"/>
      <c r="BD20" s="25"/>
      <c r="BE20" s="25"/>
    </row>
    <row r="21" spans="1:57" x14ac:dyDescent="0.25">
      <c r="A21" s="1">
        <v>19.399999999999999</v>
      </c>
      <c r="B21" s="1">
        <v>14.7</v>
      </c>
      <c r="C21" s="22"/>
      <c r="D21" s="23">
        <v>43728</v>
      </c>
      <c r="E21" s="24">
        <v>85.75</v>
      </c>
      <c r="F21" s="24">
        <v>80.874999999999986</v>
      </c>
      <c r="G21" s="24">
        <v>16.810416666666669</v>
      </c>
      <c r="H21" s="24">
        <v>0.2</v>
      </c>
      <c r="I21" s="24">
        <v>221.91666666666666</v>
      </c>
      <c r="J21" s="24">
        <v>5.645833333333333</v>
      </c>
      <c r="K21" s="24">
        <v>0</v>
      </c>
      <c r="L21" s="24">
        <v>13.431249999999999</v>
      </c>
      <c r="M21" s="10">
        <v>0.37091707540141688</v>
      </c>
      <c r="N21" s="25">
        <v>0.3199583333333334</v>
      </c>
      <c r="O21" s="25">
        <v>0.45935416666666656</v>
      </c>
      <c r="P21" s="25">
        <v>0.52818749999999992</v>
      </c>
      <c r="Q21" s="25">
        <v>0.56306249999999991</v>
      </c>
      <c r="R21" s="25">
        <v>0.51564583333333369</v>
      </c>
      <c r="S21" s="25">
        <v>0.41556250000000006</v>
      </c>
      <c r="T21" s="25">
        <v>0.42677083333333315</v>
      </c>
      <c r="U21" s="25">
        <v>0.38014583333333324</v>
      </c>
      <c r="V21" s="25">
        <v>-59.07166666666668</v>
      </c>
      <c r="W21" s="25">
        <v>-67.64937500000002</v>
      </c>
      <c r="X21" s="25">
        <v>-24.765000000000001</v>
      </c>
      <c r="Y21" s="25">
        <v>-22.909791666666667</v>
      </c>
      <c r="Z21" s="25">
        <v>-35.845208333333353</v>
      </c>
      <c r="AA21" s="25">
        <v>-28.387499999999999</v>
      </c>
      <c r="AB21" s="25">
        <v>-24.160833333333333</v>
      </c>
      <c r="AC21" s="25">
        <v>-25.490833333333338</v>
      </c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>
        <v>0.32881944444444455</v>
      </c>
      <c r="AU21" s="25">
        <v>0.15718055555555552</v>
      </c>
      <c r="AV21" s="25">
        <v>0.28765972222222219</v>
      </c>
      <c r="AW21" s="25"/>
      <c r="AX21" s="25"/>
      <c r="AY21" s="25"/>
      <c r="AZ21" s="25"/>
      <c r="BA21" s="25"/>
      <c r="BB21" s="25"/>
      <c r="BC21" s="25"/>
      <c r="BD21" s="25"/>
      <c r="BE21" s="25"/>
    </row>
    <row r="22" spans="1:57" x14ac:dyDescent="0.25">
      <c r="A22" s="1">
        <v>23.7</v>
      </c>
      <c r="B22" s="1">
        <v>14.1</v>
      </c>
      <c r="C22" s="22"/>
      <c r="D22" s="23">
        <v>43729</v>
      </c>
      <c r="E22" s="24">
        <v>158.72916666666666</v>
      </c>
      <c r="F22" s="24">
        <v>63.56458333333331</v>
      </c>
      <c r="G22" s="24">
        <v>17.377083333333335</v>
      </c>
      <c r="H22" s="24">
        <v>0</v>
      </c>
      <c r="I22" s="24">
        <v>226.85416666666666</v>
      </c>
      <c r="J22" s="24">
        <v>5.958333333333333</v>
      </c>
      <c r="K22" s="24">
        <v>6.25E-2</v>
      </c>
      <c r="L22" s="24">
        <v>10.141666666666667</v>
      </c>
      <c r="M22" s="10">
        <v>0.77102237544459762</v>
      </c>
      <c r="N22" s="25">
        <v>0.30506250000000007</v>
      </c>
      <c r="O22" s="25">
        <v>0.44341666666666674</v>
      </c>
      <c r="P22" s="25">
        <v>0.5152916666666667</v>
      </c>
      <c r="Q22" s="25">
        <v>0.55452083333333324</v>
      </c>
      <c r="R22" s="25">
        <v>0.50022916666666661</v>
      </c>
      <c r="S22" s="25">
        <v>0.40375000000000005</v>
      </c>
      <c r="T22" s="25">
        <v>0.41677083333333331</v>
      </c>
      <c r="U22" s="25">
        <v>0.37210416666666685</v>
      </c>
      <c r="V22" s="25">
        <v>-66.702083333333334</v>
      </c>
      <c r="W22" s="25">
        <v>-81.639166666666696</v>
      </c>
      <c r="X22" s="25">
        <v>-29.48083333333334</v>
      </c>
      <c r="Y22" s="25">
        <v>-25.988124999999993</v>
      </c>
      <c r="Z22" s="25">
        <v>-40.905625000000008</v>
      </c>
      <c r="AA22" s="25">
        <v>-33.271874999999987</v>
      </c>
      <c r="AB22" s="25">
        <v>-27.615208333333339</v>
      </c>
      <c r="AC22" s="25">
        <v>-29.129166666666663</v>
      </c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>
        <v>0.31510507246376812</v>
      </c>
      <c r="AU22" s="25">
        <v>0.14757638888888891</v>
      </c>
      <c r="AV22" s="25">
        <v>0.27804861111111118</v>
      </c>
      <c r="AW22" s="25"/>
      <c r="AX22" s="25"/>
      <c r="AY22" s="25"/>
      <c r="AZ22" s="25"/>
      <c r="BA22" s="25"/>
      <c r="BB22" s="25"/>
      <c r="BC22" s="25"/>
      <c r="BD22" s="25"/>
      <c r="BE22" s="25"/>
    </row>
    <row r="23" spans="1:57" x14ac:dyDescent="0.25">
      <c r="A23" s="1">
        <v>24.1</v>
      </c>
      <c r="B23" s="1">
        <v>11.6</v>
      </c>
      <c r="C23" s="22"/>
      <c r="D23" s="23">
        <v>43730</v>
      </c>
      <c r="E23" s="24">
        <v>176.29166666666666</v>
      </c>
      <c r="F23" s="24">
        <v>63.989583333333321</v>
      </c>
      <c r="G23" s="24">
        <v>17.012499999999992</v>
      </c>
      <c r="H23" s="24">
        <v>0</v>
      </c>
      <c r="I23" s="24">
        <v>184.58333333333334</v>
      </c>
      <c r="J23" s="24">
        <v>3.375</v>
      </c>
      <c r="K23" s="24">
        <v>6.25E-2</v>
      </c>
      <c r="L23" s="24">
        <v>9.8687500000000021</v>
      </c>
      <c r="M23" s="10">
        <v>0.76926874498538378</v>
      </c>
      <c r="N23" s="25">
        <v>0.2913541666666668</v>
      </c>
      <c r="O23" s="25">
        <v>0.42650000000000016</v>
      </c>
      <c r="P23" s="25">
        <v>0.50162499999999988</v>
      </c>
      <c r="Q23" s="25">
        <v>0.54337500000000005</v>
      </c>
      <c r="R23" s="25">
        <v>0.4852708333333336</v>
      </c>
      <c r="S23" s="25">
        <v>0.3887916666666667</v>
      </c>
      <c r="T23" s="25">
        <v>0.40362499999999985</v>
      </c>
      <c r="U23" s="25">
        <v>0.36208333333333348</v>
      </c>
      <c r="V23" s="25">
        <v>-72.490208333333356</v>
      </c>
      <c r="W23" s="25">
        <v>-96.920833333333334</v>
      </c>
      <c r="X23" s="25">
        <v>-35.971249999999998</v>
      </c>
      <c r="Y23" s="25">
        <v>-29.997291666666666</v>
      </c>
      <c r="Z23" s="25">
        <v>-46.632083333333327</v>
      </c>
      <c r="AA23" s="25">
        <v>-40.318333333333328</v>
      </c>
      <c r="AB23" s="25">
        <v>-33.28145833333334</v>
      </c>
      <c r="AC23" s="25">
        <v>-34.497083333333329</v>
      </c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>
        <v>0.29963888888888884</v>
      </c>
      <c r="AU23" s="25">
        <v>0.13909027777777785</v>
      </c>
      <c r="AV23" s="25">
        <v>0.26709722222222226</v>
      </c>
      <c r="AW23" s="25"/>
      <c r="AX23" s="25"/>
      <c r="AY23" s="25"/>
      <c r="AZ23" s="25"/>
      <c r="BA23" s="25"/>
      <c r="BB23" s="25"/>
      <c r="BC23" s="25"/>
      <c r="BD23" s="25"/>
      <c r="BE23" s="25"/>
    </row>
    <row r="24" spans="1:57" x14ac:dyDescent="0.25">
      <c r="A24" s="1">
        <v>25.8</v>
      </c>
      <c r="B24" s="1">
        <v>12.1</v>
      </c>
      <c r="C24" s="22"/>
      <c r="D24" s="23">
        <v>43731</v>
      </c>
      <c r="E24" s="24">
        <v>234.79166666666666</v>
      </c>
      <c r="F24" s="24">
        <v>59.095833333333331</v>
      </c>
      <c r="G24" s="24">
        <v>17.879166666666663</v>
      </c>
      <c r="H24" s="24">
        <v>0</v>
      </c>
      <c r="I24" s="24">
        <v>135.39583333333334</v>
      </c>
      <c r="J24" s="24">
        <v>3.5</v>
      </c>
      <c r="K24" s="24">
        <v>0.10416666666666667</v>
      </c>
      <c r="L24" s="24">
        <v>8.9187500000000011</v>
      </c>
      <c r="M24" s="10">
        <v>0.96526494631767956</v>
      </c>
      <c r="N24" s="25">
        <v>0.2812708333333333</v>
      </c>
      <c r="O24" s="25">
        <v>0.41024999999999984</v>
      </c>
      <c r="P24" s="25">
        <v>0.4899583333333335</v>
      </c>
      <c r="Q24" s="25">
        <v>0.53179166666666655</v>
      </c>
      <c r="R24" s="25">
        <v>0.47316666666666696</v>
      </c>
      <c r="S24" s="25">
        <v>0.37624999999999997</v>
      </c>
      <c r="T24" s="25">
        <v>0.39170833333333355</v>
      </c>
      <c r="U24" s="25">
        <v>0.35291666666666677</v>
      </c>
      <c r="V24" s="25">
        <v>-82.306041666666673</v>
      </c>
      <c r="W24" s="25">
        <v>-115.42916666666666</v>
      </c>
      <c r="X24" s="25">
        <v>-43.782708333333339</v>
      </c>
      <c r="Y24" s="25">
        <v>-35.616458333333341</v>
      </c>
      <c r="Z24" s="25">
        <v>-54.08958333333333</v>
      </c>
      <c r="AA24" s="25">
        <v>-49.095833333333331</v>
      </c>
      <c r="AB24" s="25">
        <v>-40.307708333333338</v>
      </c>
      <c r="AC24" s="25">
        <v>-41.512916666666669</v>
      </c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>
        <v>0.2803134920634921</v>
      </c>
      <c r="AU24" s="25">
        <v>0.13290277777777779</v>
      </c>
      <c r="AV24" s="25">
        <v>0.25847222222222216</v>
      </c>
      <c r="AW24" s="25"/>
      <c r="AX24" s="25"/>
      <c r="AY24" s="25"/>
      <c r="AZ24" s="25"/>
      <c r="BA24" s="25"/>
      <c r="BB24" s="25"/>
      <c r="BC24" s="25"/>
      <c r="BD24" s="25"/>
      <c r="BE24" s="25"/>
    </row>
    <row r="25" spans="1:57" x14ac:dyDescent="0.25">
      <c r="A25" s="1">
        <v>25.7</v>
      </c>
      <c r="B25" s="1">
        <v>12.1</v>
      </c>
      <c r="C25" s="22"/>
      <c r="D25" s="23">
        <v>43732</v>
      </c>
      <c r="E25" s="24">
        <v>215.625</v>
      </c>
      <c r="F25" s="24">
        <v>55.829166666666652</v>
      </c>
      <c r="G25" s="24">
        <v>17.902083333333337</v>
      </c>
      <c r="H25" s="24">
        <v>0</v>
      </c>
      <c r="I25" s="24">
        <v>149.45833333333334</v>
      </c>
      <c r="J25" s="24">
        <v>3.625</v>
      </c>
      <c r="K25" s="24">
        <v>6.25E-2</v>
      </c>
      <c r="L25" s="24">
        <v>8.4729166666666682</v>
      </c>
      <c r="M25" s="10">
        <v>1.0088886127981549</v>
      </c>
      <c r="N25" s="25">
        <v>0.27243749999999994</v>
      </c>
      <c r="O25" s="25">
        <v>0.39362499999999989</v>
      </c>
      <c r="P25" s="25">
        <v>0.47820833333333296</v>
      </c>
      <c r="Q25" s="25">
        <v>0.51895833333333352</v>
      </c>
      <c r="R25" s="25">
        <v>0.46189583333333312</v>
      </c>
      <c r="S25" s="25">
        <v>0.36435416666666676</v>
      </c>
      <c r="T25" s="25">
        <v>0.38066666666666671</v>
      </c>
      <c r="U25" s="25">
        <v>0.34318749999999998</v>
      </c>
      <c r="V25" s="25">
        <v>-92.710416666666632</v>
      </c>
      <c r="W25" s="25">
        <v>-131.91458333333333</v>
      </c>
      <c r="X25" s="25">
        <v>-51.024583333333332</v>
      </c>
      <c r="Y25" s="25">
        <v>-40.780624999999993</v>
      </c>
      <c r="Z25" s="25">
        <v>-60.319583333333348</v>
      </c>
      <c r="AA25" s="25">
        <v>-56.72520833333332</v>
      </c>
      <c r="AB25" s="25">
        <v>-46.563750000000006</v>
      </c>
      <c r="AC25" s="25">
        <v>-47.805208333333333</v>
      </c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>
        <v>0.25768217054263565</v>
      </c>
      <c r="AU25" s="25">
        <v>0.12647222222222218</v>
      </c>
      <c r="AV25" s="25">
        <v>0.25015277777777772</v>
      </c>
      <c r="AW25" s="25"/>
      <c r="AX25" s="25"/>
      <c r="AY25" s="25"/>
      <c r="AZ25" s="25"/>
      <c r="BA25" s="25"/>
      <c r="BB25" s="25"/>
      <c r="BC25" s="25"/>
      <c r="BD25" s="25"/>
      <c r="BE25" s="25"/>
    </row>
    <row r="26" spans="1:57" x14ac:dyDescent="0.25">
      <c r="A26" s="1">
        <v>20.8</v>
      </c>
      <c r="B26" s="1">
        <v>13.6</v>
      </c>
      <c r="C26" s="22"/>
      <c r="D26" s="23">
        <v>43733</v>
      </c>
      <c r="E26" s="24">
        <v>99.125</v>
      </c>
      <c r="F26" s="24">
        <v>74.489583333333329</v>
      </c>
      <c r="G26" s="24">
        <v>16.41041666666667</v>
      </c>
      <c r="H26" s="24">
        <v>0.2</v>
      </c>
      <c r="I26" s="24">
        <v>209.70833333333334</v>
      </c>
      <c r="J26" s="24">
        <v>1.8541666666666667</v>
      </c>
      <c r="K26" s="24">
        <v>0</v>
      </c>
      <c r="L26" s="24">
        <v>11.695833333333335</v>
      </c>
      <c r="M26" s="10">
        <v>0.50482454455497494</v>
      </c>
      <c r="N26" s="25">
        <v>0.26637500000000014</v>
      </c>
      <c r="O26" s="25">
        <v>0.37997916666666659</v>
      </c>
      <c r="P26" s="25">
        <v>0.46827083333333325</v>
      </c>
      <c r="Q26" s="25">
        <v>0.50756250000000014</v>
      </c>
      <c r="R26" s="25">
        <v>0.45422916666666696</v>
      </c>
      <c r="S26" s="25">
        <v>0.35608333333333325</v>
      </c>
      <c r="T26" s="25">
        <v>0.37231249999999982</v>
      </c>
      <c r="U26" s="25">
        <v>0.33522916666666686</v>
      </c>
      <c r="V26" s="25">
        <v>-102.85416666666669</v>
      </c>
      <c r="W26" s="25">
        <v>-141.66458333333335</v>
      </c>
      <c r="X26" s="25">
        <v>-57.141250000000014</v>
      </c>
      <c r="Y26" s="25">
        <v>-44.36979166666665</v>
      </c>
      <c r="Z26" s="25">
        <v>-63.962499999999977</v>
      </c>
      <c r="AA26" s="25">
        <v>-61.772500000000001</v>
      </c>
      <c r="AB26" s="25">
        <v>-50.841041666666655</v>
      </c>
      <c r="AC26" s="25">
        <v>-52.012708333333343</v>
      </c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>
        <v>0.23704347826086961</v>
      </c>
      <c r="AU26" s="25">
        <v>0.12169444444444444</v>
      </c>
      <c r="AV26" s="25">
        <v>0.24490277777777769</v>
      </c>
      <c r="AW26" s="25"/>
      <c r="AX26" s="25"/>
      <c r="AY26" s="25"/>
      <c r="AZ26" s="25"/>
      <c r="BA26" s="25"/>
      <c r="BB26" s="25"/>
      <c r="BC26" s="25"/>
      <c r="BD26" s="25"/>
      <c r="BE26" s="25"/>
    </row>
    <row r="27" spans="1:57" x14ac:dyDescent="0.25">
      <c r="A27" s="1">
        <v>25.2</v>
      </c>
      <c r="B27" s="1">
        <v>14.2</v>
      </c>
      <c r="C27" s="22"/>
      <c r="D27" s="23">
        <v>43734</v>
      </c>
      <c r="E27" s="24">
        <v>146.35416666666666</v>
      </c>
      <c r="F27" s="24">
        <v>75.202083333333334</v>
      </c>
      <c r="G27" s="24">
        <v>17.518749999999994</v>
      </c>
      <c r="H27" s="24">
        <v>0.2</v>
      </c>
      <c r="I27" s="24">
        <v>215.75</v>
      </c>
      <c r="J27" s="24">
        <v>3</v>
      </c>
      <c r="K27" s="24">
        <v>0.10416666666666667</v>
      </c>
      <c r="L27" s="24">
        <v>12.70833333333333</v>
      </c>
      <c r="M27" s="10">
        <v>0.57264237716381439</v>
      </c>
      <c r="N27" s="25">
        <v>0.26210416666666642</v>
      </c>
      <c r="O27" s="25">
        <v>0.36897916666666658</v>
      </c>
      <c r="P27" s="25">
        <v>0.46020833333333355</v>
      </c>
      <c r="Q27" s="25">
        <v>0.49799999999999994</v>
      </c>
      <c r="R27" s="25">
        <v>0.44933333333333336</v>
      </c>
      <c r="S27" s="25">
        <v>0.35052083333333345</v>
      </c>
      <c r="T27" s="25">
        <v>0.36689583333333342</v>
      </c>
      <c r="U27" s="25">
        <v>0.32947916666666682</v>
      </c>
      <c r="V27" s="25">
        <v>-120.59166666666664</v>
      </c>
      <c r="W27" s="25">
        <v>-167.59166666666667</v>
      </c>
      <c r="X27" s="25">
        <v>-66.168750000000003</v>
      </c>
      <c r="Y27" s="25">
        <v>-50.275416666666672</v>
      </c>
      <c r="Z27" s="25">
        <v>-73.810833333333321</v>
      </c>
      <c r="AA27" s="25">
        <v>-69.134999999999991</v>
      </c>
      <c r="AB27" s="25">
        <v>-57.050208333333337</v>
      </c>
      <c r="AC27" s="25">
        <v>-58.407291666666659</v>
      </c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>
        <v>0.22374074074074071</v>
      </c>
      <c r="AU27" s="25">
        <v>0.11978472222222229</v>
      </c>
      <c r="AV27" s="25">
        <v>0.24318055555555559</v>
      </c>
      <c r="AW27" s="25"/>
      <c r="AX27" s="25"/>
      <c r="AY27" s="25"/>
      <c r="AZ27" s="25"/>
      <c r="BA27" s="25"/>
      <c r="BB27" s="25"/>
      <c r="BC27" s="25"/>
      <c r="BD27" s="25"/>
      <c r="BE27" s="25"/>
    </row>
    <row r="28" spans="1:57" x14ac:dyDescent="0.25">
      <c r="A28" s="1">
        <v>25.8</v>
      </c>
      <c r="B28" s="1">
        <v>13.2</v>
      </c>
      <c r="C28" s="22"/>
      <c r="D28" s="23">
        <v>43735</v>
      </c>
      <c r="E28" s="24">
        <v>189.4375</v>
      </c>
      <c r="F28" s="24">
        <v>70.277083333333337</v>
      </c>
      <c r="G28" s="24">
        <v>18.497916666666661</v>
      </c>
      <c r="H28" s="24">
        <v>0</v>
      </c>
      <c r="I28" s="24">
        <v>154.9375</v>
      </c>
      <c r="J28" s="24">
        <v>2.8333333333333335</v>
      </c>
      <c r="K28" s="24">
        <v>4.1666666666666664E-2</v>
      </c>
      <c r="L28" s="24">
        <v>12.406250000000002</v>
      </c>
      <c r="M28" s="10">
        <v>0.7514161818546925</v>
      </c>
      <c r="N28" s="25">
        <v>0.25879166666666636</v>
      </c>
      <c r="O28" s="25">
        <v>0.36010416666666661</v>
      </c>
      <c r="P28" s="25">
        <v>0.45318749999999991</v>
      </c>
      <c r="Q28" s="25">
        <v>0.48779166666666701</v>
      </c>
      <c r="R28" s="25">
        <v>0.44477083333333362</v>
      </c>
      <c r="S28" s="25">
        <v>0.34527083333333336</v>
      </c>
      <c r="T28" s="25">
        <v>0.36102083333333335</v>
      </c>
      <c r="U28" s="25">
        <v>0.32335416666666672</v>
      </c>
      <c r="V28" s="25">
        <v>-140.29375000000002</v>
      </c>
      <c r="W28" s="25">
        <v>-194.14999999999998</v>
      </c>
      <c r="X28" s="25">
        <v>-75.689374999999984</v>
      </c>
      <c r="Y28" s="25">
        <v>-55.227083333333347</v>
      </c>
      <c r="Z28" s="25">
        <v>-84.578750000000014</v>
      </c>
      <c r="AA28" s="25">
        <v>-76.567291666666691</v>
      </c>
      <c r="AB28" s="25">
        <v>-61.37937500000001</v>
      </c>
      <c r="AC28" s="25">
        <v>-63.693333333333328</v>
      </c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>
        <v>0.21190873015873007</v>
      </c>
      <c r="AU28" s="25">
        <v>0.11728472222222219</v>
      </c>
      <c r="AV28" s="25">
        <v>0.24097916666666683</v>
      </c>
      <c r="AW28" s="25"/>
      <c r="AX28" s="25"/>
      <c r="AY28" s="25"/>
      <c r="AZ28" s="25"/>
      <c r="BA28" s="25"/>
      <c r="BB28" s="25"/>
      <c r="BC28" s="25"/>
      <c r="BD28" s="25"/>
      <c r="BE28" s="25"/>
    </row>
    <row r="29" spans="1:57" x14ac:dyDescent="0.25">
      <c r="A29" s="1">
        <v>27.9</v>
      </c>
      <c r="B29" s="1">
        <v>11.8</v>
      </c>
      <c r="C29" s="22"/>
      <c r="D29" s="23">
        <v>43736</v>
      </c>
      <c r="E29" s="24">
        <v>237.97916666666666</v>
      </c>
      <c r="F29" s="24">
        <v>62.831250000000011</v>
      </c>
      <c r="G29" s="24">
        <v>19.14791666666666</v>
      </c>
      <c r="H29" s="24">
        <v>0</v>
      </c>
      <c r="I29" s="24">
        <v>127.29166666666667</v>
      </c>
      <c r="J29" s="24">
        <v>4.166666666666667</v>
      </c>
      <c r="K29" s="24">
        <v>0.16666666666666666</v>
      </c>
      <c r="L29" s="24">
        <v>11.035416666666665</v>
      </c>
      <c r="M29" s="10">
        <v>1.0047445943660289</v>
      </c>
      <c r="N29" s="25">
        <v>0.25504166666666656</v>
      </c>
      <c r="O29" s="25">
        <v>0.35235416666666669</v>
      </c>
      <c r="P29" s="25">
        <v>0.44533333333333319</v>
      </c>
      <c r="Q29" s="25">
        <v>0.47745833333333326</v>
      </c>
      <c r="R29" s="25">
        <v>0.4389375000000002</v>
      </c>
      <c r="S29" s="25">
        <v>0.33977083333333319</v>
      </c>
      <c r="T29" s="25">
        <v>0.35447916666666668</v>
      </c>
      <c r="U29" s="25">
        <v>0.31691666666666674</v>
      </c>
      <c r="V29" s="25">
        <v>-164.66666666666663</v>
      </c>
      <c r="W29" s="25">
        <v>-223.31874999999991</v>
      </c>
      <c r="X29" s="25">
        <v>-86.201041666666654</v>
      </c>
      <c r="Y29" s="25">
        <v>-58.803958333333334</v>
      </c>
      <c r="Z29" s="25">
        <v>-97.860416666666708</v>
      </c>
      <c r="AA29" s="25">
        <v>-85.247916666666669</v>
      </c>
      <c r="AB29" s="25">
        <v>-65.623958333333334</v>
      </c>
      <c r="AC29" s="25">
        <v>-68.59708333333333</v>
      </c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>
        <v>0.20055434782608689</v>
      </c>
      <c r="AU29" s="25">
        <v>0.11454166666666672</v>
      </c>
      <c r="AV29" s="25">
        <v>0.23824305555555556</v>
      </c>
      <c r="AW29" s="25"/>
      <c r="AX29" s="25"/>
      <c r="AY29" s="25"/>
      <c r="AZ29" s="25"/>
      <c r="BA29" s="25"/>
      <c r="BB29" s="25"/>
      <c r="BC29" s="25"/>
      <c r="BD29" s="25"/>
      <c r="BE29" s="25"/>
    </row>
    <row r="30" spans="1:57" x14ac:dyDescent="0.25">
      <c r="A30" s="1">
        <v>28.6</v>
      </c>
      <c r="B30" s="1">
        <v>12.6</v>
      </c>
      <c r="C30" s="22"/>
      <c r="D30" s="23">
        <v>43737</v>
      </c>
      <c r="E30" s="24">
        <v>242.375</v>
      </c>
      <c r="F30" s="24">
        <v>60.160416666666656</v>
      </c>
      <c r="G30" s="24">
        <v>19.920833333333331</v>
      </c>
      <c r="H30" s="24">
        <v>0</v>
      </c>
      <c r="I30" s="24">
        <v>149.85416666666666</v>
      </c>
      <c r="J30" s="24">
        <v>4.6875</v>
      </c>
      <c r="K30" s="24">
        <v>0.33333333333333331</v>
      </c>
      <c r="L30" s="24">
        <v>11.212500000000004</v>
      </c>
      <c r="M30" s="10">
        <v>1.0988046699013785</v>
      </c>
      <c r="N30" s="25">
        <v>0.25162499999999988</v>
      </c>
      <c r="O30" s="25">
        <v>0.34520833333333334</v>
      </c>
      <c r="P30" s="25">
        <v>0.43697916666666686</v>
      </c>
      <c r="Q30" s="25">
        <v>0.46599999999999991</v>
      </c>
      <c r="R30" s="25">
        <v>0.43381249999999971</v>
      </c>
      <c r="S30" s="25">
        <v>0.33433333333333359</v>
      </c>
      <c r="T30" s="25">
        <v>0.34756250000000005</v>
      </c>
      <c r="U30" s="25">
        <v>0.3101875</v>
      </c>
      <c r="V30" s="25">
        <v>-194.93125000000006</v>
      </c>
      <c r="W30" s="25">
        <v>-259.41250000000008</v>
      </c>
      <c r="X30" s="25">
        <v>-99.75416666666662</v>
      </c>
      <c r="Y30" s="25">
        <v>-63.886666666666656</v>
      </c>
      <c r="Z30" s="25">
        <v>-116.22708333333334</v>
      </c>
      <c r="AA30" s="25">
        <v>-96.552083333333314</v>
      </c>
      <c r="AB30" s="25">
        <v>-72.137083333333365</v>
      </c>
      <c r="AC30" s="25">
        <v>-73.873958333333363</v>
      </c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>
        <v>0.19010370370370372</v>
      </c>
      <c r="AU30" s="25">
        <v>0.11177083333333339</v>
      </c>
      <c r="AV30" s="25">
        <v>0.235048611111111</v>
      </c>
      <c r="AW30" s="25"/>
      <c r="AX30" s="25"/>
      <c r="AY30" s="25"/>
      <c r="AZ30" s="25"/>
      <c r="BA30" s="25"/>
      <c r="BB30" s="25"/>
      <c r="BC30" s="25"/>
      <c r="BD30" s="25"/>
      <c r="BE30" s="25"/>
    </row>
    <row r="31" spans="1:57" x14ac:dyDescent="0.25">
      <c r="A31" s="1">
        <v>27.1</v>
      </c>
      <c r="B31" s="1">
        <v>15.5</v>
      </c>
      <c r="C31" s="22"/>
      <c r="D31" s="23">
        <v>43738</v>
      </c>
      <c r="E31" s="24">
        <v>184.72916666666666</v>
      </c>
      <c r="F31" s="24">
        <v>61.862499999999983</v>
      </c>
      <c r="G31" s="24">
        <v>20.799999999999994</v>
      </c>
      <c r="H31" s="24">
        <v>0</v>
      </c>
      <c r="I31" s="24">
        <v>133.20833333333334</v>
      </c>
      <c r="J31" s="24">
        <v>7.041666666666667</v>
      </c>
      <c r="K31" s="24">
        <v>0.5625</v>
      </c>
      <c r="L31" s="24">
        <v>12.94791666666667</v>
      </c>
      <c r="M31" s="10">
        <v>1.0107989586155188</v>
      </c>
      <c r="N31" s="25">
        <v>0.24877083333333314</v>
      </c>
      <c r="O31" s="25">
        <v>0.33920833333333333</v>
      </c>
      <c r="P31" s="25">
        <v>0.43056250000000013</v>
      </c>
      <c r="Q31" s="25">
        <v>0.45483333333333337</v>
      </c>
      <c r="R31" s="25">
        <v>0.43018749999999978</v>
      </c>
      <c r="S31" s="25">
        <v>0.3305416666666669</v>
      </c>
      <c r="T31" s="25">
        <v>0.34170833333333328</v>
      </c>
      <c r="U31" s="25">
        <v>0.30370833333333336</v>
      </c>
      <c r="V31" s="25">
        <v>-227.53958333333333</v>
      </c>
      <c r="W31" s="25">
        <v>-299.35208333333338</v>
      </c>
      <c r="X31" s="25">
        <v>-115.42083333333333</v>
      </c>
      <c r="Y31" s="25">
        <v>-70.102708333333325</v>
      </c>
      <c r="Z31" s="25">
        <v>-139.47708333333327</v>
      </c>
      <c r="AA31" s="25">
        <v>-109.29583333333335</v>
      </c>
      <c r="AB31" s="25">
        <v>-79.362499999999997</v>
      </c>
      <c r="AC31" s="25">
        <v>-78.662916666666675</v>
      </c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>
        <v>0.18259782608695649</v>
      </c>
      <c r="AU31" s="25">
        <v>0.10891666666666661</v>
      </c>
      <c r="AV31" s="25">
        <v>0.23222222222222219</v>
      </c>
      <c r="AW31" s="25"/>
      <c r="AX31" s="25"/>
      <c r="AY31" s="25"/>
      <c r="AZ31" s="25"/>
      <c r="BA31" s="25"/>
      <c r="BB31" s="25"/>
      <c r="BC31" s="25"/>
      <c r="BD31" s="25"/>
      <c r="BE31" s="25"/>
    </row>
    <row r="32" spans="1:57" x14ac:dyDescent="0.25">
      <c r="A32" s="1">
        <v>27.5</v>
      </c>
      <c r="B32" s="1">
        <v>18.2</v>
      </c>
      <c r="C32" s="22"/>
      <c r="D32" s="23">
        <v>43739</v>
      </c>
      <c r="E32" s="24">
        <v>187.29166666666666</v>
      </c>
      <c r="F32" s="24">
        <v>63.193750000000001</v>
      </c>
      <c r="G32" s="24">
        <v>21.889583333333334</v>
      </c>
      <c r="H32" s="24">
        <v>0</v>
      </c>
      <c r="I32" s="24">
        <v>139.70833333333334</v>
      </c>
      <c r="J32" s="24">
        <v>11.395833333333334</v>
      </c>
      <c r="K32" s="24">
        <v>1.9166666666666667</v>
      </c>
      <c r="L32" s="24">
        <v>14.460416666666662</v>
      </c>
      <c r="M32" s="10">
        <v>1.0059413324838318</v>
      </c>
      <c r="N32" s="25">
        <v>0.24647916666666689</v>
      </c>
      <c r="O32" s="25">
        <v>0.33320833333333327</v>
      </c>
      <c r="P32" s="25">
        <v>0.42516666666666625</v>
      </c>
      <c r="Q32" s="25">
        <v>0.44439583333333349</v>
      </c>
      <c r="R32" s="25">
        <v>0.42720833333333325</v>
      </c>
      <c r="S32" s="25">
        <v>0.3277500000000001</v>
      </c>
      <c r="T32" s="25">
        <v>0.33660416666666687</v>
      </c>
      <c r="U32" s="25">
        <v>0.29862499999999997</v>
      </c>
      <c r="V32" s="25">
        <v>-255.72500000000005</v>
      </c>
      <c r="W32" s="25">
        <v>-315.17291666666665</v>
      </c>
      <c r="X32" s="25">
        <v>-135.83124999999998</v>
      </c>
      <c r="Y32" s="25">
        <v>-77.105833333333308</v>
      </c>
      <c r="Z32" s="25">
        <v>-168.26250000000005</v>
      </c>
      <c r="AA32" s="25">
        <v>-125.14791666666667</v>
      </c>
      <c r="AB32" s="25">
        <v>-87.496875000000003</v>
      </c>
      <c r="AC32" s="25">
        <v>-84.448958333333323</v>
      </c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>
        <v>0.17684420289855063</v>
      </c>
      <c r="AU32" s="25">
        <v>0.10688194444444447</v>
      </c>
      <c r="AV32" s="25">
        <v>0.23017361111111112</v>
      </c>
      <c r="AW32" s="25"/>
      <c r="AX32" s="25"/>
      <c r="AY32" s="25"/>
      <c r="AZ32" s="25"/>
      <c r="BA32" s="25"/>
      <c r="BB32" s="25"/>
      <c r="BC32" s="25"/>
      <c r="BD32" s="25"/>
      <c r="BE32" s="25"/>
    </row>
    <row r="33" spans="1:57" x14ac:dyDescent="0.25">
      <c r="A33" s="1">
        <v>28.6</v>
      </c>
      <c r="B33" s="1">
        <v>17.399999999999999</v>
      </c>
      <c r="C33" s="22"/>
      <c r="D33" s="23">
        <v>43740</v>
      </c>
      <c r="E33" s="24">
        <v>172.60416666666666</v>
      </c>
      <c r="F33" s="24">
        <v>73.185416666666654</v>
      </c>
      <c r="G33" s="24">
        <v>21.708333333333332</v>
      </c>
      <c r="H33" s="24">
        <v>4.2</v>
      </c>
      <c r="I33" s="24">
        <v>131.625</v>
      </c>
      <c r="J33" s="24">
        <v>8.6666666666666661</v>
      </c>
      <c r="K33" s="24">
        <v>1.2291666666666667</v>
      </c>
      <c r="L33" s="24">
        <v>16.418750000000003</v>
      </c>
      <c r="M33" s="10">
        <v>0.77859383471472887</v>
      </c>
      <c r="N33" s="25">
        <v>0.24499999999999977</v>
      </c>
      <c r="O33" s="25">
        <v>0.32895833333333319</v>
      </c>
      <c r="P33" s="25">
        <v>0.42164583333333355</v>
      </c>
      <c r="Q33" s="25">
        <v>0.43660416666666674</v>
      </c>
      <c r="R33" s="25">
        <v>0.4265416666666666</v>
      </c>
      <c r="S33" s="25">
        <v>0.32914583333333325</v>
      </c>
      <c r="T33" s="25">
        <v>0.33331250000000007</v>
      </c>
      <c r="U33" s="25">
        <v>0.29481249999999992</v>
      </c>
      <c r="V33" s="25">
        <v>-269.88125000000008</v>
      </c>
      <c r="W33" s="25">
        <v>-242.67291666666674</v>
      </c>
      <c r="X33" s="25">
        <v>-157.48333333333335</v>
      </c>
      <c r="Y33" s="25">
        <v>-82.585833333333298</v>
      </c>
      <c r="Z33" s="25">
        <v>-190.2916666666666</v>
      </c>
      <c r="AA33" s="25">
        <v>-140.29166666666666</v>
      </c>
      <c r="AB33" s="25">
        <v>-94.018750000000011</v>
      </c>
      <c r="AC33" s="25">
        <v>-88.165833333333353</v>
      </c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>
        <v>0.17777777777777773</v>
      </c>
      <c r="AU33" s="25">
        <v>0.11659027777777776</v>
      </c>
      <c r="AV33" s="25">
        <v>0.23370138888888881</v>
      </c>
      <c r="AW33" s="25"/>
      <c r="AX33" s="25"/>
      <c r="AY33" s="25"/>
      <c r="AZ33" s="25"/>
      <c r="BA33" s="25"/>
      <c r="BB33" s="25"/>
      <c r="BC33" s="25"/>
      <c r="BD33" s="25"/>
      <c r="BE33" s="25"/>
    </row>
    <row r="34" spans="1:57" x14ac:dyDescent="0.25">
      <c r="A34" s="1">
        <v>26.5</v>
      </c>
      <c r="B34" s="1">
        <v>18.899999999999999</v>
      </c>
      <c r="C34" s="22"/>
      <c r="D34" s="23">
        <v>43741</v>
      </c>
      <c r="E34" s="24">
        <v>136.45833333333334</v>
      </c>
      <c r="F34" s="24">
        <v>79.19374999999998</v>
      </c>
      <c r="G34" s="24">
        <v>21.474999999999998</v>
      </c>
      <c r="H34" s="24">
        <v>0.5</v>
      </c>
      <c r="I34" s="24">
        <v>120.77083333333333</v>
      </c>
      <c r="J34" s="24">
        <v>13.916666666666666</v>
      </c>
      <c r="K34" s="24">
        <v>3.5208333333333335</v>
      </c>
      <c r="L34" s="24">
        <v>17.612500000000001</v>
      </c>
      <c r="M34" s="10">
        <v>0.56484445487089141</v>
      </c>
      <c r="N34" s="25">
        <v>0.24395833333333319</v>
      </c>
      <c r="O34" s="25">
        <v>0.32545833333333313</v>
      </c>
      <c r="P34" s="25">
        <v>0.41970833333333341</v>
      </c>
      <c r="Q34" s="25">
        <v>0.43066666666666675</v>
      </c>
      <c r="R34" s="25">
        <v>0.42637499999999995</v>
      </c>
      <c r="S34" s="25">
        <v>0.32714583333333352</v>
      </c>
      <c r="T34" s="25">
        <v>0.330166666666667</v>
      </c>
      <c r="U34" s="25">
        <v>0.29183333333333317</v>
      </c>
      <c r="V34" s="25">
        <v>-280.00000000000006</v>
      </c>
      <c r="W34" s="25">
        <v>-123.62972222222223</v>
      </c>
      <c r="X34" s="25">
        <v>-186.99583333333331</v>
      </c>
      <c r="Y34" s="25">
        <v>-90.879166666666677</v>
      </c>
      <c r="Z34" s="25">
        <v>-206.2166666666667</v>
      </c>
      <c r="AA34" s="25">
        <v>-160.39791666666665</v>
      </c>
      <c r="AB34" s="25">
        <v>-103.11875000000003</v>
      </c>
      <c r="AC34" s="25">
        <v>-93.458333333333329</v>
      </c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>
        <v>0.17453260869565215</v>
      </c>
      <c r="AU34" s="25">
        <v>0.11163194444444448</v>
      </c>
      <c r="AV34" s="25">
        <v>0.23290277777777782</v>
      </c>
      <c r="AW34" s="25"/>
      <c r="AX34" s="25"/>
      <c r="AY34" s="25"/>
      <c r="AZ34" s="25"/>
      <c r="BA34" s="25"/>
      <c r="BB34" s="25"/>
      <c r="BC34" s="25"/>
      <c r="BD34" s="25"/>
      <c r="BE34" s="25"/>
    </row>
    <row r="35" spans="1:57" x14ac:dyDescent="0.25">
      <c r="A35" s="1">
        <v>26.8</v>
      </c>
      <c r="B35" s="1">
        <v>17.2</v>
      </c>
      <c r="C35" s="22"/>
      <c r="D35" s="23">
        <v>43742</v>
      </c>
      <c r="E35" s="24">
        <v>155.625</v>
      </c>
      <c r="F35" s="24">
        <v>78.966666666666669</v>
      </c>
      <c r="G35" s="24">
        <v>21.206249999999997</v>
      </c>
      <c r="H35" s="24">
        <v>1.7</v>
      </c>
      <c r="I35" s="24">
        <v>129.08333333333334</v>
      </c>
      <c r="J35" s="24">
        <v>9.9791666666666661</v>
      </c>
      <c r="K35" s="24">
        <v>2.0416666666666665</v>
      </c>
      <c r="L35" s="24">
        <v>17.268750000000001</v>
      </c>
      <c r="M35" s="10">
        <v>0.57311159791718536</v>
      </c>
      <c r="N35" s="25">
        <v>0.24308333333333346</v>
      </c>
      <c r="O35" s="25">
        <v>0.3232291666666664</v>
      </c>
      <c r="P35" s="25">
        <v>0.41812499999999991</v>
      </c>
      <c r="Q35" s="25">
        <v>0.42583333333333301</v>
      </c>
      <c r="R35" s="25">
        <v>0.42570833333333319</v>
      </c>
      <c r="S35" s="25">
        <v>0.32562499999999966</v>
      </c>
      <c r="T35" s="25">
        <v>0.32760416666666681</v>
      </c>
      <c r="U35" s="25">
        <v>0.28931250000000003</v>
      </c>
      <c r="V35" s="25">
        <v>-284.46458333333322</v>
      </c>
      <c r="W35" s="25">
        <v>-25.613</v>
      </c>
      <c r="X35" s="25">
        <v>-215.32291666666674</v>
      </c>
      <c r="Y35" s="25">
        <v>-100.19375000000001</v>
      </c>
      <c r="Z35" s="25">
        <v>-215.53958333333333</v>
      </c>
      <c r="AA35" s="25">
        <v>-181.03958333333335</v>
      </c>
      <c r="AB35" s="25">
        <v>-113.11250000000003</v>
      </c>
      <c r="AC35" s="25">
        <v>-98.445833333333312</v>
      </c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>
        <v>0.17269629629629629</v>
      </c>
      <c r="AU35" s="25">
        <v>0.10975694444444445</v>
      </c>
      <c r="AV35" s="25">
        <v>0.23223611111111106</v>
      </c>
      <c r="AW35" s="25"/>
      <c r="AX35" s="25"/>
      <c r="AY35" s="25"/>
      <c r="AZ35" s="25"/>
      <c r="BA35" s="25"/>
      <c r="BB35" s="25"/>
      <c r="BC35" s="25"/>
      <c r="BD35" s="25"/>
      <c r="BE35" s="25"/>
    </row>
    <row r="36" spans="1:57" x14ac:dyDescent="0.25">
      <c r="A36" s="1">
        <v>25.4</v>
      </c>
      <c r="B36" s="1">
        <v>16.3</v>
      </c>
      <c r="C36" s="22"/>
      <c r="D36" s="23">
        <v>43743</v>
      </c>
      <c r="E36" s="24">
        <v>113.70833333333333</v>
      </c>
      <c r="F36" s="24">
        <v>84.887500000000017</v>
      </c>
      <c r="G36" s="24">
        <v>19.425000000000001</v>
      </c>
      <c r="H36" s="24">
        <v>39.100000000000016</v>
      </c>
      <c r="I36" s="24">
        <v>139.875</v>
      </c>
      <c r="J36" s="24">
        <v>3.8958333333333335</v>
      </c>
      <c r="K36" s="24">
        <v>0.375</v>
      </c>
      <c r="L36" s="24">
        <v>16.681250000000002</v>
      </c>
      <c r="M36" s="10">
        <v>0.38017897771856551</v>
      </c>
      <c r="N36" s="25">
        <v>0.35985416666666675</v>
      </c>
      <c r="O36" s="25">
        <v>0.34185416666666663</v>
      </c>
      <c r="P36" s="25">
        <v>0.42264583333333311</v>
      </c>
      <c r="Q36" s="25">
        <v>0.42739583333333342</v>
      </c>
      <c r="R36" s="25">
        <v>0.4695625000000001</v>
      </c>
      <c r="S36" s="25">
        <v>0.40879166666666672</v>
      </c>
      <c r="T36" s="25">
        <v>0.33585416666666673</v>
      </c>
      <c r="U36" s="25">
        <v>0.28872916666666654</v>
      </c>
      <c r="V36" s="25">
        <v>-272.35416666666669</v>
      </c>
      <c r="W36" s="25">
        <v>-103.90391666666666</v>
      </c>
      <c r="X36" s="25">
        <v>-216.24791666666667</v>
      </c>
      <c r="Y36" s="25">
        <v>-47.781875000000007</v>
      </c>
      <c r="Z36" s="25">
        <v>-37.343333333333334</v>
      </c>
      <c r="AA36" s="25">
        <v>-188.11249999999998</v>
      </c>
      <c r="AB36" s="25">
        <v>-120.79791666666667</v>
      </c>
      <c r="AC36" s="25">
        <v>-100.32291666666667</v>
      </c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>
        <v>0.33419858156028365</v>
      </c>
      <c r="AU36" s="25">
        <v>0.23367361111111115</v>
      </c>
      <c r="AV36" s="25">
        <v>0.42076388888888877</v>
      </c>
      <c r="AW36" s="25"/>
      <c r="AX36" s="25"/>
      <c r="AY36" s="25"/>
      <c r="AZ36" s="25"/>
      <c r="BA36" s="25"/>
      <c r="BB36" s="25"/>
      <c r="BC36" s="25"/>
      <c r="BD36" s="25"/>
      <c r="BE36" s="25"/>
    </row>
    <row r="37" spans="1:57" x14ac:dyDescent="0.25">
      <c r="A37" s="1">
        <v>27.2</v>
      </c>
      <c r="B37" s="1">
        <v>18.3</v>
      </c>
      <c r="C37" s="22"/>
      <c r="D37" s="23">
        <v>43744</v>
      </c>
      <c r="E37" s="24">
        <v>199.47916666666666</v>
      </c>
      <c r="F37" s="24">
        <v>75.691666666666663</v>
      </c>
      <c r="G37" s="24">
        <v>21.327083333333331</v>
      </c>
      <c r="H37" s="24">
        <v>0</v>
      </c>
      <c r="I37" s="24">
        <v>143.54166666666666</v>
      </c>
      <c r="J37" s="24">
        <v>10.1875</v>
      </c>
      <c r="K37" s="24">
        <v>1.3541666666666667</v>
      </c>
      <c r="L37" s="24">
        <v>16.572916666666675</v>
      </c>
      <c r="M37" s="10">
        <v>0.68912256674568229</v>
      </c>
      <c r="N37" s="25">
        <v>0.34085416666666668</v>
      </c>
      <c r="O37" s="25">
        <v>0.34629166666666672</v>
      </c>
      <c r="P37" s="25">
        <v>0.42868750000000005</v>
      </c>
      <c r="Q37" s="25">
        <v>0.43179166666666657</v>
      </c>
      <c r="R37" s="25">
        <v>0.47931250000000031</v>
      </c>
      <c r="S37" s="25">
        <v>0.40239583333333312</v>
      </c>
      <c r="T37" s="25">
        <v>0.34331250000000008</v>
      </c>
      <c r="U37" s="25">
        <v>0.28933333333333305</v>
      </c>
      <c r="V37" s="25">
        <v>-238.63749999999993</v>
      </c>
      <c r="W37" s="25">
        <v>-243.16666666666666</v>
      </c>
      <c r="X37" s="25">
        <v>-182.01875000000004</v>
      </c>
      <c r="Y37" s="25">
        <v>-35.157708333333339</v>
      </c>
      <c r="Z37" s="25">
        <v>-12.879791666666668</v>
      </c>
      <c r="AA37" s="25">
        <v>-176.5083333333333</v>
      </c>
      <c r="AB37" s="25">
        <v>-135.79375000000002</v>
      </c>
      <c r="AC37" s="25">
        <v>-110.68541666666665</v>
      </c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>
        <v>0.3655193798449613</v>
      </c>
      <c r="AU37" s="25">
        <v>0.21178472222222225</v>
      </c>
      <c r="AV37" s="25">
        <v>0.40127777777777779</v>
      </c>
      <c r="AW37" s="25"/>
      <c r="AX37" s="25"/>
      <c r="AY37" s="25"/>
      <c r="AZ37" s="25"/>
      <c r="BA37" s="25"/>
      <c r="BB37" s="25"/>
      <c r="BC37" s="25"/>
      <c r="BD37" s="25"/>
      <c r="BE37" s="25"/>
    </row>
    <row r="38" spans="1:57" x14ac:dyDescent="0.25">
      <c r="A38" s="1">
        <v>27.3</v>
      </c>
      <c r="B38" s="1">
        <v>17.8</v>
      </c>
      <c r="C38" s="22"/>
      <c r="D38" s="23">
        <v>43745</v>
      </c>
      <c r="E38" s="24">
        <v>232.0625</v>
      </c>
      <c r="F38" s="24">
        <v>67.52291666666666</v>
      </c>
      <c r="G38" s="24">
        <v>21.656250000000004</v>
      </c>
      <c r="H38" s="24">
        <v>0</v>
      </c>
      <c r="I38" s="24">
        <v>139.20833333333334</v>
      </c>
      <c r="J38" s="24">
        <v>8.125</v>
      </c>
      <c r="K38" s="24">
        <v>0.9375</v>
      </c>
      <c r="L38" s="24">
        <v>14.931249999999999</v>
      </c>
      <c r="M38" s="10">
        <v>0.9350068007456761</v>
      </c>
      <c r="N38" s="25">
        <v>0.31377083333333339</v>
      </c>
      <c r="O38" s="25">
        <v>0.34327083333333358</v>
      </c>
      <c r="P38" s="25">
        <v>0.43056249999999996</v>
      </c>
      <c r="Q38" s="25">
        <v>0.43308333333333321</v>
      </c>
      <c r="R38" s="25">
        <v>0.47416666666666663</v>
      </c>
      <c r="S38" s="25">
        <v>0.38147916666666665</v>
      </c>
      <c r="T38" s="25">
        <v>0.34204166666666658</v>
      </c>
      <c r="U38" s="25">
        <v>0.28981249999999975</v>
      </c>
      <c r="V38" s="25">
        <v>-206.16041666666672</v>
      </c>
      <c r="W38" s="25">
        <v>-314.98750000000024</v>
      </c>
      <c r="X38" s="25">
        <v>-153.55833333333334</v>
      </c>
      <c r="Y38" s="25">
        <v>-49.494375000000012</v>
      </c>
      <c r="Z38" s="25">
        <v>-17.126875000000002</v>
      </c>
      <c r="AA38" s="25">
        <v>-160.94791666666669</v>
      </c>
      <c r="AB38" s="25">
        <v>-141.0229166666667</v>
      </c>
      <c r="AC38" s="25">
        <v>-116.12083333333332</v>
      </c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>
        <v>0.34971621621621629</v>
      </c>
      <c r="AU38" s="25">
        <v>0.19380555555555559</v>
      </c>
      <c r="AV38" s="25">
        <v>0.3630902777777778</v>
      </c>
      <c r="AW38" s="25"/>
      <c r="AX38" s="25"/>
      <c r="AY38" s="25"/>
      <c r="AZ38" s="25"/>
      <c r="BA38" s="25"/>
      <c r="BB38" s="25"/>
      <c r="BC38" s="25"/>
      <c r="BD38" s="25"/>
      <c r="BE38" s="25"/>
    </row>
    <row r="39" spans="1:57" x14ac:dyDescent="0.25">
      <c r="A39" s="1">
        <v>20.8</v>
      </c>
      <c r="B39" s="1">
        <v>16.7</v>
      </c>
      <c r="C39" s="22"/>
      <c r="D39" s="23">
        <v>43746</v>
      </c>
      <c r="E39" s="24">
        <v>76.729166666666671</v>
      </c>
      <c r="F39" s="24">
        <v>86.260416666666671</v>
      </c>
      <c r="G39" s="24">
        <v>18.379166666666666</v>
      </c>
      <c r="H39" s="24">
        <v>11.899999999999997</v>
      </c>
      <c r="I39" s="24">
        <v>118.625</v>
      </c>
      <c r="J39" s="24">
        <v>7.75</v>
      </c>
      <c r="K39" s="24">
        <v>1.3333333333333333</v>
      </c>
      <c r="L39" s="24">
        <v>16.006250000000005</v>
      </c>
      <c r="M39" s="10">
        <v>0.29908267637661518</v>
      </c>
      <c r="N39" s="25">
        <v>0.29627083333333332</v>
      </c>
      <c r="O39" s="25">
        <v>0.34145833333333303</v>
      </c>
      <c r="P39" s="25">
        <v>0.4308749999999999</v>
      </c>
      <c r="Q39" s="25">
        <v>0.43402083333333347</v>
      </c>
      <c r="R39" s="25">
        <v>0.47595833333333354</v>
      </c>
      <c r="S39" s="25">
        <v>0.36910416666666679</v>
      </c>
      <c r="T39" s="25">
        <v>0.34074999999999983</v>
      </c>
      <c r="U39" s="25">
        <v>0.28997916666666629</v>
      </c>
      <c r="V39" s="25">
        <v>-173.76666666666665</v>
      </c>
      <c r="W39" s="25">
        <v>-320.69791666666669</v>
      </c>
      <c r="X39" s="25">
        <v>-127.98958333333333</v>
      </c>
      <c r="Y39" s="25">
        <v>-53.774999999999999</v>
      </c>
      <c r="Z39" s="25">
        <v>-15.869166666666672</v>
      </c>
      <c r="AA39" s="25">
        <v>-141.45208333333335</v>
      </c>
      <c r="AB39" s="25">
        <v>-134.16249999999997</v>
      </c>
      <c r="AC39" s="25">
        <v>-112.54166666666664</v>
      </c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>
        <v>0.37513414634146347</v>
      </c>
      <c r="AU39" s="25">
        <v>0.23127083333333334</v>
      </c>
      <c r="AV39" s="25">
        <v>0.40032638888888888</v>
      </c>
      <c r="AW39" s="25"/>
      <c r="AX39" s="25"/>
      <c r="AY39" s="25"/>
      <c r="AZ39" s="25"/>
      <c r="BA39" s="25"/>
      <c r="BB39" s="25"/>
      <c r="BC39" s="25"/>
      <c r="BD39" s="25"/>
      <c r="BE39" s="25"/>
    </row>
    <row r="40" spans="1:57" x14ac:dyDescent="0.25">
      <c r="A40" s="1">
        <v>24.7</v>
      </c>
      <c r="B40" s="1">
        <v>17.2</v>
      </c>
      <c r="C40" s="22"/>
      <c r="D40" s="23">
        <v>43747</v>
      </c>
      <c r="E40" s="24">
        <v>161.0625</v>
      </c>
      <c r="F40" s="24">
        <v>79.739583333333329</v>
      </c>
      <c r="G40" s="24">
        <v>19.793749999999999</v>
      </c>
      <c r="H40" s="24">
        <v>1.7</v>
      </c>
      <c r="I40" s="24">
        <v>158.47916666666666</v>
      </c>
      <c r="J40" s="24">
        <v>17.479166666666668</v>
      </c>
      <c r="K40" s="24">
        <v>3.6875</v>
      </c>
      <c r="L40" s="24">
        <v>16.054166666666671</v>
      </c>
      <c r="M40" s="10">
        <v>0.50624929356971693</v>
      </c>
      <c r="N40" s="25">
        <v>0.28779166666666672</v>
      </c>
      <c r="O40" s="25">
        <v>0.33981250000000013</v>
      </c>
      <c r="P40" s="25">
        <v>0.4298958333333332</v>
      </c>
      <c r="Q40" s="25">
        <v>0.43362499999999987</v>
      </c>
      <c r="R40" s="25">
        <v>0.47739583333333319</v>
      </c>
      <c r="S40" s="25">
        <v>0.36414583333333345</v>
      </c>
      <c r="T40" s="25">
        <v>0.33960416666666676</v>
      </c>
      <c r="U40" s="25">
        <v>0.28999999999999965</v>
      </c>
      <c r="V40" s="25">
        <v>-162.87916666666663</v>
      </c>
      <c r="W40" s="25">
        <v>-315.79999999999995</v>
      </c>
      <c r="X40" s="25">
        <v>-125.28958333333337</v>
      </c>
      <c r="Y40" s="25">
        <v>-60.053541666666682</v>
      </c>
      <c r="Z40" s="25">
        <v>-12.719583333333334</v>
      </c>
      <c r="AA40" s="25">
        <v>-143.35625000000002</v>
      </c>
      <c r="AB40" s="25">
        <v>-140.30624999999995</v>
      </c>
      <c r="AC40" s="25">
        <v>-121.8125</v>
      </c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>
        <v>0.38489189189189188</v>
      </c>
      <c r="AU40" s="25">
        <v>0.22726388888888885</v>
      </c>
      <c r="AV40" s="25">
        <v>0.41288888888888886</v>
      </c>
      <c r="AW40" s="25"/>
      <c r="AX40" s="25"/>
      <c r="AY40" s="25"/>
      <c r="AZ40" s="25"/>
      <c r="BA40" s="25"/>
      <c r="BB40" s="25"/>
      <c r="BC40" s="25"/>
      <c r="BD40" s="25"/>
      <c r="BE40" s="25"/>
    </row>
    <row r="41" spans="1:57" x14ac:dyDescent="0.25">
      <c r="A41" s="1">
        <v>23.7</v>
      </c>
      <c r="B41" s="1">
        <v>16.399999999999999</v>
      </c>
      <c r="C41" s="22"/>
      <c r="D41" s="23">
        <v>43748</v>
      </c>
      <c r="E41" s="24">
        <v>108.89583333333333</v>
      </c>
      <c r="F41" s="24">
        <v>80.045833333333334</v>
      </c>
      <c r="G41" s="24">
        <v>19.693749999999998</v>
      </c>
      <c r="H41" s="24">
        <v>50.099999999999994</v>
      </c>
      <c r="I41" s="24">
        <v>146.16666666666666</v>
      </c>
      <c r="J41" s="24">
        <v>9.6458333333333339</v>
      </c>
      <c r="K41" s="24">
        <v>1.5625</v>
      </c>
      <c r="L41" s="24">
        <v>16.05</v>
      </c>
      <c r="M41" s="10">
        <v>0.4836194442908523</v>
      </c>
      <c r="N41" s="25">
        <v>0.29414583333333327</v>
      </c>
      <c r="O41" s="25">
        <v>0.34725000000000006</v>
      </c>
      <c r="P41" s="25">
        <v>0.43447916666666647</v>
      </c>
      <c r="Q41" s="25">
        <v>0.44739583333333321</v>
      </c>
      <c r="R41" s="25">
        <v>0.47570833333333323</v>
      </c>
      <c r="S41" s="25">
        <v>0.37277083333333344</v>
      </c>
      <c r="T41" s="25">
        <v>0.34720833333333312</v>
      </c>
      <c r="U41" s="25">
        <v>0.29212499999999975</v>
      </c>
      <c r="V41" s="25">
        <v>-143.02854166666668</v>
      </c>
      <c r="W41" s="25">
        <v>-292.80583333333323</v>
      </c>
      <c r="X41" s="25">
        <v>-114.79625</v>
      </c>
      <c r="Y41" s="25">
        <v>-60.904791666666654</v>
      </c>
      <c r="Z41" s="25">
        <v>-15.794374999999997</v>
      </c>
      <c r="AA41" s="25">
        <v>-131.10374999999999</v>
      </c>
      <c r="AB41" s="25">
        <v>-132.60270833333337</v>
      </c>
      <c r="AC41" s="25">
        <v>-121.65375000000002</v>
      </c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>
        <v>0.38683771929824545</v>
      </c>
      <c r="AU41" s="25">
        <v>0.23088888888888889</v>
      </c>
      <c r="AV41" s="25">
        <v>0.39401388888888883</v>
      </c>
      <c r="AW41" s="25"/>
      <c r="AX41" s="25"/>
      <c r="AY41" s="25"/>
      <c r="AZ41" s="25"/>
      <c r="BA41" s="25"/>
      <c r="BB41" s="25"/>
      <c r="BC41" s="25"/>
      <c r="BD41" s="25"/>
      <c r="BE41" s="25"/>
    </row>
    <row r="42" spans="1:57" x14ac:dyDescent="0.25">
      <c r="A42" s="1">
        <v>17.2</v>
      </c>
      <c r="B42" s="1">
        <v>14</v>
      </c>
      <c r="C42" s="22"/>
      <c r="D42" s="23">
        <v>43749</v>
      </c>
      <c r="E42" s="24">
        <v>48.020833333333336</v>
      </c>
      <c r="F42" s="24">
        <v>91.24375000000002</v>
      </c>
      <c r="G42" s="24">
        <v>15.216666666666669</v>
      </c>
      <c r="H42" s="24">
        <v>30.299999999999997</v>
      </c>
      <c r="I42" s="24">
        <v>214.25</v>
      </c>
      <c r="J42" s="24">
        <v>3.1875</v>
      </c>
      <c r="K42" s="24">
        <v>0</v>
      </c>
      <c r="L42" s="24">
        <v>13.774999999999999</v>
      </c>
      <c r="M42" s="10">
        <v>0.15346426798467469</v>
      </c>
      <c r="N42" s="25">
        <v>0.43931249999999994</v>
      </c>
      <c r="O42" s="25">
        <v>0.54285416666666664</v>
      </c>
      <c r="P42" s="25">
        <v>0.57870833333333327</v>
      </c>
      <c r="Q42" s="25">
        <v>0.61170833333333341</v>
      </c>
      <c r="R42" s="25">
        <v>0.56714583333333346</v>
      </c>
      <c r="S42" s="25">
        <v>0.49708333333333338</v>
      </c>
      <c r="T42" s="25">
        <v>0.4718958333333334</v>
      </c>
      <c r="U42" s="25">
        <v>0.42412500000000009</v>
      </c>
      <c r="V42" s="25">
        <v>-13.327291666666667</v>
      </c>
      <c r="W42" s="25">
        <v>-19.8325</v>
      </c>
      <c r="X42" s="25">
        <v>-11.680416666666668</v>
      </c>
      <c r="Y42" s="25">
        <v>-12.111041666666665</v>
      </c>
      <c r="Z42" s="25">
        <v>-11.702083333333333</v>
      </c>
      <c r="AA42" s="25">
        <v>-11.582291666666665</v>
      </c>
      <c r="AB42" s="25">
        <v>-11.862708333333336</v>
      </c>
      <c r="AC42" s="25">
        <v>-12.744583333333333</v>
      </c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>
        <v>0.45176984126984127</v>
      </c>
      <c r="AU42" s="25">
        <v>0.30038194444444438</v>
      </c>
      <c r="AV42" s="25">
        <v>0.47398611111111094</v>
      </c>
      <c r="AW42" s="25"/>
      <c r="AX42" s="25"/>
      <c r="AY42" s="25"/>
      <c r="AZ42" s="25"/>
      <c r="BA42" s="25"/>
      <c r="BB42" s="25"/>
      <c r="BC42" s="25"/>
      <c r="BD42" s="25"/>
      <c r="BE42" s="25"/>
    </row>
    <row r="43" spans="1:57" x14ac:dyDescent="0.25">
      <c r="A43" s="1">
        <v>18.5</v>
      </c>
      <c r="B43" s="1">
        <v>12.7</v>
      </c>
      <c r="C43" s="22"/>
      <c r="D43" s="23">
        <v>43750</v>
      </c>
      <c r="E43" s="24">
        <v>68.729166666666671</v>
      </c>
      <c r="F43" s="24">
        <v>85.225000000000009</v>
      </c>
      <c r="G43" s="24">
        <v>14.814583333333333</v>
      </c>
      <c r="H43" s="24">
        <v>0.2</v>
      </c>
      <c r="I43" s="24">
        <v>216.85416666666666</v>
      </c>
      <c r="J43" s="24">
        <v>3.125</v>
      </c>
      <c r="K43" s="24">
        <v>0</v>
      </c>
      <c r="L43" s="24">
        <v>12.310416666666667</v>
      </c>
      <c r="M43" s="10">
        <v>0.25981954673796992</v>
      </c>
      <c r="N43" s="25">
        <v>0.41281250000000042</v>
      </c>
      <c r="O43" s="25">
        <v>0.5306249999999999</v>
      </c>
      <c r="P43" s="25">
        <v>0.57454166666666662</v>
      </c>
      <c r="Q43" s="25">
        <v>0.58956249999999977</v>
      </c>
      <c r="R43" s="25">
        <v>0.56668750000000045</v>
      </c>
      <c r="S43" s="25">
        <v>0.47218750000000026</v>
      </c>
      <c r="T43" s="25">
        <v>0.4625833333333329</v>
      </c>
      <c r="U43" s="25">
        <v>0.41389583333333319</v>
      </c>
      <c r="V43" s="25">
        <v>-13.295000000000002</v>
      </c>
      <c r="W43" s="25">
        <v>-19.667083333333334</v>
      </c>
      <c r="X43" s="25">
        <v>-11.678749999999999</v>
      </c>
      <c r="Y43" s="25">
        <v>-12.051875000000001</v>
      </c>
      <c r="Z43" s="25">
        <v>-11.719791666666666</v>
      </c>
      <c r="AA43" s="25">
        <v>-11.680416666666668</v>
      </c>
      <c r="AB43" s="25">
        <v>-11.885</v>
      </c>
      <c r="AC43" s="25">
        <v>-12.52125</v>
      </c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>
        <v>0.42155555555555563</v>
      </c>
      <c r="AU43" s="25">
        <v>0.25272222222222235</v>
      </c>
      <c r="AV43" s="25">
        <v>0.44561111111111118</v>
      </c>
      <c r="AW43" s="25"/>
      <c r="AX43" s="25"/>
      <c r="AY43" s="25"/>
      <c r="AZ43" s="25"/>
      <c r="BA43" s="25"/>
      <c r="BB43" s="25"/>
      <c r="BC43" s="25"/>
      <c r="BD43" s="25"/>
      <c r="BE43" s="25"/>
    </row>
    <row r="44" spans="1:57" x14ac:dyDescent="0.25">
      <c r="A44" s="1">
        <v>16.5</v>
      </c>
      <c r="B44" s="1">
        <v>13.3</v>
      </c>
      <c r="C44" s="22"/>
      <c r="D44" s="23">
        <v>43751</v>
      </c>
      <c r="E44" s="24">
        <v>57.270833333333336</v>
      </c>
      <c r="F44" s="24">
        <v>88.364583333333329</v>
      </c>
      <c r="G44" s="24">
        <v>14.27708333333333</v>
      </c>
      <c r="H44" s="24">
        <v>3.2000000000000006</v>
      </c>
      <c r="I44" s="24">
        <v>193.83333333333334</v>
      </c>
      <c r="J44" s="24">
        <v>2.75</v>
      </c>
      <c r="K44" s="24">
        <v>0</v>
      </c>
      <c r="L44" s="24">
        <v>12.364583333333334</v>
      </c>
      <c r="M44" s="10">
        <v>0.19143727603215976</v>
      </c>
      <c r="N44" s="25">
        <v>0.40383333333333366</v>
      </c>
      <c r="O44" s="25">
        <v>0.52149999999999952</v>
      </c>
      <c r="P44" s="25">
        <v>0.5697916666666667</v>
      </c>
      <c r="Q44" s="25">
        <v>0.58418749999999953</v>
      </c>
      <c r="R44" s="25">
        <v>0.56295833333333367</v>
      </c>
      <c r="S44" s="25">
        <v>0.46620833333333306</v>
      </c>
      <c r="T44" s="25">
        <v>0.45960416666666665</v>
      </c>
      <c r="U44" s="25">
        <v>0.41081249999999986</v>
      </c>
      <c r="V44" s="25">
        <v>-13.358541666666669</v>
      </c>
      <c r="W44" s="25">
        <v>-19.711875000000006</v>
      </c>
      <c r="X44" s="25">
        <v>-11.690208333333333</v>
      </c>
      <c r="Y44" s="25">
        <v>-11.980833333333335</v>
      </c>
      <c r="Z44" s="25">
        <v>-11.76375</v>
      </c>
      <c r="AA44" s="25">
        <v>-11.794374999999995</v>
      </c>
      <c r="AB44" s="25">
        <v>-11.862499999999997</v>
      </c>
      <c r="AC44" s="25">
        <v>-12.465000000000002</v>
      </c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>
        <v>0.41389430894308954</v>
      </c>
      <c r="AU44" s="25">
        <v>0.24794444444444441</v>
      </c>
      <c r="AV44" s="25">
        <v>0.4351597222222221</v>
      </c>
      <c r="AW44" s="25"/>
      <c r="AX44" s="25"/>
      <c r="AY44" s="25"/>
      <c r="AZ44" s="25"/>
      <c r="BA44" s="25"/>
      <c r="BB44" s="25"/>
      <c r="BC44" s="25"/>
      <c r="BD44" s="25"/>
      <c r="BE44" s="25"/>
    </row>
    <row r="45" spans="1:57" x14ac:dyDescent="0.25">
      <c r="A45" s="1">
        <v>16.3</v>
      </c>
      <c r="B45" s="1">
        <v>13.2</v>
      </c>
      <c r="C45" s="22"/>
      <c r="D45" s="23">
        <v>43752</v>
      </c>
      <c r="E45" s="24">
        <v>38</v>
      </c>
      <c r="F45" s="24">
        <v>91.922916666666694</v>
      </c>
      <c r="G45" s="24">
        <v>14.127083333333331</v>
      </c>
      <c r="H45" s="24">
        <v>4.6000000000000005</v>
      </c>
      <c r="I45" s="24">
        <v>151.97916666666666</v>
      </c>
      <c r="J45" s="24">
        <v>2.4166666666666665</v>
      </c>
      <c r="K45" s="24">
        <v>0</v>
      </c>
      <c r="L45" s="24">
        <v>12.822916666666666</v>
      </c>
      <c r="M45" s="10">
        <v>0.13339731980143324</v>
      </c>
      <c r="N45" s="25">
        <v>0.42087499999999989</v>
      </c>
      <c r="O45" s="25">
        <v>0.52970833333333367</v>
      </c>
      <c r="P45" s="25">
        <v>0.57481250000000006</v>
      </c>
      <c r="Q45" s="25">
        <v>0.58743749999999983</v>
      </c>
      <c r="R45" s="25">
        <v>0.56679166666666636</v>
      </c>
      <c r="S45" s="25">
        <v>0.46522916666666636</v>
      </c>
      <c r="T45" s="25">
        <v>0.45797916666666655</v>
      </c>
      <c r="U45" s="25">
        <v>0.40962500000000007</v>
      </c>
      <c r="V45" s="25">
        <v>-13.311249999999999</v>
      </c>
      <c r="W45" s="25">
        <v>-19.450833333333339</v>
      </c>
      <c r="X45" s="25">
        <v>-11.565416666666666</v>
      </c>
      <c r="Y45" s="25">
        <v>-12.041666666666664</v>
      </c>
      <c r="Z45" s="25">
        <v>-11.675208333333336</v>
      </c>
      <c r="AA45" s="25">
        <v>-12.044166666666667</v>
      </c>
      <c r="AB45" s="25">
        <v>-11.902291666666668</v>
      </c>
      <c r="AC45" s="25">
        <v>-12.492916666666671</v>
      </c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>
        <v>0.42752482269503539</v>
      </c>
      <c r="AU45" s="25">
        <v>0.2597430555555556</v>
      </c>
      <c r="AV45" s="25">
        <v>0.4646805555555556</v>
      </c>
      <c r="AW45" s="25"/>
      <c r="AX45" s="25"/>
      <c r="AY45" s="25"/>
      <c r="AZ45" s="25"/>
      <c r="BA45" s="25"/>
      <c r="BB45" s="25"/>
      <c r="BC45" s="25"/>
      <c r="BD45" s="25"/>
      <c r="BE45" s="25"/>
    </row>
    <row r="46" spans="1:57" x14ac:dyDescent="0.25">
      <c r="A46" s="1">
        <v>15.6</v>
      </c>
      <c r="B46" s="1">
        <v>12.9</v>
      </c>
      <c r="C46" s="22"/>
      <c r="D46" s="23">
        <v>43753</v>
      </c>
      <c r="E46" s="24">
        <v>33.625</v>
      </c>
      <c r="F46" s="24">
        <v>91.475000000000009</v>
      </c>
      <c r="G46" s="24">
        <v>14.206250000000002</v>
      </c>
      <c r="H46" s="24">
        <v>1.2</v>
      </c>
      <c r="I46" s="24">
        <v>132.72916666666666</v>
      </c>
      <c r="J46" s="24">
        <v>7.145833333333333</v>
      </c>
      <c r="K46" s="24">
        <v>1.1041666666666667</v>
      </c>
      <c r="L46" s="24">
        <v>12.820833333333335</v>
      </c>
      <c r="M46" s="10">
        <v>0.14058578267494343</v>
      </c>
      <c r="N46" s="25">
        <v>0.42297916666666646</v>
      </c>
      <c r="O46" s="25">
        <v>0.53281250000000013</v>
      </c>
      <c r="P46" s="25">
        <v>0.57591666666666674</v>
      </c>
      <c r="Q46" s="25">
        <v>0.59037499999999976</v>
      </c>
      <c r="R46" s="25">
        <v>0.56893749999999954</v>
      </c>
      <c r="S46" s="25">
        <v>0.46731249999999996</v>
      </c>
      <c r="T46" s="25">
        <v>0.45760416666666698</v>
      </c>
      <c r="U46" s="25">
        <v>0.40947916666666667</v>
      </c>
      <c r="V46" s="25">
        <v>-13.238958333333331</v>
      </c>
      <c r="W46" s="25">
        <v>-19.505833333333332</v>
      </c>
      <c r="X46" s="25">
        <v>-11.565</v>
      </c>
      <c r="Y46" s="25">
        <v>-11.969166666666672</v>
      </c>
      <c r="Z46" s="25">
        <v>-11.637291666666664</v>
      </c>
      <c r="AA46" s="25">
        <v>-12.103333333333333</v>
      </c>
      <c r="AB46" s="25">
        <v>-11.798541666666665</v>
      </c>
      <c r="AC46" s="25">
        <v>-12.483124999999999</v>
      </c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>
        <v>0.42224822695035469</v>
      </c>
      <c r="AU46" s="25">
        <v>0.25052777777777779</v>
      </c>
      <c r="AV46" s="25">
        <v>0.45743749999999994</v>
      </c>
      <c r="AW46" s="25"/>
      <c r="AX46" s="25"/>
      <c r="AY46" s="25"/>
      <c r="AZ46" s="25"/>
      <c r="BA46" s="25"/>
      <c r="BB46" s="25"/>
      <c r="BC46" s="25"/>
      <c r="BD46" s="25"/>
      <c r="BE46" s="25"/>
    </row>
    <row r="47" spans="1:57" x14ac:dyDescent="0.25">
      <c r="A47" s="1">
        <v>16.100000000000001</v>
      </c>
      <c r="B47" s="1">
        <v>13.4</v>
      </c>
      <c r="C47" s="22"/>
      <c r="D47" s="23">
        <v>43754</v>
      </c>
      <c r="E47" s="24">
        <v>45.3125</v>
      </c>
      <c r="F47" s="24">
        <v>93.197916666666643</v>
      </c>
      <c r="G47" s="24">
        <v>14.518750000000004</v>
      </c>
      <c r="H47" s="24">
        <v>9.9999999999999964</v>
      </c>
      <c r="I47" s="24">
        <v>183.41666666666666</v>
      </c>
      <c r="J47" s="24">
        <v>5.458333333333333</v>
      </c>
      <c r="K47" s="24">
        <v>0.52083333333333337</v>
      </c>
      <c r="L47" s="24">
        <v>13.424999999999999</v>
      </c>
      <c r="M47" s="10">
        <v>0.11286266982109644</v>
      </c>
      <c r="N47" s="25">
        <v>0.43881249999999999</v>
      </c>
      <c r="O47" s="25">
        <v>0.54131249999999997</v>
      </c>
      <c r="P47" s="25">
        <v>0.58074999999999977</v>
      </c>
      <c r="Q47" s="25">
        <v>0.60075000000000001</v>
      </c>
      <c r="R47" s="25">
        <v>0.57835416666666617</v>
      </c>
      <c r="S47" s="25">
        <v>0.48145833333333332</v>
      </c>
      <c r="T47" s="25">
        <v>0.46089583333333334</v>
      </c>
      <c r="U47" s="25">
        <v>0.41152083333333339</v>
      </c>
      <c r="V47" s="25">
        <v>-13.404791666666666</v>
      </c>
      <c r="W47" s="25">
        <v>-19.891874999999995</v>
      </c>
      <c r="X47" s="25">
        <v>-11.661250000000001</v>
      </c>
      <c r="Y47" s="25">
        <v>-12.162083333333333</v>
      </c>
      <c r="Z47" s="25">
        <v>-11.718333333333335</v>
      </c>
      <c r="AA47" s="25">
        <v>-11.927708333333333</v>
      </c>
      <c r="AB47" s="25">
        <v>-11.876041666666666</v>
      </c>
      <c r="AC47" s="25">
        <v>-12.551875000000003</v>
      </c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>
        <v>0.43351851851851841</v>
      </c>
      <c r="AU47" s="25">
        <v>0.26696527777777773</v>
      </c>
      <c r="AV47" s="25">
        <v>0.47070138888888891</v>
      </c>
      <c r="AW47" s="25"/>
      <c r="AX47" s="25"/>
      <c r="AY47" s="25"/>
      <c r="AZ47" s="25"/>
      <c r="BA47" s="25"/>
      <c r="BB47" s="25"/>
      <c r="BC47" s="25"/>
      <c r="BD47" s="25"/>
      <c r="BE47" s="25"/>
    </row>
    <row r="48" spans="1:57" x14ac:dyDescent="0.25">
      <c r="A48" s="1">
        <v>14</v>
      </c>
      <c r="B48" s="1">
        <v>11</v>
      </c>
      <c r="C48" s="22"/>
      <c r="D48" s="23">
        <v>43755</v>
      </c>
      <c r="E48" s="24">
        <v>52.729166666666664</v>
      </c>
      <c r="F48" s="24">
        <v>92.393750000000011</v>
      </c>
      <c r="G48" s="24">
        <v>12.731249999999998</v>
      </c>
      <c r="H48" s="24">
        <v>10.299999999999995</v>
      </c>
      <c r="I48" s="24">
        <v>127.3125</v>
      </c>
      <c r="J48" s="24">
        <v>4.895833333333333</v>
      </c>
      <c r="K48" s="24">
        <v>0.125</v>
      </c>
      <c r="L48" s="24">
        <v>11.520833333333334</v>
      </c>
      <c r="M48" s="10">
        <v>0.11273536146222267</v>
      </c>
      <c r="N48" s="25">
        <v>0.44983333333333331</v>
      </c>
      <c r="O48" s="25">
        <v>0.54858333333333353</v>
      </c>
      <c r="P48" s="25">
        <v>0.58462499999999962</v>
      </c>
      <c r="Q48" s="25">
        <v>0.60879166666666673</v>
      </c>
      <c r="R48" s="25">
        <v>0.59562500000000007</v>
      </c>
      <c r="S48" s="25">
        <v>0.49295833333333317</v>
      </c>
      <c r="T48" s="25">
        <v>0.4687083333333335</v>
      </c>
      <c r="U48" s="25">
        <v>0.422375</v>
      </c>
      <c r="V48" s="25">
        <v>-13.230833333333331</v>
      </c>
      <c r="W48" s="25">
        <v>-19.700208333333336</v>
      </c>
      <c r="X48" s="25">
        <v>-11.537500000000001</v>
      </c>
      <c r="Y48" s="25">
        <v>-12.037708333333333</v>
      </c>
      <c r="Z48" s="25">
        <v>-11.56</v>
      </c>
      <c r="AA48" s="25">
        <v>-11.500624999999999</v>
      </c>
      <c r="AB48" s="25">
        <v>-11.602708333333338</v>
      </c>
      <c r="AC48" s="25">
        <v>-12.364375000000004</v>
      </c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>
        <v>0.44095555555555566</v>
      </c>
      <c r="AU48" s="25">
        <v>0.27507638888888891</v>
      </c>
      <c r="AV48" s="25">
        <v>0.48016666666666669</v>
      </c>
      <c r="AW48" s="25"/>
      <c r="AX48" s="25"/>
      <c r="AY48" s="25"/>
      <c r="AZ48" s="25"/>
      <c r="BA48" s="25"/>
      <c r="BB48" s="25"/>
      <c r="BC48" s="25"/>
      <c r="BD48" s="25"/>
      <c r="BE48" s="25"/>
    </row>
    <row r="49" spans="1:57" x14ac:dyDescent="0.25">
      <c r="A49" s="1">
        <v>18.100000000000001</v>
      </c>
      <c r="B49" s="1">
        <v>10.5</v>
      </c>
      <c r="C49" s="22"/>
      <c r="D49" s="23">
        <v>43756</v>
      </c>
      <c r="E49" s="24">
        <v>96.770833333333329</v>
      </c>
      <c r="F49" s="24">
        <v>83.75833333333334</v>
      </c>
      <c r="G49" s="24">
        <v>13.274999999999999</v>
      </c>
      <c r="H49" s="24">
        <v>0</v>
      </c>
      <c r="I49" s="24">
        <v>163.60416666666666</v>
      </c>
      <c r="J49" s="24">
        <v>1.5208333333333333</v>
      </c>
      <c r="K49" s="24">
        <v>0</v>
      </c>
      <c r="L49" s="24">
        <v>10.441666666666665</v>
      </c>
      <c r="M49" s="10">
        <v>0.276642321359368</v>
      </c>
      <c r="N49" s="25">
        <v>0.4268333333333334</v>
      </c>
      <c r="O49" s="25">
        <v>0.53522916666666653</v>
      </c>
      <c r="P49" s="25">
        <v>0.57531250000000012</v>
      </c>
      <c r="Q49" s="25">
        <v>0.59099999999999997</v>
      </c>
      <c r="R49" s="25">
        <v>0.59083333333333299</v>
      </c>
      <c r="S49" s="25">
        <v>0.47733333333333317</v>
      </c>
      <c r="T49" s="25">
        <v>0.46389583333333295</v>
      </c>
      <c r="U49" s="25">
        <v>0.41756249999999984</v>
      </c>
      <c r="V49" s="25">
        <v>-13.227291666666671</v>
      </c>
      <c r="W49" s="25">
        <v>-19.681874999999998</v>
      </c>
      <c r="X49" s="25">
        <v>-11.618125000000001</v>
      </c>
      <c r="Y49" s="25">
        <v>-12.105416666666668</v>
      </c>
      <c r="Z49" s="25">
        <v>-11.641458333333334</v>
      </c>
      <c r="AA49" s="25">
        <v>-11.622291666666667</v>
      </c>
      <c r="AB49" s="25">
        <v>-11.564166666666667</v>
      </c>
      <c r="AC49" s="25">
        <v>-12.442499999999997</v>
      </c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>
        <v>0.42410476190476187</v>
      </c>
      <c r="AU49" s="25">
        <v>0.25320138888888882</v>
      </c>
      <c r="AV49" s="25">
        <v>0.46204861111111101</v>
      </c>
      <c r="AW49" s="25"/>
      <c r="AX49" s="25"/>
      <c r="AY49" s="25"/>
      <c r="AZ49" s="25"/>
      <c r="BA49" s="25"/>
      <c r="BB49" s="25"/>
      <c r="BC49" s="25"/>
      <c r="BD49" s="25"/>
      <c r="BE49" s="25"/>
    </row>
    <row r="50" spans="1:57" x14ac:dyDescent="0.25">
      <c r="A50" s="1">
        <v>17.899999999999999</v>
      </c>
      <c r="B50" s="1">
        <v>10.6</v>
      </c>
      <c r="C50" s="22"/>
      <c r="D50" s="23">
        <v>43757</v>
      </c>
      <c r="E50" s="24">
        <v>63.125</v>
      </c>
      <c r="F50" s="24">
        <v>87.647916666666674</v>
      </c>
      <c r="G50" s="24">
        <v>14.202083333333329</v>
      </c>
      <c r="H50" s="24">
        <v>0</v>
      </c>
      <c r="I50" s="24">
        <v>128.75</v>
      </c>
      <c r="J50" s="24">
        <v>3.7291666666666665</v>
      </c>
      <c r="K50" s="24">
        <v>0.10416666666666667</v>
      </c>
      <c r="L50" s="24">
        <v>12.120833333333332</v>
      </c>
      <c r="M50" s="10">
        <v>0.21801398911277289</v>
      </c>
      <c r="N50" s="25">
        <v>0.41614583333333349</v>
      </c>
      <c r="O50" s="25">
        <v>0.52645833333333358</v>
      </c>
      <c r="P50" s="25">
        <v>0.57039583333333288</v>
      </c>
      <c r="Q50" s="25">
        <v>0.58520833333333322</v>
      </c>
      <c r="R50" s="25">
        <v>0.58597916666666683</v>
      </c>
      <c r="S50" s="25">
        <v>0.46952083333333322</v>
      </c>
      <c r="T50" s="25">
        <v>0.45993750000000011</v>
      </c>
      <c r="U50" s="25">
        <v>0.41306249999999994</v>
      </c>
      <c r="V50" s="25">
        <v>-13.444166666666669</v>
      </c>
      <c r="W50" s="25">
        <v>-19.934166666666666</v>
      </c>
      <c r="X50" s="25">
        <v>-11.740416666666663</v>
      </c>
      <c r="Y50" s="25">
        <v>-12.226458333333335</v>
      </c>
      <c r="Z50" s="25">
        <v>-11.806041666666667</v>
      </c>
      <c r="AA50" s="25">
        <v>-11.774166666666668</v>
      </c>
      <c r="AB50" s="25">
        <v>-11.774375000000004</v>
      </c>
      <c r="AC50" s="25">
        <v>-12.602083333333328</v>
      </c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>
        <v>0.4174594594594595</v>
      </c>
      <c r="AU50" s="25">
        <v>0.24588888888888882</v>
      </c>
      <c r="AV50" s="25">
        <v>0.44686805555555553</v>
      </c>
      <c r="AW50" s="25"/>
      <c r="AX50" s="25"/>
      <c r="AY50" s="25"/>
      <c r="AZ50" s="25"/>
      <c r="BA50" s="25"/>
      <c r="BB50" s="25"/>
      <c r="BC50" s="25"/>
      <c r="BD50" s="25"/>
      <c r="BE50" s="25"/>
    </row>
    <row r="51" spans="1:57" x14ac:dyDescent="0.25">
      <c r="A51" s="1">
        <v>15.5</v>
      </c>
      <c r="B51" s="1">
        <v>13.8</v>
      </c>
      <c r="C51" s="22"/>
      <c r="D51" s="23">
        <v>43758</v>
      </c>
      <c r="E51" s="24">
        <v>22.395833333333332</v>
      </c>
      <c r="F51" s="24">
        <v>94.777083333333337</v>
      </c>
      <c r="G51" s="24">
        <v>14.639583333333333</v>
      </c>
      <c r="H51" s="24">
        <v>1.7999999999999998</v>
      </c>
      <c r="I51" s="24">
        <v>123.22916666666667</v>
      </c>
      <c r="J51" s="24">
        <v>3.4583333333333335</v>
      </c>
      <c r="K51" s="24">
        <v>4.1666666666666664E-2</v>
      </c>
      <c r="L51" s="24">
        <v>13.808333333333328</v>
      </c>
      <c r="M51" s="10">
        <v>8.6950544517182607E-2</v>
      </c>
      <c r="N51" s="25">
        <v>0.41370833333333357</v>
      </c>
      <c r="O51" s="25">
        <v>0.52322916666666652</v>
      </c>
      <c r="P51" s="25">
        <v>0.5689999999999994</v>
      </c>
      <c r="Q51" s="25">
        <v>0.58289583333333295</v>
      </c>
      <c r="R51" s="25">
        <v>0.58468750000000014</v>
      </c>
      <c r="S51" s="25">
        <v>0.46737499999999971</v>
      </c>
      <c r="T51" s="25">
        <v>0.45885416666666629</v>
      </c>
      <c r="U51" s="25">
        <v>0.41112500000000002</v>
      </c>
      <c r="V51" s="25">
        <v>-13.47041666666667</v>
      </c>
      <c r="W51" s="25">
        <v>-19.906041666666667</v>
      </c>
      <c r="X51" s="25">
        <v>-11.801458333333336</v>
      </c>
      <c r="Y51" s="25">
        <v>-12.269791666666665</v>
      </c>
      <c r="Z51" s="25">
        <v>-11.863958333333334</v>
      </c>
      <c r="AA51" s="25">
        <v>-11.884583333333341</v>
      </c>
      <c r="AB51" s="25">
        <v>-11.86916666666667</v>
      </c>
      <c r="AC51" s="25">
        <v>-12.668958333333336</v>
      </c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>
        <v>0.41572666666666663</v>
      </c>
      <c r="AU51" s="25">
        <v>0.24630555555555542</v>
      </c>
      <c r="AV51" s="25">
        <v>0.44045138888888896</v>
      </c>
      <c r="AW51" s="25"/>
      <c r="AX51" s="25"/>
      <c r="AY51" s="25"/>
      <c r="AZ51" s="25"/>
      <c r="BA51" s="25"/>
      <c r="BB51" s="25"/>
      <c r="BC51" s="25"/>
      <c r="BD51" s="25"/>
      <c r="BE51" s="25"/>
    </row>
    <row r="52" spans="1:57" x14ac:dyDescent="0.25">
      <c r="A52" s="1">
        <v>18.3</v>
      </c>
      <c r="B52" s="1">
        <v>14.8</v>
      </c>
      <c r="C52" s="22"/>
      <c r="D52" s="23">
        <v>43759</v>
      </c>
      <c r="E52" s="24">
        <v>40.520833333333336</v>
      </c>
      <c r="F52" s="24">
        <v>91.770833333333357</v>
      </c>
      <c r="G52" s="24">
        <v>16.420833333333331</v>
      </c>
      <c r="H52" s="24">
        <v>5.7000000000000011</v>
      </c>
      <c r="I52" s="24">
        <v>119.875</v>
      </c>
      <c r="J52" s="24">
        <v>11.020833333333334</v>
      </c>
      <c r="K52" s="24">
        <v>2.4166666666666665</v>
      </c>
      <c r="L52" s="24">
        <v>15.068749999999996</v>
      </c>
      <c r="M52" s="10">
        <v>0.15874243716037986</v>
      </c>
      <c r="N52" s="25">
        <v>0.44345833333333334</v>
      </c>
      <c r="O52" s="25">
        <v>0.53997916666666679</v>
      </c>
      <c r="P52" s="25">
        <v>0.57852083333333315</v>
      </c>
      <c r="Q52" s="25">
        <v>0.59187500000000015</v>
      </c>
      <c r="R52" s="25">
        <v>0.59647916666666656</v>
      </c>
      <c r="S52" s="25">
        <v>0.48487500000000011</v>
      </c>
      <c r="T52" s="25">
        <v>0.46077083333333319</v>
      </c>
      <c r="U52" s="25">
        <v>0.41214583333333343</v>
      </c>
      <c r="V52" s="25">
        <v>-13.643333333333336</v>
      </c>
      <c r="W52" s="25">
        <v>-20.110833333333328</v>
      </c>
      <c r="X52" s="25">
        <v>-11.896250000000002</v>
      </c>
      <c r="Y52" s="25">
        <v>-12.396874999999996</v>
      </c>
      <c r="Z52" s="25">
        <v>-11.886458333333337</v>
      </c>
      <c r="AA52" s="25">
        <v>-11.968125000000001</v>
      </c>
      <c r="AB52" s="25">
        <v>-11.973333333333331</v>
      </c>
      <c r="AC52" s="25">
        <v>-12.800208333333329</v>
      </c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>
        <v>0.43448611111111107</v>
      </c>
      <c r="AU52" s="25">
        <v>0.26059027777777782</v>
      </c>
      <c r="AV52" s="25">
        <v>0.47051388888888873</v>
      </c>
      <c r="AW52" s="25"/>
      <c r="AX52" s="25"/>
      <c r="AY52" s="25"/>
      <c r="AZ52" s="25"/>
      <c r="BA52" s="25"/>
      <c r="BB52" s="25"/>
      <c r="BC52" s="25"/>
      <c r="BD52" s="25"/>
      <c r="BE52" s="25"/>
    </row>
    <row r="53" spans="1:57" x14ac:dyDescent="0.25">
      <c r="A53" s="1">
        <v>17.899999999999999</v>
      </c>
      <c r="B53" s="1">
        <v>13.5</v>
      </c>
      <c r="C53" s="22"/>
      <c r="D53" s="23">
        <v>43760</v>
      </c>
      <c r="E53" s="24">
        <v>39.395833333333336</v>
      </c>
      <c r="F53" s="24">
        <v>88.72708333333334</v>
      </c>
      <c r="G53" s="24">
        <v>16.168749999999996</v>
      </c>
      <c r="H53" s="24">
        <v>2</v>
      </c>
      <c r="I53" s="24">
        <v>157.16666666666666</v>
      </c>
      <c r="J53" s="24">
        <v>8.7916666666666661</v>
      </c>
      <c r="K53" s="24">
        <v>1.1458333333333333</v>
      </c>
      <c r="L53" s="24">
        <v>14.293749999999996</v>
      </c>
      <c r="M53" s="10">
        <v>0.20863673937853264</v>
      </c>
      <c r="N53" s="25">
        <v>0.43374999999999969</v>
      </c>
      <c r="O53" s="25">
        <v>0.53716666666666701</v>
      </c>
      <c r="P53" s="25">
        <v>0.57706249999999981</v>
      </c>
      <c r="Q53" s="25">
        <v>0.59083333333333288</v>
      </c>
      <c r="R53" s="25">
        <v>0.59668750000000004</v>
      </c>
      <c r="S53" s="25">
        <v>0.48025000000000029</v>
      </c>
      <c r="T53" s="25">
        <v>0.46197916666666644</v>
      </c>
      <c r="U53" s="25">
        <v>0.41310416666666677</v>
      </c>
      <c r="V53" s="25">
        <v>-13.633333333333333</v>
      </c>
      <c r="W53" s="25">
        <v>-19.984166666666656</v>
      </c>
      <c r="X53" s="25">
        <v>-11.858750000000001</v>
      </c>
      <c r="Y53" s="25">
        <v>-12.393125000000003</v>
      </c>
      <c r="Z53" s="25">
        <v>-11.837291666666665</v>
      </c>
      <c r="AA53" s="25">
        <v>-11.851041666666665</v>
      </c>
      <c r="AB53" s="25">
        <v>-11.930416666666666</v>
      </c>
      <c r="AC53" s="25">
        <v>-12.769374999999998</v>
      </c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>
        <v>0.42830769230769228</v>
      </c>
      <c r="AU53" s="25">
        <v>0.25275694444444446</v>
      </c>
      <c r="AV53" s="25">
        <v>0.46822916666666653</v>
      </c>
      <c r="AW53" s="25"/>
      <c r="AX53" s="25"/>
      <c r="AY53" s="25"/>
      <c r="AZ53" s="25"/>
      <c r="BA53" s="25"/>
      <c r="BB53" s="25"/>
      <c r="BC53" s="25"/>
      <c r="BD53" s="25"/>
      <c r="BE53" s="25"/>
    </row>
    <row r="54" spans="1:57" x14ac:dyDescent="0.25">
      <c r="A54" s="1">
        <v>16.7</v>
      </c>
      <c r="B54" s="1">
        <v>12.9</v>
      </c>
      <c r="C54" s="22"/>
      <c r="D54" s="23">
        <v>43761</v>
      </c>
      <c r="E54" s="24">
        <v>41.645833333333336</v>
      </c>
      <c r="F54" s="24">
        <v>87.854166666666686</v>
      </c>
      <c r="G54" s="24">
        <v>14.085416666666667</v>
      </c>
      <c r="H54" s="24">
        <v>0</v>
      </c>
      <c r="I54" s="24">
        <v>155.875</v>
      </c>
      <c r="J54" s="24">
        <v>3.2291666666666665</v>
      </c>
      <c r="K54" s="24">
        <v>0.125</v>
      </c>
      <c r="L54" s="24">
        <v>12.066666666666665</v>
      </c>
      <c r="M54" s="10">
        <v>0.20082782698713875</v>
      </c>
      <c r="N54" s="25">
        <v>0.42564583333333333</v>
      </c>
      <c r="O54" s="25">
        <v>0.5312916666666665</v>
      </c>
      <c r="P54" s="25">
        <v>0.57429166666666664</v>
      </c>
      <c r="Q54" s="25">
        <v>0.58749999999999947</v>
      </c>
      <c r="R54" s="25">
        <v>0.59195833333333359</v>
      </c>
      <c r="S54" s="25">
        <v>0.47452083333333345</v>
      </c>
      <c r="T54" s="25">
        <v>0.46093750000000028</v>
      </c>
      <c r="U54" s="25">
        <v>0.41262500000000002</v>
      </c>
      <c r="V54" s="25">
        <v>-13.370624999999999</v>
      </c>
      <c r="W54" s="25">
        <v>-19.384166666666669</v>
      </c>
      <c r="X54" s="25">
        <v>-11.663333333333334</v>
      </c>
      <c r="Y54" s="25">
        <v>-12.154999999999999</v>
      </c>
      <c r="Z54" s="25">
        <v>-11.694583333333332</v>
      </c>
      <c r="AA54" s="25">
        <v>-11.705625000000005</v>
      </c>
      <c r="AB54" s="25">
        <v>-11.741875</v>
      </c>
      <c r="AC54" s="25">
        <v>-12.531458333333331</v>
      </c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>
        <v>0.42366666666666664</v>
      </c>
      <c r="AU54" s="25">
        <v>0.24770138888888907</v>
      </c>
      <c r="AV54" s="25">
        <v>0.45884027777777775</v>
      </c>
      <c r="AW54" s="25"/>
      <c r="AX54" s="25"/>
      <c r="AY54" s="25"/>
      <c r="AZ54" s="25"/>
      <c r="BA54" s="25"/>
      <c r="BB54" s="25"/>
      <c r="BC54" s="25"/>
      <c r="BD54" s="25"/>
      <c r="BE54" s="25"/>
    </row>
    <row r="55" spans="1:57" x14ac:dyDescent="0.25">
      <c r="A55" s="1">
        <v>14.1</v>
      </c>
      <c r="B55" s="1">
        <v>11.6</v>
      </c>
      <c r="C55" s="22"/>
      <c r="D55" s="23">
        <v>43762</v>
      </c>
      <c r="E55" s="24">
        <v>35.916666666666664</v>
      </c>
      <c r="F55" s="24">
        <v>89.072916666666643</v>
      </c>
      <c r="G55" s="24">
        <v>13.091666666666669</v>
      </c>
      <c r="H55" s="24">
        <v>0.2</v>
      </c>
      <c r="I55" s="24">
        <v>113</v>
      </c>
      <c r="J55" s="24">
        <v>4.479166666666667</v>
      </c>
      <c r="K55" s="24">
        <v>4.1666666666666664E-2</v>
      </c>
      <c r="L55" s="24">
        <v>11.333333333333336</v>
      </c>
      <c r="M55" s="10">
        <v>0.16525764956053701</v>
      </c>
      <c r="N55" s="25">
        <v>0.41756249999999978</v>
      </c>
      <c r="O55" s="25">
        <v>0.52468749999999997</v>
      </c>
      <c r="P55" s="25">
        <v>0.5703958333333331</v>
      </c>
      <c r="Q55" s="25">
        <v>0.5842916666666661</v>
      </c>
      <c r="R55" s="25">
        <v>0.58729166666666599</v>
      </c>
      <c r="S55" s="25">
        <v>0.46954166666666675</v>
      </c>
      <c r="T55" s="25">
        <v>0.45943749999999989</v>
      </c>
      <c r="U55" s="25">
        <v>0.41125000000000006</v>
      </c>
      <c r="V55" s="25">
        <v>-13.315208333333333</v>
      </c>
      <c r="W55" s="25">
        <v>-19.227916666666665</v>
      </c>
      <c r="X55" s="25">
        <v>-11.616666666666667</v>
      </c>
      <c r="Y55" s="25">
        <v>-12.067499999999997</v>
      </c>
      <c r="Z55" s="25">
        <v>-11.706875000000002</v>
      </c>
      <c r="AA55" s="25">
        <v>-11.697499999999998</v>
      </c>
      <c r="AB55" s="25">
        <v>-11.710416666666665</v>
      </c>
      <c r="AC55" s="25">
        <v>-12.462500000000004</v>
      </c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>
        <v>0.41926666666666668</v>
      </c>
      <c r="AU55" s="25">
        <v>0.24356250000000021</v>
      </c>
      <c r="AV55" s="25">
        <v>0.44661111111111107</v>
      </c>
      <c r="AW55" s="25"/>
      <c r="AX55" s="25"/>
      <c r="AY55" s="25"/>
      <c r="AZ55" s="25"/>
      <c r="BA55" s="25"/>
      <c r="BB55" s="25"/>
      <c r="BC55" s="25"/>
      <c r="BD55" s="25"/>
      <c r="BE55" s="25"/>
    </row>
    <row r="56" spans="1:57" x14ac:dyDescent="0.25">
      <c r="A56" s="1">
        <v>13.3</v>
      </c>
      <c r="B56" s="1">
        <v>11.6</v>
      </c>
      <c r="C56" s="22"/>
      <c r="D56" s="23">
        <v>43763</v>
      </c>
      <c r="E56" s="24">
        <v>31.791666666666668</v>
      </c>
      <c r="F56" s="24">
        <v>94.6875</v>
      </c>
      <c r="G56" s="24">
        <v>12.662500000000007</v>
      </c>
      <c r="H56" s="24">
        <v>3.600000000000001</v>
      </c>
      <c r="I56" s="24">
        <v>147.8125</v>
      </c>
      <c r="J56" s="24">
        <v>2.7916666666666665</v>
      </c>
      <c r="K56" s="24">
        <v>0</v>
      </c>
      <c r="L56" s="24">
        <v>11.827083333333336</v>
      </c>
      <c r="M56" s="10">
        <v>7.7976691749552504E-2</v>
      </c>
      <c r="N56" s="25">
        <v>0.42149999999999999</v>
      </c>
      <c r="O56" s="25">
        <v>0.52224999999999999</v>
      </c>
      <c r="P56" s="25">
        <v>0.56860416666666658</v>
      </c>
      <c r="Q56" s="25">
        <v>0.5819375</v>
      </c>
      <c r="R56" s="25">
        <v>0.58583333333333321</v>
      </c>
      <c r="S56" s="25">
        <v>0.46754166666666647</v>
      </c>
      <c r="T56" s="25">
        <v>0.45810416666666631</v>
      </c>
      <c r="U56" s="25">
        <v>0.4102291666666667</v>
      </c>
      <c r="V56" s="25">
        <v>-13.253125000000002</v>
      </c>
      <c r="W56" s="25">
        <v>-19.033124999999995</v>
      </c>
      <c r="X56" s="25">
        <v>-11.582291666666668</v>
      </c>
      <c r="Y56" s="25">
        <v>-12.026041666666664</v>
      </c>
      <c r="Z56" s="25">
        <v>-11.670000000000002</v>
      </c>
      <c r="AA56" s="25">
        <v>-11.757500000000007</v>
      </c>
      <c r="AB56" s="25">
        <v>-11.696041666666664</v>
      </c>
      <c r="AC56" s="25">
        <v>-12.397708333333334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>
        <v>0.42589166666666661</v>
      </c>
      <c r="AU56" s="25">
        <v>0.2500208333333333</v>
      </c>
      <c r="AV56" s="25">
        <v>0.45413888888888904</v>
      </c>
      <c r="AW56" s="25"/>
      <c r="AX56" s="25"/>
      <c r="AY56" s="25"/>
      <c r="AZ56" s="25"/>
      <c r="BA56" s="25"/>
      <c r="BB56" s="25"/>
      <c r="BC56" s="25"/>
      <c r="BD56" s="25"/>
      <c r="BE56" s="25"/>
    </row>
    <row r="57" spans="1:57" x14ac:dyDescent="0.25">
      <c r="A57" s="1">
        <v>13</v>
      </c>
      <c r="B57" s="1">
        <v>9.8000000000000007</v>
      </c>
      <c r="C57" s="22"/>
      <c r="D57" s="23">
        <v>43764</v>
      </c>
      <c r="E57" s="24">
        <v>36.083333333333336</v>
      </c>
      <c r="F57" s="24">
        <v>95.00208333333336</v>
      </c>
      <c r="G57" s="24">
        <v>11.022916666666665</v>
      </c>
      <c r="H57" s="24">
        <v>1.2</v>
      </c>
      <c r="I57" s="24">
        <v>196.27083333333334</v>
      </c>
      <c r="J57" s="24">
        <v>2.1458333333333335</v>
      </c>
      <c r="K57" s="24">
        <v>2.0833333333333332E-2</v>
      </c>
      <c r="L57" s="24">
        <v>10.243749999999997</v>
      </c>
      <c r="M57" s="10">
        <v>6.6807596068204564E-2</v>
      </c>
      <c r="N57" s="25">
        <v>0.43541666666666662</v>
      </c>
      <c r="O57" s="25">
        <v>0.5300208333333335</v>
      </c>
      <c r="P57" s="25">
        <v>0.57160416666666658</v>
      </c>
      <c r="Q57" s="25">
        <v>0.58185416666666601</v>
      </c>
      <c r="R57" s="25">
        <v>0.58783333333333354</v>
      </c>
      <c r="S57" s="25">
        <v>0.46775000000000011</v>
      </c>
      <c r="T57" s="25">
        <v>0.4573125000000004</v>
      </c>
      <c r="U57" s="25">
        <v>0.40983333333333344</v>
      </c>
      <c r="V57" s="25">
        <v>-13.085833333333333</v>
      </c>
      <c r="W57" s="25">
        <v>-18.478958333333335</v>
      </c>
      <c r="X57" s="25">
        <v>-11.404791666666663</v>
      </c>
      <c r="Y57" s="25">
        <v>-11.837500000000004</v>
      </c>
      <c r="Z57" s="25">
        <v>-11.470208333333334</v>
      </c>
      <c r="AA57" s="25">
        <v>-11.673541666666667</v>
      </c>
      <c r="AB57" s="25">
        <v>-11.552708333333335</v>
      </c>
      <c r="AC57" s="25">
        <v>-12.197291666666667</v>
      </c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>
        <v>0.42705072463768129</v>
      </c>
      <c r="AU57" s="25">
        <v>0.25022222222222218</v>
      </c>
      <c r="AV57" s="25">
        <v>0.46849305555555559</v>
      </c>
      <c r="AW57" s="25"/>
      <c r="AX57" s="25"/>
      <c r="AY57" s="25"/>
      <c r="AZ57" s="25"/>
      <c r="BA57" s="25"/>
      <c r="BB57" s="25"/>
      <c r="BC57" s="25"/>
      <c r="BD57" s="25"/>
      <c r="BE57" s="25"/>
    </row>
    <row r="58" spans="1:57" x14ac:dyDescent="0.25">
      <c r="A58" s="1">
        <v>12.9</v>
      </c>
      <c r="B58" s="1">
        <v>9.3000000000000007</v>
      </c>
      <c r="C58" s="22"/>
      <c r="D58" s="23">
        <v>43765</v>
      </c>
      <c r="E58" s="24">
        <v>40.604166666666664</v>
      </c>
      <c r="F58" s="24">
        <v>92.260416666666686</v>
      </c>
      <c r="G58" s="24">
        <v>10.350000000000001</v>
      </c>
      <c r="H58" s="24">
        <v>2.9000000000000004</v>
      </c>
      <c r="I58" s="24">
        <v>159.3125</v>
      </c>
      <c r="J58" s="24">
        <v>1.9375</v>
      </c>
      <c r="K58" s="24">
        <v>0</v>
      </c>
      <c r="L58" s="24">
        <v>9.1291666666666664</v>
      </c>
      <c r="M58" s="10">
        <v>0.10070052315620774</v>
      </c>
      <c r="N58" s="25">
        <v>0.43977083333333339</v>
      </c>
      <c r="O58" s="25">
        <v>0.53514583333333343</v>
      </c>
      <c r="P58" s="25">
        <v>0.57416666666666683</v>
      </c>
      <c r="Q58" s="25">
        <v>0.58710416666666676</v>
      </c>
      <c r="R58" s="25">
        <v>0.58891666666666675</v>
      </c>
      <c r="S58" s="25">
        <v>0.47072916666666681</v>
      </c>
      <c r="T58" s="25">
        <v>0.45647916666666649</v>
      </c>
      <c r="U58" s="25">
        <v>0.40908333333333341</v>
      </c>
      <c r="V58" s="25">
        <v>-12.908749999999996</v>
      </c>
      <c r="W58" s="25">
        <v>-18.409374999999994</v>
      </c>
      <c r="X58" s="25">
        <v>-11.353124999999999</v>
      </c>
      <c r="Y58" s="25">
        <v>-11.714999999999996</v>
      </c>
      <c r="Z58" s="25">
        <v>-11.389374999999999</v>
      </c>
      <c r="AA58" s="25">
        <v>-11.582083333333332</v>
      </c>
      <c r="AB58" s="25">
        <v>-11.48958333333333</v>
      </c>
      <c r="AC58" s="25">
        <v>-12.124166666666669</v>
      </c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>
        <v>0.42774031007751945</v>
      </c>
      <c r="AU58" s="25">
        <v>0.25239583333333337</v>
      </c>
      <c r="AV58" s="25">
        <v>0.4740138888888889</v>
      </c>
      <c r="AW58" s="25"/>
      <c r="AX58" s="25"/>
      <c r="AY58" s="25"/>
      <c r="AZ58" s="25"/>
      <c r="BA58" s="25"/>
      <c r="BB58" s="25"/>
      <c r="BC58" s="25"/>
      <c r="BD58" s="25"/>
      <c r="BE58" s="25"/>
    </row>
    <row r="59" spans="1:57" x14ac:dyDescent="0.25">
      <c r="A59" s="1">
        <v>18.8</v>
      </c>
      <c r="B59" s="1">
        <v>8.6999999999999993</v>
      </c>
      <c r="C59" s="22"/>
      <c r="D59" s="23">
        <v>43766</v>
      </c>
      <c r="E59" s="24">
        <v>139.10416666666666</v>
      </c>
      <c r="F59" s="24">
        <v>81.218750000000014</v>
      </c>
      <c r="G59" s="24">
        <v>12.020833333333336</v>
      </c>
      <c r="H59" s="24">
        <v>1.5999999999999999</v>
      </c>
      <c r="I59" s="24">
        <v>208.54166666666666</v>
      </c>
      <c r="J59" s="24">
        <v>3.8333333333333335</v>
      </c>
      <c r="K59" s="24">
        <v>6.25E-2</v>
      </c>
      <c r="L59" s="24">
        <v>8.6624999999999996</v>
      </c>
      <c r="M59" s="10">
        <v>0.3061727811525578</v>
      </c>
      <c r="N59" s="25">
        <v>0.43185416666666659</v>
      </c>
      <c r="O59" s="25">
        <v>0.53062499999999979</v>
      </c>
      <c r="P59" s="25">
        <v>0.57099999999999951</v>
      </c>
      <c r="Q59" s="25">
        <v>0.58672916666666619</v>
      </c>
      <c r="R59" s="25">
        <v>0.58795833333333325</v>
      </c>
      <c r="S59" s="25">
        <v>0.47170833333333367</v>
      </c>
      <c r="T59" s="25">
        <v>0.45541666666666653</v>
      </c>
      <c r="U59" s="25">
        <v>0.40841666666666671</v>
      </c>
      <c r="V59" s="25">
        <v>-13.289791666666664</v>
      </c>
      <c r="W59" s="25">
        <v>-19.037291666666665</v>
      </c>
      <c r="X59" s="25">
        <v>-11.578958333333333</v>
      </c>
      <c r="Y59" s="25">
        <v>-11.992083333333332</v>
      </c>
      <c r="Z59" s="25">
        <v>-11.591458333333334</v>
      </c>
      <c r="AA59" s="25">
        <v>-11.752291666666665</v>
      </c>
      <c r="AB59" s="25">
        <v>-11.707500000000001</v>
      </c>
      <c r="AC59" s="25">
        <v>-12.390416666666667</v>
      </c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>
        <v>0.42613257575757579</v>
      </c>
      <c r="AU59" s="25">
        <v>0.24872916666666656</v>
      </c>
      <c r="AV59" s="25">
        <v>0.47161111111111115</v>
      </c>
      <c r="AW59" s="25"/>
      <c r="AX59" s="25"/>
      <c r="AY59" s="25"/>
      <c r="AZ59" s="25"/>
      <c r="BA59" s="25"/>
      <c r="BB59" s="25"/>
      <c r="BC59" s="25"/>
      <c r="BD59" s="25"/>
      <c r="BE59" s="25"/>
    </row>
    <row r="60" spans="1:57" x14ac:dyDescent="0.25">
      <c r="A60" s="1">
        <v>23.8</v>
      </c>
      <c r="B60" s="1">
        <v>7.4</v>
      </c>
      <c r="C60" s="22"/>
      <c r="D60" s="23">
        <v>43767</v>
      </c>
      <c r="E60" s="24">
        <v>209.27083333333334</v>
      </c>
      <c r="F60" s="24">
        <v>65.891666666666666</v>
      </c>
      <c r="G60" s="24">
        <v>14.045833333333336</v>
      </c>
      <c r="H60" s="24">
        <v>0</v>
      </c>
      <c r="I60" s="24">
        <v>160.9375</v>
      </c>
      <c r="J60" s="24">
        <v>3.2083333333333335</v>
      </c>
      <c r="K60" s="24">
        <v>0.125</v>
      </c>
      <c r="L60" s="24">
        <v>6.310416666666665</v>
      </c>
      <c r="M60" s="10">
        <v>0.73471087807759083</v>
      </c>
      <c r="N60" s="25">
        <v>0.41854166666666676</v>
      </c>
      <c r="O60" s="25">
        <v>0.52200000000000002</v>
      </c>
      <c r="P60" s="25">
        <v>0.56620833333333331</v>
      </c>
      <c r="Q60" s="25">
        <v>0.58110416666666664</v>
      </c>
      <c r="R60" s="25">
        <v>0.5825416666666664</v>
      </c>
      <c r="S60" s="25">
        <v>0.46489583333333301</v>
      </c>
      <c r="T60" s="25">
        <v>0.45343750000000033</v>
      </c>
      <c r="U60" s="25">
        <v>0.4062083333333335</v>
      </c>
      <c r="V60" s="25">
        <v>-13.457916666666668</v>
      </c>
      <c r="W60" s="25">
        <v>-19.541250000000002</v>
      </c>
      <c r="X60" s="25">
        <v>-11.770208333333334</v>
      </c>
      <c r="Y60" s="25">
        <v>-12.185208333333337</v>
      </c>
      <c r="Z60" s="25">
        <v>-11.819583333333332</v>
      </c>
      <c r="AA60" s="25">
        <v>-12.152916666666664</v>
      </c>
      <c r="AB60" s="25">
        <v>-11.967291666666666</v>
      </c>
      <c r="AC60" s="25">
        <v>-12.6225</v>
      </c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>
        <v>0.41761111111111104</v>
      </c>
      <c r="AU60" s="25">
        <v>0.24072916666666658</v>
      </c>
      <c r="AV60" s="25">
        <v>0.45364583333333325</v>
      </c>
      <c r="AW60" s="25"/>
      <c r="AX60" s="25"/>
      <c r="AY60" s="25"/>
      <c r="AZ60" s="25"/>
      <c r="BA60" s="25"/>
      <c r="BB60" s="25"/>
      <c r="BC60" s="25"/>
      <c r="BD60" s="25"/>
      <c r="BE60" s="25"/>
    </row>
    <row r="61" spans="1:57" x14ac:dyDescent="0.25">
      <c r="A61" s="1">
        <v>24.3</v>
      </c>
      <c r="B61" s="1">
        <v>7.7</v>
      </c>
      <c r="C61" s="22"/>
      <c r="D61" s="23">
        <v>43768</v>
      </c>
      <c r="E61" s="24">
        <v>203.60416666666666</v>
      </c>
      <c r="F61" s="24">
        <v>64.683333333333351</v>
      </c>
      <c r="G61" s="24">
        <v>15.154166666666669</v>
      </c>
      <c r="H61" s="24">
        <v>0</v>
      </c>
      <c r="I61" s="24">
        <v>121.16666666666667</v>
      </c>
      <c r="J61" s="24">
        <v>3.8125</v>
      </c>
      <c r="K61" s="24">
        <v>6.25E-2</v>
      </c>
      <c r="L61" s="24">
        <v>7.5750000000000002</v>
      </c>
      <c r="M61" s="10">
        <v>0.7733736450274562</v>
      </c>
      <c r="N61" s="25">
        <v>0.40906249999999994</v>
      </c>
      <c r="O61" s="25">
        <v>0.51433333333333353</v>
      </c>
      <c r="P61" s="25">
        <v>0.56143750000000014</v>
      </c>
      <c r="Q61" s="25">
        <v>0.57631250000000012</v>
      </c>
      <c r="R61" s="25">
        <v>0.57785416666666622</v>
      </c>
      <c r="S61" s="25">
        <v>0.45918750000000036</v>
      </c>
      <c r="T61" s="25">
        <v>0.45047916666666704</v>
      </c>
      <c r="U61" s="25">
        <v>0.4035208333333335</v>
      </c>
      <c r="V61" s="25">
        <v>-13.710625</v>
      </c>
      <c r="W61" s="25">
        <v>-20.015416666666667</v>
      </c>
      <c r="X61" s="25">
        <v>-11.972083333333336</v>
      </c>
      <c r="Y61" s="25">
        <v>-12.337499999999999</v>
      </c>
      <c r="Z61" s="25">
        <v>-12.179583333333333</v>
      </c>
      <c r="AA61" s="25">
        <v>-13.212708333333332</v>
      </c>
      <c r="AB61" s="25">
        <v>-12.394166666666669</v>
      </c>
      <c r="AC61" s="25">
        <v>-12.874791666666662</v>
      </c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>
        <v>0.40304022988505744</v>
      </c>
      <c r="AU61" s="25">
        <v>0.23189583333333333</v>
      </c>
      <c r="AV61" s="25">
        <v>0.43329861111111106</v>
      </c>
      <c r="AW61" s="25"/>
      <c r="AX61" s="25"/>
      <c r="AY61" s="25"/>
      <c r="AZ61" s="25"/>
      <c r="BA61" s="25"/>
      <c r="BB61" s="25"/>
      <c r="BC61" s="25"/>
      <c r="BD61" s="25"/>
      <c r="BE61" s="25"/>
    </row>
    <row r="62" spans="1:57" x14ac:dyDescent="0.25">
      <c r="A62" s="1">
        <v>24.5</v>
      </c>
      <c r="B62" s="1">
        <v>8.6</v>
      </c>
      <c r="C62" s="22"/>
      <c r="D62" s="23">
        <v>43769</v>
      </c>
      <c r="E62" s="24">
        <v>206.60416666666666</v>
      </c>
      <c r="F62" s="24">
        <v>63.35</v>
      </c>
      <c r="G62" s="24">
        <v>15.610416666666664</v>
      </c>
      <c r="H62" s="24">
        <v>0</v>
      </c>
      <c r="I62" s="24">
        <v>125.16666666666667</v>
      </c>
      <c r="J62" s="24">
        <v>3.9791666666666665</v>
      </c>
      <c r="K62" s="24">
        <v>0.20833333333333334</v>
      </c>
      <c r="L62" s="24">
        <v>7.1750000000000016</v>
      </c>
      <c r="M62" s="10">
        <v>0.81846006486643985</v>
      </c>
      <c r="N62" s="25">
        <v>0.40268749999999981</v>
      </c>
      <c r="O62" s="25">
        <v>0.50906250000000053</v>
      </c>
      <c r="P62" s="25">
        <v>0.5585833333333331</v>
      </c>
      <c r="Q62" s="25">
        <v>0.57410416666666686</v>
      </c>
      <c r="R62" s="25">
        <v>0.57418749999999996</v>
      </c>
      <c r="S62" s="25">
        <v>0.45516666666666716</v>
      </c>
      <c r="T62" s="25">
        <v>0.44800000000000018</v>
      </c>
      <c r="U62" s="25">
        <v>0.40056250000000015</v>
      </c>
      <c r="V62" s="25">
        <v>-13.761666666666668</v>
      </c>
      <c r="W62" s="25">
        <v>-20.560833333333338</v>
      </c>
      <c r="X62" s="25">
        <v>-12.061041666666668</v>
      </c>
      <c r="Y62" s="25">
        <v>-12.319166666666666</v>
      </c>
      <c r="Z62" s="25">
        <v>-12.849583333333335</v>
      </c>
      <c r="AA62" s="25">
        <v>-14.594374999999998</v>
      </c>
      <c r="AB62" s="25">
        <v>-13.218958333333333</v>
      </c>
      <c r="AC62" s="25">
        <v>-13.082500000000001</v>
      </c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>
        <v>0.39079523809523797</v>
      </c>
      <c r="AU62" s="25">
        <v>0.22230902777777781</v>
      </c>
      <c r="AV62" s="25">
        <v>0.41547222222222208</v>
      </c>
      <c r="AW62" s="25"/>
      <c r="AX62" s="25"/>
      <c r="AY62" s="25"/>
      <c r="AZ62" s="25"/>
      <c r="BA62" s="25"/>
      <c r="BB62" s="25"/>
      <c r="BC62" s="25"/>
      <c r="BD62" s="25"/>
      <c r="BE62" s="25"/>
    </row>
    <row r="63" spans="1:57" x14ac:dyDescent="0.25">
      <c r="A63" s="1">
        <v>22.4</v>
      </c>
      <c r="B63" s="1">
        <v>8.8000000000000007</v>
      </c>
      <c r="C63" s="22"/>
      <c r="D63" s="23">
        <v>43770</v>
      </c>
      <c r="E63" s="24">
        <v>196.5</v>
      </c>
      <c r="F63" s="24">
        <v>68.693749999999994</v>
      </c>
      <c r="G63" s="24">
        <v>15.827083333333333</v>
      </c>
      <c r="H63" s="24">
        <v>0</v>
      </c>
      <c r="I63" s="24">
        <v>140.33333333333334</v>
      </c>
      <c r="J63" s="24">
        <v>5.166666666666667</v>
      </c>
      <c r="K63" s="24">
        <v>0.58333333333333337</v>
      </c>
      <c r="L63" s="24">
        <v>9.6416666666666657</v>
      </c>
      <c r="M63" s="10">
        <v>0.64403681361812415</v>
      </c>
      <c r="N63" s="25">
        <v>0.39418749999999986</v>
      </c>
      <c r="O63" s="25">
        <v>0.50275000000000014</v>
      </c>
      <c r="P63" s="25">
        <v>0.55462500000000026</v>
      </c>
      <c r="Q63" s="25">
        <v>0.57208333333333361</v>
      </c>
      <c r="R63" s="25">
        <v>0.5681666666666666</v>
      </c>
      <c r="S63" s="25">
        <v>0.44960416666666642</v>
      </c>
      <c r="T63" s="25">
        <v>0.44466666666666682</v>
      </c>
      <c r="U63" s="25">
        <v>0.39702083333333332</v>
      </c>
      <c r="V63" s="25">
        <v>-15.843541666666665</v>
      </c>
      <c r="W63" s="25">
        <v>-21.797291666666666</v>
      </c>
      <c r="X63" s="25">
        <v>-12.234583333333335</v>
      </c>
      <c r="Y63" s="25">
        <v>-12.482083333333335</v>
      </c>
      <c r="Z63" s="25">
        <v>-14.703124999999998</v>
      </c>
      <c r="AA63" s="25">
        <v>-16.61708333333333</v>
      </c>
      <c r="AB63" s="25">
        <v>-14.528541666666667</v>
      </c>
      <c r="AC63" s="25">
        <v>-13.734166666666665</v>
      </c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>
        <v>0.37936842105263163</v>
      </c>
      <c r="AU63" s="25">
        <v>0.21088194444444441</v>
      </c>
      <c r="AV63" s="25">
        <v>0.39478472222222233</v>
      </c>
      <c r="AW63" s="25"/>
      <c r="AX63" s="25"/>
      <c r="AY63" s="25"/>
      <c r="AZ63" s="25"/>
      <c r="BA63" s="25"/>
      <c r="BB63" s="25"/>
      <c r="BC63" s="25"/>
      <c r="BD63" s="25"/>
      <c r="BE63" s="25"/>
    </row>
    <row r="64" spans="1:57" x14ac:dyDescent="0.25">
      <c r="A64" s="1">
        <v>15.4</v>
      </c>
      <c r="B64" s="1">
        <v>12.5</v>
      </c>
      <c r="C64" s="22"/>
      <c r="D64" s="23">
        <v>43771</v>
      </c>
      <c r="E64" s="24">
        <v>34.9375</v>
      </c>
      <c r="F64" s="24">
        <v>89.375</v>
      </c>
      <c r="G64" s="24">
        <v>13.864583333333334</v>
      </c>
      <c r="H64" s="24">
        <v>0.4</v>
      </c>
      <c r="I64" s="24">
        <v>167.85416666666666</v>
      </c>
      <c r="J64" s="24">
        <v>2.625</v>
      </c>
      <c r="K64" s="24">
        <v>0</v>
      </c>
      <c r="L64" s="24">
        <v>12.122916666666663</v>
      </c>
      <c r="M64" s="10">
        <v>0.16970323655771993</v>
      </c>
      <c r="N64" s="25">
        <v>0.38939583333333333</v>
      </c>
      <c r="O64" s="25">
        <v>0.49933333333333357</v>
      </c>
      <c r="P64" s="25">
        <v>0.55333333333333357</v>
      </c>
      <c r="Q64" s="25">
        <v>0.57108333333333372</v>
      </c>
      <c r="R64" s="25">
        <v>0.56479166666666647</v>
      </c>
      <c r="S64" s="25">
        <v>0.44750000000000001</v>
      </c>
      <c r="T64" s="25">
        <v>0.44360416666666697</v>
      </c>
      <c r="U64" s="25">
        <v>0.39487499999999959</v>
      </c>
      <c r="V64" s="25">
        <v>-18.670208333333331</v>
      </c>
      <c r="W64" s="25">
        <v>-22.305833333333329</v>
      </c>
      <c r="X64" s="25">
        <v>-12.175208333333337</v>
      </c>
      <c r="Y64" s="25">
        <v>-12.373333333333335</v>
      </c>
      <c r="Z64" s="25">
        <v>-16.426666666666669</v>
      </c>
      <c r="AA64" s="25">
        <v>-17.228125000000002</v>
      </c>
      <c r="AB64" s="25">
        <v>-15.149375000000001</v>
      </c>
      <c r="AC64" s="25">
        <v>-14.164999999999994</v>
      </c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>
        <v>0.37153240740740728</v>
      </c>
      <c r="AU64" s="25">
        <v>0.20244444444444443</v>
      </c>
      <c r="AV64" s="25">
        <v>0.37887500000000002</v>
      </c>
      <c r="AW64" s="25"/>
      <c r="AX64" s="25"/>
      <c r="AY64" s="25"/>
      <c r="AZ64" s="25"/>
      <c r="BA64" s="25"/>
      <c r="BB64" s="25"/>
      <c r="BC64" s="25"/>
      <c r="BD64" s="25"/>
      <c r="BE64" s="25"/>
    </row>
    <row r="65" spans="1:57" x14ac:dyDescent="0.25">
      <c r="A65" s="1">
        <v>15.9</v>
      </c>
      <c r="B65" s="1">
        <v>10.6</v>
      </c>
      <c r="C65" s="22"/>
      <c r="D65" s="23">
        <v>43772</v>
      </c>
      <c r="E65" s="24">
        <v>84.791666666666671</v>
      </c>
      <c r="F65" s="24">
        <v>83.577083333333306</v>
      </c>
      <c r="G65" s="24">
        <v>12.591666666666669</v>
      </c>
      <c r="H65" s="24">
        <v>0.2</v>
      </c>
      <c r="I65" s="24">
        <v>206.64583333333334</v>
      </c>
      <c r="J65" s="24">
        <v>3.0208333333333335</v>
      </c>
      <c r="K65" s="24">
        <v>0.10416666666666667</v>
      </c>
      <c r="L65" s="24">
        <v>9.8020833333333304</v>
      </c>
      <c r="M65" s="10">
        <v>0.25346100317309772</v>
      </c>
      <c r="N65" s="25">
        <v>0.38231250000000022</v>
      </c>
      <c r="O65" s="25">
        <v>0.49362500000000004</v>
      </c>
      <c r="P65" s="25">
        <v>0.54935416666666714</v>
      </c>
      <c r="Q65" s="25">
        <v>0.56931250000000022</v>
      </c>
      <c r="R65" s="25">
        <v>0.55929166666666641</v>
      </c>
      <c r="S65" s="25">
        <v>0.44456250000000019</v>
      </c>
      <c r="T65" s="25">
        <v>0.44204166666666672</v>
      </c>
      <c r="U65" s="25">
        <v>0.39337500000000003</v>
      </c>
      <c r="V65" s="25">
        <v>-21.899999999999995</v>
      </c>
      <c r="W65" s="25">
        <v>-24.873333333333338</v>
      </c>
      <c r="X65" s="25">
        <v>-12.532291666666664</v>
      </c>
      <c r="Y65" s="25">
        <v>-12.481041666666668</v>
      </c>
      <c r="Z65" s="25">
        <v>-18.42625</v>
      </c>
      <c r="AA65" s="25">
        <v>-17.812291666666663</v>
      </c>
      <c r="AB65" s="25">
        <v>-15.546249999999999</v>
      </c>
      <c r="AC65" s="25">
        <v>-14.677499999999997</v>
      </c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>
        <v>0.36553819444444446</v>
      </c>
      <c r="AU65" s="25">
        <v>0.19625000000000001</v>
      </c>
      <c r="AV65" s="25">
        <v>0.36642361111111121</v>
      </c>
      <c r="AW65" s="25"/>
      <c r="AX65" s="25"/>
      <c r="AY65" s="25"/>
      <c r="AZ65" s="25"/>
      <c r="BA65" s="25"/>
      <c r="BB65" s="25"/>
      <c r="BC65" s="25"/>
      <c r="BD65" s="25"/>
      <c r="BE65" s="25"/>
    </row>
    <row r="66" spans="1:57" x14ac:dyDescent="0.25">
      <c r="A66" s="1">
        <v>19.899999999999999</v>
      </c>
      <c r="B66" s="1">
        <v>7.8</v>
      </c>
      <c r="C66" s="22"/>
      <c r="D66" s="23">
        <v>43773</v>
      </c>
      <c r="E66" s="24">
        <v>143.04166666666666</v>
      </c>
      <c r="F66" s="24">
        <v>66.55416666666666</v>
      </c>
      <c r="G66" s="24">
        <v>13.299999999999999</v>
      </c>
      <c r="H66" s="24">
        <v>0</v>
      </c>
      <c r="I66" s="24">
        <v>129.5</v>
      </c>
      <c r="J66" s="24">
        <v>4.041666666666667</v>
      </c>
      <c r="K66" s="24">
        <v>0.41666666666666669</v>
      </c>
      <c r="L66" s="24">
        <v>6.5791666666666693</v>
      </c>
      <c r="M66" s="10">
        <v>0.58904358750742258</v>
      </c>
      <c r="N66" s="25">
        <v>0.37181250000000005</v>
      </c>
      <c r="O66" s="25">
        <v>0.48627083333333337</v>
      </c>
      <c r="P66" s="25">
        <v>0.5438333333333335</v>
      </c>
      <c r="Q66" s="25">
        <v>0.56620833333333354</v>
      </c>
      <c r="R66" s="25">
        <v>0.55104166666666687</v>
      </c>
      <c r="S66" s="25">
        <v>0.43849999999999967</v>
      </c>
      <c r="T66" s="25">
        <v>0.43787499999999979</v>
      </c>
      <c r="U66" s="25">
        <v>0.38979166666666676</v>
      </c>
      <c r="V66" s="25">
        <v>-26.114791666666672</v>
      </c>
      <c r="W66" s="25">
        <v>-29.826041666666658</v>
      </c>
      <c r="X66" s="25">
        <v>-13.437083333333334</v>
      </c>
      <c r="Y66" s="25">
        <v>-13.26229166666667</v>
      </c>
      <c r="Z66" s="25">
        <v>-21.367083333333337</v>
      </c>
      <c r="AA66" s="25">
        <v>-19.623333333333331</v>
      </c>
      <c r="AB66" s="25">
        <v>-16.756874999999997</v>
      </c>
      <c r="AC66" s="25">
        <v>-15.872500000000004</v>
      </c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>
        <v>0.35712698412698402</v>
      </c>
      <c r="AU66" s="25">
        <v>0.18721527777777772</v>
      </c>
      <c r="AV66" s="25">
        <v>0.35006944444444449</v>
      </c>
      <c r="AW66" s="25"/>
      <c r="AX66" s="25"/>
      <c r="AY66" s="25"/>
      <c r="AZ66" s="25"/>
      <c r="BA66" s="25"/>
      <c r="BB66" s="25"/>
      <c r="BC66" s="25"/>
      <c r="BD66" s="25"/>
      <c r="BE66" s="25"/>
    </row>
    <row r="67" spans="1:57" x14ac:dyDescent="0.25">
      <c r="A67" s="1">
        <v>14.5</v>
      </c>
      <c r="B67" s="1">
        <v>10.7</v>
      </c>
      <c r="C67" s="22"/>
      <c r="D67" s="23">
        <v>43774</v>
      </c>
      <c r="E67" s="24">
        <v>51.6875</v>
      </c>
      <c r="F67" s="24">
        <v>73.654166666666654</v>
      </c>
      <c r="G67" s="24">
        <v>12.352083333333333</v>
      </c>
      <c r="H67" s="24">
        <v>0.2</v>
      </c>
      <c r="I67" s="24">
        <v>128.125</v>
      </c>
      <c r="J67" s="24">
        <v>3.8333333333333335</v>
      </c>
      <c r="K67" s="24">
        <v>6.25E-2</v>
      </c>
      <c r="L67" s="24">
        <v>7.7125000000000012</v>
      </c>
      <c r="M67" s="10">
        <v>0.38468004061654781</v>
      </c>
      <c r="N67" s="25">
        <v>0.35945833333333327</v>
      </c>
      <c r="O67" s="25">
        <v>0.47841666666666666</v>
      </c>
      <c r="P67" s="25">
        <v>0.53766666666666696</v>
      </c>
      <c r="Q67" s="25">
        <v>0.5624166666666669</v>
      </c>
      <c r="R67" s="25">
        <v>0.54127083333333326</v>
      </c>
      <c r="S67" s="25">
        <v>0.4314374999999997</v>
      </c>
      <c r="T67" s="25">
        <v>0.43272916666666689</v>
      </c>
      <c r="U67" s="25">
        <v>0.38545833333333329</v>
      </c>
      <c r="V67" s="25">
        <v>-30.251041666666669</v>
      </c>
      <c r="W67" s="25">
        <v>-34.877499999999984</v>
      </c>
      <c r="X67" s="25">
        <v>-14.345625000000005</v>
      </c>
      <c r="Y67" s="25">
        <v>-14.136458333333328</v>
      </c>
      <c r="Z67" s="25">
        <v>-24.188541666666669</v>
      </c>
      <c r="AA67" s="25">
        <v>-21.408958333333327</v>
      </c>
      <c r="AB67" s="25">
        <v>-18.227083333333333</v>
      </c>
      <c r="AC67" s="25">
        <v>-17.197291666666668</v>
      </c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>
        <v>0.34715277777777781</v>
      </c>
      <c r="AU67" s="25">
        <v>0.17752777777777765</v>
      </c>
      <c r="AV67" s="25">
        <v>0.3330555555555556</v>
      </c>
      <c r="AW67" s="25"/>
      <c r="AX67" s="25"/>
      <c r="AY67" s="25"/>
      <c r="AZ67" s="25"/>
      <c r="BA67" s="25"/>
      <c r="BB67" s="25"/>
      <c r="BC67" s="25"/>
      <c r="BD67" s="25"/>
      <c r="BE67" s="25"/>
    </row>
    <row r="68" spans="1:57" x14ac:dyDescent="0.25">
      <c r="A68" s="1">
        <v>12.5</v>
      </c>
      <c r="B68" s="1">
        <v>10.199999999999999</v>
      </c>
      <c r="C68" s="22"/>
      <c r="D68" s="23">
        <v>43775</v>
      </c>
      <c r="E68" s="24">
        <v>24.229166666666668</v>
      </c>
      <c r="F68" s="24">
        <v>88.606250000000003</v>
      </c>
      <c r="G68" s="24">
        <v>11.366666666666667</v>
      </c>
      <c r="H68" s="24">
        <v>1.5</v>
      </c>
      <c r="I68" s="24">
        <v>157.1875</v>
      </c>
      <c r="J68" s="24">
        <v>3.7083333333333335</v>
      </c>
      <c r="K68" s="24">
        <v>0.16666666666666666</v>
      </c>
      <c r="L68" s="24">
        <v>9.5416666666666696</v>
      </c>
      <c r="M68" s="10">
        <v>0.15437951022229429</v>
      </c>
      <c r="N68" s="25">
        <v>0.35072916666666659</v>
      </c>
      <c r="O68" s="25">
        <v>0.47147916666666667</v>
      </c>
      <c r="P68" s="25">
        <v>0.53245833333333314</v>
      </c>
      <c r="Q68" s="25">
        <v>0.55935416666666682</v>
      </c>
      <c r="R68" s="25">
        <v>0.53420833333333362</v>
      </c>
      <c r="S68" s="25">
        <v>0.42710416666666634</v>
      </c>
      <c r="T68" s="25">
        <v>0.42974999999999958</v>
      </c>
      <c r="U68" s="25">
        <v>0.38306249999999992</v>
      </c>
      <c r="V68" s="25">
        <v>-34.103541666666665</v>
      </c>
      <c r="W68" s="25">
        <v>-40.510416666666664</v>
      </c>
      <c r="X68" s="25">
        <v>-15.446458333333339</v>
      </c>
      <c r="Y68" s="25">
        <v>-15.076874999999999</v>
      </c>
      <c r="Z68" s="25">
        <v>-26.746874999999999</v>
      </c>
      <c r="AA68" s="25">
        <v>-22.637291666666666</v>
      </c>
      <c r="AB68" s="25">
        <v>-19.243749999999999</v>
      </c>
      <c r="AC68" s="25">
        <v>-18.549583333333331</v>
      </c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>
        <v>0.34187499999999998</v>
      </c>
      <c r="AU68" s="25">
        <v>0.17272916666666663</v>
      </c>
      <c r="AV68" s="25">
        <v>0.32402777777777769</v>
      </c>
      <c r="AW68" s="25"/>
      <c r="AX68" s="25"/>
      <c r="AY68" s="25"/>
      <c r="AZ68" s="25"/>
      <c r="BA68" s="25"/>
      <c r="BB68" s="25"/>
      <c r="BC68" s="25"/>
      <c r="BD68" s="25"/>
      <c r="BE68" s="25"/>
    </row>
    <row r="69" spans="1:57" x14ac:dyDescent="0.25">
      <c r="A69" s="1">
        <v>16.3</v>
      </c>
      <c r="B69" s="1">
        <v>9.9</v>
      </c>
      <c r="C69" s="22"/>
      <c r="D69" s="23">
        <v>43776</v>
      </c>
      <c r="E69" s="24">
        <v>86.125</v>
      </c>
      <c r="F69" s="24">
        <v>78.141666666666637</v>
      </c>
      <c r="G69" s="24">
        <v>12.320833333333338</v>
      </c>
      <c r="H69" s="24">
        <v>0</v>
      </c>
      <c r="I69" s="24">
        <v>161.97916666666666</v>
      </c>
      <c r="J69" s="24">
        <v>3.4375</v>
      </c>
      <c r="K69" s="24">
        <v>6.25E-2</v>
      </c>
      <c r="L69" s="24">
        <v>8.497916666666665</v>
      </c>
      <c r="M69" s="10">
        <v>0.33183548399559409</v>
      </c>
      <c r="N69" s="25">
        <v>0.34395833333333337</v>
      </c>
      <c r="O69" s="25">
        <v>0.4655416666666668</v>
      </c>
      <c r="P69" s="25">
        <v>0.52714583333333287</v>
      </c>
      <c r="Q69" s="25">
        <v>0.55583333333333307</v>
      </c>
      <c r="R69" s="25">
        <v>0.52831250000000018</v>
      </c>
      <c r="S69" s="25">
        <v>0.42250000000000032</v>
      </c>
      <c r="T69" s="25">
        <v>0.42693750000000003</v>
      </c>
      <c r="U69" s="25">
        <v>0.38014583333333335</v>
      </c>
      <c r="V69" s="25">
        <v>-38.587083333333339</v>
      </c>
      <c r="W69" s="25">
        <v>-47.427291666666662</v>
      </c>
      <c r="X69" s="25">
        <v>-17.050625</v>
      </c>
      <c r="Y69" s="25">
        <v>-16.650000000000002</v>
      </c>
      <c r="Z69" s="25">
        <v>-29.963749999999994</v>
      </c>
      <c r="AA69" s="25">
        <v>-24.289999999999996</v>
      </c>
      <c r="AB69" s="25">
        <v>-20.520624999999999</v>
      </c>
      <c r="AC69" s="25">
        <v>-20.193125000000002</v>
      </c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>
        <v>0.34085416666666674</v>
      </c>
      <c r="AU69" s="25">
        <v>0.16910416666666664</v>
      </c>
      <c r="AV69" s="25">
        <v>0.31699999999999989</v>
      </c>
      <c r="AW69" s="25"/>
      <c r="AX69" s="25"/>
      <c r="AY69" s="25"/>
      <c r="AZ69" s="25"/>
      <c r="BA69" s="25"/>
      <c r="BB69" s="25"/>
      <c r="BC69" s="25"/>
      <c r="BD69" s="25"/>
      <c r="BE69" s="25"/>
    </row>
    <row r="70" spans="1:57" x14ac:dyDescent="0.25">
      <c r="A70" s="1">
        <v>15.3</v>
      </c>
      <c r="B70" s="1">
        <v>9.6</v>
      </c>
      <c r="C70" s="22"/>
      <c r="D70" s="23">
        <v>43777</v>
      </c>
      <c r="E70" s="24">
        <v>56.770833333333336</v>
      </c>
      <c r="F70" s="24">
        <v>78.389583333333306</v>
      </c>
      <c r="G70" s="24">
        <v>11.983333333333329</v>
      </c>
      <c r="H70" s="24">
        <v>0</v>
      </c>
      <c r="I70" s="24">
        <v>180.47916666666666</v>
      </c>
      <c r="J70" s="24">
        <v>2.75</v>
      </c>
      <c r="K70" s="24">
        <v>4.1666666666666664E-2</v>
      </c>
      <c r="L70" s="24">
        <v>8.2854166666666664</v>
      </c>
      <c r="M70" s="10">
        <v>0.31158692943051569</v>
      </c>
      <c r="N70" s="25">
        <v>0.33408333333333334</v>
      </c>
      <c r="O70" s="25">
        <v>0.45902083333333349</v>
      </c>
      <c r="P70" s="25">
        <v>0.52216666666666656</v>
      </c>
      <c r="Q70" s="25">
        <v>0.55224999999999969</v>
      </c>
      <c r="R70" s="25">
        <v>0.52154166666666624</v>
      </c>
      <c r="S70" s="25">
        <v>0.41702083333333317</v>
      </c>
      <c r="T70" s="25">
        <v>0.42206250000000028</v>
      </c>
      <c r="U70" s="25">
        <v>0.37572916666666661</v>
      </c>
      <c r="V70" s="25">
        <v>-42.503958333333337</v>
      </c>
      <c r="W70" s="25">
        <v>-53.105000000000011</v>
      </c>
      <c r="X70" s="25">
        <v>-18.496250000000003</v>
      </c>
      <c r="Y70" s="25">
        <v>-18.010833333333334</v>
      </c>
      <c r="Z70" s="25">
        <v>-32.844791666666666</v>
      </c>
      <c r="AA70" s="25">
        <v>-26.12541666666667</v>
      </c>
      <c r="AB70" s="25">
        <v>-21.90625</v>
      </c>
      <c r="AC70" s="25">
        <v>-21.742500000000003</v>
      </c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>
        <v>0.32931851851851857</v>
      </c>
      <c r="AU70" s="25">
        <v>0.16259027777777776</v>
      </c>
      <c r="AV70" s="25">
        <v>0.30680555555555555</v>
      </c>
      <c r="AW70" s="25"/>
      <c r="AX70" s="25"/>
      <c r="AY70" s="25"/>
      <c r="AZ70" s="25"/>
      <c r="BA70" s="25"/>
      <c r="BB70" s="25"/>
      <c r="BC70" s="25"/>
      <c r="BD70" s="25"/>
      <c r="BE70" s="25"/>
    </row>
    <row r="71" spans="1:57" x14ac:dyDescent="0.25">
      <c r="A71" s="1">
        <v>14.6</v>
      </c>
      <c r="B71" s="1">
        <v>11.2</v>
      </c>
      <c r="C71" s="22"/>
      <c r="D71" s="23">
        <v>43778</v>
      </c>
      <c r="E71" s="24">
        <v>38.25</v>
      </c>
      <c r="F71" s="24">
        <v>83.05</v>
      </c>
      <c r="G71" s="24">
        <v>12.435416666666669</v>
      </c>
      <c r="H71" s="24">
        <v>1</v>
      </c>
      <c r="I71" s="24">
        <v>158.54166666666666</v>
      </c>
      <c r="J71" s="24">
        <v>3.8125</v>
      </c>
      <c r="K71" s="24">
        <v>0.27083333333333331</v>
      </c>
      <c r="L71" s="24">
        <v>9.6166666666666689</v>
      </c>
      <c r="M71" s="10">
        <v>0.24896009249766529</v>
      </c>
      <c r="N71" s="25">
        <v>0.32568749999999991</v>
      </c>
      <c r="O71" s="25">
        <v>0.45293749999999999</v>
      </c>
      <c r="P71" s="25">
        <v>0.51783333333333326</v>
      </c>
      <c r="Q71" s="25">
        <v>0.54870833333333335</v>
      </c>
      <c r="R71" s="25">
        <v>0.5158541666666665</v>
      </c>
      <c r="S71" s="25">
        <v>0.41229166666666694</v>
      </c>
      <c r="T71" s="25">
        <v>0.41835416666666686</v>
      </c>
      <c r="U71" s="25">
        <v>0.37222916666666667</v>
      </c>
      <c r="V71" s="25">
        <v>-47.199166666666663</v>
      </c>
      <c r="W71" s="25">
        <v>-60.328333333333347</v>
      </c>
      <c r="X71" s="25">
        <v>-20.378333333333334</v>
      </c>
      <c r="Y71" s="25">
        <v>-19.774999999999999</v>
      </c>
      <c r="Z71" s="25">
        <v>-36.239166666666655</v>
      </c>
      <c r="AA71" s="25">
        <v>-28.380208333333343</v>
      </c>
      <c r="AB71" s="25">
        <v>-23.577083333333324</v>
      </c>
      <c r="AC71" s="25">
        <v>-23.763749999999998</v>
      </c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>
        <v>0.32198611111111108</v>
      </c>
      <c r="AU71" s="25">
        <v>0.15755555555555553</v>
      </c>
      <c r="AV71" s="25">
        <v>0.2997361111111112</v>
      </c>
      <c r="AW71" s="25"/>
      <c r="AX71" s="25"/>
      <c r="AY71" s="25"/>
      <c r="AZ71" s="25"/>
      <c r="BA71" s="25"/>
      <c r="BB71" s="25"/>
      <c r="BC71" s="25"/>
      <c r="BD71" s="25"/>
      <c r="BE71" s="25"/>
    </row>
    <row r="72" spans="1:57" x14ac:dyDescent="0.25">
      <c r="A72" s="1">
        <v>14.3</v>
      </c>
      <c r="B72" s="1">
        <v>10.1</v>
      </c>
      <c r="C72" s="22"/>
      <c r="D72" s="23">
        <v>43779</v>
      </c>
      <c r="E72" s="24">
        <v>44.229166666666664</v>
      </c>
      <c r="F72" s="24">
        <v>88.483333333333348</v>
      </c>
      <c r="G72" s="24">
        <v>11.799999999999999</v>
      </c>
      <c r="H72" s="24">
        <v>2.6</v>
      </c>
      <c r="I72" s="24">
        <v>174.60416666666666</v>
      </c>
      <c r="J72" s="24">
        <v>1.9166666666666667</v>
      </c>
      <c r="K72" s="24">
        <v>4.1666666666666664E-2</v>
      </c>
      <c r="L72" s="24">
        <v>9.9270833333333321</v>
      </c>
      <c r="M72" s="10">
        <v>0.16664165370251585</v>
      </c>
      <c r="N72" s="25">
        <v>0.32072916666666684</v>
      </c>
      <c r="O72" s="25">
        <v>0.44827083333333312</v>
      </c>
      <c r="P72" s="25">
        <v>0.51460416666666686</v>
      </c>
      <c r="Q72" s="25">
        <v>0.54610416666666706</v>
      </c>
      <c r="R72" s="25">
        <v>0.51216666666666677</v>
      </c>
      <c r="S72" s="25">
        <v>0.40947916666666706</v>
      </c>
      <c r="T72" s="25">
        <v>0.41604166666666648</v>
      </c>
      <c r="U72" s="25">
        <v>0.36964583333333317</v>
      </c>
      <c r="V72" s="25">
        <v>-50.256875000000008</v>
      </c>
      <c r="W72" s="25">
        <v>-65.369374999999977</v>
      </c>
      <c r="X72" s="25">
        <v>-21.758333333333329</v>
      </c>
      <c r="Y72" s="25">
        <v>-21.238125</v>
      </c>
      <c r="Z72" s="25">
        <v>-38.478333333333339</v>
      </c>
      <c r="AA72" s="25">
        <v>-29.438124999999996</v>
      </c>
      <c r="AB72" s="25">
        <v>-24.611041666666669</v>
      </c>
      <c r="AC72" s="25">
        <v>-25.153541666666669</v>
      </c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>
        <v>0.32344814814814804</v>
      </c>
      <c r="AU72" s="25">
        <v>0.16479861111111116</v>
      </c>
      <c r="AV72" s="25">
        <v>0.3020486111111112</v>
      </c>
      <c r="AW72" s="25"/>
      <c r="AX72" s="25"/>
      <c r="AY72" s="25"/>
      <c r="AZ72" s="25"/>
      <c r="BA72" s="25"/>
      <c r="BB72" s="25"/>
      <c r="BC72" s="25"/>
      <c r="BD72" s="25"/>
      <c r="BE72" s="25"/>
    </row>
    <row r="73" spans="1:57" x14ac:dyDescent="0.25">
      <c r="A73" s="1">
        <v>18.2</v>
      </c>
      <c r="B73" s="1">
        <v>9.6999999999999993</v>
      </c>
      <c r="C73" s="22"/>
      <c r="D73" s="23">
        <v>43780</v>
      </c>
      <c r="E73" s="24">
        <v>78.604166666666671</v>
      </c>
      <c r="F73" s="24">
        <v>84.82083333333334</v>
      </c>
      <c r="G73" s="24">
        <v>13.693750000000001</v>
      </c>
      <c r="H73" s="24">
        <v>0</v>
      </c>
      <c r="I73" s="24">
        <v>138.39583333333334</v>
      </c>
      <c r="J73" s="24">
        <v>10.770833333333334</v>
      </c>
      <c r="K73" s="24">
        <v>1.2708333333333333</v>
      </c>
      <c r="L73" s="24">
        <v>11.118749999999997</v>
      </c>
      <c r="M73" s="10">
        <v>0.25734532601014293</v>
      </c>
      <c r="N73" s="25">
        <v>0.31712500000000027</v>
      </c>
      <c r="O73" s="25">
        <v>0.44456250000000042</v>
      </c>
      <c r="P73" s="25">
        <v>0.51164583333333391</v>
      </c>
      <c r="Q73" s="25">
        <v>0.5430416666666672</v>
      </c>
      <c r="R73" s="25">
        <v>0.50891666666666657</v>
      </c>
      <c r="S73" s="25">
        <v>0.40679166666666688</v>
      </c>
      <c r="T73" s="25">
        <v>0.41389583333333313</v>
      </c>
      <c r="U73" s="25">
        <v>0.36785416666666659</v>
      </c>
      <c r="V73" s="25">
        <v>-55.224374999999988</v>
      </c>
      <c r="W73" s="25">
        <v>-74.153125000000003</v>
      </c>
      <c r="X73" s="25">
        <v>-24.062708333333333</v>
      </c>
      <c r="Y73" s="25">
        <v>-23.305833333333325</v>
      </c>
      <c r="Z73" s="25">
        <v>-42.436458333333327</v>
      </c>
      <c r="AA73" s="25">
        <v>-31.875833333333336</v>
      </c>
      <c r="AB73" s="25">
        <v>-26.458333333333325</v>
      </c>
      <c r="AC73" s="25">
        <v>-27.468958333333333</v>
      </c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>
        <v>0.31777131782945744</v>
      </c>
      <c r="AU73" s="25">
        <v>0.16674999999999998</v>
      </c>
      <c r="AV73" s="25">
        <v>0.29876388888888888</v>
      </c>
      <c r="AW73" s="25"/>
      <c r="AX73" s="25"/>
      <c r="AY73" s="25"/>
      <c r="AZ73" s="25"/>
      <c r="BA73" s="25"/>
      <c r="BB73" s="25"/>
      <c r="BC73" s="25"/>
      <c r="BD73" s="25"/>
      <c r="BE73" s="25"/>
    </row>
    <row r="74" spans="1:57" x14ac:dyDescent="0.25">
      <c r="A74" s="1">
        <v>19.2</v>
      </c>
      <c r="B74" s="1">
        <v>14.1</v>
      </c>
      <c r="C74" s="22"/>
      <c r="D74" s="23">
        <v>43781</v>
      </c>
      <c r="E74" s="24">
        <v>36.729166666666664</v>
      </c>
      <c r="F74" s="24">
        <v>86.537500000000009</v>
      </c>
      <c r="G74" s="24">
        <v>15.568750000000003</v>
      </c>
      <c r="H74" s="24">
        <v>0</v>
      </c>
      <c r="I74" s="24">
        <v>125.1875</v>
      </c>
      <c r="J74" s="24">
        <v>4.75</v>
      </c>
      <c r="K74" s="24">
        <v>0.47916666666666669</v>
      </c>
      <c r="L74" s="24">
        <v>13.316666666666668</v>
      </c>
      <c r="M74" s="10">
        <v>0.24357103145475209</v>
      </c>
      <c r="N74" s="25">
        <v>0.31425000000000003</v>
      </c>
      <c r="O74" s="25">
        <v>0.44227083333333339</v>
      </c>
      <c r="P74" s="25">
        <v>0.50975000000000015</v>
      </c>
      <c r="Q74" s="25">
        <v>0.54068749999999988</v>
      </c>
      <c r="R74" s="25">
        <v>0.50820833333333282</v>
      </c>
      <c r="S74" s="25">
        <v>0.4046458333333332</v>
      </c>
      <c r="T74" s="25">
        <v>0.4108124999999998</v>
      </c>
      <c r="U74" s="25">
        <v>0.36479166666666701</v>
      </c>
      <c r="V74" s="25">
        <v>-58.966458333333343</v>
      </c>
      <c r="W74" s="25">
        <v>-81.123750000000015</v>
      </c>
      <c r="X74" s="25">
        <v>-26.240833333333338</v>
      </c>
      <c r="Y74" s="25">
        <v>-25.485625000000002</v>
      </c>
      <c r="Z74" s="25">
        <v>-46.072499999999998</v>
      </c>
      <c r="AA74" s="25">
        <v>-34.628958333333337</v>
      </c>
      <c r="AB74" s="25">
        <v>-28.610000000000003</v>
      </c>
      <c r="AC74" s="25">
        <v>-29.950416666666673</v>
      </c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>
        <v>0.31555913978494632</v>
      </c>
      <c r="AU74" s="25">
        <v>0.16144444444444439</v>
      </c>
      <c r="AV74" s="25">
        <v>0.29572222222222228</v>
      </c>
      <c r="AW74" s="25"/>
      <c r="AX74" s="25"/>
      <c r="AY74" s="25"/>
      <c r="AZ74" s="25"/>
      <c r="BA74" s="25"/>
      <c r="BB74" s="25"/>
      <c r="BC74" s="25"/>
      <c r="BD74" s="25"/>
      <c r="BE74" s="25"/>
    </row>
    <row r="75" spans="1:57" x14ac:dyDescent="0.25">
      <c r="A75" s="1">
        <v>15.8</v>
      </c>
      <c r="B75" s="1">
        <v>8.1</v>
      </c>
      <c r="C75" s="22"/>
      <c r="D75" s="23">
        <v>43782</v>
      </c>
      <c r="E75" s="24">
        <v>37</v>
      </c>
      <c r="F75" s="24">
        <v>82.82916666666668</v>
      </c>
      <c r="G75" s="24">
        <v>11.687500000000002</v>
      </c>
      <c r="H75" s="24">
        <v>0.9</v>
      </c>
      <c r="I75" s="24">
        <v>228.79166666666666</v>
      </c>
      <c r="J75" s="24">
        <v>7.979166666666667</v>
      </c>
      <c r="K75" s="24">
        <v>0.10416666666666667</v>
      </c>
      <c r="L75" s="24">
        <v>8.8166666666666682</v>
      </c>
      <c r="M75" s="10">
        <v>0.23933565721813918</v>
      </c>
      <c r="N75" s="25">
        <v>0.31018749999999995</v>
      </c>
      <c r="O75" s="25">
        <v>0.43962499999999999</v>
      </c>
      <c r="P75" s="25">
        <v>0.50877083333333339</v>
      </c>
      <c r="Q75" s="25">
        <v>0.53908333333333325</v>
      </c>
      <c r="R75" s="25">
        <v>0.50595833333333362</v>
      </c>
      <c r="S75" s="25">
        <v>0.40266666666666645</v>
      </c>
      <c r="T75" s="25">
        <v>0.40895833333333337</v>
      </c>
      <c r="U75" s="25">
        <v>0.36281249999999998</v>
      </c>
      <c r="V75" s="25">
        <v>-57.418124999999996</v>
      </c>
      <c r="W75" s="25">
        <v>-78.565416666666678</v>
      </c>
      <c r="X75" s="25">
        <v>-25.90562499999999</v>
      </c>
      <c r="Y75" s="25">
        <v>-24.974166666666672</v>
      </c>
      <c r="Z75" s="25">
        <v>-44.884583333333332</v>
      </c>
      <c r="AA75" s="25">
        <v>-33.638125000000009</v>
      </c>
      <c r="AB75" s="25">
        <v>-27.986874999999994</v>
      </c>
      <c r="AC75" s="25">
        <v>-29.43624999999999</v>
      </c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>
        <v>0.31165185185185185</v>
      </c>
      <c r="AU75" s="25">
        <v>0.16090070921985816</v>
      </c>
      <c r="AV75" s="25">
        <v>0.29243749999999991</v>
      </c>
      <c r="AW75" s="25"/>
      <c r="AX75" s="25"/>
      <c r="AY75" s="25"/>
      <c r="AZ75" s="25"/>
      <c r="BA75" s="25"/>
      <c r="BB75" s="25"/>
      <c r="BC75" s="25"/>
      <c r="BD75" s="25"/>
      <c r="BE75" s="25"/>
    </row>
    <row r="76" spans="1:57" x14ac:dyDescent="0.25">
      <c r="A76" s="1">
        <v>20.2</v>
      </c>
      <c r="B76" s="1">
        <v>7.1</v>
      </c>
      <c r="C76" s="22"/>
      <c r="D76" s="23">
        <v>43783</v>
      </c>
      <c r="E76" s="24">
        <v>176.72916666666666</v>
      </c>
      <c r="F76" s="24">
        <v>63.006250000000016</v>
      </c>
      <c r="G76" s="24">
        <v>12.543750000000001</v>
      </c>
      <c r="H76" s="24">
        <v>0</v>
      </c>
      <c r="I76" s="24">
        <v>197.70833333333334</v>
      </c>
      <c r="J76" s="24">
        <v>4.6875</v>
      </c>
      <c r="K76" s="24">
        <v>0.33333333333333331</v>
      </c>
      <c r="L76" s="24">
        <v>5.0125000000000002</v>
      </c>
      <c r="M76" s="10">
        <v>0.63732472269575469</v>
      </c>
      <c r="N76" s="25">
        <v>0.30239583333333336</v>
      </c>
      <c r="O76" s="25">
        <v>0.43289583333333342</v>
      </c>
      <c r="P76" s="25">
        <v>0.50231249999999972</v>
      </c>
      <c r="Q76" s="25">
        <v>0.53443750000000012</v>
      </c>
      <c r="R76" s="25">
        <v>0.49866666666666698</v>
      </c>
      <c r="S76" s="25">
        <v>0.39627083333333352</v>
      </c>
      <c r="T76" s="25">
        <v>0.40329166666666666</v>
      </c>
      <c r="U76" s="25">
        <v>0.35847916666666674</v>
      </c>
      <c r="V76" s="25">
        <v>-63.461666666666666</v>
      </c>
      <c r="W76" s="25">
        <v>-90.635833333333366</v>
      </c>
      <c r="X76" s="25">
        <v>-28.807916666666657</v>
      </c>
      <c r="Y76" s="25">
        <v>-27.441666666666674</v>
      </c>
      <c r="Z76" s="25">
        <v>-49.079374999999999</v>
      </c>
      <c r="AA76" s="25">
        <v>-37.71374999999999</v>
      </c>
      <c r="AB76" s="25">
        <v>-30.672708333333336</v>
      </c>
      <c r="AC76" s="25">
        <v>-32.515416666666667</v>
      </c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>
        <v>0.29904901960784308</v>
      </c>
      <c r="AU76" s="25">
        <v>0.15337499999999998</v>
      </c>
      <c r="AV76" s="25">
        <v>0.28583333333333338</v>
      </c>
      <c r="AW76" s="25"/>
      <c r="AX76" s="25"/>
      <c r="AY76" s="25"/>
      <c r="AZ76" s="25"/>
      <c r="BA76" s="25"/>
      <c r="BB76" s="25"/>
      <c r="BC76" s="25"/>
      <c r="BD76" s="25"/>
      <c r="BE76" s="25"/>
    </row>
    <row r="77" spans="1:57" x14ac:dyDescent="0.25">
      <c r="A77" s="1">
        <v>21.9</v>
      </c>
      <c r="B77" s="1">
        <v>7.8</v>
      </c>
      <c r="C77" s="22"/>
      <c r="D77" s="23">
        <v>43784</v>
      </c>
      <c r="E77" s="24">
        <v>121.60416666666667</v>
      </c>
      <c r="F77" s="24">
        <v>77.416666666666671</v>
      </c>
      <c r="G77" s="24">
        <v>13.80625</v>
      </c>
      <c r="H77" s="24">
        <v>0</v>
      </c>
      <c r="I77" s="24">
        <v>143.33333333333334</v>
      </c>
      <c r="J77" s="24">
        <v>3.5625</v>
      </c>
      <c r="K77" s="24">
        <v>4.1666666666666664E-2</v>
      </c>
      <c r="L77" s="24">
        <v>9.7104166666666671</v>
      </c>
      <c r="M77" s="10">
        <v>0.42201480428965149</v>
      </c>
      <c r="N77" s="25">
        <v>0.29720833333333335</v>
      </c>
      <c r="O77" s="25">
        <v>0.42866666666666675</v>
      </c>
      <c r="P77" s="25">
        <v>0.49768749999999956</v>
      </c>
      <c r="Q77" s="25">
        <v>0.52989583333333312</v>
      </c>
      <c r="R77" s="25">
        <v>0.4944583333333335</v>
      </c>
      <c r="S77" s="25">
        <v>0.39056250000000015</v>
      </c>
      <c r="T77" s="25">
        <v>0.39685416666666634</v>
      </c>
      <c r="U77" s="25">
        <v>0.35335416666666641</v>
      </c>
      <c r="V77" s="25">
        <v>-67.162499999999994</v>
      </c>
      <c r="W77" s="25">
        <v>-99.300000000000026</v>
      </c>
      <c r="X77" s="25">
        <v>-31.67958333333333</v>
      </c>
      <c r="Y77" s="25">
        <v>-30.124791666666667</v>
      </c>
      <c r="Z77" s="25">
        <v>-52.767083333333339</v>
      </c>
      <c r="AA77" s="25">
        <v>-42.380416666666662</v>
      </c>
      <c r="AB77" s="25">
        <v>-34.415208333333339</v>
      </c>
      <c r="AC77" s="25">
        <v>-36.119791666666664</v>
      </c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>
        <v>0.28677916666666681</v>
      </c>
      <c r="AU77" s="25">
        <v>0.14622222222222217</v>
      </c>
      <c r="AV77" s="25">
        <v>0.27628472222222222</v>
      </c>
      <c r="AW77" s="25"/>
      <c r="AX77" s="25"/>
      <c r="AY77" s="25"/>
      <c r="AZ77" s="25"/>
      <c r="BA77" s="25"/>
      <c r="BB77" s="25"/>
      <c r="BC77" s="25"/>
      <c r="BD77" s="25"/>
      <c r="BE77" s="25"/>
    </row>
    <row r="78" spans="1:57" x14ac:dyDescent="0.25">
      <c r="A78" s="1">
        <v>20.5</v>
      </c>
      <c r="B78" s="1">
        <v>13.9</v>
      </c>
      <c r="C78" s="22"/>
      <c r="D78" s="23">
        <v>43785</v>
      </c>
      <c r="E78" s="24">
        <v>77.666666666666671</v>
      </c>
      <c r="F78" s="24">
        <v>82.770833333333343</v>
      </c>
      <c r="G78" s="24">
        <v>16.070833333333344</v>
      </c>
      <c r="H78" s="24">
        <v>0</v>
      </c>
      <c r="I78" s="24">
        <v>137.79166666666666</v>
      </c>
      <c r="J78" s="24">
        <v>12.8125</v>
      </c>
      <c r="K78" s="24">
        <v>2.7083333333333335</v>
      </c>
      <c r="L78" s="24">
        <v>13.064583333333331</v>
      </c>
      <c r="M78" s="10">
        <v>0.33296608008814393</v>
      </c>
      <c r="N78" s="25">
        <v>0.29481250000000009</v>
      </c>
      <c r="O78" s="25">
        <v>0.42672916666666644</v>
      </c>
      <c r="P78" s="25">
        <v>0.49597916666666708</v>
      </c>
      <c r="Q78" s="25">
        <v>0.52733333333333354</v>
      </c>
      <c r="R78" s="25">
        <v>0.49295833333333361</v>
      </c>
      <c r="S78" s="25">
        <v>0.38735416666666644</v>
      </c>
      <c r="T78" s="25">
        <v>0.39322916666666652</v>
      </c>
      <c r="U78" s="25">
        <v>0.35014583333333332</v>
      </c>
      <c r="V78" s="25">
        <v>-71.216666666666669</v>
      </c>
      <c r="W78" s="25">
        <v>-107.32916666666667</v>
      </c>
      <c r="X78" s="25">
        <v>-34.532499999999992</v>
      </c>
      <c r="Y78" s="25">
        <v>-32.972500000000004</v>
      </c>
      <c r="Z78" s="25">
        <v>-56.914166666666638</v>
      </c>
      <c r="AA78" s="25">
        <v>-47.013958333333328</v>
      </c>
      <c r="AB78" s="25">
        <v>-38.323333333333345</v>
      </c>
      <c r="AC78" s="25">
        <v>-40.168124999999996</v>
      </c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>
        <v>0.27941666666666676</v>
      </c>
      <c r="AU78" s="25">
        <v>0.14191666666666664</v>
      </c>
      <c r="AV78" s="25">
        <v>0.27174305555555572</v>
      </c>
      <c r="AW78" s="25"/>
      <c r="AX78" s="25"/>
      <c r="AY78" s="25"/>
      <c r="AZ78" s="25"/>
      <c r="BA78" s="25"/>
      <c r="BB78" s="25"/>
      <c r="BC78" s="25"/>
      <c r="BD78" s="25"/>
      <c r="BE78" s="25"/>
    </row>
    <row r="79" spans="1:57" x14ac:dyDescent="0.25">
      <c r="A79" s="1">
        <v>19.8</v>
      </c>
      <c r="B79" s="1">
        <v>11.4</v>
      </c>
      <c r="C79" s="22"/>
      <c r="D79" s="23">
        <v>43786</v>
      </c>
      <c r="E79" s="24">
        <v>49.625</v>
      </c>
      <c r="F79" s="24">
        <v>83.033333333333374</v>
      </c>
      <c r="G79" s="24">
        <v>15.506250000000001</v>
      </c>
      <c r="H79" s="24">
        <v>0</v>
      </c>
      <c r="I79" s="24">
        <v>180.52083333333334</v>
      </c>
      <c r="J79" s="24">
        <v>5.770833333333333</v>
      </c>
      <c r="K79" s="24">
        <v>0.375</v>
      </c>
      <c r="L79" s="24">
        <v>12.606249999999996</v>
      </c>
      <c r="M79" s="10">
        <v>0.30624105384558969</v>
      </c>
      <c r="N79" s="25">
        <v>0.29168750000000004</v>
      </c>
      <c r="O79" s="25">
        <v>0.4235208333333334</v>
      </c>
      <c r="P79" s="25">
        <v>0.49454166666666644</v>
      </c>
      <c r="Q79" s="25">
        <v>0.5247916666666671</v>
      </c>
      <c r="R79" s="25">
        <v>0.49087499999999951</v>
      </c>
      <c r="S79" s="25">
        <v>0.38464583333333335</v>
      </c>
      <c r="T79" s="25">
        <v>0.3905833333333335</v>
      </c>
      <c r="U79" s="25">
        <v>0.34770833333333323</v>
      </c>
      <c r="V79" s="25">
        <v>-72.792916666666628</v>
      </c>
      <c r="W79" s="25">
        <v>-111.57291666666667</v>
      </c>
      <c r="X79" s="25">
        <v>-36.145625000000003</v>
      </c>
      <c r="Y79" s="25">
        <v>-34.514583333333327</v>
      </c>
      <c r="Z79" s="25">
        <v>-59.151249999999976</v>
      </c>
      <c r="AA79" s="25">
        <v>-49.772916666666653</v>
      </c>
      <c r="AB79" s="25">
        <v>-40.707500000000017</v>
      </c>
      <c r="AC79" s="25">
        <v>-42.654374999999995</v>
      </c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>
        <v>0.27031981981981984</v>
      </c>
      <c r="AU79" s="25">
        <v>0.1384305555555557</v>
      </c>
      <c r="AV79" s="25">
        <v>0.26887500000000003</v>
      </c>
      <c r="AW79" s="25"/>
      <c r="AX79" s="25"/>
      <c r="AY79" s="25"/>
      <c r="AZ79" s="25"/>
      <c r="BA79" s="25"/>
      <c r="BB79" s="25"/>
      <c r="BC79" s="25"/>
      <c r="BD79" s="25"/>
      <c r="BE79" s="25"/>
    </row>
    <row r="80" spans="1:57" x14ac:dyDescent="0.25">
      <c r="A80" s="1">
        <v>11.2</v>
      </c>
      <c r="B80" s="1">
        <v>6.8</v>
      </c>
      <c r="C80" s="22"/>
      <c r="D80" s="23">
        <v>43787</v>
      </c>
      <c r="E80" s="24">
        <v>26.125</v>
      </c>
      <c r="F80" s="24">
        <v>83.216666666666683</v>
      </c>
      <c r="G80" s="24">
        <v>8.6354166666666696</v>
      </c>
      <c r="H80" s="24">
        <v>0.4</v>
      </c>
      <c r="I80" s="24">
        <v>193.91666666666666</v>
      </c>
      <c r="J80" s="24">
        <v>4.895833333333333</v>
      </c>
      <c r="K80" s="24">
        <v>0</v>
      </c>
      <c r="L80" s="24">
        <v>5.9333333333333309</v>
      </c>
      <c r="M80" s="10">
        <v>0.19053829286795168</v>
      </c>
      <c r="N80" s="25">
        <v>0.28643750000000012</v>
      </c>
      <c r="O80" s="25">
        <v>0.41814583333333322</v>
      </c>
      <c r="P80" s="25">
        <v>0.4910208333333333</v>
      </c>
      <c r="Q80" s="25">
        <v>0.52204166666666663</v>
      </c>
      <c r="R80" s="25">
        <v>0.48500000000000004</v>
      </c>
      <c r="S80" s="25">
        <v>0.38093750000000021</v>
      </c>
      <c r="T80" s="25">
        <v>0.38835416666666672</v>
      </c>
      <c r="U80" s="25">
        <v>0.34600000000000009</v>
      </c>
      <c r="V80" s="25">
        <v>-67.853958333333324</v>
      </c>
      <c r="W80" s="25">
        <v>-101.51666666666667</v>
      </c>
      <c r="X80" s="25">
        <v>-33.43333333333333</v>
      </c>
      <c r="Y80" s="25">
        <v>-31.442916666666672</v>
      </c>
      <c r="Z80" s="25">
        <v>-54.245416666666664</v>
      </c>
      <c r="AA80" s="25">
        <v>-45.691458333333323</v>
      </c>
      <c r="AB80" s="25">
        <v>-37.428124999999987</v>
      </c>
      <c r="AC80" s="25">
        <v>-39.306041666666673</v>
      </c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>
        <v>0.25990070921985814</v>
      </c>
      <c r="AU80" s="25">
        <v>0.1336140350877193</v>
      </c>
      <c r="AV80" s="25">
        <v>0.26425000000000004</v>
      </c>
      <c r="AW80" s="25"/>
      <c r="AX80" s="25"/>
      <c r="AY80" s="25"/>
      <c r="AZ80" s="25"/>
      <c r="BA80" s="25"/>
      <c r="BB80" s="25"/>
      <c r="BC80" s="25"/>
      <c r="BD80" s="25"/>
      <c r="BE80" s="25"/>
    </row>
    <row r="81" spans="1:57" x14ac:dyDescent="0.25">
      <c r="A81" s="1">
        <v>13.4</v>
      </c>
      <c r="B81" s="1">
        <v>6</v>
      </c>
      <c r="C81" s="22"/>
      <c r="D81" s="23">
        <v>43788</v>
      </c>
      <c r="E81" s="24">
        <v>59.354166666666664</v>
      </c>
      <c r="F81" s="24">
        <v>79.249999999999986</v>
      </c>
      <c r="G81" s="24">
        <v>8.4583333333333357</v>
      </c>
      <c r="H81" s="24">
        <v>0</v>
      </c>
      <c r="I81" s="24">
        <v>137.91666666666666</v>
      </c>
      <c r="J81" s="24">
        <v>4.833333333333333</v>
      </c>
      <c r="K81" s="24">
        <v>0.10416666666666667</v>
      </c>
      <c r="L81" s="24">
        <v>5.0187499999999998</v>
      </c>
      <c r="M81" s="10">
        <v>0.23953129942852178</v>
      </c>
      <c r="N81" s="25">
        <v>0.28110416666666649</v>
      </c>
      <c r="O81" s="25">
        <v>0.40964583333333326</v>
      </c>
      <c r="P81" s="25">
        <v>0.48460416666666656</v>
      </c>
      <c r="Q81" s="25">
        <v>0.51664583333333325</v>
      </c>
      <c r="R81" s="25">
        <v>0.47727083333333309</v>
      </c>
      <c r="S81" s="25">
        <v>0.37564583333333329</v>
      </c>
      <c r="T81" s="25">
        <v>0.3851666666666666</v>
      </c>
      <c r="U81" s="25">
        <v>0.34343750000000012</v>
      </c>
      <c r="V81" s="25">
        <v>-74.258541666666673</v>
      </c>
      <c r="W81" s="25">
        <v>-112.42916666666669</v>
      </c>
      <c r="X81" s="25">
        <v>-36.133333333333319</v>
      </c>
      <c r="Y81" s="25">
        <v>-33.374583333333334</v>
      </c>
      <c r="Z81" s="25">
        <v>-57.395000000000003</v>
      </c>
      <c r="AA81" s="25">
        <v>-49.040416666666665</v>
      </c>
      <c r="AB81" s="25">
        <v>-39.686041666666661</v>
      </c>
      <c r="AC81" s="25">
        <v>-42.160208333333337</v>
      </c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>
        <v>0.25129861111111113</v>
      </c>
      <c r="AU81" s="25">
        <v>0.13103472222222232</v>
      </c>
      <c r="AV81" s="25">
        <v>0.2603125</v>
      </c>
      <c r="AW81" s="25"/>
      <c r="AX81" s="25"/>
      <c r="AY81" s="25"/>
      <c r="AZ81" s="25"/>
      <c r="BA81" s="25"/>
      <c r="BB81" s="25"/>
      <c r="BC81" s="25"/>
      <c r="BD81" s="25"/>
      <c r="BE81" s="25"/>
    </row>
    <row r="82" spans="1:57" x14ac:dyDescent="0.25">
      <c r="A82" s="1">
        <v>7.7</v>
      </c>
      <c r="B82" s="1">
        <v>6.1</v>
      </c>
      <c r="C82" s="22"/>
      <c r="D82" s="23">
        <v>43789</v>
      </c>
      <c r="E82" s="24">
        <v>17.3125</v>
      </c>
      <c r="F82" s="24">
        <v>92.781249999999986</v>
      </c>
      <c r="G82" s="24">
        <v>6.8187500000000005</v>
      </c>
      <c r="H82" s="24">
        <v>1.9999999999999998</v>
      </c>
      <c r="I82" s="24">
        <v>128.4375</v>
      </c>
      <c r="J82" s="24">
        <v>3.375</v>
      </c>
      <c r="K82" s="24">
        <v>0</v>
      </c>
      <c r="L82" s="24">
        <v>5.7208333333333323</v>
      </c>
      <c r="M82" s="10">
        <v>7.1576393273447586E-2</v>
      </c>
      <c r="N82" s="25">
        <v>0.27879166666666688</v>
      </c>
      <c r="O82" s="25">
        <v>0.40370833333333339</v>
      </c>
      <c r="P82" s="25">
        <v>0.47987500000000011</v>
      </c>
      <c r="Q82" s="25">
        <v>0.51170833333333365</v>
      </c>
      <c r="R82" s="25">
        <v>0.47275000000000017</v>
      </c>
      <c r="S82" s="25">
        <v>0.37189583333333337</v>
      </c>
      <c r="T82" s="25">
        <v>0.3820208333333332</v>
      </c>
      <c r="U82" s="25">
        <v>0.34089583333333318</v>
      </c>
      <c r="V82" s="25">
        <v>-75.459374999999994</v>
      </c>
      <c r="W82" s="25">
        <v>-114.34375</v>
      </c>
      <c r="X82" s="25">
        <v>-36.939791666666672</v>
      </c>
      <c r="Y82" s="25">
        <v>-33.788958333333341</v>
      </c>
      <c r="Z82" s="25">
        <v>-57.40208333333333</v>
      </c>
      <c r="AA82" s="25">
        <v>-49.447083333333332</v>
      </c>
      <c r="AB82" s="25">
        <v>-39.988541666666677</v>
      </c>
      <c r="AC82" s="25">
        <v>-42.708124999999995</v>
      </c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>
        <v>0.24409027777777781</v>
      </c>
      <c r="AU82" s="25">
        <v>0.12854861111111116</v>
      </c>
      <c r="AV82" s="25">
        <v>0.25699305555555557</v>
      </c>
      <c r="AW82" s="25"/>
      <c r="AX82" s="25"/>
      <c r="AY82" s="25"/>
      <c r="AZ82" s="25"/>
      <c r="BA82" s="25"/>
      <c r="BB82" s="25"/>
      <c r="BC82" s="25"/>
      <c r="BD82" s="25"/>
      <c r="BE82" s="25"/>
    </row>
    <row r="83" spans="1:57" x14ac:dyDescent="0.25">
      <c r="A83" s="1">
        <v>11.6</v>
      </c>
      <c r="B83" s="1">
        <v>5.8</v>
      </c>
      <c r="C83" s="22"/>
      <c r="D83" s="23">
        <v>43790</v>
      </c>
      <c r="E83" s="24">
        <v>51.1875</v>
      </c>
      <c r="F83" s="24">
        <v>88.970833333333303</v>
      </c>
      <c r="G83" s="24">
        <v>8.3562499999999993</v>
      </c>
      <c r="H83" s="24">
        <v>0.4</v>
      </c>
      <c r="I83" s="24">
        <v>162.4375</v>
      </c>
      <c r="J83" s="24">
        <v>3.6041666666666665</v>
      </c>
      <c r="K83" s="24">
        <v>8.3333333333333329E-2</v>
      </c>
      <c r="L83" s="24">
        <v>6.5958333333333314</v>
      </c>
      <c r="M83" s="10">
        <v>0.13024920217785271</v>
      </c>
      <c r="N83" s="25">
        <v>0.27718749999999986</v>
      </c>
      <c r="O83" s="25">
        <v>0.39877083333333313</v>
      </c>
      <c r="P83" s="25">
        <v>0.47591666666666693</v>
      </c>
      <c r="Q83" s="25">
        <v>0.50741666666666663</v>
      </c>
      <c r="R83" s="25">
        <v>0.46908333333333352</v>
      </c>
      <c r="S83" s="25">
        <v>0.36966666666666653</v>
      </c>
      <c r="T83" s="25">
        <v>0.38018750000000034</v>
      </c>
      <c r="U83" s="25">
        <v>0.3391458333333332</v>
      </c>
      <c r="V83" s="25">
        <v>-82.653541666666669</v>
      </c>
      <c r="W83" s="25">
        <v>-126.12291666666665</v>
      </c>
      <c r="X83" s="25">
        <v>-40.272708333333334</v>
      </c>
      <c r="Y83" s="25">
        <v>-36.369583333333338</v>
      </c>
      <c r="Z83" s="25">
        <v>-62.372291666666676</v>
      </c>
      <c r="AA83" s="25">
        <v>-53.246041666666684</v>
      </c>
      <c r="AB83" s="25">
        <v>-42.782708333333346</v>
      </c>
      <c r="AC83" s="25">
        <v>-46.232708333333342</v>
      </c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>
        <v>0.24165447154471534</v>
      </c>
      <c r="AU83" s="25">
        <v>0.13183333333333327</v>
      </c>
      <c r="AV83" s="25">
        <v>0.25603472222222218</v>
      </c>
      <c r="AW83" s="25"/>
      <c r="AX83" s="25"/>
      <c r="AY83" s="25"/>
      <c r="AZ83" s="25"/>
      <c r="BA83" s="25"/>
      <c r="BB83" s="25"/>
      <c r="BC83" s="25"/>
      <c r="BD83" s="25"/>
      <c r="BE83" s="25"/>
    </row>
    <row r="84" spans="1:57" x14ac:dyDescent="0.25">
      <c r="A84" s="1">
        <v>12.8</v>
      </c>
      <c r="B84" s="1">
        <v>9.1</v>
      </c>
      <c r="C84" s="22"/>
      <c r="D84" s="23">
        <v>43791</v>
      </c>
      <c r="E84" s="24">
        <v>31.791666666666668</v>
      </c>
      <c r="F84" s="24">
        <v>93.720833333333346</v>
      </c>
      <c r="G84" s="24">
        <v>10.914583333333331</v>
      </c>
      <c r="H84" s="24">
        <v>1</v>
      </c>
      <c r="I84" s="24">
        <v>139.6875</v>
      </c>
      <c r="J84" s="24">
        <v>8.4166666666666661</v>
      </c>
      <c r="K84" s="24">
        <v>0.66666666666666663</v>
      </c>
      <c r="L84" s="24">
        <v>9.9375000000000018</v>
      </c>
      <c r="M84" s="10">
        <v>8.4437349349789526E-2</v>
      </c>
      <c r="N84" s="25">
        <v>0.27760416666666682</v>
      </c>
      <c r="O84" s="25">
        <v>0.3966875000000003</v>
      </c>
      <c r="P84" s="25">
        <v>0.47410416666666677</v>
      </c>
      <c r="Q84" s="25">
        <v>0.50387499999999996</v>
      </c>
      <c r="R84" s="25">
        <v>0.46877083333333358</v>
      </c>
      <c r="S84" s="25">
        <v>0.36899999999999983</v>
      </c>
      <c r="T84" s="25">
        <v>0.37889583333333321</v>
      </c>
      <c r="U84" s="25">
        <v>0.33754166666666646</v>
      </c>
      <c r="V84" s="25">
        <v>-89.64791666666666</v>
      </c>
      <c r="W84" s="25">
        <v>-138.07708333333332</v>
      </c>
      <c r="X84" s="25">
        <v>-44.183749999999996</v>
      </c>
      <c r="Y84" s="25">
        <v>-39.737499999999997</v>
      </c>
      <c r="Z84" s="25">
        <v>-68.057916666666685</v>
      </c>
      <c r="AA84" s="25">
        <v>-57.861666666666679</v>
      </c>
      <c r="AB84" s="25">
        <v>-46.505833333333328</v>
      </c>
      <c r="AC84" s="25">
        <v>-50.511041666666678</v>
      </c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>
        <v>0.24023888888888881</v>
      </c>
      <c r="AU84" s="25">
        <v>0.13252777777777783</v>
      </c>
      <c r="AV84" s="25">
        <v>0.25651388888888887</v>
      </c>
      <c r="AW84" s="25"/>
      <c r="AX84" s="25"/>
      <c r="AY84" s="25"/>
      <c r="AZ84" s="25"/>
      <c r="BA84" s="25"/>
      <c r="BB84" s="25"/>
      <c r="BC84" s="25"/>
      <c r="BD84" s="25"/>
      <c r="BE84" s="25"/>
    </row>
    <row r="85" spans="1:57" x14ac:dyDescent="0.25">
      <c r="A85" s="1">
        <v>19.2</v>
      </c>
      <c r="B85" s="1">
        <v>12.5</v>
      </c>
      <c r="C85" s="22"/>
      <c r="D85" s="23">
        <v>43792</v>
      </c>
      <c r="E85" s="24">
        <v>86.416666666666671</v>
      </c>
      <c r="F85" s="24">
        <v>82.50833333333334</v>
      </c>
      <c r="G85" s="24">
        <v>14.643749999999995</v>
      </c>
      <c r="H85" s="24">
        <v>0</v>
      </c>
      <c r="I85" s="24">
        <v>138.6875</v>
      </c>
      <c r="J85" s="24">
        <v>11.208333333333334</v>
      </c>
      <c r="K85" s="24">
        <v>1.5</v>
      </c>
      <c r="L85" s="24">
        <v>11.58958333333333</v>
      </c>
      <c r="M85" s="10">
        <v>0.31199376510680116</v>
      </c>
      <c r="N85" s="25">
        <v>0.27945833333333331</v>
      </c>
      <c r="O85" s="25">
        <v>0.39631250000000007</v>
      </c>
      <c r="P85" s="25">
        <v>0.4741250000000003</v>
      </c>
      <c r="Q85" s="25">
        <v>0.50166666666666726</v>
      </c>
      <c r="R85" s="25">
        <v>0.47047916666666662</v>
      </c>
      <c r="S85" s="25">
        <v>0.36899999999999983</v>
      </c>
      <c r="T85" s="25">
        <v>0.37810416666666663</v>
      </c>
      <c r="U85" s="25">
        <v>0.33641666666666681</v>
      </c>
      <c r="V85" s="25">
        <v>-98.297916666666666</v>
      </c>
      <c r="W85" s="25">
        <v>-153.45416666666668</v>
      </c>
      <c r="X85" s="25">
        <v>-49.51645833333334</v>
      </c>
      <c r="Y85" s="25">
        <v>-44.517708333333331</v>
      </c>
      <c r="Z85" s="25">
        <v>-75.525416666666658</v>
      </c>
      <c r="AA85" s="25">
        <v>-64.176458333333343</v>
      </c>
      <c r="AB85" s="25">
        <v>-51.656874999999992</v>
      </c>
      <c r="AC85" s="25">
        <v>-56.572916666666679</v>
      </c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>
        <v>0.23799999999999996</v>
      </c>
      <c r="AU85" s="25">
        <v>0.13303985507246374</v>
      </c>
      <c r="AV85" s="25">
        <v>0.25818055555555547</v>
      </c>
      <c r="AW85" s="25"/>
      <c r="AX85" s="25"/>
      <c r="AY85" s="25"/>
      <c r="AZ85" s="25"/>
      <c r="BA85" s="25"/>
      <c r="BB85" s="25"/>
      <c r="BC85" s="25"/>
      <c r="BD85" s="25"/>
      <c r="BE85" s="25"/>
    </row>
    <row r="86" spans="1:57" x14ac:dyDescent="0.25">
      <c r="A86" s="1">
        <v>14.7</v>
      </c>
      <c r="B86" s="1">
        <v>7.7</v>
      </c>
      <c r="C86" s="22"/>
      <c r="D86" s="23">
        <v>43793</v>
      </c>
      <c r="E86" s="24">
        <v>23.833333333333332</v>
      </c>
      <c r="F86" s="24">
        <v>85.158333333333346</v>
      </c>
      <c r="G86" s="24">
        <v>11.862500000000004</v>
      </c>
      <c r="H86" s="24">
        <v>0.8</v>
      </c>
      <c r="I86" s="24">
        <v>190.85416666666666</v>
      </c>
      <c r="J86" s="24">
        <v>7.854166666666667</v>
      </c>
      <c r="K86" s="24">
        <v>0.95833333333333337</v>
      </c>
      <c r="L86" s="24">
        <v>9.4416666666666682</v>
      </c>
      <c r="M86" s="10">
        <v>0.2076048614661363</v>
      </c>
      <c r="N86" s="25">
        <v>0.27985416666666663</v>
      </c>
      <c r="O86" s="25">
        <v>0.39695833333333358</v>
      </c>
      <c r="P86" s="25">
        <v>0.47539583333333341</v>
      </c>
      <c r="Q86" s="25">
        <v>0.50075000000000003</v>
      </c>
      <c r="R86" s="25">
        <v>0.47229166666666678</v>
      </c>
      <c r="S86" s="25">
        <v>0.36899999999999983</v>
      </c>
      <c r="T86" s="25">
        <v>0.37741666666666668</v>
      </c>
      <c r="U86" s="25">
        <v>0.33500000000000041</v>
      </c>
      <c r="V86" s="25">
        <v>-93.945833333333326</v>
      </c>
      <c r="W86" s="25">
        <v>-142.76666666666674</v>
      </c>
      <c r="X86" s="25">
        <v>-47.21895833333334</v>
      </c>
      <c r="Y86" s="25">
        <v>-42.568333333333321</v>
      </c>
      <c r="Z86" s="25">
        <v>-71.893124999999998</v>
      </c>
      <c r="AA86" s="25">
        <v>-60.677291666666683</v>
      </c>
      <c r="AB86" s="25">
        <v>-49.488124999999997</v>
      </c>
      <c r="AC86" s="25">
        <v>-53.961875000000013</v>
      </c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>
        <v>0.23306410256410257</v>
      </c>
      <c r="AU86" s="25">
        <v>0.13111764705882356</v>
      </c>
      <c r="AV86" s="25">
        <v>0.25713194444444443</v>
      </c>
      <c r="AW86" s="25"/>
      <c r="AX86" s="25"/>
      <c r="AY86" s="25"/>
      <c r="AZ86" s="25"/>
      <c r="BA86" s="25"/>
      <c r="BB86" s="25"/>
      <c r="BC86" s="25"/>
      <c r="BD86" s="25"/>
      <c r="BE86" s="25"/>
    </row>
    <row r="87" spans="1:57" x14ac:dyDescent="0.25">
      <c r="A87" s="1">
        <v>9.1</v>
      </c>
      <c r="B87" s="1">
        <v>6.2</v>
      </c>
      <c r="C87" s="22"/>
      <c r="D87" s="23">
        <v>43794</v>
      </c>
      <c r="E87" s="24">
        <v>41.104166666666664</v>
      </c>
      <c r="F87" s="24">
        <v>89.379166666666649</v>
      </c>
      <c r="G87" s="24">
        <v>7.1979166666666679</v>
      </c>
      <c r="H87" s="24">
        <v>2.7</v>
      </c>
      <c r="I87" s="24">
        <v>186.27083333333334</v>
      </c>
      <c r="J87" s="24">
        <v>3.8125</v>
      </c>
      <c r="K87" s="24">
        <v>8.3333333333333329E-2</v>
      </c>
      <c r="L87" s="24">
        <v>5.55</v>
      </c>
      <c r="M87" s="10">
        <v>0.10938476689183986</v>
      </c>
      <c r="N87" s="25">
        <v>0.27670833333333328</v>
      </c>
      <c r="O87" s="25">
        <v>0.39312499999999978</v>
      </c>
      <c r="P87" s="25">
        <v>0.47243750000000007</v>
      </c>
      <c r="Q87" s="25">
        <v>0.49866666666666676</v>
      </c>
      <c r="R87" s="25">
        <v>0.46787500000000004</v>
      </c>
      <c r="S87" s="25">
        <v>0.3674583333333335</v>
      </c>
      <c r="T87" s="25">
        <v>0.37666666666666676</v>
      </c>
      <c r="U87" s="25">
        <v>0.33464583333333336</v>
      </c>
      <c r="V87" s="25">
        <v>-90.8</v>
      </c>
      <c r="W87" s="25">
        <v>-132.41874999999993</v>
      </c>
      <c r="X87" s="25">
        <v>-44.100833333333334</v>
      </c>
      <c r="Y87" s="25">
        <v>-39.461874999999999</v>
      </c>
      <c r="Z87" s="25">
        <v>-67.998125000000002</v>
      </c>
      <c r="AA87" s="25">
        <v>-56.188750000000006</v>
      </c>
      <c r="AB87" s="25">
        <v>-45.945625000000014</v>
      </c>
      <c r="AC87" s="25">
        <v>-49.943333333333328</v>
      </c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>
        <v>0.2317222222222223</v>
      </c>
      <c r="AU87" s="25"/>
      <c r="AV87" s="25">
        <v>0.25459027777777771</v>
      </c>
      <c r="AW87" s="25"/>
      <c r="AX87" s="25"/>
      <c r="AY87" s="25"/>
      <c r="AZ87" s="25"/>
      <c r="BA87" s="25"/>
      <c r="BB87" s="25"/>
      <c r="BC87" s="25"/>
      <c r="BD87" s="25"/>
      <c r="BE87" s="25"/>
    </row>
    <row r="88" spans="1:57" x14ac:dyDescent="0.25">
      <c r="A88" s="1">
        <v>9.6</v>
      </c>
      <c r="B88" s="1">
        <v>4.3</v>
      </c>
      <c r="C88" s="22"/>
      <c r="D88" s="23">
        <v>43795</v>
      </c>
      <c r="E88" s="24">
        <v>9.125</v>
      </c>
      <c r="F88" s="24">
        <v>95.99375000000002</v>
      </c>
      <c r="G88" s="24">
        <v>7.3020833333333348</v>
      </c>
      <c r="H88" s="24">
        <v>3.0000000000000009</v>
      </c>
      <c r="I88" s="24">
        <v>140.10416666666666</v>
      </c>
      <c r="J88" s="24">
        <v>6.333333333333333</v>
      </c>
      <c r="K88" s="24">
        <v>0.27083333333333331</v>
      </c>
      <c r="L88" s="24">
        <v>6.7062500000000007</v>
      </c>
      <c r="M88" s="10">
        <v>4.0939112869724785E-2</v>
      </c>
      <c r="N88" s="25">
        <v>0.27450000000000019</v>
      </c>
      <c r="O88" s="25">
        <v>0.3889166666666668</v>
      </c>
      <c r="P88" s="25">
        <v>0.46874999999999983</v>
      </c>
      <c r="Q88" s="25">
        <v>0.49506249999999974</v>
      </c>
      <c r="R88" s="25">
        <v>0.46429166666666671</v>
      </c>
      <c r="S88" s="25">
        <v>0.36527083333333327</v>
      </c>
      <c r="T88" s="25">
        <v>0.37533333333333335</v>
      </c>
      <c r="U88" s="25">
        <v>0.33331250000000007</v>
      </c>
      <c r="V88" s="25">
        <v>-95.783333333333317</v>
      </c>
      <c r="W88" s="25">
        <v>-139.61875000000001</v>
      </c>
      <c r="X88" s="25">
        <v>-46.028333333333336</v>
      </c>
      <c r="Y88" s="25">
        <v>-40.957083333333337</v>
      </c>
      <c r="Z88" s="25">
        <v>-70.947083333333339</v>
      </c>
      <c r="AA88" s="25">
        <v>-58.099166666666662</v>
      </c>
      <c r="AB88" s="25">
        <v>-47.404791666666661</v>
      </c>
      <c r="AC88" s="25">
        <v>-51.782291666666687</v>
      </c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>
        <v>0.2307013888888888</v>
      </c>
      <c r="AU88" s="25">
        <v>0.20266666666666666</v>
      </c>
      <c r="AV88" s="25">
        <v>0.25427777777777771</v>
      </c>
      <c r="AW88" s="25"/>
      <c r="AX88" s="25"/>
      <c r="AY88" s="25"/>
      <c r="AZ88" s="25"/>
      <c r="BA88" s="25"/>
      <c r="BB88" s="25"/>
      <c r="BC88" s="25"/>
      <c r="BD88" s="25"/>
      <c r="BE88" s="25"/>
    </row>
    <row r="89" spans="1:57" x14ac:dyDescent="0.25">
      <c r="A89" s="1">
        <v>8.1999999999999993</v>
      </c>
      <c r="B89" s="1">
        <v>4.3</v>
      </c>
      <c r="C89" s="22"/>
      <c r="D89" s="23">
        <v>43796</v>
      </c>
      <c r="E89" s="24">
        <v>33.270833333333336</v>
      </c>
      <c r="F89" s="24">
        <v>89.964583333333337</v>
      </c>
      <c r="G89" s="24">
        <v>6.3291666666666666</v>
      </c>
      <c r="H89" s="24">
        <v>0.4</v>
      </c>
      <c r="I89" s="24">
        <v>206.125</v>
      </c>
      <c r="J89" s="24">
        <v>2.0416666666666665</v>
      </c>
      <c r="K89" s="24">
        <v>0</v>
      </c>
      <c r="L89" s="24">
        <v>4.7812499999999991</v>
      </c>
      <c r="M89" s="10">
        <v>0.10025410670178085</v>
      </c>
      <c r="N89" s="25">
        <v>0.27324999999999983</v>
      </c>
      <c r="O89" s="25">
        <v>0.38554166666666667</v>
      </c>
      <c r="P89" s="25">
        <v>0.46585416666666646</v>
      </c>
      <c r="Q89" s="25">
        <v>0.49145833333333305</v>
      </c>
      <c r="R89" s="25">
        <v>0.46118749999999992</v>
      </c>
      <c r="S89" s="25">
        <v>0.36372916666666649</v>
      </c>
      <c r="T89" s="25">
        <v>0.37391666666666673</v>
      </c>
      <c r="U89" s="25">
        <v>0.33245833333333363</v>
      </c>
      <c r="V89" s="25">
        <v>-97.770833333333314</v>
      </c>
      <c r="W89" s="25">
        <v>-141.61250000000001</v>
      </c>
      <c r="X89" s="25">
        <v>-46.557708333333331</v>
      </c>
      <c r="Y89" s="25">
        <v>-41.224791666666668</v>
      </c>
      <c r="Z89" s="25">
        <v>-71.476249999999979</v>
      </c>
      <c r="AA89" s="25">
        <v>-57.851041666666674</v>
      </c>
      <c r="AB89" s="25">
        <v>-47.029375000000009</v>
      </c>
      <c r="AC89" s="25">
        <v>-51.817916666666662</v>
      </c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>
        <v>0.23241489361702142</v>
      </c>
      <c r="AU89" s="25">
        <v>0.19801388888888891</v>
      </c>
      <c r="AV89" s="25">
        <v>0.2720763888888888</v>
      </c>
      <c r="AW89" s="25"/>
      <c r="AX89" s="25"/>
      <c r="AY89" s="25"/>
      <c r="AZ89" s="25"/>
      <c r="BA89" s="25"/>
      <c r="BB89" s="25"/>
      <c r="BC89" s="25"/>
      <c r="BD89" s="25"/>
      <c r="BE89" s="25"/>
    </row>
    <row r="90" spans="1:57" x14ac:dyDescent="0.25">
      <c r="A90" s="1">
        <v>6.3</v>
      </c>
      <c r="B90" s="1">
        <v>4.5</v>
      </c>
      <c r="C90" s="22"/>
      <c r="D90" s="23">
        <v>43797</v>
      </c>
      <c r="E90" s="24">
        <v>26.916666666666668</v>
      </c>
      <c r="F90" s="24">
        <v>91.456249999999997</v>
      </c>
      <c r="G90" s="24">
        <v>5.0395833333333337</v>
      </c>
      <c r="H90" s="24">
        <v>1</v>
      </c>
      <c r="I90" s="24">
        <v>117.75</v>
      </c>
      <c r="J90" s="24">
        <v>4.770833333333333</v>
      </c>
      <c r="K90" s="24">
        <v>0.10416666666666667</v>
      </c>
      <c r="L90" s="24">
        <v>3.7583333333333329</v>
      </c>
      <c r="M90" s="10">
        <v>7.5083770823307527E-2</v>
      </c>
      <c r="N90" s="25">
        <v>0.27191666666666697</v>
      </c>
      <c r="O90" s="25">
        <v>0.38262499999999983</v>
      </c>
      <c r="P90" s="25">
        <v>0.46314583333333315</v>
      </c>
      <c r="Q90" s="25">
        <v>0.48814583333333311</v>
      </c>
      <c r="R90" s="25">
        <v>0.45893749999999955</v>
      </c>
      <c r="S90" s="25">
        <v>0.36191666666666683</v>
      </c>
      <c r="T90" s="25">
        <v>0.3725416666666666</v>
      </c>
      <c r="U90" s="25">
        <v>0.33099999999999991</v>
      </c>
      <c r="V90" s="25">
        <v>-98.59166666666664</v>
      </c>
      <c r="W90" s="25">
        <v>-143.28333333333339</v>
      </c>
      <c r="X90" s="25">
        <v>-47.086875000000013</v>
      </c>
      <c r="Y90" s="25">
        <v>-41.52</v>
      </c>
      <c r="Z90" s="25">
        <v>-70.711666666666687</v>
      </c>
      <c r="AA90" s="25">
        <v>-57.662916666666682</v>
      </c>
      <c r="AB90" s="25">
        <v>-46.775416666666672</v>
      </c>
      <c r="AC90" s="25">
        <v>-51.748124999999995</v>
      </c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>
        <v>0.23225793650793647</v>
      </c>
      <c r="AU90" s="25">
        <v>0.18247222222222223</v>
      </c>
      <c r="AV90" s="25">
        <v>0.26922222222222231</v>
      </c>
      <c r="AW90" s="25"/>
      <c r="AX90" s="25"/>
      <c r="AY90" s="25"/>
      <c r="AZ90" s="25"/>
      <c r="BA90" s="25"/>
      <c r="BB90" s="25"/>
      <c r="BC90" s="25"/>
      <c r="BD90" s="25"/>
      <c r="BE90" s="25"/>
    </row>
    <row r="91" spans="1:57" x14ac:dyDescent="0.25">
      <c r="A91" s="1">
        <v>6.9</v>
      </c>
      <c r="B91" s="1">
        <v>3.9</v>
      </c>
      <c r="C91" s="22"/>
      <c r="D91" s="23">
        <v>43798</v>
      </c>
      <c r="E91" s="24">
        <v>27.3125</v>
      </c>
      <c r="F91" s="24">
        <v>95.683333333333337</v>
      </c>
      <c r="G91" s="24">
        <v>5.3666666666666663</v>
      </c>
      <c r="H91" s="24">
        <v>3.2000000000000006</v>
      </c>
      <c r="I91" s="24">
        <v>108.35416666666667</v>
      </c>
      <c r="J91" s="24">
        <v>6.1875</v>
      </c>
      <c r="K91" s="24">
        <v>0.64583333333333337</v>
      </c>
      <c r="L91" s="24">
        <v>4.7374999999999998</v>
      </c>
      <c r="M91" s="10">
        <v>3.8914709049390407E-2</v>
      </c>
      <c r="N91" s="25">
        <v>0.2710000000000003</v>
      </c>
      <c r="O91" s="25">
        <v>0.37989583333333349</v>
      </c>
      <c r="P91" s="25">
        <v>0.4600416666666669</v>
      </c>
      <c r="Q91" s="25">
        <v>0.48458333333333342</v>
      </c>
      <c r="R91" s="25">
        <v>0.45662499999999989</v>
      </c>
      <c r="S91" s="25">
        <v>0.36052083333333301</v>
      </c>
      <c r="T91" s="25">
        <v>0.37108333333333349</v>
      </c>
      <c r="U91" s="25">
        <v>0.32987500000000014</v>
      </c>
      <c r="V91" s="25">
        <v>-102.17916666666669</v>
      </c>
      <c r="W91" s="25">
        <v>-149.46874999999994</v>
      </c>
      <c r="X91" s="25">
        <v>-49.044583333333321</v>
      </c>
      <c r="Y91" s="25">
        <v>-43.168749999999996</v>
      </c>
      <c r="Z91" s="25">
        <v>-71.336666666666673</v>
      </c>
      <c r="AA91" s="25">
        <v>-59.27270833333332</v>
      </c>
      <c r="AB91" s="25">
        <v>-47.831666666666656</v>
      </c>
      <c r="AC91" s="25">
        <v>-53.083541666666662</v>
      </c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>
        <v>0.2372261904761904</v>
      </c>
      <c r="AU91" s="25">
        <v>0.20091666666666672</v>
      </c>
      <c r="AV91" s="25">
        <v>0.27945138888888887</v>
      </c>
      <c r="AW91" s="25"/>
      <c r="AX91" s="25"/>
      <c r="AY91" s="25"/>
      <c r="AZ91" s="25"/>
      <c r="BA91" s="25"/>
      <c r="BB91" s="25"/>
      <c r="BC91" s="25"/>
      <c r="BD91" s="25"/>
      <c r="BE91" s="25"/>
    </row>
    <row r="92" spans="1:57" x14ac:dyDescent="0.25">
      <c r="A92" s="1">
        <v>6.9</v>
      </c>
      <c r="B92" s="1">
        <v>3.7</v>
      </c>
      <c r="C92" s="22"/>
      <c r="D92" s="23">
        <v>43799</v>
      </c>
      <c r="E92" s="24">
        <v>32.270833333333336</v>
      </c>
      <c r="F92" s="24">
        <v>94.229166666666671</v>
      </c>
      <c r="G92" s="24">
        <v>5.0229166666666671</v>
      </c>
      <c r="H92" s="24">
        <v>1.7999999999999998</v>
      </c>
      <c r="I92" s="24">
        <v>156.45833333333334</v>
      </c>
      <c r="J92" s="24">
        <v>3.8958333333333335</v>
      </c>
      <c r="K92" s="24">
        <v>0.10416666666666667</v>
      </c>
      <c r="L92" s="24">
        <v>4.1666666666666661</v>
      </c>
      <c r="M92" s="10">
        <v>5.2324868350467228E-2</v>
      </c>
      <c r="N92" s="25">
        <v>0.2710000000000003</v>
      </c>
      <c r="O92" s="25">
        <v>0.37808333333333333</v>
      </c>
      <c r="P92" s="25">
        <v>0.45824999999999977</v>
      </c>
      <c r="Q92" s="25">
        <v>0.48191666666666694</v>
      </c>
      <c r="R92" s="25">
        <v>0.45599999999999979</v>
      </c>
      <c r="S92" s="25">
        <v>0.35945833333333344</v>
      </c>
      <c r="T92" s="25">
        <v>0.36997916666666636</v>
      </c>
      <c r="U92" s="25">
        <v>0.32900000000000024</v>
      </c>
      <c r="V92" s="25">
        <v>-102.49583333333335</v>
      </c>
      <c r="W92" s="25">
        <v>-152.14166666666668</v>
      </c>
      <c r="X92" s="25">
        <v>-50.063124999999985</v>
      </c>
      <c r="Y92" s="25">
        <v>-44.042083333333331</v>
      </c>
      <c r="Z92" s="25">
        <v>-67.855208333333323</v>
      </c>
      <c r="AA92" s="25">
        <v>-59.604583333333345</v>
      </c>
      <c r="AB92" s="25">
        <v>-48.189166666666672</v>
      </c>
      <c r="AC92" s="25">
        <v>-53.614999999999988</v>
      </c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>
        <v>0.25616304347826091</v>
      </c>
      <c r="AU92" s="25">
        <v>0.22039393939393942</v>
      </c>
      <c r="AV92" s="25">
        <v>0.32277777777777772</v>
      </c>
      <c r="AW92" s="25"/>
      <c r="AX92" s="25"/>
      <c r="AY92" s="25"/>
      <c r="AZ92" s="25"/>
      <c r="BA92" s="25"/>
      <c r="BB92" s="25"/>
      <c r="BC92" s="25"/>
      <c r="BD92" s="25"/>
      <c r="BE92" s="25"/>
    </row>
    <row r="93" spans="1:57" x14ac:dyDescent="0.25">
      <c r="A93" s="1">
        <v>7.7</v>
      </c>
      <c r="B93" s="1">
        <v>3.2</v>
      </c>
      <c r="C93" s="22"/>
      <c r="D93" s="23">
        <v>43800</v>
      </c>
      <c r="E93" s="24">
        <v>44.416666666666664</v>
      </c>
      <c r="F93" s="24">
        <v>84.860416666666666</v>
      </c>
      <c r="G93" s="24">
        <v>4.8270833333333343</v>
      </c>
      <c r="H93" s="24">
        <v>0.2</v>
      </c>
      <c r="I93" s="24">
        <v>229.45833333333334</v>
      </c>
      <c r="J93" s="24">
        <v>3.9375</v>
      </c>
      <c r="K93" s="24">
        <v>0</v>
      </c>
      <c r="L93" s="24">
        <v>2.4416666666666669</v>
      </c>
      <c r="M93" s="10">
        <v>0.13527654826790894</v>
      </c>
      <c r="N93" s="25">
        <v>0.27081250000000029</v>
      </c>
      <c r="O93" s="25">
        <v>0.37591666666666662</v>
      </c>
      <c r="P93" s="25">
        <v>0.45649999999999985</v>
      </c>
      <c r="Q93" s="25">
        <v>0.4789791666666669</v>
      </c>
      <c r="R93" s="25">
        <v>0.45556249999999993</v>
      </c>
      <c r="S93" s="25">
        <v>0.35843750000000024</v>
      </c>
      <c r="T93" s="25">
        <v>0.36906249999999985</v>
      </c>
      <c r="U93" s="25">
        <v>0.32835416666666639</v>
      </c>
      <c r="V93" s="25">
        <v>-101.97083333333336</v>
      </c>
      <c r="W93" s="25">
        <v>-154.26250000000002</v>
      </c>
      <c r="X93" s="25">
        <v>-51.024374999999985</v>
      </c>
      <c r="Y93" s="25">
        <v>-44.831874999999997</v>
      </c>
      <c r="Z93" s="25">
        <v>-59.55937500000001</v>
      </c>
      <c r="AA93" s="25">
        <v>-59.846666666666636</v>
      </c>
      <c r="AB93" s="25">
        <v>-48.366041666666668</v>
      </c>
      <c r="AC93" s="25">
        <v>-53.971875000000004</v>
      </c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>
        <v>0.25914227642276422</v>
      </c>
      <c r="AU93" s="25">
        <v>0.20940277777777783</v>
      </c>
      <c r="AV93" s="25">
        <v>0.33462500000000023</v>
      </c>
      <c r="AW93" s="25"/>
      <c r="AX93" s="25"/>
      <c r="AY93" s="25"/>
      <c r="AZ93" s="25"/>
      <c r="BA93" s="25"/>
      <c r="BB93" s="25"/>
      <c r="BC93" s="25"/>
      <c r="BD93" s="25"/>
      <c r="BE93" s="25"/>
    </row>
    <row r="94" spans="1:57" x14ac:dyDescent="0.25">
      <c r="A94" s="1">
        <v>8.6</v>
      </c>
      <c r="B94" s="1">
        <v>2.8</v>
      </c>
      <c r="C94" s="22"/>
      <c r="D94" s="23">
        <v>43801</v>
      </c>
      <c r="E94" s="24">
        <v>71.208333333333329</v>
      </c>
      <c r="F94" s="24">
        <v>76.168750000000031</v>
      </c>
      <c r="G94" s="24">
        <v>4.1916666666666682</v>
      </c>
      <c r="H94" s="24">
        <v>0</v>
      </c>
      <c r="I94" s="24">
        <v>183.6875</v>
      </c>
      <c r="J94" s="24">
        <v>6.4375</v>
      </c>
      <c r="K94" s="24">
        <v>0.22916666666666666</v>
      </c>
      <c r="L94" s="24">
        <v>0.27291666666666659</v>
      </c>
      <c r="M94" s="10">
        <v>0.20608070790103158</v>
      </c>
      <c r="N94" s="25">
        <v>0.27020833333333349</v>
      </c>
      <c r="O94" s="25">
        <v>0.37368749999999978</v>
      </c>
      <c r="P94" s="25">
        <v>0.45424999999999988</v>
      </c>
      <c r="Q94" s="25">
        <v>0.47610416666666694</v>
      </c>
      <c r="R94" s="25">
        <v>0.4548541666666665</v>
      </c>
      <c r="S94" s="25">
        <v>0.35770833333333313</v>
      </c>
      <c r="T94" s="25">
        <v>0.3683541666666667</v>
      </c>
      <c r="U94" s="25">
        <v>0.32683333333333342</v>
      </c>
      <c r="V94" s="25">
        <v>-101.63541666666664</v>
      </c>
      <c r="W94" s="25">
        <v>-157.67291666666668</v>
      </c>
      <c r="X94" s="25">
        <v>-52.36375000000001</v>
      </c>
      <c r="Y94" s="25">
        <v>-45.986041666666665</v>
      </c>
      <c r="Z94" s="25">
        <v>-51.853124999999999</v>
      </c>
      <c r="AA94" s="25">
        <v>-60.665625000000027</v>
      </c>
      <c r="AB94" s="25">
        <v>-49.044374999999995</v>
      </c>
      <c r="AC94" s="25">
        <v>-54.746041666666663</v>
      </c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>
        <v>0.25708854166666656</v>
      </c>
      <c r="AU94" s="25">
        <v>0.19613194444444446</v>
      </c>
      <c r="AV94" s="25">
        <v>0.3300555555555556</v>
      </c>
      <c r="AW94" s="25"/>
      <c r="AX94" s="25"/>
      <c r="AY94" s="25"/>
      <c r="AZ94" s="25"/>
      <c r="BA94" s="25"/>
      <c r="BB94" s="25"/>
      <c r="BC94" s="25"/>
      <c r="BD94" s="25"/>
      <c r="BE94" s="25"/>
    </row>
    <row r="95" spans="1:57" x14ac:dyDescent="0.25">
      <c r="A95" s="1">
        <v>9.1999999999999993</v>
      </c>
      <c r="B95" s="1">
        <v>2.9</v>
      </c>
      <c r="C95" s="22"/>
      <c r="D95" s="23">
        <v>43802</v>
      </c>
      <c r="E95" s="24">
        <v>59.729166666666664</v>
      </c>
      <c r="F95" s="24">
        <v>75.829166666666666</v>
      </c>
      <c r="G95" s="24">
        <v>4.9958333333333327</v>
      </c>
      <c r="H95" s="24">
        <v>0</v>
      </c>
      <c r="I95" s="24">
        <v>151.20833333333334</v>
      </c>
      <c r="J95" s="24">
        <v>2.7291666666666665</v>
      </c>
      <c r="K95" s="24">
        <v>0</v>
      </c>
      <c r="L95" s="24">
        <v>0.96874999999999989</v>
      </c>
      <c r="M95" s="10">
        <v>0.22215286463172132</v>
      </c>
      <c r="N95" s="25">
        <v>0.27039583333333339</v>
      </c>
      <c r="O95" s="25">
        <v>0.37233333333333335</v>
      </c>
      <c r="P95" s="25">
        <v>0.45252083333333371</v>
      </c>
      <c r="Q95" s="25">
        <v>0.47364583333333327</v>
      </c>
      <c r="R95" s="25">
        <v>0.45485416666666656</v>
      </c>
      <c r="S95" s="25">
        <v>0.35702083333333307</v>
      </c>
      <c r="T95" s="25">
        <v>0.36739583333333381</v>
      </c>
      <c r="U95" s="25">
        <v>0.32574999999999987</v>
      </c>
      <c r="V95" s="25">
        <v>-101.43958333333336</v>
      </c>
      <c r="W95" s="25">
        <v>-161.66458333333333</v>
      </c>
      <c r="X95" s="25">
        <v>-54.178125000000001</v>
      </c>
      <c r="Y95" s="25">
        <v>-47.714374999999997</v>
      </c>
      <c r="Z95" s="25">
        <v>-46.129791666666669</v>
      </c>
      <c r="AA95" s="25">
        <v>-62.07104166666668</v>
      </c>
      <c r="AB95" s="25">
        <v>-50.27791666666667</v>
      </c>
      <c r="AC95" s="25">
        <v>-56.173541666666672</v>
      </c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>
        <v>0.25494999999999995</v>
      </c>
      <c r="AU95" s="25">
        <v>0.18775694444444432</v>
      </c>
      <c r="AV95" s="25">
        <v>0.32351388888888882</v>
      </c>
      <c r="AW95" s="25"/>
      <c r="AX95" s="25"/>
      <c r="AY95" s="25"/>
      <c r="AZ95" s="25"/>
      <c r="BA95" s="25"/>
      <c r="BB95" s="25"/>
      <c r="BC95" s="25"/>
      <c r="BD95" s="25"/>
      <c r="BE95" s="25"/>
    </row>
    <row r="96" spans="1:57" x14ac:dyDescent="0.25">
      <c r="A96" s="1">
        <v>9.4</v>
      </c>
      <c r="B96" s="1">
        <v>3.1</v>
      </c>
      <c r="C96" s="22"/>
      <c r="D96" s="23">
        <v>43803</v>
      </c>
      <c r="E96" s="24">
        <v>47.270833333333336</v>
      </c>
      <c r="F96" s="24">
        <v>77.158333333333331</v>
      </c>
      <c r="G96" s="24">
        <v>5.0770833333333325</v>
      </c>
      <c r="H96" s="24">
        <v>0.2</v>
      </c>
      <c r="I96" s="24">
        <v>234.8125</v>
      </c>
      <c r="J96" s="24">
        <v>3.6458333333333335</v>
      </c>
      <c r="K96" s="24">
        <v>0</v>
      </c>
      <c r="L96" s="24">
        <v>1.325</v>
      </c>
      <c r="M96" s="10">
        <v>0.20987108502275686</v>
      </c>
      <c r="N96" s="25">
        <v>0.27052083333333338</v>
      </c>
      <c r="O96" s="25">
        <v>0.37127083333333344</v>
      </c>
      <c r="P96" s="25">
        <v>0.45158333333333361</v>
      </c>
      <c r="Q96" s="25">
        <v>0.47108333333333302</v>
      </c>
      <c r="R96" s="25">
        <v>0.45497916666666643</v>
      </c>
      <c r="S96" s="25">
        <v>0.35656250000000006</v>
      </c>
      <c r="T96" s="25">
        <v>0.36660416666666662</v>
      </c>
      <c r="U96" s="25">
        <v>0.32479166666666648</v>
      </c>
      <c r="V96" s="25">
        <v>-99.772916666666688</v>
      </c>
      <c r="W96" s="25">
        <v>-162.78333333333333</v>
      </c>
      <c r="X96" s="25">
        <v>-55.162916666666661</v>
      </c>
      <c r="Y96" s="25">
        <v>-48.72916666666665</v>
      </c>
      <c r="Z96" s="25">
        <v>-41.980833333333337</v>
      </c>
      <c r="AA96" s="25">
        <v>-62.533958333333345</v>
      </c>
      <c r="AB96" s="25">
        <v>-50.893750000000011</v>
      </c>
      <c r="AC96" s="25">
        <v>-56.952291666666675</v>
      </c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>
        <v>0.25448263888888883</v>
      </c>
      <c r="AU96" s="25">
        <v>0.18072916666666664</v>
      </c>
      <c r="AV96" s="25">
        <v>0.31869444444444461</v>
      </c>
      <c r="AW96" s="25"/>
      <c r="AX96" s="25"/>
      <c r="AY96" s="25"/>
      <c r="AZ96" s="25"/>
      <c r="BA96" s="25"/>
      <c r="BB96" s="25"/>
      <c r="BC96" s="25"/>
      <c r="BD96" s="25"/>
      <c r="BE96" s="25"/>
    </row>
    <row r="97" spans="1:57" x14ac:dyDescent="0.25">
      <c r="A97" s="1">
        <v>5.0999999999999996</v>
      </c>
      <c r="B97" s="1">
        <v>0.8</v>
      </c>
      <c r="C97" s="22"/>
      <c r="D97" s="23">
        <v>43804</v>
      </c>
      <c r="E97" s="24">
        <v>41.520833333333336</v>
      </c>
      <c r="F97" s="24">
        <v>91.225000000000009</v>
      </c>
      <c r="G97" s="24">
        <v>2.5770833333333329</v>
      </c>
      <c r="H97" s="24">
        <v>6.3000000000000025</v>
      </c>
      <c r="I97" s="24">
        <v>224.66666666666666</v>
      </c>
      <c r="J97" s="24">
        <v>2.6041666666666665</v>
      </c>
      <c r="K97" s="24">
        <v>0</v>
      </c>
      <c r="L97" s="24">
        <v>1.2729166666666667</v>
      </c>
      <c r="M97" s="10">
        <v>6.6338874138053103E-2</v>
      </c>
      <c r="N97" s="25">
        <v>0.27054166666666674</v>
      </c>
      <c r="O97" s="25">
        <v>0.37024999999999975</v>
      </c>
      <c r="P97" s="25">
        <v>0.4496875000000003</v>
      </c>
      <c r="Q97" s="25">
        <v>0.46914583333333321</v>
      </c>
      <c r="R97" s="25">
        <v>0.45424999999999965</v>
      </c>
      <c r="S97" s="25">
        <v>0.35612500000000008</v>
      </c>
      <c r="T97" s="25">
        <v>0.36591666666666645</v>
      </c>
      <c r="U97" s="25">
        <v>0.3239999999999999</v>
      </c>
      <c r="V97" s="25">
        <v>-92.810416666666683</v>
      </c>
      <c r="W97" s="25">
        <v>-152.29999999999998</v>
      </c>
      <c r="X97" s="25">
        <v>-52.323124999999983</v>
      </c>
      <c r="Y97" s="25">
        <v>-46.497291666666676</v>
      </c>
      <c r="Z97" s="25">
        <v>-37.733333333333341</v>
      </c>
      <c r="AA97" s="25">
        <v>-58.62083333333333</v>
      </c>
      <c r="AB97" s="25">
        <v>-48.172083333333319</v>
      </c>
      <c r="AC97" s="25">
        <v>-53.808541666666663</v>
      </c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>
        <v>0.26323404255319155</v>
      </c>
      <c r="AU97" s="25">
        <v>0.22281944444444446</v>
      </c>
      <c r="AV97" s="25">
        <v>0.36665972222222232</v>
      </c>
      <c r="AW97" s="25"/>
      <c r="AX97" s="25"/>
      <c r="AY97" s="25"/>
      <c r="AZ97" s="25"/>
      <c r="BA97" s="25"/>
      <c r="BB97" s="25"/>
      <c r="BC97" s="25"/>
      <c r="BD97" s="25"/>
      <c r="BE97" s="25"/>
    </row>
    <row r="98" spans="1:57" x14ac:dyDescent="0.25">
      <c r="A98" s="1">
        <v>12.2</v>
      </c>
      <c r="B98" s="1">
        <v>-0.8</v>
      </c>
      <c r="C98" s="22"/>
      <c r="D98" s="23">
        <v>43805</v>
      </c>
      <c r="E98" s="24">
        <v>131.875</v>
      </c>
      <c r="F98" s="24">
        <v>76.579166666666666</v>
      </c>
      <c r="G98" s="24">
        <v>4.3312500000000016</v>
      </c>
      <c r="H98" s="24">
        <v>0</v>
      </c>
      <c r="I98" s="24">
        <v>237.58333333333334</v>
      </c>
      <c r="J98" s="24">
        <v>1.25</v>
      </c>
      <c r="K98" s="24">
        <v>0</v>
      </c>
      <c r="L98" s="24">
        <v>0.26250000000000012</v>
      </c>
      <c r="M98" s="10">
        <v>0.2364398368767702</v>
      </c>
      <c r="N98" s="25">
        <v>0.27097916666666677</v>
      </c>
      <c r="O98" s="25">
        <v>0.3683125000000001</v>
      </c>
      <c r="P98" s="25">
        <v>0.44785416666666661</v>
      </c>
      <c r="Q98" s="25">
        <v>0.46656249999999999</v>
      </c>
      <c r="R98" s="25">
        <v>0.45410416666666659</v>
      </c>
      <c r="S98" s="25">
        <v>0.35470833333333324</v>
      </c>
      <c r="T98" s="25">
        <v>0.36487500000000023</v>
      </c>
      <c r="U98" s="25">
        <v>0.32364583333333341</v>
      </c>
      <c r="V98" s="25">
        <v>-99.364583333333329</v>
      </c>
      <c r="W98" s="25">
        <v>-164.15625</v>
      </c>
      <c r="X98" s="25">
        <v>-57.718333333333341</v>
      </c>
      <c r="Y98" s="25">
        <v>-51.771875000000001</v>
      </c>
      <c r="Z98" s="25">
        <v>-35.74604166666667</v>
      </c>
      <c r="AA98" s="25">
        <v>-64.591458333333321</v>
      </c>
      <c r="AB98" s="25">
        <v>-52.916250000000012</v>
      </c>
      <c r="AC98" s="25">
        <v>-59.54041666666668</v>
      </c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>
        <v>0.26764236111111123</v>
      </c>
      <c r="AU98" s="25">
        <v>0.21180555555555558</v>
      </c>
      <c r="AV98" s="25">
        <v>0.39914583333333348</v>
      </c>
      <c r="AW98" s="25"/>
      <c r="AX98" s="25"/>
      <c r="AY98" s="25"/>
      <c r="AZ98" s="25"/>
      <c r="BA98" s="25"/>
      <c r="BB98" s="25"/>
      <c r="BC98" s="25"/>
      <c r="BD98" s="25"/>
      <c r="BE98" s="25"/>
    </row>
    <row r="99" spans="1:57" x14ac:dyDescent="0.25">
      <c r="A99" s="1">
        <v>13.4</v>
      </c>
      <c r="B99" s="1">
        <v>-1.3</v>
      </c>
      <c r="C99" s="22"/>
      <c r="D99" s="23">
        <v>43806</v>
      </c>
      <c r="E99" s="24">
        <v>166.29166666666666</v>
      </c>
      <c r="F99" s="24">
        <v>65.64791666666666</v>
      </c>
      <c r="G99" s="24">
        <v>5.5833333333333348</v>
      </c>
      <c r="H99" s="24">
        <v>0.2</v>
      </c>
      <c r="I99" s="24">
        <v>191.52083333333334</v>
      </c>
      <c r="J99" s="24">
        <v>3.8125</v>
      </c>
      <c r="K99" s="24">
        <v>0.35416666666666669</v>
      </c>
      <c r="L99" s="24">
        <v>-1.2479166666666668</v>
      </c>
      <c r="M99" s="10">
        <v>0.38853207317820559</v>
      </c>
      <c r="N99" s="25">
        <v>0.27331250000000001</v>
      </c>
      <c r="O99" s="25">
        <v>0.36891666666666673</v>
      </c>
      <c r="P99" s="25">
        <v>0.44868750000000018</v>
      </c>
      <c r="Q99" s="25">
        <v>0.46491666666666637</v>
      </c>
      <c r="R99" s="25">
        <v>0.4579999999999998</v>
      </c>
      <c r="S99" s="25">
        <v>0.35581250000000003</v>
      </c>
      <c r="T99" s="25">
        <v>0.36458333333333348</v>
      </c>
      <c r="U99" s="25">
        <v>0.32264583333333335</v>
      </c>
      <c r="V99" s="25">
        <v>-98.471249999999998</v>
      </c>
      <c r="W99" s="25">
        <v>-162.6666666666666</v>
      </c>
      <c r="X99" s="25">
        <v>-59.193541666666668</v>
      </c>
      <c r="Y99" s="25">
        <v>-55.013124999999981</v>
      </c>
      <c r="Z99" s="25">
        <v>-32.405625000000001</v>
      </c>
      <c r="AA99" s="25">
        <v>-67.361458333333317</v>
      </c>
      <c r="AB99" s="25">
        <v>-55.931874999999991</v>
      </c>
      <c r="AC99" s="25">
        <v>-63.14395833333333</v>
      </c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>
        <v>0.26716287878787875</v>
      </c>
      <c r="AU99" s="25">
        <v>0.1995416666666667</v>
      </c>
      <c r="AV99" s="25">
        <v>0.39172916666666668</v>
      </c>
      <c r="AW99" s="25"/>
      <c r="AX99" s="25"/>
      <c r="AY99" s="25"/>
      <c r="AZ99" s="25"/>
      <c r="BA99" s="25"/>
      <c r="BB99" s="25"/>
      <c r="BC99" s="25"/>
      <c r="BD99" s="25"/>
      <c r="BE99" s="25"/>
    </row>
    <row r="100" spans="1:57" x14ac:dyDescent="0.25">
      <c r="A100" s="1">
        <v>16.100000000000001</v>
      </c>
      <c r="B100" s="1">
        <v>0.6</v>
      </c>
      <c r="C100" s="22"/>
      <c r="D100" s="23">
        <v>43807</v>
      </c>
      <c r="E100" s="24">
        <v>162.77083333333334</v>
      </c>
      <c r="F100" s="24">
        <v>54.281249999999993</v>
      </c>
      <c r="G100" s="24">
        <v>7.4375</v>
      </c>
      <c r="H100" s="24">
        <v>0</v>
      </c>
      <c r="I100" s="24">
        <v>139.22916666666666</v>
      </c>
      <c r="J100" s="24">
        <v>2.8125</v>
      </c>
      <c r="K100" s="24">
        <v>0</v>
      </c>
      <c r="L100" s="24">
        <v>-1.8</v>
      </c>
      <c r="M100" s="10">
        <v>0.54784763201593278</v>
      </c>
      <c r="N100" s="25">
        <v>0.27535416666666662</v>
      </c>
      <c r="O100" s="25">
        <v>0.37029166666666663</v>
      </c>
      <c r="P100" s="25">
        <v>0.45062499999999989</v>
      </c>
      <c r="Q100" s="25">
        <v>0.46431250000000018</v>
      </c>
      <c r="R100" s="25">
        <v>0.46154166666666679</v>
      </c>
      <c r="S100" s="25">
        <v>0.35737499999999994</v>
      </c>
      <c r="T100" s="25">
        <v>0.36506250000000007</v>
      </c>
      <c r="U100" s="25">
        <v>0.32222916666666651</v>
      </c>
      <c r="V100" s="25">
        <v>-98.117291666666645</v>
      </c>
      <c r="W100" s="25">
        <v>-159.77291666666665</v>
      </c>
      <c r="X100" s="25">
        <v>-59.637708333333315</v>
      </c>
      <c r="Y100" s="25">
        <v>-57.563541666666673</v>
      </c>
      <c r="Z100" s="25">
        <v>-32.149375000000006</v>
      </c>
      <c r="AA100" s="25">
        <v>-69.567083333333329</v>
      </c>
      <c r="AB100" s="25">
        <v>-58.302708333333321</v>
      </c>
      <c r="AC100" s="25">
        <v>-66.098541666666648</v>
      </c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>
        <v>0.26446527777777779</v>
      </c>
      <c r="AU100" s="25">
        <v>0.18979166666666661</v>
      </c>
      <c r="AV100" s="25">
        <v>0.38109722222222236</v>
      </c>
      <c r="AW100" s="25"/>
      <c r="AX100" s="25"/>
      <c r="AY100" s="25"/>
      <c r="AZ100" s="25"/>
      <c r="BA100" s="25"/>
      <c r="BB100" s="25"/>
      <c r="BC100" s="25"/>
      <c r="BD100" s="25"/>
      <c r="BE100" s="25"/>
    </row>
    <row r="101" spans="1:57" x14ac:dyDescent="0.25">
      <c r="A101" s="1">
        <v>16.2</v>
      </c>
      <c r="B101" s="1">
        <v>2.6</v>
      </c>
      <c r="C101" s="22"/>
      <c r="D101" s="23">
        <v>43808</v>
      </c>
      <c r="E101" s="24">
        <v>143.75</v>
      </c>
      <c r="F101" s="24">
        <v>62.560416666666647</v>
      </c>
      <c r="G101" s="24">
        <v>8.0833333333333339</v>
      </c>
      <c r="H101" s="24">
        <v>0</v>
      </c>
      <c r="I101" s="24">
        <v>164.54166666666666</v>
      </c>
      <c r="J101" s="24">
        <v>2.4375</v>
      </c>
      <c r="K101" s="24">
        <v>4.1666666666666664E-2</v>
      </c>
      <c r="L101" s="24">
        <v>0.74583333333333324</v>
      </c>
      <c r="M101" s="10">
        <v>0.47920733289612666</v>
      </c>
      <c r="N101" s="25">
        <v>0.27585416666666673</v>
      </c>
      <c r="O101" s="25">
        <v>0.37079166666666669</v>
      </c>
      <c r="P101" s="25">
        <v>0.45189583333333366</v>
      </c>
      <c r="Q101" s="25">
        <v>0.46131249999999979</v>
      </c>
      <c r="R101" s="25">
        <v>0.4531041666666667</v>
      </c>
      <c r="S101" s="25">
        <v>0.33987500000000015</v>
      </c>
      <c r="T101" s="25">
        <v>0.36133333333333334</v>
      </c>
      <c r="U101" s="25">
        <v>0.31520833333333337</v>
      </c>
      <c r="V101" s="25">
        <v>-100.81489361702128</v>
      </c>
      <c r="W101" s="25">
        <v>-169.96595744680852</v>
      </c>
      <c r="X101" s="25">
        <v>-60.007234042553193</v>
      </c>
      <c r="Y101" s="25">
        <v>-59.778085106382989</v>
      </c>
      <c r="Z101" s="25">
        <v>-33.124255319148929</v>
      </c>
      <c r="AA101" s="25">
        <v>-63.507446808510629</v>
      </c>
      <c r="AB101" s="25">
        <v>-51.792127659574462</v>
      </c>
      <c r="AC101" s="25">
        <v>-35.845319148936163</v>
      </c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>
        <v>0.25921631205673745</v>
      </c>
      <c r="AU101" s="25">
        <v>0.18082638888888883</v>
      </c>
      <c r="AV101" s="25">
        <v>0.36940972222222213</v>
      </c>
      <c r="AW101" s="25"/>
      <c r="AX101" s="25"/>
      <c r="AY101" s="25"/>
      <c r="AZ101" s="25"/>
      <c r="BA101" s="25"/>
      <c r="BB101" s="25"/>
      <c r="BC101" s="25"/>
      <c r="BD101" s="25"/>
      <c r="BE101" s="25"/>
    </row>
    <row r="102" spans="1:57" x14ac:dyDescent="0.25">
      <c r="A102" s="1">
        <v>17.8</v>
      </c>
      <c r="B102" s="1">
        <v>2.2000000000000002</v>
      </c>
      <c r="C102" s="22"/>
      <c r="D102" s="23">
        <v>43809</v>
      </c>
      <c r="E102" s="24">
        <v>150.72916666666666</v>
      </c>
      <c r="F102" s="24">
        <v>59.031250000000007</v>
      </c>
      <c r="G102" s="24">
        <v>8.8479166666666682</v>
      </c>
      <c r="H102" s="24">
        <v>0</v>
      </c>
      <c r="I102" s="24">
        <v>103.5</v>
      </c>
      <c r="J102" s="24">
        <v>2.5416666666666665</v>
      </c>
      <c r="K102" s="24">
        <v>2.0833333333333332E-2</v>
      </c>
      <c r="L102" s="24">
        <v>0.65833333333333333</v>
      </c>
      <c r="M102" s="10">
        <v>0.55364841589333547</v>
      </c>
      <c r="N102" s="25">
        <v>0.27485416666666668</v>
      </c>
      <c r="O102" s="25">
        <v>0.36897916666666686</v>
      </c>
      <c r="P102" s="25">
        <v>0.45100000000000001</v>
      </c>
      <c r="Q102" s="25">
        <v>0.45531249999999979</v>
      </c>
      <c r="R102" s="25">
        <v>0.45012500000000005</v>
      </c>
      <c r="S102" s="25">
        <v>0.33145833333333341</v>
      </c>
      <c r="T102" s="25">
        <v>0.35916666666666686</v>
      </c>
      <c r="U102" s="25">
        <v>0.31112499999999998</v>
      </c>
      <c r="V102" s="25">
        <v>-118.48124999999999</v>
      </c>
      <c r="W102" s="25">
        <v>-213.88749999999996</v>
      </c>
      <c r="X102" s="25">
        <v>-65.442916666666662</v>
      </c>
      <c r="Y102" s="25">
        <v>-70.731666666666669</v>
      </c>
      <c r="Z102" s="25">
        <v>-41.74979166666666</v>
      </c>
      <c r="AA102" s="25">
        <v>-73.681874999999977</v>
      </c>
      <c r="AB102" s="25">
        <v>-56.890833333333319</v>
      </c>
      <c r="AC102" s="25">
        <v>-22.781874999999999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>
        <v>0.25391666666666668</v>
      </c>
      <c r="AU102" s="25">
        <v>0.17166666666666666</v>
      </c>
      <c r="AV102" s="25">
        <v>0.35561805555555542</v>
      </c>
      <c r="AW102" s="25"/>
      <c r="AX102" s="25"/>
      <c r="AY102" s="25"/>
      <c r="AZ102" s="25"/>
      <c r="BA102" s="25"/>
      <c r="BB102" s="25"/>
      <c r="BC102" s="25"/>
      <c r="BD102" s="25"/>
      <c r="BE102" s="25"/>
    </row>
    <row r="103" spans="1:57" x14ac:dyDescent="0.25">
      <c r="A103" s="1">
        <v>16</v>
      </c>
      <c r="B103" s="1">
        <v>3.8</v>
      </c>
      <c r="C103" s="22"/>
      <c r="D103" s="23">
        <v>43810</v>
      </c>
      <c r="E103" s="24">
        <v>140.33333333333334</v>
      </c>
      <c r="F103" s="24">
        <v>62.012499999999982</v>
      </c>
      <c r="G103" s="24">
        <v>9.2583333333333346</v>
      </c>
      <c r="H103" s="24">
        <v>0</v>
      </c>
      <c r="I103" s="24">
        <v>148.625</v>
      </c>
      <c r="J103" s="24">
        <v>4.645833333333333</v>
      </c>
      <c r="K103" s="24">
        <v>0.45833333333333331</v>
      </c>
      <c r="L103" s="24">
        <v>1.8083333333333329</v>
      </c>
      <c r="M103" s="10">
        <v>0.50691814062849605</v>
      </c>
      <c r="N103" s="25">
        <v>0.27647916666666666</v>
      </c>
      <c r="O103" s="25">
        <v>0.3712499999999998</v>
      </c>
      <c r="P103" s="25">
        <v>0.45366666666666644</v>
      </c>
      <c r="Q103" s="25">
        <v>0.45549999999999963</v>
      </c>
      <c r="R103" s="25">
        <v>0.45293749999999977</v>
      </c>
      <c r="S103" s="25">
        <v>0.33243750000000011</v>
      </c>
      <c r="T103" s="25">
        <v>0.35916666666666658</v>
      </c>
      <c r="U103" s="25">
        <v>0.31112499999999993</v>
      </c>
      <c r="V103" s="25">
        <v>-114.19166666666665</v>
      </c>
      <c r="W103" s="25">
        <v>-206.60833333333343</v>
      </c>
      <c r="X103" s="25">
        <v>-59.76458333333332</v>
      </c>
      <c r="Y103" s="25">
        <v>-70.36770833333334</v>
      </c>
      <c r="Z103" s="25">
        <v>-44.161250000000017</v>
      </c>
      <c r="AA103" s="25">
        <v>-74.454791666666708</v>
      </c>
      <c r="AB103" s="25">
        <v>-59.624375000000022</v>
      </c>
      <c r="AC103" s="25">
        <v>-41.156875000000007</v>
      </c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>
        <v>0.24790079365079362</v>
      </c>
      <c r="AU103" s="25">
        <v>0.16338194444444445</v>
      </c>
      <c r="AV103" s="25">
        <v>0.34369444444444436</v>
      </c>
      <c r="AW103" s="25"/>
      <c r="AX103" s="25"/>
      <c r="AY103" s="25"/>
      <c r="AZ103" s="25"/>
      <c r="BA103" s="25"/>
      <c r="BB103" s="25"/>
      <c r="BC103" s="25"/>
      <c r="BD103" s="25"/>
      <c r="BE103" s="25"/>
    </row>
    <row r="104" spans="1:57" x14ac:dyDescent="0.25">
      <c r="A104" s="1">
        <v>17.100000000000001</v>
      </c>
      <c r="B104" s="1">
        <v>6.3</v>
      </c>
      <c r="C104" s="22"/>
      <c r="D104" s="23">
        <v>43811</v>
      </c>
      <c r="E104" s="24">
        <v>144.52083333333334</v>
      </c>
      <c r="F104" s="24">
        <v>57.889583333333356</v>
      </c>
      <c r="G104" s="24">
        <v>10.379166666666666</v>
      </c>
      <c r="H104" s="24">
        <v>0</v>
      </c>
      <c r="I104" s="24">
        <v>126.47916666666667</v>
      </c>
      <c r="J104" s="24">
        <v>6.979166666666667</v>
      </c>
      <c r="K104" s="24">
        <v>0.66666666666666663</v>
      </c>
      <c r="L104" s="24">
        <v>2.1729166666666662</v>
      </c>
      <c r="M104" s="10">
        <v>0.5690986462093296</v>
      </c>
      <c r="N104" s="25">
        <v>0.27756249999999988</v>
      </c>
      <c r="O104" s="25">
        <v>0.37300000000000022</v>
      </c>
      <c r="P104" s="25">
        <v>0.45545833333333313</v>
      </c>
      <c r="Q104" s="25">
        <v>0.45631249999999995</v>
      </c>
      <c r="R104" s="25">
        <v>0.45581250000000012</v>
      </c>
      <c r="S104" s="25">
        <v>0.33362500000000006</v>
      </c>
      <c r="T104" s="25">
        <v>0.3599374999999998</v>
      </c>
      <c r="U104" s="25">
        <v>0.31118749999999989</v>
      </c>
      <c r="V104" s="25">
        <v>-110.61041666666667</v>
      </c>
      <c r="W104" s="25">
        <v>-201.90625</v>
      </c>
      <c r="X104" s="25">
        <v>-59.434166666666677</v>
      </c>
      <c r="Y104" s="25">
        <v>-69.796874999999986</v>
      </c>
      <c r="Z104" s="25">
        <v>-46.38</v>
      </c>
      <c r="AA104" s="25">
        <v>-75.036041666666662</v>
      </c>
      <c r="AB104" s="25">
        <v>-62.254375000000003</v>
      </c>
      <c r="AC104" s="25">
        <v>-54.346249999999998</v>
      </c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>
        <v>0.24140909090909088</v>
      </c>
      <c r="AU104" s="25">
        <v>0.1557708333333333</v>
      </c>
      <c r="AV104" s="25">
        <v>0.33345833333333341</v>
      </c>
      <c r="AW104" s="25"/>
      <c r="AX104" s="25"/>
      <c r="AY104" s="25"/>
      <c r="AZ104" s="25"/>
      <c r="BA104" s="25"/>
      <c r="BB104" s="25"/>
      <c r="BC104" s="25"/>
      <c r="BD104" s="25"/>
      <c r="BE104" s="25"/>
    </row>
    <row r="105" spans="1:57" x14ac:dyDescent="0.25">
      <c r="A105" s="1">
        <v>17.600000000000001</v>
      </c>
      <c r="B105" s="1">
        <v>4.4000000000000004</v>
      </c>
      <c r="C105" s="22"/>
      <c r="D105" s="23">
        <v>43812</v>
      </c>
      <c r="E105" s="24">
        <v>146.39583333333334</v>
      </c>
      <c r="F105" s="24">
        <v>66.891666666666666</v>
      </c>
      <c r="G105" s="24">
        <v>10.450000000000001</v>
      </c>
      <c r="H105" s="24">
        <v>0</v>
      </c>
      <c r="I105" s="24">
        <v>131.5</v>
      </c>
      <c r="J105" s="24">
        <v>5.604166666666667</v>
      </c>
      <c r="K105" s="24">
        <v>0.1875</v>
      </c>
      <c r="L105" s="24">
        <v>4.3208333333333337</v>
      </c>
      <c r="M105" s="10">
        <v>0.46849576666960108</v>
      </c>
      <c r="N105" s="25">
        <v>0.27802083333333327</v>
      </c>
      <c r="O105" s="25">
        <v>0.37447916666666647</v>
      </c>
      <c r="P105" s="25">
        <v>0.45724999999999993</v>
      </c>
      <c r="Q105" s="25">
        <v>0.45729166666666693</v>
      </c>
      <c r="R105" s="25">
        <v>0.45668749999999986</v>
      </c>
      <c r="S105" s="25">
        <v>0.33450000000000002</v>
      </c>
      <c r="T105" s="25">
        <v>0.36039583333333308</v>
      </c>
      <c r="U105" s="25">
        <v>0.31149999999999983</v>
      </c>
      <c r="V105" s="25">
        <v>-110.06250000000006</v>
      </c>
      <c r="W105" s="25">
        <v>-199.51041666666671</v>
      </c>
      <c r="X105" s="25">
        <v>-60.688125000000014</v>
      </c>
      <c r="Y105" s="25">
        <v>-69.319791666666688</v>
      </c>
      <c r="Z105" s="25">
        <v>-48.673958333333339</v>
      </c>
      <c r="AA105" s="25">
        <v>-76.038125000000022</v>
      </c>
      <c r="AB105" s="25">
        <v>-64.900625000000019</v>
      </c>
      <c r="AC105" s="25">
        <v>-61.450833333333328</v>
      </c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>
        <v>0.23409999999999992</v>
      </c>
      <c r="AU105" s="25">
        <v>0.1484680851063829</v>
      </c>
      <c r="AV105" s="25">
        <v>0.32233333333333331</v>
      </c>
      <c r="AW105" s="25"/>
      <c r="AX105" s="25"/>
      <c r="AY105" s="25"/>
      <c r="AZ105" s="25"/>
      <c r="BA105" s="25"/>
      <c r="BB105" s="25"/>
      <c r="BC105" s="25"/>
      <c r="BD105" s="25"/>
      <c r="BE105" s="25"/>
    </row>
    <row r="106" spans="1:57" x14ac:dyDescent="0.25">
      <c r="A106" s="1">
        <v>17.3</v>
      </c>
      <c r="B106" s="1">
        <v>10</v>
      </c>
      <c r="C106" s="22"/>
      <c r="D106" s="23">
        <v>43813</v>
      </c>
      <c r="E106" s="24">
        <v>81.5625</v>
      </c>
      <c r="F106" s="24">
        <v>76.927083333333314</v>
      </c>
      <c r="G106" s="24">
        <v>12.043750000000001</v>
      </c>
      <c r="H106" s="24">
        <v>0</v>
      </c>
      <c r="I106" s="24">
        <v>165.9375</v>
      </c>
      <c r="J106" s="24">
        <v>12.479166666666666</v>
      </c>
      <c r="K106" s="24">
        <v>1.375</v>
      </c>
      <c r="L106" s="24">
        <v>8.0291666666666668</v>
      </c>
      <c r="M106" s="10">
        <v>0.34213216167503901</v>
      </c>
      <c r="N106" s="25">
        <v>0.27831250000000002</v>
      </c>
      <c r="O106" s="25">
        <v>0.37585416666666682</v>
      </c>
      <c r="P106" s="25">
        <v>0.45912499999999978</v>
      </c>
      <c r="Q106" s="25">
        <v>0.45858333333333295</v>
      </c>
      <c r="R106" s="25">
        <v>0.45756249999999965</v>
      </c>
      <c r="S106" s="25">
        <v>0.33512500000000039</v>
      </c>
      <c r="T106" s="25">
        <v>0.36100000000000027</v>
      </c>
      <c r="U106" s="25">
        <v>0.31199999999999978</v>
      </c>
      <c r="V106" s="25">
        <v>-111.54583333333335</v>
      </c>
      <c r="W106" s="25">
        <v>-198.0333333333333</v>
      </c>
      <c r="X106" s="25">
        <v>-61.912291666666654</v>
      </c>
      <c r="Y106" s="25">
        <v>-68.675208333333345</v>
      </c>
      <c r="Z106" s="25">
        <v>-51.08124999999999</v>
      </c>
      <c r="AA106" s="25">
        <v>-76.761041666666685</v>
      </c>
      <c r="AB106" s="25">
        <v>-67.046666666666653</v>
      </c>
      <c r="AC106" s="25">
        <v>-65.877916666666678</v>
      </c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>
        <v>0.22895744680851074</v>
      </c>
      <c r="AU106" s="25">
        <v>0.14310416666666662</v>
      </c>
      <c r="AV106" s="25">
        <v>0.31247916666666653</v>
      </c>
      <c r="AW106" s="25"/>
      <c r="AX106" s="25"/>
      <c r="AY106" s="25"/>
      <c r="AZ106" s="25"/>
      <c r="BA106" s="25"/>
      <c r="BB106" s="25"/>
      <c r="BC106" s="25"/>
      <c r="BD106" s="25"/>
      <c r="BE106" s="25"/>
    </row>
    <row r="107" spans="1:57" x14ac:dyDescent="0.25">
      <c r="A107" s="1">
        <v>20.8</v>
      </c>
      <c r="B107" s="1">
        <v>9.4</v>
      </c>
      <c r="C107" s="22"/>
      <c r="D107" s="23">
        <v>43814</v>
      </c>
      <c r="E107" s="24">
        <v>151.375</v>
      </c>
      <c r="F107" s="24">
        <v>70.481250000000003</v>
      </c>
      <c r="G107" s="24">
        <v>14.002083333333331</v>
      </c>
      <c r="H107" s="24">
        <v>0</v>
      </c>
      <c r="I107" s="24">
        <v>174.60416666666666</v>
      </c>
      <c r="J107" s="24">
        <v>15.104166666666666</v>
      </c>
      <c r="K107" s="24">
        <v>2.3125</v>
      </c>
      <c r="L107" s="24">
        <v>8.3541666666666625</v>
      </c>
      <c r="M107" s="10">
        <v>0.53718483039225995</v>
      </c>
      <c r="N107" s="25">
        <v>0.27829166666666666</v>
      </c>
      <c r="O107" s="25">
        <v>0.37602083333333342</v>
      </c>
      <c r="P107" s="25">
        <v>0.45916666666666667</v>
      </c>
      <c r="Q107" s="25">
        <v>0.4588541666666664</v>
      </c>
      <c r="R107" s="25">
        <v>0.45793750000000033</v>
      </c>
      <c r="S107" s="25">
        <v>0.3353541666666669</v>
      </c>
      <c r="T107" s="25">
        <v>0.36104166666666687</v>
      </c>
      <c r="U107" s="25">
        <v>0.31202083333333314</v>
      </c>
      <c r="V107" s="25">
        <v>-114.30416666666666</v>
      </c>
      <c r="W107" s="25">
        <v>-198.41249999999994</v>
      </c>
      <c r="X107" s="25">
        <v>-63.566458333333323</v>
      </c>
      <c r="Y107" s="25">
        <v>-68.732083333333321</v>
      </c>
      <c r="Z107" s="25">
        <v>-52.395208333333329</v>
      </c>
      <c r="AA107" s="25">
        <v>-77.817291666666677</v>
      </c>
      <c r="AB107" s="25">
        <v>-69.012083333333322</v>
      </c>
      <c r="AC107" s="25">
        <v>-66.898541666666674</v>
      </c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>
        <v>0.22465625000000003</v>
      </c>
      <c r="AU107" s="25">
        <v>0.13879069767441871</v>
      </c>
      <c r="AV107" s="25">
        <v>0.30416666666666664</v>
      </c>
      <c r="AW107" s="25"/>
      <c r="AX107" s="25"/>
      <c r="AY107" s="25"/>
      <c r="AZ107" s="25"/>
      <c r="BA107" s="25"/>
      <c r="BB107" s="25"/>
      <c r="BC107" s="25"/>
      <c r="BD107" s="25"/>
      <c r="BE107" s="25"/>
    </row>
    <row r="108" spans="1:57" x14ac:dyDescent="0.25">
      <c r="A108" s="1">
        <v>23.5</v>
      </c>
      <c r="B108" s="1">
        <v>9.9</v>
      </c>
      <c r="C108" s="22"/>
      <c r="D108" s="23">
        <v>43815</v>
      </c>
      <c r="E108" s="24">
        <v>153.75</v>
      </c>
      <c r="F108" s="24">
        <v>69.639583333333334</v>
      </c>
      <c r="G108" s="24">
        <v>15.124999999999998</v>
      </c>
      <c r="H108" s="24">
        <v>0</v>
      </c>
      <c r="I108" s="24">
        <v>171.47916666666666</v>
      </c>
      <c r="J108" s="24">
        <v>10.729166666666666</v>
      </c>
      <c r="K108" s="24">
        <v>1.3125</v>
      </c>
      <c r="L108" s="24">
        <v>9.0374999999999996</v>
      </c>
      <c r="M108" s="10">
        <v>0.62070941135334989</v>
      </c>
      <c r="N108" s="25">
        <v>0.28039583333333351</v>
      </c>
      <c r="O108" s="25">
        <v>0.37972916666666651</v>
      </c>
      <c r="P108" s="25">
        <v>0.46277083333333341</v>
      </c>
      <c r="Q108" s="25">
        <v>0.46066666666666661</v>
      </c>
      <c r="R108" s="25">
        <v>0.46193749999999967</v>
      </c>
      <c r="S108" s="25">
        <v>0.33729166666666671</v>
      </c>
      <c r="T108" s="25">
        <v>0.36216666666666669</v>
      </c>
      <c r="U108" s="25">
        <v>0.31241666666666684</v>
      </c>
      <c r="V108" s="25">
        <v>-114.41041666666668</v>
      </c>
      <c r="W108" s="25">
        <v>-192.54791666666665</v>
      </c>
      <c r="X108" s="25">
        <v>-63.470000000000006</v>
      </c>
      <c r="Y108" s="25">
        <v>-67.616249999999994</v>
      </c>
      <c r="Z108" s="25">
        <v>-54.162291666666654</v>
      </c>
      <c r="AA108" s="25">
        <v>-77.09770833333333</v>
      </c>
      <c r="AB108" s="25">
        <v>-69.542916666666656</v>
      </c>
      <c r="AC108" s="25">
        <v>-65.988124999999982</v>
      </c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>
        <v>0.22061538461538474</v>
      </c>
      <c r="AU108" s="25">
        <v>0.13295454545454549</v>
      </c>
      <c r="AV108" s="25">
        <v>0.29435416666666642</v>
      </c>
      <c r="AW108" s="25"/>
      <c r="AX108" s="25"/>
      <c r="AY108" s="25"/>
      <c r="AZ108" s="25"/>
      <c r="BA108" s="25"/>
      <c r="BB108" s="25"/>
      <c r="BC108" s="25"/>
      <c r="BD108" s="25"/>
      <c r="BE108" s="25"/>
    </row>
    <row r="109" spans="1:57" x14ac:dyDescent="0.25">
      <c r="A109" s="1">
        <v>20.399999999999999</v>
      </c>
      <c r="B109" s="1">
        <v>9.1999999999999993</v>
      </c>
      <c r="C109" s="22"/>
      <c r="D109" s="23">
        <v>43816</v>
      </c>
      <c r="E109" s="24">
        <v>105.39583333333333</v>
      </c>
      <c r="F109" s="24">
        <v>75.114583333333329</v>
      </c>
      <c r="G109" s="24">
        <v>13.664583333333333</v>
      </c>
      <c r="H109" s="24">
        <v>0</v>
      </c>
      <c r="I109" s="24">
        <v>130.89583333333334</v>
      </c>
      <c r="J109" s="24">
        <v>5.3125</v>
      </c>
      <c r="K109" s="24">
        <v>0.4375</v>
      </c>
      <c r="L109" s="24">
        <v>9.0770833333333361</v>
      </c>
      <c r="M109" s="10">
        <v>0.43552373493399177</v>
      </c>
      <c r="N109" s="25">
        <v>0.28064583333333343</v>
      </c>
      <c r="O109" s="25">
        <v>0.38229166666666653</v>
      </c>
      <c r="P109" s="25">
        <v>0.46568749999999987</v>
      </c>
      <c r="Q109" s="25">
        <v>0.46291666666666664</v>
      </c>
      <c r="R109" s="25">
        <v>0.46302083333333327</v>
      </c>
      <c r="S109" s="25">
        <v>0.33877083333333341</v>
      </c>
      <c r="T109" s="25">
        <v>0.3638958333333337</v>
      </c>
      <c r="U109" s="25">
        <v>0.31320833333333348</v>
      </c>
      <c r="V109" s="25">
        <v>-118.86458333333331</v>
      </c>
      <c r="W109" s="25">
        <v>-189.81666666666661</v>
      </c>
      <c r="X109" s="25">
        <v>-63.387499999999996</v>
      </c>
      <c r="Y109" s="25">
        <v>-65.889374999999987</v>
      </c>
      <c r="Z109" s="25">
        <v>-56.966458333333357</v>
      </c>
      <c r="AA109" s="25">
        <v>-76.92145833333332</v>
      </c>
      <c r="AB109" s="25">
        <v>-69.325208333333322</v>
      </c>
      <c r="AC109" s="25">
        <v>-66.066041666666678</v>
      </c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>
        <v>0.21531578947368427</v>
      </c>
      <c r="AU109" s="25">
        <v>0.12912499999999999</v>
      </c>
      <c r="AV109" s="25">
        <v>0.28325000000000006</v>
      </c>
      <c r="AW109" s="25"/>
      <c r="AX109" s="25"/>
      <c r="AY109" s="25"/>
      <c r="AZ109" s="25"/>
      <c r="BA109" s="25"/>
      <c r="BB109" s="25"/>
      <c r="BC109" s="25"/>
      <c r="BD109" s="25"/>
      <c r="BE109" s="25"/>
    </row>
    <row r="110" spans="1:57" x14ac:dyDescent="0.25">
      <c r="A110" s="1">
        <v>11.6</v>
      </c>
      <c r="B110" s="1">
        <v>4.5</v>
      </c>
      <c r="C110" s="22"/>
      <c r="D110" s="23">
        <v>43817</v>
      </c>
      <c r="E110" s="24">
        <v>15.833333333333334</v>
      </c>
      <c r="F110" s="24">
        <v>85.527083333333323</v>
      </c>
      <c r="G110" s="24">
        <v>7.5791666666666666</v>
      </c>
      <c r="H110" s="24">
        <v>0.2</v>
      </c>
      <c r="I110" s="24">
        <v>207.1875</v>
      </c>
      <c r="J110" s="24">
        <v>4.645833333333333</v>
      </c>
      <c r="K110" s="24">
        <v>0</v>
      </c>
      <c r="L110" s="24">
        <v>5.2875000000000005</v>
      </c>
      <c r="M110" s="10">
        <v>0.15724585348832035</v>
      </c>
      <c r="N110" s="25">
        <v>0.2777708333333333</v>
      </c>
      <c r="O110" s="25">
        <v>0.38033333333333325</v>
      </c>
      <c r="P110" s="25">
        <v>0.46477083333333336</v>
      </c>
      <c r="Q110" s="25">
        <v>0.46414583333333354</v>
      </c>
      <c r="R110" s="25">
        <v>0.45839583333333328</v>
      </c>
      <c r="S110" s="25">
        <v>0.33764583333333326</v>
      </c>
      <c r="T110" s="25">
        <v>0.36381250000000015</v>
      </c>
      <c r="U110" s="25">
        <v>0.31354166666666677</v>
      </c>
      <c r="V110" s="25">
        <v>-132.93333333333334</v>
      </c>
      <c r="W110" s="25">
        <v>-196.78333333333339</v>
      </c>
      <c r="X110" s="25">
        <v>-65.080625000000012</v>
      </c>
      <c r="Y110" s="25">
        <v>-65.606458333333322</v>
      </c>
      <c r="Z110" s="25">
        <v>-61.630625000000002</v>
      </c>
      <c r="AA110" s="25">
        <v>-78.953125000000014</v>
      </c>
      <c r="AB110" s="25">
        <v>-70.078124999999986</v>
      </c>
      <c r="AC110" s="25">
        <v>-68.322708333333324</v>
      </c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>
        <v>0.21002083333333332</v>
      </c>
      <c r="AU110" s="25">
        <v>0.12493749999999991</v>
      </c>
      <c r="AV110" s="25">
        <v>0.27393750000000017</v>
      </c>
      <c r="AW110" s="25"/>
      <c r="AX110" s="25"/>
      <c r="AY110" s="25"/>
      <c r="AZ110" s="25"/>
      <c r="BA110" s="25"/>
      <c r="BB110" s="25"/>
      <c r="BC110" s="25"/>
      <c r="BD110" s="25"/>
      <c r="BE110" s="25"/>
    </row>
    <row r="111" spans="1:57" x14ac:dyDescent="0.25">
      <c r="A111" s="1">
        <v>6.7</v>
      </c>
      <c r="B111" s="1">
        <v>4</v>
      </c>
      <c r="C111" s="22"/>
      <c r="D111" s="23">
        <v>43818</v>
      </c>
      <c r="E111" s="24">
        <v>31.354166666666668</v>
      </c>
      <c r="F111" s="24">
        <v>86.037500000000009</v>
      </c>
      <c r="G111" s="24">
        <v>4.989583333333333</v>
      </c>
      <c r="H111" s="24">
        <v>0.60000000000000009</v>
      </c>
      <c r="I111" s="24">
        <v>174.02083333333334</v>
      </c>
      <c r="J111" s="24">
        <v>3.6041666666666665</v>
      </c>
      <c r="K111" s="24">
        <v>0</v>
      </c>
      <c r="L111" s="24">
        <v>2.8249999999999997</v>
      </c>
      <c r="M111" s="10">
        <v>0.1233671199391968</v>
      </c>
      <c r="N111" s="25">
        <v>0.27200000000000035</v>
      </c>
      <c r="O111" s="25">
        <v>0.37272916666666656</v>
      </c>
      <c r="P111" s="25">
        <v>0.45808333333333334</v>
      </c>
      <c r="Q111" s="25">
        <v>0.46081250000000012</v>
      </c>
      <c r="R111" s="25">
        <v>0.44839583333333338</v>
      </c>
      <c r="S111" s="25">
        <v>0.33397916666666666</v>
      </c>
      <c r="T111" s="25">
        <v>0.36152083333333346</v>
      </c>
      <c r="U111" s="25">
        <v>0.31289583333333332</v>
      </c>
      <c r="V111" s="25">
        <v>-150.90833333333336</v>
      </c>
      <c r="W111" s="25">
        <v>-216.85208333333341</v>
      </c>
      <c r="X111" s="25">
        <v>-69.482291666666683</v>
      </c>
      <c r="Y111" s="25">
        <v>-68.473749999999995</v>
      </c>
      <c r="Z111" s="25">
        <v>-65.773333333333298</v>
      </c>
      <c r="AA111" s="25">
        <v>-83.504166666666634</v>
      </c>
      <c r="AB111" s="25">
        <v>-70.311666666666653</v>
      </c>
      <c r="AC111" s="25">
        <v>-71.645624999999995</v>
      </c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>
        <v>0.20579166666666673</v>
      </c>
      <c r="AU111" s="25">
        <v>0.12224999999999993</v>
      </c>
      <c r="AV111" s="25">
        <v>0.26779166666666659</v>
      </c>
      <c r="AW111" s="25"/>
      <c r="AX111" s="25"/>
      <c r="AY111" s="25"/>
      <c r="AZ111" s="25"/>
      <c r="BA111" s="25"/>
      <c r="BB111" s="25"/>
      <c r="BC111" s="25"/>
      <c r="BD111" s="25"/>
      <c r="BE111" s="25"/>
    </row>
    <row r="112" spans="1:57" x14ac:dyDescent="0.25">
      <c r="A112" s="1">
        <v>4.9000000000000004</v>
      </c>
      <c r="B112" s="1">
        <v>3.1</v>
      </c>
      <c r="C112" s="22"/>
      <c r="D112" s="23">
        <v>43819</v>
      </c>
      <c r="E112" s="24">
        <v>20.479166666666668</v>
      </c>
      <c r="F112" s="24">
        <v>93.84999999999998</v>
      </c>
      <c r="G112" s="24">
        <v>3.9479166666666661</v>
      </c>
      <c r="H112" s="24">
        <v>1.9999999999999998</v>
      </c>
      <c r="I112" s="24">
        <v>136.9375</v>
      </c>
      <c r="J112" s="24">
        <v>3.6875</v>
      </c>
      <c r="K112" s="24">
        <v>6.25E-2</v>
      </c>
      <c r="L112" s="24">
        <v>3.0374999999999996</v>
      </c>
      <c r="M112" s="10">
        <v>4.9733485273686602E-2</v>
      </c>
      <c r="N112" s="25">
        <v>0.27033333333333309</v>
      </c>
      <c r="O112" s="25">
        <v>0.36862500000000015</v>
      </c>
      <c r="P112" s="25">
        <v>0.45310416666666686</v>
      </c>
      <c r="Q112" s="25">
        <v>0.45760416666666687</v>
      </c>
      <c r="R112" s="25">
        <v>0.44274999999999992</v>
      </c>
      <c r="S112" s="25">
        <v>0.33166666666666644</v>
      </c>
      <c r="T112" s="25">
        <v>0.35895833333333343</v>
      </c>
      <c r="U112" s="25">
        <v>0.31164583333333334</v>
      </c>
      <c r="V112" s="25">
        <v>-161.70000000000002</v>
      </c>
      <c r="W112" s="25">
        <v>-231.70625000000004</v>
      </c>
      <c r="X112" s="25">
        <v>-73.107916666666654</v>
      </c>
      <c r="Y112" s="25">
        <v>-71.80604166666663</v>
      </c>
      <c r="Z112" s="25">
        <v>-69.987499999999997</v>
      </c>
      <c r="AA112" s="25">
        <v>-86.864583333333314</v>
      </c>
      <c r="AB112" s="25">
        <v>-74.509583333333367</v>
      </c>
      <c r="AC112" s="25">
        <v>-75.806666666666658</v>
      </c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>
        <v>0.20429166666666668</v>
      </c>
      <c r="AU112" s="25">
        <v>0.121</v>
      </c>
      <c r="AV112" s="25">
        <v>0.26391666666666674</v>
      </c>
      <c r="AW112" s="25"/>
      <c r="AX112" s="25"/>
      <c r="AY112" s="25"/>
      <c r="AZ112" s="25"/>
      <c r="BA112" s="25"/>
      <c r="BB112" s="25"/>
      <c r="BC112" s="25"/>
      <c r="BD112" s="25"/>
      <c r="BE112" s="25"/>
    </row>
    <row r="113" spans="1:57" x14ac:dyDescent="0.25">
      <c r="A113" s="1">
        <v>5</v>
      </c>
      <c r="B113" s="1">
        <v>2.7</v>
      </c>
      <c r="C113" s="22"/>
      <c r="D113" s="23">
        <v>43820</v>
      </c>
      <c r="E113" s="24">
        <v>22.645833333333332</v>
      </c>
      <c r="F113" s="24">
        <v>92.856249999999989</v>
      </c>
      <c r="G113" s="24">
        <v>3.6229166666666681</v>
      </c>
      <c r="H113" s="24">
        <v>0.60000000000000009</v>
      </c>
      <c r="I113" s="24">
        <v>187.20833333333334</v>
      </c>
      <c r="J113" s="24">
        <v>2.1875</v>
      </c>
      <c r="K113" s="24">
        <v>0</v>
      </c>
      <c r="L113" s="24">
        <v>2.5666666666666664</v>
      </c>
      <c r="M113" s="10">
        <v>5.7148074359968354E-2</v>
      </c>
      <c r="N113" s="25">
        <v>0.26906250000000009</v>
      </c>
      <c r="O113" s="25">
        <v>0.36552083333333346</v>
      </c>
      <c r="P113" s="25">
        <v>0.44945833333333352</v>
      </c>
      <c r="Q113" s="25">
        <v>0.45454166666666662</v>
      </c>
      <c r="R113" s="25">
        <v>0.43820833333333359</v>
      </c>
      <c r="S113" s="25">
        <v>0.3293958333333335</v>
      </c>
      <c r="T113" s="25">
        <v>0.35735416666666636</v>
      </c>
      <c r="U113" s="25">
        <v>0.31035416666666682</v>
      </c>
      <c r="V113" s="25">
        <v>-172.36458333333337</v>
      </c>
      <c r="W113" s="25">
        <v>-243.67708333333329</v>
      </c>
      <c r="X113" s="25">
        <v>-76.45354166666668</v>
      </c>
      <c r="Y113" s="25">
        <v>-74.607500000000002</v>
      </c>
      <c r="Z113" s="25">
        <v>-75.026875000000032</v>
      </c>
      <c r="AA113" s="25">
        <v>-89.872916666666683</v>
      </c>
      <c r="AB113" s="25">
        <v>-76.755625000000009</v>
      </c>
      <c r="AC113" s="25">
        <v>-77.40000000000002</v>
      </c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>
        <v>0.20410416666666673</v>
      </c>
      <c r="AU113" s="25"/>
      <c r="AV113" s="25">
        <v>0.26145833333333318</v>
      </c>
      <c r="AW113" s="25"/>
      <c r="AX113" s="25"/>
      <c r="AY113" s="25"/>
      <c r="AZ113" s="25"/>
      <c r="BA113" s="25"/>
      <c r="BB113" s="25"/>
      <c r="BC113" s="25"/>
      <c r="BD113" s="25"/>
      <c r="BE113" s="25"/>
    </row>
    <row r="114" spans="1:57" x14ac:dyDescent="0.25">
      <c r="A114" s="1">
        <v>8.1</v>
      </c>
      <c r="B114" s="1">
        <v>3.8</v>
      </c>
      <c r="C114" s="22"/>
      <c r="D114" s="23">
        <v>43821</v>
      </c>
      <c r="E114" s="24">
        <v>44.104166666666664</v>
      </c>
      <c r="F114" s="24">
        <v>89.606249999999989</v>
      </c>
      <c r="G114" s="24">
        <v>5.4499999999999984</v>
      </c>
      <c r="H114" s="24">
        <v>0.4</v>
      </c>
      <c r="I114" s="24">
        <v>144.5</v>
      </c>
      <c r="J114" s="24">
        <v>2</v>
      </c>
      <c r="K114" s="24">
        <v>4.1666666666666664E-2</v>
      </c>
      <c r="L114" s="24">
        <v>3.8458333333333332</v>
      </c>
      <c r="M114" s="10">
        <v>9.7430571459313123E-2</v>
      </c>
      <c r="N114" s="25">
        <v>0.26856249999999998</v>
      </c>
      <c r="O114" s="25">
        <v>0.36318749999999972</v>
      </c>
      <c r="P114" s="25">
        <v>0.44718749999999957</v>
      </c>
      <c r="Q114" s="25">
        <v>0.45166666666666688</v>
      </c>
      <c r="R114" s="25">
        <v>0.43581250000000016</v>
      </c>
      <c r="S114" s="25">
        <v>0.32750000000000001</v>
      </c>
      <c r="T114" s="25">
        <v>0.35550000000000015</v>
      </c>
      <c r="U114" s="25">
        <v>0.30947916666666625</v>
      </c>
      <c r="V114" s="25">
        <v>-178.5520833333334</v>
      </c>
      <c r="W114" s="25">
        <v>-251.03749999999999</v>
      </c>
      <c r="X114" s="25">
        <v>-79.089166666666671</v>
      </c>
      <c r="Y114" s="25">
        <v>-77.232916666666668</v>
      </c>
      <c r="Z114" s="25">
        <v>-78.514791666666639</v>
      </c>
      <c r="AA114" s="25">
        <v>-92.027083333333323</v>
      </c>
      <c r="AB114" s="25">
        <v>-78.523750000000007</v>
      </c>
      <c r="AC114" s="25">
        <v>-74.91020833333333</v>
      </c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>
        <v>0.20356250000000006</v>
      </c>
      <c r="AU114" s="25">
        <v>0.12400000000000004</v>
      </c>
      <c r="AV114" s="25">
        <v>0.26029166666666642</v>
      </c>
      <c r="AW114" s="25"/>
      <c r="AX114" s="25"/>
      <c r="AY114" s="25"/>
      <c r="AZ114" s="25"/>
      <c r="BA114" s="25"/>
      <c r="BB114" s="25"/>
      <c r="BC114" s="25"/>
      <c r="BD114" s="25"/>
      <c r="BE114" s="25"/>
    </row>
    <row r="115" spans="1:57" x14ac:dyDescent="0.25">
      <c r="A115" s="1">
        <v>9.9</v>
      </c>
      <c r="B115" s="1">
        <v>5.5</v>
      </c>
      <c r="C115" s="22"/>
      <c r="D115" s="23">
        <v>43822</v>
      </c>
      <c r="E115" s="24">
        <v>40.5625</v>
      </c>
      <c r="F115" s="24">
        <v>90.672916666666652</v>
      </c>
      <c r="G115" s="24">
        <v>6.5874999999999995</v>
      </c>
      <c r="H115" s="24">
        <v>0.4</v>
      </c>
      <c r="I115" s="24">
        <v>119.14583333333333</v>
      </c>
      <c r="J115" s="24">
        <v>5.229166666666667</v>
      </c>
      <c r="K115" s="24">
        <v>0.29166666666666669</v>
      </c>
      <c r="L115" s="24">
        <v>5.1229166666666677</v>
      </c>
      <c r="M115" s="10">
        <v>9.516057772828819E-2</v>
      </c>
      <c r="N115" s="25">
        <v>0.26924999999999993</v>
      </c>
      <c r="O115" s="25">
        <v>0.36387500000000023</v>
      </c>
      <c r="P115" s="25">
        <v>0.44687499999999952</v>
      </c>
      <c r="Q115" s="25">
        <v>0.45043749999999966</v>
      </c>
      <c r="R115" s="25">
        <v>0.43616666666666698</v>
      </c>
      <c r="S115" s="25">
        <v>0.32739583333333327</v>
      </c>
      <c r="T115" s="25">
        <v>0.35468749999999999</v>
      </c>
      <c r="U115" s="25">
        <v>0.30866666666666659</v>
      </c>
      <c r="V115" s="25">
        <v>-180.68541666666667</v>
      </c>
      <c r="W115" s="25">
        <v>-253.2395833333334</v>
      </c>
      <c r="X115" s="25">
        <v>-80.415416666666644</v>
      </c>
      <c r="Y115" s="25">
        <v>-79.201458333333349</v>
      </c>
      <c r="Z115" s="25">
        <v>-80.990416666666647</v>
      </c>
      <c r="AA115" s="25">
        <v>-92.729166666666686</v>
      </c>
      <c r="AB115" s="25">
        <v>-79.501458333333346</v>
      </c>
      <c r="AC115" s="25">
        <v>-76.652291666666656</v>
      </c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>
        <v>0.20393617021276589</v>
      </c>
      <c r="AU115" s="25">
        <v>0.12371428571428571</v>
      </c>
      <c r="AV115" s="25">
        <v>0.25960416666666664</v>
      </c>
      <c r="AW115" s="25"/>
      <c r="AX115" s="25"/>
      <c r="AY115" s="25"/>
      <c r="AZ115" s="25"/>
      <c r="BA115" s="25"/>
      <c r="BB115" s="25"/>
      <c r="BC115" s="25"/>
      <c r="BD115" s="25"/>
      <c r="BE115" s="25"/>
    </row>
    <row r="116" spans="1:57" x14ac:dyDescent="0.25">
      <c r="A116" s="1">
        <v>9</v>
      </c>
      <c r="B116" s="1">
        <v>4.4000000000000004</v>
      </c>
      <c r="C116" s="22"/>
      <c r="D116" s="23">
        <v>43823</v>
      </c>
      <c r="E116" s="24">
        <v>28.041666666666668</v>
      </c>
      <c r="F116" s="24">
        <v>91.197916666666671</v>
      </c>
      <c r="G116" s="24">
        <v>6.7729166666666663</v>
      </c>
      <c r="H116" s="24">
        <v>0</v>
      </c>
      <c r="I116" s="24">
        <v>129.83333333333334</v>
      </c>
      <c r="J116" s="24">
        <v>6.729166666666667</v>
      </c>
      <c r="K116" s="24">
        <v>0.47916666666666669</v>
      </c>
      <c r="L116" s="24">
        <v>5.4291666666666663</v>
      </c>
      <c r="M116" s="10">
        <v>8.6411627289565571E-2</v>
      </c>
      <c r="N116" s="25">
        <v>0.26929166666666671</v>
      </c>
      <c r="O116" s="25">
        <v>0.36339583333333308</v>
      </c>
      <c r="P116" s="25">
        <v>0.44650000000000017</v>
      </c>
      <c r="Q116" s="25">
        <v>0.44954166666666695</v>
      </c>
      <c r="R116" s="25">
        <v>0.43554166666666677</v>
      </c>
      <c r="S116" s="25">
        <v>0.32702083333333332</v>
      </c>
      <c r="T116" s="25">
        <v>0.35406249999999967</v>
      </c>
      <c r="U116" s="25">
        <v>0.30797916666666653</v>
      </c>
      <c r="V116" s="25">
        <v>-185.95833333333329</v>
      </c>
      <c r="W116" s="25">
        <v>-255.97500000000002</v>
      </c>
      <c r="X116" s="25">
        <v>-81.635416666666671</v>
      </c>
      <c r="Y116" s="25">
        <v>-80.657499999999985</v>
      </c>
      <c r="Z116" s="25">
        <v>-83.574999999999989</v>
      </c>
      <c r="AA116" s="25">
        <v>-93.493749999999991</v>
      </c>
      <c r="AB116" s="25">
        <v>-80.232291666666654</v>
      </c>
      <c r="AC116" s="25">
        <v>-79.188541666666666</v>
      </c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>
        <v>0.20287234042553204</v>
      </c>
      <c r="AU116" s="25">
        <v>0.12291666666666679</v>
      </c>
      <c r="AV116" s="25">
        <v>0.25818749999999974</v>
      </c>
      <c r="AW116" s="25"/>
      <c r="AX116" s="25"/>
      <c r="AY116" s="25"/>
      <c r="AZ116" s="25"/>
      <c r="BA116" s="25"/>
      <c r="BB116" s="25"/>
      <c r="BC116" s="25"/>
      <c r="BD116" s="25"/>
      <c r="BE116" s="25"/>
    </row>
    <row r="117" spans="1:57" x14ac:dyDescent="0.25">
      <c r="A117" s="1">
        <v>21.7</v>
      </c>
      <c r="B117" s="1">
        <v>5.9</v>
      </c>
      <c r="C117" s="22"/>
      <c r="D117" s="23">
        <v>43824</v>
      </c>
      <c r="E117" s="24">
        <v>146.1875</v>
      </c>
      <c r="F117" s="24">
        <v>81.264583333333306</v>
      </c>
      <c r="G117" s="24">
        <v>10.987499999999997</v>
      </c>
      <c r="H117" s="24">
        <v>0</v>
      </c>
      <c r="I117" s="24">
        <v>202.14583333333334</v>
      </c>
      <c r="J117" s="24">
        <v>12.208333333333334</v>
      </c>
      <c r="K117" s="24">
        <v>1.0833333333333333</v>
      </c>
      <c r="L117" s="24">
        <v>7.4083333333333341</v>
      </c>
      <c r="M117" s="10">
        <v>0.33828917731474051</v>
      </c>
      <c r="N117" s="25">
        <v>0.27185416666666656</v>
      </c>
      <c r="O117" s="25">
        <v>0.36533333333333351</v>
      </c>
      <c r="P117" s="25">
        <v>0.44772916666666657</v>
      </c>
      <c r="Q117" s="25">
        <v>0.44906250000000014</v>
      </c>
      <c r="R117" s="25">
        <v>0.43999999999999989</v>
      </c>
      <c r="S117" s="25">
        <v>0.32835416666666684</v>
      </c>
      <c r="T117" s="25">
        <v>0.35412499999999975</v>
      </c>
      <c r="U117" s="25">
        <v>0.30768750000000006</v>
      </c>
      <c r="V117" s="25">
        <v>-176.30416666666665</v>
      </c>
      <c r="W117" s="25">
        <v>-249.91666666666666</v>
      </c>
      <c r="X117" s="25">
        <v>-81.683958333333337</v>
      </c>
      <c r="Y117" s="25">
        <v>-81.64166666666668</v>
      </c>
      <c r="Z117" s="25">
        <v>-80.808125000000004</v>
      </c>
      <c r="AA117" s="25">
        <v>-92.55625000000002</v>
      </c>
      <c r="AB117" s="25">
        <v>-80.4479166666667</v>
      </c>
      <c r="AC117" s="25">
        <v>-80.141250000000028</v>
      </c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>
        <v>0.20473333333333341</v>
      </c>
      <c r="AU117" s="25">
        <v>0.12337777777777785</v>
      </c>
      <c r="AV117" s="25">
        <v>0.26089583333333338</v>
      </c>
      <c r="AW117" s="25"/>
      <c r="AX117" s="25"/>
      <c r="AY117" s="25"/>
      <c r="AZ117" s="25"/>
      <c r="BA117" s="25"/>
      <c r="BB117" s="25"/>
      <c r="BC117" s="25"/>
      <c r="BD117" s="25"/>
      <c r="BE117" s="25"/>
    </row>
    <row r="118" spans="1:57" x14ac:dyDescent="0.25">
      <c r="A118" s="1">
        <v>6.4</v>
      </c>
      <c r="B118" s="1">
        <v>4.2</v>
      </c>
      <c r="C118" s="22"/>
      <c r="D118" s="23">
        <v>43825</v>
      </c>
      <c r="E118" s="24">
        <v>14.875</v>
      </c>
      <c r="F118" s="24">
        <v>81.287499999999994</v>
      </c>
      <c r="G118" s="24">
        <v>5.5833333333333321</v>
      </c>
      <c r="H118" s="24">
        <v>0</v>
      </c>
      <c r="I118" s="24">
        <v>232.3125</v>
      </c>
      <c r="J118" s="24">
        <v>4.8125</v>
      </c>
      <c r="K118" s="24">
        <v>0</v>
      </c>
      <c r="L118" s="24">
        <v>2.6145833333333335</v>
      </c>
      <c r="M118" s="10">
        <v>0.17085806297348127</v>
      </c>
      <c r="N118" s="25">
        <v>0.27229166666666677</v>
      </c>
      <c r="O118" s="25">
        <v>0.36806250000000001</v>
      </c>
      <c r="P118" s="25">
        <v>0.45191666666666658</v>
      </c>
      <c r="Q118" s="25">
        <v>0.45108333333333356</v>
      </c>
      <c r="R118" s="25">
        <v>0.44137499999999985</v>
      </c>
      <c r="S118" s="25">
        <v>0.32972916666666696</v>
      </c>
      <c r="T118" s="25">
        <v>0.35583333333333339</v>
      </c>
      <c r="U118" s="25">
        <v>0.30791666666666656</v>
      </c>
      <c r="V118" s="25">
        <v>-183.94166666666658</v>
      </c>
      <c r="W118" s="25">
        <v>-245.44583333333333</v>
      </c>
      <c r="X118" s="25">
        <v>-80.178750000000022</v>
      </c>
      <c r="Y118" s="25">
        <v>-80.462083333333325</v>
      </c>
      <c r="Z118" s="25">
        <v>-85.32374999999999</v>
      </c>
      <c r="AA118" s="25">
        <v>-90.679166666666674</v>
      </c>
      <c r="AB118" s="25">
        <v>-79.309374999999989</v>
      </c>
      <c r="AC118" s="25">
        <v>-80.101874999999978</v>
      </c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>
        <v>0.20187096774193541</v>
      </c>
      <c r="AU118" s="25">
        <v>0.12058333333333338</v>
      </c>
      <c r="AV118" s="25">
        <v>0.25612500000000021</v>
      </c>
      <c r="AW118" s="25"/>
      <c r="AX118" s="25"/>
      <c r="AY118" s="25"/>
      <c r="AZ118" s="25"/>
      <c r="BA118" s="25"/>
      <c r="BB118" s="25"/>
      <c r="BC118" s="25"/>
      <c r="BD118" s="25"/>
      <c r="BE118" s="25"/>
    </row>
    <row r="119" spans="1:57" x14ac:dyDescent="0.25">
      <c r="A119" s="1">
        <v>10.6</v>
      </c>
      <c r="B119" s="1">
        <v>3.1</v>
      </c>
      <c r="C119" s="22"/>
      <c r="D119" s="23">
        <v>43826</v>
      </c>
      <c r="E119" s="24">
        <v>75.729166666666671</v>
      </c>
      <c r="F119" s="24">
        <v>72.525000000000006</v>
      </c>
      <c r="G119" s="24">
        <v>5.8687499999999986</v>
      </c>
      <c r="H119" s="24">
        <v>0.2</v>
      </c>
      <c r="I119" s="24">
        <v>151.83333333333334</v>
      </c>
      <c r="J119" s="24">
        <v>4.125</v>
      </c>
      <c r="K119" s="24">
        <v>0.125</v>
      </c>
      <c r="L119" s="24">
        <v>1.0250000000000001</v>
      </c>
      <c r="M119" s="10">
        <v>0.27753989717262012</v>
      </c>
      <c r="N119" s="25">
        <v>0.26908333333333323</v>
      </c>
      <c r="O119" s="25">
        <v>0.36316666666666658</v>
      </c>
      <c r="P119" s="25">
        <v>0.44741666666666641</v>
      </c>
      <c r="Q119" s="25">
        <v>0.44956250000000031</v>
      </c>
      <c r="R119" s="25">
        <v>0.43629166666666697</v>
      </c>
      <c r="S119" s="25">
        <v>0.32777083333333323</v>
      </c>
      <c r="T119" s="25">
        <v>0.35449999999999965</v>
      </c>
      <c r="U119" s="25">
        <v>0.30768750000000006</v>
      </c>
      <c r="V119" s="25">
        <v>-195.64791666666665</v>
      </c>
      <c r="W119" s="25">
        <v>-257.48541666666671</v>
      </c>
      <c r="X119" s="25">
        <v>-83.668749999999974</v>
      </c>
      <c r="Y119" s="25">
        <v>-82.439583333333346</v>
      </c>
      <c r="Z119" s="25">
        <v>-88.889583333333348</v>
      </c>
      <c r="AA119" s="25">
        <v>-93.756250000000009</v>
      </c>
      <c r="AB119" s="25">
        <v>-81.028958333333293</v>
      </c>
      <c r="AC119" s="25">
        <v>-82.862499999999997</v>
      </c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>
        <v>0.19939534883720925</v>
      </c>
      <c r="AU119" s="25">
        <v>0.11943181818181813</v>
      </c>
      <c r="AV119" s="25">
        <v>0.25339583333333343</v>
      </c>
      <c r="AW119" s="25"/>
      <c r="AX119" s="25"/>
      <c r="AY119" s="25"/>
      <c r="AZ119" s="25"/>
      <c r="BA119" s="25"/>
      <c r="BB119" s="25"/>
      <c r="BC119" s="25"/>
      <c r="BD119" s="25"/>
      <c r="BE119" s="25"/>
    </row>
    <row r="120" spans="1:57" x14ac:dyDescent="0.25">
      <c r="A120" s="1">
        <v>6.5</v>
      </c>
      <c r="B120" s="1">
        <v>4</v>
      </c>
      <c r="C120" s="22"/>
      <c r="D120" s="23">
        <v>43827</v>
      </c>
      <c r="E120" s="24">
        <v>18.333333333333332</v>
      </c>
      <c r="F120" s="24">
        <v>95.372916666666654</v>
      </c>
      <c r="G120" s="24">
        <v>5.2041666666666675</v>
      </c>
      <c r="H120" s="24">
        <v>3.3000000000000007</v>
      </c>
      <c r="I120" s="24">
        <v>195.35416666666666</v>
      </c>
      <c r="J120" s="24">
        <v>3.0833333333333335</v>
      </c>
      <c r="K120" s="24">
        <v>0.10416666666666667</v>
      </c>
      <c r="L120" s="24">
        <v>4.5187499999999998</v>
      </c>
      <c r="M120" s="10">
        <v>4.0185311656929762E-2</v>
      </c>
      <c r="N120" s="25">
        <v>0.26870833333333349</v>
      </c>
      <c r="O120" s="25">
        <v>0.36200000000000015</v>
      </c>
      <c r="P120" s="25">
        <v>0.44560416666666652</v>
      </c>
      <c r="Q120" s="25">
        <v>0.44845833333333346</v>
      </c>
      <c r="R120" s="25">
        <v>0.43454166666666655</v>
      </c>
      <c r="S120" s="25">
        <v>0.32739583333333333</v>
      </c>
      <c r="T120" s="25">
        <v>0.35370833333333324</v>
      </c>
      <c r="U120" s="25">
        <v>0.30716666666666687</v>
      </c>
      <c r="V120" s="25">
        <v>-201.52500000000006</v>
      </c>
      <c r="W120" s="25">
        <v>-261.27916666666664</v>
      </c>
      <c r="X120" s="25">
        <v>-85.508333333333326</v>
      </c>
      <c r="Y120" s="25">
        <v>-84.214583333333337</v>
      </c>
      <c r="Z120" s="25">
        <v>-91.741666666666688</v>
      </c>
      <c r="AA120" s="25">
        <v>-95.22499999999998</v>
      </c>
      <c r="AB120" s="25">
        <v>-82.206249999999997</v>
      </c>
      <c r="AC120" s="25">
        <v>-84.306249999999991</v>
      </c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>
        <v>0.1995625</v>
      </c>
      <c r="AU120" s="25">
        <v>0.11933333333333336</v>
      </c>
      <c r="AV120" s="25">
        <v>0.25106249999999991</v>
      </c>
      <c r="AW120" s="25"/>
      <c r="AX120" s="25"/>
      <c r="AY120" s="25"/>
      <c r="AZ120" s="25"/>
      <c r="BA120" s="25"/>
      <c r="BB120" s="25"/>
      <c r="BC120" s="25"/>
      <c r="BD120" s="25"/>
      <c r="BE120" s="25"/>
    </row>
    <row r="121" spans="1:57" x14ac:dyDescent="0.25">
      <c r="A121" s="1">
        <v>16.899999999999999</v>
      </c>
      <c r="B121" s="1">
        <v>6.1</v>
      </c>
      <c r="C121" s="22"/>
      <c r="D121" s="23">
        <v>43828</v>
      </c>
      <c r="E121" s="24">
        <v>113.25</v>
      </c>
      <c r="F121" s="24">
        <v>84.960416666666688</v>
      </c>
      <c r="G121" s="24">
        <v>9.4479166666666661</v>
      </c>
      <c r="H121" s="24">
        <v>0.4</v>
      </c>
      <c r="I121" s="24">
        <v>172.14583333333334</v>
      </c>
      <c r="J121" s="24">
        <v>2.5833333333333335</v>
      </c>
      <c r="K121" s="24">
        <v>2.0833333333333332E-2</v>
      </c>
      <c r="L121" s="24">
        <v>6.7208333333333323</v>
      </c>
      <c r="M121" s="10">
        <v>0.22826212902880313</v>
      </c>
      <c r="N121" s="25">
        <v>0.26966666666666661</v>
      </c>
      <c r="O121" s="25">
        <v>0.36177083333333332</v>
      </c>
      <c r="P121" s="25">
        <v>0.44487500000000035</v>
      </c>
      <c r="Q121" s="25">
        <v>0.44712499999999961</v>
      </c>
      <c r="R121" s="25">
        <v>0.43585416666666638</v>
      </c>
      <c r="S121" s="25">
        <v>0.32733333333333331</v>
      </c>
      <c r="T121" s="25">
        <v>0.3529166666666666</v>
      </c>
      <c r="U121" s="25">
        <v>0.30660416666666651</v>
      </c>
      <c r="V121" s="25">
        <v>-197.78750000000005</v>
      </c>
      <c r="W121" s="25">
        <v>-262.44166666666666</v>
      </c>
      <c r="X121" s="25">
        <v>-87.108333333333348</v>
      </c>
      <c r="Y121" s="25">
        <v>-85.997916666666697</v>
      </c>
      <c r="Z121" s="25">
        <v>-90.020833333333357</v>
      </c>
      <c r="AA121" s="25">
        <v>-96.087499999999963</v>
      </c>
      <c r="AB121" s="25">
        <v>-83.347916666666677</v>
      </c>
      <c r="AC121" s="25">
        <v>-85.902083333333351</v>
      </c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>
        <v>0.20483333333333337</v>
      </c>
      <c r="AU121" s="25">
        <v>0.12572340425531911</v>
      </c>
      <c r="AV121" s="25">
        <v>0.25354166666666661</v>
      </c>
      <c r="AW121" s="25"/>
      <c r="AX121" s="25"/>
      <c r="AY121" s="25"/>
      <c r="AZ121" s="25"/>
      <c r="BA121" s="25"/>
      <c r="BB121" s="25"/>
      <c r="BC121" s="25"/>
      <c r="BD121" s="25"/>
      <c r="BE121" s="25"/>
    </row>
    <row r="122" spans="1:57" x14ac:dyDescent="0.25">
      <c r="A122" s="1">
        <v>16.100000000000001</v>
      </c>
      <c r="B122" s="1">
        <v>6.6</v>
      </c>
      <c r="C122" s="22"/>
      <c r="D122" s="23">
        <v>43829</v>
      </c>
      <c r="E122" s="24">
        <v>95.5625</v>
      </c>
      <c r="F122" s="24">
        <v>83.077083333333348</v>
      </c>
      <c r="G122" s="24">
        <v>9.7583333333333311</v>
      </c>
      <c r="H122" s="24">
        <v>0</v>
      </c>
      <c r="I122" s="24">
        <v>153.22916666666666</v>
      </c>
      <c r="J122" s="24">
        <v>5.6875</v>
      </c>
      <c r="K122" s="24">
        <v>0.125</v>
      </c>
      <c r="L122" s="24">
        <v>6.8291666666666657</v>
      </c>
      <c r="M122" s="10">
        <v>0.23399680745060458</v>
      </c>
      <c r="N122" s="25">
        <v>0.27218750000000025</v>
      </c>
      <c r="O122" s="25">
        <v>0.36522916666666699</v>
      </c>
      <c r="P122" s="25">
        <v>0.44883333333333347</v>
      </c>
      <c r="Q122" s="25">
        <v>0.44812500000000038</v>
      </c>
      <c r="R122" s="25">
        <v>0.44081249999999983</v>
      </c>
      <c r="S122" s="25">
        <v>0.32916666666666683</v>
      </c>
      <c r="T122" s="25">
        <v>0.35391666666666627</v>
      </c>
      <c r="U122" s="25">
        <v>0.30629166666666652</v>
      </c>
      <c r="V122" s="25">
        <v>-192.07500000000002</v>
      </c>
      <c r="W122" s="25">
        <v>-254.66875000000005</v>
      </c>
      <c r="X122" s="25">
        <v>-85.577083333333348</v>
      </c>
      <c r="Y122" s="25">
        <v>-85.412500000000023</v>
      </c>
      <c r="Z122" s="25">
        <v>-88.24166666666666</v>
      </c>
      <c r="AA122" s="25">
        <v>-93.691666666666649</v>
      </c>
      <c r="AB122" s="25">
        <v>-82.456250000000011</v>
      </c>
      <c r="AC122" s="25">
        <v>-85.275000000000034</v>
      </c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>
        <v>0.20397674418604642</v>
      </c>
      <c r="AU122" s="25">
        <v>0.12704166666666664</v>
      </c>
      <c r="AV122" s="25">
        <v>0.25406250000000002</v>
      </c>
      <c r="AW122" s="25"/>
      <c r="AX122" s="25"/>
      <c r="AY122" s="25"/>
      <c r="AZ122" s="25"/>
      <c r="BA122" s="25"/>
      <c r="BB122" s="25"/>
      <c r="BC122" s="25"/>
      <c r="BD122" s="25"/>
      <c r="BE122" s="25"/>
    </row>
    <row r="123" spans="1:57" x14ac:dyDescent="0.25">
      <c r="A123" s="1">
        <v>10.6</v>
      </c>
      <c r="B123" s="1">
        <v>5.4</v>
      </c>
      <c r="C123" s="22"/>
      <c r="D123" s="23">
        <v>43830</v>
      </c>
      <c r="E123" s="24">
        <v>19.75</v>
      </c>
      <c r="F123" s="24">
        <v>94.612500000000011</v>
      </c>
      <c r="G123" s="24">
        <v>7.2416666666666645</v>
      </c>
      <c r="H123" s="24">
        <v>0.8</v>
      </c>
      <c r="I123" s="24">
        <v>134.6875</v>
      </c>
      <c r="J123" s="24">
        <v>8.4375</v>
      </c>
      <c r="K123" s="24">
        <v>1.375</v>
      </c>
      <c r="L123" s="24">
        <v>6.429166666666668</v>
      </c>
      <c r="M123" s="10">
        <v>5.6365654908941458E-2</v>
      </c>
      <c r="N123" s="25">
        <v>0.27127083333333329</v>
      </c>
      <c r="O123" s="25">
        <v>0.36612499999999976</v>
      </c>
      <c r="P123" s="25">
        <v>0.44956249999999992</v>
      </c>
      <c r="Q123" s="25">
        <v>0.44939583333333361</v>
      </c>
      <c r="R123" s="25">
        <v>0.4395416666666665</v>
      </c>
      <c r="S123" s="25">
        <v>0.32964583333333358</v>
      </c>
      <c r="T123" s="25">
        <v>0.35487500000000022</v>
      </c>
      <c r="U123" s="25">
        <v>0.30697916666666691</v>
      </c>
      <c r="V123" s="25">
        <v>-199.72708333333335</v>
      </c>
      <c r="W123" s="25">
        <v>-256.31041666666675</v>
      </c>
      <c r="X123" s="25">
        <v>-85.864583333333314</v>
      </c>
      <c r="Y123" s="25">
        <v>-84.889583333333363</v>
      </c>
      <c r="Z123" s="25">
        <v>-90.872916666666598</v>
      </c>
      <c r="AA123" s="25">
        <v>-93.539583333333326</v>
      </c>
      <c r="AB123" s="25">
        <v>-82.118749999999991</v>
      </c>
      <c r="AC123" s="25">
        <v>-84.981249999999989</v>
      </c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>
        <v>0.20216666666666663</v>
      </c>
      <c r="AU123" s="25">
        <v>0.12443750000000003</v>
      </c>
      <c r="AV123" s="25">
        <v>0.2513749999999999</v>
      </c>
      <c r="AW123" s="25"/>
      <c r="AX123" s="25"/>
      <c r="AY123" s="25"/>
      <c r="AZ123" s="25"/>
      <c r="BA123" s="25"/>
      <c r="BB123" s="25"/>
      <c r="BC123" s="25"/>
      <c r="BD123" s="25"/>
      <c r="BE123" s="25"/>
    </row>
    <row r="124" spans="1:57" x14ac:dyDescent="0.25">
      <c r="A124" s="1">
        <v>18.899999999999999</v>
      </c>
      <c r="B124" s="1">
        <v>10.199999999999999</v>
      </c>
      <c r="C124" s="22"/>
      <c r="D124" s="23">
        <v>43831</v>
      </c>
      <c r="E124" s="24">
        <v>105.45833333333333</v>
      </c>
      <c r="F124" s="24">
        <v>79.981250000000003</v>
      </c>
      <c r="G124" s="24">
        <v>13.700000000000003</v>
      </c>
      <c r="H124" s="24">
        <v>0</v>
      </c>
      <c r="I124" s="24">
        <v>170.64583333333334</v>
      </c>
      <c r="J124" s="24">
        <v>18.4375</v>
      </c>
      <c r="K124" s="24">
        <v>3.0416666666666665</v>
      </c>
      <c r="L124" s="24">
        <v>10.135416666666666</v>
      </c>
      <c r="M124" s="10">
        <v>0.35280575231979</v>
      </c>
      <c r="N124" s="25">
        <v>0.27137500000000009</v>
      </c>
      <c r="O124" s="25">
        <v>0.36556250000000018</v>
      </c>
      <c r="P124" s="25">
        <v>0.44833333333333342</v>
      </c>
      <c r="Q124" s="25">
        <v>0.44843750000000032</v>
      </c>
      <c r="R124" s="25">
        <v>0.44043750000000031</v>
      </c>
      <c r="S124" s="25">
        <v>0.32935416666666673</v>
      </c>
      <c r="T124" s="25">
        <v>0.35406249999999967</v>
      </c>
      <c r="U124" s="25">
        <v>0.3068125000000001</v>
      </c>
      <c r="V124" s="25">
        <v>-195.33958333333337</v>
      </c>
      <c r="W124" s="25">
        <v>-257.66041666666661</v>
      </c>
      <c r="X124" s="25">
        <v>-87.658333333333303</v>
      </c>
      <c r="Y124" s="25">
        <v>-85.945833333333326</v>
      </c>
      <c r="Z124" s="25">
        <v>-88.245833333333351</v>
      </c>
      <c r="AA124" s="25">
        <v>-94.399999999999977</v>
      </c>
      <c r="AB124" s="25">
        <v>-83.19583333333334</v>
      </c>
      <c r="AC124" s="25">
        <v>-86.21041666666666</v>
      </c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>
        <v>0.20193939393939395</v>
      </c>
      <c r="AU124" s="25">
        <v>0.12545833333333331</v>
      </c>
      <c r="AV124" s="25">
        <v>0.25325000000000009</v>
      </c>
      <c r="AW124" s="25"/>
      <c r="AX124" s="25"/>
      <c r="AY124" s="25"/>
      <c r="AZ124" s="25"/>
      <c r="BA124" s="25"/>
      <c r="BB124" s="25"/>
      <c r="BC124" s="25"/>
      <c r="BD124" s="25"/>
      <c r="BE124" s="25"/>
    </row>
    <row r="125" spans="1:57" x14ac:dyDescent="0.25">
      <c r="A125" s="1">
        <v>21.2</v>
      </c>
      <c r="B125" s="1">
        <v>9.1999999999999993</v>
      </c>
      <c r="C125" s="22"/>
      <c r="D125" s="23">
        <v>43832</v>
      </c>
      <c r="E125" s="24">
        <v>126.39583333333333</v>
      </c>
      <c r="F125" s="24">
        <v>74.695833333333326</v>
      </c>
      <c r="G125" s="24">
        <v>14.779166666666663</v>
      </c>
      <c r="H125" s="24">
        <v>0</v>
      </c>
      <c r="I125" s="24">
        <v>171.04166666666666</v>
      </c>
      <c r="J125" s="24">
        <v>8.0625</v>
      </c>
      <c r="K125" s="24">
        <v>0.3125</v>
      </c>
      <c r="L125" s="24">
        <v>9.9500000000000028</v>
      </c>
      <c r="M125" s="10">
        <v>0.49489900884368171</v>
      </c>
      <c r="N125" s="25">
        <v>0.27472916666666641</v>
      </c>
      <c r="O125" s="25">
        <v>0.36981249999999993</v>
      </c>
      <c r="P125" s="25">
        <v>0.45274999999999982</v>
      </c>
      <c r="Q125" s="25">
        <v>0.45010416666666653</v>
      </c>
      <c r="R125" s="25">
        <v>0.44624999999999998</v>
      </c>
      <c r="S125" s="25">
        <v>0.33166666666666689</v>
      </c>
      <c r="T125" s="25">
        <v>0.3555416666666667</v>
      </c>
      <c r="U125" s="25">
        <v>0.30689583333333359</v>
      </c>
      <c r="V125" s="25">
        <v>-185.45000000000002</v>
      </c>
      <c r="W125" s="25">
        <v>-246.9604166666667</v>
      </c>
      <c r="X125" s="25">
        <v>-85.368749999999991</v>
      </c>
      <c r="Y125" s="25">
        <v>-84.520833333333329</v>
      </c>
      <c r="Z125" s="25">
        <v>-85.36875000000002</v>
      </c>
      <c r="AA125" s="25">
        <v>-91.489583333333371</v>
      </c>
      <c r="AB125" s="25">
        <v>-82.043750000000017</v>
      </c>
      <c r="AC125" s="25">
        <v>-85.218749999999986</v>
      </c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>
        <v>0.20244117647058818</v>
      </c>
      <c r="AU125" s="25">
        <v>0.12407692307692313</v>
      </c>
      <c r="AV125" s="25">
        <v>0.2544791666666667</v>
      </c>
      <c r="AW125" s="25"/>
      <c r="AX125" s="25"/>
      <c r="AY125" s="25"/>
      <c r="AZ125" s="25"/>
      <c r="BA125" s="25"/>
      <c r="BB125" s="25"/>
      <c r="BC125" s="25"/>
      <c r="BD125" s="25"/>
      <c r="BE125" s="25"/>
    </row>
    <row r="126" spans="1:57" x14ac:dyDescent="0.25">
      <c r="A126" s="1">
        <v>10.9</v>
      </c>
      <c r="B126" s="1">
        <v>7.1</v>
      </c>
      <c r="C126" s="22"/>
      <c r="D126" s="23">
        <v>43833</v>
      </c>
      <c r="E126" s="24">
        <v>36.75</v>
      </c>
      <c r="F126" s="24">
        <v>89.999999999999986</v>
      </c>
      <c r="G126" s="24">
        <v>8.3520833333333329</v>
      </c>
      <c r="H126" s="24">
        <v>0</v>
      </c>
      <c r="I126" s="24">
        <v>143.52083333333334</v>
      </c>
      <c r="J126" s="24">
        <v>5.291666666666667</v>
      </c>
      <c r="K126" s="24">
        <v>0</v>
      </c>
      <c r="L126" s="24">
        <v>6.7895833333333329</v>
      </c>
      <c r="M126" s="10">
        <v>0.11282535381469111</v>
      </c>
      <c r="N126" s="25">
        <v>0.27358333333333335</v>
      </c>
      <c r="O126" s="25">
        <v>0.37066666666666653</v>
      </c>
      <c r="P126" s="25">
        <v>0.45458333333333328</v>
      </c>
      <c r="Q126" s="25">
        <v>0.45222916666666696</v>
      </c>
      <c r="R126" s="25">
        <v>0.44535416666666677</v>
      </c>
      <c r="S126" s="25">
        <v>0.3322291666666668</v>
      </c>
      <c r="T126" s="25">
        <v>0.3569791666666664</v>
      </c>
      <c r="U126" s="25">
        <v>0.30764583333333329</v>
      </c>
      <c r="V126" s="25">
        <v>-194.72499999999994</v>
      </c>
      <c r="W126" s="25">
        <v>-247.57083333333333</v>
      </c>
      <c r="X126" s="25">
        <v>-84.939583333333331</v>
      </c>
      <c r="Y126" s="25">
        <v>-82.810416666666669</v>
      </c>
      <c r="Z126" s="25">
        <v>-87.933333333333337</v>
      </c>
      <c r="AA126" s="25">
        <v>-90.999999999999957</v>
      </c>
      <c r="AB126" s="25">
        <v>-81.350000000000009</v>
      </c>
      <c r="AC126" s="25">
        <v>-84.004166666666649</v>
      </c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>
        <v>0.1992727272727273</v>
      </c>
      <c r="AU126" s="25">
        <v>0.12131250000000011</v>
      </c>
      <c r="AV126" s="25">
        <v>0.25118749999999995</v>
      </c>
      <c r="AW126" s="25"/>
      <c r="AX126" s="25"/>
      <c r="AY126" s="25"/>
      <c r="AZ126" s="25"/>
      <c r="BA126" s="25"/>
      <c r="BB126" s="25"/>
      <c r="BC126" s="25"/>
      <c r="BD126" s="25"/>
      <c r="BE126" s="25"/>
    </row>
    <row r="127" spans="1:57" x14ac:dyDescent="0.25">
      <c r="A127" s="1">
        <v>13.8</v>
      </c>
      <c r="B127" s="1">
        <v>6.1</v>
      </c>
      <c r="C127" s="22"/>
      <c r="D127" s="23">
        <v>43834</v>
      </c>
      <c r="E127" s="24">
        <v>25.0625</v>
      </c>
      <c r="F127" s="24">
        <v>94.875000000000014</v>
      </c>
      <c r="G127" s="24">
        <v>9.0770833333333343</v>
      </c>
      <c r="H127" s="24">
        <v>20.799999999999997</v>
      </c>
      <c r="I127" s="24">
        <v>147.27083333333334</v>
      </c>
      <c r="J127" s="24">
        <v>7.604166666666667</v>
      </c>
      <c r="K127" s="24">
        <v>1.7083333333333333</v>
      </c>
      <c r="L127" s="24">
        <v>8.2937499999999975</v>
      </c>
      <c r="M127" s="10">
        <v>6.5517627000271098E-2</v>
      </c>
      <c r="N127" s="25">
        <v>0.27891666666666648</v>
      </c>
      <c r="O127" s="25">
        <v>0.37814583333333335</v>
      </c>
      <c r="P127" s="25">
        <v>0.45635416666666634</v>
      </c>
      <c r="Q127" s="25">
        <v>0.4603541666666669</v>
      </c>
      <c r="R127" s="25">
        <v>0.44750000000000006</v>
      </c>
      <c r="S127" s="25">
        <v>0.33102083333333349</v>
      </c>
      <c r="T127" s="25">
        <v>0.35604166666666676</v>
      </c>
      <c r="U127" s="25">
        <v>0.30793749999999992</v>
      </c>
      <c r="V127" s="25">
        <v>-208.0500000000001</v>
      </c>
      <c r="W127" s="25">
        <v>-226.14604166666672</v>
      </c>
      <c r="X127" s="25">
        <v>-88.252083333333346</v>
      </c>
      <c r="Y127" s="25">
        <v>-75.301041666666677</v>
      </c>
      <c r="Z127" s="25">
        <v>-89.914583333333326</v>
      </c>
      <c r="AA127" s="25">
        <v>-93.891666666666694</v>
      </c>
      <c r="AB127" s="25">
        <v>-83.025000000000006</v>
      </c>
      <c r="AC127" s="25">
        <v>-85.395833333333371</v>
      </c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>
        <v>0.20454285714285728</v>
      </c>
      <c r="AU127" s="25">
        <v>0.13985416666666675</v>
      </c>
      <c r="AV127" s="25">
        <v>0.27533333333333337</v>
      </c>
      <c r="AW127" s="25"/>
      <c r="AX127" s="25"/>
      <c r="AY127" s="25"/>
      <c r="AZ127" s="25"/>
      <c r="BA127" s="25"/>
      <c r="BB127" s="25"/>
      <c r="BC127" s="25"/>
      <c r="BD127" s="25"/>
      <c r="BE127" s="25"/>
    </row>
    <row r="128" spans="1:57" x14ac:dyDescent="0.25">
      <c r="A128" s="1">
        <v>17.2</v>
      </c>
      <c r="B128" s="1">
        <v>11.1</v>
      </c>
      <c r="C128" s="22"/>
      <c r="D128" s="23">
        <v>43835</v>
      </c>
      <c r="E128" s="24">
        <v>103</v>
      </c>
      <c r="F128" s="24">
        <v>83.954166666666666</v>
      </c>
      <c r="G128" s="24">
        <v>13.337500000000004</v>
      </c>
      <c r="H128" s="24">
        <v>4.2</v>
      </c>
      <c r="I128" s="24">
        <v>190.0625</v>
      </c>
      <c r="J128" s="24">
        <v>20.3125</v>
      </c>
      <c r="K128" s="24">
        <v>4.0625</v>
      </c>
      <c r="L128" s="24">
        <v>10.624999999999998</v>
      </c>
      <c r="M128" s="10">
        <v>0.2590665067805426</v>
      </c>
      <c r="N128" s="25">
        <v>0.31033333333333313</v>
      </c>
      <c r="O128" s="25">
        <v>0.43258333333333315</v>
      </c>
      <c r="P128" s="25">
        <v>0.49974999999999997</v>
      </c>
      <c r="Q128" s="25">
        <v>0.49362499999999976</v>
      </c>
      <c r="R128" s="25">
        <v>0.48289583333333358</v>
      </c>
      <c r="S128" s="25">
        <v>0.33514583333333353</v>
      </c>
      <c r="T128" s="25">
        <v>0.35599999999999993</v>
      </c>
      <c r="U128" s="25">
        <v>0.30781249999999999</v>
      </c>
      <c r="V128" s="25">
        <v>-200.9375</v>
      </c>
      <c r="W128" s="25">
        <v>-25.627083333333331</v>
      </c>
      <c r="X128" s="25">
        <v>-67.866458333333341</v>
      </c>
      <c r="Y128" s="25">
        <v>-13.098541666666669</v>
      </c>
      <c r="Z128" s="25">
        <v>-23.029375000000002</v>
      </c>
      <c r="AA128" s="25">
        <v>-94.214583333333323</v>
      </c>
      <c r="AB128" s="25">
        <v>-84.05416666666666</v>
      </c>
      <c r="AC128" s="25">
        <v>-85.756250000000023</v>
      </c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>
        <v>0.3607499999999999</v>
      </c>
      <c r="AU128" s="25">
        <v>0.21812765957446822</v>
      </c>
      <c r="AV128" s="25">
        <v>0.40335416666666662</v>
      </c>
      <c r="AW128" s="25"/>
      <c r="AX128" s="25"/>
      <c r="AY128" s="25"/>
      <c r="AZ128" s="25"/>
      <c r="BA128" s="25"/>
      <c r="BB128" s="25"/>
      <c r="BC128" s="25"/>
      <c r="BD128" s="25"/>
      <c r="BE128" s="25"/>
    </row>
    <row r="129" spans="1:57" x14ac:dyDescent="0.25">
      <c r="A129" s="1">
        <v>17.899999999999999</v>
      </c>
      <c r="B129" s="1">
        <v>11</v>
      </c>
      <c r="C129" s="22"/>
      <c r="D129" s="23">
        <v>43836</v>
      </c>
      <c r="E129" s="24">
        <v>80.875</v>
      </c>
      <c r="F129" s="24">
        <v>85.020833333333343</v>
      </c>
      <c r="G129" s="24">
        <v>14.012499999999996</v>
      </c>
      <c r="H129" s="24">
        <v>22</v>
      </c>
      <c r="I129" s="24">
        <v>155.4375</v>
      </c>
      <c r="J129" s="24">
        <v>21.604166666666668</v>
      </c>
      <c r="K129" s="24">
        <v>5.270833333333333</v>
      </c>
      <c r="L129" s="24">
        <v>11.477083333333331</v>
      </c>
      <c r="M129" s="10">
        <v>0.24728457018609684</v>
      </c>
      <c r="N129" s="25">
        <v>0.3356041666666667</v>
      </c>
      <c r="O129" s="25">
        <v>0.47391666666666671</v>
      </c>
      <c r="P129" s="25">
        <v>0.53716666666666646</v>
      </c>
      <c r="Q129" s="25">
        <v>0.53618749999999993</v>
      </c>
      <c r="R129" s="25">
        <v>0.50906249999999997</v>
      </c>
      <c r="S129" s="25">
        <v>0.38139583333333338</v>
      </c>
      <c r="T129" s="25">
        <v>0.36808333333333326</v>
      </c>
      <c r="U129" s="25">
        <v>0.31464583333333335</v>
      </c>
      <c r="V129" s="25">
        <v>-174.76041666666666</v>
      </c>
      <c r="W129" s="25">
        <v>-23.174374999999987</v>
      </c>
      <c r="X129" s="25">
        <v>-16.970208333333339</v>
      </c>
      <c r="Y129" s="25">
        <v>-13.063333333333338</v>
      </c>
      <c r="Z129" s="25">
        <v>-13.600208333333333</v>
      </c>
      <c r="AA129" s="25">
        <v>-72.357291666666654</v>
      </c>
      <c r="AB129" s="25">
        <v>-62.810833333333363</v>
      </c>
      <c r="AC129" s="25">
        <v>-58.799374999999998</v>
      </c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>
        <v>0.40748275862068961</v>
      </c>
      <c r="AU129" s="25">
        <v>0.25981250000000011</v>
      </c>
      <c r="AV129" s="25">
        <v>0.43816666666666676</v>
      </c>
      <c r="AW129" s="25"/>
      <c r="AX129" s="25"/>
      <c r="AY129" s="25"/>
      <c r="AZ129" s="25"/>
      <c r="BA129" s="25"/>
      <c r="BB129" s="25"/>
      <c r="BC129" s="25"/>
      <c r="BD129" s="25"/>
      <c r="BE129" s="25"/>
    </row>
    <row r="130" spans="1:57" x14ac:dyDescent="0.25">
      <c r="A130" s="1">
        <v>19.3</v>
      </c>
      <c r="B130" s="1">
        <v>3.5</v>
      </c>
      <c r="C130" s="22"/>
      <c r="D130" s="23">
        <v>43837</v>
      </c>
      <c r="E130" s="24">
        <v>145.875</v>
      </c>
      <c r="F130" s="24">
        <v>76.416666666666686</v>
      </c>
      <c r="G130" s="24">
        <v>10.625000000000002</v>
      </c>
      <c r="H130" s="24">
        <v>0</v>
      </c>
      <c r="I130" s="24">
        <v>166.52083333333334</v>
      </c>
      <c r="J130" s="24">
        <v>5.4375</v>
      </c>
      <c r="K130" s="24">
        <v>0.8125</v>
      </c>
      <c r="L130" s="24">
        <v>6.3187500000000014</v>
      </c>
      <c r="M130" s="10">
        <v>0.3654156346206559</v>
      </c>
      <c r="N130" s="25">
        <v>0.36862499999999992</v>
      </c>
      <c r="O130" s="25">
        <v>0.49552083333333347</v>
      </c>
      <c r="P130" s="25">
        <v>0.55008333333333337</v>
      </c>
      <c r="Q130" s="25">
        <v>0.55864583333333329</v>
      </c>
      <c r="R130" s="25">
        <v>0.50793750000000015</v>
      </c>
      <c r="S130" s="25">
        <v>0.39304166666666668</v>
      </c>
      <c r="T130" s="25">
        <v>0.3897916666666667</v>
      </c>
      <c r="U130" s="25">
        <v>0.33097916666666677</v>
      </c>
      <c r="V130" s="25">
        <v>-57.911458333333314</v>
      </c>
      <c r="W130" s="25">
        <v>-22.73041666666666</v>
      </c>
      <c r="X130" s="25">
        <v>-12.769791666666663</v>
      </c>
      <c r="Y130" s="25">
        <v>-13.065624999999995</v>
      </c>
      <c r="Z130" s="25">
        <v>-12.863749999999998</v>
      </c>
      <c r="AA130" s="25">
        <v>-21.149791666666662</v>
      </c>
      <c r="AB130" s="25">
        <v>-20.259583333333332</v>
      </c>
      <c r="AC130" s="25">
        <v>-14.036666666666674</v>
      </c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>
        <v>0.40448387096774185</v>
      </c>
      <c r="AU130" s="25">
        <v>0.24021739130434785</v>
      </c>
      <c r="AV130" s="25">
        <v>0.43254166666666638</v>
      </c>
      <c r="AW130" s="25"/>
      <c r="AX130" s="25"/>
      <c r="AY130" s="25"/>
      <c r="AZ130" s="25"/>
      <c r="BA130" s="25"/>
      <c r="BB130" s="25"/>
      <c r="BC130" s="25"/>
      <c r="BD130" s="25"/>
      <c r="BE130" s="25"/>
    </row>
    <row r="131" spans="1:57" x14ac:dyDescent="0.25">
      <c r="A131" s="1">
        <v>19.3</v>
      </c>
      <c r="B131" s="1">
        <v>11.4</v>
      </c>
      <c r="C131" s="22"/>
      <c r="D131" s="23">
        <v>43838</v>
      </c>
      <c r="E131" s="24">
        <v>98.979166666666671</v>
      </c>
      <c r="F131" s="24">
        <v>79.933333333333323</v>
      </c>
      <c r="G131" s="24">
        <v>15.154166666666667</v>
      </c>
      <c r="H131" s="24">
        <v>0</v>
      </c>
      <c r="I131" s="24">
        <v>152</v>
      </c>
      <c r="J131" s="24">
        <v>23.5</v>
      </c>
      <c r="K131" s="24">
        <v>6.145833333333333</v>
      </c>
      <c r="L131" s="24">
        <v>11.635416666666664</v>
      </c>
      <c r="M131" s="10">
        <v>0.36366265148312588</v>
      </c>
      <c r="N131" s="25">
        <v>0.36499999999999999</v>
      </c>
      <c r="O131" s="25">
        <v>0.49325000000000019</v>
      </c>
      <c r="P131" s="25">
        <v>0.54827083333333348</v>
      </c>
      <c r="Q131" s="25">
        <v>0.55516666666666625</v>
      </c>
      <c r="R131" s="25">
        <v>0.50920833333333348</v>
      </c>
      <c r="S131" s="25">
        <v>0.39187500000000003</v>
      </c>
      <c r="T131" s="25">
        <v>0.39533333333333348</v>
      </c>
      <c r="U131" s="25">
        <v>0.3394375</v>
      </c>
      <c r="V131" s="25">
        <v>-33.836041666666667</v>
      </c>
      <c r="W131" s="25">
        <v>-22.75395833333334</v>
      </c>
      <c r="X131" s="25">
        <v>-12.69166666666667</v>
      </c>
      <c r="Y131" s="25">
        <v>-12.984374999999995</v>
      </c>
      <c r="Z131" s="25">
        <v>-12.809375000000003</v>
      </c>
      <c r="AA131" s="25">
        <v>-24.423958333333335</v>
      </c>
      <c r="AB131" s="25">
        <v>-23.928333333333327</v>
      </c>
      <c r="AC131" s="25">
        <v>-14.086458333333326</v>
      </c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>
        <v>0.39550000000000002</v>
      </c>
      <c r="AU131" s="25">
        <v>0.23010416666666678</v>
      </c>
      <c r="AV131" s="25">
        <v>0.41564583333333321</v>
      </c>
      <c r="AW131" s="25"/>
      <c r="AX131" s="25"/>
      <c r="AY131" s="25"/>
      <c r="AZ131" s="25"/>
      <c r="BA131" s="25"/>
      <c r="BB131" s="25"/>
      <c r="BC131" s="25"/>
      <c r="BD131" s="25"/>
      <c r="BE131" s="25"/>
    </row>
    <row r="132" spans="1:57" x14ac:dyDescent="0.25">
      <c r="A132" s="1">
        <v>16.5</v>
      </c>
      <c r="B132" s="1">
        <v>6.5</v>
      </c>
      <c r="C132" s="22"/>
      <c r="D132" s="23">
        <v>43839</v>
      </c>
      <c r="E132" s="24">
        <v>120.08333333333333</v>
      </c>
      <c r="F132" s="24">
        <v>82.958333333333329</v>
      </c>
      <c r="G132" s="24">
        <v>12.266666666666667</v>
      </c>
      <c r="H132" s="24">
        <v>0</v>
      </c>
      <c r="I132" s="24">
        <v>153.35416666666666</v>
      </c>
      <c r="J132" s="24">
        <v>9.4583333333333339</v>
      </c>
      <c r="K132" s="24">
        <v>1.0208333333333333</v>
      </c>
      <c r="L132" s="24">
        <v>9.3250000000000011</v>
      </c>
      <c r="M132" s="10">
        <v>0.26759487535920545</v>
      </c>
      <c r="N132" s="25">
        <v>0.36433333333333318</v>
      </c>
      <c r="O132" s="25">
        <v>0.49222916666666655</v>
      </c>
      <c r="P132" s="25">
        <v>0.54835416666666681</v>
      </c>
      <c r="Q132" s="25">
        <v>0.55460416666666601</v>
      </c>
      <c r="R132" s="25">
        <v>0.51108333333333333</v>
      </c>
      <c r="S132" s="25">
        <v>0.3930833333333334</v>
      </c>
      <c r="T132" s="25">
        <v>0.40216666666666678</v>
      </c>
      <c r="U132" s="25">
        <v>0.34952083333333323</v>
      </c>
      <c r="V132" s="25">
        <v>-29.540416666666662</v>
      </c>
      <c r="W132" s="25">
        <v>-22.730625</v>
      </c>
      <c r="X132" s="25">
        <v>-12.641666666666671</v>
      </c>
      <c r="Y132" s="25">
        <v>-13.005416666666664</v>
      </c>
      <c r="Z132" s="25">
        <v>-12.87083333333333</v>
      </c>
      <c r="AA132" s="25">
        <v>-26.444791666666671</v>
      </c>
      <c r="AB132" s="25">
        <v>-24.810208333333335</v>
      </c>
      <c r="AC132" s="25">
        <v>-14.161041666666671</v>
      </c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>
        <v>0.38914285714285712</v>
      </c>
      <c r="AU132" s="25">
        <v>0.22362499999999993</v>
      </c>
      <c r="AV132" s="25">
        <v>0.40491666666666654</v>
      </c>
      <c r="AW132" s="25"/>
      <c r="AX132" s="25"/>
      <c r="AY132" s="25"/>
      <c r="AZ132" s="25"/>
      <c r="BA132" s="25"/>
      <c r="BB132" s="25"/>
      <c r="BC132" s="25"/>
      <c r="BD132" s="25"/>
      <c r="BE132" s="25"/>
    </row>
    <row r="133" spans="1:57" x14ac:dyDescent="0.25">
      <c r="A133" s="1">
        <v>6.9</v>
      </c>
      <c r="B133" s="1">
        <v>4.5999999999999996</v>
      </c>
      <c r="C133" s="22"/>
      <c r="D133" s="23">
        <v>43840</v>
      </c>
      <c r="E133" s="24">
        <v>32</v>
      </c>
      <c r="F133" s="24">
        <v>92.827083333333334</v>
      </c>
      <c r="G133" s="24">
        <v>5.8500000000000014</v>
      </c>
      <c r="H133" s="24">
        <v>0</v>
      </c>
      <c r="I133" s="24">
        <v>166.375</v>
      </c>
      <c r="J133" s="24">
        <v>6</v>
      </c>
      <c r="K133" s="24">
        <v>4.1666666666666664E-2</v>
      </c>
      <c r="L133" s="24">
        <v>4.772916666666668</v>
      </c>
      <c r="M133" s="10">
        <v>6.6255597615316283E-2</v>
      </c>
      <c r="N133" s="25">
        <v>0.36010416666666673</v>
      </c>
      <c r="O133" s="25">
        <v>0.48827083333333343</v>
      </c>
      <c r="P133" s="25">
        <v>0.54662500000000025</v>
      </c>
      <c r="Q133" s="25">
        <v>0.55431249999999987</v>
      </c>
      <c r="R133" s="25">
        <v>0.50735416666666666</v>
      </c>
      <c r="S133" s="25">
        <v>0.39583333333333365</v>
      </c>
      <c r="T133" s="25">
        <v>0.40816666666666679</v>
      </c>
      <c r="U133" s="25">
        <v>0.35652083333333334</v>
      </c>
      <c r="V133" s="25">
        <v>-29.093125000000001</v>
      </c>
      <c r="W133" s="25">
        <v>-23.32520833333334</v>
      </c>
      <c r="X133" s="25">
        <v>-12.73541666666666</v>
      </c>
      <c r="Y133" s="25">
        <v>-12.927499999999997</v>
      </c>
      <c r="Z133" s="25">
        <v>-13.668333333333331</v>
      </c>
      <c r="AA133" s="25">
        <v>-27.176458333333343</v>
      </c>
      <c r="AB133" s="25">
        <v>-24.244166666666668</v>
      </c>
      <c r="AC133" s="25">
        <v>-14.258125000000005</v>
      </c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>
        <v>0.38276595744680841</v>
      </c>
      <c r="AU133" s="25">
        <v>0.21689583333333318</v>
      </c>
      <c r="AV133" s="25">
        <v>0.39156250000000009</v>
      </c>
      <c r="AW133" s="25"/>
      <c r="AX133" s="25"/>
      <c r="AY133" s="25"/>
      <c r="AZ133" s="25"/>
      <c r="BA133" s="25"/>
      <c r="BB133" s="25"/>
      <c r="BC133" s="25"/>
      <c r="BD133" s="25"/>
      <c r="BE133" s="25"/>
    </row>
    <row r="134" spans="1:57" x14ac:dyDescent="0.25">
      <c r="A134" s="1">
        <v>16.899999999999999</v>
      </c>
      <c r="B134" s="1">
        <v>3.4</v>
      </c>
      <c r="C134" s="22"/>
      <c r="D134" s="23">
        <v>43841</v>
      </c>
      <c r="E134" s="24">
        <v>153.0625</v>
      </c>
      <c r="F134" s="24">
        <v>73.216666666666654</v>
      </c>
      <c r="G134" s="24">
        <v>7.5020833333333314</v>
      </c>
      <c r="H134" s="24">
        <v>0</v>
      </c>
      <c r="I134" s="24">
        <v>200.89583333333334</v>
      </c>
      <c r="J134" s="24">
        <v>7.5</v>
      </c>
      <c r="K134" s="24">
        <v>0.79166666666666663</v>
      </c>
      <c r="L134" s="24">
        <v>2.4750000000000001</v>
      </c>
      <c r="M134" s="10">
        <v>0.35348727747869274</v>
      </c>
      <c r="N134" s="25">
        <v>0.35552083333333323</v>
      </c>
      <c r="O134" s="25">
        <v>0.48137500000000005</v>
      </c>
      <c r="P134" s="25">
        <v>0.5403541666666668</v>
      </c>
      <c r="Q134" s="25">
        <v>0.55035416666666659</v>
      </c>
      <c r="R134" s="25">
        <v>0.50333333333333352</v>
      </c>
      <c r="S134" s="25">
        <v>0.39625000000000005</v>
      </c>
      <c r="T134" s="25">
        <v>0.41016666666666696</v>
      </c>
      <c r="U134" s="25">
        <v>0.35843750000000002</v>
      </c>
      <c r="V134" s="25">
        <v>-28.549583333333342</v>
      </c>
      <c r="W134" s="25">
        <v>-24.142708333333331</v>
      </c>
      <c r="X134" s="25">
        <v>-12.892083333333332</v>
      </c>
      <c r="Y134" s="25">
        <v>-13.101041666666665</v>
      </c>
      <c r="Z134" s="25">
        <v>-14.413333333333336</v>
      </c>
      <c r="AA134" s="25">
        <v>-27.415625000000006</v>
      </c>
      <c r="AB134" s="25">
        <v>-23.618958333333328</v>
      </c>
      <c r="AC134" s="25">
        <v>-14.432708333333325</v>
      </c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>
        <v>0.37714634146341464</v>
      </c>
      <c r="AU134" s="25">
        <v>0.21134782608695662</v>
      </c>
      <c r="AV134" s="25">
        <v>0.38275000000000009</v>
      </c>
      <c r="AW134" s="25"/>
      <c r="AX134" s="25"/>
      <c r="AY134" s="25"/>
      <c r="AZ134" s="25"/>
      <c r="BA134" s="25"/>
      <c r="BB134" s="25"/>
      <c r="BC134" s="25"/>
      <c r="BD134" s="25"/>
      <c r="BE134" s="25"/>
    </row>
    <row r="135" spans="1:57" x14ac:dyDescent="0.25">
      <c r="A135" s="1">
        <v>15.2</v>
      </c>
      <c r="B135" s="1">
        <v>2.6</v>
      </c>
      <c r="C135" s="22"/>
      <c r="D135" s="23">
        <v>43842</v>
      </c>
      <c r="E135" s="24">
        <v>113.54166666666667</v>
      </c>
      <c r="F135" s="24">
        <v>79.606250000000003</v>
      </c>
      <c r="G135" s="24">
        <v>7.1729166666666684</v>
      </c>
      <c r="H135" s="24">
        <v>0</v>
      </c>
      <c r="I135" s="24">
        <v>147.08333333333334</v>
      </c>
      <c r="J135" s="24">
        <v>5.333333333333333</v>
      </c>
      <c r="K135" s="24">
        <v>0.25</v>
      </c>
      <c r="L135" s="24">
        <v>3.6500000000000008</v>
      </c>
      <c r="M135" s="10">
        <v>0.24912856384269302</v>
      </c>
      <c r="N135" s="25">
        <v>0.35666666666666669</v>
      </c>
      <c r="O135" s="25">
        <v>0.4817291666666666</v>
      </c>
      <c r="P135" s="25">
        <v>0.54043750000000002</v>
      </c>
      <c r="Q135" s="25">
        <v>0.54916666666666691</v>
      </c>
      <c r="R135" s="25">
        <v>0.50466666666666682</v>
      </c>
      <c r="S135" s="25">
        <v>0.39904166666666668</v>
      </c>
      <c r="T135" s="25">
        <v>0.4124791666666669</v>
      </c>
      <c r="U135" s="25">
        <v>0.35962499999999969</v>
      </c>
      <c r="V135" s="25">
        <v>-27.88270833333333</v>
      </c>
      <c r="W135" s="25">
        <v>-24.075000000000003</v>
      </c>
      <c r="X135" s="25">
        <v>-12.900833333333329</v>
      </c>
      <c r="Y135" s="25">
        <v>-13.139791666666667</v>
      </c>
      <c r="Z135" s="25">
        <v>-15.226458333333332</v>
      </c>
      <c r="AA135" s="25">
        <v>-27.038958333333337</v>
      </c>
      <c r="AB135" s="25">
        <v>-23.002083333333331</v>
      </c>
      <c r="AC135" s="25">
        <v>-14.563124999999999</v>
      </c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>
        <v>0.36927499999999991</v>
      </c>
      <c r="AU135" s="25">
        <v>0.20374999999999996</v>
      </c>
      <c r="AV135" s="25">
        <v>0.37164583333333306</v>
      </c>
      <c r="AW135" s="25"/>
      <c r="AX135" s="25"/>
      <c r="AY135" s="25"/>
      <c r="AZ135" s="25"/>
      <c r="BA135" s="25"/>
      <c r="BB135" s="25"/>
      <c r="BC135" s="25"/>
      <c r="BD135" s="25"/>
      <c r="BE135" s="25"/>
    </row>
    <row r="136" spans="1:57" x14ac:dyDescent="0.25">
      <c r="A136" s="1">
        <v>12.4</v>
      </c>
      <c r="B136" s="1">
        <v>6</v>
      </c>
      <c r="C136" s="22"/>
      <c r="D136" s="23">
        <v>43843</v>
      </c>
      <c r="E136" s="24">
        <v>56.75</v>
      </c>
      <c r="F136" s="24">
        <v>86.077083333333363</v>
      </c>
      <c r="G136" s="24">
        <v>8.4666666666666668</v>
      </c>
      <c r="H136" s="24">
        <v>0.8</v>
      </c>
      <c r="I136" s="24">
        <v>164.4375</v>
      </c>
      <c r="J136" s="24">
        <v>8.625</v>
      </c>
      <c r="K136" s="24">
        <v>0.66666666666666663</v>
      </c>
      <c r="L136" s="24">
        <v>6.197916666666667</v>
      </c>
      <c r="M136" s="10">
        <v>0.16582481419749126</v>
      </c>
      <c r="N136" s="25">
        <v>0.35616666666666691</v>
      </c>
      <c r="O136" s="25">
        <v>0.48052083333333312</v>
      </c>
      <c r="P136" s="25">
        <v>0.53935416666666669</v>
      </c>
      <c r="Q136" s="25">
        <v>0.54833333333333367</v>
      </c>
      <c r="R136" s="25">
        <v>0.50337500000000013</v>
      </c>
      <c r="S136" s="25">
        <v>0.40137499999999987</v>
      </c>
      <c r="T136" s="25">
        <v>0.4137083333333334</v>
      </c>
      <c r="U136" s="25">
        <v>0.36056250000000017</v>
      </c>
      <c r="V136" s="25">
        <v>-28.089374999999993</v>
      </c>
      <c r="W136" s="25">
        <v>-24.419374999999988</v>
      </c>
      <c r="X136" s="25">
        <v>-12.936041666666668</v>
      </c>
      <c r="Y136" s="25">
        <v>-13.170416666666663</v>
      </c>
      <c r="Z136" s="25">
        <v>-16.382083333333334</v>
      </c>
      <c r="AA136" s="25">
        <v>-26.660208333333333</v>
      </c>
      <c r="AB136" s="25">
        <v>-22.453541666666666</v>
      </c>
      <c r="AC136" s="25">
        <v>-14.686874999999999</v>
      </c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>
        <v>0.36599999999999966</v>
      </c>
      <c r="AU136" s="25">
        <v>0.19832558139534881</v>
      </c>
      <c r="AV136" s="25">
        <v>0.36333333333333329</v>
      </c>
      <c r="AW136" s="25"/>
      <c r="AX136" s="25"/>
      <c r="AY136" s="25"/>
      <c r="AZ136" s="25"/>
      <c r="BA136" s="25"/>
      <c r="BB136" s="25"/>
      <c r="BC136" s="25"/>
      <c r="BD136" s="25"/>
      <c r="BE136" s="25"/>
    </row>
    <row r="137" spans="1:57" x14ac:dyDescent="0.25">
      <c r="A137" s="1">
        <v>5.9</v>
      </c>
      <c r="B137" s="1">
        <v>2.2999999999999998</v>
      </c>
      <c r="C137" s="22"/>
      <c r="D137" s="23">
        <v>43844</v>
      </c>
      <c r="E137" s="24">
        <v>16.708333333333332</v>
      </c>
      <c r="F137" s="24">
        <v>95.033333333333317</v>
      </c>
      <c r="G137" s="24">
        <v>3.6708333333333338</v>
      </c>
      <c r="H137" s="24">
        <v>2.1999999999999997</v>
      </c>
      <c r="I137" s="24">
        <v>127.3125</v>
      </c>
      <c r="J137" s="24">
        <v>4.854166666666667</v>
      </c>
      <c r="K137" s="24">
        <v>4.1666666666666664E-2</v>
      </c>
      <c r="L137" s="24">
        <v>2.9479166666666661</v>
      </c>
      <c r="M137" s="10">
        <v>3.9334162101446517E-2</v>
      </c>
      <c r="N137" s="25">
        <v>0.3526458333333331</v>
      </c>
      <c r="O137" s="25">
        <v>0.47681250000000025</v>
      </c>
      <c r="P137" s="25">
        <v>0.53604166666666664</v>
      </c>
      <c r="Q137" s="25">
        <v>0.54639583333333341</v>
      </c>
      <c r="R137" s="25">
        <v>0.49854166666666644</v>
      </c>
      <c r="S137" s="25">
        <v>0.39991666666666698</v>
      </c>
      <c r="T137" s="25">
        <v>0.41350000000000003</v>
      </c>
      <c r="U137" s="25">
        <v>0.3607291666666666</v>
      </c>
      <c r="V137" s="25">
        <v>-29.65562499999999</v>
      </c>
      <c r="W137" s="25">
        <v>-25.292708333333323</v>
      </c>
      <c r="X137" s="25">
        <v>-13.063958333333332</v>
      </c>
      <c r="Y137" s="25">
        <v>-13.307083333333333</v>
      </c>
      <c r="Z137" s="25">
        <v>-18.060833333333335</v>
      </c>
      <c r="AA137" s="25">
        <v>-26.607916666666679</v>
      </c>
      <c r="AB137" s="25">
        <v>-22.133749999999992</v>
      </c>
      <c r="AC137" s="25">
        <v>-14.968750000000002</v>
      </c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>
        <v>0.36510416666666684</v>
      </c>
      <c r="AU137" s="25">
        <v>0.19560416666666655</v>
      </c>
      <c r="AV137" s="25">
        <v>0.3544166666666666</v>
      </c>
      <c r="AW137" s="25"/>
      <c r="AX137" s="25"/>
      <c r="AY137" s="25"/>
      <c r="AZ137" s="25"/>
      <c r="BA137" s="25"/>
      <c r="BB137" s="25"/>
      <c r="BC137" s="25"/>
      <c r="BD137" s="25"/>
      <c r="BE137" s="25"/>
    </row>
    <row r="138" spans="1:57" x14ac:dyDescent="0.25">
      <c r="A138" s="1">
        <v>4.5</v>
      </c>
      <c r="B138" s="1">
        <v>1.9</v>
      </c>
      <c r="C138" s="22"/>
      <c r="D138" s="23">
        <v>43845</v>
      </c>
      <c r="E138" s="24">
        <v>20.770833333333332</v>
      </c>
      <c r="F138" s="24">
        <v>96.458333333333314</v>
      </c>
      <c r="G138" s="24">
        <v>3.1645833333333324</v>
      </c>
      <c r="H138" s="24">
        <v>2.1999999999999997</v>
      </c>
      <c r="I138" s="24">
        <v>177.91666666666666</v>
      </c>
      <c r="J138" s="24">
        <v>4.958333333333333</v>
      </c>
      <c r="K138" s="24">
        <v>2.0833333333333332E-2</v>
      </c>
      <c r="L138" s="24">
        <v>2.6520833333333336</v>
      </c>
      <c r="M138" s="10">
        <v>2.7132557163293384E-2</v>
      </c>
      <c r="N138" s="25">
        <v>0.34937500000000005</v>
      </c>
      <c r="O138" s="25">
        <v>0.47160416666666638</v>
      </c>
      <c r="P138" s="25">
        <v>0.53110416666666693</v>
      </c>
      <c r="Q138" s="25">
        <v>0.5430833333333337</v>
      </c>
      <c r="R138" s="25">
        <v>0.49283333333333362</v>
      </c>
      <c r="S138" s="25">
        <v>0.39697916666666694</v>
      </c>
      <c r="T138" s="25">
        <v>0.41195833333333381</v>
      </c>
      <c r="U138" s="25">
        <v>0.35997916666666646</v>
      </c>
      <c r="V138" s="25">
        <v>-31.745416666666674</v>
      </c>
      <c r="W138" s="25">
        <v>-26.348541666666673</v>
      </c>
      <c r="X138" s="25">
        <v>-13.171875000000005</v>
      </c>
      <c r="Y138" s="25">
        <v>-13.542083333333331</v>
      </c>
      <c r="Z138" s="25">
        <v>-19.641666666666669</v>
      </c>
      <c r="AA138" s="25">
        <v>-26.703750000000003</v>
      </c>
      <c r="AB138" s="25">
        <v>-21.817916666666672</v>
      </c>
      <c r="AC138" s="25">
        <v>-15.262083333333331</v>
      </c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>
        <v>0.37702083333333336</v>
      </c>
      <c r="AU138" s="25">
        <v>0.22018749999999998</v>
      </c>
      <c r="AV138" s="25">
        <v>0.35181250000000008</v>
      </c>
      <c r="AW138" s="25"/>
      <c r="AX138" s="25"/>
      <c r="AY138" s="25"/>
      <c r="AZ138" s="25"/>
      <c r="BA138" s="25"/>
      <c r="BB138" s="25"/>
      <c r="BC138" s="25"/>
      <c r="BD138" s="25"/>
      <c r="BE138" s="25"/>
    </row>
    <row r="139" spans="1:57" x14ac:dyDescent="0.25">
      <c r="A139" s="1">
        <v>6.6</v>
      </c>
      <c r="B139" s="1">
        <v>2.5</v>
      </c>
      <c r="C139" s="22"/>
      <c r="D139" s="23">
        <v>43846</v>
      </c>
      <c r="E139" s="24">
        <v>34.708333333333336</v>
      </c>
      <c r="F139" s="24">
        <v>86.956249999999997</v>
      </c>
      <c r="G139" s="24">
        <v>4.3145833333333332</v>
      </c>
      <c r="H139" s="24">
        <v>0</v>
      </c>
      <c r="I139" s="24">
        <v>186.45833333333334</v>
      </c>
      <c r="J139" s="24">
        <v>3.9375</v>
      </c>
      <c r="K139" s="24">
        <v>0.20833333333333334</v>
      </c>
      <c r="L139" s="24">
        <v>2.3020833333333335</v>
      </c>
      <c r="M139" s="10">
        <v>0.1125814916994264</v>
      </c>
      <c r="N139" s="25">
        <v>0.34745833333333326</v>
      </c>
      <c r="O139" s="25">
        <v>0.46762499999999979</v>
      </c>
      <c r="P139" s="25">
        <v>0.52685416666666629</v>
      </c>
      <c r="Q139" s="25">
        <v>0.53949999999999998</v>
      </c>
      <c r="R139" s="25">
        <v>0.49149999999999977</v>
      </c>
      <c r="S139" s="25">
        <v>0.39464583333333308</v>
      </c>
      <c r="T139" s="25">
        <v>0.41039583333333329</v>
      </c>
      <c r="U139" s="25">
        <v>0.35860416666666683</v>
      </c>
      <c r="V139" s="25">
        <v>-33.33958333333333</v>
      </c>
      <c r="W139" s="25">
        <v>-27.092916666666667</v>
      </c>
      <c r="X139" s="25">
        <v>-13.29604166666666</v>
      </c>
      <c r="Y139" s="25">
        <v>-13.679583333333339</v>
      </c>
      <c r="Z139" s="25">
        <v>-20.107083333333332</v>
      </c>
      <c r="AA139" s="25">
        <v>-26.67145833333333</v>
      </c>
      <c r="AB139" s="25">
        <v>-21.502916666666664</v>
      </c>
      <c r="AC139" s="25">
        <v>-15.574583333333328</v>
      </c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>
        <v>0.38277083333333323</v>
      </c>
      <c r="AU139" s="25">
        <v>0.221</v>
      </c>
      <c r="AV139" s="25">
        <v>0.35314583333333327</v>
      </c>
      <c r="AW139" s="25"/>
      <c r="AX139" s="25"/>
      <c r="AY139" s="25"/>
      <c r="AZ139" s="25"/>
      <c r="BA139" s="25"/>
      <c r="BB139" s="25"/>
      <c r="BC139" s="25"/>
      <c r="BD139" s="25"/>
      <c r="BE139" s="25"/>
    </row>
    <row r="140" spans="1:57" x14ac:dyDescent="0.25">
      <c r="A140" s="1">
        <v>6.2</v>
      </c>
      <c r="B140" s="1">
        <v>3.2</v>
      </c>
      <c r="C140" s="22"/>
      <c r="D140" s="23">
        <v>43847</v>
      </c>
      <c r="E140" s="24">
        <v>27.375</v>
      </c>
      <c r="F140" s="24">
        <v>90.293749999999974</v>
      </c>
      <c r="G140" s="24">
        <v>4.0375000000000023</v>
      </c>
      <c r="H140" s="24">
        <v>0.4</v>
      </c>
      <c r="I140" s="24">
        <v>135.0625</v>
      </c>
      <c r="J140" s="24">
        <v>3.2291666666666665</v>
      </c>
      <c r="K140" s="24">
        <v>0</v>
      </c>
      <c r="L140" s="24">
        <v>2.5666666666666669</v>
      </c>
      <c r="M140" s="10">
        <v>8.1380660999319135E-2</v>
      </c>
      <c r="N140" s="25">
        <v>0.34724999999999978</v>
      </c>
      <c r="O140" s="25">
        <v>0.46599999999999997</v>
      </c>
      <c r="P140" s="25">
        <v>0.52454166666666724</v>
      </c>
      <c r="Q140" s="25">
        <v>0.5370833333333338</v>
      </c>
      <c r="R140" s="25">
        <v>0.49210416666666718</v>
      </c>
      <c r="S140" s="25">
        <v>0.39402083333333321</v>
      </c>
      <c r="T140" s="25">
        <v>0.40956250000000005</v>
      </c>
      <c r="U140" s="25">
        <v>0.35800000000000015</v>
      </c>
      <c r="V140" s="25">
        <v>-34.513125000000009</v>
      </c>
      <c r="W140" s="25">
        <v>-27.501875000000009</v>
      </c>
      <c r="X140" s="25">
        <v>-13.319999999999995</v>
      </c>
      <c r="Y140" s="25">
        <v>-13.786250000000003</v>
      </c>
      <c r="Z140" s="25">
        <v>-19.671041666666664</v>
      </c>
      <c r="AA140" s="25">
        <v>-26.576250000000002</v>
      </c>
      <c r="AB140" s="25">
        <v>-21.364791666666672</v>
      </c>
      <c r="AC140" s="25">
        <v>-15.750416666666666</v>
      </c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>
        <v>0.37904166666666644</v>
      </c>
      <c r="AU140" s="25">
        <v>0.21437499999999998</v>
      </c>
      <c r="AV140" s="25">
        <v>0.35268749999999999</v>
      </c>
      <c r="AW140" s="25"/>
      <c r="AX140" s="25"/>
      <c r="AY140" s="25"/>
      <c r="AZ140" s="25"/>
      <c r="BA140" s="25"/>
      <c r="BB140" s="25"/>
      <c r="BC140" s="25"/>
      <c r="BD140" s="25"/>
      <c r="BE140" s="25"/>
    </row>
    <row r="141" spans="1:57" x14ac:dyDescent="0.25">
      <c r="A141" s="1">
        <v>4.3</v>
      </c>
      <c r="B141" s="1">
        <v>1.6</v>
      </c>
      <c r="C141" s="22"/>
      <c r="D141" s="23">
        <v>43848</v>
      </c>
      <c r="E141" s="24">
        <v>23.229166666666668</v>
      </c>
      <c r="F141" s="24">
        <v>93.499999999999957</v>
      </c>
      <c r="G141" s="24">
        <v>2.8249999999999993</v>
      </c>
      <c r="H141" s="24">
        <v>0.60000000000000009</v>
      </c>
      <c r="I141" s="24">
        <v>159.625</v>
      </c>
      <c r="J141" s="24">
        <v>4.270833333333333</v>
      </c>
      <c r="K141" s="24">
        <v>0</v>
      </c>
      <c r="L141" s="24">
        <v>1.8812500000000003</v>
      </c>
      <c r="M141" s="10">
        <v>4.9252687963927837E-2</v>
      </c>
      <c r="N141" s="25">
        <v>0.3462083333333334</v>
      </c>
      <c r="O141" s="25">
        <v>0.46391666666666675</v>
      </c>
      <c r="P141" s="25">
        <v>0.52266666666666606</v>
      </c>
      <c r="Q141" s="25">
        <v>0.5352291666666662</v>
      </c>
      <c r="R141" s="25">
        <v>0.49104166666666654</v>
      </c>
      <c r="S141" s="25">
        <v>0.39339583333333367</v>
      </c>
      <c r="T141" s="25">
        <v>0.40881250000000025</v>
      </c>
      <c r="U141" s="25">
        <v>0.35797916666666679</v>
      </c>
      <c r="V141" s="25">
        <v>-36.044583333333343</v>
      </c>
      <c r="W141" s="25">
        <v>-28.101249999999983</v>
      </c>
      <c r="X141" s="25">
        <v>-13.425208333333336</v>
      </c>
      <c r="Y141" s="25">
        <v>-13.897500000000001</v>
      </c>
      <c r="Z141" s="25">
        <v>-19.604375000000001</v>
      </c>
      <c r="AA141" s="25">
        <v>-26.387708333333336</v>
      </c>
      <c r="AB141" s="25">
        <v>-21.260625000000005</v>
      </c>
      <c r="AC141" s="25">
        <v>-15.79875</v>
      </c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>
        <v>0.37608333333333316</v>
      </c>
      <c r="AU141" s="25">
        <v>0.21308333333333351</v>
      </c>
      <c r="AV141" s="25">
        <v>0.35052083333333323</v>
      </c>
      <c r="AW141" s="25"/>
      <c r="AX141" s="25"/>
      <c r="AY141" s="25"/>
      <c r="AZ141" s="25"/>
      <c r="BA141" s="25"/>
      <c r="BB141" s="25"/>
      <c r="BC141" s="25"/>
      <c r="BD141" s="25"/>
      <c r="BE141" s="25"/>
    </row>
    <row r="142" spans="1:57" x14ac:dyDescent="0.25">
      <c r="A142" s="1">
        <v>6.1</v>
      </c>
      <c r="B142" s="1">
        <v>2.9</v>
      </c>
      <c r="C142" s="22"/>
      <c r="D142" s="23">
        <v>43849</v>
      </c>
      <c r="E142" s="24">
        <v>32.958333333333336</v>
      </c>
      <c r="F142" s="24">
        <v>84.193750000000009</v>
      </c>
      <c r="G142" s="24">
        <v>4.260416666666667</v>
      </c>
      <c r="H142" s="24">
        <v>0</v>
      </c>
      <c r="I142" s="24">
        <v>159.52083333333334</v>
      </c>
      <c r="J142" s="24">
        <v>3.3125</v>
      </c>
      <c r="K142" s="24">
        <v>4.1666666666666664E-2</v>
      </c>
      <c r="L142" s="24">
        <v>1.79375</v>
      </c>
      <c r="M142" s="10">
        <v>0.13391264409100045</v>
      </c>
      <c r="N142" s="25">
        <v>0.34543750000000006</v>
      </c>
      <c r="O142" s="25">
        <v>0.46187499999999981</v>
      </c>
      <c r="P142" s="25">
        <v>0.52006249999999954</v>
      </c>
      <c r="Q142" s="25">
        <v>0.53297916666666667</v>
      </c>
      <c r="R142" s="25">
        <v>0.49085416666666676</v>
      </c>
      <c r="S142" s="25">
        <v>0.39262499999999995</v>
      </c>
      <c r="T142" s="25">
        <v>0.4078958333333334</v>
      </c>
      <c r="U142" s="25">
        <v>0.35714583333333305</v>
      </c>
      <c r="V142" s="25">
        <v>-37.186875000000008</v>
      </c>
      <c r="W142" s="25">
        <v>-28.677083333333325</v>
      </c>
      <c r="X142" s="25">
        <v>-13.491250000000003</v>
      </c>
      <c r="Y142" s="25">
        <v>-13.897916666666669</v>
      </c>
      <c r="Z142" s="25">
        <v>-19.372083333333336</v>
      </c>
      <c r="AA142" s="25">
        <v>-26.279374999999998</v>
      </c>
      <c r="AB142" s="25">
        <v>-21.125625000000003</v>
      </c>
      <c r="AC142" s="25">
        <v>-15.961666666666659</v>
      </c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>
        <v>0.37441666666666662</v>
      </c>
      <c r="AU142" s="25">
        <v>0.21231249999999999</v>
      </c>
      <c r="AV142" s="25">
        <v>0.34877083333333347</v>
      </c>
      <c r="AW142" s="25"/>
      <c r="AX142" s="25"/>
      <c r="AY142" s="25"/>
      <c r="AZ142" s="25"/>
      <c r="BA142" s="25"/>
      <c r="BB142" s="25"/>
      <c r="BC142" s="25"/>
      <c r="BD142" s="25"/>
      <c r="BE142" s="25"/>
    </row>
    <row r="143" spans="1:57" x14ac:dyDescent="0.25">
      <c r="A143" s="1">
        <v>7.8</v>
      </c>
      <c r="B143" s="1">
        <v>4.2</v>
      </c>
      <c r="C143" s="22"/>
      <c r="D143" s="23">
        <v>43850</v>
      </c>
      <c r="E143" s="24">
        <v>21.5</v>
      </c>
      <c r="F143" s="24">
        <v>96.597916666666677</v>
      </c>
      <c r="G143" s="24">
        <v>5.6687499999999993</v>
      </c>
      <c r="H143" s="24">
        <v>1.7999999999999998</v>
      </c>
      <c r="I143" s="24">
        <v>127.97916666666667</v>
      </c>
      <c r="J143" s="24">
        <v>4.666666666666667</v>
      </c>
      <c r="K143" s="24">
        <v>0.125</v>
      </c>
      <c r="L143" s="24">
        <v>5.1645833333333337</v>
      </c>
      <c r="M143" s="10">
        <v>3.0709342761305273E-2</v>
      </c>
      <c r="N143" s="25">
        <v>0.34624999999999995</v>
      </c>
      <c r="O143" s="25">
        <v>0.46162499999999995</v>
      </c>
      <c r="P143" s="25">
        <v>0.51933333333333276</v>
      </c>
      <c r="Q143" s="25">
        <v>0.53193749999999995</v>
      </c>
      <c r="R143" s="25">
        <v>0.4936875</v>
      </c>
      <c r="S143" s="25">
        <v>0.3933124999999999</v>
      </c>
      <c r="T143" s="25">
        <v>0.40725000000000006</v>
      </c>
      <c r="U143" s="25">
        <v>0.35702083333333307</v>
      </c>
      <c r="V143" s="25">
        <v>-37.539999999999985</v>
      </c>
      <c r="W143" s="25">
        <v>-28.870416666666657</v>
      </c>
      <c r="X143" s="25">
        <v>-13.519583333333335</v>
      </c>
      <c r="Y143" s="25">
        <v>-14.042083333333331</v>
      </c>
      <c r="Z143" s="25">
        <v>-18.962083333333329</v>
      </c>
      <c r="AA143" s="25">
        <v>-26.018333333333327</v>
      </c>
      <c r="AB143" s="25">
        <v>-20.988125000000011</v>
      </c>
      <c r="AC143" s="25">
        <v>-16.066458333333333</v>
      </c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>
        <v>0.3777500000000002</v>
      </c>
      <c r="AU143" s="25">
        <v>0.21508333333333332</v>
      </c>
      <c r="AV143" s="25">
        <v>0.34874999999999995</v>
      </c>
      <c r="AW143" s="25"/>
      <c r="AX143" s="25"/>
      <c r="AY143" s="25"/>
      <c r="AZ143" s="25"/>
      <c r="BA143" s="25"/>
      <c r="BB143" s="25"/>
      <c r="BC143" s="25"/>
      <c r="BD143" s="25"/>
      <c r="BE143" s="25"/>
    </row>
    <row r="144" spans="1:57" x14ac:dyDescent="0.25">
      <c r="A144" s="1">
        <v>17.2</v>
      </c>
      <c r="B144" s="1">
        <v>7.9</v>
      </c>
      <c r="C144" s="22"/>
      <c r="D144" s="23">
        <v>43851</v>
      </c>
      <c r="E144" s="24">
        <v>119.70833333333333</v>
      </c>
      <c r="F144" s="24">
        <v>86.106249999999989</v>
      </c>
      <c r="G144" s="24">
        <v>11.65625</v>
      </c>
      <c r="H144" s="24">
        <v>0</v>
      </c>
      <c r="I144" s="24">
        <v>184</v>
      </c>
      <c r="J144" s="24">
        <v>14.229166666666666</v>
      </c>
      <c r="K144" s="24">
        <v>1.9166666666666667</v>
      </c>
      <c r="L144" s="24">
        <v>9.2729166666666671</v>
      </c>
      <c r="M144" s="10">
        <v>0.22257481358977671</v>
      </c>
      <c r="N144" s="25">
        <v>0.34974999999999995</v>
      </c>
      <c r="O144" s="25">
        <v>0.46435416666666657</v>
      </c>
      <c r="P144" s="25">
        <v>0.52081249999999979</v>
      </c>
      <c r="Q144" s="25">
        <v>0.53149999999999997</v>
      </c>
      <c r="R144" s="25">
        <v>0.50864583333333357</v>
      </c>
      <c r="S144" s="25">
        <v>0.39725000000000005</v>
      </c>
      <c r="T144" s="25">
        <v>0.40764583333333321</v>
      </c>
      <c r="U144" s="25">
        <v>0.3567708333333332</v>
      </c>
      <c r="V144" s="25">
        <v>-35.463750000000012</v>
      </c>
      <c r="W144" s="25">
        <v>-28.343541666666663</v>
      </c>
      <c r="X144" s="25">
        <v>-13.491875</v>
      </c>
      <c r="Y144" s="25">
        <v>-14.008958333333334</v>
      </c>
      <c r="Z144" s="25">
        <v>-14.709583333333336</v>
      </c>
      <c r="AA144" s="25">
        <v>-25.36729166666667</v>
      </c>
      <c r="AB144" s="25">
        <v>-20.755416666666672</v>
      </c>
      <c r="AC144" s="25">
        <v>-16.06541666666666</v>
      </c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>
        <v>0.38662790697674421</v>
      </c>
      <c r="AU144" s="25">
        <v>0.22445454545454546</v>
      </c>
      <c r="AV144" s="25">
        <v>0.3691875</v>
      </c>
      <c r="AW144" s="25"/>
      <c r="AX144" s="25"/>
      <c r="AY144" s="25"/>
      <c r="AZ144" s="25"/>
      <c r="BA144" s="25"/>
      <c r="BB144" s="25"/>
      <c r="BC144" s="25"/>
      <c r="BD144" s="25"/>
      <c r="BE144" s="25"/>
    </row>
    <row r="145" spans="1:57" x14ac:dyDescent="0.25">
      <c r="A145" s="1">
        <v>23.1</v>
      </c>
      <c r="B145" s="1">
        <v>7.3</v>
      </c>
      <c r="C145" s="22"/>
      <c r="D145" s="23">
        <v>43852</v>
      </c>
      <c r="E145" s="24">
        <v>169.77083333333334</v>
      </c>
      <c r="F145" s="24">
        <v>72.097916666666663</v>
      </c>
      <c r="G145" s="24">
        <v>14.039583333333333</v>
      </c>
      <c r="H145" s="24">
        <v>0</v>
      </c>
      <c r="I145" s="24">
        <v>164.75</v>
      </c>
      <c r="J145" s="24">
        <v>12.229166666666666</v>
      </c>
      <c r="K145" s="24">
        <v>2.2083333333333335</v>
      </c>
      <c r="L145" s="24">
        <v>8.2354166666666675</v>
      </c>
      <c r="M145" s="10">
        <v>0.58902826960099686</v>
      </c>
      <c r="N145" s="25">
        <v>0.35604166666666665</v>
      </c>
      <c r="O145" s="25">
        <v>0.47156250000000011</v>
      </c>
      <c r="P145" s="25">
        <v>0.5273333333333331</v>
      </c>
      <c r="Q145" s="25">
        <v>0.53429166666666683</v>
      </c>
      <c r="R145" s="25">
        <v>0.51656249999999992</v>
      </c>
      <c r="S145" s="25">
        <v>0.40616666666666656</v>
      </c>
      <c r="T145" s="25">
        <v>0.4106249999999998</v>
      </c>
      <c r="U145" s="25">
        <v>0.35758333333333359</v>
      </c>
      <c r="V145" s="25">
        <v>-32.529583333333335</v>
      </c>
      <c r="W145" s="25">
        <v>-26.886666666666674</v>
      </c>
      <c r="X145" s="25">
        <v>-13.313333333333333</v>
      </c>
      <c r="Y145" s="25">
        <v>-13.869791666666666</v>
      </c>
      <c r="Z145" s="25">
        <v>-12.935000000000002</v>
      </c>
      <c r="AA145" s="25">
        <v>-24.364166666666662</v>
      </c>
      <c r="AB145" s="25">
        <v>-20.48083333333334</v>
      </c>
      <c r="AC145" s="25">
        <v>-15.856041666666668</v>
      </c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>
        <v>0.38763157894736844</v>
      </c>
      <c r="AU145" s="25">
        <v>0.21675675675675674</v>
      </c>
      <c r="AV145" s="25">
        <v>0.38270833333333343</v>
      </c>
      <c r="AW145" s="25"/>
      <c r="AX145" s="25"/>
      <c r="AY145" s="25"/>
      <c r="AZ145" s="25"/>
      <c r="BA145" s="25"/>
      <c r="BB145" s="25"/>
      <c r="BC145" s="25"/>
      <c r="BD145" s="25"/>
      <c r="BE145" s="25"/>
    </row>
    <row r="146" spans="1:57" x14ac:dyDescent="0.25">
      <c r="A146" s="1">
        <v>12.1</v>
      </c>
      <c r="B146" s="1">
        <v>6.6</v>
      </c>
      <c r="C146" s="22"/>
      <c r="D146" s="23">
        <v>43853</v>
      </c>
      <c r="E146" s="24">
        <v>60.3125</v>
      </c>
      <c r="F146" s="24">
        <v>85.891666666666666</v>
      </c>
      <c r="G146" s="24">
        <v>8.0270833333333353</v>
      </c>
      <c r="H146" s="24">
        <v>0</v>
      </c>
      <c r="I146" s="24">
        <v>187.08333333333334</v>
      </c>
      <c r="J146" s="24">
        <v>6.416666666666667</v>
      </c>
      <c r="K146" s="24">
        <v>0.1875</v>
      </c>
      <c r="L146" s="24">
        <v>5.7791666666666686</v>
      </c>
      <c r="M146" s="10">
        <v>0.15751896998571593</v>
      </c>
      <c r="N146" s="25">
        <v>0.35672916666666676</v>
      </c>
      <c r="O146" s="25">
        <v>0.47518749999999993</v>
      </c>
      <c r="P146" s="25">
        <v>0.53152083333333311</v>
      </c>
      <c r="Q146" s="25">
        <v>0.53839583333333374</v>
      </c>
      <c r="R146" s="25">
        <v>0.51668750000000008</v>
      </c>
      <c r="S146" s="25">
        <v>0.40925000000000028</v>
      </c>
      <c r="T146" s="25">
        <v>0.41379166666666678</v>
      </c>
      <c r="U146" s="25">
        <v>0.35864583333333339</v>
      </c>
      <c r="V146" s="25">
        <v>-32.970000000000006</v>
      </c>
      <c r="W146" s="25">
        <v>-26.673124999999999</v>
      </c>
      <c r="X146" s="25">
        <v>-13.225416666666668</v>
      </c>
      <c r="Y146" s="25">
        <v>-13.722291666666665</v>
      </c>
      <c r="Z146" s="25">
        <v>-13.215000000000003</v>
      </c>
      <c r="AA146" s="25">
        <v>-23.888541666666669</v>
      </c>
      <c r="AB146" s="25">
        <v>-20.28958333333334</v>
      </c>
      <c r="AC146" s="25">
        <v>-15.687708333333335</v>
      </c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>
        <v>0.38308333333333333</v>
      </c>
      <c r="AU146" s="25">
        <v>0.21019444444444435</v>
      </c>
      <c r="AV146" s="25">
        <v>0.37681249999999983</v>
      </c>
      <c r="AW146" s="25"/>
      <c r="AX146" s="25"/>
      <c r="AY146" s="25"/>
      <c r="AZ146" s="25"/>
      <c r="BA146" s="25"/>
      <c r="BB146" s="25"/>
      <c r="BC146" s="25"/>
      <c r="BD146" s="25"/>
      <c r="BE146" s="25"/>
    </row>
    <row r="147" spans="1:57" x14ac:dyDescent="0.25">
      <c r="A147" s="1">
        <v>7.3</v>
      </c>
      <c r="B147" s="1">
        <v>3.7</v>
      </c>
      <c r="C147" s="22"/>
      <c r="D147" s="23">
        <v>43854</v>
      </c>
      <c r="E147" s="24">
        <v>28.770833333333332</v>
      </c>
      <c r="F147" s="24">
        <v>88.975000000000009</v>
      </c>
      <c r="G147" s="24">
        <v>5.6145833333333321</v>
      </c>
      <c r="H147" s="24">
        <v>7.5</v>
      </c>
      <c r="I147" s="24">
        <v>215.45833333333334</v>
      </c>
      <c r="J147" s="24">
        <v>5.625</v>
      </c>
      <c r="K147" s="24">
        <v>0</v>
      </c>
      <c r="L147" s="24">
        <v>3.9229166666666679</v>
      </c>
      <c r="M147" s="10">
        <v>0.10301094729844347</v>
      </c>
      <c r="N147" s="25">
        <v>0.35220833333333307</v>
      </c>
      <c r="O147" s="25">
        <v>0.4706041666666671</v>
      </c>
      <c r="P147" s="25">
        <v>0.5281250000000004</v>
      </c>
      <c r="Q147" s="25">
        <v>0.53814583333333343</v>
      </c>
      <c r="R147" s="25">
        <v>0.51150000000000007</v>
      </c>
      <c r="S147" s="25">
        <v>0.40691666666666659</v>
      </c>
      <c r="T147" s="25">
        <v>0.41397916666666673</v>
      </c>
      <c r="U147" s="25">
        <v>0.35924999999999985</v>
      </c>
      <c r="V147" s="25">
        <v>-35.929166666666674</v>
      </c>
      <c r="W147" s="25">
        <v>-28.088958333333341</v>
      </c>
      <c r="X147" s="25">
        <v>-13.356458333333331</v>
      </c>
      <c r="Y147" s="25">
        <v>-13.730416666666665</v>
      </c>
      <c r="Z147" s="25">
        <v>-13.744999999999996</v>
      </c>
      <c r="AA147" s="25">
        <v>-23.956666666666681</v>
      </c>
      <c r="AB147" s="25">
        <v>-20.177708333333339</v>
      </c>
      <c r="AC147" s="25">
        <v>-15.700833333333328</v>
      </c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>
        <v>0.38089473684210534</v>
      </c>
      <c r="AU147" s="25">
        <v>0.22663157894736843</v>
      </c>
      <c r="AV147" s="25">
        <v>0.37272916666666672</v>
      </c>
      <c r="AW147" s="25"/>
      <c r="AX147" s="25"/>
      <c r="AY147" s="25"/>
      <c r="AZ147" s="25"/>
      <c r="BA147" s="25"/>
      <c r="BB147" s="25"/>
      <c r="BC147" s="25"/>
      <c r="BD147" s="25"/>
      <c r="BE147" s="25"/>
    </row>
    <row r="148" spans="1:57" x14ac:dyDescent="0.25">
      <c r="A148" s="1">
        <v>4</v>
      </c>
      <c r="B148" s="1">
        <v>0.1</v>
      </c>
      <c r="C148" s="22"/>
      <c r="D148" s="23">
        <v>43855</v>
      </c>
      <c r="E148" s="24">
        <v>38.604166666666664</v>
      </c>
      <c r="F148" s="24">
        <v>92.091666666666654</v>
      </c>
      <c r="G148" s="24">
        <v>2.0791666666666666</v>
      </c>
      <c r="H148" s="24">
        <v>18.799999999999997</v>
      </c>
      <c r="I148" s="24">
        <v>238.3125</v>
      </c>
      <c r="J148" s="24">
        <v>4.6875</v>
      </c>
      <c r="K148" s="24">
        <v>0</v>
      </c>
      <c r="L148" s="24">
        <v>0.90416666666666623</v>
      </c>
      <c r="M148" s="10">
        <v>5.7365329301678585E-2</v>
      </c>
      <c r="N148" s="25">
        <v>0.40260416666666665</v>
      </c>
      <c r="O148" s="25">
        <v>0.5102500000000002</v>
      </c>
      <c r="P148" s="25">
        <v>0.55218750000000005</v>
      </c>
      <c r="Q148" s="25">
        <v>0.5847083333333335</v>
      </c>
      <c r="R148" s="25">
        <v>0.54679166666666668</v>
      </c>
      <c r="S148" s="25">
        <v>0.45445833333333358</v>
      </c>
      <c r="T148" s="25">
        <v>0.43358333333333338</v>
      </c>
      <c r="U148" s="25">
        <v>0.37725000000000009</v>
      </c>
      <c r="V148" s="25">
        <v>-18.818541666666668</v>
      </c>
      <c r="W148" s="25">
        <v>-24.454999999999998</v>
      </c>
      <c r="X148" s="25">
        <v>-13.163541666666672</v>
      </c>
      <c r="Y148" s="25">
        <v>-13.578541666666666</v>
      </c>
      <c r="Z148" s="25">
        <v>-13.153958333333334</v>
      </c>
      <c r="AA148" s="25">
        <v>-15.469791666666664</v>
      </c>
      <c r="AB148" s="25">
        <v>-15.983958333333332</v>
      </c>
      <c r="AC148" s="25">
        <v>-15.10020833333334</v>
      </c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>
        <v>0.42081250000000009</v>
      </c>
      <c r="AU148" s="25">
        <v>0.26478723404255317</v>
      </c>
      <c r="AV148" s="25">
        <v>0.43993749999999993</v>
      </c>
      <c r="AW148" s="25"/>
      <c r="AX148" s="25"/>
      <c r="AY148" s="25"/>
      <c r="AZ148" s="25"/>
      <c r="BA148" s="25"/>
      <c r="BB148" s="25"/>
      <c r="BC148" s="25"/>
      <c r="BD148" s="25"/>
      <c r="BE148" s="25"/>
    </row>
    <row r="149" spans="1:57" x14ac:dyDescent="0.25">
      <c r="A149" s="1">
        <v>11.3</v>
      </c>
      <c r="B149" s="1">
        <v>-0.2</v>
      </c>
      <c r="C149" s="22"/>
      <c r="D149" s="23">
        <v>43856</v>
      </c>
      <c r="E149" s="24">
        <v>127.41666666666667</v>
      </c>
      <c r="F149" s="24">
        <v>78.279166666666683</v>
      </c>
      <c r="G149" s="24">
        <v>3.9166666666666661</v>
      </c>
      <c r="H149" s="24">
        <v>0</v>
      </c>
      <c r="I149" s="24">
        <v>179.22916666666666</v>
      </c>
      <c r="J149" s="24">
        <v>5.4375</v>
      </c>
      <c r="K149" s="24">
        <v>0.83333333333333337</v>
      </c>
      <c r="L149" s="24">
        <v>0.21875</v>
      </c>
      <c r="M149" s="10">
        <v>0.20529213437089369</v>
      </c>
      <c r="N149" s="25">
        <v>0.39816666666666672</v>
      </c>
      <c r="O149" s="25">
        <v>0.50166666666666693</v>
      </c>
      <c r="P149" s="25">
        <v>0.54064583333333327</v>
      </c>
      <c r="Q149" s="25">
        <v>0.55420833333333308</v>
      </c>
      <c r="R149" s="25">
        <v>0.54483333333333328</v>
      </c>
      <c r="S149" s="25">
        <v>0.43791666666666668</v>
      </c>
      <c r="T149" s="25">
        <v>0.4323541666666666</v>
      </c>
      <c r="U149" s="25">
        <v>0.37918750000000001</v>
      </c>
      <c r="V149" s="25">
        <v>-15.422500000000001</v>
      </c>
      <c r="W149" s="25">
        <v>-24.572916666666668</v>
      </c>
      <c r="X149" s="25">
        <v>-13.163333333333327</v>
      </c>
      <c r="Y149" s="25">
        <v>-13.619374999999996</v>
      </c>
      <c r="Z149" s="25">
        <v>-13.115625</v>
      </c>
      <c r="AA149" s="25">
        <v>-13.15208333333333</v>
      </c>
      <c r="AB149" s="25">
        <v>-13.107708333333337</v>
      </c>
      <c r="AC149" s="25">
        <v>-14.631041666666654</v>
      </c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>
        <v>0.40487499999999998</v>
      </c>
      <c r="AU149" s="25">
        <v>0.23736111111111105</v>
      </c>
      <c r="AV149" s="25">
        <v>0.42856249999999996</v>
      </c>
      <c r="AW149" s="25"/>
      <c r="AX149" s="25"/>
      <c r="AY149" s="25"/>
      <c r="AZ149" s="25"/>
      <c r="BA149" s="25"/>
      <c r="BB149" s="25"/>
      <c r="BC149" s="25"/>
      <c r="BD149" s="25"/>
      <c r="BE149" s="25"/>
    </row>
    <row r="150" spans="1:57" x14ac:dyDescent="0.25">
      <c r="A150" s="1">
        <v>5.4</v>
      </c>
      <c r="B150" s="1">
        <v>1.2</v>
      </c>
      <c r="C150" s="22"/>
      <c r="D150" s="23">
        <v>43857</v>
      </c>
      <c r="E150" s="24">
        <v>34.729166666666664</v>
      </c>
      <c r="F150" s="24">
        <v>85.322916666666671</v>
      </c>
      <c r="G150" s="24">
        <v>3.0187500000000003</v>
      </c>
      <c r="H150" s="24">
        <v>0.2</v>
      </c>
      <c r="I150" s="24">
        <v>136.875</v>
      </c>
      <c r="J150" s="24">
        <v>5.041666666666667</v>
      </c>
      <c r="K150" s="24">
        <v>0.16666666666666666</v>
      </c>
      <c r="L150" s="24">
        <v>0.75416666666666687</v>
      </c>
      <c r="M150" s="10">
        <v>0.11592212190716973</v>
      </c>
      <c r="N150" s="25">
        <v>0.39064583333333341</v>
      </c>
      <c r="O150" s="25">
        <v>0.49718750000000028</v>
      </c>
      <c r="P150" s="25">
        <v>0.53818749999999971</v>
      </c>
      <c r="Q150" s="25">
        <v>0.5486458333333335</v>
      </c>
      <c r="R150" s="25">
        <v>0.54149999999999998</v>
      </c>
      <c r="S150" s="25">
        <v>0.43129166666666641</v>
      </c>
      <c r="T150" s="25">
        <v>0.42922916666666683</v>
      </c>
      <c r="U150" s="25">
        <v>0.37541666666666657</v>
      </c>
      <c r="V150" s="25">
        <v>-15.468749999999995</v>
      </c>
      <c r="W150" s="25">
        <v>-24.48500000000001</v>
      </c>
      <c r="X150" s="25">
        <v>-13.152291666666676</v>
      </c>
      <c r="Y150" s="25">
        <v>-13.683750000000002</v>
      </c>
      <c r="Z150" s="25">
        <v>-13.162083333333335</v>
      </c>
      <c r="AA150" s="25">
        <v>-13.213749999999999</v>
      </c>
      <c r="AB150" s="25">
        <v>-13.182083333333336</v>
      </c>
      <c r="AC150" s="25">
        <v>-14.671875</v>
      </c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>
        <v>0.39364583333333353</v>
      </c>
      <c r="AU150" s="25">
        <v>0.22888888888888895</v>
      </c>
      <c r="AV150" s="25">
        <v>0.41577083333333315</v>
      </c>
      <c r="AW150" s="25"/>
      <c r="AX150" s="25"/>
      <c r="AY150" s="25"/>
      <c r="AZ150" s="25"/>
      <c r="BA150" s="25"/>
      <c r="BB150" s="25"/>
      <c r="BC150" s="25"/>
      <c r="BD150" s="25"/>
      <c r="BE150" s="25"/>
    </row>
    <row r="151" spans="1:57" x14ac:dyDescent="0.25">
      <c r="A151" s="1">
        <v>5.4</v>
      </c>
      <c r="B151" s="1">
        <v>0.1</v>
      </c>
      <c r="C151" s="22"/>
      <c r="D151" s="23">
        <v>43858</v>
      </c>
      <c r="E151" s="24">
        <v>51.104166666666664</v>
      </c>
      <c r="F151" s="24">
        <v>88.333333333333329</v>
      </c>
      <c r="G151" s="24">
        <v>2.1333333333333333</v>
      </c>
      <c r="H151" s="24">
        <v>2.2000000000000002</v>
      </c>
      <c r="I151" s="24">
        <v>136</v>
      </c>
      <c r="J151" s="24">
        <v>4.3125</v>
      </c>
      <c r="K151" s="24">
        <v>0.16666666666666666</v>
      </c>
      <c r="L151" s="24">
        <v>0.36666666666666664</v>
      </c>
      <c r="M151" s="10">
        <v>8.8413013788560632E-2</v>
      </c>
      <c r="N151" s="25">
        <v>0.38618749999999996</v>
      </c>
      <c r="O151" s="25">
        <v>0.49231250000000015</v>
      </c>
      <c r="P151" s="25">
        <v>0.53491666666666637</v>
      </c>
      <c r="Q151" s="25">
        <v>0.54452083333333323</v>
      </c>
      <c r="R151" s="25">
        <v>0.53822916666666709</v>
      </c>
      <c r="S151" s="25">
        <v>0.42629166666666657</v>
      </c>
      <c r="T151" s="25">
        <v>0.42679166666666629</v>
      </c>
      <c r="U151" s="25">
        <v>0.37377083333333333</v>
      </c>
      <c r="V151" s="25">
        <v>-15.467291666666666</v>
      </c>
      <c r="W151" s="25">
        <v>-24.899166666666655</v>
      </c>
      <c r="X151" s="25">
        <v>-13.187291666666667</v>
      </c>
      <c r="Y151" s="25">
        <v>-13.71333333333334</v>
      </c>
      <c r="Z151" s="25">
        <v>-13.265625000000002</v>
      </c>
      <c r="AA151" s="25">
        <v>-13.361041666666658</v>
      </c>
      <c r="AB151" s="25">
        <v>-13.253124999999999</v>
      </c>
      <c r="AC151" s="25">
        <v>-14.714166666666671</v>
      </c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>
        <v>0.39472916666666674</v>
      </c>
      <c r="AU151" s="25">
        <v>0.23122916666666662</v>
      </c>
      <c r="AV151" s="25">
        <v>0.41656249999999995</v>
      </c>
      <c r="AW151" s="25"/>
      <c r="AX151" s="25"/>
      <c r="AY151" s="25"/>
      <c r="AZ151" s="25"/>
      <c r="BA151" s="25"/>
      <c r="BB151" s="25"/>
      <c r="BC151" s="25"/>
      <c r="BD151" s="25"/>
      <c r="BE151" s="25"/>
    </row>
    <row r="152" spans="1:57" x14ac:dyDescent="0.25">
      <c r="A152" s="1">
        <v>12.3</v>
      </c>
      <c r="B152" s="1">
        <v>-0.4</v>
      </c>
      <c r="C152" s="22"/>
      <c r="D152" s="23">
        <v>43859</v>
      </c>
      <c r="E152" s="24">
        <v>123.02083333333333</v>
      </c>
      <c r="F152" s="24">
        <v>77.947916666666643</v>
      </c>
      <c r="G152" s="24">
        <v>4.7749999999999995</v>
      </c>
      <c r="H152" s="24">
        <v>0.60000000000000009</v>
      </c>
      <c r="I152" s="24">
        <v>196.54166666666666</v>
      </c>
      <c r="J152" s="24">
        <v>3.1875</v>
      </c>
      <c r="K152" s="24">
        <v>0.16666666666666666</v>
      </c>
      <c r="L152" s="24">
        <v>0.94583333333333341</v>
      </c>
      <c r="M152" s="10">
        <v>0.22970067111419878</v>
      </c>
      <c r="N152" s="25">
        <v>0.3894791666666666</v>
      </c>
      <c r="O152" s="25">
        <v>0.4926458333333335</v>
      </c>
      <c r="P152" s="25">
        <v>0.53414583333333354</v>
      </c>
      <c r="Q152" s="25">
        <v>0.5418333333333335</v>
      </c>
      <c r="R152" s="25">
        <v>0.53956250000000017</v>
      </c>
      <c r="S152" s="25">
        <v>0.42566666666666669</v>
      </c>
      <c r="T152" s="25">
        <v>0.4244583333333331</v>
      </c>
      <c r="U152" s="25">
        <v>0.37229166666666652</v>
      </c>
      <c r="V152" s="25">
        <v>-15.436041666666668</v>
      </c>
      <c r="W152" s="25">
        <v>-24.755416666666662</v>
      </c>
      <c r="X152" s="25">
        <v>-13.113750000000003</v>
      </c>
      <c r="Y152" s="25">
        <v>-13.685000000000004</v>
      </c>
      <c r="Z152" s="25">
        <v>-13.134375</v>
      </c>
      <c r="AA152" s="25">
        <v>-13.40208333333333</v>
      </c>
      <c r="AB152" s="25">
        <v>-13.367083333333332</v>
      </c>
      <c r="AC152" s="25">
        <v>-14.668958333333336</v>
      </c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>
        <v>0.3936818181818183</v>
      </c>
      <c r="AU152" s="25">
        <v>0.22842553191489362</v>
      </c>
      <c r="AV152" s="25">
        <v>0.41862500000000002</v>
      </c>
      <c r="AW152" s="25"/>
      <c r="AX152" s="25"/>
      <c r="AY152" s="25"/>
      <c r="AZ152" s="25"/>
      <c r="BA152" s="25"/>
      <c r="BB152" s="25"/>
      <c r="BC152" s="25"/>
      <c r="BD152" s="25"/>
      <c r="BE152" s="25"/>
    </row>
    <row r="153" spans="1:57" x14ac:dyDescent="0.25">
      <c r="A153" s="1">
        <v>8.8000000000000007</v>
      </c>
      <c r="B153" s="1">
        <v>3</v>
      </c>
      <c r="C153" s="22"/>
      <c r="D153" s="23">
        <v>43860</v>
      </c>
      <c r="E153" s="24">
        <v>68.25</v>
      </c>
      <c r="F153" s="24">
        <v>71.791666666666643</v>
      </c>
      <c r="G153" s="24">
        <v>5.5770833333333334</v>
      </c>
      <c r="H153" s="24">
        <v>0</v>
      </c>
      <c r="I153" s="24">
        <v>156.45833333333334</v>
      </c>
      <c r="J153" s="24">
        <v>4.895833333333333</v>
      </c>
      <c r="K153" s="24">
        <v>0.375</v>
      </c>
      <c r="L153" s="24">
        <v>0.8416666666666669</v>
      </c>
      <c r="M153" s="10">
        <v>0.26352078709272414</v>
      </c>
      <c r="N153" s="25">
        <v>0.38972916666666646</v>
      </c>
      <c r="O153" s="25">
        <v>0.49335416666666659</v>
      </c>
      <c r="P153" s="25">
        <v>0.53570833333333334</v>
      </c>
      <c r="Q153" s="25">
        <v>0.5420416666666672</v>
      </c>
      <c r="R153" s="25">
        <v>0.53987499999999977</v>
      </c>
      <c r="S153" s="25">
        <v>0.42649999999999966</v>
      </c>
      <c r="T153" s="25">
        <v>0.42416666666666641</v>
      </c>
      <c r="U153" s="25">
        <v>0.37108333333333349</v>
      </c>
      <c r="V153" s="25">
        <v>-15.327083333333333</v>
      </c>
      <c r="W153" s="25">
        <v>-24.45812500000001</v>
      </c>
      <c r="X153" s="25">
        <v>-13.009999999999996</v>
      </c>
      <c r="Y153" s="25">
        <v>-13.63458333333333</v>
      </c>
      <c r="Z153" s="25">
        <v>-13.139791666666662</v>
      </c>
      <c r="AA153" s="25">
        <v>-13.395208333333331</v>
      </c>
      <c r="AB153" s="25">
        <v>-13.31416666666667</v>
      </c>
      <c r="AC153" s="25">
        <v>-14.672708333333345</v>
      </c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>
        <v>0.3894999999999999</v>
      </c>
      <c r="AU153" s="25">
        <v>0.22512499999999991</v>
      </c>
      <c r="AV153" s="25">
        <v>0.41149999999999981</v>
      </c>
      <c r="AW153" s="25"/>
      <c r="AX153" s="25"/>
      <c r="AY153" s="25"/>
      <c r="AZ153" s="25"/>
      <c r="BA153" s="25"/>
      <c r="BB153" s="25"/>
      <c r="BC153" s="25"/>
      <c r="BD153" s="25"/>
      <c r="BE153" s="25"/>
    </row>
    <row r="154" spans="1:57" x14ac:dyDescent="0.25">
      <c r="A154" s="1">
        <v>6</v>
      </c>
      <c r="B154" s="1">
        <v>3.5</v>
      </c>
      <c r="C154" s="22"/>
      <c r="D154" s="23">
        <v>43861</v>
      </c>
      <c r="E154" s="24">
        <v>16.916666666666668</v>
      </c>
      <c r="F154" s="24">
        <v>83.874999999999986</v>
      </c>
      <c r="G154" s="24">
        <v>4.9833333333333325</v>
      </c>
      <c r="H154" s="24">
        <v>0.4</v>
      </c>
      <c r="I154" s="24">
        <v>113.54166666666667</v>
      </c>
      <c r="J154" s="24">
        <v>7.625</v>
      </c>
      <c r="K154" s="24">
        <v>1.0208333333333333</v>
      </c>
      <c r="L154" s="24">
        <v>2.4374999999999996</v>
      </c>
      <c r="M154" s="10">
        <v>0.14290283884501026</v>
      </c>
      <c r="N154" s="25">
        <v>0.38704166666666645</v>
      </c>
      <c r="O154" s="25">
        <v>0.49110416666666606</v>
      </c>
      <c r="P154" s="25">
        <v>0.53443750000000001</v>
      </c>
      <c r="Q154" s="25">
        <v>0.54183333333333372</v>
      </c>
      <c r="R154" s="25">
        <v>0.53762499999999991</v>
      </c>
      <c r="S154" s="25">
        <v>0.42410416666666612</v>
      </c>
      <c r="T154" s="25">
        <v>0.42395833333333305</v>
      </c>
      <c r="U154" s="25">
        <v>0.37102083333333352</v>
      </c>
      <c r="V154" s="25">
        <v>-15.208750000000004</v>
      </c>
      <c r="W154" s="25">
        <v>-24.611458333333346</v>
      </c>
      <c r="X154" s="25">
        <v>-13.024791666666665</v>
      </c>
      <c r="Y154" s="25">
        <v>-13.662708333333343</v>
      </c>
      <c r="Z154" s="25">
        <v>-13.256875000000003</v>
      </c>
      <c r="AA154" s="25">
        <v>-13.483333333333329</v>
      </c>
      <c r="AB154" s="25">
        <v>-13.262916666666669</v>
      </c>
      <c r="AC154" s="25">
        <v>-14.70750000000001</v>
      </c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>
        <v>0.38572916666666668</v>
      </c>
      <c r="AU154" s="25">
        <v>0.22297916666666676</v>
      </c>
      <c r="AV154" s="25">
        <v>0.40431250000000002</v>
      </c>
      <c r="AW154" s="25"/>
      <c r="AX154" s="25"/>
      <c r="AY154" s="25"/>
      <c r="AZ154" s="25"/>
      <c r="BA154" s="25"/>
      <c r="BB154" s="25"/>
      <c r="BC154" s="25"/>
      <c r="BD154" s="25"/>
      <c r="BE154" s="25"/>
    </row>
    <row r="155" spans="1:57" x14ac:dyDescent="0.25">
      <c r="A155" s="1">
        <v>5.8</v>
      </c>
      <c r="B155" s="1">
        <v>3.8</v>
      </c>
      <c r="C155" s="22"/>
      <c r="D155" s="23">
        <v>43862</v>
      </c>
      <c r="E155" s="24">
        <v>18.1875</v>
      </c>
      <c r="F155" s="24">
        <v>90.833333333333329</v>
      </c>
      <c r="G155" s="24">
        <v>5.0624999999999973</v>
      </c>
      <c r="H155" s="24">
        <v>2.4</v>
      </c>
      <c r="I155" s="24">
        <v>105.02083333333333</v>
      </c>
      <c r="J155" s="24">
        <v>3.7291666666666665</v>
      </c>
      <c r="K155" s="24">
        <v>0</v>
      </c>
      <c r="L155" s="24">
        <v>3.660416666666666</v>
      </c>
      <c r="M155" s="10">
        <v>7.9539448108763414E-2</v>
      </c>
      <c r="N155" s="25">
        <v>0.38485416666666689</v>
      </c>
      <c r="O155" s="25">
        <v>0.4885833333333332</v>
      </c>
      <c r="P155" s="25">
        <v>0.53275000000000006</v>
      </c>
      <c r="Q155" s="25">
        <v>0.54039583333333285</v>
      </c>
      <c r="R155" s="25">
        <v>0.53602083333333372</v>
      </c>
      <c r="S155" s="25">
        <v>0.42225000000000029</v>
      </c>
      <c r="T155" s="25">
        <v>0.42302083333333296</v>
      </c>
      <c r="U155" s="25">
        <v>0.37062499999999998</v>
      </c>
      <c r="V155" s="25">
        <v>-15.30916666666667</v>
      </c>
      <c r="W155" s="25">
        <v>-24.766458333333336</v>
      </c>
      <c r="X155" s="25">
        <v>-13.074375000000002</v>
      </c>
      <c r="Y155" s="25">
        <v>-13.719375000000001</v>
      </c>
      <c r="Z155" s="25">
        <v>-13.334375</v>
      </c>
      <c r="AA155" s="25">
        <v>-13.576041666666669</v>
      </c>
      <c r="AB155" s="25">
        <v>-13.230624999999998</v>
      </c>
      <c r="AC155" s="25">
        <v>-14.725625000000006</v>
      </c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>
        <v>0.3852708333333334</v>
      </c>
      <c r="AU155" s="25">
        <v>0.22258333333333347</v>
      </c>
      <c r="AV155" s="25">
        <v>0.40018750000000014</v>
      </c>
      <c r="AW155" s="25"/>
      <c r="AX155" s="25"/>
      <c r="AY155" s="25"/>
      <c r="AZ155" s="25"/>
      <c r="BA155" s="25"/>
      <c r="BB155" s="25"/>
      <c r="BC155" s="25"/>
      <c r="BD155" s="25"/>
      <c r="BE155" s="25"/>
    </row>
    <row r="156" spans="1:57" x14ac:dyDescent="0.25">
      <c r="A156" s="1">
        <v>7.1</v>
      </c>
      <c r="B156" s="1">
        <v>3.9</v>
      </c>
      <c r="C156" s="22"/>
      <c r="D156" s="23">
        <v>43863</v>
      </c>
      <c r="E156" s="24">
        <v>31.416666666666668</v>
      </c>
      <c r="F156" s="24">
        <v>91.381250000000009</v>
      </c>
      <c r="G156" s="24">
        <v>5.3229166666666661</v>
      </c>
      <c r="H156" s="24">
        <v>0.60000000000000009</v>
      </c>
      <c r="I156" s="24">
        <v>208.77083333333334</v>
      </c>
      <c r="J156" s="24">
        <v>2.9583333333333335</v>
      </c>
      <c r="K156" s="24">
        <v>0</v>
      </c>
      <c r="L156" s="24">
        <v>4.0020833333333323</v>
      </c>
      <c r="M156" s="10">
        <v>7.9458697887127422E-2</v>
      </c>
      <c r="N156" s="25">
        <v>0.38652083333333315</v>
      </c>
      <c r="O156" s="25">
        <v>0.48918749999999989</v>
      </c>
      <c r="P156" s="25">
        <v>0.53222916666666686</v>
      </c>
      <c r="Q156" s="25">
        <v>0.53962500000000024</v>
      </c>
      <c r="R156" s="25">
        <v>0.53956250000000017</v>
      </c>
      <c r="S156" s="25">
        <v>0.42293750000000002</v>
      </c>
      <c r="T156" s="25">
        <v>0.42283333333333317</v>
      </c>
      <c r="U156" s="25">
        <v>0.37022916666666655</v>
      </c>
      <c r="V156" s="25">
        <v>-15.296666666666667</v>
      </c>
      <c r="W156" s="25">
        <v>-24.740625000000005</v>
      </c>
      <c r="X156" s="25">
        <v>-13.072916666666664</v>
      </c>
      <c r="Y156" s="25">
        <v>-13.699375000000005</v>
      </c>
      <c r="Z156" s="25">
        <v>-13.261249999999999</v>
      </c>
      <c r="AA156" s="25">
        <v>-13.62083333333333</v>
      </c>
      <c r="AB156" s="25">
        <v>-13.383125000000005</v>
      </c>
      <c r="AC156" s="25">
        <v>-14.727291666666668</v>
      </c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>
        <v>0.3953750000000002</v>
      </c>
      <c r="AU156" s="25">
        <v>0.2322708333333332</v>
      </c>
      <c r="AV156" s="25">
        <v>0.41827083333333337</v>
      </c>
      <c r="AW156" s="25"/>
      <c r="AX156" s="25"/>
      <c r="AY156" s="25"/>
      <c r="AZ156" s="25"/>
      <c r="BA156" s="25"/>
      <c r="BB156" s="25"/>
      <c r="BC156" s="25"/>
      <c r="BD156" s="25"/>
      <c r="BE156" s="25"/>
    </row>
    <row r="157" spans="1:57" x14ac:dyDescent="0.25">
      <c r="A157" s="1">
        <v>7.1</v>
      </c>
      <c r="B157" s="1">
        <v>3.4</v>
      </c>
      <c r="C157" s="22"/>
      <c r="D157" s="23">
        <v>43864</v>
      </c>
      <c r="E157" s="24">
        <v>46.875</v>
      </c>
      <c r="F157" s="24">
        <v>87.9375</v>
      </c>
      <c r="G157" s="24">
        <v>4.6083333333333334</v>
      </c>
      <c r="H157" s="24">
        <v>1.4</v>
      </c>
      <c r="I157" s="24">
        <v>183.45833333333334</v>
      </c>
      <c r="J157" s="24">
        <v>3.6458333333333335</v>
      </c>
      <c r="K157" s="24">
        <v>0</v>
      </c>
      <c r="L157" s="24">
        <v>2.7562499999999996</v>
      </c>
      <c r="M157" s="10">
        <v>0.10523471125634559</v>
      </c>
      <c r="N157" s="25">
        <v>0.3911666666666665</v>
      </c>
      <c r="O157" s="25">
        <v>0.49133333333333318</v>
      </c>
      <c r="P157" s="25">
        <v>0.53300000000000025</v>
      </c>
      <c r="Q157" s="25">
        <v>0.53935416666666713</v>
      </c>
      <c r="R157" s="25">
        <v>0.54127083333333359</v>
      </c>
      <c r="S157" s="25">
        <v>0.4263333333333334</v>
      </c>
      <c r="T157" s="25">
        <v>0.42285416666666648</v>
      </c>
      <c r="U157" s="25">
        <v>0.37010416666666651</v>
      </c>
      <c r="V157" s="25">
        <v>-15.219166666666668</v>
      </c>
      <c r="W157" s="25">
        <v>-24.620208333333323</v>
      </c>
      <c r="X157" s="25">
        <v>-13.069999999999999</v>
      </c>
      <c r="Y157" s="25">
        <v>-13.703333333333335</v>
      </c>
      <c r="Z157" s="25">
        <v>-13.211874999999999</v>
      </c>
      <c r="AA157" s="25">
        <v>-13.642916666666663</v>
      </c>
      <c r="AB157" s="25">
        <v>-13.46479166666667</v>
      </c>
      <c r="AC157" s="25">
        <v>-14.736041666666667</v>
      </c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>
        <v>0.39379166666666648</v>
      </c>
      <c r="AU157" s="25">
        <v>0.22837499999999991</v>
      </c>
      <c r="AV157" s="25">
        <v>0.42118749999999977</v>
      </c>
      <c r="AW157" s="25"/>
      <c r="AX157" s="25"/>
      <c r="AY157" s="25"/>
      <c r="AZ157" s="25"/>
      <c r="BA157" s="25"/>
      <c r="BB157" s="25"/>
      <c r="BC157" s="25"/>
      <c r="BD157" s="25"/>
      <c r="BE157" s="25"/>
    </row>
    <row r="158" spans="1:57" x14ac:dyDescent="0.25">
      <c r="A158" s="1">
        <v>11.7</v>
      </c>
      <c r="B158" s="1">
        <v>3.6</v>
      </c>
      <c r="C158" s="22"/>
      <c r="D158" s="23">
        <v>43865</v>
      </c>
      <c r="E158" s="24">
        <v>54.520833333333336</v>
      </c>
      <c r="F158" s="24">
        <v>85.454166666666652</v>
      </c>
      <c r="G158" s="24">
        <v>6.0645833333333341</v>
      </c>
      <c r="H158" s="24">
        <v>0</v>
      </c>
      <c r="I158" s="24">
        <v>131.45833333333334</v>
      </c>
      <c r="J158" s="24">
        <v>2.1875</v>
      </c>
      <c r="K158" s="24">
        <v>0</v>
      </c>
      <c r="L158" s="24">
        <v>3.7416666666666685</v>
      </c>
      <c r="M158" s="10">
        <v>0.14787732369230425</v>
      </c>
      <c r="N158" s="25">
        <v>0.39577083333333318</v>
      </c>
      <c r="O158" s="25">
        <v>0.49418750000000006</v>
      </c>
      <c r="P158" s="25">
        <v>0.5340625</v>
      </c>
      <c r="Q158" s="25">
        <v>0.5389375000000004</v>
      </c>
      <c r="R158" s="25">
        <v>0.54154166666666714</v>
      </c>
      <c r="S158" s="25">
        <v>0.4273958333333332</v>
      </c>
      <c r="T158" s="25">
        <v>0.42262500000000008</v>
      </c>
      <c r="U158" s="25">
        <v>0.36997916666666636</v>
      </c>
      <c r="V158" s="25">
        <v>-15.210208333333329</v>
      </c>
      <c r="W158" s="25">
        <v>-24.419166666666666</v>
      </c>
      <c r="X158" s="25">
        <v>-13.119999999999996</v>
      </c>
      <c r="Y158" s="25">
        <v>-13.575416666666664</v>
      </c>
      <c r="Z158" s="25">
        <v>-13.166874999999999</v>
      </c>
      <c r="AA158" s="25">
        <v>-13.610833333333334</v>
      </c>
      <c r="AB158" s="25">
        <v>-13.366041666666668</v>
      </c>
      <c r="AC158" s="25">
        <v>-14.729791666666671</v>
      </c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>
        <v>0.39258333333333334</v>
      </c>
      <c r="AU158" s="25">
        <v>0.22690000000000018</v>
      </c>
      <c r="AV158" s="25">
        <v>0.41981249999999998</v>
      </c>
      <c r="AW158" s="25"/>
      <c r="AX158" s="25"/>
      <c r="AY158" s="25"/>
      <c r="AZ158" s="25"/>
      <c r="BA158" s="25"/>
      <c r="BB158" s="25"/>
      <c r="BC158" s="25"/>
      <c r="BD158" s="25"/>
      <c r="BE158" s="25"/>
    </row>
    <row r="159" spans="1:57" x14ac:dyDescent="0.25">
      <c r="A159" s="1">
        <v>7.7</v>
      </c>
      <c r="B159" s="1">
        <v>5.0999999999999996</v>
      </c>
      <c r="C159" s="22"/>
      <c r="D159" s="23">
        <v>43866</v>
      </c>
      <c r="E159" s="24">
        <v>16.979166666666668</v>
      </c>
      <c r="F159" s="24">
        <v>96.231250000000003</v>
      </c>
      <c r="G159" s="24">
        <v>6.2166666666666659</v>
      </c>
      <c r="H159" s="24">
        <v>1.2</v>
      </c>
      <c r="I159" s="24">
        <v>119.39583333333333</v>
      </c>
      <c r="J159" s="24">
        <v>7.520833333333333</v>
      </c>
      <c r="K159" s="24">
        <v>0.625</v>
      </c>
      <c r="L159" s="24">
        <v>5.6562500000000009</v>
      </c>
      <c r="M159" s="10">
        <v>3.5480628476141106E-2</v>
      </c>
      <c r="N159" s="25">
        <v>0.39431250000000001</v>
      </c>
      <c r="O159" s="25">
        <v>0.49495833333333317</v>
      </c>
      <c r="P159" s="25">
        <v>0.53597916666666701</v>
      </c>
      <c r="Q159" s="25">
        <v>0.53995833333333276</v>
      </c>
      <c r="R159" s="25">
        <v>0.54147916666666684</v>
      </c>
      <c r="S159" s="25">
        <v>0.42724999999999969</v>
      </c>
      <c r="T159" s="25">
        <v>0.42293749999999969</v>
      </c>
      <c r="U159" s="25">
        <v>0.37004166666666632</v>
      </c>
      <c r="V159" s="25">
        <v>-15.224375</v>
      </c>
      <c r="W159" s="25">
        <v>-24.199583333333337</v>
      </c>
      <c r="X159" s="25">
        <v>-13.016041666666665</v>
      </c>
      <c r="Y159" s="25">
        <v>-13.530416666666669</v>
      </c>
      <c r="Z159" s="25">
        <v>-13.222708333333337</v>
      </c>
      <c r="AA159" s="25">
        <v>-13.554791666666668</v>
      </c>
      <c r="AB159" s="25">
        <v>-13.441458333333339</v>
      </c>
      <c r="AC159" s="25">
        <v>-14.735625000000008</v>
      </c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>
        <v>0.39054166666666679</v>
      </c>
      <c r="AU159" s="25">
        <v>0.22614583333333349</v>
      </c>
      <c r="AV159" s="25">
        <v>0.4163541666666668</v>
      </c>
      <c r="AW159" s="25"/>
      <c r="AX159" s="25"/>
      <c r="AY159" s="25"/>
      <c r="AZ159" s="25"/>
      <c r="BA159" s="25"/>
      <c r="BB159" s="25"/>
      <c r="BC159" s="25"/>
      <c r="BD159" s="25"/>
      <c r="BE159" s="25"/>
    </row>
    <row r="160" spans="1:57" x14ac:dyDescent="0.25">
      <c r="A160" s="1">
        <v>11</v>
      </c>
      <c r="B160" s="1">
        <v>3.8</v>
      </c>
      <c r="C160" s="22"/>
      <c r="D160" s="23">
        <v>43867</v>
      </c>
      <c r="E160" s="24">
        <v>79.083333333333329</v>
      </c>
      <c r="F160" s="24">
        <v>87.202083333333334</v>
      </c>
      <c r="G160" s="24">
        <v>6.9208333333333334</v>
      </c>
      <c r="H160" s="24">
        <v>4.7</v>
      </c>
      <c r="I160" s="24">
        <v>161.875</v>
      </c>
      <c r="J160" s="24">
        <v>6.645833333333333</v>
      </c>
      <c r="K160" s="24">
        <v>0.3125</v>
      </c>
      <c r="L160" s="24">
        <v>4.8458333333333341</v>
      </c>
      <c r="M160" s="10">
        <v>0.13499181432346724</v>
      </c>
      <c r="N160" s="25">
        <v>0.41052083333333339</v>
      </c>
      <c r="O160" s="25">
        <v>0.50385416666666683</v>
      </c>
      <c r="P160" s="25">
        <v>0.54393750000000018</v>
      </c>
      <c r="Q160" s="25">
        <v>0.55389583333333337</v>
      </c>
      <c r="R160" s="25">
        <v>0.55222916666666666</v>
      </c>
      <c r="S160" s="25">
        <v>0.44341666666666674</v>
      </c>
      <c r="T160" s="25">
        <v>0.4259374999999998</v>
      </c>
      <c r="U160" s="25">
        <v>0.37118750000000017</v>
      </c>
      <c r="V160" s="25">
        <v>-15.094791666666666</v>
      </c>
      <c r="W160" s="25">
        <v>-23.807708333333334</v>
      </c>
      <c r="X160" s="25">
        <v>-12.930833333333334</v>
      </c>
      <c r="Y160" s="25">
        <v>-13.615416666666668</v>
      </c>
      <c r="Z160" s="25">
        <v>-13.097916666666663</v>
      </c>
      <c r="AA160" s="25">
        <v>-13.318958333333333</v>
      </c>
      <c r="AB160" s="25">
        <v>-13.32979166666667</v>
      </c>
      <c r="AC160" s="25">
        <v>-14.62666666666667</v>
      </c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>
        <v>0.40358139534883725</v>
      </c>
      <c r="AU160" s="25">
        <v>0.2406388888888889</v>
      </c>
      <c r="AV160" s="25">
        <v>0.4374583333333335</v>
      </c>
      <c r="AW160" s="25"/>
      <c r="AX160" s="25"/>
      <c r="AY160" s="25"/>
      <c r="AZ160" s="25"/>
      <c r="BA160" s="25"/>
      <c r="BB160" s="25"/>
      <c r="BC160" s="25"/>
      <c r="BD160" s="25"/>
      <c r="BE160" s="25"/>
    </row>
    <row r="161" spans="1:57" x14ac:dyDescent="0.25">
      <c r="A161" s="1">
        <v>10</v>
      </c>
      <c r="B161" s="1">
        <v>4.5999999999999996</v>
      </c>
      <c r="C161" s="22"/>
      <c r="D161" s="23">
        <v>43868</v>
      </c>
      <c r="E161" s="24">
        <v>45.1875</v>
      </c>
      <c r="F161" s="24">
        <v>86.233333333333348</v>
      </c>
      <c r="G161" s="24">
        <v>6.4708333333333323</v>
      </c>
      <c r="H161" s="24">
        <v>1.4</v>
      </c>
      <c r="I161" s="24">
        <v>150.64583333333334</v>
      </c>
      <c r="J161" s="24">
        <v>3.5833333333333335</v>
      </c>
      <c r="K161" s="24">
        <v>0</v>
      </c>
      <c r="L161" s="24">
        <v>4.2958333333333334</v>
      </c>
      <c r="M161" s="10">
        <v>0.13848499978837556</v>
      </c>
      <c r="N161" s="25">
        <v>0.40343749999999984</v>
      </c>
      <c r="O161" s="25">
        <v>0.50147916666666659</v>
      </c>
      <c r="P161" s="25">
        <v>0.5427500000000004</v>
      </c>
      <c r="Q161" s="25">
        <v>0.55025000000000046</v>
      </c>
      <c r="R161" s="25">
        <v>0.54929166666666662</v>
      </c>
      <c r="S161" s="25">
        <v>0.43914583333333351</v>
      </c>
      <c r="T161" s="25">
        <v>0.42858333333333376</v>
      </c>
      <c r="U161" s="25">
        <v>0.37297916666666658</v>
      </c>
      <c r="V161" s="25">
        <v>-15.066458333333339</v>
      </c>
      <c r="W161" s="25">
        <v>-23.723750000000006</v>
      </c>
      <c r="X161" s="25">
        <v>-12.933333333333335</v>
      </c>
      <c r="Y161" s="25">
        <v>-13.665208333333325</v>
      </c>
      <c r="Z161" s="25">
        <v>-13.078333333333338</v>
      </c>
      <c r="AA161" s="25">
        <v>-13.240208333333333</v>
      </c>
      <c r="AB161" s="25">
        <v>-13.210000000000003</v>
      </c>
      <c r="AC161" s="25">
        <v>-14.615416666666663</v>
      </c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>
        <v>0.39895833333333314</v>
      </c>
      <c r="AU161" s="25">
        <v>0.23305882352941185</v>
      </c>
      <c r="AV161" s="25">
        <v>0.43166666666666642</v>
      </c>
      <c r="AW161" s="25"/>
      <c r="AX161" s="25"/>
      <c r="AY161" s="25"/>
      <c r="AZ161" s="25"/>
      <c r="BA161" s="25"/>
      <c r="BB161" s="25"/>
      <c r="BC161" s="25"/>
      <c r="BD161" s="25"/>
      <c r="BE161" s="25"/>
    </row>
    <row r="162" spans="1:57" x14ac:dyDescent="0.25">
      <c r="A162" s="1">
        <v>7.9</v>
      </c>
      <c r="B162" s="1">
        <v>3.5</v>
      </c>
      <c r="C162" s="22"/>
      <c r="D162" s="23">
        <v>43869</v>
      </c>
      <c r="E162" s="24">
        <v>44.875</v>
      </c>
      <c r="F162" s="24">
        <v>89.074999999999974</v>
      </c>
      <c r="G162" s="24">
        <v>4.9833333333333325</v>
      </c>
      <c r="H162" s="24">
        <v>1.9</v>
      </c>
      <c r="I162" s="24">
        <v>195.89583333333334</v>
      </c>
      <c r="J162" s="24">
        <v>3.9166666666666665</v>
      </c>
      <c r="K162" s="24">
        <v>0</v>
      </c>
      <c r="L162" s="24">
        <v>3.2833333333333337</v>
      </c>
      <c r="M162" s="10">
        <v>0.10081766224995285</v>
      </c>
      <c r="N162" s="25">
        <v>0.40352083333333338</v>
      </c>
      <c r="O162" s="25">
        <v>0.49949999999999989</v>
      </c>
      <c r="P162" s="25">
        <v>0.54114583333333366</v>
      </c>
      <c r="Q162" s="25">
        <v>0.54654166666666648</v>
      </c>
      <c r="R162" s="25">
        <v>0.54995833333333322</v>
      </c>
      <c r="S162" s="25">
        <v>0.43806250000000008</v>
      </c>
      <c r="T162" s="25">
        <v>0.42800000000000044</v>
      </c>
      <c r="U162" s="25">
        <v>0.37283333333333335</v>
      </c>
      <c r="V162" s="25">
        <v>-15.179791666666667</v>
      </c>
      <c r="W162" s="25">
        <v>-23.846458333333327</v>
      </c>
      <c r="X162" s="25">
        <v>-12.943750000000007</v>
      </c>
      <c r="Y162" s="25">
        <v>-13.605833333333335</v>
      </c>
      <c r="Z162" s="25">
        <v>-13.116250000000003</v>
      </c>
      <c r="AA162" s="25">
        <v>-13.290833333333325</v>
      </c>
      <c r="AB162" s="25">
        <v>-13.242083333333326</v>
      </c>
      <c r="AC162" s="25">
        <v>-14.574166666666668</v>
      </c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>
        <v>0.40029787234042569</v>
      </c>
      <c r="AU162" s="25">
        <v>0.23520454545454539</v>
      </c>
      <c r="AV162" s="25">
        <v>0.4362916666666668</v>
      </c>
      <c r="AW162" s="25"/>
      <c r="AX162" s="25"/>
      <c r="AY162" s="25"/>
      <c r="AZ162" s="25"/>
      <c r="BA162" s="25"/>
      <c r="BB162" s="25"/>
      <c r="BC162" s="25"/>
      <c r="BD162" s="25"/>
      <c r="BE162" s="25"/>
    </row>
    <row r="163" spans="1:57" x14ac:dyDescent="0.25">
      <c r="A163" s="1">
        <v>8.6999999999999993</v>
      </c>
      <c r="B163" s="1">
        <v>3.4</v>
      </c>
      <c r="C163" s="22"/>
      <c r="D163" s="23">
        <v>43870</v>
      </c>
      <c r="E163" s="24">
        <v>51.104166666666664</v>
      </c>
      <c r="F163" s="24">
        <v>82.858333333333334</v>
      </c>
      <c r="G163" s="24">
        <v>5.6354166666666643</v>
      </c>
      <c r="H163" s="24">
        <v>0</v>
      </c>
      <c r="I163" s="24">
        <v>189.35416666666666</v>
      </c>
      <c r="J163" s="24">
        <v>3.9583333333333335</v>
      </c>
      <c r="K163" s="24">
        <v>4.1666666666666664E-2</v>
      </c>
      <c r="L163" s="24">
        <v>2.8687500000000004</v>
      </c>
      <c r="M163" s="10">
        <v>0.16660694999250078</v>
      </c>
      <c r="N163" s="25">
        <v>0.40656250000000016</v>
      </c>
      <c r="O163" s="25">
        <v>0.50187500000000018</v>
      </c>
      <c r="P163" s="25">
        <v>0.54300000000000059</v>
      </c>
      <c r="Q163" s="25">
        <v>0.54866666666666652</v>
      </c>
      <c r="R163" s="25">
        <v>0.54881250000000015</v>
      </c>
      <c r="S163" s="25">
        <v>0.43772916666666672</v>
      </c>
      <c r="T163" s="25">
        <v>0.42747916666666658</v>
      </c>
      <c r="U163" s="25">
        <v>0.3725</v>
      </c>
      <c r="V163" s="25">
        <v>-15.220416666666663</v>
      </c>
      <c r="W163" s="25">
        <v>-23.842083333333324</v>
      </c>
      <c r="X163" s="25">
        <v>-12.897083333333333</v>
      </c>
      <c r="Y163" s="25">
        <v>-13.666666666666673</v>
      </c>
      <c r="Z163" s="25">
        <v>-13.000624999999999</v>
      </c>
      <c r="AA163" s="25">
        <v>-13.324166666666672</v>
      </c>
      <c r="AB163" s="25">
        <v>-13.267916666666657</v>
      </c>
      <c r="AC163" s="25">
        <v>-14.616666666666665</v>
      </c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>
        <v>0.39914583333333337</v>
      </c>
      <c r="AU163" s="25">
        <v>0.23356249999999976</v>
      </c>
      <c r="AV163" s="25">
        <v>0.43566666666666681</v>
      </c>
      <c r="AW163" s="25"/>
      <c r="AX163" s="25"/>
      <c r="AY163" s="25"/>
      <c r="AZ163" s="25"/>
      <c r="BA163" s="25"/>
      <c r="BB163" s="25"/>
      <c r="BC163" s="25"/>
      <c r="BD163" s="25"/>
      <c r="BE163" s="25"/>
    </row>
    <row r="164" spans="1:57" x14ac:dyDescent="0.25">
      <c r="A164" s="1">
        <v>6.7</v>
      </c>
      <c r="B164" s="1">
        <v>4.7</v>
      </c>
      <c r="C164" s="22"/>
      <c r="D164" s="23">
        <v>43871</v>
      </c>
      <c r="E164" s="24">
        <v>19.375</v>
      </c>
      <c r="F164" s="24">
        <v>93.027083333333351</v>
      </c>
      <c r="G164" s="24">
        <v>5.7020833333333334</v>
      </c>
      <c r="H164" s="24">
        <v>0.4</v>
      </c>
      <c r="I164" s="24">
        <v>174.95833333333334</v>
      </c>
      <c r="J164" s="24">
        <v>6.3125</v>
      </c>
      <c r="K164" s="24">
        <v>0.3125</v>
      </c>
      <c r="L164" s="24">
        <v>4.6416666666666666</v>
      </c>
      <c r="M164" s="10">
        <v>6.3333855439905759E-2</v>
      </c>
      <c r="N164" s="25">
        <v>0.40033333333333365</v>
      </c>
      <c r="O164" s="25">
        <v>0.49768749999999962</v>
      </c>
      <c r="P164" s="25">
        <v>0.5406666666666663</v>
      </c>
      <c r="Q164" s="25">
        <v>0.54691666666666661</v>
      </c>
      <c r="R164" s="25">
        <v>0.54543750000000057</v>
      </c>
      <c r="S164" s="25">
        <v>0.43372916666666628</v>
      </c>
      <c r="T164" s="25">
        <v>0.4266874999999995</v>
      </c>
      <c r="U164" s="25">
        <v>0.37199999999999994</v>
      </c>
      <c r="V164" s="25">
        <v>-15.249166666666662</v>
      </c>
      <c r="W164" s="25">
        <v>-23.981249999999992</v>
      </c>
      <c r="X164" s="25">
        <v>-12.954791666666663</v>
      </c>
      <c r="Y164" s="25">
        <v>-13.672291666666665</v>
      </c>
      <c r="Z164" s="25">
        <v>-13.059583333333336</v>
      </c>
      <c r="AA164" s="25">
        <v>-13.364791666666669</v>
      </c>
      <c r="AB164" s="25">
        <v>-13.261666666666665</v>
      </c>
      <c r="AC164" s="25">
        <v>-14.656041666666654</v>
      </c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>
        <v>0.39497916666666638</v>
      </c>
      <c r="AU164" s="25">
        <v>0.23054166666666678</v>
      </c>
      <c r="AV164" s="25">
        <v>0.42839583333333359</v>
      </c>
      <c r="AW164" s="25"/>
      <c r="AX164" s="25"/>
      <c r="AY164" s="25"/>
      <c r="AZ164" s="25"/>
      <c r="BA164" s="25"/>
      <c r="BB164" s="25"/>
      <c r="BC164" s="25"/>
      <c r="BD164" s="25"/>
      <c r="BE164" s="25"/>
    </row>
    <row r="165" spans="1:57" x14ac:dyDescent="0.25">
      <c r="A165" s="1">
        <v>11.7</v>
      </c>
      <c r="B165" s="1">
        <v>6.4</v>
      </c>
      <c r="C165" s="22"/>
      <c r="D165" s="23">
        <v>43872</v>
      </c>
      <c r="E165" s="24">
        <v>40.958333333333336</v>
      </c>
      <c r="F165" s="24">
        <v>95.162499999999966</v>
      </c>
      <c r="G165" s="24">
        <v>8.4458333333333346</v>
      </c>
      <c r="H165" s="24">
        <v>2.4</v>
      </c>
      <c r="I165" s="24">
        <v>185.58333333333334</v>
      </c>
      <c r="J165" s="24">
        <v>2.5416666666666665</v>
      </c>
      <c r="K165" s="24">
        <v>2.0833333333333332E-2</v>
      </c>
      <c r="L165" s="24">
        <v>7.7062499999999998</v>
      </c>
      <c r="M165" s="10">
        <v>5.870345652444061E-2</v>
      </c>
      <c r="N165" s="25">
        <v>0.41083333333333344</v>
      </c>
      <c r="O165" s="25">
        <v>0.50093750000000015</v>
      </c>
      <c r="P165" s="25">
        <v>0.54212499999999986</v>
      </c>
      <c r="Q165" s="25">
        <v>0.54606250000000012</v>
      </c>
      <c r="R165" s="25">
        <v>0.55060416666666623</v>
      </c>
      <c r="S165" s="25">
        <v>0.43760416666666657</v>
      </c>
      <c r="T165" s="25">
        <v>0.42641666666666672</v>
      </c>
      <c r="U165" s="25">
        <v>0.3720416666666666</v>
      </c>
      <c r="V165" s="25">
        <v>-14.987708333333329</v>
      </c>
      <c r="W165" s="25">
        <v>-23.803749999999997</v>
      </c>
      <c r="X165" s="25">
        <v>-12.950208333333334</v>
      </c>
      <c r="Y165" s="25">
        <v>-13.635416666666671</v>
      </c>
      <c r="Z165" s="25">
        <v>-12.993333333333332</v>
      </c>
      <c r="AA165" s="25">
        <v>-13.338958333333329</v>
      </c>
      <c r="AB165" s="25">
        <v>-13.257083333333334</v>
      </c>
      <c r="AC165" s="25">
        <v>-14.607916666666668</v>
      </c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>
        <v>0.4022708333333333</v>
      </c>
      <c r="AU165" s="25">
        <v>0.2380833333333334</v>
      </c>
      <c r="AV165" s="25">
        <v>0.44093749999999998</v>
      </c>
      <c r="AW165" s="25"/>
      <c r="AX165" s="25"/>
      <c r="AY165" s="25"/>
      <c r="AZ165" s="25"/>
      <c r="BA165" s="25"/>
      <c r="BB165" s="25"/>
      <c r="BC165" s="25"/>
      <c r="BD165" s="25"/>
      <c r="BE165" s="25"/>
    </row>
    <row r="166" spans="1:57" x14ac:dyDescent="0.25">
      <c r="A166" s="1">
        <v>18</v>
      </c>
      <c r="B166" s="1">
        <v>8.8000000000000007</v>
      </c>
      <c r="C166" s="22"/>
      <c r="D166" s="23">
        <v>43873</v>
      </c>
      <c r="E166" s="24">
        <v>119.97916666666667</v>
      </c>
      <c r="F166" s="24">
        <v>86.024999999999991</v>
      </c>
      <c r="G166" s="24">
        <v>11.887499999999998</v>
      </c>
      <c r="H166" s="24">
        <v>0.2</v>
      </c>
      <c r="I166" s="24">
        <v>135.22916666666666</v>
      </c>
      <c r="J166" s="24">
        <v>5.9375</v>
      </c>
      <c r="K166" s="24">
        <v>0.41666666666666669</v>
      </c>
      <c r="L166" s="24">
        <v>9.4520833333333325</v>
      </c>
      <c r="M166" s="10">
        <v>0.22953131315622702</v>
      </c>
      <c r="N166" s="25">
        <v>0.41283333333333316</v>
      </c>
      <c r="O166" s="25">
        <v>0.50504166666666683</v>
      </c>
      <c r="P166" s="25">
        <v>0.54625000000000001</v>
      </c>
      <c r="Q166" s="25">
        <v>0.5500416666666671</v>
      </c>
      <c r="R166" s="25">
        <v>0.55474999999999997</v>
      </c>
      <c r="S166" s="25">
        <v>0.44181250000000022</v>
      </c>
      <c r="T166" s="25">
        <v>0.42812500000000014</v>
      </c>
      <c r="U166" s="25">
        <v>0.37266666666666642</v>
      </c>
      <c r="V166" s="25">
        <v>-14.752083333333337</v>
      </c>
      <c r="W166" s="25">
        <v>-23.082499999999992</v>
      </c>
      <c r="X166" s="25">
        <v>-12.775833333333336</v>
      </c>
      <c r="Y166" s="25">
        <v>-13.581041666666669</v>
      </c>
      <c r="Z166" s="25">
        <v>-12.749375000000001</v>
      </c>
      <c r="AA166" s="25">
        <v>-13.161041666666668</v>
      </c>
      <c r="AB166" s="25">
        <v>-13.136874999999995</v>
      </c>
      <c r="AC166" s="25">
        <v>-14.541458333333329</v>
      </c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>
        <v>0.40290624999999997</v>
      </c>
      <c r="AU166" s="25">
        <v>0.23446666666666671</v>
      </c>
      <c r="AV166" s="25">
        <v>0.44041666666666668</v>
      </c>
      <c r="AW166" s="25"/>
      <c r="AX166" s="25"/>
      <c r="AY166" s="25"/>
      <c r="AZ166" s="25"/>
      <c r="BA166" s="25"/>
      <c r="BB166" s="25"/>
      <c r="BC166" s="25"/>
      <c r="BD166" s="25"/>
      <c r="BE166" s="25"/>
    </row>
    <row r="167" spans="1:57" x14ac:dyDescent="0.25">
      <c r="A167" s="1">
        <v>22.3</v>
      </c>
      <c r="B167" s="1">
        <v>11.5</v>
      </c>
      <c r="C167" s="22"/>
      <c r="D167" s="23">
        <v>43874</v>
      </c>
      <c r="E167" s="24">
        <v>174.45833333333334</v>
      </c>
      <c r="F167" s="24">
        <v>72.664583333333354</v>
      </c>
      <c r="G167" s="24">
        <v>15.256249999999996</v>
      </c>
      <c r="H167" s="24">
        <v>0</v>
      </c>
      <c r="I167" s="24">
        <v>146.29166666666666</v>
      </c>
      <c r="J167" s="24">
        <v>9.125</v>
      </c>
      <c r="K167" s="24">
        <v>0.77083333333333337</v>
      </c>
      <c r="L167" s="24">
        <v>9.8958333333333339</v>
      </c>
      <c r="M167" s="10">
        <v>0.54801060509336741</v>
      </c>
      <c r="N167" s="25">
        <v>0.41225000000000006</v>
      </c>
      <c r="O167" s="25">
        <v>0.50712500000000016</v>
      </c>
      <c r="P167" s="25">
        <v>0.54939583333333319</v>
      </c>
      <c r="Q167" s="25">
        <v>0.55104166666666621</v>
      </c>
      <c r="R167" s="25">
        <v>0.55820833333333331</v>
      </c>
      <c r="S167" s="25">
        <v>0.4408958333333331</v>
      </c>
      <c r="T167" s="25">
        <v>0.42983333333333323</v>
      </c>
      <c r="U167" s="25">
        <v>0.37299999999999994</v>
      </c>
      <c r="V167" s="25">
        <v>-14.401875000000004</v>
      </c>
      <c r="W167" s="25">
        <v>-22.501250000000002</v>
      </c>
      <c r="X167" s="25">
        <v>-12.668125000000002</v>
      </c>
      <c r="Y167" s="25">
        <v>-13.415416666666667</v>
      </c>
      <c r="Z167" s="25">
        <v>-12.558124999999999</v>
      </c>
      <c r="AA167" s="25">
        <v>-12.998958333333343</v>
      </c>
      <c r="AB167" s="25">
        <v>-13.055624999999992</v>
      </c>
      <c r="AC167" s="25">
        <v>-14.412291666666663</v>
      </c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>
        <v>0.4003600000000001</v>
      </c>
      <c r="AU167" s="25">
        <v>0.23204166666666662</v>
      </c>
      <c r="AV167" s="25">
        <v>0.43543749999999992</v>
      </c>
      <c r="AW167" s="25"/>
      <c r="AX167" s="25"/>
      <c r="AY167" s="25"/>
      <c r="AZ167" s="25"/>
      <c r="BA167" s="25"/>
      <c r="BB167" s="25"/>
      <c r="BC167" s="25"/>
      <c r="BD167" s="25"/>
      <c r="BE167" s="25"/>
    </row>
    <row r="168" spans="1:57" x14ac:dyDescent="0.25">
      <c r="A168" s="1">
        <v>21.4</v>
      </c>
      <c r="B168" s="1">
        <v>12.6</v>
      </c>
      <c r="C168" s="22"/>
      <c r="D168" s="23">
        <v>43875</v>
      </c>
      <c r="E168" s="24">
        <v>158.39583333333334</v>
      </c>
      <c r="F168" s="24">
        <v>69.564583333333331</v>
      </c>
      <c r="G168" s="24">
        <v>16.452083333333331</v>
      </c>
      <c r="H168" s="24">
        <v>0</v>
      </c>
      <c r="I168" s="24">
        <v>177.45833333333334</v>
      </c>
      <c r="J168" s="24">
        <v>9.1458333333333339</v>
      </c>
      <c r="K168" s="24">
        <v>0.60416666666666663</v>
      </c>
      <c r="L168" s="24">
        <v>10.441666666666666</v>
      </c>
      <c r="M168" s="10">
        <v>0.62599014779918571</v>
      </c>
      <c r="N168" s="25">
        <v>0.41260416666666694</v>
      </c>
      <c r="O168" s="25">
        <v>0.5091458333333333</v>
      </c>
      <c r="P168" s="25">
        <v>0.5529791666666668</v>
      </c>
      <c r="Q168" s="25">
        <v>0.55354166666666649</v>
      </c>
      <c r="R168" s="25">
        <v>0.56095833333333289</v>
      </c>
      <c r="S168" s="25">
        <v>0.44089583333333304</v>
      </c>
      <c r="T168" s="25">
        <v>0.43187500000000001</v>
      </c>
      <c r="U168" s="25">
        <v>0.37372916666666672</v>
      </c>
      <c r="V168" s="25">
        <v>-14.1275</v>
      </c>
      <c r="W168" s="25">
        <v>-22.007708333333337</v>
      </c>
      <c r="X168" s="25">
        <v>-12.583749999999997</v>
      </c>
      <c r="Y168" s="25">
        <v>-13.253541666666676</v>
      </c>
      <c r="Z168" s="25">
        <v>-12.477291666666668</v>
      </c>
      <c r="AA168" s="25">
        <v>-12.852083333333335</v>
      </c>
      <c r="AB168" s="25">
        <v>-12.926250000000005</v>
      </c>
      <c r="AC168" s="25">
        <v>-14.280625000000001</v>
      </c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>
        <v>0.39826666666666666</v>
      </c>
      <c r="AU168" s="25">
        <v>0.22802439024390239</v>
      </c>
      <c r="AV168" s="25">
        <v>0.4267291666666666</v>
      </c>
      <c r="AW168" s="25"/>
      <c r="AX168" s="25"/>
      <c r="AY168" s="25"/>
      <c r="AZ168" s="25"/>
      <c r="BA168" s="25"/>
      <c r="BB168" s="25"/>
      <c r="BC168" s="25"/>
      <c r="BD168" s="25"/>
      <c r="BE168" s="25"/>
    </row>
    <row r="169" spans="1:57" x14ac:dyDescent="0.25">
      <c r="A169" s="1">
        <v>14.9</v>
      </c>
      <c r="B169" s="1">
        <v>0.7</v>
      </c>
      <c r="C169" s="22"/>
      <c r="D169" s="23">
        <v>43876</v>
      </c>
      <c r="E169" s="24">
        <v>30.041666666666668</v>
      </c>
      <c r="F169" s="24">
        <v>82.391666666666652</v>
      </c>
      <c r="G169" s="24">
        <v>6.9625000000000021</v>
      </c>
      <c r="H169" s="24">
        <v>0.4</v>
      </c>
      <c r="I169" s="24">
        <v>207.75</v>
      </c>
      <c r="J169" s="24">
        <v>8.125</v>
      </c>
      <c r="K169" s="24">
        <v>0.27083333333333331</v>
      </c>
      <c r="L169" s="24">
        <v>4.1416666666666666</v>
      </c>
      <c r="M169" s="10">
        <v>0.18273976619109319</v>
      </c>
      <c r="N169" s="25">
        <v>0.40877083333333331</v>
      </c>
      <c r="O169" s="25">
        <v>0.50735416666666666</v>
      </c>
      <c r="P169" s="25">
        <v>0.55393749999999975</v>
      </c>
      <c r="Q169" s="25">
        <v>0.55491666666666639</v>
      </c>
      <c r="R169" s="25">
        <v>0.55820833333333308</v>
      </c>
      <c r="S169" s="25">
        <v>0.43908333333333355</v>
      </c>
      <c r="T169" s="25">
        <v>0.43324999999999986</v>
      </c>
      <c r="U169" s="25">
        <v>0.37439583333333343</v>
      </c>
      <c r="V169" s="25">
        <v>-14.554166666666667</v>
      </c>
      <c r="W169" s="25">
        <v>-22.115416666666672</v>
      </c>
      <c r="X169" s="25">
        <v>-12.613750000000008</v>
      </c>
      <c r="Y169" s="25">
        <v>-13.241874999999993</v>
      </c>
      <c r="Z169" s="25">
        <v>-12.658124999999998</v>
      </c>
      <c r="AA169" s="25">
        <v>-12.941666666666663</v>
      </c>
      <c r="AB169" s="25">
        <v>-12.974791666666674</v>
      </c>
      <c r="AC169" s="25">
        <v>-14.233333333333327</v>
      </c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>
        <v>0.39064864864864857</v>
      </c>
      <c r="AU169" s="25">
        <v>0.2217777777777778</v>
      </c>
      <c r="AV169" s="25">
        <v>0.41470833333333323</v>
      </c>
      <c r="AW169" s="25"/>
      <c r="AX169" s="25"/>
      <c r="AY169" s="25"/>
      <c r="AZ169" s="25"/>
      <c r="BA169" s="25"/>
      <c r="BB169" s="25"/>
      <c r="BC169" s="25"/>
      <c r="BD169" s="25"/>
      <c r="BE169" s="25"/>
    </row>
    <row r="170" spans="1:57" x14ac:dyDescent="0.25">
      <c r="A170" s="1">
        <v>10</v>
      </c>
      <c r="B170" s="1">
        <v>-0.8</v>
      </c>
      <c r="C170" s="22"/>
      <c r="D170" s="23">
        <v>43877</v>
      </c>
      <c r="E170" s="24">
        <v>116</v>
      </c>
      <c r="F170" s="24">
        <v>67.57708333333332</v>
      </c>
      <c r="G170" s="24">
        <v>3.3645833333333321</v>
      </c>
      <c r="H170" s="24">
        <v>0.2</v>
      </c>
      <c r="I170" s="24">
        <v>191.85416666666666</v>
      </c>
      <c r="J170" s="24">
        <v>7.3125</v>
      </c>
      <c r="K170" s="24">
        <v>0.33333333333333331</v>
      </c>
      <c r="L170" s="24">
        <v>-2.2687500000000003</v>
      </c>
      <c r="M170" s="10">
        <v>0.27574136805233468</v>
      </c>
      <c r="N170" s="25">
        <v>0.39641666666666664</v>
      </c>
      <c r="O170" s="25">
        <v>0.49639583333333331</v>
      </c>
      <c r="P170" s="25">
        <v>0.54560416666666633</v>
      </c>
      <c r="Q170" s="25">
        <v>0.55122916666666666</v>
      </c>
      <c r="R170" s="25">
        <v>0.54737500000000017</v>
      </c>
      <c r="S170" s="25">
        <v>0.43235416666666676</v>
      </c>
      <c r="T170" s="25">
        <v>0.43097916666666641</v>
      </c>
      <c r="U170" s="25">
        <v>0.3736458333333334</v>
      </c>
      <c r="V170" s="25">
        <v>-15.099374999999997</v>
      </c>
      <c r="W170" s="25">
        <v>-23.347291666666667</v>
      </c>
      <c r="X170" s="25">
        <v>-12.808541666666668</v>
      </c>
      <c r="Y170" s="25">
        <v>-13.236041666666667</v>
      </c>
      <c r="Z170" s="25">
        <v>-12.969791666666664</v>
      </c>
      <c r="AA170" s="25">
        <v>-13.196041666666659</v>
      </c>
      <c r="AB170" s="25">
        <v>-13.104374999999997</v>
      </c>
      <c r="AC170" s="25">
        <v>-14.308333333333335</v>
      </c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>
        <v>0.38259523809523799</v>
      </c>
      <c r="AU170" s="25">
        <v>0.217282608695652</v>
      </c>
      <c r="AV170" s="25">
        <v>0.40268749999999986</v>
      </c>
      <c r="AW170" s="25"/>
      <c r="AX170" s="25"/>
      <c r="AY170" s="25"/>
      <c r="AZ170" s="25"/>
      <c r="BA170" s="25"/>
      <c r="BB170" s="25"/>
      <c r="BC170" s="25"/>
      <c r="BD170" s="25"/>
      <c r="BE170" s="25"/>
    </row>
    <row r="171" spans="1:57" x14ac:dyDescent="0.25">
      <c r="A171" s="1">
        <v>9.1</v>
      </c>
      <c r="B171" s="1">
        <v>1.8</v>
      </c>
      <c r="C171" s="22"/>
      <c r="D171" s="23">
        <v>43878</v>
      </c>
      <c r="E171" s="24">
        <v>85.916666666666671</v>
      </c>
      <c r="F171" s="24">
        <v>67.570833333333326</v>
      </c>
      <c r="G171" s="24">
        <v>4.7583333333333329</v>
      </c>
      <c r="H171" s="24">
        <v>0</v>
      </c>
      <c r="I171" s="24">
        <v>197.14583333333334</v>
      </c>
      <c r="J171" s="24">
        <v>5.875</v>
      </c>
      <c r="K171" s="24">
        <v>8.3333333333333329E-2</v>
      </c>
      <c r="L171" s="24">
        <v>-0.95416666666666705</v>
      </c>
      <c r="M171" s="10">
        <v>0.29768601118069388</v>
      </c>
      <c r="N171" s="25">
        <v>0.39314583333333336</v>
      </c>
      <c r="O171" s="25">
        <v>0.4920624999999999</v>
      </c>
      <c r="P171" s="25">
        <v>0.54141666666666655</v>
      </c>
      <c r="Q171" s="25">
        <v>0.54710416666666661</v>
      </c>
      <c r="R171" s="25">
        <v>0.54335416666666647</v>
      </c>
      <c r="S171" s="25">
        <v>0.42887500000000039</v>
      </c>
      <c r="T171" s="25">
        <v>0.42852083333333374</v>
      </c>
      <c r="U171" s="25">
        <v>0.37210416666666662</v>
      </c>
      <c r="V171" s="25">
        <v>-15.026041666666666</v>
      </c>
      <c r="W171" s="25">
        <v>-23.676666666666666</v>
      </c>
      <c r="X171" s="25">
        <v>-12.828125000000002</v>
      </c>
      <c r="Y171" s="25">
        <v>-13.33625</v>
      </c>
      <c r="Z171" s="25">
        <v>-13.082500000000003</v>
      </c>
      <c r="AA171" s="25">
        <v>-13.388958333333335</v>
      </c>
      <c r="AB171" s="25">
        <v>-13.195416666666667</v>
      </c>
      <c r="AC171" s="25">
        <v>-14.396041666666667</v>
      </c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>
        <v>0.37734782608695666</v>
      </c>
      <c r="AU171" s="25">
        <v>0.21321276595744681</v>
      </c>
      <c r="AV171" s="25">
        <v>0.39527083333333324</v>
      </c>
      <c r="AW171" s="25"/>
      <c r="AX171" s="25"/>
      <c r="AY171" s="25"/>
      <c r="AZ171" s="25"/>
      <c r="BA171" s="25"/>
      <c r="BB171" s="25"/>
      <c r="BC171" s="25"/>
      <c r="BD171" s="25"/>
      <c r="BE171" s="25"/>
    </row>
    <row r="172" spans="1:57" x14ac:dyDescent="0.25">
      <c r="A172" s="1">
        <v>11.5</v>
      </c>
      <c r="B172" s="1">
        <v>3.3</v>
      </c>
      <c r="C172" s="22"/>
      <c r="D172" s="23">
        <v>43879</v>
      </c>
      <c r="E172" s="24">
        <v>94.083333333333329</v>
      </c>
      <c r="F172" s="24">
        <v>67.020833333333329</v>
      </c>
      <c r="G172" s="24">
        <v>6.533333333333335</v>
      </c>
      <c r="H172" s="24">
        <v>0</v>
      </c>
      <c r="I172" s="24">
        <v>144.8125</v>
      </c>
      <c r="J172" s="24">
        <v>6.958333333333333</v>
      </c>
      <c r="K172" s="24">
        <v>0.29166666666666669</v>
      </c>
      <c r="L172" s="24">
        <v>0.70625000000000016</v>
      </c>
      <c r="M172" s="10">
        <v>0.33872037259814713</v>
      </c>
      <c r="N172" s="25">
        <v>0.39179166666666693</v>
      </c>
      <c r="O172" s="25">
        <v>0.48977083333333349</v>
      </c>
      <c r="P172" s="25">
        <v>0.53908333333333347</v>
      </c>
      <c r="Q172" s="25">
        <v>0.54495833333333366</v>
      </c>
      <c r="R172" s="25">
        <v>0.54116666666666691</v>
      </c>
      <c r="S172" s="25">
        <v>0.42691666666666639</v>
      </c>
      <c r="T172" s="25">
        <v>0.42693749999999958</v>
      </c>
      <c r="U172" s="25">
        <v>0.37114583333333351</v>
      </c>
      <c r="V172" s="25">
        <v>-15.078333333333331</v>
      </c>
      <c r="W172" s="25">
        <v>-23.902708333333326</v>
      </c>
      <c r="X172" s="25">
        <v>-12.825625000000002</v>
      </c>
      <c r="Y172" s="25">
        <v>-13.40375</v>
      </c>
      <c r="Z172" s="25">
        <v>-13.132291666666672</v>
      </c>
      <c r="AA172" s="25">
        <v>-13.500208333333331</v>
      </c>
      <c r="AB172" s="25">
        <v>-13.243541666666657</v>
      </c>
      <c r="AC172" s="25">
        <v>-14.455833333333338</v>
      </c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>
        <v>0.37375609756097561</v>
      </c>
      <c r="AU172" s="25">
        <v>0.20945714285714279</v>
      </c>
      <c r="AV172" s="25">
        <v>0.38945833333333346</v>
      </c>
      <c r="AW172" s="25"/>
      <c r="AX172" s="25"/>
      <c r="AY172" s="25"/>
      <c r="AZ172" s="25"/>
      <c r="BA172" s="25"/>
      <c r="BB172" s="25"/>
      <c r="BC172" s="25"/>
      <c r="BD172" s="25"/>
      <c r="BE172" s="25"/>
    </row>
    <row r="173" spans="1:57" x14ac:dyDescent="0.25">
      <c r="A173" s="1">
        <v>17.600000000000001</v>
      </c>
      <c r="B173" s="1">
        <v>5.7</v>
      </c>
      <c r="C173" s="22"/>
      <c r="D173" s="23">
        <v>43880</v>
      </c>
      <c r="E173" s="24">
        <v>143.75</v>
      </c>
      <c r="F173" s="24">
        <v>64.831250000000011</v>
      </c>
      <c r="G173" s="24">
        <v>9.9354166666666668</v>
      </c>
      <c r="H173" s="24">
        <v>0</v>
      </c>
      <c r="I173" s="24">
        <v>156.9375</v>
      </c>
      <c r="J173" s="24">
        <v>5.354166666666667</v>
      </c>
      <c r="K173" s="24">
        <v>0.22916666666666666</v>
      </c>
      <c r="L173" s="24">
        <v>3.433333333333334</v>
      </c>
      <c r="M173" s="10">
        <v>0.47100592738463493</v>
      </c>
      <c r="N173" s="25">
        <v>0.39335416666666667</v>
      </c>
      <c r="O173" s="25">
        <v>0.49010416666666679</v>
      </c>
      <c r="P173" s="25">
        <v>0.53914583333333344</v>
      </c>
      <c r="Q173" s="25">
        <v>0.54366666666666663</v>
      </c>
      <c r="R173" s="25">
        <v>0.54218749999999993</v>
      </c>
      <c r="S173" s="25">
        <v>0.42660416666666684</v>
      </c>
      <c r="T173" s="25">
        <v>0.42608333333333309</v>
      </c>
      <c r="U173" s="25">
        <v>0.37060416666666679</v>
      </c>
      <c r="V173" s="25">
        <v>-14.821666666666664</v>
      </c>
      <c r="W173" s="25">
        <v>-23.683333333333341</v>
      </c>
      <c r="X173" s="25">
        <v>-12.846041666666672</v>
      </c>
      <c r="Y173" s="25">
        <v>-13.420625000000003</v>
      </c>
      <c r="Z173" s="25">
        <v>-13.063124999999999</v>
      </c>
      <c r="AA173" s="25">
        <v>-13.627291666666665</v>
      </c>
      <c r="AB173" s="25">
        <v>-13.30270833333334</v>
      </c>
      <c r="AC173" s="25">
        <v>-14.442708333333341</v>
      </c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>
        <v>0.37146666666666667</v>
      </c>
      <c r="AU173" s="25">
        <v>0.20572972972972983</v>
      </c>
      <c r="AV173" s="25">
        <v>0.38612500000000005</v>
      </c>
      <c r="AW173" s="25"/>
      <c r="AX173" s="25"/>
      <c r="AY173" s="25"/>
      <c r="AZ173" s="25"/>
      <c r="BA173" s="25"/>
      <c r="BB173" s="25"/>
      <c r="BC173" s="25"/>
      <c r="BD173" s="25"/>
      <c r="BE173" s="25"/>
    </row>
    <row r="174" spans="1:57" x14ac:dyDescent="0.25">
      <c r="A174" s="1">
        <v>9.9</v>
      </c>
      <c r="B174" s="1">
        <v>5.3</v>
      </c>
      <c r="C174" s="22"/>
      <c r="D174" s="23">
        <v>43881</v>
      </c>
      <c r="E174" s="24">
        <v>29.5625</v>
      </c>
      <c r="F174" s="24">
        <v>87.577083333333334</v>
      </c>
      <c r="G174" s="24">
        <v>7.5375000000000005</v>
      </c>
      <c r="H174" s="24">
        <v>1.2999999999999998</v>
      </c>
      <c r="I174" s="24">
        <v>138</v>
      </c>
      <c r="J174" s="24">
        <v>7.458333333333333</v>
      </c>
      <c r="K174" s="24">
        <v>0.75</v>
      </c>
      <c r="L174" s="24">
        <v>5.5874999999999986</v>
      </c>
      <c r="M174" s="10">
        <v>0.12938957432736412</v>
      </c>
      <c r="N174" s="25">
        <v>0.3958333333333332</v>
      </c>
      <c r="O174" s="25">
        <v>0.49229166666666663</v>
      </c>
      <c r="P174" s="25">
        <v>0.54210416666666716</v>
      </c>
      <c r="Q174" s="25">
        <v>0.54502083333333384</v>
      </c>
      <c r="R174" s="25">
        <v>0.54318750000000038</v>
      </c>
      <c r="S174" s="25">
        <v>0.42775000000000002</v>
      </c>
      <c r="T174" s="25">
        <v>0.42697916666666641</v>
      </c>
      <c r="U174" s="25">
        <v>0.37041666666666656</v>
      </c>
      <c r="V174" s="25">
        <v>-14.831666666666662</v>
      </c>
      <c r="W174" s="25">
        <v>-23.308750000000003</v>
      </c>
      <c r="X174" s="25">
        <v>-12.792291666666669</v>
      </c>
      <c r="Y174" s="25">
        <v>-13.38083333333333</v>
      </c>
      <c r="Z174" s="25">
        <v>-13.250416666666666</v>
      </c>
      <c r="AA174" s="25">
        <v>-13.796666666666667</v>
      </c>
      <c r="AB174" s="25">
        <v>-13.311249999999999</v>
      </c>
      <c r="AC174" s="25">
        <v>-14.389374999999994</v>
      </c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>
        <v>0.36793750000000003</v>
      </c>
      <c r="AU174" s="25">
        <v>0.20107407407407402</v>
      </c>
      <c r="AV174" s="25">
        <v>0.38054166666666678</v>
      </c>
      <c r="AW174" s="25"/>
      <c r="AX174" s="25"/>
      <c r="AY174" s="25"/>
      <c r="AZ174" s="25"/>
      <c r="BA174" s="25"/>
      <c r="BB174" s="25"/>
      <c r="BC174" s="25"/>
      <c r="BD174" s="25"/>
      <c r="BE174" s="25"/>
    </row>
    <row r="175" spans="1:57" x14ac:dyDescent="0.25">
      <c r="A175" s="1">
        <v>12.9</v>
      </c>
      <c r="B175" s="1">
        <v>4.0999999999999996</v>
      </c>
      <c r="C175" s="22"/>
      <c r="D175" s="23">
        <v>43882</v>
      </c>
      <c r="E175" s="24">
        <v>83.333333333333329</v>
      </c>
      <c r="F175" s="24">
        <v>81.039583333333312</v>
      </c>
      <c r="G175" s="24">
        <v>7.5500000000000016</v>
      </c>
      <c r="H175" s="24">
        <v>0.2</v>
      </c>
      <c r="I175" s="24">
        <v>202.16666666666666</v>
      </c>
      <c r="J175" s="24">
        <v>4.9375</v>
      </c>
      <c r="K175" s="24">
        <v>0.14583333333333334</v>
      </c>
      <c r="L175" s="24">
        <v>4.3166666666666647</v>
      </c>
      <c r="M175" s="10">
        <v>0.22482212523893919</v>
      </c>
      <c r="N175" s="25">
        <v>0.39341666666666647</v>
      </c>
      <c r="O175" s="25">
        <v>0.4898541666666667</v>
      </c>
      <c r="P175" s="25">
        <v>0.54020833333333329</v>
      </c>
      <c r="Q175" s="25">
        <v>0.5445000000000001</v>
      </c>
      <c r="R175" s="25">
        <v>0.54102083333333351</v>
      </c>
      <c r="S175" s="25">
        <v>0.42608333333333315</v>
      </c>
      <c r="T175" s="25">
        <v>0.42654166666666621</v>
      </c>
      <c r="U175" s="25">
        <v>0.37047916666666653</v>
      </c>
      <c r="V175" s="25">
        <v>-14.956249999999999</v>
      </c>
      <c r="W175" s="25">
        <v>-23.698958333333323</v>
      </c>
      <c r="X175" s="25">
        <v>-12.859166666666667</v>
      </c>
      <c r="Y175" s="25">
        <v>-13.273125000000002</v>
      </c>
      <c r="Z175" s="25">
        <v>-13.627083333333331</v>
      </c>
      <c r="AA175" s="25">
        <v>-14.00083333333332</v>
      </c>
      <c r="AB175" s="25">
        <v>-13.354791666666664</v>
      </c>
      <c r="AC175" s="25">
        <v>-14.390416666666658</v>
      </c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>
        <v>0.36942499999999984</v>
      </c>
      <c r="AU175" s="25">
        <v>0.2013809523809523</v>
      </c>
      <c r="AV175" s="25">
        <v>0.3761458333333334</v>
      </c>
      <c r="AW175" s="25"/>
      <c r="AX175" s="25"/>
      <c r="AY175" s="25"/>
      <c r="AZ175" s="25"/>
      <c r="BA175" s="25"/>
      <c r="BB175" s="25"/>
      <c r="BC175" s="25"/>
      <c r="BD175" s="25"/>
      <c r="BE175" s="25"/>
    </row>
    <row r="176" spans="1:57" x14ac:dyDescent="0.25">
      <c r="A176" s="1">
        <v>11.1</v>
      </c>
      <c r="B176" s="1">
        <v>5.8</v>
      </c>
      <c r="C176" s="22"/>
      <c r="D176" s="23">
        <v>43883</v>
      </c>
      <c r="E176" s="24">
        <v>41.104166666666664</v>
      </c>
      <c r="F176" s="24">
        <v>92.91249999999998</v>
      </c>
      <c r="G176" s="24">
        <v>8.1562499999999982</v>
      </c>
      <c r="H176" s="24">
        <v>0.8</v>
      </c>
      <c r="I176" s="24">
        <v>143.8125</v>
      </c>
      <c r="J176" s="24">
        <v>4.166666666666667</v>
      </c>
      <c r="K176" s="24">
        <v>0.16666666666666666</v>
      </c>
      <c r="L176" s="24">
        <v>7.0666666666666673</v>
      </c>
      <c r="M176" s="10">
        <v>8.0952786934369941E-2</v>
      </c>
      <c r="N176" s="25">
        <v>0.3931666666666665</v>
      </c>
      <c r="O176" s="25">
        <v>0.48933333333333384</v>
      </c>
      <c r="P176" s="25">
        <v>0.53993749999999963</v>
      </c>
      <c r="Q176" s="25">
        <v>0.54414583333333344</v>
      </c>
      <c r="R176" s="25">
        <v>0.54085416666666664</v>
      </c>
      <c r="S176" s="25">
        <v>0.42604166666666643</v>
      </c>
      <c r="T176" s="25">
        <v>0.42599999999999971</v>
      </c>
      <c r="U176" s="25">
        <v>0.37012499999999965</v>
      </c>
      <c r="V176" s="25">
        <v>-14.916666666666659</v>
      </c>
      <c r="W176" s="25">
        <v>-23.74958333333333</v>
      </c>
      <c r="X176" s="25">
        <v>-12.783958333333338</v>
      </c>
      <c r="Y176" s="25">
        <v>-13.240624999999994</v>
      </c>
      <c r="Z176" s="25">
        <v>-13.868333333333334</v>
      </c>
      <c r="AA176" s="25">
        <v>-14.123958333333322</v>
      </c>
      <c r="AB176" s="25">
        <v>-13.373750000000006</v>
      </c>
      <c r="AC176" s="25">
        <v>-14.423333333333339</v>
      </c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>
        <v>0.36904651162790669</v>
      </c>
      <c r="AU176" s="25">
        <v>0.20024242424242419</v>
      </c>
      <c r="AV176" s="25">
        <v>0.37170833333333336</v>
      </c>
      <c r="AW176" s="25"/>
      <c r="AX176" s="25"/>
      <c r="AY176" s="25"/>
      <c r="AZ176" s="25"/>
      <c r="BA176" s="25"/>
      <c r="BB176" s="25"/>
      <c r="BC176" s="25"/>
      <c r="BD176" s="25"/>
      <c r="BE176" s="25"/>
    </row>
    <row r="177" spans="1:57" x14ac:dyDescent="0.25">
      <c r="A177" s="1">
        <v>14.8</v>
      </c>
      <c r="B177" s="1">
        <v>10.7</v>
      </c>
      <c r="C177" s="22"/>
      <c r="D177" s="23">
        <v>43884</v>
      </c>
      <c r="E177" s="24"/>
      <c r="F177" s="24"/>
      <c r="G177" s="24"/>
      <c r="H177" s="24"/>
      <c r="I177" s="24"/>
      <c r="J177" s="24"/>
      <c r="K177" s="24"/>
      <c r="L177" s="24"/>
      <c r="M177" s="10"/>
      <c r="N177" s="25">
        <v>0.39437500000000014</v>
      </c>
      <c r="O177" s="25">
        <v>0.48945833333333316</v>
      </c>
      <c r="P177" s="25">
        <v>0.54020833333333307</v>
      </c>
      <c r="Q177" s="25">
        <v>0.54391666666666694</v>
      </c>
      <c r="R177" s="25">
        <v>0.54164583333333349</v>
      </c>
      <c r="S177" s="25">
        <v>0.42618749999999994</v>
      </c>
      <c r="T177" s="25">
        <v>0.42599999999999971</v>
      </c>
      <c r="U177" s="25">
        <v>0.3700833333333331</v>
      </c>
      <c r="V177" s="25">
        <v>-14.848750000000003</v>
      </c>
      <c r="W177" s="25">
        <v>-23.62062499999999</v>
      </c>
      <c r="X177" s="25">
        <v>-12.831666666666671</v>
      </c>
      <c r="Y177" s="25">
        <v>-13.254583333333331</v>
      </c>
      <c r="Z177" s="25">
        <v>-13.982916666666661</v>
      </c>
      <c r="AA177" s="25">
        <v>-14.174375000000012</v>
      </c>
      <c r="AB177" s="25">
        <v>-13.440208333333338</v>
      </c>
      <c r="AC177" s="25">
        <v>-14.415833333333325</v>
      </c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>
        <v>0.37159999999999993</v>
      </c>
      <c r="AU177" s="25">
        <v>0.20100000000000001</v>
      </c>
      <c r="AV177" s="25">
        <v>0.37016666666666648</v>
      </c>
      <c r="AW177" s="25"/>
      <c r="AX177" s="25"/>
      <c r="AY177" s="25"/>
      <c r="AZ177" s="25"/>
      <c r="BA177" s="25"/>
      <c r="BB177" s="25"/>
      <c r="BC177" s="25"/>
      <c r="BD177" s="25"/>
      <c r="BE177" s="25"/>
    </row>
    <row r="178" spans="1:57" x14ac:dyDescent="0.25">
      <c r="A178" s="1"/>
      <c r="B178" s="1"/>
      <c r="C178" s="22"/>
      <c r="D178" s="23">
        <v>43885</v>
      </c>
      <c r="E178" s="24"/>
      <c r="F178" s="24"/>
      <c r="G178" s="24"/>
      <c r="H178" s="24"/>
      <c r="I178" s="24"/>
      <c r="J178" s="24"/>
      <c r="K178" s="24"/>
      <c r="L178" s="24"/>
      <c r="M178" s="10"/>
      <c r="N178" s="25">
        <v>0.39658333333333345</v>
      </c>
      <c r="O178" s="25">
        <v>0.49129166666666668</v>
      </c>
      <c r="P178" s="25">
        <v>0.54170833333333368</v>
      </c>
      <c r="Q178" s="25">
        <v>0.54464583333333383</v>
      </c>
      <c r="R178" s="25">
        <v>0.54475000000000007</v>
      </c>
      <c r="S178" s="25">
        <v>0.42766666666666636</v>
      </c>
      <c r="T178" s="25">
        <v>0.42645833333333316</v>
      </c>
      <c r="U178" s="25">
        <v>0.37002083333333308</v>
      </c>
      <c r="V178" s="25">
        <v>-14.800833333333335</v>
      </c>
      <c r="W178" s="25">
        <v>-23.219791666666666</v>
      </c>
      <c r="X178" s="25">
        <v>-12.792083333333331</v>
      </c>
      <c r="Y178" s="25">
        <v>-13.266249999999992</v>
      </c>
      <c r="Z178" s="25">
        <v>-14.028958333333337</v>
      </c>
      <c r="AA178" s="25">
        <v>-14.205000000000011</v>
      </c>
      <c r="AB178" s="25">
        <v>-13.452916666666669</v>
      </c>
      <c r="AC178" s="25">
        <v>-14.359583333333335</v>
      </c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>
        <v>0.37031578947368399</v>
      </c>
      <c r="AU178" s="25">
        <v>0.19507999999999992</v>
      </c>
      <c r="AV178" s="25">
        <v>0.36818749999999995</v>
      </c>
      <c r="AW178" s="25"/>
      <c r="AX178" s="25"/>
      <c r="AY178" s="25"/>
      <c r="AZ178" s="25"/>
      <c r="BA178" s="25"/>
      <c r="BB178" s="25"/>
      <c r="BC178" s="25"/>
      <c r="BD178" s="25"/>
      <c r="BE178" s="25"/>
    </row>
    <row r="179" spans="1:57" x14ac:dyDescent="0.25">
      <c r="A179" s="1"/>
      <c r="B179" s="1"/>
      <c r="C179" s="22"/>
      <c r="D179" s="23">
        <v>43886</v>
      </c>
      <c r="E179" s="24"/>
      <c r="F179" s="24"/>
      <c r="G179" s="24"/>
      <c r="H179" s="24"/>
      <c r="I179" s="24"/>
      <c r="J179" s="24"/>
      <c r="K179" s="24"/>
      <c r="L179" s="24"/>
      <c r="M179" s="10"/>
      <c r="N179" s="25">
        <v>0.40160416666666676</v>
      </c>
      <c r="O179" s="25">
        <v>0.49685416666666687</v>
      </c>
      <c r="P179" s="25">
        <v>0.54679166666666656</v>
      </c>
      <c r="Q179" s="25">
        <v>0.54764583333333361</v>
      </c>
      <c r="R179" s="25">
        <v>0.55112499999999986</v>
      </c>
      <c r="S179" s="25">
        <v>0.4310833333333331</v>
      </c>
      <c r="T179" s="25">
        <v>0.42862499999999987</v>
      </c>
      <c r="U179" s="25">
        <v>0.37054166666666671</v>
      </c>
      <c r="V179" s="25">
        <v>-15.298125000000001</v>
      </c>
      <c r="W179" s="25">
        <v>-22.520208333333329</v>
      </c>
      <c r="X179" s="25">
        <v>-12.637499999999998</v>
      </c>
      <c r="Y179" s="25">
        <v>-13.173333333333334</v>
      </c>
      <c r="Z179" s="25">
        <v>-13.991041666666668</v>
      </c>
      <c r="AA179" s="25">
        <v>-14.185416666666663</v>
      </c>
      <c r="AB179" s="25">
        <v>-13.351666666666667</v>
      </c>
      <c r="AC179" s="25">
        <v>-14.241458333333334</v>
      </c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>
        <v>0.36820512820512818</v>
      </c>
      <c r="AU179" s="25">
        <v>0.19008333333333335</v>
      </c>
      <c r="AV179" s="25">
        <v>0.36491666666666661</v>
      </c>
      <c r="AW179" s="25"/>
      <c r="AX179" s="25"/>
      <c r="AY179" s="25"/>
      <c r="AZ179" s="25"/>
      <c r="BA179" s="25"/>
      <c r="BB179" s="25"/>
      <c r="BC179" s="25"/>
      <c r="BD179" s="25"/>
      <c r="BE179" s="25"/>
    </row>
    <row r="180" spans="1:57" x14ac:dyDescent="0.25">
      <c r="A180" s="1"/>
      <c r="B180" s="1"/>
      <c r="C180" s="22"/>
      <c r="D180" s="23">
        <v>43887</v>
      </c>
      <c r="E180" s="24"/>
      <c r="F180" s="24"/>
      <c r="G180" s="24"/>
      <c r="H180" s="24"/>
      <c r="I180" s="24"/>
      <c r="J180" s="24"/>
      <c r="K180" s="24"/>
      <c r="L180" s="24"/>
      <c r="M180" s="10"/>
      <c r="N180" s="25">
        <v>0.40391666666666631</v>
      </c>
      <c r="O180" s="25">
        <v>0.50102083333333336</v>
      </c>
      <c r="P180" s="25">
        <v>0.5516249999999997</v>
      </c>
      <c r="Q180" s="25">
        <v>0.551875</v>
      </c>
      <c r="R180" s="25">
        <v>0.55533333333333335</v>
      </c>
      <c r="S180" s="25">
        <v>0.43439583333333304</v>
      </c>
      <c r="T180" s="25">
        <v>0.43116666666666631</v>
      </c>
      <c r="U180" s="25">
        <v>0.37164583333333329</v>
      </c>
      <c r="V180" s="25">
        <v>-15.978958333333329</v>
      </c>
      <c r="W180" s="25">
        <v>-22.028958333333332</v>
      </c>
      <c r="X180" s="25">
        <v>-12.409375000000002</v>
      </c>
      <c r="Y180" s="25">
        <v>-13.105833333333338</v>
      </c>
      <c r="Z180" s="25">
        <v>-14.013750000000002</v>
      </c>
      <c r="AA180" s="25">
        <v>-14.157500000000011</v>
      </c>
      <c r="AB180" s="25">
        <v>-13.442083333333334</v>
      </c>
      <c r="AC180" s="25">
        <v>-14.141249999999998</v>
      </c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>
        <v>0.36422857142857162</v>
      </c>
      <c r="AU180" s="25">
        <v>0.18278124999999998</v>
      </c>
      <c r="AV180" s="25">
        <v>0.35902083333333351</v>
      </c>
      <c r="AW180" s="25"/>
      <c r="AX180" s="25"/>
      <c r="AY180" s="25"/>
      <c r="AZ180" s="25"/>
      <c r="BA180" s="25"/>
      <c r="BB180" s="25"/>
      <c r="BC180" s="25"/>
      <c r="BD180" s="25"/>
      <c r="BE180" s="25"/>
    </row>
    <row r="181" spans="1:57" x14ac:dyDescent="0.25">
      <c r="A181" s="1"/>
      <c r="B181" s="1"/>
      <c r="C181" s="22"/>
      <c r="D181" s="23">
        <v>43888</v>
      </c>
      <c r="E181" s="24"/>
      <c r="F181" s="24"/>
      <c r="G181" s="24"/>
      <c r="H181" s="24"/>
      <c r="I181" s="24"/>
      <c r="J181" s="24"/>
      <c r="K181" s="24"/>
      <c r="L181" s="24"/>
      <c r="M181" s="10"/>
      <c r="N181" s="25">
        <v>0.40429166666666694</v>
      </c>
      <c r="O181" s="25">
        <v>0.50243750000000009</v>
      </c>
      <c r="P181" s="25">
        <v>0.55410416666666651</v>
      </c>
      <c r="Q181" s="25">
        <v>0.55491666666666661</v>
      </c>
      <c r="R181" s="25">
        <v>0.55662499999999981</v>
      </c>
      <c r="S181" s="25">
        <v>0.43568750000000017</v>
      </c>
      <c r="T181" s="25">
        <v>0.433</v>
      </c>
      <c r="U181" s="25">
        <v>0.3727083333333332</v>
      </c>
      <c r="V181" s="25">
        <v>-17.291875000000005</v>
      </c>
      <c r="W181" s="25">
        <v>-21.913125000000008</v>
      </c>
      <c r="X181" s="25">
        <v>-12.353125</v>
      </c>
      <c r="Y181" s="25">
        <v>-13.029999999999996</v>
      </c>
      <c r="Z181" s="25">
        <v>-14.242083333333333</v>
      </c>
      <c r="AA181" s="25">
        <v>-14.249999999999988</v>
      </c>
      <c r="AB181" s="25">
        <v>-13.495416666666664</v>
      </c>
      <c r="AC181" s="25">
        <v>-14.11895833333333</v>
      </c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>
        <v>0.35916666666666663</v>
      </c>
      <c r="AU181" s="25">
        <v>0.17728571428571432</v>
      </c>
      <c r="AV181" s="25">
        <v>0.35139583333333313</v>
      </c>
      <c r="AW181" s="25"/>
      <c r="AX181" s="25"/>
      <c r="AY181" s="25"/>
      <c r="AZ181" s="25"/>
      <c r="BA181" s="25"/>
      <c r="BB181" s="25"/>
      <c r="BC181" s="25"/>
      <c r="BD181" s="25"/>
      <c r="BE181" s="25"/>
    </row>
    <row r="182" spans="1:57" x14ac:dyDescent="0.25">
      <c r="A182" s="1"/>
      <c r="B182" s="1"/>
      <c r="C182" s="22"/>
      <c r="D182" s="23">
        <v>43889</v>
      </c>
      <c r="E182" s="24"/>
      <c r="F182" s="24"/>
      <c r="G182" s="24"/>
      <c r="H182" s="24"/>
      <c r="I182" s="24"/>
      <c r="J182" s="24"/>
      <c r="K182" s="24"/>
      <c r="L182" s="24"/>
      <c r="M182" s="10"/>
      <c r="N182" s="25">
        <v>0.40172916666666653</v>
      </c>
      <c r="O182" s="25">
        <v>0.50068749999999962</v>
      </c>
      <c r="P182" s="25">
        <v>0.55400000000000016</v>
      </c>
      <c r="Q182" s="25">
        <v>0.55695833333333289</v>
      </c>
      <c r="R182" s="25">
        <v>0.55812499999999998</v>
      </c>
      <c r="S182" s="25">
        <v>0.43514583333333362</v>
      </c>
      <c r="T182" s="25">
        <v>0.43393749999999992</v>
      </c>
      <c r="U182" s="25">
        <v>0.37360416666666679</v>
      </c>
      <c r="V182" s="25">
        <v>-19.615833333333335</v>
      </c>
      <c r="W182" s="25">
        <v>-22.298958333333331</v>
      </c>
      <c r="X182" s="25">
        <v>-12.446041666666664</v>
      </c>
      <c r="Y182" s="25">
        <v>-12.99375</v>
      </c>
      <c r="Z182" s="25">
        <v>-13.807708333333325</v>
      </c>
      <c r="AA182" s="25">
        <v>-14.352291666666668</v>
      </c>
      <c r="AB182" s="25">
        <v>-13.607083333333328</v>
      </c>
      <c r="AC182" s="25">
        <v>-14.155208333333336</v>
      </c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>
        <v>0.36600000000000005</v>
      </c>
      <c r="AU182" s="25">
        <v>0.20804761904761909</v>
      </c>
      <c r="AV182" s="25">
        <v>0.36372916666666644</v>
      </c>
      <c r="AW182" s="25"/>
      <c r="AX182" s="25"/>
      <c r="AY182" s="25"/>
      <c r="AZ182" s="25"/>
      <c r="BA182" s="25"/>
      <c r="BB182" s="25"/>
      <c r="BC182" s="25"/>
      <c r="BD182" s="25"/>
      <c r="BE182" s="25"/>
    </row>
    <row r="183" spans="1:57" x14ac:dyDescent="0.25">
      <c r="A183" s="1"/>
      <c r="B183" s="1"/>
      <c r="C183" s="22"/>
      <c r="D183" s="23">
        <v>43890</v>
      </c>
      <c r="E183" s="24"/>
      <c r="F183" s="24"/>
      <c r="G183" s="24"/>
      <c r="H183" s="24"/>
      <c r="I183" s="24"/>
      <c r="J183" s="24"/>
      <c r="K183" s="24"/>
      <c r="L183" s="24"/>
      <c r="M183" s="10"/>
      <c r="N183" s="25">
        <v>0.40045833333333342</v>
      </c>
      <c r="O183" s="25">
        <v>0.49804166666666677</v>
      </c>
      <c r="P183" s="25">
        <v>0.551958333333333</v>
      </c>
      <c r="Q183" s="25">
        <v>0.55589583333333348</v>
      </c>
      <c r="R183" s="25">
        <v>0.56002083333333363</v>
      </c>
      <c r="S183" s="25">
        <v>0.43454166666666655</v>
      </c>
      <c r="T183" s="25">
        <v>0.43322916666666672</v>
      </c>
      <c r="U183" s="25">
        <v>0.37383333333333346</v>
      </c>
      <c r="V183" s="25">
        <v>-21.200833333333339</v>
      </c>
      <c r="W183" s="25">
        <v>-22.558958333333333</v>
      </c>
      <c r="X183" s="25">
        <v>-12.480624999999998</v>
      </c>
      <c r="Y183" s="25">
        <v>-13.053333333333335</v>
      </c>
      <c r="Z183" s="25">
        <v>-12.668541666666668</v>
      </c>
      <c r="AA183" s="25">
        <v>-14.419166666666662</v>
      </c>
      <c r="AB183" s="25">
        <v>-13.636666666666663</v>
      </c>
      <c r="AC183" s="25">
        <v>-14.142916666666659</v>
      </c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>
        <v>0.37763636363636355</v>
      </c>
      <c r="AU183" s="25">
        <v>0.21674468085106388</v>
      </c>
      <c r="AV183" s="25">
        <v>0.37222916666666667</v>
      </c>
      <c r="AW183" s="25"/>
      <c r="AX183" s="25"/>
      <c r="AY183" s="25"/>
      <c r="AZ183" s="25"/>
      <c r="BA183" s="25"/>
      <c r="BB183" s="25"/>
      <c r="BC183" s="25"/>
      <c r="BD183" s="25"/>
      <c r="BE183" s="25"/>
    </row>
    <row r="184" spans="1:57" x14ac:dyDescent="0.25">
      <c r="A184" s="1"/>
      <c r="B184" s="1"/>
      <c r="C184" s="22"/>
      <c r="D184" s="23">
        <v>43891</v>
      </c>
      <c r="E184" s="24"/>
      <c r="F184" s="24"/>
      <c r="G184" s="24"/>
      <c r="H184" s="24"/>
      <c r="I184" s="24"/>
      <c r="J184" s="24"/>
      <c r="K184" s="24"/>
      <c r="L184" s="24"/>
      <c r="M184" s="10"/>
      <c r="N184" s="25">
        <v>0.40070833333333322</v>
      </c>
      <c r="O184" s="25">
        <v>0.49916666666666698</v>
      </c>
      <c r="P184" s="25">
        <v>0.55372916666666705</v>
      </c>
      <c r="Q184" s="25">
        <v>0.55729166666666619</v>
      </c>
      <c r="R184" s="25">
        <v>0.55977083333333344</v>
      </c>
      <c r="S184" s="25">
        <v>0.43606249999999996</v>
      </c>
      <c r="T184" s="25">
        <v>0.43450000000000016</v>
      </c>
      <c r="U184" s="25">
        <v>0.3739791666666667</v>
      </c>
      <c r="V184" s="25">
        <v>-22.544791666666669</v>
      </c>
      <c r="W184" s="25">
        <v>-22.481666666666669</v>
      </c>
      <c r="X184" s="25">
        <v>-12.467708333333333</v>
      </c>
      <c r="Y184" s="25">
        <v>-13.027708333333337</v>
      </c>
      <c r="Z184" s="25">
        <v>-12.801874999999995</v>
      </c>
      <c r="AA184" s="25">
        <v>-14.381249999999985</v>
      </c>
      <c r="AB184" s="25">
        <v>-13.583125000000001</v>
      </c>
      <c r="AC184" s="25">
        <v>-14.147291666666653</v>
      </c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>
        <v>0.3726666666666667</v>
      </c>
      <c r="AU184" s="25">
        <v>0.20468750000000002</v>
      </c>
      <c r="AV184" s="25">
        <v>0.36002083333333351</v>
      </c>
      <c r="AW184" s="25"/>
      <c r="AX184" s="25"/>
      <c r="AY184" s="25"/>
      <c r="AZ184" s="25"/>
      <c r="BA184" s="25"/>
      <c r="BB184" s="25"/>
      <c r="BC184" s="25"/>
      <c r="BD184" s="25"/>
      <c r="BE184" s="25"/>
    </row>
    <row r="185" spans="1:57" x14ac:dyDescent="0.25">
      <c r="A185" s="1"/>
      <c r="B185" s="1"/>
      <c r="C185" s="22"/>
      <c r="D185" s="23">
        <v>43892</v>
      </c>
      <c r="E185" s="24"/>
      <c r="F185" s="24"/>
      <c r="G185" s="24"/>
      <c r="H185" s="24"/>
      <c r="I185" s="24"/>
      <c r="J185" s="24"/>
      <c r="K185" s="24"/>
      <c r="L185" s="24"/>
      <c r="M185" s="10"/>
      <c r="N185" s="25">
        <v>0.39954166666666674</v>
      </c>
      <c r="O185" s="25">
        <v>0.49691666666666684</v>
      </c>
      <c r="P185" s="25">
        <v>0.55177083333333321</v>
      </c>
      <c r="Q185" s="25">
        <v>0.55689583333333315</v>
      </c>
      <c r="R185" s="25">
        <v>0.5577916666666668</v>
      </c>
      <c r="S185" s="25">
        <v>0.43489583333333309</v>
      </c>
      <c r="T185" s="25">
        <v>0.43406249999999996</v>
      </c>
      <c r="U185" s="25">
        <v>0.37393749999999998</v>
      </c>
      <c r="V185" s="25">
        <v>-23.709999999999994</v>
      </c>
      <c r="W185" s="25">
        <v>-22.822916666666671</v>
      </c>
      <c r="X185" s="25">
        <v>-12.472083333333332</v>
      </c>
      <c r="Y185" s="25">
        <v>-13.028958333333335</v>
      </c>
      <c r="Z185" s="25">
        <v>-12.943125000000002</v>
      </c>
      <c r="AA185" s="25">
        <v>-14.446875000000006</v>
      </c>
      <c r="AB185" s="25">
        <v>-13.657708333333334</v>
      </c>
      <c r="AC185" s="25">
        <v>-14.163750000000002</v>
      </c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>
        <v>0.37135483870967728</v>
      </c>
      <c r="AU185" s="25">
        <v>0.19802127659574476</v>
      </c>
      <c r="AV185" s="25">
        <v>0.35208333333333347</v>
      </c>
      <c r="AW185" s="25"/>
      <c r="AX185" s="25"/>
      <c r="AY185" s="25"/>
      <c r="AZ185" s="25"/>
      <c r="BA185" s="25"/>
      <c r="BB185" s="25"/>
      <c r="BC185" s="25"/>
      <c r="BD185" s="25"/>
      <c r="BE185" s="25"/>
    </row>
    <row r="186" spans="1:57" x14ac:dyDescent="0.25">
      <c r="A186" s="1"/>
      <c r="B186" s="1"/>
      <c r="C186" s="22"/>
      <c r="D186" s="23">
        <v>43893</v>
      </c>
      <c r="E186" s="24"/>
      <c r="F186" s="24"/>
      <c r="G186" s="24"/>
      <c r="H186" s="24"/>
      <c r="I186" s="24"/>
      <c r="J186" s="24"/>
      <c r="K186" s="24"/>
      <c r="L186" s="24"/>
      <c r="M186" s="10"/>
      <c r="N186" s="25">
        <v>0.39645833333333319</v>
      </c>
      <c r="O186" s="25">
        <v>0.49514583333333323</v>
      </c>
      <c r="P186" s="25">
        <v>0.55085416666666676</v>
      </c>
      <c r="Q186" s="25">
        <v>0.55660416666666668</v>
      </c>
      <c r="R186" s="25">
        <v>0.55381249999999993</v>
      </c>
      <c r="S186" s="25">
        <v>0.43410416666666635</v>
      </c>
      <c r="T186" s="25">
        <v>0.43424999999999986</v>
      </c>
      <c r="U186" s="25">
        <v>0.37395833333333345</v>
      </c>
      <c r="V186" s="25">
        <v>-26.130416666666665</v>
      </c>
      <c r="W186" s="25">
        <v>-23.268750000000001</v>
      </c>
      <c r="X186" s="25">
        <v>-12.590624999999994</v>
      </c>
      <c r="Y186" s="25">
        <v>-13.060208333333328</v>
      </c>
      <c r="Z186" s="25">
        <v>-13.322916666666664</v>
      </c>
      <c r="AA186" s="25">
        <v>-14.620625000000002</v>
      </c>
      <c r="AB186" s="25">
        <v>-13.792916666666665</v>
      </c>
      <c r="AC186" s="25">
        <v>-14.274583333333339</v>
      </c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>
        <v>0.36397727272727276</v>
      </c>
      <c r="AU186" s="25">
        <v>0.18889583333333326</v>
      </c>
      <c r="AV186" s="25">
        <v>0.33964583333333337</v>
      </c>
      <c r="AW186" s="25"/>
      <c r="AX186" s="25"/>
      <c r="AY186" s="25"/>
      <c r="AZ186" s="25"/>
      <c r="BA186" s="25"/>
      <c r="BB186" s="25"/>
      <c r="BC186" s="25"/>
      <c r="BD186" s="25"/>
      <c r="BE186" s="25"/>
    </row>
    <row r="187" spans="1:57" x14ac:dyDescent="0.25">
      <c r="A187" s="1"/>
      <c r="B187" s="1"/>
      <c r="C187" s="22"/>
      <c r="D187" s="23">
        <v>43894</v>
      </c>
      <c r="E187" s="24"/>
      <c r="F187" s="24"/>
      <c r="G187" s="24"/>
      <c r="H187" s="24"/>
      <c r="I187" s="24"/>
      <c r="J187" s="24"/>
      <c r="K187" s="24"/>
      <c r="L187" s="24"/>
      <c r="M187" s="10"/>
      <c r="N187" s="25">
        <v>0.3900624999999997</v>
      </c>
      <c r="O187" s="25">
        <v>0.48897916666666646</v>
      </c>
      <c r="P187" s="25">
        <v>0.54499999999999982</v>
      </c>
      <c r="Q187" s="25">
        <v>0.55391666666666695</v>
      </c>
      <c r="R187" s="25">
        <v>0.54681249999999981</v>
      </c>
      <c r="S187" s="25">
        <v>0.43006249999999963</v>
      </c>
      <c r="T187" s="25">
        <v>0.43218750000000022</v>
      </c>
      <c r="U187" s="25">
        <v>0.37277083333333322</v>
      </c>
      <c r="V187" s="25">
        <v>-29.46916666666667</v>
      </c>
      <c r="W187" s="25">
        <v>-24.305624999999992</v>
      </c>
      <c r="X187" s="25">
        <v>-12.738124999999995</v>
      </c>
      <c r="Y187" s="25">
        <v>-13.199999999999998</v>
      </c>
      <c r="Z187" s="25">
        <v>-13.821875000000004</v>
      </c>
      <c r="AA187" s="25">
        <v>-14.907500000000004</v>
      </c>
      <c r="AB187" s="25">
        <v>-13.910624999999998</v>
      </c>
      <c r="AC187" s="25">
        <v>-14.417083333333343</v>
      </c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>
        <v>0.35958974358974377</v>
      </c>
      <c r="AU187" s="25">
        <v>0.18387499999999998</v>
      </c>
      <c r="AV187" s="25">
        <v>0.32993750000000022</v>
      </c>
      <c r="AW187" s="25"/>
      <c r="AX187" s="25"/>
      <c r="AY187" s="25"/>
      <c r="AZ187" s="25"/>
      <c r="BA187" s="25"/>
      <c r="BB187" s="25"/>
      <c r="BC187" s="25"/>
      <c r="BD187" s="25"/>
      <c r="BE187" s="25"/>
    </row>
    <row r="188" spans="1:57" x14ac:dyDescent="0.25">
      <c r="A188" s="1"/>
      <c r="B188" s="1"/>
      <c r="C188" s="22"/>
      <c r="D188" s="23">
        <v>43895</v>
      </c>
      <c r="E188" s="24"/>
      <c r="F188" s="24"/>
      <c r="G188" s="24"/>
      <c r="H188" s="24"/>
      <c r="I188" s="24"/>
      <c r="J188" s="24"/>
      <c r="K188" s="24"/>
      <c r="L188" s="24"/>
      <c r="M188" s="10"/>
      <c r="N188" s="25">
        <v>0.38739583333333355</v>
      </c>
      <c r="O188" s="25">
        <v>0.48560416666666645</v>
      </c>
      <c r="P188" s="25">
        <v>0.54187500000000011</v>
      </c>
      <c r="Q188" s="25">
        <v>0.55108333333333315</v>
      </c>
      <c r="R188" s="25">
        <v>0.5432916666666664</v>
      </c>
      <c r="S188" s="25">
        <v>0.42789583333333342</v>
      </c>
      <c r="T188" s="25">
        <v>0.43045833333333311</v>
      </c>
      <c r="U188" s="25">
        <v>0.3718541666666666</v>
      </c>
      <c r="V188" s="25">
        <v>-31.802083333333332</v>
      </c>
      <c r="W188" s="25">
        <v>-24.87166666666667</v>
      </c>
      <c r="X188" s="25">
        <v>-12.807916666666664</v>
      </c>
      <c r="Y188" s="25">
        <v>-13.28208333333334</v>
      </c>
      <c r="Z188" s="25">
        <v>-14.302291666666664</v>
      </c>
      <c r="AA188" s="25">
        <v>-15.052916666666667</v>
      </c>
      <c r="AB188" s="25">
        <v>-13.882499999999999</v>
      </c>
      <c r="AC188" s="25">
        <v>-14.54770833333334</v>
      </c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>
        <v>0.35673809523809502</v>
      </c>
      <c r="AU188" s="25">
        <v>0.17872916666666661</v>
      </c>
      <c r="AV188" s="25">
        <v>0.32193749999999993</v>
      </c>
      <c r="AW188" s="25"/>
      <c r="AX188" s="25"/>
      <c r="AY188" s="25"/>
      <c r="AZ188" s="25"/>
      <c r="BA188" s="25"/>
      <c r="BB188" s="25"/>
      <c r="BC188" s="25"/>
      <c r="BD188" s="25"/>
      <c r="BE188" s="25"/>
    </row>
    <row r="189" spans="1:57" x14ac:dyDescent="0.25">
      <c r="A189" s="1"/>
      <c r="B189" s="1"/>
      <c r="C189" s="22"/>
      <c r="D189" s="23">
        <v>43896</v>
      </c>
      <c r="E189" s="24"/>
      <c r="F189" s="24"/>
      <c r="G189" s="24"/>
      <c r="H189" s="24"/>
      <c r="I189" s="24"/>
      <c r="J189" s="24"/>
      <c r="K189" s="24"/>
      <c r="L189" s="24"/>
      <c r="M189" s="10"/>
      <c r="N189" s="25">
        <v>0.38929166666666687</v>
      </c>
      <c r="O189" s="25">
        <v>0.48624999999999979</v>
      </c>
      <c r="P189" s="25">
        <v>0.54177083333333376</v>
      </c>
      <c r="Q189" s="25">
        <v>0.54960416666666667</v>
      </c>
      <c r="R189" s="25">
        <v>0.54581250000000003</v>
      </c>
      <c r="S189" s="25">
        <v>0.42804166666666671</v>
      </c>
      <c r="T189" s="25">
        <v>0.42916666666666653</v>
      </c>
      <c r="U189" s="25">
        <v>0.3709583333333335</v>
      </c>
      <c r="V189" s="25">
        <v>-31.537291666666665</v>
      </c>
      <c r="W189" s="25">
        <v>-24.772500000000004</v>
      </c>
      <c r="X189" s="25">
        <v>-12.720208333333341</v>
      </c>
      <c r="Y189" s="25">
        <v>-13.311041666666668</v>
      </c>
      <c r="Z189" s="25">
        <v>-14.4</v>
      </c>
      <c r="AA189" s="25">
        <v>-15.145208333333329</v>
      </c>
      <c r="AB189" s="25">
        <v>-13.886666666666668</v>
      </c>
      <c r="AC189" s="25">
        <v>-14.601041666666672</v>
      </c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>
        <v>0.35744736842105274</v>
      </c>
      <c r="AU189" s="25">
        <v>0.17602500000000001</v>
      </c>
      <c r="AV189" s="25">
        <v>0.31877083333333334</v>
      </c>
      <c r="AW189" s="25"/>
      <c r="AX189" s="25"/>
      <c r="AY189" s="25"/>
      <c r="AZ189" s="25"/>
      <c r="BA189" s="25"/>
      <c r="BB189" s="25"/>
      <c r="BC189" s="25"/>
      <c r="BD189" s="25"/>
      <c r="BE189" s="25"/>
    </row>
    <row r="190" spans="1:57" x14ac:dyDescent="0.25">
      <c r="A190" s="1"/>
      <c r="B190" s="1"/>
      <c r="C190" s="22"/>
      <c r="D190" s="23">
        <v>43897</v>
      </c>
      <c r="E190" s="24"/>
      <c r="F190" s="24"/>
      <c r="G190" s="24"/>
      <c r="H190" s="24"/>
      <c r="I190" s="24"/>
      <c r="J190" s="24"/>
      <c r="K190" s="24"/>
      <c r="L190" s="24"/>
      <c r="M190" s="10"/>
      <c r="N190" s="25">
        <v>0.39439583333333322</v>
      </c>
      <c r="O190" s="25">
        <v>0.49214583333333328</v>
      </c>
      <c r="P190" s="25">
        <v>0.54733333333333356</v>
      </c>
      <c r="Q190" s="25">
        <v>0.55272916666666705</v>
      </c>
      <c r="R190" s="25">
        <v>0.55197916666666669</v>
      </c>
      <c r="S190" s="25">
        <v>0.43208333333333343</v>
      </c>
      <c r="T190" s="25">
        <v>0.43127083333333305</v>
      </c>
      <c r="U190" s="25">
        <v>0.37127083333333344</v>
      </c>
      <c r="V190" s="25">
        <v>-30.47</v>
      </c>
      <c r="W190" s="25">
        <v>-23.94437499999999</v>
      </c>
      <c r="X190" s="25">
        <v>-12.625208333333335</v>
      </c>
      <c r="Y190" s="25">
        <v>-13.200833333333337</v>
      </c>
      <c r="Z190" s="25">
        <v>-14.508541666666668</v>
      </c>
      <c r="AA190" s="25">
        <v>-15.135416666666657</v>
      </c>
      <c r="AB190" s="25">
        <v>-13.994374999999993</v>
      </c>
      <c r="AC190" s="25">
        <v>-14.516249999999994</v>
      </c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>
        <v>0.35365624999999989</v>
      </c>
      <c r="AU190" s="25">
        <v>0.16657692307692298</v>
      </c>
      <c r="AV190" s="25">
        <v>0.31106249999999996</v>
      </c>
      <c r="AW190" s="25"/>
      <c r="AX190" s="25"/>
      <c r="AY190" s="25"/>
      <c r="AZ190" s="25"/>
      <c r="BA190" s="25"/>
      <c r="BB190" s="25"/>
      <c r="BC190" s="25"/>
      <c r="BD190" s="25"/>
      <c r="BE190" s="25"/>
    </row>
    <row r="191" spans="1:57" x14ac:dyDescent="0.25">
      <c r="A191" s="1"/>
      <c r="B191" s="1"/>
      <c r="C191" s="22"/>
      <c r="D191" s="23">
        <v>43898</v>
      </c>
      <c r="E191" s="24"/>
      <c r="F191" s="24"/>
      <c r="G191" s="24"/>
      <c r="H191" s="24"/>
      <c r="I191" s="24"/>
      <c r="J191" s="24"/>
      <c r="K191" s="24"/>
      <c r="L191" s="24"/>
      <c r="M191" s="10"/>
      <c r="N191" s="25">
        <v>0.3957083333333335</v>
      </c>
      <c r="O191" s="25">
        <v>0.4950416666666666</v>
      </c>
      <c r="P191" s="25">
        <v>0.55045833333333327</v>
      </c>
      <c r="Q191" s="25">
        <v>0.55516666666666659</v>
      </c>
      <c r="R191" s="25">
        <v>0.55414583333333323</v>
      </c>
      <c r="S191" s="25">
        <v>0.43414583333333306</v>
      </c>
      <c r="T191" s="25">
        <v>0.43299999999999988</v>
      </c>
      <c r="U191" s="25">
        <v>0.37187499999999996</v>
      </c>
      <c r="V191" s="25">
        <v>-31.075416666666669</v>
      </c>
      <c r="W191" s="25">
        <v>-23.887916666666669</v>
      </c>
      <c r="X191" s="25">
        <v>-12.579166666666671</v>
      </c>
      <c r="Y191" s="25">
        <v>-13.15375</v>
      </c>
      <c r="Z191" s="25">
        <v>-14.979583333333338</v>
      </c>
      <c r="AA191" s="25">
        <v>-15.343958333333331</v>
      </c>
      <c r="AB191" s="25">
        <v>-14.213541666666666</v>
      </c>
      <c r="AC191" s="25">
        <v>-14.461875000000006</v>
      </c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>
        <v>0.34520000000000006</v>
      </c>
      <c r="AU191" s="25">
        <v>0.15723999999999999</v>
      </c>
      <c r="AV191" s="25">
        <v>0.30010416666666667</v>
      </c>
      <c r="AW191" s="25"/>
      <c r="AX191" s="25"/>
      <c r="AY191" s="25"/>
      <c r="AZ191" s="25"/>
      <c r="BA191" s="25"/>
      <c r="BB191" s="25"/>
      <c r="BC191" s="25"/>
      <c r="BD191" s="25"/>
      <c r="BE191" s="25"/>
    </row>
    <row r="192" spans="1:57" x14ac:dyDescent="0.25">
      <c r="A192" s="1"/>
      <c r="B192" s="1"/>
      <c r="C192" s="22"/>
      <c r="D192" s="23">
        <v>43899</v>
      </c>
      <c r="E192" s="24"/>
      <c r="F192" s="24"/>
      <c r="G192" s="24"/>
      <c r="H192" s="24"/>
      <c r="I192" s="24"/>
      <c r="J192" s="24"/>
      <c r="K192" s="24"/>
      <c r="L192" s="24"/>
      <c r="M192" s="10"/>
      <c r="N192" s="25">
        <v>0.39449999999999985</v>
      </c>
      <c r="O192" s="25">
        <v>0.49554166666666671</v>
      </c>
      <c r="P192" s="25">
        <v>0.55224999999999957</v>
      </c>
      <c r="Q192" s="25">
        <v>0.5577291666666665</v>
      </c>
      <c r="R192" s="25">
        <v>0.55339583333333331</v>
      </c>
      <c r="S192" s="25">
        <v>0.43495833333333284</v>
      </c>
      <c r="T192" s="25">
        <v>0.4343125000000001</v>
      </c>
      <c r="U192" s="25">
        <v>0.3722083333333332</v>
      </c>
      <c r="V192" s="25">
        <v>-33.632083333333334</v>
      </c>
      <c r="W192" s="25">
        <v>-24.543958333333336</v>
      </c>
      <c r="X192" s="25">
        <v>-12.577500000000002</v>
      </c>
      <c r="Y192" s="25">
        <v>-13.170833333333336</v>
      </c>
      <c r="Z192" s="25">
        <v>-15.989583333333336</v>
      </c>
      <c r="AA192" s="25">
        <v>-15.845624999999997</v>
      </c>
      <c r="AB192" s="25">
        <v>-14.468958333333333</v>
      </c>
      <c r="AC192" s="25">
        <v>-14.458958333333328</v>
      </c>
      <c r="AD192" s="25">
        <v>-8.9833333333333343</v>
      </c>
      <c r="AE192" s="25">
        <v>-9.8312499999999972</v>
      </c>
      <c r="AF192" s="25">
        <v>-9.3999999999999932</v>
      </c>
      <c r="AG192" s="25">
        <v>-10.100000000000009</v>
      </c>
      <c r="AH192" s="25">
        <v>-31.556250000000009</v>
      </c>
      <c r="AI192" s="25">
        <v>-9.5500000000000043</v>
      </c>
      <c r="AJ192" s="25">
        <v>-8.8999999999999932</v>
      </c>
      <c r="AK192" s="25">
        <v>-9.1000000000000068</v>
      </c>
      <c r="AL192" s="25">
        <v>16.027083333333334</v>
      </c>
      <c r="AM192" s="25">
        <v>15.293749999999998</v>
      </c>
      <c r="AN192" s="25">
        <v>14.604166666666679</v>
      </c>
      <c r="AO192" s="25">
        <v>14.310416666666656</v>
      </c>
      <c r="AP192" s="25">
        <v>16.502083333333335</v>
      </c>
      <c r="AQ192" s="25">
        <v>16.297916666666662</v>
      </c>
      <c r="AR192" s="25">
        <v>15.791666666666664</v>
      </c>
      <c r="AS192" s="25">
        <v>15.479166666666659</v>
      </c>
      <c r="AT192" s="25">
        <v>0.33233333333333337</v>
      </c>
      <c r="AU192" s="25">
        <v>0.14874999999999999</v>
      </c>
      <c r="AV192" s="25">
        <v>0.28637500000000005</v>
      </c>
      <c r="AW192" s="25"/>
      <c r="AX192" s="25"/>
      <c r="AY192" s="25"/>
      <c r="AZ192" s="25"/>
      <c r="BA192" s="25"/>
      <c r="BB192" s="25"/>
      <c r="BC192" s="25"/>
      <c r="BD192" s="25"/>
      <c r="BE192" s="25"/>
    </row>
    <row r="193" spans="1:57" x14ac:dyDescent="0.25">
      <c r="A193" s="1"/>
      <c r="B193" s="1"/>
      <c r="C193" s="22"/>
      <c r="D193" s="23">
        <v>43900</v>
      </c>
      <c r="E193" s="24"/>
      <c r="F193" s="24"/>
      <c r="G193" s="24"/>
      <c r="H193" s="24"/>
      <c r="I193" s="24"/>
      <c r="J193" s="24"/>
      <c r="K193" s="24"/>
      <c r="L193" s="24"/>
      <c r="M193" s="10"/>
      <c r="N193" s="25">
        <v>0.38762500000000011</v>
      </c>
      <c r="O193" s="25">
        <v>0.49045833333333327</v>
      </c>
      <c r="P193" s="25">
        <v>0.54889583333333336</v>
      </c>
      <c r="Q193" s="25">
        <v>0.55731249999999977</v>
      </c>
      <c r="R193" s="25">
        <v>0.54643750000000013</v>
      </c>
      <c r="S193" s="25">
        <v>0.43189583333333309</v>
      </c>
      <c r="T193" s="25">
        <v>0.43366666666666642</v>
      </c>
      <c r="U193" s="25">
        <v>0.37229166666666663</v>
      </c>
      <c r="V193" s="25">
        <v>-39.77375</v>
      </c>
      <c r="W193" s="25">
        <v>-26.775208333333335</v>
      </c>
      <c r="X193" s="25">
        <v>-12.71291666666666</v>
      </c>
      <c r="Y193" s="25">
        <v>-13.230625000000002</v>
      </c>
      <c r="Z193" s="25">
        <v>-17.653749999999999</v>
      </c>
      <c r="AA193" s="25">
        <v>-16.449166666666667</v>
      </c>
      <c r="AB193" s="25">
        <v>-14.775833333333329</v>
      </c>
      <c r="AC193" s="25">
        <v>-14.662083333333328</v>
      </c>
      <c r="AD193" s="25">
        <v>-9.0020833333333332</v>
      </c>
      <c r="AE193" s="25">
        <v>-9.9750000000000103</v>
      </c>
      <c r="AF193" s="25">
        <v>-9.3999999999999932</v>
      </c>
      <c r="AG193" s="25">
        <v>-10.100000000000009</v>
      </c>
      <c r="AH193" s="25">
        <v>-37.725000000000001</v>
      </c>
      <c r="AI193" s="25">
        <v>-9.6000000000000085</v>
      </c>
      <c r="AJ193" s="25">
        <v>-8.8999999999999932</v>
      </c>
      <c r="AK193" s="25">
        <v>-9.1041666666666732</v>
      </c>
      <c r="AL193" s="25">
        <v>14.795833333333327</v>
      </c>
      <c r="AM193" s="25">
        <v>14.964583333333344</v>
      </c>
      <c r="AN193" s="25">
        <v>14.679166666666669</v>
      </c>
      <c r="AO193" s="25">
        <v>14.5</v>
      </c>
      <c r="AP193" s="25">
        <v>13.758333333333335</v>
      </c>
      <c r="AQ193" s="25">
        <v>14.958333333333329</v>
      </c>
      <c r="AR193" s="25">
        <v>15.050000000000002</v>
      </c>
      <c r="AS193" s="25">
        <v>15.029166666666676</v>
      </c>
      <c r="AT193" s="25">
        <v>0.32062500000000016</v>
      </c>
      <c r="AU193" s="25">
        <v>0.14265789473684209</v>
      </c>
      <c r="AV193" s="25">
        <v>0.27558333333333351</v>
      </c>
      <c r="AW193" s="25"/>
      <c r="AX193" s="25"/>
      <c r="AY193" s="25"/>
      <c r="AZ193" s="25"/>
      <c r="BA193" s="25"/>
      <c r="BB193" s="25"/>
      <c r="BC193" s="25"/>
      <c r="BD193" s="25"/>
      <c r="BE193" s="25"/>
    </row>
    <row r="194" spans="1:57" x14ac:dyDescent="0.25">
      <c r="A194" s="1"/>
      <c r="B194" s="1"/>
      <c r="C194" s="22"/>
      <c r="D194" s="23">
        <v>43901</v>
      </c>
      <c r="E194" s="24"/>
      <c r="F194" s="24"/>
      <c r="G194" s="24"/>
      <c r="H194" s="24"/>
      <c r="I194" s="24"/>
      <c r="J194" s="24"/>
      <c r="K194" s="24"/>
      <c r="L194" s="24"/>
      <c r="M194" s="10"/>
      <c r="N194" s="25">
        <v>0.38170833333333337</v>
      </c>
      <c r="O194" s="25">
        <v>0.48395833333333349</v>
      </c>
      <c r="P194" s="25">
        <v>0.54302083333333362</v>
      </c>
      <c r="Q194" s="25">
        <v>0.55400000000000027</v>
      </c>
      <c r="R194" s="25">
        <v>0.53960416666666666</v>
      </c>
      <c r="S194" s="25">
        <v>0.42793750000000003</v>
      </c>
      <c r="T194" s="25">
        <v>0.43135416666666648</v>
      </c>
      <c r="U194" s="25">
        <v>0.3709791666666668</v>
      </c>
      <c r="V194" s="25">
        <v>-45.667916666666663</v>
      </c>
      <c r="W194" s="25">
        <v>-29.611250000000002</v>
      </c>
      <c r="X194" s="25">
        <v>-12.886875000000005</v>
      </c>
      <c r="Y194" s="25">
        <v>-13.38854166666667</v>
      </c>
      <c r="Z194" s="25">
        <v>-19.413750000000004</v>
      </c>
      <c r="AA194" s="25">
        <v>-16.882083333333334</v>
      </c>
      <c r="AB194" s="25">
        <v>-14.940208333333329</v>
      </c>
      <c r="AC194" s="25">
        <v>-14.88104166666667</v>
      </c>
      <c r="AD194" s="25">
        <v>-9.0854166666666742</v>
      </c>
      <c r="AE194" s="25">
        <v>-10.100000000000009</v>
      </c>
      <c r="AF194" s="25">
        <v>-9.3999999999999932</v>
      </c>
      <c r="AG194" s="25">
        <v>-10.100000000000009</v>
      </c>
      <c r="AH194" s="25">
        <v>-43.6875</v>
      </c>
      <c r="AI194" s="25">
        <v>-9.6000000000000085</v>
      </c>
      <c r="AJ194" s="25">
        <v>-8.8999999999999932</v>
      </c>
      <c r="AK194" s="25">
        <v>-9.1000000000000068</v>
      </c>
      <c r="AL194" s="25">
        <v>13.666666666666666</v>
      </c>
      <c r="AM194" s="25">
        <v>14.195833333333333</v>
      </c>
      <c r="AN194" s="25">
        <v>14.291666666666677</v>
      </c>
      <c r="AO194" s="25">
        <v>14.304166666666681</v>
      </c>
      <c r="AP194" s="25">
        <v>12.558333333333325</v>
      </c>
      <c r="AQ194" s="25">
        <v>13.60624999999999</v>
      </c>
      <c r="AR194" s="25">
        <v>13.891666666666671</v>
      </c>
      <c r="AS194" s="25">
        <v>14.050000000000011</v>
      </c>
      <c r="AT194" s="25">
        <v>0.31397916666666686</v>
      </c>
      <c r="AU194" s="25">
        <v>0.14078048780487804</v>
      </c>
      <c r="AV194" s="25">
        <v>0.27037499999999975</v>
      </c>
      <c r="AW194" s="25"/>
      <c r="AX194" s="25"/>
      <c r="AY194" s="25"/>
      <c r="AZ194" s="25"/>
      <c r="BA194" s="25"/>
      <c r="BB194" s="25"/>
      <c r="BC194" s="25"/>
      <c r="BD194" s="25"/>
      <c r="BE194" s="25"/>
    </row>
    <row r="195" spans="1:57" x14ac:dyDescent="0.25">
      <c r="A195" s="1"/>
      <c r="B195" s="1"/>
      <c r="C195" s="22"/>
      <c r="D195" s="23">
        <v>43902</v>
      </c>
      <c r="E195" s="24"/>
      <c r="F195" s="24"/>
      <c r="G195" s="24"/>
      <c r="H195" s="24"/>
      <c r="I195" s="24"/>
      <c r="J195" s="24"/>
      <c r="K195" s="24"/>
      <c r="L195" s="24"/>
      <c r="M195" s="10"/>
      <c r="N195" s="25">
        <v>0.38085416666666677</v>
      </c>
      <c r="O195" s="25">
        <v>0.48239583333333319</v>
      </c>
      <c r="P195" s="25">
        <v>0.54093750000000007</v>
      </c>
      <c r="Q195" s="25">
        <v>0.55152083333333268</v>
      </c>
      <c r="R195" s="25">
        <v>0.53920833333333362</v>
      </c>
      <c r="S195" s="25">
        <v>0.42664583333333345</v>
      </c>
      <c r="T195" s="25">
        <v>0.42962499999999965</v>
      </c>
      <c r="U195" s="25">
        <v>0.37010416666666646</v>
      </c>
      <c r="V195" s="25">
        <v>-47.541458333333331</v>
      </c>
      <c r="W195" s="25">
        <v>-31.46083333333333</v>
      </c>
      <c r="X195" s="25">
        <v>-12.983125000000003</v>
      </c>
      <c r="Y195" s="25">
        <v>-13.445</v>
      </c>
      <c r="Z195" s="25">
        <v>-20.671874999999996</v>
      </c>
      <c r="AA195" s="25">
        <v>-17.107708333333331</v>
      </c>
      <c r="AB195" s="25">
        <v>-15.069583333333341</v>
      </c>
      <c r="AC195" s="25">
        <v>-15.050833333333335</v>
      </c>
      <c r="AD195" s="25">
        <v>-9.1729166666666586</v>
      </c>
      <c r="AE195" s="25">
        <v>-10.116666666666669</v>
      </c>
      <c r="AF195" s="25">
        <v>-9.3999999999999932</v>
      </c>
      <c r="AG195" s="25">
        <v>-10.116666666666669</v>
      </c>
      <c r="AH195" s="25">
        <v>-46.416666666666664</v>
      </c>
      <c r="AI195" s="25">
        <v>-9.6000000000000085</v>
      </c>
      <c r="AJ195" s="25">
        <v>-8.8999999999999932</v>
      </c>
      <c r="AK195" s="25">
        <v>-9.1000000000000068</v>
      </c>
      <c r="AL195" s="25">
        <v>14.004166666666663</v>
      </c>
      <c r="AM195" s="25">
        <v>13.847916666666665</v>
      </c>
      <c r="AN195" s="25">
        <v>13.922916666666652</v>
      </c>
      <c r="AO195" s="25">
        <v>13.993749999999991</v>
      </c>
      <c r="AP195" s="25">
        <v>14.11458333333333</v>
      </c>
      <c r="AQ195" s="25">
        <v>13.785416666666668</v>
      </c>
      <c r="AR195" s="25">
        <v>13.652083333333328</v>
      </c>
      <c r="AS195" s="25">
        <v>13.658333333333337</v>
      </c>
      <c r="AT195" s="25">
        <v>0.31146808510638302</v>
      </c>
      <c r="AU195" s="25">
        <v>0.1406363636363637</v>
      </c>
      <c r="AV195" s="25">
        <v>0.26952083333333354</v>
      </c>
      <c r="AW195" s="25"/>
      <c r="AX195" s="25"/>
      <c r="AY195" s="25"/>
      <c r="AZ195" s="25"/>
      <c r="BA195" s="25"/>
      <c r="BB195" s="25"/>
      <c r="BC195" s="25"/>
      <c r="BD195" s="25"/>
      <c r="BE195" s="25"/>
    </row>
    <row r="196" spans="1:57" x14ac:dyDescent="0.25">
      <c r="A196" s="1"/>
      <c r="B196" s="1"/>
      <c r="C196" s="22"/>
      <c r="D196" s="23">
        <v>43903</v>
      </c>
      <c r="E196" s="24"/>
      <c r="F196" s="24"/>
      <c r="G196" s="24"/>
      <c r="H196" s="24"/>
      <c r="I196" s="24"/>
      <c r="J196" s="24"/>
      <c r="K196" s="24"/>
      <c r="L196" s="24"/>
      <c r="M196" s="10"/>
      <c r="N196" s="25">
        <v>0.38250000000000023</v>
      </c>
      <c r="O196" s="25">
        <v>0.48466666666666702</v>
      </c>
      <c r="P196" s="25">
        <v>0.54349999999999976</v>
      </c>
      <c r="Q196" s="25">
        <v>0.55281250000000048</v>
      </c>
      <c r="R196" s="25">
        <v>0.54110416666666661</v>
      </c>
      <c r="S196" s="25">
        <v>0.42758333333333326</v>
      </c>
      <c r="T196" s="25">
        <v>0.42999999999999977</v>
      </c>
      <c r="U196" s="25">
        <v>0.36952083333333313</v>
      </c>
      <c r="V196" s="25">
        <v>-48.518958333333337</v>
      </c>
      <c r="W196" s="25">
        <v>-32.598750000000003</v>
      </c>
      <c r="X196" s="25">
        <v>-12.996458333333335</v>
      </c>
      <c r="Y196" s="25">
        <v>-13.496666666666663</v>
      </c>
      <c r="Z196" s="25">
        <v>-21.982916666666668</v>
      </c>
      <c r="AA196" s="25">
        <v>-17.385833333333331</v>
      </c>
      <c r="AB196" s="25">
        <v>-15.343541666666662</v>
      </c>
      <c r="AC196" s="25">
        <v>-15.103749999999991</v>
      </c>
      <c r="AD196" s="25">
        <v>-9.2645833333333396</v>
      </c>
      <c r="AE196" s="25">
        <v>-10.199999999999992</v>
      </c>
      <c r="AF196" s="25">
        <v>-9.3999999999999932</v>
      </c>
      <c r="AG196" s="25">
        <v>-10.183333333333325</v>
      </c>
      <c r="AH196" s="25">
        <v>-48.312499999999993</v>
      </c>
      <c r="AI196" s="25">
        <v>-9.639583333333329</v>
      </c>
      <c r="AJ196" s="25">
        <v>-8.8999999999999932</v>
      </c>
      <c r="AK196" s="25">
        <v>-9.1062500000000046</v>
      </c>
      <c r="AL196" s="25">
        <v>14.810416666666661</v>
      </c>
      <c r="AM196" s="25">
        <v>14.427083333333323</v>
      </c>
      <c r="AN196" s="25">
        <v>14.079166666666682</v>
      </c>
      <c r="AO196" s="25">
        <v>14.01875000000001</v>
      </c>
      <c r="AP196" s="25">
        <v>14.808333333333332</v>
      </c>
      <c r="AQ196" s="25">
        <v>14.827083333333333</v>
      </c>
      <c r="AR196" s="25">
        <v>14.543749999999998</v>
      </c>
      <c r="AS196" s="25">
        <v>14.370833333333328</v>
      </c>
      <c r="AT196" s="25">
        <v>0.30537500000000006</v>
      </c>
      <c r="AU196" s="25">
        <v>0.13746511627906985</v>
      </c>
      <c r="AV196" s="25">
        <v>0.26589583333333328</v>
      </c>
      <c r="AW196" s="25"/>
      <c r="AX196" s="25"/>
      <c r="AY196" s="25"/>
      <c r="AZ196" s="25"/>
      <c r="BA196" s="25"/>
      <c r="BB196" s="25"/>
      <c r="BC196" s="25"/>
      <c r="BD196" s="25"/>
      <c r="BE196" s="25"/>
    </row>
    <row r="197" spans="1:57" x14ac:dyDescent="0.25">
      <c r="A197" s="1">
        <v>15.7</v>
      </c>
      <c r="B197" s="1">
        <v>11.1</v>
      </c>
      <c r="C197" s="22"/>
      <c r="D197" s="23">
        <v>43904</v>
      </c>
      <c r="E197" s="24"/>
      <c r="F197" s="24"/>
      <c r="G197" s="24"/>
      <c r="H197" s="24"/>
      <c r="I197" s="24"/>
      <c r="J197" s="24"/>
      <c r="K197" s="24"/>
      <c r="L197" s="24"/>
      <c r="M197" s="10"/>
      <c r="N197" s="25">
        <v>0.37854166666666672</v>
      </c>
      <c r="O197" s="25">
        <v>0.4822291666666671</v>
      </c>
      <c r="P197" s="25">
        <v>0.541875</v>
      </c>
      <c r="Q197" s="25">
        <v>0.55254166666666671</v>
      </c>
      <c r="R197" s="25">
        <v>0.53741666666666676</v>
      </c>
      <c r="S197" s="25">
        <v>0.42614583333333328</v>
      </c>
      <c r="T197" s="25">
        <v>0.42968749999999956</v>
      </c>
      <c r="U197" s="25">
        <v>0.36906249999999985</v>
      </c>
      <c r="V197" s="25">
        <v>-53.274166666666666</v>
      </c>
      <c r="W197" s="25">
        <v>-35.607708333333328</v>
      </c>
      <c r="X197" s="25">
        <v>-13.128958333333332</v>
      </c>
      <c r="Y197" s="25">
        <v>-13.580416666666663</v>
      </c>
      <c r="Z197" s="25">
        <v>-24.000208333333333</v>
      </c>
      <c r="AA197" s="25">
        <v>-17.991874999999997</v>
      </c>
      <c r="AB197" s="25">
        <v>-15.684374999999998</v>
      </c>
      <c r="AC197" s="25">
        <v>-15.234166666666667</v>
      </c>
      <c r="AD197" s="25">
        <v>-9.4645833333333389</v>
      </c>
      <c r="AE197" s="25">
        <v>-10.245833333333335</v>
      </c>
      <c r="AF197" s="25">
        <v>-9.3999999999999932</v>
      </c>
      <c r="AG197" s="25">
        <v>-10.199999999999992</v>
      </c>
      <c r="AH197" s="25">
        <v>-52.65416666666669</v>
      </c>
      <c r="AI197" s="25">
        <v>-9.6999999999999922</v>
      </c>
      <c r="AJ197" s="25">
        <v>-8.8999999999999932</v>
      </c>
      <c r="AK197" s="25">
        <v>-9.1645833333333258</v>
      </c>
      <c r="AL197" s="25">
        <v>14.375000000000002</v>
      </c>
      <c r="AM197" s="25">
        <v>14.34375</v>
      </c>
      <c r="AN197" s="25">
        <v>14.170833333333334</v>
      </c>
      <c r="AO197" s="25">
        <v>14.10000000000001</v>
      </c>
      <c r="AP197" s="25">
        <v>14.016666666666667</v>
      </c>
      <c r="AQ197" s="25">
        <v>14.424999999999997</v>
      </c>
      <c r="AR197" s="25">
        <v>14.358333333333327</v>
      </c>
      <c r="AS197" s="25">
        <v>14.308333333333344</v>
      </c>
      <c r="AT197" s="25">
        <v>0.2967291666666666</v>
      </c>
      <c r="AU197" s="25">
        <v>0.13468749999999999</v>
      </c>
      <c r="AV197" s="25">
        <v>0.26131249999999989</v>
      </c>
      <c r="AW197" s="25"/>
      <c r="AX197" s="25"/>
      <c r="AY197" s="25"/>
      <c r="AZ197" s="25"/>
      <c r="BA197" s="25"/>
      <c r="BB197" s="25"/>
      <c r="BC197" s="25"/>
      <c r="BD197" s="25"/>
      <c r="BE197" s="25"/>
    </row>
    <row r="198" spans="1:57" x14ac:dyDescent="0.25">
      <c r="A198" s="1">
        <v>12.1</v>
      </c>
      <c r="B198" s="1">
        <v>8.6</v>
      </c>
      <c r="C198" s="22"/>
      <c r="D198" s="23">
        <v>43905</v>
      </c>
      <c r="E198" s="24">
        <v>22.020833333333332</v>
      </c>
      <c r="F198" s="24">
        <v>85.443750000000023</v>
      </c>
      <c r="G198" s="24">
        <v>10.11875</v>
      </c>
      <c r="H198" s="24">
        <v>0.60000000000000009</v>
      </c>
      <c r="I198" s="24">
        <v>225</v>
      </c>
      <c r="J198" s="24">
        <v>6.5</v>
      </c>
      <c r="K198" s="24">
        <v>0.5</v>
      </c>
      <c r="L198" s="24">
        <v>7.75</v>
      </c>
      <c r="M198" s="10">
        <v>0.18291609093626657</v>
      </c>
      <c r="N198" s="25">
        <v>0.37456250000000008</v>
      </c>
      <c r="O198" s="25">
        <v>0.47900000000000031</v>
      </c>
      <c r="P198" s="25">
        <v>0.53927083333333325</v>
      </c>
      <c r="Q198" s="25">
        <v>0.55131249999999932</v>
      </c>
      <c r="R198" s="25">
        <v>0.53341666666666676</v>
      </c>
      <c r="S198" s="25">
        <v>0.42366666666666641</v>
      </c>
      <c r="T198" s="25">
        <v>0.42860416666666706</v>
      </c>
      <c r="U198" s="25">
        <v>0.36883333333333329</v>
      </c>
      <c r="V198" s="25">
        <v>-58.334166666666668</v>
      </c>
      <c r="W198" s="25">
        <v>-39.20291666666666</v>
      </c>
      <c r="X198" s="25">
        <v>-13.341041666666667</v>
      </c>
      <c r="Y198" s="25">
        <v>-13.73354166666666</v>
      </c>
      <c r="Z198" s="25">
        <v>-26.147083333333338</v>
      </c>
      <c r="AA198" s="25">
        <v>-18.598333333333333</v>
      </c>
      <c r="AB198" s="25">
        <v>-16.010625000000001</v>
      </c>
      <c r="AC198" s="25">
        <v>-15.399791666666665</v>
      </c>
      <c r="AD198" s="25">
        <v>-10.064583333333333</v>
      </c>
      <c r="AE198" s="25">
        <v>-10.300000000000008</v>
      </c>
      <c r="AF198" s="25">
        <v>-9.4083333333333261</v>
      </c>
      <c r="AG198" s="25">
        <v>-10.199999999999992</v>
      </c>
      <c r="AH198" s="25">
        <v>-58.385416666666686</v>
      </c>
      <c r="AI198" s="25">
        <v>-9.8854166666666661</v>
      </c>
      <c r="AJ198" s="25">
        <v>-8.8999999999999932</v>
      </c>
      <c r="AK198" s="25">
        <v>-9.1999999999999922</v>
      </c>
      <c r="AL198" s="25">
        <v>13.864583333333337</v>
      </c>
      <c r="AM198" s="25">
        <v>14.106250000000001</v>
      </c>
      <c r="AN198" s="25">
        <v>14.066666666666672</v>
      </c>
      <c r="AO198" s="25">
        <v>14.079166666666673</v>
      </c>
      <c r="AP198" s="25">
        <v>13.179166666666665</v>
      </c>
      <c r="AQ198" s="25">
        <v>13.918750000000003</v>
      </c>
      <c r="AR198" s="25">
        <v>13.981250000000008</v>
      </c>
      <c r="AS198" s="25">
        <v>14.022916666666655</v>
      </c>
      <c r="AT198" s="25">
        <v>0.28882222222222242</v>
      </c>
      <c r="AU198" s="25">
        <v>0.13222916666666659</v>
      </c>
      <c r="AV198" s="25">
        <v>0.25793749999999976</v>
      </c>
      <c r="AW198" s="25"/>
      <c r="AX198" s="25"/>
      <c r="AY198" s="25"/>
      <c r="AZ198" s="25"/>
      <c r="BA198" s="25"/>
      <c r="BB198" s="25"/>
      <c r="BC198" s="25"/>
      <c r="BD198" s="25"/>
      <c r="BE198" s="25"/>
    </row>
    <row r="199" spans="1:57" x14ac:dyDescent="0.25">
      <c r="A199" s="1">
        <v>12.3</v>
      </c>
      <c r="B199" s="1">
        <v>8.6999999999999993</v>
      </c>
      <c r="C199" s="22"/>
      <c r="D199" s="23">
        <v>43906</v>
      </c>
      <c r="E199" s="24">
        <v>28.75</v>
      </c>
      <c r="F199" s="24">
        <v>96.06666666666672</v>
      </c>
      <c r="G199" s="24">
        <v>9.8208333333333346</v>
      </c>
      <c r="H199" s="24">
        <v>2.3000000000000003</v>
      </c>
      <c r="I199" s="24">
        <v>194.9375</v>
      </c>
      <c r="J199" s="24">
        <v>4.041666666666667</v>
      </c>
      <c r="K199" s="24">
        <v>0</v>
      </c>
      <c r="L199" s="24">
        <v>9.2124999999999968</v>
      </c>
      <c r="M199" s="10">
        <v>4.8858355736501623E-2</v>
      </c>
      <c r="N199" s="25">
        <v>0.37147916666666675</v>
      </c>
      <c r="O199" s="25">
        <v>0.47645833333333282</v>
      </c>
      <c r="P199" s="25">
        <v>0.53729166666666661</v>
      </c>
      <c r="Q199" s="25">
        <v>0.5500833333333337</v>
      </c>
      <c r="R199" s="25">
        <v>0.53077083333333297</v>
      </c>
      <c r="S199" s="25">
        <v>0.42187500000000017</v>
      </c>
      <c r="T199" s="25">
        <v>0.42733333333333312</v>
      </c>
      <c r="U199" s="25">
        <v>0.36868749999999983</v>
      </c>
      <c r="V199" s="25">
        <v>-63.01750000000002</v>
      </c>
      <c r="W199" s="25">
        <v>-42.630833333333349</v>
      </c>
      <c r="X199" s="25">
        <v>-13.803749999999996</v>
      </c>
      <c r="Y199" s="25">
        <v>-13.882291666666667</v>
      </c>
      <c r="Z199" s="25">
        <v>-27.907916666666669</v>
      </c>
      <c r="AA199" s="25">
        <v>-18.935833333333331</v>
      </c>
      <c r="AB199" s="25">
        <v>-16.322708333333328</v>
      </c>
      <c r="AC199" s="25">
        <v>-15.631666666666673</v>
      </c>
      <c r="AD199" s="25">
        <v>-10.99375</v>
      </c>
      <c r="AE199" s="25">
        <v>-10.377083333333324</v>
      </c>
      <c r="AF199" s="25">
        <v>-9.4270833333333286</v>
      </c>
      <c r="AG199" s="25">
        <v>-10.199999999999992</v>
      </c>
      <c r="AH199" s="25">
        <v>-65.524999999999991</v>
      </c>
      <c r="AI199" s="25">
        <v>-10.012500000000003</v>
      </c>
      <c r="AJ199" s="25">
        <v>-8.8999999999999932</v>
      </c>
      <c r="AK199" s="25">
        <v>-9.1999999999999922</v>
      </c>
      <c r="AL199" s="25">
        <v>13.439583333333333</v>
      </c>
      <c r="AM199" s="25">
        <v>13.710416666666674</v>
      </c>
      <c r="AN199" s="25">
        <v>13.833333333333343</v>
      </c>
      <c r="AO199" s="25">
        <v>13.933333333333318</v>
      </c>
      <c r="AP199" s="25">
        <v>12.804166666666667</v>
      </c>
      <c r="AQ199" s="25">
        <v>13.406249999999998</v>
      </c>
      <c r="AR199" s="25">
        <v>13.499999999999991</v>
      </c>
      <c r="AS199" s="25">
        <v>13.56875</v>
      </c>
      <c r="AT199" s="25">
        <v>0.28682051282051296</v>
      </c>
      <c r="AU199" s="25">
        <v>0.13212500000000002</v>
      </c>
      <c r="AV199" s="25">
        <v>0.2566458333333333</v>
      </c>
      <c r="AW199" s="25"/>
      <c r="AX199" s="25"/>
      <c r="AY199" s="25"/>
      <c r="AZ199" s="25"/>
      <c r="BA199" s="25"/>
      <c r="BB199" s="25"/>
      <c r="BC199" s="25"/>
      <c r="BD199" s="25"/>
      <c r="BE199" s="25"/>
    </row>
    <row r="200" spans="1:57" x14ac:dyDescent="0.25">
      <c r="A200" s="1">
        <v>13.1</v>
      </c>
      <c r="B200" s="1">
        <v>7.4</v>
      </c>
      <c r="C200" s="22"/>
      <c r="D200" s="23">
        <v>43907</v>
      </c>
      <c r="E200" s="24">
        <v>68.104166666666671</v>
      </c>
      <c r="F200" s="24">
        <v>83.28958333333334</v>
      </c>
      <c r="G200" s="24">
        <v>9.7541666666666664</v>
      </c>
      <c r="H200" s="24">
        <v>1.2</v>
      </c>
      <c r="I200" s="24">
        <v>176.58333333333334</v>
      </c>
      <c r="J200" s="24">
        <v>3.7083333333333335</v>
      </c>
      <c r="K200" s="24">
        <v>0</v>
      </c>
      <c r="L200" s="24">
        <v>6.9333333333333336</v>
      </c>
      <c r="M200" s="10">
        <v>0.21605204823359239</v>
      </c>
      <c r="N200" s="25">
        <v>0.36929166666666657</v>
      </c>
      <c r="O200" s="25">
        <v>0.47462500000000002</v>
      </c>
      <c r="P200" s="25">
        <v>0.53520833333333295</v>
      </c>
      <c r="Q200" s="25">
        <v>0.54835416666666692</v>
      </c>
      <c r="R200" s="25">
        <v>0.52843749999999978</v>
      </c>
      <c r="S200" s="25">
        <v>0.42050000000000032</v>
      </c>
      <c r="T200" s="25">
        <v>0.4264999999999996</v>
      </c>
      <c r="U200" s="25">
        <v>0.36762500000000037</v>
      </c>
      <c r="V200" s="25">
        <v>-67.083958333333328</v>
      </c>
      <c r="W200" s="25">
        <v>-45.558958333333322</v>
      </c>
      <c r="X200" s="25">
        <v>-14.239791666666664</v>
      </c>
      <c r="Y200" s="25">
        <v>-14.052083333333329</v>
      </c>
      <c r="Z200" s="25">
        <v>-29.207499999999996</v>
      </c>
      <c r="AA200" s="25">
        <v>-19.181041666666665</v>
      </c>
      <c r="AB200" s="25">
        <v>-16.495416666666664</v>
      </c>
      <c r="AC200" s="25">
        <v>-15.83145833333333</v>
      </c>
      <c r="AD200" s="25">
        <v>-11.702083333333333</v>
      </c>
      <c r="AE200" s="25">
        <v>-10.406249999999991</v>
      </c>
      <c r="AF200" s="25">
        <v>-9.418749999999994</v>
      </c>
      <c r="AG200" s="25">
        <v>-10.199999999999992</v>
      </c>
      <c r="AH200" s="25">
        <v>-69.95</v>
      </c>
      <c r="AI200" s="25">
        <v>-10.143749999999994</v>
      </c>
      <c r="AJ200" s="25">
        <v>-8.8999999999999932</v>
      </c>
      <c r="AK200" s="25">
        <v>-9.1999999999999922</v>
      </c>
      <c r="AL200" s="25">
        <v>13.172916666666659</v>
      </c>
      <c r="AM200" s="25">
        <v>13.470833333333319</v>
      </c>
      <c r="AN200" s="25">
        <v>13.600000000000007</v>
      </c>
      <c r="AO200" s="25">
        <v>13.685416666666667</v>
      </c>
      <c r="AP200" s="25">
        <v>12.47291666666667</v>
      </c>
      <c r="AQ200" s="25">
        <v>13.075000000000005</v>
      </c>
      <c r="AR200" s="25">
        <v>13.204166666666682</v>
      </c>
      <c r="AS200" s="25">
        <v>13.275000000000011</v>
      </c>
      <c r="AT200" s="25">
        <v>0.28802702702702715</v>
      </c>
      <c r="AU200" s="25">
        <v>0.13654166666666676</v>
      </c>
      <c r="AV200" s="25">
        <v>0.25666666666666649</v>
      </c>
      <c r="AW200" s="25"/>
      <c r="AX200" s="25"/>
      <c r="AY200" s="25"/>
      <c r="AZ200" s="25"/>
      <c r="BA200" s="25"/>
      <c r="BB200" s="25"/>
      <c r="BC200" s="25"/>
      <c r="BD200" s="25"/>
      <c r="BE200" s="25"/>
    </row>
    <row r="201" spans="1:57" x14ac:dyDescent="0.25">
      <c r="A201" s="1">
        <v>14.8</v>
      </c>
      <c r="B201" s="1">
        <v>7.4</v>
      </c>
      <c r="C201" s="22"/>
      <c r="D201" s="23">
        <v>43908</v>
      </c>
      <c r="E201" s="24">
        <v>58.208333333333336</v>
      </c>
      <c r="F201" s="24">
        <v>80.291666666666686</v>
      </c>
      <c r="G201" s="24">
        <v>10.597916666666668</v>
      </c>
      <c r="H201" s="24">
        <v>0</v>
      </c>
      <c r="I201" s="24">
        <v>154.20833333333334</v>
      </c>
      <c r="J201" s="24">
        <v>1.2916666666666667</v>
      </c>
      <c r="K201" s="24">
        <v>0</v>
      </c>
      <c r="L201" s="24">
        <v>7.2729166666666663</v>
      </c>
      <c r="M201" s="10">
        <v>0.26643627566450007</v>
      </c>
      <c r="N201" s="25">
        <v>0.36706250000000012</v>
      </c>
      <c r="O201" s="25">
        <v>0.47293750000000023</v>
      </c>
      <c r="P201" s="25">
        <v>0.53364583333333393</v>
      </c>
      <c r="Q201" s="25">
        <v>0.54668749999999999</v>
      </c>
      <c r="R201" s="25">
        <v>0.52668750000000031</v>
      </c>
      <c r="S201" s="25">
        <v>0.41935416666666692</v>
      </c>
      <c r="T201" s="25">
        <v>0.42512500000000003</v>
      </c>
      <c r="U201" s="25">
        <v>0.36662499999999998</v>
      </c>
      <c r="V201" s="25">
        <v>-70.143333333333359</v>
      </c>
      <c r="W201" s="25">
        <v>-48.604166666666657</v>
      </c>
      <c r="X201" s="25">
        <v>-14.589166666666669</v>
      </c>
      <c r="Y201" s="25">
        <v>-14.243124999999999</v>
      </c>
      <c r="Z201" s="25">
        <v>-30.291250000000002</v>
      </c>
      <c r="AA201" s="25">
        <v>-19.621458333333333</v>
      </c>
      <c r="AB201" s="25">
        <v>-16.728124999999995</v>
      </c>
      <c r="AC201" s="25">
        <v>-16.040208333333336</v>
      </c>
      <c r="AD201" s="25">
        <v>-12.577083333333334</v>
      </c>
      <c r="AE201" s="25">
        <v>-10.491666666666667</v>
      </c>
      <c r="AF201" s="25">
        <v>-9.4395833333333297</v>
      </c>
      <c r="AG201" s="25">
        <v>-10.256250000000005</v>
      </c>
      <c r="AH201" s="25">
        <v>-71.454166666666694</v>
      </c>
      <c r="AI201" s="25">
        <v>-10.314583333333328</v>
      </c>
      <c r="AJ201" s="25">
        <v>-8.8999999999999932</v>
      </c>
      <c r="AK201" s="25">
        <v>-9.1999999999999922</v>
      </c>
      <c r="AL201" s="25">
        <v>13.056249999999999</v>
      </c>
      <c r="AM201" s="25">
        <v>13.299999999999997</v>
      </c>
      <c r="AN201" s="25">
        <v>13.452083333333322</v>
      </c>
      <c r="AO201" s="25">
        <v>13.558333333333337</v>
      </c>
      <c r="AP201" s="25">
        <v>12.420833333333336</v>
      </c>
      <c r="AQ201" s="25">
        <v>12.937500000000002</v>
      </c>
      <c r="AR201" s="25">
        <v>13.037499999999996</v>
      </c>
      <c r="AS201" s="25">
        <v>13.093750000000005</v>
      </c>
      <c r="AT201" s="25">
        <v>0.2840625</v>
      </c>
      <c r="AU201" s="25">
        <v>0.13641304347826094</v>
      </c>
      <c r="AV201" s="25">
        <v>0.25620833333333309</v>
      </c>
      <c r="AW201" s="25"/>
      <c r="AX201" s="25"/>
      <c r="AY201" s="25"/>
      <c r="AZ201" s="25"/>
      <c r="BA201" s="25"/>
      <c r="BB201" s="25"/>
      <c r="BC201" s="25"/>
      <c r="BD201" s="25"/>
      <c r="BE201" s="25"/>
    </row>
    <row r="202" spans="1:57" x14ac:dyDescent="0.25">
      <c r="A202" s="1">
        <v>22.3</v>
      </c>
      <c r="B202" s="1">
        <v>8.3000000000000007</v>
      </c>
      <c r="C202" s="22"/>
      <c r="D202" s="23">
        <v>43909</v>
      </c>
      <c r="E202" s="24">
        <v>200.02083333333334</v>
      </c>
      <c r="F202" s="24">
        <v>56.233333333333327</v>
      </c>
      <c r="G202" s="24">
        <v>14.375000000000002</v>
      </c>
      <c r="H202" s="24">
        <v>0</v>
      </c>
      <c r="I202" s="24">
        <v>211.79166666666666</v>
      </c>
      <c r="J202" s="24">
        <v>6.395833333333333</v>
      </c>
      <c r="K202" s="24">
        <v>0.45833333333333331</v>
      </c>
      <c r="L202" s="24">
        <v>5.2916666666666661</v>
      </c>
      <c r="M202" s="10">
        <v>0.79642434573591825</v>
      </c>
      <c r="N202" s="25">
        <v>0.36600000000000005</v>
      </c>
      <c r="O202" s="25">
        <v>0.47191666666666676</v>
      </c>
      <c r="P202" s="25">
        <v>0.53295833333333331</v>
      </c>
      <c r="Q202" s="25">
        <v>0.54564583333333372</v>
      </c>
      <c r="R202" s="25">
        <v>0.52729166666666671</v>
      </c>
      <c r="S202" s="25">
        <v>0.41877083333333348</v>
      </c>
      <c r="T202" s="25">
        <v>0.42358333333333292</v>
      </c>
      <c r="U202" s="25">
        <v>0.36562499999999981</v>
      </c>
      <c r="V202" s="25">
        <v>-69.862291666666678</v>
      </c>
      <c r="W202" s="25">
        <v>-51.197916666666679</v>
      </c>
      <c r="X202" s="25">
        <v>-14.938333333333325</v>
      </c>
      <c r="Y202" s="25">
        <v>-14.517083333333334</v>
      </c>
      <c r="Z202" s="25">
        <v>-30.517291666666665</v>
      </c>
      <c r="AA202" s="25">
        <v>-20.190833333333341</v>
      </c>
      <c r="AB202" s="25">
        <v>-17.127500000000001</v>
      </c>
      <c r="AC202" s="25">
        <v>-16.249166666666664</v>
      </c>
      <c r="AD202" s="25">
        <v>-13.620833333333335</v>
      </c>
      <c r="AE202" s="25">
        <v>-10.579166666666675</v>
      </c>
      <c r="AF202" s="25">
        <v>-9.4770833333333346</v>
      </c>
      <c r="AG202" s="25">
        <v>-10.343749999999993</v>
      </c>
      <c r="AH202" s="25">
        <v>-70.770833333333343</v>
      </c>
      <c r="AI202" s="25">
        <v>-10.683333333333335</v>
      </c>
      <c r="AJ202" s="25">
        <v>-8.9312499999999986</v>
      </c>
      <c r="AK202" s="25">
        <v>-9.212499999999995</v>
      </c>
      <c r="AL202" s="25">
        <v>13.618749999999999</v>
      </c>
      <c r="AM202" s="25">
        <v>13.314583333333337</v>
      </c>
      <c r="AN202" s="25">
        <v>13.360416666666664</v>
      </c>
      <c r="AO202" s="25">
        <v>13.449999999999989</v>
      </c>
      <c r="AP202" s="25">
        <v>13.787499999999996</v>
      </c>
      <c r="AQ202" s="25">
        <v>13.377083333333339</v>
      </c>
      <c r="AR202" s="25">
        <v>13.17708333333333</v>
      </c>
      <c r="AS202" s="25">
        <v>13.120833333333328</v>
      </c>
      <c r="AT202" s="25">
        <v>0.27937777777777778</v>
      </c>
      <c r="AU202" s="25">
        <v>0.13535135135135129</v>
      </c>
      <c r="AV202" s="25">
        <v>0.25660416666666658</v>
      </c>
      <c r="AW202" s="25"/>
      <c r="AX202" s="25"/>
      <c r="AY202" s="25"/>
      <c r="AZ202" s="25"/>
      <c r="BA202" s="25"/>
      <c r="BB202" s="25"/>
      <c r="BC202" s="25"/>
      <c r="BD202" s="25"/>
      <c r="BE202" s="25"/>
    </row>
    <row r="203" spans="1:57" x14ac:dyDescent="0.25">
      <c r="A203" s="1">
        <v>23.4</v>
      </c>
      <c r="B203" s="1">
        <v>9.5</v>
      </c>
      <c r="C203" s="22"/>
      <c r="D203" s="23">
        <v>43910</v>
      </c>
      <c r="E203" s="24">
        <v>218.20833333333334</v>
      </c>
      <c r="F203" s="24">
        <v>65.079166666666666</v>
      </c>
      <c r="G203" s="24">
        <v>16.197916666666661</v>
      </c>
      <c r="H203" s="24">
        <v>0</v>
      </c>
      <c r="I203" s="24">
        <v>215.27083333333334</v>
      </c>
      <c r="J203" s="24">
        <v>10.3125</v>
      </c>
      <c r="K203" s="24">
        <v>1.2708333333333333</v>
      </c>
      <c r="L203" s="24">
        <v>9.2854166666666664</v>
      </c>
      <c r="M203" s="10">
        <v>0.73107550114578101</v>
      </c>
      <c r="N203" s="25">
        <v>0.3675416666666666</v>
      </c>
      <c r="O203" s="25">
        <v>0.47443750000000023</v>
      </c>
      <c r="P203" s="25">
        <v>0.53568749999999998</v>
      </c>
      <c r="Q203" s="25">
        <v>0.54666666666666675</v>
      </c>
      <c r="R203" s="25">
        <v>0.53035416666666635</v>
      </c>
      <c r="S203" s="25">
        <v>0.41968750000000027</v>
      </c>
      <c r="T203" s="25">
        <v>0.42316666666666652</v>
      </c>
      <c r="U203" s="25">
        <v>0.36441666666666689</v>
      </c>
      <c r="V203" s="25">
        <v>-67.309583333333336</v>
      </c>
      <c r="W203" s="25">
        <v>-51.939374999999984</v>
      </c>
      <c r="X203" s="25">
        <v>-15.055624999999994</v>
      </c>
      <c r="Y203" s="25">
        <v>-14.780416666666673</v>
      </c>
      <c r="Z203" s="25">
        <v>-30.411666666666665</v>
      </c>
      <c r="AA203" s="25">
        <v>-20.934791666666658</v>
      </c>
      <c r="AB203" s="25">
        <v>-17.759583333333332</v>
      </c>
      <c r="AC203" s="25">
        <v>-16.444583333333338</v>
      </c>
      <c r="AD203" s="25">
        <v>-14.849999999999994</v>
      </c>
      <c r="AE203" s="25">
        <v>-10.993750000000006</v>
      </c>
      <c r="AF203" s="25">
        <v>-9.5</v>
      </c>
      <c r="AG203" s="25">
        <v>-10.39999999999999</v>
      </c>
      <c r="AH203" s="25">
        <v>-69.708333333333314</v>
      </c>
      <c r="AI203" s="25">
        <v>-11.06458333333333</v>
      </c>
      <c r="AJ203" s="25">
        <v>-9.0979166666666735</v>
      </c>
      <c r="AK203" s="25">
        <v>-9.2937500000000082</v>
      </c>
      <c r="AL203" s="25">
        <v>14.785416666666672</v>
      </c>
      <c r="AM203" s="25">
        <v>14.033333333333326</v>
      </c>
      <c r="AN203" s="25">
        <v>13.633333333333338</v>
      </c>
      <c r="AO203" s="25">
        <v>13.57708333333335</v>
      </c>
      <c r="AP203" s="25">
        <v>15.508333333333328</v>
      </c>
      <c r="AQ203" s="25">
        <v>14.660416666666663</v>
      </c>
      <c r="AR203" s="25">
        <v>14.162499999999994</v>
      </c>
      <c r="AS203" s="25">
        <v>13.922916666666666</v>
      </c>
      <c r="AT203" s="25">
        <v>0.27104255319148951</v>
      </c>
      <c r="AU203" s="25">
        <v>0.13292592592592592</v>
      </c>
      <c r="AV203" s="25">
        <v>0.2548541666666666</v>
      </c>
      <c r="AW203" s="25"/>
      <c r="AX203" s="25"/>
      <c r="AY203" s="25"/>
      <c r="AZ203" s="25"/>
      <c r="BA203" s="25"/>
      <c r="BB203" s="25"/>
      <c r="BC203" s="25"/>
      <c r="BD203" s="25"/>
      <c r="BE203" s="25"/>
    </row>
    <row r="204" spans="1:57" x14ac:dyDescent="0.25">
      <c r="A204" s="1">
        <v>28.2</v>
      </c>
      <c r="B204" s="1">
        <v>14.2</v>
      </c>
      <c r="C204" s="22"/>
      <c r="D204" s="23">
        <v>43911</v>
      </c>
      <c r="E204" s="24">
        <v>212.6875</v>
      </c>
      <c r="F204" s="24">
        <v>53.683333333333358</v>
      </c>
      <c r="G204" s="24">
        <v>20.662500000000005</v>
      </c>
      <c r="H204" s="24">
        <v>0</v>
      </c>
      <c r="I204" s="24">
        <v>236.04166666666666</v>
      </c>
      <c r="J204" s="24">
        <v>17.083333333333332</v>
      </c>
      <c r="K204" s="24">
        <v>3.4166666666666665</v>
      </c>
      <c r="L204" s="24">
        <v>8.7895833333333346</v>
      </c>
      <c r="M204" s="10">
        <v>1.3736051176552639</v>
      </c>
      <c r="N204" s="25">
        <v>0.36812499999999998</v>
      </c>
      <c r="O204" s="25">
        <v>0.4768750000000001</v>
      </c>
      <c r="P204" s="25">
        <v>0.5389166666666666</v>
      </c>
      <c r="Q204" s="25">
        <v>0.54935416666666692</v>
      </c>
      <c r="R204" s="25">
        <v>0.53250000000000008</v>
      </c>
      <c r="S204" s="25">
        <v>0.41927083333333309</v>
      </c>
      <c r="T204" s="25">
        <v>0.42241666666666661</v>
      </c>
      <c r="U204" s="25">
        <v>0.36333333333333323</v>
      </c>
      <c r="V204" s="25">
        <v>-65.569374999999994</v>
      </c>
      <c r="W204" s="25">
        <v>-52.147708333333355</v>
      </c>
      <c r="X204" s="25">
        <v>-15.17416666666667</v>
      </c>
      <c r="Y204" s="25">
        <v>-15.046458333333334</v>
      </c>
      <c r="Z204" s="25">
        <v>-30.766041666666663</v>
      </c>
      <c r="AA204" s="25">
        <v>-21.927083333333329</v>
      </c>
      <c r="AB204" s="25">
        <v>-18.590624999999996</v>
      </c>
      <c r="AC204" s="25">
        <v>-16.757291666666664</v>
      </c>
      <c r="AD204" s="25">
        <v>-16.627083333333335</v>
      </c>
      <c r="AE204" s="25">
        <v>-11.497916666666669</v>
      </c>
      <c r="AF204" s="25">
        <v>-9.5</v>
      </c>
      <c r="AG204" s="25">
        <v>-10.514583333333345</v>
      </c>
      <c r="AH204" s="25">
        <v>-74.224999999999994</v>
      </c>
      <c r="AI204" s="25">
        <v>-11.479166666666677</v>
      </c>
      <c r="AJ204" s="25">
        <v>-9.1499999999999932</v>
      </c>
      <c r="AK204" s="25">
        <v>-9.3000000000000078</v>
      </c>
      <c r="AL204" s="25">
        <v>15.864583333333334</v>
      </c>
      <c r="AM204" s="25">
        <v>14.806249999999999</v>
      </c>
      <c r="AN204" s="25">
        <v>14.191666666666656</v>
      </c>
      <c r="AO204" s="25">
        <v>14.000000000000014</v>
      </c>
      <c r="AP204" s="25">
        <v>17.166666666666661</v>
      </c>
      <c r="AQ204" s="25">
        <v>15.985416666666664</v>
      </c>
      <c r="AR204" s="25">
        <v>15.264583333333333</v>
      </c>
      <c r="AS204" s="25">
        <v>14.887500000000003</v>
      </c>
      <c r="AT204" s="25">
        <v>0.26017021276595753</v>
      </c>
      <c r="AU204" s="25">
        <v>0.13020833333333334</v>
      </c>
      <c r="AV204" s="25">
        <v>0.25283333333333335</v>
      </c>
      <c r="AW204" s="25"/>
      <c r="AX204" s="25"/>
      <c r="AY204" s="25"/>
      <c r="AZ204" s="25"/>
      <c r="BA204" s="25"/>
      <c r="BB204" s="25"/>
      <c r="BC204" s="25"/>
      <c r="BD204" s="25"/>
      <c r="BE204" s="25"/>
    </row>
    <row r="205" spans="1:57" x14ac:dyDescent="0.25">
      <c r="A205" s="1">
        <v>28.3</v>
      </c>
      <c r="B205" s="1">
        <v>13.7</v>
      </c>
      <c r="C205" s="22"/>
      <c r="D205" s="23">
        <v>43912</v>
      </c>
      <c r="E205" s="24">
        <v>198.20833333333334</v>
      </c>
      <c r="F205" s="24">
        <v>56.4</v>
      </c>
      <c r="G205" s="24">
        <v>20.291666666666668</v>
      </c>
      <c r="H205" s="24">
        <v>0</v>
      </c>
      <c r="I205" s="24">
        <v>247.625</v>
      </c>
      <c r="J205" s="24">
        <v>6.125</v>
      </c>
      <c r="K205" s="24">
        <v>0.6875</v>
      </c>
      <c r="L205" s="24">
        <v>10.772916666666667</v>
      </c>
      <c r="M205" s="10">
        <v>1.1580827919251051</v>
      </c>
      <c r="N205" s="25">
        <v>0.36510416666666662</v>
      </c>
      <c r="O205" s="25">
        <v>0.47720833333333329</v>
      </c>
      <c r="P205" s="25">
        <v>0.54066666666666674</v>
      </c>
      <c r="Q205" s="25">
        <v>0.55099999999999949</v>
      </c>
      <c r="R205" s="25">
        <v>0.53064583333333315</v>
      </c>
      <c r="S205" s="25">
        <v>0.4154166666666666</v>
      </c>
      <c r="T205" s="25">
        <v>0.42018749999999988</v>
      </c>
      <c r="U205" s="25">
        <v>0.36125000000000002</v>
      </c>
      <c r="V205" s="25">
        <v>-66.306666666666658</v>
      </c>
      <c r="W205" s="25">
        <v>-53.634583333333332</v>
      </c>
      <c r="X205" s="25">
        <v>-15.452500000000002</v>
      </c>
      <c r="Y205" s="25">
        <v>-15.481041666666664</v>
      </c>
      <c r="Z205" s="25">
        <v>-32.527708333333337</v>
      </c>
      <c r="AA205" s="25">
        <v>-23.732708333333331</v>
      </c>
      <c r="AB205" s="25">
        <v>-20.095625000000002</v>
      </c>
      <c r="AC205" s="25">
        <v>-17.50854166666667</v>
      </c>
      <c r="AD205" s="25">
        <v>-19.997916666666665</v>
      </c>
      <c r="AE205" s="25">
        <v>-13.022916666666669</v>
      </c>
      <c r="AF205" s="25">
        <v>-9.6166666666666689</v>
      </c>
      <c r="AG205" s="25">
        <v>-10.704166666666667</v>
      </c>
      <c r="AH205" s="25">
        <v>-89.768750000000011</v>
      </c>
      <c r="AI205" s="25">
        <v>-12.006250000000001</v>
      </c>
      <c r="AJ205" s="25">
        <v>-9.1999999999999922</v>
      </c>
      <c r="AK205" s="25">
        <v>-9.3208333333333346</v>
      </c>
      <c r="AL205" s="25">
        <v>16.591666666666665</v>
      </c>
      <c r="AM205" s="25">
        <v>15.445833333333333</v>
      </c>
      <c r="AN205" s="25">
        <v>14.727083333333324</v>
      </c>
      <c r="AO205" s="25">
        <v>14.460416666666674</v>
      </c>
      <c r="AP205" s="25">
        <v>18.195833333333329</v>
      </c>
      <c r="AQ205" s="25">
        <v>16.904166666666665</v>
      </c>
      <c r="AR205" s="25">
        <v>16.100000000000001</v>
      </c>
      <c r="AS205" s="25">
        <v>15.668750000000008</v>
      </c>
      <c r="AT205" s="25">
        <v>0.24493617021276604</v>
      </c>
      <c r="AU205" s="25">
        <v>0.12662162162162161</v>
      </c>
      <c r="AV205" s="25">
        <v>0.24910416666666671</v>
      </c>
      <c r="AW205" s="25">
        <v>-89.063125000000014</v>
      </c>
      <c r="AX205" s="25">
        <v>-176.73611111111109</v>
      </c>
      <c r="AY205" s="25">
        <v>-280.75118055555555</v>
      </c>
      <c r="AZ205" s="25">
        <v>-205.8383881707795</v>
      </c>
      <c r="BA205" s="25">
        <v>-1362.4854166666667</v>
      </c>
      <c r="BB205" s="25">
        <v>-474.32465277777777</v>
      </c>
      <c r="BC205" s="25">
        <v>17.091776341558951</v>
      </c>
      <c r="BD205" s="25">
        <v>16.347499999999997</v>
      </c>
      <c r="BE205" s="25">
        <v>17.330972222222226</v>
      </c>
    </row>
    <row r="206" spans="1:57" x14ac:dyDescent="0.25">
      <c r="A206" s="1">
        <v>23.4</v>
      </c>
      <c r="B206" s="1">
        <v>12.9</v>
      </c>
      <c r="C206" s="22"/>
      <c r="D206" s="23">
        <v>43913</v>
      </c>
      <c r="E206" s="24">
        <v>109.5625</v>
      </c>
      <c r="F206" s="24">
        <v>69.549999999999983</v>
      </c>
      <c r="G206" s="24">
        <v>16.645833333333325</v>
      </c>
      <c r="H206" s="24">
        <v>0</v>
      </c>
      <c r="I206" s="24">
        <v>227.83333333333334</v>
      </c>
      <c r="J206" s="24">
        <v>8.6875</v>
      </c>
      <c r="K206" s="24">
        <v>1.3125</v>
      </c>
      <c r="L206" s="24">
        <v>10.916666666666666</v>
      </c>
      <c r="M206" s="10">
        <v>0.6089704374276802</v>
      </c>
      <c r="N206" s="25">
        <v>0.35916666666666658</v>
      </c>
      <c r="O206" s="25">
        <v>0.47614583333333343</v>
      </c>
      <c r="P206" s="25">
        <v>0.54104166666666642</v>
      </c>
      <c r="Q206" s="25">
        <v>0.55302083333333385</v>
      </c>
      <c r="R206" s="25">
        <v>0.52527083333333346</v>
      </c>
      <c r="S206" s="25">
        <v>0.41027083333333331</v>
      </c>
      <c r="T206" s="25">
        <v>0.41781249999999998</v>
      </c>
      <c r="U206" s="25">
        <v>0.35933333333333345</v>
      </c>
      <c r="V206" s="25">
        <v>-70.229791666666657</v>
      </c>
      <c r="W206" s="25">
        <v>-56.013541666666661</v>
      </c>
      <c r="X206" s="25">
        <v>-15.881458333333335</v>
      </c>
      <c r="Y206" s="25">
        <v>-15.968541666666667</v>
      </c>
      <c r="Z206" s="25">
        <v>-35.220833333333324</v>
      </c>
      <c r="AA206" s="25">
        <v>-25.930416666666662</v>
      </c>
      <c r="AB206" s="25">
        <v>-22.084166666666661</v>
      </c>
      <c r="AC206" s="25">
        <v>-18.700624999999999</v>
      </c>
      <c r="AD206" s="25">
        <v>-23.708333333333329</v>
      </c>
      <c r="AE206" s="25">
        <v>-16.222916666666666</v>
      </c>
      <c r="AF206" s="25">
        <v>-9.985416666666671</v>
      </c>
      <c r="AG206" s="25">
        <v>-10.847916666666661</v>
      </c>
      <c r="AH206" s="25">
        <v>-116.82083333333333</v>
      </c>
      <c r="AI206" s="25">
        <v>-12.668750000000001</v>
      </c>
      <c r="AJ206" s="25">
        <v>-9.2625000000000064</v>
      </c>
      <c r="AK206" s="25">
        <v>-9.3916666666666586</v>
      </c>
      <c r="AL206" s="25">
        <v>16.824999999999999</v>
      </c>
      <c r="AM206" s="25">
        <v>15.96041666666666</v>
      </c>
      <c r="AN206" s="25">
        <v>15.216666666666653</v>
      </c>
      <c r="AO206" s="25">
        <v>14.904166666666667</v>
      </c>
      <c r="AP206" s="25">
        <v>17.835416666666671</v>
      </c>
      <c r="AQ206" s="25">
        <v>17.30416666666666</v>
      </c>
      <c r="AR206" s="25">
        <v>16.675000000000015</v>
      </c>
      <c r="AS206" s="25">
        <v>16.312499999999996</v>
      </c>
      <c r="AT206" s="25">
        <v>0.23206250000000003</v>
      </c>
      <c r="AU206" s="25">
        <v>0.12351724137931036</v>
      </c>
      <c r="AV206" s="25">
        <v>0.24518750000000003</v>
      </c>
      <c r="AW206" s="25">
        <v>-99.096319444444475</v>
      </c>
      <c r="AX206" s="25">
        <v>-209.74375000000006</v>
      </c>
      <c r="AY206" s="25">
        <v>-306.88340277777769</v>
      </c>
      <c r="AZ206" s="25">
        <v>-666.78764550264543</v>
      </c>
      <c r="BA206" s="25">
        <v>-1774.3583333333333</v>
      </c>
      <c r="BB206" s="25">
        <v>-511.3342361111109</v>
      </c>
      <c r="BC206" s="25">
        <v>16.772232804232804</v>
      </c>
      <c r="BD206" s="25">
        <v>15.856180555555554</v>
      </c>
      <c r="BE206" s="25">
        <v>16.847291666666667</v>
      </c>
    </row>
    <row r="207" spans="1:57" x14ac:dyDescent="0.25">
      <c r="A207" s="1">
        <v>23.6</v>
      </c>
      <c r="B207" s="1">
        <v>10.7</v>
      </c>
      <c r="C207" s="22"/>
      <c r="D207" s="23">
        <v>43914</v>
      </c>
      <c r="E207" s="24">
        <v>187.66666666666666</v>
      </c>
      <c r="F207" s="24">
        <v>73.204166666666666</v>
      </c>
      <c r="G207" s="24">
        <v>16.339583333333334</v>
      </c>
      <c r="H207" s="24">
        <v>0</v>
      </c>
      <c r="I207" s="24">
        <v>214.125</v>
      </c>
      <c r="J207" s="24">
        <v>10.4375</v>
      </c>
      <c r="K207" s="24">
        <v>2.2708333333333335</v>
      </c>
      <c r="L207" s="24">
        <v>11.154166666666669</v>
      </c>
      <c r="M207" s="10">
        <v>0.5867426070356152</v>
      </c>
      <c r="N207" s="25">
        <v>0.35025000000000023</v>
      </c>
      <c r="O207" s="25">
        <v>0.47066666666666684</v>
      </c>
      <c r="P207" s="25">
        <v>0.53770833333333368</v>
      </c>
      <c r="Q207" s="25">
        <v>0.55204166666666621</v>
      </c>
      <c r="R207" s="25">
        <v>0.51687499999999986</v>
      </c>
      <c r="S207" s="25">
        <v>0.40358333333333296</v>
      </c>
      <c r="T207" s="25">
        <v>0.41416666666666702</v>
      </c>
      <c r="U207" s="25">
        <v>0.35725000000000001</v>
      </c>
      <c r="V207" s="25">
        <v>-75.685624999999987</v>
      </c>
      <c r="W207" s="25">
        <v>-61.145208333333358</v>
      </c>
      <c r="X207" s="25">
        <v>-16.638124999999999</v>
      </c>
      <c r="Y207" s="25">
        <v>-16.523750000000003</v>
      </c>
      <c r="Z207" s="25">
        <v>-38.306249999999999</v>
      </c>
      <c r="AA207" s="25">
        <v>-28.533749999999998</v>
      </c>
      <c r="AB207" s="25">
        <v>-24.076666666666664</v>
      </c>
      <c r="AC207" s="25">
        <v>-20.191041666666663</v>
      </c>
      <c r="AD207" s="25">
        <v>-27.091666666666665</v>
      </c>
      <c r="AE207" s="25">
        <v>-19.145833333333332</v>
      </c>
      <c r="AF207" s="25">
        <v>-10.9</v>
      </c>
      <c r="AG207" s="25">
        <v>-11.114583333333336</v>
      </c>
      <c r="AH207" s="25">
        <v>-148.77916666666661</v>
      </c>
      <c r="AI207" s="25">
        <v>-13.568750000000001</v>
      </c>
      <c r="AJ207" s="25">
        <v>-9.3000000000000078</v>
      </c>
      <c r="AK207" s="25">
        <v>-9.4354166666666668</v>
      </c>
      <c r="AL207" s="25">
        <v>16.391666666666669</v>
      </c>
      <c r="AM207" s="25">
        <v>15.858333333333333</v>
      </c>
      <c r="AN207" s="25">
        <v>15.370833333333316</v>
      </c>
      <c r="AO207" s="25">
        <v>15.166666666666677</v>
      </c>
      <c r="AP207" s="25">
        <v>17.102083333333333</v>
      </c>
      <c r="AQ207" s="25">
        <v>16.724999999999994</v>
      </c>
      <c r="AR207" s="25">
        <v>16.341666666666669</v>
      </c>
      <c r="AS207" s="25">
        <v>16.141666666666669</v>
      </c>
      <c r="AT207" s="25">
        <v>0.22240000000000001</v>
      </c>
      <c r="AU207" s="25">
        <v>0.12160000000000001</v>
      </c>
      <c r="AV207" s="25">
        <v>0.2427916666666666</v>
      </c>
      <c r="AW207" s="25">
        <v>-103.53618055555557</v>
      </c>
      <c r="AX207" s="25">
        <v>-233.4916666666667</v>
      </c>
      <c r="AY207" s="25">
        <v>-314.09576388888883</v>
      </c>
      <c r="AZ207" s="25">
        <v>-1444.8147937411097</v>
      </c>
      <c r="BA207" s="25">
        <v>-2115.6055555555558</v>
      </c>
      <c r="BB207" s="25">
        <v>-532.33326388888895</v>
      </c>
      <c r="BC207" s="25">
        <v>16.019815078236128</v>
      </c>
      <c r="BD207" s="25">
        <v>15.714305555555555</v>
      </c>
      <c r="BE207" s="25">
        <v>16.901666666666667</v>
      </c>
    </row>
    <row r="208" spans="1:57" x14ac:dyDescent="0.25">
      <c r="A208" s="1">
        <v>24.3</v>
      </c>
      <c r="B208" s="1">
        <v>15.9</v>
      </c>
      <c r="C208" s="22"/>
      <c r="D208" s="23">
        <v>43915</v>
      </c>
      <c r="E208" s="24">
        <v>197.75</v>
      </c>
      <c r="F208" s="24">
        <v>69.799999999999983</v>
      </c>
      <c r="G208" s="24">
        <v>18.739583333333329</v>
      </c>
      <c r="H208" s="24">
        <v>0</v>
      </c>
      <c r="I208" s="24">
        <v>234.35416666666666</v>
      </c>
      <c r="J208" s="24">
        <v>16.354166666666668</v>
      </c>
      <c r="K208" s="24">
        <v>3.0208333333333335</v>
      </c>
      <c r="L208" s="24">
        <v>12.710416666666667</v>
      </c>
      <c r="M208" s="10">
        <v>0.72397141150127553</v>
      </c>
      <c r="N208" s="25">
        <v>0.34418750000000015</v>
      </c>
      <c r="O208" s="25">
        <v>0.46712500000000018</v>
      </c>
      <c r="P208" s="25">
        <v>0.53579166666666656</v>
      </c>
      <c r="Q208" s="25">
        <v>0.55075000000000029</v>
      </c>
      <c r="R208" s="25">
        <v>0.51143750000000021</v>
      </c>
      <c r="S208" s="25">
        <v>0.39656249999999993</v>
      </c>
      <c r="T208" s="25">
        <v>0.40916666666666646</v>
      </c>
      <c r="U208" s="25">
        <v>0.35393750000000007</v>
      </c>
      <c r="V208" s="25">
        <v>-76.353750000000005</v>
      </c>
      <c r="W208" s="25">
        <v>-64.154166666666654</v>
      </c>
      <c r="X208" s="25">
        <v>-17.388125000000006</v>
      </c>
      <c r="Y208" s="25">
        <v>-17.296458333333334</v>
      </c>
      <c r="Z208" s="25">
        <v>-41.124166666666667</v>
      </c>
      <c r="AA208" s="25">
        <v>-31.547291666666666</v>
      </c>
      <c r="AB208" s="25">
        <v>-26.543125000000007</v>
      </c>
      <c r="AC208" s="25">
        <v>-22.080208333333331</v>
      </c>
      <c r="AD208" s="25">
        <v>-29.762499999999989</v>
      </c>
      <c r="AE208" s="25">
        <v>-23.297916666666676</v>
      </c>
      <c r="AF208" s="25">
        <v>-12.9375</v>
      </c>
      <c r="AG208" s="25">
        <v>-12.10208333333334</v>
      </c>
      <c r="AH208" s="25">
        <v>-181.97083333333333</v>
      </c>
      <c r="AI208" s="25">
        <v>-14.660416666666672</v>
      </c>
      <c r="AJ208" s="25">
        <v>-9.3583333333333254</v>
      </c>
      <c r="AK208" s="25">
        <v>-9.5437500000000011</v>
      </c>
      <c r="AL208" s="25">
        <v>16.908333333333335</v>
      </c>
      <c r="AM208" s="25">
        <v>16.058333333333334</v>
      </c>
      <c r="AN208" s="25">
        <v>15.487500000000004</v>
      </c>
      <c r="AO208" s="25">
        <v>15.25833333333332</v>
      </c>
      <c r="AP208" s="25">
        <v>18.106249999999999</v>
      </c>
      <c r="AQ208" s="25">
        <v>17.237499999999997</v>
      </c>
      <c r="AR208" s="25">
        <v>16.652083333333334</v>
      </c>
      <c r="AS208" s="25">
        <v>16.379166666666666</v>
      </c>
      <c r="AT208" s="25">
        <v>0.21486363636363653</v>
      </c>
      <c r="AU208" s="25">
        <v>0.1202222222222222</v>
      </c>
      <c r="AV208" s="25">
        <v>0.24174999999999999</v>
      </c>
      <c r="AW208" s="25">
        <v>-108.64749999999999</v>
      </c>
      <c r="AX208" s="25">
        <v>-283.24506944444454</v>
      </c>
      <c r="AY208" s="25">
        <v>-317.7523611111111</v>
      </c>
      <c r="AZ208" s="25">
        <v>-2553.2885250663835</v>
      </c>
      <c r="BA208" s="25">
        <v>-2239.6833333333334</v>
      </c>
      <c r="BB208" s="25">
        <v>-555.11715277777796</v>
      </c>
      <c r="BC208" s="25">
        <v>17.573665920689514</v>
      </c>
      <c r="BD208" s="25">
        <v>16.928263888888889</v>
      </c>
      <c r="BE208" s="25">
        <v>17.943194444444433</v>
      </c>
    </row>
    <row r="209" spans="1:57" x14ac:dyDescent="0.25">
      <c r="A209" s="1">
        <v>27.2</v>
      </c>
      <c r="B209" s="1">
        <v>14.8</v>
      </c>
      <c r="C209" s="22"/>
      <c r="D209" s="23">
        <v>43916</v>
      </c>
      <c r="E209" s="24">
        <v>211.9375</v>
      </c>
      <c r="F209" s="24">
        <v>67.260416666666671</v>
      </c>
      <c r="G209" s="24">
        <v>19.854166666666661</v>
      </c>
      <c r="H209" s="24">
        <v>0</v>
      </c>
      <c r="I209" s="24">
        <v>235.75</v>
      </c>
      <c r="J209" s="24">
        <v>11.958333333333334</v>
      </c>
      <c r="K209" s="24">
        <v>1.375</v>
      </c>
      <c r="L209" s="24">
        <v>13.066666666666665</v>
      </c>
      <c r="M209" s="10">
        <v>0.87978841168709421</v>
      </c>
      <c r="N209" s="25">
        <v>0.33683333333333337</v>
      </c>
      <c r="O209" s="25">
        <v>0.46304166666666652</v>
      </c>
      <c r="P209" s="25">
        <v>0.53400000000000014</v>
      </c>
      <c r="Q209" s="25">
        <v>0.55041666666666678</v>
      </c>
      <c r="R209" s="25">
        <v>0.50462499999999999</v>
      </c>
      <c r="S209" s="25">
        <v>0.38814583333333319</v>
      </c>
      <c r="T209" s="25">
        <v>0.40325000000000011</v>
      </c>
      <c r="U209" s="25">
        <v>0.3501875000000001</v>
      </c>
      <c r="V209" s="25">
        <v>-79.412499999999966</v>
      </c>
      <c r="W209" s="25">
        <v>-67.246666666666655</v>
      </c>
      <c r="X209" s="25">
        <v>-18.191249999999997</v>
      </c>
      <c r="Y209" s="25">
        <v>-18.321666666666669</v>
      </c>
      <c r="Z209" s="25">
        <v>-44.489791666666662</v>
      </c>
      <c r="AA209" s="25">
        <v>-35.284166666666664</v>
      </c>
      <c r="AB209" s="25">
        <v>-29.673124999999995</v>
      </c>
      <c r="AC209" s="25">
        <v>-24.328541666666666</v>
      </c>
      <c r="AD209" s="25">
        <v>-33.05833333333333</v>
      </c>
      <c r="AE209" s="25">
        <v>-27.872916666666672</v>
      </c>
      <c r="AF209" s="25">
        <v>-16.556250000000006</v>
      </c>
      <c r="AG209" s="25">
        <v>-14.522916666666669</v>
      </c>
      <c r="AH209" s="25">
        <v>-227.58541666666676</v>
      </c>
      <c r="AI209" s="25">
        <v>-16.175000000000001</v>
      </c>
      <c r="AJ209" s="25">
        <v>-9.4687500000000053</v>
      </c>
      <c r="AK209" s="25">
        <v>-9.7500000000000018</v>
      </c>
      <c r="AL209" s="25">
        <v>17.337500000000002</v>
      </c>
      <c r="AM209" s="25">
        <v>16.414583333333336</v>
      </c>
      <c r="AN209" s="25">
        <v>15.754166666666654</v>
      </c>
      <c r="AO209" s="25">
        <v>15.464583333333337</v>
      </c>
      <c r="AP209" s="25">
        <v>18.75</v>
      </c>
      <c r="AQ209" s="25">
        <v>17.754166666666666</v>
      </c>
      <c r="AR209" s="25">
        <v>17.133333333333329</v>
      </c>
      <c r="AS209" s="25">
        <v>16.839583333333337</v>
      </c>
      <c r="AT209" s="25">
        <v>0.20652173913043487</v>
      </c>
      <c r="AU209" s="25">
        <v>0.11866666666666664</v>
      </c>
      <c r="AV209" s="25">
        <v>0.24020833333333338</v>
      </c>
      <c r="AW209" s="25">
        <v>-119.55270833333334</v>
      </c>
      <c r="AX209" s="25">
        <v>-315.25465277777784</v>
      </c>
      <c r="AY209" s="25">
        <v>-293.69638888888886</v>
      </c>
      <c r="AZ209" s="25">
        <v>-3881.5470588235303</v>
      </c>
      <c r="BA209" s="25">
        <v>-2437.5854166666663</v>
      </c>
      <c r="BB209" s="25">
        <v>-572.13763888888877</v>
      </c>
      <c r="BC209" s="25">
        <v>18.278224695283519</v>
      </c>
      <c r="BD209" s="25">
        <v>17.50416666666667</v>
      </c>
      <c r="BE209" s="25">
        <v>18.672430555555554</v>
      </c>
    </row>
    <row r="210" spans="1:57" x14ac:dyDescent="0.25">
      <c r="A210" s="1">
        <v>26.1</v>
      </c>
      <c r="B210" s="1">
        <v>13.8</v>
      </c>
      <c r="C210" s="22"/>
      <c r="D210" s="23">
        <v>43917</v>
      </c>
      <c r="E210" s="24">
        <v>155.77083333333334</v>
      </c>
      <c r="F210" s="24">
        <v>70.056249999999991</v>
      </c>
      <c r="G210" s="24">
        <v>19.152083333333334</v>
      </c>
      <c r="H210" s="24">
        <v>0</v>
      </c>
      <c r="I210" s="24">
        <v>223.29166666666666</v>
      </c>
      <c r="J210" s="24">
        <v>9.7916666666666661</v>
      </c>
      <c r="K210" s="24">
        <v>1.25</v>
      </c>
      <c r="L210" s="24">
        <v>13.277083333333335</v>
      </c>
      <c r="M210" s="10">
        <v>0.7286982166919812</v>
      </c>
      <c r="N210" s="25">
        <v>0.32874999999999982</v>
      </c>
      <c r="O210" s="25">
        <v>0.45816666666666633</v>
      </c>
      <c r="P210" s="25">
        <v>0.53135416666666679</v>
      </c>
      <c r="Q210" s="25">
        <v>0.54947916666666696</v>
      </c>
      <c r="R210" s="25">
        <v>0.49706250000000002</v>
      </c>
      <c r="S210" s="25">
        <v>0.37933333333333324</v>
      </c>
      <c r="T210" s="25">
        <v>0.39620833333333333</v>
      </c>
      <c r="U210" s="25">
        <v>0.34574999999999995</v>
      </c>
      <c r="V210" s="25">
        <v>-83.873749999999987</v>
      </c>
      <c r="W210" s="25">
        <v>-70.790208333333325</v>
      </c>
      <c r="X210" s="25">
        <v>-19.16</v>
      </c>
      <c r="Y210" s="25">
        <v>-19.629375</v>
      </c>
      <c r="Z210" s="25">
        <v>-48.220624999999991</v>
      </c>
      <c r="AA210" s="25">
        <v>-39.839791666666663</v>
      </c>
      <c r="AB210" s="25">
        <v>-33.678958333333334</v>
      </c>
      <c r="AC210" s="25">
        <v>-27.129791666666662</v>
      </c>
      <c r="AD210" s="25">
        <v>-40.116666666666667</v>
      </c>
      <c r="AE210" s="25">
        <v>-32.466666666666661</v>
      </c>
      <c r="AF210" s="25">
        <v>-21.587500000000006</v>
      </c>
      <c r="AG210" s="25">
        <v>-18.485416666666662</v>
      </c>
      <c r="AH210" s="25">
        <v>-289.74583333333334</v>
      </c>
      <c r="AI210" s="25">
        <v>-18.341666666666665</v>
      </c>
      <c r="AJ210" s="25">
        <v>-9.7479166666666615</v>
      </c>
      <c r="AK210" s="25">
        <v>-10.02916666666667</v>
      </c>
      <c r="AL210" s="25">
        <v>17.71458333333333</v>
      </c>
      <c r="AM210" s="25">
        <v>16.808333333333326</v>
      </c>
      <c r="AN210" s="25">
        <v>16.060416666666683</v>
      </c>
      <c r="AO210" s="25">
        <v>15.731249999999983</v>
      </c>
      <c r="AP210" s="25">
        <v>19.060416666666672</v>
      </c>
      <c r="AQ210" s="25">
        <v>18.268750000000001</v>
      </c>
      <c r="AR210" s="25">
        <v>17.627083333333335</v>
      </c>
      <c r="AS210" s="25">
        <v>17.289583333333333</v>
      </c>
      <c r="AT210" s="25">
        <v>0.19958333333333333</v>
      </c>
      <c r="AU210" s="25">
        <v>0.11686486486486486</v>
      </c>
      <c r="AV210" s="25">
        <v>0.23806250000000009</v>
      </c>
      <c r="AW210" s="25">
        <v>-134.3584027777778</v>
      </c>
      <c r="AX210" s="25">
        <v>-317.67041666666671</v>
      </c>
      <c r="AY210" s="25">
        <v>-281.61118055555556</v>
      </c>
      <c r="AZ210" s="25">
        <v>-5508.5319636452359</v>
      </c>
      <c r="BA210" s="25">
        <v>-2798.1520833333329</v>
      </c>
      <c r="BB210" s="25">
        <v>-605.6949305555554</v>
      </c>
      <c r="BC210" s="25">
        <v>18.96215971412169</v>
      </c>
      <c r="BD210" s="25">
        <v>17.560277777777774</v>
      </c>
      <c r="BE210" s="25">
        <v>18.786250000000003</v>
      </c>
    </row>
    <row r="211" spans="1:57" x14ac:dyDescent="0.25">
      <c r="A211" s="1">
        <v>13.6</v>
      </c>
      <c r="B211" s="1">
        <v>7.2</v>
      </c>
      <c r="C211" s="22"/>
      <c r="D211" s="23">
        <v>43918</v>
      </c>
      <c r="E211" s="24">
        <v>23.875</v>
      </c>
      <c r="F211" s="24">
        <v>88.916666666666671</v>
      </c>
      <c r="G211" s="24">
        <v>10.208333333333334</v>
      </c>
      <c r="H211" s="24">
        <v>1.5999999999999999</v>
      </c>
      <c r="I211" s="24">
        <v>227.375</v>
      </c>
      <c r="J211" s="24">
        <v>8.7291666666666661</v>
      </c>
      <c r="K211" s="24">
        <v>0.97916666666666663</v>
      </c>
      <c r="L211" s="24">
        <v>8.4229166666666657</v>
      </c>
      <c r="M211" s="10">
        <v>0.1472783696682271</v>
      </c>
      <c r="N211" s="25">
        <v>0.31916666666666671</v>
      </c>
      <c r="O211" s="25">
        <v>0.45047916666666671</v>
      </c>
      <c r="P211" s="25">
        <v>0.52654166666666646</v>
      </c>
      <c r="Q211" s="25">
        <v>0.54739583333333341</v>
      </c>
      <c r="R211" s="25">
        <v>0.4856458333333335</v>
      </c>
      <c r="S211" s="25">
        <v>0.37212500000000026</v>
      </c>
      <c r="T211" s="25">
        <v>0.39137500000000003</v>
      </c>
      <c r="U211" s="25">
        <v>0.34264583333333354</v>
      </c>
      <c r="V211" s="25">
        <v>-96.733333333333348</v>
      </c>
      <c r="W211" s="25">
        <v>-79.223958333333343</v>
      </c>
      <c r="X211" s="25">
        <v>-20.545416666666672</v>
      </c>
      <c r="Y211" s="25">
        <v>-21.064375000000005</v>
      </c>
      <c r="Z211" s="25">
        <v>-54.081041666666671</v>
      </c>
      <c r="AA211" s="25">
        <v>-44.915208333333332</v>
      </c>
      <c r="AB211" s="25">
        <v>-37.973125000000003</v>
      </c>
      <c r="AC211" s="25">
        <v>-30.428333333333331</v>
      </c>
      <c r="AD211" s="25">
        <v>-48.31666666666667</v>
      </c>
      <c r="AE211" s="25">
        <v>-35.318750000000001</v>
      </c>
      <c r="AF211" s="25">
        <v>-24.997916666666669</v>
      </c>
      <c r="AG211" s="25">
        <v>-20.28958333333334</v>
      </c>
      <c r="AH211" s="25">
        <v>-337.60833333333341</v>
      </c>
      <c r="AI211" s="25">
        <v>-21.056250000000002</v>
      </c>
      <c r="AJ211" s="25">
        <v>-10.489583333333334</v>
      </c>
      <c r="AK211" s="25">
        <v>-10.674999999999999</v>
      </c>
      <c r="AL211" s="25">
        <v>16.752083333333331</v>
      </c>
      <c r="AM211" s="25">
        <v>16.695833333333329</v>
      </c>
      <c r="AN211" s="25">
        <v>16.208333333333346</v>
      </c>
      <c r="AO211" s="25">
        <v>15.945833333333331</v>
      </c>
      <c r="AP211" s="25">
        <v>16.45</v>
      </c>
      <c r="AQ211" s="25">
        <v>17.291666666666668</v>
      </c>
      <c r="AR211" s="25">
        <v>17.204166666666666</v>
      </c>
      <c r="AS211" s="25">
        <v>17.110416666666669</v>
      </c>
      <c r="AT211" s="25">
        <v>0.19243750000000012</v>
      </c>
      <c r="AU211" s="25">
        <v>0.11311111111111115</v>
      </c>
      <c r="AV211" s="25">
        <v>0.23289583333333322</v>
      </c>
      <c r="AW211" s="25">
        <v>-153.12111111111108</v>
      </c>
      <c r="AX211" s="25">
        <v>-322.33645833333333</v>
      </c>
      <c r="AY211" s="25">
        <v>-315.34173611111112</v>
      </c>
      <c r="AZ211" s="25"/>
      <c r="BA211" s="25">
        <v>-4265.9868055555553</v>
      </c>
      <c r="BB211" s="25">
        <v>-662.63270833333343</v>
      </c>
      <c r="BC211" s="25">
        <v>14.599444444444439</v>
      </c>
      <c r="BD211" s="25">
        <v>14.686944444444441</v>
      </c>
      <c r="BE211" s="25">
        <v>16.351388888888888</v>
      </c>
    </row>
    <row r="212" spans="1:57" x14ac:dyDescent="0.25">
      <c r="A212" s="1">
        <v>9.6</v>
      </c>
      <c r="B212" s="1">
        <v>6.4</v>
      </c>
      <c r="C212" s="22"/>
      <c r="D212" s="23">
        <v>43919</v>
      </c>
      <c r="E212" s="24">
        <v>42.583333333333336</v>
      </c>
      <c r="F212" s="24">
        <v>91.610416666666652</v>
      </c>
      <c r="G212" s="24">
        <v>7.6729166666666666</v>
      </c>
      <c r="H212" s="24">
        <v>1.7999999999999998</v>
      </c>
      <c r="I212" s="24">
        <v>231.54166666666666</v>
      </c>
      <c r="J212" s="24">
        <v>4.041666666666667</v>
      </c>
      <c r="K212" s="24">
        <v>8.3333333333333329E-2</v>
      </c>
      <c r="L212" s="24">
        <v>6.3645833333333313</v>
      </c>
      <c r="M212" s="10">
        <v>9.1826790560749882E-2</v>
      </c>
      <c r="N212" s="25">
        <v>0.31327083333333344</v>
      </c>
      <c r="O212" s="25">
        <v>0.44097916666666664</v>
      </c>
      <c r="P212" s="25">
        <v>0.51874999999999993</v>
      </c>
      <c r="Q212" s="25">
        <v>0.54281250000000003</v>
      </c>
      <c r="R212" s="25">
        <v>0.47400000000000014</v>
      </c>
      <c r="S212" s="25">
        <v>0.36804166666666666</v>
      </c>
      <c r="T212" s="25">
        <v>0.38887499999999992</v>
      </c>
      <c r="U212" s="25">
        <v>0.34170833333333323</v>
      </c>
      <c r="V212" s="25">
        <v>-113.13125000000004</v>
      </c>
      <c r="W212" s="25">
        <v>-91.904166666666654</v>
      </c>
      <c r="X212" s="25">
        <v>-22.383958333333336</v>
      </c>
      <c r="Y212" s="25">
        <v>-21.901041666666668</v>
      </c>
      <c r="Z212" s="25">
        <v>-59.942291666666677</v>
      </c>
      <c r="AA212" s="25">
        <v>-47.700625000000009</v>
      </c>
      <c r="AB212" s="25">
        <v>-39.866250000000001</v>
      </c>
      <c r="AC212" s="25">
        <v>-32.919999999999995</v>
      </c>
      <c r="AD212" s="25">
        <v>-52.260416666666679</v>
      </c>
      <c r="AE212" s="25">
        <v>-34.802083333333321</v>
      </c>
      <c r="AF212" s="25">
        <v>-24.808333333333348</v>
      </c>
      <c r="AG212" s="25">
        <v>-20.452083333333334</v>
      </c>
      <c r="AH212" s="25">
        <v>-393.39375000000001</v>
      </c>
      <c r="AI212" s="25">
        <v>-22.922916666666662</v>
      </c>
      <c r="AJ212" s="25">
        <v>-11.772916666666667</v>
      </c>
      <c r="AK212" s="25">
        <v>-11.78125</v>
      </c>
      <c r="AL212" s="25">
        <v>14.991666666666676</v>
      </c>
      <c r="AM212" s="25">
        <v>15.693749999999994</v>
      </c>
      <c r="AN212" s="25">
        <v>15.779166666666669</v>
      </c>
      <c r="AO212" s="25">
        <v>15.739583333333341</v>
      </c>
      <c r="AP212" s="25">
        <v>13.695833333333338</v>
      </c>
      <c r="AQ212" s="25">
        <v>15.229166666666664</v>
      </c>
      <c r="AR212" s="25">
        <v>15.645833333333336</v>
      </c>
      <c r="AS212" s="25">
        <v>15.847916666666661</v>
      </c>
      <c r="AT212" s="25">
        <v>0.19208333333333327</v>
      </c>
      <c r="AU212" s="25">
        <v>0.12447916666666665</v>
      </c>
      <c r="AV212" s="25">
        <v>0.22954166666666678</v>
      </c>
      <c r="AW212" s="25">
        <v>-163.73194444444445</v>
      </c>
      <c r="AX212" s="25">
        <v>-300.76513888888888</v>
      </c>
      <c r="AY212" s="25">
        <v>-323.67354166666655</v>
      </c>
      <c r="AZ212" s="25"/>
      <c r="BA212" s="25">
        <v>-4951.0270833333352</v>
      </c>
      <c r="BB212" s="25">
        <v>-676.23645833333353</v>
      </c>
      <c r="BC212" s="25">
        <v>12.413055555555552</v>
      </c>
      <c r="BD212" s="25">
        <v>12.772916666666665</v>
      </c>
      <c r="BE212" s="25">
        <v>14.549791666666669</v>
      </c>
    </row>
    <row r="213" spans="1:57" x14ac:dyDescent="0.25">
      <c r="A213" s="1">
        <v>13.9</v>
      </c>
      <c r="B213" s="1">
        <v>6</v>
      </c>
      <c r="C213" s="22"/>
      <c r="D213" s="23">
        <v>43920</v>
      </c>
      <c r="E213" s="24">
        <v>76.8125</v>
      </c>
      <c r="F213" s="24">
        <v>86.093749999999986</v>
      </c>
      <c r="G213" s="24">
        <v>8.9374999999999982</v>
      </c>
      <c r="H213" s="24">
        <v>0.2</v>
      </c>
      <c r="I213" s="24">
        <v>232.08333333333334</v>
      </c>
      <c r="J213" s="24">
        <v>5.770833333333333</v>
      </c>
      <c r="K213" s="24">
        <v>0.125</v>
      </c>
      <c r="L213" s="24">
        <v>6.6625000000000005</v>
      </c>
      <c r="M213" s="10">
        <v>0.17520703755611602</v>
      </c>
      <c r="N213" s="25">
        <v>0.31006249999999974</v>
      </c>
      <c r="O213" s="25">
        <v>0.43395833333333295</v>
      </c>
      <c r="P213" s="25">
        <v>0.51181250000000056</v>
      </c>
      <c r="Q213" s="25">
        <v>0.53695833333333354</v>
      </c>
      <c r="R213" s="25">
        <v>0.46700000000000008</v>
      </c>
      <c r="S213" s="25">
        <v>0.36358333333333337</v>
      </c>
      <c r="T213" s="25">
        <v>0.38533333333333314</v>
      </c>
      <c r="U213" s="25">
        <v>0.33906249999999982</v>
      </c>
      <c r="V213" s="25">
        <v>-124.46250000000003</v>
      </c>
      <c r="W213" s="25">
        <v>-102.47500000000002</v>
      </c>
      <c r="X213" s="25">
        <v>-24.253749999999997</v>
      </c>
      <c r="Y213" s="25">
        <v>-22.995624999999993</v>
      </c>
      <c r="Z213" s="25">
        <v>-64.549166666666665</v>
      </c>
      <c r="AA213" s="25">
        <v>-50.177916666666668</v>
      </c>
      <c r="AB213" s="25">
        <v>-41.536041666666669</v>
      </c>
      <c r="AC213" s="25">
        <v>-35.100416666666661</v>
      </c>
      <c r="AD213" s="25">
        <v>-57.062500000000021</v>
      </c>
      <c r="AE213" s="25">
        <v>-36.035416666666656</v>
      </c>
      <c r="AF213" s="25">
        <v>-26.379166666666677</v>
      </c>
      <c r="AG213" s="25">
        <v>-22.062499999999996</v>
      </c>
      <c r="AH213" s="25">
        <v>-427.61041666666665</v>
      </c>
      <c r="AI213" s="25">
        <v>-24.412499999999998</v>
      </c>
      <c r="AJ213" s="25">
        <v>-13.214583333333332</v>
      </c>
      <c r="AK213" s="25">
        <v>-13.383333333333335</v>
      </c>
      <c r="AL213" s="25">
        <v>14.106250000000005</v>
      </c>
      <c r="AM213" s="25">
        <v>14.814583333333339</v>
      </c>
      <c r="AN213" s="25">
        <v>15.13125</v>
      </c>
      <c r="AO213" s="25">
        <v>15.252083333333339</v>
      </c>
      <c r="AP213" s="25">
        <v>12.887499999999998</v>
      </c>
      <c r="AQ213" s="25">
        <v>14.162500000000007</v>
      </c>
      <c r="AR213" s="25">
        <v>14.585416666666658</v>
      </c>
      <c r="AS213" s="25">
        <v>14.831250000000006</v>
      </c>
      <c r="AT213" s="25">
        <v>0.19054166666666664</v>
      </c>
      <c r="AU213" s="25">
        <v>0.12425000000000001</v>
      </c>
      <c r="AV213" s="25">
        <v>0.22812499999999988</v>
      </c>
      <c r="AW213" s="25">
        <v>-167.21847222222223</v>
      </c>
      <c r="AX213" s="25">
        <v>-280.1209027777777</v>
      </c>
      <c r="AY213" s="25">
        <v>-321.37784722222227</v>
      </c>
      <c r="AZ213" s="25">
        <v>-7251.6612825166358</v>
      </c>
      <c r="BA213" s="25">
        <v>-4895.3861111111119</v>
      </c>
      <c r="BB213" s="25">
        <v>-586.37562500000001</v>
      </c>
      <c r="BC213" s="25">
        <v>12.740428639846746</v>
      </c>
      <c r="BD213" s="25">
        <v>12.857847222222219</v>
      </c>
      <c r="BE213" s="25">
        <v>13.882499999999999</v>
      </c>
    </row>
    <row r="214" spans="1:57" x14ac:dyDescent="0.25">
      <c r="A214" s="1">
        <v>24.8</v>
      </c>
      <c r="B214" s="1">
        <v>7.6</v>
      </c>
      <c r="C214" s="22"/>
      <c r="D214" s="23">
        <v>43921</v>
      </c>
      <c r="E214" s="24">
        <v>234.125</v>
      </c>
      <c r="F214" s="24">
        <v>67.722916666666677</v>
      </c>
      <c r="G214" s="24">
        <v>14.160416666666665</v>
      </c>
      <c r="H214" s="24">
        <v>0</v>
      </c>
      <c r="I214" s="24">
        <v>198.64583333333334</v>
      </c>
      <c r="J214" s="24">
        <v>5.416666666666667</v>
      </c>
      <c r="K214" s="24">
        <v>0.41666666666666669</v>
      </c>
      <c r="L214" s="24">
        <v>7.625</v>
      </c>
      <c r="M214" s="10">
        <v>0.66547207780281026</v>
      </c>
      <c r="N214" s="25">
        <v>0.3074166666666665</v>
      </c>
      <c r="O214" s="25">
        <v>0.42912500000000003</v>
      </c>
      <c r="P214" s="25">
        <v>0.5069583333333334</v>
      </c>
      <c r="Q214" s="25">
        <v>0.5314374999999999</v>
      </c>
      <c r="R214" s="25">
        <v>0.46377083333333297</v>
      </c>
      <c r="S214" s="25">
        <v>0.35918749999999994</v>
      </c>
      <c r="T214" s="25">
        <v>0.3801250000000001</v>
      </c>
      <c r="U214" s="25">
        <v>0.33495833333333364</v>
      </c>
      <c r="V214" s="25">
        <v>-128.33541666666665</v>
      </c>
      <c r="W214" s="25">
        <v>-109.11041666666667</v>
      </c>
      <c r="X214" s="25">
        <v>-25.942499999999999</v>
      </c>
      <c r="Y214" s="25">
        <v>-24.745833333333326</v>
      </c>
      <c r="Z214" s="25">
        <v>-67.364583333333329</v>
      </c>
      <c r="AA214" s="25">
        <v>-53.486666666666672</v>
      </c>
      <c r="AB214" s="25">
        <v>-44.289166666666667</v>
      </c>
      <c r="AC214" s="25">
        <v>-37.580416666666665</v>
      </c>
      <c r="AD214" s="25">
        <v>-64.889583333333348</v>
      </c>
      <c r="AE214" s="25">
        <v>-42.116666666666674</v>
      </c>
      <c r="AF214" s="25">
        <v>-30.250000000000014</v>
      </c>
      <c r="AG214" s="25">
        <v>-25.945833333333336</v>
      </c>
      <c r="AH214" s="25">
        <v>-444.73125000000005</v>
      </c>
      <c r="AI214" s="25">
        <v>-26.268750000000001</v>
      </c>
      <c r="AJ214" s="25">
        <v>-14.750000000000002</v>
      </c>
      <c r="AK214" s="25">
        <v>-15.487500000000002</v>
      </c>
      <c r="AL214" s="25">
        <v>14.147916666666665</v>
      </c>
      <c r="AM214" s="25">
        <v>14.439583333333331</v>
      </c>
      <c r="AN214" s="25">
        <v>14.68958333333334</v>
      </c>
      <c r="AO214" s="25">
        <v>14.833333333333348</v>
      </c>
      <c r="AP214" s="25">
        <v>14.033333333333331</v>
      </c>
      <c r="AQ214" s="25">
        <v>14.19791666666667</v>
      </c>
      <c r="AR214" s="25">
        <v>14.31666666666667</v>
      </c>
      <c r="AS214" s="25">
        <v>14.427083333333334</v>
      </c>
      <c r="AT214" s="25">
        <v>0.19049999999999995</v>
      </c>
      <c r="AU214" s="25">
        <v>0.12029729729729734</v>
      </c>
      <c r="AV214" s="25">
        <v>0.23008333333333331</v>
      </c>
      <c r="AW214" s="25">
        <v>-166.86430555555552</v>
      </c>
      <c r="AX214" s="25">
        <v>-288.99298611111118</v>
      </c>
      <c r="AY214" s="25">
        <v>-310.65152777777786</v>
      </c>
      <c r="AZ214" s="25">
        <v>-5735.8557610241805</v>
      </c>
      <c r="BA214" s="25">
        <v>-4085.2722222222205</v>
      </c>
      <c r="BB214" s="25">
        <v>-622.21798611111137</v>
      </c>
      <c r="BC214" s="25">
        <v>14.180042674253201</v>
      </c>
      <c r="BD214" s="25">
        <v>14.330972222222224</v>
      </c>
      <c r="BE214" s="25">
        <v>15.357499999999996</v>
      </c>
    </row>
    <row r="215" spans="1:57" x14ac:dyDescent="0.25">
      <c r="A215" s="1">
        <v>14.7</v>
      </c>
      <c r="B215" s="1">
        <v>10.6</v>
      </c>
      <c r="C215" s="22"/>
      <c r="D215" s="23">
        <v>43922</v>
      </c>
      <c r="E215" s="24">
        <v>48.166666666666664</v>
      </c>
      <c r="F215" s="24">
        <v>85.752083333333317</v>
      </c>
      <c r="G215" s="24">
        <v>12.279166666666667</v>
      </c>
      <c r="H215" s="24">
        <v>0.4</v>
      </c>
      <c r="I215" s="24">
        <v>209.77083333333334</v>
      </c>
      <c r="J215" s="24">
        <v>5.958333333333333</v>
      </c>
      <c r="K215" s="24">
        <v>0.5625</v>
      </c>
      <c r="L215" s="24">
        <v>9.9208333333333343</v>
      </c>
      <c r="M215" s="10">
        <v>0.21057889176020972</v>
      </c>
      <c r="N215" s="25">
        <v>0.30543750000000003</v>
      </c>
      <c r="O215" s="25">
        <v>0.42716666666666664</v>
      </c>
      <c r="P215" s="25">
        <v>0.50587500000000007</v>
      </c>
      <c r="Q215" s="25">
        <v>0.52802083333333372</v>
      </c>
      <c r="R215" s="25">
        <v>0.46166666666666661</v>
      </c>
      <c r="S215" s="25">
        <v>0.35527083333333315</v>
      </c>
      <c r="T215" s="25">
        <v>0.37512499999999999</v>
      </c>
      <c r="U215" s="25">
        <v>0.33091666666666669</v>
      </c>
      <c r="V215" s="25">
        <v>-132.76041666666671</v>
      </c>
      <c r="W215" s="25">
        <v>-111.40416666666664</v>
      </c>
      <c r="X215" s="25">
        <v>-27.23458333333333</v>
      </c>
      <c r="Y215" s="25">
        <v>-26.774583333333336</v>
      </c>
      <c r="Z215" s="25">
        <v>-70.139791666666653</v>
      </c>
      <c r="AA215" s="25">
        <v>-57.68666666666666</v>
      </c>
      <c r="AB215" s="25">
        <v>-48.348958333333321</v>
      </c>
      <c r="AC215" s="25">
        <v>-40.624375000000008</v>
      </c>
      <c r="AD215" s="25">
        <v>-74.245833333333323</v>
      </c>
      <c r="AE215" s="25">
        <v>-51.906249999999993</v>
      </c>
      <c r="AF215" s="25">
        <v>-34.266666666666659</v>
      </c>
      <c r="AG215" s="25">
        <v>-28.731250000000006</v>
      </c>
      <c r="AH215" s="25">
        <v>-461.38958333333329</v>
      </c>
      <c r="AI215" s="25">
        <v>-28.677083333333339</v>
      </c>
      <c r="AJ215" s="25">
        <v>-16.581250000000001</v>
      </c>
      <c r="AK215" s="25">
        <v>-18.320833333333333</v>
      </c>
      <c r="AL215" s="25">
        <v>14.641666666666678</v>
      </c>
      <c r="AM215" s="25">
        <v>14.66250000000001</v>
      </c>
      <c r="AN215" s="25">
        <v>14.616666666666674</v>
      </c>
      <c r="AO215" s="25">
        <v>14.700000000000008</v>
      </c>
      <c r="AP215" s="25">
        <v>14.664583333333328</v>
      </c>
      <c r="AQ215" s="25">
        <v>15.002083333333319</v>
      </c>
      <c r="AR215" s="25">
        <v>14.908333333333323</v>
      </c>
      <c r="AS215" s="25">
        <v>14.847916666666654</v>
      </c>
      <c r="AT215" s="25">
        <v>0.1887291666666667</v>
      </c>
      <c r="AU215" s="25">
        <v>0.11695238095238089</v>
      </c>
      <c r="AV215" s="25">
        <v>0.23012500000000014</v>
      </c>
      <c r="AW215" s="25">
        <v>-178.60583333333332</v>
      </c>
      <c r="AX215" s="25">
        <v>-313.7728472222222</v>
      </c>
      <c r="AY215" s="25">
        <v>-315.15673611111117</v>
      </c>
      <c r="AZ215" s="25">
        <v>-6345.5197069943297</v>
      </c>
      <c r="BA215" s="25">
        <v>-4142.7430555555557</v>
      </c>
      <c r="BB215" s="25">
        <v>-713.65430555555542</v>
      </c>
      <c r="BC215" s="25">
        <v>14.434855072463771</v>
      </c>
      <c r="BD215" s="25">
        <v>14.22340277777778</v>
      </c>
      <c r="BE215" s="25">
        <v>14.937083333333335</v>
      </c>
    </row>
    <row r="216" spans="1:57" x14ac:dyDescent="0.25">
      <c r="A216" s="1">
        <v>12.7</v>
      </c>
      <c r="B216" s="1">
        <v>8.8000000000000007</v>
      </c>
      <c r="C216" s="22"/>
      <c r="D216" s="23">
        <v>43923</v>
      </c>
      <c r="E216" s="24">
        <v>30.479166666666668</v>
      </c>
      <c r="F216" s="24">
        <v>95.21875</v>
      </c>
      <c r="G216" s="24">
        <v>10.74375</v>
      </c>
      <c r="H216" s="24">
        <v>1.9</v>
      </c>
      <c r="I216" s="24">
        <v>231.25</v>
      </c>
      <c r="J216" s="24">
        <v>5.333333333333333</v>
      </c>
      <c r="K216" s="24">
        <v>0.35416666666666669</v>
      </c>
      <c r="L216" s="24">
        <v>10.010416666666666</v>
      </c>
      <c r="M216" s="10">
        <v>6.3064634680728385E-2</v>
      </c>
      <c r="N216" s="25">
        <v>0.30220833333333313</v>
      </c>
      <c r="O216" s="25">
        <v>0.42287500000000017</v>
      </c>
      <c r="P216" s="25">
        <v>0.50281249999999977</v>
      </c>
      <c r="Q216" s="25">
        <v>0.52589583333333301</v>
      </c>
      <c r="R216" s="25">
        <v>0.45827083333333324</v>
      </c>
      <c r="S216" s="25">
        <v>0.35374999999999984</v>
      </c>
      <c r="T216" s="25">
        <v>0.37395833333333345</v>
      </c>
      <c r="U216" s="25">
        <v>0.32985416666666678</v>
      </c>
      <c r="V216" s="25">
        <v>-144.02291666666665</v>
      </c>
      <c r="W216" s="25">
        <v>-118.94166666666665</v>
      </c>
      <c r="X216" s="25">
        <v>-28.906874999999996</v>
      </c>
      <c r="Y216" s="25">
        <v>-27.780416666666657</v>
      </c>
      <c r="Z216" s="25">
        <v>-73.498958333333348</v>
      </c>
      <c r="AA216" s="25">
        <v>-61.184583333333329</v>
      </c>
      <c r="AB216" s="25">
        <v>-51.474583333333321</v>
      </c>
      <c r="AC216" s="25">
        <v>-43.321875000000006</v>
      </c>
      <c r="AD216" s="25">
        <v>-78.414583333333354</v>
      </c>
      <c r="AE216" s="25">
        <v>-55.404166666666661</v>
      </c>
      <c r="AF216" s="25">
        <v>-34.747916666666676</v>
      </c>
      <c r="AG216" s="25">
        <v>-28.64791666666666</v>
      </c>
      <c r="AH216" s="25">
        <v>-469.09791666666661</v>
      </c>
      <c r="AI216" s="25">
        <v>-31.212500000000006</v>
      </c>
      <c r="AJ216" s="25">
        <v>-18.577083333333331</v>
      </c>
      <c r="AK216" s="25">
        <v>-20.420833333333338</v>
      </c>
      <c r="AL216" s="25">
        <v>14.270833333333336</v>
      </c>
      <c r="AM216" s="25">
        <v>14.510416666666659</v>
      </c>
      <c r="AN216" s="25">
        <v>14.575000000000008</v>
      </c>
      <c r="AO216" s="25">
        <v>14.658333333333339</v>
      </c>
      <c r="AP216" s="25">
        <v>13.839583333333332</v>
      </c>
      <c r="AQ216" s="25">
        <v>14.504166666666654</v>
      </c>
      <c r="AR216" s="25">
        <v>14.587499999999999</v>
      </c>
      <c r="AS216" s="25">
        <v>14.61875</v>
      </c>
      <c r="AT216" s="25">
        <v>0.18831249999999999</v>
      </c>
      <c r="AU216" s="25">
        <v>0.1158333333333333</v>
      </c>
      <c r="AV216" s="25">
        <v>0.22897916666666651</v>
      </c>
      <c r="AW216" s="25">
        <v>-185.97743055555563</v>
      </c>
      <c r="AX216" s="25">
        <v>-306.73937499999994</v>
      </c>
      <c r="AY216" s="25">
        <v>-324.12409722222213</v>
      </c>
      <c r="AZ216" s="25">
        <v>-7499.8173611111115</v>
      </c>
      <c r="BA216" s="25">
        <v>-4391.4715277777777</v>
      </c>
      <c r="BB216" s="25">
        <v>-713.55423611111109</v>
      </c>
      <c r="BC216" s="25">
        <v>13.567847222222222</v>
      </c>
      <c r="BD216" s="25">
        <v>13.560694444444438</v>
      </c>
      <c r="BE216" s="25">
        <v>14.295416666666668</v>
      </c>
    </row>
    <row r="217" spans="1:57" x14ac:dyDescent="0.25">
      <c r="A217" s="1">
        <v>12.7</v>
      </c>
      <c r="B217" s="1">
        <v>7.3</v>
      </c>
      <c r="C217" s="22"/>
      <c r="D217" s="23">
        <v>43924</v>
      </c>
      <c r="E217" s="24">
        <v>54.916666666666664</v>
      </c>
      <c r="F217" s="24">
        <v>92.175000000000011</v>
      </c>
      <c r="G217" s="24">
        <v>8.9312500000000004</v>
      </c>
      <c r="H217" s="24">
        <v>1</v>
      </c>
      <c r="I217" s="24">
        <v>205.02083333333334</v>
      </c>
      <c r="J217" s="24">
        <v>4.354166666666667</v>
      </c>
      <c r="K217" s="24">
        <v>6.25E-2</v>
      </c>
      <c r="L217" s="24">
        <v>7.6833333333333345</v>
      </c>
      <c r="M217" s="10">
        <v>9.7337113424867852E-2</v>
      </c>
      <c r="N217" s="25">
        <v>0.2995833333333332</v>
      </c>
      <c r="O217" s="25">
        <v>0.41889583333333347</v>
      </c>
      <c r="P217" s="25">
        <v>0.49950000000000033</v>
      </c>
      <c r="Q217" s="25">
        <v>0.52256249999999971</v>
      </c>
      <c r="R217" s="25">
        <v>0.4546041666666667</v>
      </c>
      <c r="S217" s="25">
        <v>0.35214583333333299</v>
      </c>
      <c r="T217" s="25">
        <v>0.37258333333333327</v>
      </c>
      <c r="U217" s="25">
        <v>0.32906249999999992</v>
      </c>
      <c r="V217" s="25">
        <v>-156.07291666666669</v>
      </c>
      <c r="W217" s="25">
        <v>-126.83750000000002</v>
      </c>
      <c r="X217" s="25">
        <v>-30.644166666666663</v>
      </c>
      <c r="Y217" s="25">
        <v>-28.572916666666668</v>
      </c>
      <c r="Z217" s="25">
        <v>-78.033333333333346</v>
      </c>
      <c r="AA217" s="25">
        <v>-63.277916666666677</v>
      </c>
      <c r="AB217" s="25">
        <v>-53.22479166666664</v>
      </c>
      <c r="AC217" s="25">
        <v>-45.248333333333342</v>
      </c>
      <c r="AD217" s="25">
        <v>-82.485416666666694</v>
      </c>
      <c r="AE217" s="25">
        <v>-57.393750000000011</v>
      </c>
      <c r="AF217" s="25">
        <v>-35.462499999999999</v>
      </c>
      <c r="AG217" s="25">
        <v>-29.210416666666678</v>
      </c>
      <c r="AH217" s="25">
        <v>-472.41458333333338</v>
      </c>
      <c r="AI217" s="25">
        <v>-33.639583333333341</v>
      </c>
      <c r="AJ217" s="25">
        <v>-20.297916666666666</v>
      </c>
      <c r="AK217" s="25">
        <v>-22.189583333333335</v>
      </c>
      <c r="AL217" s="25">
        <v>13.70625000000001</v>
      </c>
      <c r="AM217" s="25">
        <v>14.222916666666677</v>
      </c>
      <c r="AN217" s="25">
        <v>14.410416666666649</v>
      </c>
      <c r="AO217" s="25">
        <v>14.52708333333333</v>
      </c>
      <c r="AP217" s="25">
        <v>12.906250000000002</v>
      </c>
      <c r="AQ217" s="25">
        <v>13.841666666666677</v>
      </c>
      <c r="AR217" s="25">
        <v>14.089583333333328</v>
      </c>
      <c r="AS217" s="25">
        <v>14.20208333333334</v>
      </c>
      <c r="AT217" s="25">
        <v>0.18795833333333331</v>
      </c>
      <c r="AU217" s="25">
        <v>0.11580851063829782</v>
      </c>
      <c r="AV217" s="25">
        <v>0.22789583333333333</v>
      </c>
      <c r="AW217" s="25">
        <v>-192.39555555555555</v>
      </c>
      <c r="AX217" s="25">
        <v>-293.4780555555555</v>
      </c>
      <c r="AY217" s="25">
        <v>-324.96055555555557</v>
      </c>
      <c r="AZ217" s="25">
        <v>-7063.4161625708894</v>
      </c>
      <c r="BA217" s="25">
        <v>-4579.9430555555564</v>
      </c>
      <c r="BB217" s="25">
        <v>-711.32611111111135</v>
      </c>
      <c r="BC217" s="25">
        <v>12.677627599243861</v>
      </c>
      <c r="BD217" s="25">
        <v>12.771388888888891</v>
      </c>
      <c r="BE217" s="25">
        <v>13.631319444444443</v>
      </c>
    </row>
    <row r="218" spans="1:57" x14ac:dyDescent="0.25">
      <c r="A218" s="1">
        <v>11.1</v>
      </c>
      <c r="B218" s="1">
        <v>7.4</v>
      </c>
      <c r="C218" s="22"/>
      <c r="D218" s="23">
        <v>43925</v>
      </c>
      <c r="E218" s="24">
        <v>36.5</v>
      </c>
      <c r="F218" s="24">
        <v>89.304166666666674</v>
      </c>
      <c r="G218" s="24">
        <v>8.5333333333333368</v>
      </c>
      <c r="H218" s="24">
        <v>0</v>
      </c>
      <c r="I218" s="24">
        <v>195.54166666666666</v>
      </c>
      <c r="J218" s="24">
        <v>3.4375</v>
      </c>
      <c r="K218" s="24">
        <v>0</v>
      </c>
      <c r="L218" s="24">
        <v>6.8500000000000005</v>
      </c>
      <c r="M218" s="10">
        <v>0.12296387100042511</v>
      </c>
      <c r="N218" s="25">
        <v>0.2969166666666665</v>
      </c>
      <c r="O218" s="25">
        <v>0.41470833333333323</v>
      </c>
      <c r="P218" s="25">
        <v>0.4956666666666667</v>
      </c>
      <c r="Q218" s="25">
        <v>0.51902083333333338</v>
      </c>
      <c r="R218" s="25">
        <v>0.45068749999999985</v>
      </c>
      <c r="S218" s="25">
        <v>0.34958333333333336</v>
      </c>
      <c r="T218" s="25">
        <v>0.3703749999999999</v>
      </c>
      <c r="U218" s="25">
        <v>0.32718750000000019</v>
      </c>
      <c r="V218" s="25">
        <v>-167.22291666666669</v>
      </c>
      <c r="W218" s="25">
        <v>-135.31666666666675</v>
      </c>
      <c r="X218" s="25">
        <v>-32.538958333333333</v>
      </c>
      <c r="Y218" s="25">
        <v>-29.872291666666669</v>
      </c>
      <c r="Z218" s="25">
        <v>-82.820833333333312</v>
      </c>
      <c r="AA218" s="25">
        <v>-66.163333333333341</v>
      </c>
      <c r="AB218" s="25">
        <v>-55.444791666666674</v>
      </c>
      <c r="AC218" s="25">
        <v>-47.538958333333319</v>
      </c>
      <c r="AD218" s="25">
        <v>-93.422916666666694</v>
      </c>
      <c r="AE218" s="25">
        <v>-62.293749999999996</v>
      </c>
      <c r="AF218" s="25">
        <v>-37.622916666666647</v>
      </c>
      <c r="AG218" s="25">
        <v>-30.402083333333334</v>
      </c>
      <c r="AH218" s="25">
        <v>-471.972916666667</v>
      </c>
      <c r="AI218" s="25">
        <v>-36.556249999999999</v>
      </c>
      <c r="AJ218" s="25">
        <v>-21.783333333333331</v>
      </c>
      <c r="AK218" s="25">
        <v>-23.993750000000002</v>
      </c>
      <c r="AL218" s="25">
        <v>13.170833333333343</v>
      </c>
      <c r="AM218" s="25">
        <v>13.804166666666669</v>
      </c>
      <c r="AN218" s="25">
        <v>14.141666666666671</v>
      </c>
      <c r="AO218" s="25">
        <v>14.308333333333351</v>
      </c>
      <c r="AP218" s="25">
        <v>12.216666666666667</v>
      </c>
      <c r="AQ218" s="25">
        <v>13.231250000000012</v>
      </c>
      <c r="AR218" s="25">
        <v>13.541666666666655</v>
      </c>
      <c r="AS218" s="25">
        <v>13.710416666666674</v>
      </c>
      <c r="AT218" s="25">
        <v>0.1871666666666667</v>
      </c>
      <c r="AU218" s="25">
        <v>0.11504166666666681</v>
      </c>
      <c r="AV218" s="25">
        <v>0.22681250000000017</v>
      </c>
      <c r="AW218" s="25">
        <v>-197.71583333333328</v>
      </c>
      <c r="AX218" s="25">
        <v>-280.53437499999995</v>
      </c>
      <c r="AY218" s="25">
        <v>-323.45416666666659</v>
      </c>
      <c r="AZ218" s="25">
        <v>-6656.739815527505</v>
      </c>
      <c r="BA218" s="25">
        <v>-4850.3833333333332</v>
      </c>
      <c r="BB218" s="25">
        <v>-696.42763888888885</v>
      </c>
      <c r="BC218" s="25">
        <v>12.087919831007115</v>
      </c>
      <c r="BD218" s="25">
        <v>12.176666666666662</v>
      </c>
      <c r="BE218" s="25">
        <v>13.047777777777776</v>
      </c>
    </row>
    <row r="219" spans="1:57" x14ac:dyDescent="0.25">
      <c r="A219" s="1">
        <v>10.1</v>
      </c>
      <c r="B219" s="1">
        <v>7.1</v>
      </c>
      <c r="C219" s="22"/>
      <c r="D219" s="23">
        <v>43926</v>
      </c>
      <c r="E219" s="24">
        <v>28.5</v>
      </c>
      <c r="F219" s="24">
        <v>91.652083333333351</v>
      </c>
      <c r="G219" s="24">
        <v>8.25</v>
      </c>
      <c r="H219" s="24">
        <v>1.1000000000000001</v>
      </c>
      <c r="I219" s="24">
        <v>123.9375</v>
      </c>
      <c r="J219" s="24">
        <v>2.4583333333333335</v>
      </c>
      <c r="K219" s="24">
        <v>0</v>
      </c>
      <c r="L219" s="24">
        <v>6.95</v>
      </c>
      <c r="M219" s="10">
        <v>9.4597963732529378E-2</v>
      </c>
      <c r="N219" s="25">
        <v>0.29450000000000015</v>
      </c>
      <c r="O219" s="25">
        <v>0.41058333333333308</v>
      </c>
      <c r="P219" s="25">
        <v>0.49200000000000005</v>
      </c>
      <c r="Q219" s="25">
        <v>0.51510416666666681</v>
      </c>
      <c r="R219" s="25">
        <v>0.4476041666666663</v>
      </c>
      <c r="S219" s="25">
        <v>0.34764583333333327</v>
      </c>
      <c r="T219" s="25">
        <v>0.3687708333333331</v>
      </c>
      <c r="U219" s="25">
        <v>0.32554166666666634</v>
      </c>
      <c r="V219" s="25">
        <v>-177.34583333333339</v>
      </c>
      <c r="W219" s="25">
        <v>-143.68958333333327</v>
      </c>
      <c r="X219" s="25">
        <v>-34.515208333333341</v>
      </c>
      <c r="Y219" s="25">
        <v>-31.257708333333337</v>
      </c>
      <c r="Z219" s="25">
        <v>-87.327083333333334</v>
      </c>
      <c r="AA219" s="25">
        <v>-69.208124999999995</v>
      </c>
      <c r="AB219" s="25">
        <v>-57.869791666666657</v>
      </c>
      <c r="AC219" s="25">
        <v>-49.969791666666659</v>
      </c>
      <c r="AD219" s="25">
        <v>-103.50208333333335</v>
      </c>
      <c r="AE219" s="25">
        <v>-65.883333333333326</v>
      </c>
      <c r="AF219" s="25">
        <v>-39.360416666666673</v>
      </c>
      <c r="AG219" s="25">
        <v>-31.314583333333307</v>
      </c>
      <c r="AH219" s="25">
        <v>-468.87500000000028</v>
      </c>
      <c r="AI219" s="25">
        <v>-39.558333333333344</v>
      </c>
      <c r="AJ219" s="25">
        <v>-23.033333333333331</v>
      </c>
      <c r="AK219" s="25">
        <v>-25.370833333333326</v>
      </c>
      <c r="AL219" s="25">
        <v>12.725000000000009</v>
      </c>
      <c r="AM219" s="25">
        <v>13.397916666666665</v>
      </c>
      <c r="AN219" s="25">
        <v>13.825000000000008</v>
      </c>
      <c r="AO219" s="25">
        <v>14.064583333333333</v>
      </c>
      <c r="AP219" s="25">
        <v>11.725000000000003</v>
      </c>
      <c r="AQ219" s="25">
        <v>12.747916666666677</v>
      </c>
      <c r="AR219" s="25">
        <v>13.064583333333326</v>
      </c>
      <c r="AS219" s="25">
        <v>13.245833333333342</v>
      </c>
      <c r="AT219" s="25">
        <v>0.18687500000000004</v>
      </c>
      <c r="AU219" s="25">
        <v>0.11441666666666671</v>
      </c>
      <c r="AV219" s="25">
        <v>0.2256250000000001</v>
      </c>
      <c r="AW219" s="25">
        <v>-201.71875</v>
      </c>
      <c r="AX219" s="25">
        <v>-271.10576388888893</v>
      </c>
      <c r="AY219" s="25">
        <v>-321.40208333333334</v>
      </c>
      <c r="AZ219" s="25">
        <v>-6201.3354166666677</v>
      </c>
      <c r="BA219" s="25">
        <v>-5115.0305555555551</v>
      </c>
      <c r="BB219" s="25">
        <v>-675.89020833333325</v>
      </c>
      <c r="BC219" s="25">
        <v>11.69361111111111</v>
      </c>
      <c r="BD219" s="25">
        <v>11.842083333333335</v>
      </c>
      <c r="BE219" s="25">
        <v>12.601041666666665</v>
      </c>
    </row>
    <row r="220" spans="1:57" x14ac:dyDescent="0.25">
      <c r="A220" s="1">
        <v>12.7</v>
      </c>
      <c r="B220" s="1">
        <v>6.9</v>
      </c>
      <c r="C220" s="22"/>
      <c r="D220" s="23">
        <v>43927</v>
      </c>
      <c r="E220" s="24">
        <v>58.208333333333336</v>
      </c>
      <c r="F220" s="24">
        <v>86.004166666666649</v>
      </c>
      <c r="G220" s="24">
        <v>9.2666666666666675</v>
      </c>
      <c r="H220" s="24">
        <v>0.2</v>
      </c>
      <c r="I220" s="24">
        <v>254.16666666666666</v>
      </c>
      <c r="J220" s="24">
        <v>2.125</v>
      </c>
      <c r="K220" s="24">
        <v>0</v>
      </c>
      <c r="L220" s="24">
        <v>6.9562499999999998</v>
      </c>
      <c r="M220" s="10">
        <v>0.17780428443086627</v>
      </c>
      <c r="N220" s="25">
        <v>0.29349999999999987</v>
      </c>
      <c r="O220" s="25">
        <v>0.40714583333333332</v>
      </c>
      <c r="P220" s="25">
        <v>0.48868749999999977</v>
      </c>
      <c r="Q220" s="25">
        <v>0.510625</v>
      </c>
      <c r="R220" s="25">
        <v>0.44535416666666688</v>
      </c>
      <c r="S220" s="25">
        <v>0.34579166666666672</v>
      </c>
      <c r="T220" s="25">
        <v>0.3668749999999999</v>
      </c>
      <c r="U220" s="25">
        <v>0.32331249999999973</v>
      </c>
      <c r="V220" s="25">
        <v>-183.95416666666668</v>
      </c>
      <c r="W220" s="25">
        <v>-150.56874999999999</v>
      </c>
      <c r="X220" s="25">
        <v>-36.321041666666659</v>
      </c>
      <c r="Y220" s="25">
        <v>-32.651041666666664</v>
      </c>
      <c r="Z220" s="25">
        <v>-90.833333333333272</v>
      </c>
      <c r="AA220" s="25">
        <v>-71.853958333333324</v>
      </c>
      <c r="AB220" s="25">
        <v>-60.087291666666665</v>
      </c>
      <c r="AC220" s="25">
        <v>-52.249375000000008</v>
      </c>
      <c r="AD220" s="25">
        <v>-114.89583333333331</v>
      </c>
      <c r="AE220" s="25">
        <v>-71.237499999999997</v>
      </c>
      <c r="AF220" s="25">
        <v>-41.964583333333323</v>
      </c>
      <c r="AG220" s="25">
        <v>-33.502083333333331</v>
      </c>
      <c r="AH220" s="25">
        <v>-481.56041666666664</v>
      </c>
      <c r="AI220" s="25">
        <v>-41.937500000000007</v>
      </c>
      <c r="AJ220" s="25">
        <v>-24.064583333333356</v>
      </c>
      <c r="AK220" s="25">
        <v>-25.802083333333329</v>
      </c>
      <c r="AL220" s="25">
        <v>12.535416666666672</v>
      </c>
      <c r="AM220" s="25">
        <v>13.095833333333339</v>
      </c>
      <c r="AN220" s="25">
        <v>13.508333333333326</v>
      </c>
      <c r="AO220" s="25">
        <v>13.777083333333339</v>
      </c>
      <c r="AP220" s="25">
        <v>11.704166666666671</v>
      </c>
      <c r="AQ220" s="25">
        <v>12.504166666666665</v>
      </c>
      <c r="AR220" s="25">
        <v>12.77291666666666</v>
      </c>
      <c r="AS220" s="25">
        <v>12.908333333333326</v>
      </c>
      <c r="AT220" s="25">
        <v>0.18658333333333341</v>
      </c>
      <c r="AU220" s="25">
        <v>0.11433333333333338</v>
      </c>
      <c r="AV220" s="25">
        <v>0.22558333333333347</v>
      </c>
      <c r="AW220" s="25">
        <v>-203.26166666666657</v>
      </c>
      <c r="AX220" s="25">
        <v>-268.64840277777779</v>
      </c>
      <c r="AY220" s="25">
        <v>-321.19062500000001</v>
      </c>
      <c r="AZ220" s="25">
        <v>-5805.0566744849366</v>
      </c>
      <c r="BA220" s="25">
        <v>-5116.8902777777776</v>
      </c>
      <c r="BB220" s="25">
        <v>-636.46958333333316</v>
      </c>
      <c r="BC220" s="25">
        <v>11.904024309024313</v>
      </c>
      <c r="BD220" s="25">
        <v>12.10416666666667</v>
      </c>
      <c r="BE220" s="25">
        <v>12.557500000000003</v>
      </c>
    </row>
    <row r="221" spans="1:57" x14ac:dyDescent="0.25">
      <c r="A221" s="1">
        <v>14.6</v>
      </c>
      <c r="B221" s="1">
        <v>6.8</v>
      </c>
      <c r="C221" s="22"/>
      <c r="D221" s="23">
        <v>43928</v>
      </c>
      <c r="E221" s="24">
        <v>81.583333333333329</v>
      </c>
      <c r="F221" s="24">
        <v>79.072916666666657</v>
      </c>
      <c r="G221" s="24">
        <v>10.839583333333335</v>
      </c>
      <c r="H221" s="24">
        <v>0.2</v>
      </c>
      <c r="I221" s="24">
        <v>167.10416666666666</v>
      </c>
      <c r="J221" s="24">
        <v>1.7916666666666667</v>
      </c>
      <c r="K221" s="24">
        <v>0</v>
      </c>
      <c r="L221" s="24">
        <v>7.1812499999999986</v>
      </c>
      <c r="M221" s="10">
        <v>0.29820034018092767</v>
      </c>
      <c r="N221" s="25">
        <v>0.29233333333333328</v>
      </c>
      <c r="O221" s="25">
        <v>0.40404166666666669</v>
      </c>
      <c r="P221" s="25">
        <v>0.48581250000000004</v>
      </c>
      <c r="Q221" s="25">
        <v>0.50660416666666663</v>
      </c>
      <c r="R221" s="25">
        <v>0.44414583333333341</v>
      </c>
      <c r="S221" s="25">
        <v>0.34316666666666684</v>
      </c>
      <c r="T221" s="25">
        <v>0.36347916666666685</v>
      </c>
      <c r="U221" s="25">
        <v>0.32054166666666695</v>
      </c>
      <c r="V221" s="25">
        <v>-187.18125000000006</v>
      </c>
      <c r="W221" s="25">
        <v>-155.39583333333334</v>
      </c>
      <c r="X221" s="25">
        <v>-38.037291666666654</v>
      </c>
      <c r="Y221" s="25">
        <v>-34.40958333333333</v>
      </c>
      <c r="Z221" s="25">
        <v>-93.383333333333326</v>
      </c>
      <c r="AA221" s="25">
        <v>-74.622499999999988</v>
      </c>
      <c r="AB221" s="25">
        <v>-62.643958333333337</v>
      </c>
      <c r="AC221" s="25">
        <v>-54.814999999999991</v>
      </c>
      <c r="AD221" s="25">
        <v>-132.66874999999999</v>
      </c>
      <c r="AE221" s="25">
        <v>-82.974999999999994</v>
      </c>
      <c r="AF221" s="25">
        <v>-48.418749999999982</v>
      </c>
      <c r="AG221" s="25">
        <v>-38.591666666666661</v>
      </c>
      <c r="AH221" s="25">
        <v>-483.07708333333335</v>
      </c>
      <c r="AI221" s="25">
        <v>-44.404166666666669</v>
      </c>
      <c r="AJ221" s="25">
        <v>-24.368749999999991</v>
      </c>
      <c r="AK221" s="25">
        <v>-26.720833333333331</v>
      </c>
      <c r="AL221" s="25">
        <v>12.631249999999996</v>
      </c>
      <c r="AM221" s="25">
        <v>13.033333333333333</v>
      </c>
      <c r="AN221" s="25">
        <v>13.354166666666659</v>
      </c>
      <c r="AO221" s="25">
        <v>13.57083333333334</v>
      </c>
      <c r="AP221" s="25">
        <v>12.043750000000003</v>
      </c>
      <c r="AQ221" s="25">
        <v>12.585416666666658</v>
      </c>
      <c r="AR221" s="25">
        <v>12.74374999999999</v>
      </c>
      <c r="AS221" s="25">
        <v>12.822916666666666</v>
      </c>
      <c r="AT221" s="25">
        <v>0.18631250000000008</v>
      </c>
      <c r="AU221" s="25">
        <v>0.11435416666666674</v>
      </c>
      <c r="AV221" s="25">
        <v>0.22591666666666677</v>
      </c>
      <c r="AW221" s="25">
        <v>-204.2296527777778</v>
      </c>
      <c r="AX221" s="25">
        <v>-274.23034722222224</v>
      </c>
      <c r="AY221" s="25">
        <v>-322.79652777777784</v>
      </c>
      <c r="AZ221" s="25">
        <v>-6695.5877840909079</v>
      </c>
      <c r="BA221" s="25">
        <v>-4942.7874999999995</v>
      </c>
      <c r="BB221" s="25">
        <v>-679.96104166666657</v>
      </c>
      <c r="BC221" s="25">
        <v>12.058342803030305</v>
      </c>
      <c r="BD221" s="25">
        <v>12.423402777777776</v>
      </c>
      <c r="BE221" s="25">
        <v>12.82979166666666</v>
      </c>
    </row>
    <row r="222" spans="1:57" x14ac:dyDescent="0.25">
      <c r="A222" s="1">
        <v>14.2</v>
      </c>
      <c r="B222" s="1">
        <v>9.1</v>
      </c>
      <c r="C222" s="22"/>
      <c r="D222" s="23">
        <v>43929</v>
      </c>
      <c r="E222" s="24">
        <v>45.270833333333336</v>
      </c>
      <c r="F222" s="24">
        <v>91.760416666666643</v>
      </c>
      <c r="G222" s="24">
        <v>10.627083333333333</v>
      </c>
      <c r="H222" s="24">
        <v>15.299999999999997</v>
      </c>
      <c r="I222" s="24">
        <v>187.27083333333334</v>
      </c>
      <c r="J222" s="24">
        <v>3.3958333333333335</v>
      </c>
      <c r="K222" s="24">
        <v>6.25E-2</v>
      </c>
      <c r="L222" s="24">
        <v>9.3083333333333318</v>
      </c>
      <c r="M222" s="10">
        <v>0.11101689694565332</v>
      </c>
      <c r="N222" s="25">
        <v>0.30454166666666643</v>
      </c>
      <c r="O222" s="25">
        <v>0.4190416666666667</v>
      </c>
      <c r="P222" s="25">
        <v>0.4954583333333335</v>
      </c>
      <c r="Q222" s="25">
        <v>0.52925</v>
      </c>
      <c r="R222" s="25">
        <v>0.47443750000000012</v>
      </c>
      <c r="S222" s="25">
        <v>0.37237499999999985</v>
      </c>
      <c r="T222" s="25">
        <v>0.36737500000000001</v>
      </c>
      <c r="U222" s="25">
        <v>0.31900000000000039</v>
      </c>
      <c r="V222" s="25">
        <v>-187.30833333333337</v>
      </c>
      <c r="W222" s="25">
        <v>-60.676250000000032</v>
      </c>
      <c r="X222" s="25">
        <v>-27.174375000000008</v>
      </c>
      <c r="Y222" s="25">
        <v>-21.115624999999998</v>
      </c>
      <c r="Z222" s="25">
        <v>-38.630416666666669</v>
      </c>
      <c r="AA222" s="25">
        <v>-34.298958333333324</v>
      </c>
      <c r="AB222" s="25">
        <v>-38.669791666666661</v>
      </c>
      <c r="AC222" s="25">
        <v>-57.230416666666677</v>
      </c>
      <c r="AD222" s="25">
        <v>-69.558333333333337</v>
      </c>
      <c r="AE222" s="25">
        <v>-63.85416666666665</v>
      </c>
      <c r="AF222" s="25">
        <v>-49.658333333333331</v>
      </c>
      <c r="AG222" s="25">
        <v>-41.022916666666674</v>
      </c>
      <c r="AH222" s="25">
        <v>-305.81875000000008</v>
      </c>
      <c r="AI222" s="25">
        <v>-41.28541666666667</v>
      </c>
      <c r="AJ222" s="25">
        <v>-23.991666666666664</v>
      </c>
      <c r="AK222" s="25">
        <v>-22.470833333333331</v>
      </c>
      <c r="AL222" s="25">
        <v>12.714583333333332</v>
      </c>
      <c r="AM222" s="25">
        <v>13.0375</v>
      </c>
      <c r="AN222" s="25">
        <v>13.279166666666681</v>
      </c>
      <c r="AO222" s="25">
        <v>13.5</v>
      </c>
      <c r="AP222" s="25">
        <v>12.345833333333333</v>
      </c>
      <c r="AQ222" s="25">
        <v>12.731250000000003</v>
      </c>
      <c r="AR222" s="25">
        <v>12.799999999999995</v>
      </c>
      <c r="AS222" s="25">
        <v>12.839583333333332</v>
      </c>
      <c r="AT222" s="25">
        <v>0.20152083333333326</v>
      </c>
      <c r="AU222" s="25">
        <v>0.18454166666666671</v>
      </c>
      <c r="AV222" s="25">
        <v>0.33016666666666677</v>
      </c>
      <c r="AW222" s="25">
        <v>-201.70194444444442</v>
      </c>
      <c r="AX222" s="25">
        <v>-66.296604166666668</v>
      </c>
      <c r="AY222" s="25">
        <v>-116.68270138888893</v>
      </c>
      <c r="AZ222" s="25">
        <v>-3223.0442565447734</v>
      </c>
      <c r="BA222" s="25">
        <v>-1087.5822916666673</v>
      </c>
      <c r="BB222" s="25">
        <v>-160.01763888888897</v>
      </c>
      <c r="BC222" s="25">
        <v>12.358046432907285</v>
      </c>
      <c r="BD222" s="25">
        <v>12.603194444444448</v>
      </c>
      <c r="BE222" s="25">
        <v>12.811388888888887</v>
      </c>
    </row>
    <row r="223" spans="1:57" x14ac:dyDescent="0.25">
      <c r="A223" s="1">
        <v>17.600000000000001</v>
      </c>
      <c r="B223" s="1">
        <v>8.6</v>
      </c>
      <c r="C223" s="22"/>
      <c r="D223" s="23">
        <v>43930</v>
      </c>
      <c r="E223" s="24">
        <v>102.45833333333333</v>
      </c>
      <c r="F223" s="24">
        <v>88.972916666666677</v>
      </c>
      <c r="G223" s="24">
        <v>12.285416666666665</v>
      </c>
      <c r="H223" s="24">
        <v>0.60000000000000009</v>
      </c>
      <c r="I223" s="24">
        <v>237.02083333333334</v>
      </c>
      <c r="J223" s="24">
        <v>7.041666666666667</v>
      </c>
      <c r="K223" s="24">
        <v>0.95833333333333337</v>
      </c>
      <c r="L223" s="24">
        <v>10.454166666666667</v>
      </c>
      <c r="M223" s="10">
        <v>0.17464138557556907</v>
      </c>
      <c r="N223" s="25">
        <v>0.30679166666666652</v>
      </c>
      <c r="O223" s="25">
        <v>0.41835416666666664</v>
      </c>
      <c r="P223" s="25">
        <v>0.49666666666666637</v>
      </c>
      <c r="Q223" s="25">
        <v>0.53220833333333295</v>
      </c>
      <c r="R223" s="25">
        <v>0.48118750000000016</v>
      </c>
      <c r="S223" s="25">
        <v>0.37710416666666674</v>
      </c>
      <c r="T223" s="25">
        <v>0.37110416666666662</v>
      </c>
      <c r="U223" s="25">
        <v>0.3190208333333337</v>
      </c>
      <c r="V223" s="25">
        <v>-176.36041666666668</v>
      </c>
      <c r="W223" s="25">
        <v>-24.757708333333337</v>
      </c>
      <c r="X223" s="25">
        <v>-19.496041666666667</v>
      </c>
      <c r="Y223" s="25">
        <v>-13.299166666666663</v>
      </c>
      <c r="Z223" s="25">
        <v>-13.153749999999997</v>
      </c>
      <c r="AA223" s="25">
        <v>-18.941041666666671</v>
      </c>
      <c r="AB223" s="25">
        <v>-30.297916666666676</v>
      </c>
      <c r="AC223" s="25">
        <v>-55.05020833333333</v>
      </c>
      <c r="AD223" s="25">
        <v>-15.7125</v>
      </c>
      <c r="AE223" s="25">
        <v>-51.297916666666673</v>
      </c>
      <c r="AF223" s="25">
        <v>-45.712500000000006</v>
      </c>
      <c r="AG223" s="25">
        <v>-39.87916666666667</v>
      </c>
      <c r="AH223" s="25">
        <v>-139.93541666666667</v>
      </c>
      <c r="AI223" s="25">
        <v>-29.068749999999998</v>
      </c>
      <c r="AJ223" s="25">
        <v>-18.897916666666664</v>
      </c>
      <c r="AK223" s="25">
        <v>-13.860416666666664</v>
      </c>
      <c r="AL223" s="25">
        <v>12.966666666666663</v>
      </c>
      <c r="AM223" s="25">
        <v>13.093750000000009</v>
      </c>
      <c r="AN223" s="25">
        <v>13.289583333333331</v>
      </c>
      <c r="AO223" s="25">
        <v>13.412499999999987</v>
      </c>
      <c r="AP223" s="25">
        <v>12.877083333333337</v>
      </c>
      <c r="AQ223" s="25">
        <v>12.987499999999999</v>
      </c>
      <c r="AR223" s="25">
        <v>12.93125</v>
      </c>
      <c r="AS223" s="25">
        <v>12.920833333333327</v>
      </c>
      <c r="AT223" s="25">
        <v>0.20864285714285713</v>
      </c>
      <c r="AU223" s="25">
        <v>0.19074999999999998</v>
      </c>
      <c r="AV223" s="25">
        <v>0.3435416666666668</v>
      </c>
      <c r="AW223" s="25">
        <v>-121.48652777777777</v>
      </c>
      <c r="AX223" s="25">
        <v>-15.816173611111116</v>
      </c>
      <c r="AY223" s="25">
        <v>-20.810736111111112</v>
      </c>
      <c r="AZ223" s="25">
        <v>-65.207698412698434</v>
      </c>
      <c r="BA223" s="25">
        <v>-10.955555555555554</v>
      </c>
      <c r="BB223" s="25">
        <v>-13.533680555555556</v>
      </c>
      <c r="BC223" s="25">
        <v>12.977865079365079</v>
      </c>
      <c r="BD223" s="25">
        <v>13.432013888888896</v>
      </c>
      <c r="BE223" s="25">
        <v>13.301250000000001</v>
      </c>
    </row>
    <row r="224" spans="1:57" x14ac:dyDescent="0.25">
      <c r="A224" s="1">
        <v>20.9</v>
      </c>
      <c r="B224" s="1">
        <v>13.2</v>
      </c>
      <c r="C224" s="22"/>
      <c r="D224" s="23">
        <v>43931</v>
      </c>
      <c r="E224" s="24">
        <v>86.8125</v>
      </c>
      <c r="F224" s="24">
        <v>86.522916666666632</v>
      </c>
      <c r="G224" s="24">
        <v>16.291666666666668</v>
      </c>
      <c r="H224" s="24">
        <v>0.4</v>
      </c>
      <c r="I224" s="24">
        <v>227.45833333333334</v>
      </c>
      <c r="J224" s="24">
        <v>11.0625</v>
      </c>
      <c r="K224" s="24">
        <v>2.4791666666666665</v>
      </c>
      <c r="L224" s="24">
        <v>13.956250000000002</v>
      </c>
      <c r="M224" s="10">
        <v>0.27457361507661576</v>
      </c>
      <c r="N224" s="25">
        <v>0.30639583333333326</v>
      </c>
      <c r="O224" s="25">
        <v>0.41727083333333342</v>
      </c>
      <c r="P224" s="25">
        <v>0.49622916666666655</v>
      </c>
      <c r="Q224" s="25">
        <v>0.53027083333333347</v>
      </c>
      <c r="R224" s="25">
        <v>0.48212500000000008</v>
      </c>
      <c r="S224" s="25">
        <v>0.37341666666666656</v>
      </c>
      <c r="T224" s="25">
        <v>0.36968749999999978</v>
      </c>
      <c r="U224" s="25">
        <v>0.31879166666666681</v>
      </c>
      <c r="V224" s="25">
        <v>-158.49374999999995</v>
      </c>
      <c r="W224" s="25">
        <v>-25.394374999999997</v>
      </c>
      <c r="X224" s="25">
        <v>-18.853333333333335</v>
      </c>
      <c r="Y224" s="25">
        <v>-13.298333333333339</v>
      </c>
      <c r="Z224" s="25">
        <v>-13.207708333333336</v>
      </c>
      <c r="AA224" s="25">
        <v>-28.524583333333329</v>
      </c>
      <c r="AB224" s="25">
        <v>-38.794791666666661</v>
      </c>
      <c r="AC224" s="25">
        <v>-51.759375000000006</v>
      </c>
      <c r="AD224" s="25">
        <v>-16.335416666666667</v>
      </c>
      <c r="AE224" s="25">
        <v>-55.054166666666681</v>
      </c>
      <c r="AF224" s="25">
        <v>-47.427083333333336</v>
      </c>
      <c r="AG224" s="25">
        <v>-40.318750000000001</v>
      </c>
      <c r="AH224" s="25">
        <v>-107.96875</v>
      </c>
      <c r="AI224" s="25">
        <v>-25.32708333333332</v>
      </c>
      <c r="AJ224" s="25">
        <v>-15.877083333333326</v>
      </c>
      <c r="AK224" s="25">
        <v>-12.225000000000001</v>
      </c>
      <c r="AL224" s="25">
        <v>13.820833333333335</v>
      </c>
      <c r="AM224" s="25">
        <v>13.454166666666667</v>
      </c>
      <c r="AN224" s="25">
        <v>13.410416666666661</v>
      </c>
      <c r="AO224" s="25">
        <v>13.502083333333337</v>
      </c>
      <c r="AP224" s="25">
        <v>14.335416666666665</v>
      </c>
      <c r="AQ224" s="25">
        <v>13.777083333333335</v>
      </c>
      <c r="AR224" s="25">
        <v>13.441666666666668</v>
      </c>
      <c r="AS224" s="25">
        <v>13.2875</v>
      </c>
      <c r="AT224" s="25">
        <v>0.21040476190476198</v>
      </c>
      <c r="AU224" s="25">
        <v>0.18002499999999994</v>
      </c>
      <c r="AV224" s="25">
        <v>0.32647916666666665</v>
      </c>
      <c r="AW224" s="25">
        <v>-89.170902777777769</v>
      </c>
      <c r="AX224" s="25">
        <v>-25.121166666666664</v>
      </c>
      <c r="AY224" s="25">
        <v>-31.235611111111115</v>
      </c>
      <c r="AZ224" s="25">
        <v>-65.981991643324903</v>
      </c>
      <c r="BA224" s="25">
        <v>-11.16131944444445</v>
      </c>
      <c r="BB224" s="25">
        <v>-16.664861111111112</v>
      </c>
      <c r="BC224" s="25">
        <v>14.817796614988733</v>
      </c>
      <c r="BD224" s="25">
        <v>14.925347222222221</v>
      </c>
      <c r="BE224" s="25">
        <v>14.473819444444437</v>
      </c>
    </row>
    <row r="225" spans="1:57" x14ac:dyDescent="0.25">
      <c r="A225" s="1">
        <v>23.8</v>
      </c>
      <c r="B225" s="1">
        <v>10.4</v>
      </c>
      <c r="C225" s="22"/>
      <c r="D225" s="23">
        <v>43932</v>
      </c>
      <c r="E225" s="24">
        <v>151.41666666666666</v>
      </c>
      <c r="F225" s="24">
        <v>73.879166666666677</v>
      </c>
      <c r="G225" s="24">
        <v>15.300000000000002</v>
      </c>
      <c r="H225" s="24">
        <v>0</v>
      </c>
      <c r="I225" s="24">
        <v>219.83333333333334</v>
      </c>
      <c r="J225" s="24">
        <v>5.5625</v>
      </c>
      <c r="K225" s="24">
        <v>0.10416666666666667</v>
      </c>
      <c r="L225" s="24">
        <v>10.354166666666668</v>
      </c>
      <c r="M225" s="10">
        <v>0.5180901020978782</v>
      </c>
      <c r="N225" s="25">
        <v>0.30531250000000004</v>
      </c>
      <c r="O225" s="25">
        <v>0.41672916666666654</v>
      </c>
      <c r="P225" s="25">
        <v>0.4967916666666663</v>
      </c>
      <c r="Q225" s="25">
        <v>0.52908333333333279</v>
      </c>
      <c r="R225" s="25">
        <v>0.48202083333333362</v>
      </c>
      <c r="S225" s="25">
        <v>0.36685416666666687</v>
      </c>
      <c r="T225" s="25">
        <v>0.36789583333333326</v>
      </c>
      <c r="U225" s="25">
        <v>0.31820833333333337</v>
      </c>
      <c r="V225" s="25">
        <v>-147.15</v>
      </c>
      <c r="W225" s="25">
        <v>-26.841041666666669</v>
      </c>
      <c r="X225" s="25">
        <v>-18.721250000000008</v>
      </c>
      <c r="Y225" s="25">
        <v>-13.320416666666665</v>
      </c>
      <c r="Z225" s="25">
        <v>-13.860000000000001</v>
      </c>
      <c r="AA225" s="25">
        <v>-35.791874999999997</v>
      </c>
      <c r="AB225" s="25">
        <v>-45.584583333333342</v>
      </c>
      <c r="AC225" s="25">
        <v>-51.27</v>
      </c>
      <c r="AD225" s="25">
        <v>-21.143750000000001</v>
      </c>
      <c r="AE225" s="25">
        <v>-63.183333333333344</v>
      </c>
      <c r="AF225" s="25">
        <v>-51.158333333333331</v>
      </c>
      <c r="AG225" s="25">
        <v>-41.872916666666661</v>
      </c>
      <c r="AH225" s="25">
        <v>-94.343749999999986</v>
      </c>
      <c r="AI225" s="25">
        <v>-24.018749999999986</v>
      </c>
      <c r="AJ225" s="25">
        <v>-14.924999999999985</v>
      </c>
      <c r="AK225" s="25">
        <v>-11.77708333333333</v>
      </c>
      <c r="AL225" s="25">
        <v>14.558333333333328</v>
      </c>
      <c r="AM225" s="25">
        <v>14.089583333333344</v>
      </c>
      <c r="AN225" s="25">
        <v>13.781249999999991</v>
      </c>
      <c r="AO225" s="25">
        <v>13.745833333333325</v>
      </c>
      <c r="AP225" s="25">
        <v>14.947916666666666</v>
      </c>
      <c r="AQ225" s="25">
        <v>14.547916666666659</v>
      </c>
      <c r="AR225" s="25">
        <v>14.147916666666669</v>
      </c>
      <c r="AS225" s="25">
        <v>13.910416666666663</v>
      </c>
      <c r="AT225" s="25">
        <v>0.20867441860465111</v>
      </c>
      <c r="AU225" s="25">
        <v>0.16899999999999993</v>
      </c>
      <c r="AV225" s="25">
        <v>0.30927083333333316</v>
      </c>
      <c r="AW225" s="25">
        <v>-81.114493055555542</v>
      </c>
      <c r="AX225" s="25">
        <v>-36.545368055555556</v>
      </c>
      <c r="AY225" s="25">
        <v>-41.972263888888897</v>
      </c>
      <c r="AZ225" s="25">
        <v>-68.379392720306512</v>
      </c>
      <c r="BA225" s="25">
        <v>-13.977847222222222</v>
      </c>
      <c r="BB225" s="25">
        <v>-28.923194444444444</v>
      </c>
      <c r="BC225" s="25">
        <v>15.037383780332053</v>
      </c>
      <c r="BD225" s="25">
        <v>15.165625000000004</v>
      </c>
      <c r="BE225" s="25">
        <v>15.320486111111109</v>
      </c>
    </row>
    <row r="226" spans="1:57" x14ac:dyDescent="0.25">
      <c r="A226" s="1">
        <v>18.100000000000001</v>
      </c>
      <c r="B226" s="1">
        <v>6</v>
      </c>
      <c r="C226" s="22"/>
      <c r="D226" s="23">
        <v>43933</v>
      </c>
      <c r="E226" s="24">
        <v>172.33333333333334</v>
      </c>
      <c r="F226" s="24">
        <v>65.637500000000003</v>
      </c>
      <c r="G226" s="24">
        <v>11.275</v>
      </c>
      <c r="H226" s="24">
        <v>2</v>
      </c>
      <c r="I226" s="24">
        <v>232.20833333333334</v>
      </c>
      <c r="J226" s="24">
        <v>8.75</v>
      </c>
      <c r="K226" s="24">
        <v>1.1041666666666667</v>
      </c>
      <c r="L226" s="24">
        <v>4.6250000000000009</v>
      </c>
      <c r="M226" s="10">
        <v>0.52069977790460897</v>
      </c>
      <c r="N226" s="25">
        <v>0.29997916666666669</v>
      </c>
      <c r="O226" s="25">
        <v>0.41216666666666651</v>
      </c>
      <c r="P226" s="25">
        <v>0.49395833333333355</v>
      </c>
      <c r="Q226" s="25">
        <v>0.52631250000000007</v>
      </c>
      <c r="R226" s="25">
        <v>0.47543749999999974</v>
      </c>
      <c r="S226" s="25">
        <v>0.35683333333333334</v>
      </c>
      <c r="T226" s="25">
        <v>0.3643958333333332</v>
      </c>
      <c r="U226" s="25">
        <v>0.31639583333333327</v>
      </c>
      <c r="V226" s="25">
        <v>-147.81041666666673</v>
      </c>
      <c r="W226" s="25">
        <v>-31.887499999999992</v>
      </c>
      <c r="X226" s="25">
        <v>-19.276250000000005</v>
      </c>
      <c r="Y226" s="25">
        <v>-13.45729166666667</v>
      </c>
      <c r="Z226" s="25">
        <v>-16.471041666666668</v>
      </c>
      <c r="AA226" s="25">
        <v>-43.082499999999989</v>
      </c>
      <c r="AB226" s="25">
        <v>-52.006041666666675</v>
      </c>
      <c r="AC226" s="25">
        <v>-54.014583333333341</v>
      </c>
      <c r="AD226" s="25">
        <v>-27.931250000000002</v>
      </c>
      <c r="AE226" s="25">
        <v>-73.243750000000006</v>
      </c>
      <c r="AF226" s="25">
        <v>-58.325000000000024</v>
      </c>
      <c r="AG226" s="25">
        <v>-45.068750000000001</v>
      </c>
      <c r="AH226" s="25">
        <v>-96.514583333333334</v>
      </c>
      <c r="AI226" s="25">
        <v>-24.287500000000009</v>
      </c>
      <c r="AJ226" s="25">
        <v>-14.925000000000004</v>
      </c>
      <c r="AK226" s="25">
        <v>-11.858333333333333</v>
      </c>
      <c r="AL226" s="25">
        <v>14.079166666666675</v>
      </c>
      <c r="AM226" s="25">
        <v>14.141666666666667</v>
      </c>
      <c r="AN226" s="25">
        <v>14.037500000000003</v>
      </c>
      <c r="AO226" s="25">
        <v>13.989583333333334</v>
      </c>
      <c r="AP226" s="25">
        <v>13.533333333333337</v>
      </c>
      <c r="AQ226" s="25">
        <v>14.047916666666666</v>
      </c>
      <c r="AR226" s="25">
        <v>13.997916666666661</v>
      </c>
      <c r="AS226" s="25">
        <v>13.918750000000005</v>
      </c>
      <c r="AT226" s="25">
        <v>0.20399999999999993</v>
      </c>
      <c r="AU226" s="25">
        <v>0.1573333333333333</v>
      </c>
      <c r="AV226" s="25">
        <v>0.28975000000000006</v>
      </c>
      <c r="AW226" s="25">
        <v>-78.087791666666661</v>
      </c>
      <c r="AX226" s="25">
        <v>-49.000701388888899</v>
      </c>
      <c r="AY226" s="25">
        <v>-53.67418055555558</v>
      </c>
      <c r="AZ226" s="25">
        <v>-76.470987012986996</v>
      </c>
      <c r="BA226" s="25">
        <v>-23.968611111111102</v>
      </c>
      <c r="BB226" s="25">
        <v>-41.577361111111109</v>
      </c>
      <c r="BC226" s="25">
        <v>13.246372294372295</v>
      </c>
      <c r="BD226" s="25">
        <v>13.700555555555558</v>
      </c>
      <c r="BE226" s="25">
        <v>14.260486111111112</v>
      </c>
    </row>
    <row r="227" spans="1:57" x14ac:dyDescent="0.25">
      <c r="A227" s="1">
        <v>15.2</v>
      </c>
      <c r="B227" s="1">
        <v>8.1</v>
      </c>
      <c r="C227" s="22"/>
      <c r="D227" s="23">
        <v>43934</v>
      </c>
      <c r="E227" s="24">
        <v>52.104166666666664</v>
      </c>
      <c r="F227" s="24">
        <v>68.037499999999994</v>
      </c>
      <c r="G227" s="24">
        <v>10.737499999999997</v>
      </c>
      <c r="H227" s="24">
        <v>0.2</v>
      </c>
      <c r="I227" s="24">
        <v>221.16666666666666</v>
      </c>
      <c r="J227" s="24">
        <v>4.729166666666667</v>
      </c>
      <c r="K227" s="24">
        <v>0.20833333333333334</v>
      </c>
      <c r="L227" s="24">
        <v>4.9375</v>
      </c>
      <c r="M227" s="10">
        <v>0.42331027632243123</v>
      </c>
      <c r="N227" s="25">
        <v>0.29533333333333356</v>
      </c>
      <c r="O227" s="25">
        <v>0.4065833333333333</v>
      </c>
      <c r="P227" s="25">
        <v>0.48964583333333334</v>
      </c>
      <c r="Q227" s="25">
        <v>0.52135416666666645</v>
      </c>
      <c r="R227" s="25">
        <v>0.46822916666666686</v>
      </c>
      <c r="S227" s="25">
        <v>0.34868749999999998</v>
      </c>
      <c r="T227" s="25">
        <v>0.36052083333333335</v>
      </c>
      <c r="U227" s="25">
        <v>0.31433333333333341</v>
      </c>
      <c r="V227" s="25">
        <v>-148.3145833333333</v>
      </c>
      <c r="W227" s="25">
        <v>-42.024374999999999</v>
      </c>
      <c r="X227" s="25">
        <v>-20.440416666666668</v>
      </c>
      <c r="Y227" s="25">
        <v>-13.764166666666666</v>
      </c>
      <c r="Z227" s="25">
        <v>-21.523124999999997</v>
      </c>
      <c r="AA227" s="25">
        <v>-50.570208333333341</v>
      </c>
      <c r="AB227" s="25">
        <v>-57.703541666666673</v>
      </c>
      <c r="AC227" s="25">
        <v>-57.611041666666686</v>
      </c>
      <c r="AD227" s="25">
        <v>-34.643749999999997</v>
      </c>
      <c r="AE227" s="25">
        <v>-82.510416666666629</v>
      </c>
      <c r="AF227" s="25">
        <v>-68.454166666666666</v>
      </c>
      <c r="AG227" s="25">
        <v>-48.51250000000001</v>
      </c>
      <c r="AH227" s="25">
        <v>-106.31041666666668</v>
      </c>
      <c r="AI227" s="25">
        <v>-25.668750000000003</v>
      </c>
      <c r="AJ227" s="25">
        <v>-15.69583333333334</v>
      </c>
      <c r="AK227" s="25">
        <v>-12.25208333333333</v>
      </c>
      <c r="AL227" s="25">
        <v>13.524999999999984</v>
      </c>
      <c r="AM227" s="25">
        <v>13.845833333333339</v>
      </c>
      <c r="AN227" s="25">
        <v>13.949999999999989</v>
      </c>
      <c r="AO227" s="25">
        <v>13.993749999999999</v>
      </c>
      <c r="AP227" s="25">
        <v>12.731250000000001</v>
      </c>
      <c r="AQ227" s="25">
        <v>13.46875</v>
      </c>
      <c r="AR227" s="25">
        <v>13.558333333333323</v>
      </c>
      <c r="AS227" s="25">
        <v>13.579166666666664</v>
      </c>
      <c r="AT227" s="25">
        <v>0.20041666666666666</v>
      </c>
      <c r="AU227" s="25">
        <v>0.14747999999999994</v>
      </c>
      <c r="AV227" s="25">
        <v>0.2760833333333334</v>
      </c>
      <c r="AW227" s="25">
        <v>-76.319284722222207</v>
      </c>
      <c r="AX227" s="25">
        <v>-60.112638888888874</v>
      </c>
      <c r="AY227" s="25">
        <v>-63.212486111111112</v>
      </c>
      <c r="AZ227" s="25">
        <v>-91.968789483463411</v>
      </c>
      <c r="BA227" s="25">
        <v>-39.334791666666661</v>
      </c>
      <c r="BB227" s="25">
        <v>-61.352499999999992</v>
      </c>
      <c r="BC227" s="25">
        <v>12.727538658718785</v>
      </c>
      <c r="BD227" s="25">
        <v>12.943263888888888</v>
      </c>
      <c r="BE227" s="25">
        <v>13.383749999999999</v>
      </c>
    </row>
    <row r="228" spans="1:57" x14ac:dyDescent="0.25">
      <c r="A228" s="1">
        <v>25.3</v>
      </c>
      <c r="B228" s="1">
        <v>7</v>
      </c>
      <c r="C228" s="22"/>
      <c r="D228" s="23">
        <v>43935</v>
      </c>
      <c r="E228" s="24">
        <v>246.97916666666666</v>
      </c>
      <c r="F228" s="24">
        <v>64.67291666666668</v>
      </c>
      <c r="G228" s="24">
        <v>15.09375</v>
      </c>
      <c r="H228" s="24">
        <v>0</v>
      </c>
      <c r="I228" s="24">
        <v>232.75</v>
      </c>
      <c r="J228" s="24">
        <v>5.75</v>
      </c>
      <c r="K228" s="24">
        <v>0.45833333333333331</v>
      </c>
      <c r="L228" s="24">
        <v>7.7687500000000007</v>
      </c>
      <c r="M228" s="10">
        <v>0.77634030237338536</v>
      </c>
      <c r="N228" s="25">
        <v>0.29212500000000002</v>
      </c>
      <c r="O228" s="25">
        <v>0.40131249999999996</v>
      </c>
      <c r="P228" s="25">
        <v>0.48522916666666704</v>
      </c>
      <c r="Q228" s="25">
        <v>0.51604166666666706</v>
      </c>
      <c r="R228" s="25">
        <v>0.4620416666666663</v>
      </c>
      <c r="S228" s="25">
        <v>0.34349999999999986</v>
      </c>
      <c r="T228" s="25">
        <v>0.35668749999999977</v>
      </c>
      <c r="U228" s="25">
        <v>0.31191666666666668</v>
      </c>
      <c r="V228" s="25">
        <v>-145.50208333333336</v>
      </c>
      <c r="W228" s="25">
        <v>-55.785416666666663</v>
      </c>
      <c r="X228" s="25">
        <v>-22.038958333333326</v>
      </c>
      <c r="Y228" s="25">
        <v>-14.440625000000002</v>
      </c>
      <c r="Z228" s="25">
        <v>-28.069791666666656</v>
      </c>
      <c r="AA228" s="25">
        <v>-56.725833333333327</v>
      </c>
      <c r="AB228" s="25">
        <v>-62.478124999999999</v>
      </c>
      <c r="AC228" s="25">
        <v>-60.946666666666665</v>
      </c>
      <c r="AD228" s="25">
        <v>-44.814583333333331</v>
      </c>
      <c r="AE228" s="25">
        <v>-94.052083333333329</v>
      </c>
      <c r="AF228" s="25">
        <v>-81.233333333333334</v>
      </c>
      <c r="AG228" s="25">
        <v>-55.462500000000006</v>
      </c>
      <c r="AH228" s="25">
        <v>-119.78958333333334</v>
      </c>
      <c r="AI228" s="25">
        <v>-27.054166666666674</v>
      </c>
      <c r="AJ228" s="25">
        <v>-16.837500000000002</v>
      </c>
      <c r="AK228" s="25">
        <v>-12.991666666666665</v>
      </c>
      <c r="AL228" s="25">
        <v>13.312500000000007</v>
      </c>
      <c r="AM228" s="25">
        <v>13.481249999999996</v>
      </c>
      <c r="AN228" s="25">
        <v>13.660416666666675</v>
      </c>
      <c r="AO228" s="25">
        <v>13.816666666666677</v>
      </c>
      <c r="AP228" s="25">
        <v>13.166666666666666</v>
      </c>
      <c r="AQ228" s="25">
        <v>13.181250000000004</v>
      </c>
      <c r="AR228" s="25">
        <v>13.181249999999999</v>
      </c>
      <c r="AS228" s="25">
        <v>13.222916666666672</v>
      </c>
      <c r="AT228" s="25">
        <v>0.19910638297872341</v>
      </c>
      <c r="AU228" s="25">
        <v>0.14437209302325579</v>
      </c>
      <c r="AV228" s="25">
        <v>0.26906250000000004</v>
      </c>
      <c r="AW228" s="25">
        <v>-74.24436805555554</v>
      </c>
      <c r="AX228" s="25">
        <v>-67.084166666666661</v>
      </c>
      <c r="AY228" s="25">
        <v>-70.064861111111114</v>
      </c>
      <c r="AZ228" s="25">
        <v>-135.58439903846153</v>
      </c>
      <c r="BA228" s="25">
        <v>-64.07256944444444</v>
      </c>
      <c r="BB228" s="25">
        <v>-100.19520833333333</v>
      </c>
      <c r="BC228" s="25">
        <v>13.687350045787545</v>
      </c>
      <c r="BD228" s="25">
        <v>14.533819444444449</v>
      </c>
      <c r="BE228" s="25">
        <v>14.397152777777784</v>
      </c>
    </row>
    <row r="229" spans="1:57" x14ac:dyDescent="0.25">
      <c r="A229" s="1">
        <v>27.2</v>
      </c>
      <c r="B229" s="1">
        <v>11.6</v>
      </c>
      <c r="C229" s="22"/>
      <c r="D229" s="23">
        <v>43936</v>
      </c>
      <c r="E229" s="24">
        <v>241.58333333333334</v>
      </c>
      <c r="F229" s="24">
        <v>64.925000000000026</v>
      </c>
      <c r="G229" s="24">
        <v>18.835416666666667</v>
      </c>
      <c r="H229" s="24">
        <v>0</v>
      </c>
      <c r="I229" s="24">
        <v>223.04166666666666</v>
      </c>
      <c r="J229" s="24">
        <v>11.145833333333334</v>
      </c>
      <c r="K229" s="24">
        <v>1.3958333333333333</v>
      </c>
      <c r="L229" s="24">
        <v>11.76041666666667</v>
      </c>
      <c r="M229" s="10">
        <v>0.87846752659360272</v>
      </c>
      <c r="N229" s="25">
        <v>0.29035416666666658</v>
      </c>
      <c r="O229" s="25">
        <v>0.39912499999999995</v>
      </c>
      <c r="P229" s="25">
        <v>0.48414583333333355</v>
      </c>
      <c r="Q229" s="25">
        <v>0.51093749999999993</v>
      </c>
      <c r="R229" s="25">
        <v>0.45841666666666697</v>
      </c>
      <c r="S229" s="25">
        <v>0.33935416666666662</v>
      </c>
      <c r="T229" s="25">
        <v>0.35241666666666666</v>
      </c>
      <c r="U229" s="25">
        <v>0.30877083333333333</v>
      </c>
      <c r="V229" s="25">
        <v>-138.71249999999998</v>
      </c>
      <c r="W229" s="25">
        <v>-68.523333333333355</v>
      </c>
      <c r="X229" s="25">
        <v>-23.825208333333325</v>
      </c>
      <c r="Y229" s="25">
        <v>-16.089166666666667</v>
      </c>
      <c r="Z229" s="25">
        <v>-36.07791666666666</v>
      </c>
      <c r="AA229" s="25">
        <v>-61.772291666666668</v>
      </c>
      <c r="AB229" s="25">
        <v>-65.72499999999998</v>
      </c>
      <c r="AC229" s="25">
        <v>-63.75229166666665</v>
      </c>
      <c r="AD229" s="25">
        <v>-62.593749999999993</v>
      </c>
      <c r="AE229" s="25">
        <v>-119.99791666666668</v>
      </c>
      <c r="AF229" s="25">
        <v>-107.73958333333336</v>
      </c>
      <c r="AG229" s="25">
        <v>-71.68125000000002</v>
      </c>
      <c r="AH229" s="25">
        <v>-139.30833333333337</v>
      </c>
      <c r="AI229" s="25">
        <v>-29.495833333333337</v>
      </c>
      <c r="AJ229" s="25">
        <v>-18.481250000000003</v>
      </c>
      <c r="AK229" s="25">
        <v>-14.962499999999999</v>
      </c>
      <c r="AL229" s="25">
        <v>14.37291666666667</v>
      </c>
      <c r="AM229" s="25">
        <v>13.93333333333333</v>
      </c>
      <c r="AN229" s="25">
        <v>13.73749999999999</v>
      </c>
      <c r="AO229" s="25">
        <v>13.795833333333325</v>
      </c>
      <c r="AP229" s="25">
        <v>14.989583333333336</v>
      </c>
      <c r="AQ229" s="25">
        <v>14.325000000000001</v>
      </c>
      <c r="AR229" s="25">
        <v>13.916666666666664</v>
      </c>
      <c r="AS229" s="25">
        <v>13.747916666666663</v>
      </c>
      <c r="AT229" s="25">
        <v>0.19731914893617022</v>
      </c>
      <c r="AU229" s="25">
        <v>0.13809523809523808</v>
      </c>
      <c r="AV229" s="25">
        <v>0.2614999999999999</v>
      </c>
      <c r="AW229" s="25">
        <v>-80.210875000000001</v>
      </c>
      <c r="AX229" s="25">
        <v>-79.437013888888899</v>
      </c>
      <c r="AY229" s="25">
        <v>-81.866340277777795</v>
      </c>
      <c r="AZ229" s="25">
        <v>-288.96664646464637</v>
      </c>
      <c r="BA229" s="25">
        <v>-152.22729166666667</v>
      </c>
      <c r="BB229" s="25">
        <v>-185.1779861111111</v>
      </c>
      <c r="BC229" s="25">
        <v>15.576282828282828</v>
      </c>
      <c r="BD229" s="25">
        <v>16.190069444444443</v>
      </c>
      <c r="BE229" s="25">
        <v>15.873680555555554</v>
      </c>
    </row>
    <row r="230" spans="1:57" x14ac:dyDescent="0.25">
      <c r="A230" s="1">
        <v>28.4</v>
      </c>
      <c r="B230" s="1">
        <v>15.2</v>
      </c>
      <c r="C230" s="22"/>
      <c r="D230" s="23">
        <v>43937</v>
      </c>
      <c r="E230" s="24">
        <v>209.08333333333334</v>
      </c>
      <c r="F230" s="24">
        <v>71.245833333333323</v>
      </c>
      <c r="G230" s="24">
        <v>20.383333333333336</v>
      </c>
      <c r="H230" s="24">
        <v>0</v>
      </c>
      <c r="I230" s="24">
        <v>238.52083333333334</v>
      </c>
      <c r="J230" s="24">
        <v>12</v>
      </c>
      <c r="K230" s="24">
        <v>1.9583333333333333</v>
      </c>
      <c r="L230" s="24">
        <v>14.577083333333327</v>
      </c>
      <c r="M230" s="10">
        <v>0.8120170496059621</v>
      </c>
      <c r="N230" s="25">
        <v>0.28672916666666687</v>
      </c>
      <c r="O230" s="25">
        <v>0.39714583333333336</v>
      </c>
      <c r="P230" s="25">
        <v>0.4838541666666667</v>
      </c>
      <c r="Q230" s="25">
        <v>0.50595833333333318</v>
      </c>
      <c r="R230" s="25">
        <v>0.45395833333333374</v>
      </c>
      <c r="S230" s="25">
        <v>0.33631250000000007</v>
      </c>
      <c r="T230" s="25">
        <v>0.34916666666666668</v>
      </c>
      <c r="U230" s="25">
        <v>0.30589583333333337</v>
      </c>
      <c r="V230" s="25">
        <v>-137.43125000000001</v>
      </c>
      <c r="W230" s="25">
        <v>-80.479583333333338</v>
      </c>
      <c r="X230" s="25">
        <v>-26.378125000000001</v>
      </c>
      <c r="Y230" s="25">
        <v>-19.238333333333333</v>
      </c>
      <c r="Z230" s="25">
        <v>-43.581250000000004</v>
      </c>
      <c r="AA230" s="25">
        <v>-66.278125000000003</v>
      </c>
      <c r="AB230" s="25">
        <v>-67.999791666666667</v>
      </c>
      <c r="AC230" s="25">
        <v>-66.329791666666694</v>
      </c>
      <c r="AD230" s="25">
        <v>-87.402083333333337</v>
      </c>
      <c r="AE230" s="25">
        <v>-154.96874999999997</v>
      </c>
      <c r="AF230" s="25">
        <v>-142.62708333333333</v>
      </c>
      <c r="AG230" s="25">
        <v>-97.61666666666666</v>
      </c>
      <c r="AH230" s="25">
        <v>-170.59375000000003</v>
      </c>
      <c r="AI230" s="25">
        <v>-33.764583333333327</v>
      </c>
      <c r="AJ230" s="25">
        <v>-20.789583333333336</v>
      </c>
      <c r="AK230" s="25">
        <v>-19.858333333333327</v>
      </c>
      <c r="AL230" s="25">
        <v>15.429166666666674</v>
      </c>
      <c r="AM230" s="25">
        <v>14.612500000000004</v>
      </c>
      <c r="AN230" s="25">
        <v>14.172916666666653</v>
      </c>
      <c r="AO230" s="25">
        <v>14.07708333333335</v>
      </c>
      <c r="AP230" s="25">
        <v>16.427083333333332</v>
      </c>
      <c r="AQ230" s="25">
        <v>15.40416666666667</v>
      </c>
      <c r="AR230" s="25">
        <v>14.814583333333331</v>
      </c>
      <c r="AS230" s="25">
        <v>14.539583333333335</v>
      </c>
      <c r="AT230" s="25">
        <v>0.19469767441860469</v>
      </c>
      <c r="AU230" s="25">
        <v>0.13222580645161292</v>
      </c>
      <c r="AV230" s="25">
        <v>0.25481250000000016</v>
      </c>
      <c r="AW230" s="25">
        <v>-90.746597222222206</v>
      </c>
      <c r="AX230" s="25">
        <v>-92.723124999999996</v>
      </c>
      <c r="AY230" s="25">
        <v>-90.975277777777762</v>
      </c>
      <c r="AZ230" s="25">
        <v>-759.11703239289443</v>
      </c>
      <c r="BA230" s="25">
        <v>-454.40284722222219</v>
      </c>
      <c r="BB230" s="25">
        <v>-300.72548611111108</v>
      </c>
      <c r="BC230" s="25">
        <v>17.334891342207683</v>
      </c>
      <c r="BD230" s="25">
        <v>17.638402777777774</v>
      </c>
      <c r="BE230" s="25">
        <v>17.258888888888887</v>
      </c>
    </row>
    <row r="231" spans="1:57" x14ac:dyDescent="0.25">
      <c r="A231" s="1">
        <v>27.4</v>
      </c>
      <c r="B231" s="1">
        <v>16.600000000000001</v>
      </c>
      <c r="C231" s="22"/>
      <c r="D231" s="23">
        <v>43938</v>
      </c>
      <c r="E231" s="24">
        <v>189.27083333333334</v>
      </c>
      <c r="F231" s="24">
        <v>72.914583333333312</v>
      </c>
      <c r="G231" s="24">
        <v>20.775000000000006</v>
      </c>
      <c r="H231" s="24">
        <v>0</v>
      </c>
      <c r="I231" s="24">
        <v>239.10416666666666</v>
      </c>
      <c r="J231" s="24">
        <v>12.104166666666666</v>
      </c>
      <c r="K231" s="24">
        <v>2.375</v>
      </c>
      <c r="L231" s="24">
        <v>15.443749999999996</v>
      </c>
      <c r="M231" s="10">
        <v>0.73545626119869623</v>
      </c>
      <c r="N231" s="25">
        <v>0.28233333333333305</v>
      </c>
      <c r="O231" s="25">
        <v>0.39441666666666664</v>
      </c>
      <c r="P231" s="25">
        <v>0.48291666666666683</v>
      </c>
      <c r="Q231" s="25">
        <v>0.50010416666666657</v>
      </c>
      <c r="R231" s="25">
        <v>0.44910416666666636</v>
      </c>
      <c r="S231" s="25">
        <v>0.33337499999999998</v>
      </c>
      <c r="T231" s="25">
        <v>0.34608333333333324</v>
      </c>
      <c r="U231" s="25">
        <v>0.30320833333333341</v>
      </c>
      <c r="V231" s="25">
        <v>-141.51249999999996</v>
      </c>
      <c r="W231" s="25">
        <v>-91.937500000000043</v>
      </c>
      <c r="X231" s="25">
        <v>-29.557083333333335</v>
      </c>
      <c r="Y231" s="25">
        <v>-24.866458333333338</v>
      </c>
      <c r="Z231" s="25">
        <v>-49.580624999999998</v>
      </c>
      <c r="AA231" s="25">
        <v>-70.559375000000017</v>
      </c>
      <c r="AB231" s="25">
        <v>-70.079166666666666</v>
      </c>
      <c r="AC231" s="25">
        <v>-68.99499999999999</v>
      </c>
      <c r="AD231" s="25">
        <v>-133.17500000000001</v>
      </c>
      <c r="AE231" s="25">
        <v>-197.47916666666666</v>
      </c>
      <c r="AF231" s="25">
        <v>-189.08541666666667</v>
      </c>
      <c r="AG231" s="25">
        <v>-132.86875000000001</v>
      </c>
      <c r="AH231" s="25">
        <v>-220.42291666666668</v>
      </c>
      <c r="AI231" s="25">
        <v>-40.220833333333339</v>
      </c>
      <c r="AJ231" s="25">
        <v>-23.435416666666665</v>
      </c>
      <c r="AK231" s="25">
        <v>-26.079166666666669</v>
      </c>
      <c r="AL231" s="25">
        <v>16.299999999999994</v>
      </c>
      <c r="AM231" s="25">
        <v>15.310416666666669</v>
      </c>
      <c r="AN231" s="25">
        <v>14.677083333333323</v>
      </c>
      <c r="AO231" s="25">
        <v>14.47083333333334</v>
      </c>
      <c r="AP231" s="25">
        <v>17.356250000000003</v>
      </c>
      <c r="AQ231" s="25">
        <v>16.289583333333344</v>
      </c>
      <c r="AR231" s="25">
        <v>15.597916666666668</v>
      </c>
      <c r="AS231" s="25">
        <v>15.26666666666666</v>
      </c>
      <c r="AT231" s="25">
        <v>0.19191489361702124</v>
      </c>
      <c r="AU231" s="25">
        <v>0.12718181818181815</v>
      </c>
      <c r="AV231" s="25">
        <v>0.24920833333333325</v>
      </c>
      <c r="AW231" s="25">
        <v>-101.10298611111114</v>
      </c>
      <c r="AX231" s="25">
        <v>-105.55437499999998</v>
      </c>
      <c r="AY231" s="25">
        <v>-102.37465277777778</v>
      </c>
      <c r="AZ231" s="25">
        <v>-1596.7724229691873</v>
      </c>
      <c r="BA231" s="25">
        <v>-902.07222222222242</v>
      </c>
      <c r="BB231" s="25">
        <v>-385.81486111111104</v>
      </c>
      <c r="BC231" s="25">
        <v>18.207131652661069</v>
      </c>
      <c r="BD231" s="25">
        <v>18.225416666666668</v>
      </c>
      <c r="BE231" s="25">
        <v>18.189166666666662</v>
      </c>
    </row>
    <row r="232" spans="1:57" x14ac:dyDescent="0.25">
      <c r="A232" s="1">
        <v>27.4</v>
      </c>
      <c r="B232" s="1">
        <v>16.3</v>
      </c>
      <c r="C232" s="22"/>
      <c r="D232" s="23">
        <v>43939</v>
      </c>
      <c r="E232" s="24">
        <v>176.41666666666666</v>
      </c>
      <c r="F232" s="24">
        <v>72.108333333333306</v>
      </c>
      <c r="G232" s="24">
        <v>20.5625</v>
      </c>
      <c r="H232" s="24">
        <v>0</v>
      </c>
      <c r="I232" s="24">
        <v>225.02083333333334</v>
      </c>
      <c r="J232" s="24">
        <v>15.1875</v>
      </c>
      <c r="K232" s="24">
        <v>2.3125</v>
      </c>
      <c r="L232" s="24">
        <v>15.029166666666667</v>
      </c>
      <c r="M232" s="10">
        <v>0.75559846271427566</v>
      </c>
      <c r="N232" s="25">
        <v>0.27733333333333349</v>
      </c>
      <c r="O232" s="25">
        <v>0.38956250000000003</v>
      </c>
      <c r="P232" s="25">
        <v>0.48016666666666707</v>
      </c>
      <c r="Q232" s="25">
        <v>0.49304166666666682</v>
      </c>
      <c r="R232" s="25">
        <v>0.44341666666666657</v>
      </c>
      <c r="S232" s="25">
        <v>0.33002083333333332</v>
      </c>
      <c r="T232" s="25">
        <v>0.34260416666666665</v>
      </c>
      <c r="U232" s="25">
        <v>0.30052083333333329</v>
      </c>
      <c r="V232" s="25">
        <v>-150.22083333333333</v>
      </c>
      <c r="W232" s="25">
        <v>-104.04166666666667</v>
      </c>
      <c r="X232" s="25">
        <v>-33.373541666666675</v>
      </c>
      <c r="Y232" s="25">
        <v>-31.971249999999998</v>
      </c>
      <c r="Z232" s="25">
        <v>-55.300208333333337</v>
      </c>
      <c r="AA232" s="25">
        <v>-74.664374999999993</v>
      </c>
      <c r="AB232" s="25">
        <v>-71.697708333333324</v>
      </c>
      <c r="AC232" s="25">
        <v>-71.908749999999998</v>
      </c>
      <c r="AD232" s="25">
        <v>-188.52499999999998</v>
      </c>
      <c r="AE232" s="25">
        <v>-251.05208333333329</v>
      </c>
      <c r="AF232" s="25">
        <v>-245.08958333333331</v>
      </c>
      <c r="AG232" s="25">
        <v>-173.59583333333333</v>
      </c>
      <c r="AH232" s="25">
        <v>-301.32291666666663</v>
      </c>
      <c r="AI232" s="25">
        <v>-47.127083333333331</v>
      </c>
      <c r="AJ232" s="25">
        <v>-25.679166666666664</v>
      </c>
      <c r="AK232" s="25">
        <v>-31.370833333333334</v>
      </c>
      <c r="AL232" s="25">
        <v>16.772916666666671</v>
      </c>
      <c r="AM232" s="25">
        <v>15.831250000000002</v>
      </c>
      <c r="AN232" s="25">
        <v>15.141666666666666</v>
      </c>
      <c r="AO232" s="25">
        <v>14.872916666666663</v>
      </c>
      <c r="AP232" s="25">
        <v>17.683333333333334</v>
      </c>
      <c r="AQ232" s="25">
        <v>16.750000000000004</v>
      </c>
      <c r="AR232" s="25">
        <v>16.118750000000002</v>
      </c>
      <c r="AS232" s="25">
        <v>15.783333333333324</v>
      </c>
      <c r="AT232" s="25">
        <v>0.18862500000000001</v>
      </c>
      <c r="AU232" s="25">
        <v>0.12247999999999999</v>
      </c>
      <c r="AV232" s="25">
        <v>0.24437499999999993</v>
      </c>
      <c r="AW232" s="25">
        <v>-111.44833333333334</v>
      </c>
      <c r="AX232" s="25">
        <v>-125.53604166666668</v>
      </c>
      <c r="AY232" s="25">
        <v>-117.09895833333333</v>
      </c>
      <c r="AZ232" s="25">
        <v>-2843.7861190406475</v>
      </c>
      <c r="BA232" s="25">
        <v>-1382.0645833333335</v>
      </c>
      <c r="BB232" s="25">
        <v>-446.72736111111118</v>
      </c>
      <c r="BC232" s="25">
        <v>18.556609280117293</v>
      </c>
      <c r="BD232" s="25">
        <v>18.203611111111115</v>
      </c>
      <c r="BE232" s="25">
        <v>18.383541666666666</v>
      </c>
    </row>
    <row r="233" spans="1:57" x14ac:dyDescent="0.25">
      <c r="A233" s="1">
        <v>21.9</v>
      </c>
      <c r="B233" s="1">
        <v>14.8</v>
      </c>
      <c r="C233" s="22"/>
      <c r="D233" s="23">
        <v>43940</v>
      </c>
      <c r="E233" s="24">
        <v>85.104166666666671</v>
      </c>
      <c r="F233" s="24">
        <v>83.833333333333314</v>
      </c>
      <c r="G233" s="24">
        <v>17.249999999999996</v>
      </c>
      <c r="H233" s="24">
        <v>0</v>
      </c>
      <c r="I233" s="24">
        <v>236.02083333333334</v>
      </c>
      <c r="J233" s="24">
        <v>5.6875</v>
      </c>
      <c r="K233" s="24">
        <v>0.125</v>
      </c>
      <c r="L233" s="24">
        <v>14.424999999999997</v>
      </c>
      <c r="M233" s="10">
        <v>0.33848774804680049</v>
      </c>
      <c r="N233" s="25">
        <v>0.27293750000000022</v>
      </c>
      <c r="O233" s="25">
        <v>0.38479166666666659</v>
      </c>
      <c r="P233" s="25">
        <v>0.47675000000000028</v>
      </c>
      <c r="Q233" s="25">
        <v>0.48658333333333353</v>
      </c>
      <c r="R233" s="25">
        <v>0.43756249999999991</v>
      </c>
      <c r="S233" s="25">
        <v>0.32714583333333352</v>
      </c>
      <c r="T233" s="25">
        <v>0.34025000000000011</v>
      </c>
      <c r="U233" s="25">
        <v>0.2982708333333336</v>
      </c>
      <c r="V233" s="25">
        <v>-162.86250000000001</v>
      </c>
      <c r="W233" s="25">
        <v>-116.84375000000001</v>
      </c>
      <c r="X233" s="25">
        <v>-37.395416666666662</v>
      </c>
      <c r="Y233" s="25">
        <v>-37.906250000000007</v>
      </c>
      <c r="Z233" s="25">
        <v>-61.849375000000016</v>
      </c>
      <c r="AA233" s="25">
        <v>-78.799583333333331</v>
      </c>
      <c r="AB233" s="25">
        <v>-74.611666666666679</v>
      </c>
      <c r="AC233" s="25">
        <v>-75.297708333333333</v>
      </c>
      <c r="AD233" s="25">
        <v>-253.21249999999998</v>
      </c>
      <c r="AE233" s="25">
        <v>-307.56458333333336</v>
      </c>
      <c r="AF233" s="25">
        <v>-294.41250000000002</v>
      </c>
      <c r="AG233" s="25">
        <v>-202.29375000000005</v>
      </c>
      <c r="AH233" s="25">
        <v>-411.09166666666647</v>
      </c>
      <c r="AI233" s="25">
        <v>-53.34791666666667</v>
      </c>
      <c r="AJ233" s="25">
        <v>-28.016666666666655</v>
      </c>
      <c r="AK233" s="25">
        <v>-39.629166666666677</v>
      </c>
      <c r="AL233" s="25">
        <v>16.685416666666683</v>
      </c>
      <c r="AM233" s="25">
        <v>16.060416666666672</v>
      </c>
      <c r="AN233" s="25">
        <v>15.460416666666667</v>
      </c>
      <c r="AO233" s="25">
        <v>15.197916666666648</v>
      </c>
      <c r="AP233" s="25">
        <v>17.064583333333328</v>
      </c>
      <c r="AQ233" s="25">
        <v>16.718750000000011</v>
      </c>
      <c r="AR233" s="25">
        <v>16.260416666666682</v>
      </c>
      <c r="AS233" s="25">
        <v>16.035416666666666</v>
      </c>
      <c r="AT233" s="25">
        <v>0.18577083333333325</v>
      </c>
      <c r="AU233" s="25">
        <v>0.11966666666666666</v>
      </c>
      <c r="AV233" s="25">
        <v>0.2408958333333332</v>
      </c>
      <c r="AW233" s="25">
        <v>-125.88958333333336</v>
      </c>
      <c r="AX233" s="25">
        <v>-149.02125000000001</v>
      </c>
      <c r="AY233" s="25">
        <v>-134.07388888888889</v>
      </c>
      <c r="AZ233" s="25">
        <v>-6198.5334396135258</v>
      </c>
      <c r="BA233" s="25">
        <v>-2037.2659722222218</v>
      </c>
      <c r="BB233" s="25">
        <v>-493.4470833333333</v>
      </c>
      <c r="BC233" s="25">
        <v>17.36613333333333</v>
      </c>
      <c r="BD233" s="25">
        <v>17.25888888888889</v>
      </c>
      <c r="BE233" s="25">
        <v>17.842777777777773</v>
      </c>
    </row>
    <row r="234" spans="1:57" x14ac:dyDescent="0.25">
      <c r="A234" s="1">
        <v>28.6</v>
      </c>
      <c r="B234" s="1">
        <v>14.4</v>
      </c>
      <c r="C234" s="22"/>
      <c r="D234" s="23">
        <v>43941</v>
      </c>
      <c r="E234" s="24">
        <v>201.79166666666666</v>
      </c>
      <c r="F234" s="24">
        <v>77.902083333333351</v>
      </c>
      <c r="G234" s="24">
        <v>19.602083333333333</v>
      </c>
      <c r="H234" s="24">
        <v>1.2</v>
      </c>
      <c r="I234" s="24">
        <v>227.54166666666666</v>
      </c>
      <c r="J234" s="24">
        <v>8.5416666666666661</v>
      </c>
      <c r="K234" s="24">
        <v>0.54166666666666663</v>
      </c>
      <c r="L234" s="24">
        <v>15.2875</v>
      </c>
      <c r="M234" s="10">
        <v>0.5995692640711846</v>
      </c>
      <c r="N234" s="25">
        <v>0.27004166666666674</v>
      </c>
      <c r="O234" s="25">
        <v>0.37981250000000005</v>
      </c>
      <c r="P234" s="25">
        <v>0.47243749999999979</v>
      </c>
      <c r="Q234" s="25">
        <v>0.47989583333333291</v>
      </c>
      <c r="R234" s="25">
        <v>0.4339374999999997</v>
      </c>
      <c r="S234" s="25">
        <v>0.32487499999999991</v>
      </c>
      <c r="T234" s="25">
        <v>0.33739583333333356</v>
      </c>
      <c r="U234" s="25">
        <v>0.29589583333333336</v>
      </c>
      <c r="V234" s="25">
        <v>-169.81250000000003</v>
      </c>
      <c r="W234" s="25">
        <v>-127.70416666666667</v>
      </c>
      <c r="X234" s="25">
        <v>-41.053125000000001</v>
      </c>
      <c r="Y234" s="25">
        <v>-42.513541666666661</v>
      </c>
      <c r="Z234" s="25">
        <v>-65.668958333333322</v>
      </c>
      <c r="AA234" s="25">
        <v>-84.11041666666668</v>
      </c>
      <c r="AB234" s="25">
        <v>-78.456666666666663</v>
      </c>
      <c r="AC234" s="25">
        <v>-78.959375000000009</v>
      </c>
      <c r="AD234" s="25">
        <v>-322.32499999999999</v>
      </c>
      <c r="AE234" s="25">
        <v>-370.67708333333343</v>
      </c>
      <c r="AF234" s="25">
        <v>-358.47708333333344</v>
      </c>
      <c r="AG234" s="25">
        <v>-237.7520833333333</v>
      </c>
      <c r="AH234" s="25">
        <v>-488.21458333333322</v>
      </c>
      <c r="AI234" s="25">
        <v>-59.231249999999996</v>
      </c>
      <c r="AJ234" s="25">
        <v>-32.983333333333334</v>
      </c>
      <c r="AK234" s="25">
        <v>-49.452083333333341</v>
      </c>
      <c r="AL234" s="25">
        <v>16.887499999999999</v>
      </c>
      <c r="AM234" s="25">
        <v>16.154166666666672</v>
      </c>
      <c r="AN234" s="25">
        <v>15.58333333333335</v>
      </c>
      <c r="AO234" s="25">
        <v>15.349999999999993</v>
      </c>
      <c r="AP234" s="25">
        <v>17.525000000000002</v>
      </c>
      <c r="AQ234" s="25">
        <v>16.800000000000011</v>
      </c>
      <c r="AR234" s="25">
        <v>16.293749999999992</v>
      </c>
      <c r="AS234" s="25">
        <v>16.058333333333337</v>
      </c>
      <c r="AT234" s="25">
        <v>0.18470833333333328</v>
      </c>
      <c r="AU234" s="25">
        <v>0.11912499999999999</v>
      </c>
      <c r="AV234" s="25">
        <v>0.24004166666666671</v>
      </c>
      <c r="AW234" s="25">
        <v>-135.46138888888888</v>
      </c>
      <c r="AX234" s="25">
        <v>-176.08923611111106</v>
      </c>
      <c r="AY234" s="25">
        <v>-156.76763888888885</v>
      </c>
      <c r="AZ234" s="25">
        <v>-5126.7690476190473</v>
      </c>
      <c r="BA234" s="25">
        <v>-2134.9999999999995</v>
      </c>
      <c r="BB234" s="25">
        <v>-511.92833333333334</v>
      </c>
      <c r="BC234" s="25">
        <v>19.362857142857141</v>
      </c>
      <c r="BD234" s="25">
        <v>18.31069444444444</v>
      </c>
      <c r="BE234" s="25">
        <v>18.585555555555558</v>
      </c>
    </row>
    <row r="235" spans="1:57" x14ac:dyDescent="0.25">
      <c r="A235" s="1">
        <v>17.2</v>
      </c>
      <c r="B235" s="1">
        <v>11.7</v>
      </c>
      <c r="C235" s="22"/>
      <c r="D235" s="23">
        <v>43942</v>
      </c>
      <c r="E235" s="24">
        <v>65.770833333333329</v>
      </c>
      <c r="F235" s="24">
        <v>84.143749999999997</v>
      </c>
      <c r="G235" s="24">
        <v>13.870833333333325</v>
      </c>
      <c r="H235" s="24">
        <v>0</v>
      </c>
      <c r="I235" s="24">
        <v>188.25</v>
      </c>
      <c r="J235" s="24">
        <v>6.458333333333333</v>
      </c>
      <c r="K235" s="24">
        <v>0.25</v>
      </c>
      <c r="L235" s="24">
        <v>11.218750000000005</v>
      </c>
      <c r="M235" s="10">
        <v>0.25623449394215947</v>
      </c>
      <c r="N235" s="25">
        <v>0.26620833333333344</v>
      </c>
      <c r="O235" s="25">
        <v>0.3738333333333333</v>
      </c>
      <c r="P235" s="25">
        <v>0.46764583333333337</v>
      </c>
      <c r="Q235" s="25">
        <v>0.47270833333333329</v>
      </c>
      <c r="R235" s="25">
        <v>0.42877083333333316</v>
      </c>
      <c r="S235" s="25">
        <v>0.32222916666666651</v>
      </c>
      <c r="T235" s="25">
        <v>0.33512500000000017</v>
      </c>
      <c r="U235" s="25">
        <v>0.29404166666666659</v>
      </c>
      <c r="V235" s="25">
        <v>-185.39375000000004</v>
      </c>
      <c r="W235" s="25">
        <v>-139.78541666666666</v>
      </c>
      <c r="X235" s="25">
        <v>-45.107708333333328</v>
      </c>
      <c r="Y235" s="25">
        <v>-46.753749999999997</v>
      </c>
      <c r="Z235" s="25">
        <v>-72.836249999999964</v>
      </c>
      <c r="AA235" s="25">
        <v>-89.920833333333306</v>
      </c>
      <c r="AB235" s="25">
        <v>-82.261666666666684</v>
      </c>
      <c r="AC235" s="25">
        <v>-81.583333333333357</v>
      </c>
      <c r="AD235" s="25">
        <v>-420.65416666666675</v>
      </c>
      <c r="AE235" s="25">
        <v>-444.26458333333341</v>
      </c>
      <c r="AF235" s="25">
        <v>-434.125</v>
      </c>
      <c r="AG235" s="25">
        <v>-271.1270833333333</v>
      </c>
      <c r="AH235" s="25">
        <v>-557.6270833333333</v>
      </c>
      <c r="AI235" s="25">
        <v>-66.433333333333351</v>
      </c>
      <c r="AJ235" s="25">
        <v>-43.377083333333331</v>
      </c>
      <c r="AK235" s="25">
        <v>-66.843750000000014</v>
      </c>
      <c r="AL235" s="25">
        <v>16.489583333333329</v>
      </c>
      <c r="AM235" s="25">
        <v>16.222916666666674</v>
      </c>
      <c r="AN235" s="25">
        <v>15.75000000000002</v>
      </c>
      <c r="AO235" s="25">
        <v>15.489583333333334</v>
      </c>
      <c r="AP235" s="25">
        <v>16.25416666666667</v>
      </c>
      <c r="AQ235" s="25">
        <v>16.483333333333331</v>
      </c>
      <c r="AR235" s="25">
        <v>16.252083333333339</v>
      </c>
      <c r="AS235" s="25">
        <v>16.110416666666669</v>
      </c>
      <c r="AT235" s="25">
        <v>0.1811041666666667</v>
      </c>
      <c r="AU235" s="25">
        <v>0.11547916666666676</v>
      </c>
      <c r="AV235" s="25">
        <v>0.23618749999999988</v>
      </c>
      <c r="AW235" s="25">
        <v>-153.0025</v>
      </c>
      <c r="AX235" s="25">
        <v>-207.98270833333322</v>
      </c>
      <c r="AY235" s="25">
        <v>-185.44013888888887</v>
      </c>
      <c r="AZ235" s="25"/>
      <c r="BA235" s="25">
        <v>-3151.192361111111</v>
      </c>
      <c r="BB235" s="25">
        <v>-566.8115972222223</v>
      </c>
      <c r="BC235" s="25">
        <v>16.158860716700474</v>
      </c>
      <c r="BD235" s="25">
        <v>16.27673611111112</v>
      </c>
      <c r="BE235" s="25">
        <v>17.278611111111111</v>
      </c>
    </row>
    <row r="236" spans="1:57" x14ac:dyDescent="0.25">
      <c r="A236" s="1">
        <v>13.9</v>
      </c>
      <c r="B236" s="1">
        <v>8.4</v>
      </c>
      <c r="C236" s="22"/>
      <c r="D236" s="23">
        <v>43943</v>
      </c>
      <c r="E236" s="24">
        <v>54.041666666666664</v>
      </c>
      <c r="F236" s="24">
        <v>84.766666666666637</v>
      </c>
      <c r="G236" s="24">
        <v>10.96875</v>
      </c>
      <c r="H236" s="24">
        <v>0</v>
      </c>
      <c r="I236" s="24">
        <v>192</v>
      </c>
      <c r="J236" s="24">
        <v>5.479166666666667</v>
      </c>
      <c r="K236" s="24">
        <v>0.10416666666666667</v>
      </c>
      <c r="L236" s="24">
        <v>8.4541666666666693</v>
      </c>
      <c r="M236" s="10">
        <v>0.20816893889979401</v>
      </c>
      <c r="N236" s="25">
        <v>0.26208333333333306</v>
      </c>
      <c r="O236" s="25">
        <v>0.36739583333333337</v>
      </c>
      <c r="P236" s="25">
        <v>0.46133333333333315</v>
      </c>
      <c r="Q236" s="25">
        <v>0.46629166666666677</v>
      </c>
      <c r="R236" s="25">
        <v>0.4222916666666669</v>
      </c>
      <c r="S236" s="25">
        <v>0.31929166666666681</v>
      </c>
      <c r="T236" s="25">
        <v>0.33302083333333349</v>
      </c>
      <c r="U236" s="25">
        <v>0.29268749999999993</v>
      </c>
      <c r="V236" s="25">
        <v>-205.59791666666672</v>
      </c>
      <c r="W236" s="25">
        <v>-155.63750000000002</v>
      </c>
      <c r="X236" s="25">
        <v>-49.773958333333333</v>
      </c>
      <c r="Y236" s="25">
        <v>-51.057291666666664</v>
      </c>
      <c r="Z236" s="25">
        <v>-83.357500000000002</v>
      </c>
      <c r="AA236" s="25">
        <v>-97.84375</v>
      </c>
      <c r="AB236" s="25">
        <v>-87.697916666666686</v>
      </c>
      <c r="AC236" s="25">
        <v>-85.524999999999977</v>
      </c>
      <c r="AD236" s="25">
        <v>-513.14166666666677</v>
      </c>
      <c r="AE236" s="25">
        <v>-498.25208333333347</v>
      </c>
      <c r="AF236" s="25">
        <v>-486.66666666666669</v>
      </c>
      <c r="AG236" s="25">
        <v>-285.36041666666665</v>
      </c>
      <c r="AH236" s="25">
        <v>-550.58958333333339</v>
      </c>
      <c r="AI236" s="25">
        <v>-72.179166666666674</v>
      </c>
      <c r="AJ236" s="25">
        <v>-55.841666666666647</v>
      </c>
      <c r="AK236" s="25">
        <v>-86.216666666666654</v>
      </c>
      <c r="AL236" s="25">
        <v>15.427083333333341</v>
      </c>
      <c r="AM236" s="25">
        <v>15.6875</v>
      </c>
      <c r="AN236" s="25">
        <v>15.566666666666665</v>
      </c>
      <c r="AO236" s="25">
        <v>15.464583333333325</v>
      </c>
      <c r="AP236" s="25">
        <v>14.637500000000003</v>
      </c>
      <c r="AQ236" s="25">
        <v>15.406250000000005</v>
      </c>
      <c r="AR236" s="25">
        <v>15.489583333333343</v>
      </c>
      <c r="AS236" s="25">
        <v>15.527083333333328</v>
      </c>
      <c r="AT236" s="25">
        <v>0.17902083333333341</v>
      </c>
      <c r="AU236" s="25">
        <v>0.11406250000000004</v>
      </c>
      <c r="AV236" s="25">
        <v>0.23295833333333318</v>
      </c>
      <c r="AW236" s="25">
        <v>-163.88312499999998</v>
      </c>
      <c r="AX236" s="25">
        <v>-220.59395833333329</v>
      </c>
      <c r="AY236" s="25">
        <v>-203.83965277777781</v>
      </c>
      <c r="AZ236" s="25"/>
      <c r="BA236" s="25">
        <v>-3997.5222222222233</v>
      </c>
      <c r="BB236" s="25">
        <v>-587.81166666666672</v>
      </c>
      <c r="BC236" s="25">
        <v>14.328477668845315</v>
      </c>
      <c r="BD236" s="25">
        <v>14.772500000000001</v>
      </c>
      <c r="BE236" s="25">
        <v>15.953680555555557</v>
      </c>
    </row>
    <row r="237" spans="1:57" x14ac:dyDescent="0.25">
      <c r="A237" s="1">
        <v>10.1</v>
      </c>
      <c r="B237" s="1">
        <v>6.4</v>
      </c>
      <c r="C237" s="22"/>
      <c r="D237" s="23">
        <v>43944</v>
      </c>
      <c r="E237" s="24">
        <v>27.75</v>
      </c>
      <c r="F237" s="24">
        <v>85.935416666666683</v>
      </c>
      <c r="G237" s="24">
        <v>8.1062500000000011</v>
      </c>
      <c r="H237" s="24">
        <v>0.89999999999999991</v>
      </c>
      <c r="I237" s="24">
        <v>211.4375</v>
      </c>
      <c r="J237" s="24">
        <v>4.541666666666667</v>
      </c>
      <c r="K237" s="24">
        <v>0</v>
      </c>
      <c r="L237" s="24">
        <v>5.8604166666666657</v>
      </c>
      <c r="M237" s="10">
        <v>0.15592820820607642</v>
      </c>
      <c r="N237" s="25">
        <v>0.25845833333333318</v>
      </c>
      <c r="O237" s="25">
        <v>0.36104166666666665</v>
      </c>
      <c r="P237" s="25">
        <v>0.45495833333333363</v>
      </c>
      <c r="Q237" s="25">
        <v>0.45993749999999989</v>
      </c>
      <c r="R237" s="25">
        <v>0.41652083333333345</v>
      </c>
      <c r="S237" s="25">
        <v>0.31658333333333338</v>
      </c>
      <c r="T237" s="25">
        <v>0.33016666666666694</v>
      </c>
      <c r="U237" s="25">
        <v>0.29068749999999977</v>
      </c>
      <c r="V237" s="25">
        <v>-225.76041666666666</v>
      </c>
      <c r="W237" s="25">
        <v>-171.43958333333333</v>
      </c>
      <c r="X237" s="25">
        <v>-54.467291666666682</v>
      </c>
      <c r="Y237" s="25">
        <v>-55.182916666666678</v>
      </c>
      <c r="Z237" s="25">
        <v>-94.95</v>
      </c>
      <c r="AA237" s="25">
        <v>-106.08958333333335</v>
      </c>
      <c r="AB237" s="25">
        <v>-93.8541666666667</v>
      </c>
      <c r="AC237" s="25">
        <v>-90.379166666666677</v>
      </c>
      <c r="AD237" s="25">
        <v>-594.78333333333342</v>
      </c>
      <c r="AE237" s="25">
        <v>-543.98750000000007</v>
      </c>
      <c r="AF237" s="25">
        <v>-535.5374999999998</v>
      </c>
      <c r="AG237" s="25">
        <v>-297.84583333333336</v>
      </c>
      <c r="AH237" s="25">
        <v>-538.36666666666667</v>
      </c>
      <c r="AI237" s="25">
        <v>-76.949999999999974</v>
      </c>
      <c r="AJ237" s="25">
        <v>-67.262500000000003</v>
      </c>
      <c r="AK237" s="25">
        <v>-114.58958333333334</v>
      </c>
      <c r="AL237" s="25">
        <v>14.372916666666663</v>
      </c>
      <c r="AM237" s="25">
        <v>15.012500000000001</v>
      </c>
      <c r="AN237" s="25">
        <v>15.168750000000001</v>
      </c>
      <c r="AO237" s="25">
        <v>15.208333333333337</v>
      </c>
      <c r="AP237" s="25">
        <v>13.02708333333333</v>
      </c>
      <c r="AQ237" s="25">
        <v>14.339583333333332</v>
      </c>
      <c r="AR237" s="25">
        <v>14.649999999999997</v>
      </c>
      <c r="AS237" s="25">
        <v>14.8125</v>
      </c>
      <c r="AT237" s="25">
        <v>0.17620833333333341</v>
      </c>
      <c r="AU237" s="25"/>
      <c r="AV237" s="25">
        <v>0.22966666666666657</v>
      </c>
      <c r="AW237" s="25">
        <v>-174.12048611111109</v>
      </c>
      <c r="AX237" s="25">
        <v>-230.60312499999995</v>
      </c>
      <c r="AY237" s="25">
        <v>-223.73715277777785</v>
      </c>
      <c r="AZ237" s="25"/>
      <c r="BA237" s="25">
        <v>-4835.1930555555564</v>
      </c>
      <c r="BB237" s="25">
        <v>-603.79375000000005</v>
      </c>
      <c r="BC237" s="25">
        <v>12.651996259934551</v>
      </c>
      <c r="BD237" s="25">
        <v>13.141666666666664</v>
      </c>
      <c r="BE237" s="25">
        <v>14.735000000000008</v>
      </c>
    </row>
    <row r="238" spans="1:57" x14ac:dyDescent="0.25">
      <c r="A238" s="1">
        <v>14.3</v>
      </c>
      <c r="B238" s="1">
        <v>6.1</v>
      </c>
      <c r="C238" s="22"/>
      <c r="D238" s="23">
        <v>43945</v>
      </c>
      <c r="E238" s="24">
        <v>94.645833333333329</v>
      </c>
      <c r="F238" s="24">
        <v>75.939583333333317</v>
      </c>
      <c r="G238" s="24">
        <v>9.6458333333333357</v>
      </c>
      <c r="H238" s="24">
        <v>0</v>
      </c>
      <c r="I238" s="24">
        <v>217.10416666666666</v>
      </c>
      <c r="J238" s="24">
        <v>3.1041666666666665</v>
      </c>
      <c r="K238" s="24">
        <v>0</v>
      </c>
      <c r="L238" s="24">
        <v>5.4187500000000002</v>
      </c>
      <c r="M238" s="10">
        <v>0.31781058749788488</v>
      </c>
      <c r="N238" s="25">
        <v>0.25533333333333358</v>
      </c>
      <c r="O238" s="25">
        <v>0.35499999999999993</v>
      </c>
      <c r="P238" s="25">
        <v>0.44818750000000018</v>
      </c>
      <c r="Q238" s="25">
        <v>0.45356249999999992</v>
      </c>
      <c r="R238" s="25">
        <v>0.41170833333333351</v>
      </c>
      <c r="S238" s="25">
        <v>0.31375000000000025</v>
      </c>
      <c r="T238" s="25">
        <v>0.32752083333333348</v>
      </c>
      <c r="U238" s="25">
        <v>0.28879166666666684</v>
      </c>
      <c r="V238" s="25">
        <v>-240.25624999999994</v>
      </c>
      <c r="W238" s="25">
        <v>-187.11249999999998</v>
      </c>
      <c r="X238" s="25">
        <v>-59.082291666666684</v>
      </c>
      <c r="Y238" s="25">
        <v>-59.182083333333345</v>
      </c>
      <c r="Z238" s="25">
        <v>-105.51666666666667</v>
      </c>
      <c r="AA238" s="25">
        <v>-114.80625000000002</v>
      </c>
      <c r="AB238" s="25">
        <v>-100.63333333333331</v>
      </c>
      <c r="AC238" s="25">
        <v>-95.791666666666643</v>
      </c>
      <c r="AD238" s="25">
        <v>-667.52500000000009</v>
      </c>
      <c r="AE238" s="25">
        <v>-598.80833333333317</v>
      </c>
      <c r="AF238" s="25">
        <v>-598.66249999999991</v>
      </c>
      <c r="AG238" s="25">
        <v>-319.89374999999995</v>
      </c>
      <c r="AH238" s="25">
        <v>-576.14791666666645</v>
      </c>
      <c r="AI238" s="25">
        <v>-84.656249999999986</v>
      </c>
      <c r="AJ238" s="25">
        <v>-77.404166666666669</v>
      </c>
      <c r="AK238" s="25">
        <v>-148.48125000000002</v>
      </c>
      <c r="AL238" s="25">
        <v>13.481250000000003</v>
      </c>
      <c r="AM238" s="25">
        <v>14.28333333333334</v>
      </c>
      <c r="AN238" s="25">
        <v>14.66041666666667</v>
      </c>
      <c r="AO238" s="25">
        <v>14.825000000000012</v>
      </c>
      <c r="AP238" s="25">
        <v>12.312499999999998</v>
      </c>
      <c r="AQ238" s="25">
        <v>13.387499999999996</v>
      </c>
      <c r="AR238" s="25">
        <v>13.779166666666676</v>
      </c>
      <c r="AS238" s="25">
        <v>14.058333333333323</v>
      </c>
      <c r="AT238" s="25">
        <v>0.17502083333333326</v>
      </c>
      <c r="AU238" s="25"/>
      <c r="AV238" s="25">
        <v>0.22743749999999999</v>
      </c>
      <c r="AW238" s="25">
        <v>-179.4695833333333</v>
      </c>
      <c r="AX238" s="25">
        <v>-239.88673611111105</v>
      </c>
      <c r="AY238" s="25">
        <v>-244.63354166666662</v>
      </c>
      <c r="AZ238" s="25"/>
      <c r="BA238" s="25">
        <v>-5108.126388888888</v>
      </c>
      <c r="BB238" s="25">
        <v>-556.71965277777792</v>
      </c>
      <c r="BC238" s="25">
        <v>11.506078431372551</v>
      </c>
      <c r="BD238" s="25">
        <v>13.092152777777779</v>
      </c>
      <c r="BE238" s="25">
        <v>14.309513888888889</v>
      </c>
    </row>
    <row r="239" spans="1:57" x14ac:dyDescent="0.25">
      <c r="A239" s="1">
        <v>14.9</v>
      </c>
      <c r="B239" s="1">
        <v>6.5</v>
      </c>
      <c r="C239" s="22"/>
      <c r="D239" s="23">
        <v>43946</v>
      </c>
      <c r="E239" s="24">
        <v>62.375</v>
      </c>
      <c r="F239" s="24">
        <v>85.247916666666683</v>
      </c>
      <c r="G239" s="24">
        <v>9.2062499999999954</v>
      </c>
      <c r="H239" s="24">
        <v>5.1000000000000005</v>
      </c>
      <c r="I239" s="24">
        <v>169.04166666666666</v>
      </c>
      <c r="J239" s="24">
        <v>1.6041666666666667</v>
      </c>
      <c r="K239" s="24">
        <v>0</v>
      </c>
      <c r="L239" s="24">
        <v>6.7687500000000016</v>
      </c>
      <c r="M239" s="10">
        <v>0.18589292031522034</v>
      </c>
      <c r="N239" s="25">
        <v>0.25475000000000009</v>
      </c>
      <c r="O239" s="25">
        <v>0.35072916666666654</v>
      </c>
      <c r="P239" s="25">
        <v>0.44327083333333345</v>
      </c>
      <c r="Q239" s="25">
        <v>0.44764583333333352</v>
      </c>
      <c r="R239" s="25">
        <v>0.40960416666666671</v>
      </c>
      <c r="S239" s="25">
        <v>0.31241666666666662</v>
      </c>
      <c r="T239" s="25">
        <v>0.32460416666666664</v>
      </c>
      <c r="U239" s="25">
        <v>0.28654166666666647</v>
      </c>
      <c r="V239" s="25">
        <v>-247.70208333333332</v>
      </c>
      <c r="W239" s="25">
        <v>-196.4458333333333</v>
      </c>
      <c r="X239" s="25">
        <v>-62.921041666666675</v>
      </c>
      <c r="Y239" s="25">
        <v>-62.659375000000011</v>
      </c>
      <c r="Z239" s="25">
        <v>-114.82916666666667</v>
      </c>
      <c r="AA239" s="25">
        <v>-122.23541666666667</v>
      </c>
      <c r="AB239" s="25">
        <v>-106.86666666666666</v>
      </c>
      <c r="AC239" s="25">
        <v>-100.32083333333334</v>
      </c>
      <c r="AD239" s="25">
        <v>-724.65416666666658</v>
      </c>
      <c r="AE239" s="25">
        <v>-656.18750000000023</v>
      </c>
      <c r="AF239" s="25">
        <v>-681.42708333333337</v>
      </c>
      <c r="AG239" s="25">
        <v>-346.77083333333331</v>
      </c>
      <c r="AH239" s="25">
        <v>-637.94791666666663</v>
      </c>
      <c r="AI239" s="25">
        <v>-96.85208333333334</v>
      </c>
      <c r="AJ239" s="25">
        <v>-94.422916666666666</v>
      </c>
      <c r="AK239" s="25">
        <v>-191.51666666666668</v>
      </c>
      <c r="AL239" s="25">
        <v>13.329166666666664</v>
      </c>
      <c r="AM239" s="25">
        <v>13.966666666666654</v>
      </c>
      <c r="AN239" s="25">
        <v>14.289583333333347</v>
      </c>
      <c r="AO239" s="25">
        <v>14.485416666666659</v>
      </c>
      <c r="AP239" s="25">
        <v>12.427083333333334</v>
      </c>
      <c r="AQ239" s="25">
        <v>13.285416666666668</v>
      </c>
      <c r="AR239" s="25">
        <v>13.533333333333331</v>
      </c>
      <c r="AS239" s="25">
        <v>13.687500000000009</v>
      </c>
      <c r="AT239" s="25">
        <v>0.17431250000000001</v>
      </c>
      <c r="AU239" s="25">
        <v>0.11</v>
      </c>
      <c r="AV239" s="25">
        <v>0.23183333333333334</v>
      </c>
      <c r="AW239" s="25">
        <v>-187.93763888888893</v>
      </c>
      <c r="AX239" s="25">
        <v>-257.36923611111109</v>
      </c>
      <c r="AY239" s="25">
        <v>-271.86784722222228</v>
      </c>
      <c r="AZ239" s="25"/>
      <c r="BA239" s="25">
        <v>-5491.8368055555575</v>
      </c>
      <c r="BB239" s="25">
        <v>-629.86986111111105</v>
      </c>
      <c r="BC239" s="25"/>
      <c r="BD239" s="25">
        <v>12.894027777777779</v>
      </c>
      <c r="BE239" s="25">
        <v>13.995625000000002</v>
      </c>
    </row>
    <row r="240" spans="1:57" x14ac:dyDescent="0.25">
      <c r="A240" s="1">
        <v>21.4</v>
      </c>
      <c r="B240" s="1">
        <v>5.5</v>
      </c>
      <c r="C240" s="22"/>
      <c r="D240" s="23">
        <v>43947</v>
      </c>
      <c r="E240" s="24">
        <v>192.95833333333334</v>
      </c>
      <c r="F240" s="24">
        <v>62.970833333333331</v>
      </c>
      <c r="G240" s="24">
        <v>13.222916666666665</v>
      </c>
      <c r="H240" s="24">
        <v>0.2</v>
      </c>
      <c r="I240" s="24">
        <v>168.60416666666666</v>
      </c>
      <c r="J240" s="24">
        <v>3.6458333333333335</v>
      </c>
      <c r="K240" s="24">
        <v>2.0833333333333332E-2</v>
      </c>
      <c r="L240" s="24">
        <v>4.8166666666666647</v>
      </c>
      <c r="M240" s="10">
        <v>0.7516583625633676</v>
      </c>
      <c r="N240" s="25">
        <v>0.25325000000000003</v>
      </c>
      <c r="O240" s="25">
        <v>0.3470208333333335</v>
      </c>
      <c r="P240" s="25">
        <v>0.43885416666666693</v>
      </c>
      <c r="Q240" s="25">
        <v>0.44322916666666717</v>
      </c>
      <c r="R240" s="25">
        <v>0.40770833333333317</v>
      </c>
      <c r="S240" s="25">
        <v>0.3109166666666669</v>
      </c>
      <c r="T240" s="25">
        <v>0.32297916666666643</v>
      </c>
      <c r="U240" s="25">
        <v>0.28479166666666661</v>
      </c>
      <c r="V240" s="25">
        <v>-254.76874999999998</v>
      </c>
      <c r="W240" s="25">
        <v>-207.69583333333335</v>
      </c>
      <c r="X240" s="25">
        <v>-66.738541666666677</v>
      </c>
      <c r="Y240" s="25">
        <v>-65.755833333333356</v>
      </c>
      <c r="Z240" s="25">
        <v>-124.75416666666666</v>
      </c>
      <c r="AA240" s="25">
        <v>-129.77916666666661</v>
      </c>
      <c r="AB240" s="25">
        <v>-113.1375</v>
      </c>
      <c r="AC240" s="25">
        <v>-104.55416666666666</v>
      </c>
      <c r="AD240" s="25">
        <v>-780.8104166666667</v>
      </c>
      <c r="AE240" s="25">
        <v>-683.48541666666654</v>
      </c>
      <c r="AF240" s="25">
        <v>-720.51250000000016</v>
      </c>
      <c r="AG240" s="25">
        <v>-358.18541666666675</v>
      </c>
      <c r="AH240" s="25">
        <v>-653.04583333333335</v>
      </c>
      <c r="AI240" s="25">
        <v>-109.79583333333335</v>
      </c>
      <c r="AJ240" s="25">
        <v>-111.75416666666666</v>
      </c>
      <c r="AK240" s="25">
        <v>-231.52500000000001</v>
      </c>
      <c r="AL240" s="25">
        <v>13.10000000000001</v>
      </c>
      <c r="AM240" s="25">
        <v>13.581250000000002</v>
      </c>
      <c r="AN240" s="25">
        <v>14.014583333333325</v>
      </c>
      <c r="AO240" s="25">
        <v>14.229166666666673</v>
      </c>
      <c r="AP240" s="25">
        <v>12.529166666666669</v>
      </c>
      <c r="AQ240" s="25">
        <v>13.04166666666667</v>
      </c>
      <c r="AR240" s="25">
        <v>13.222916666666665</v>
      </c>
      <c r="AS240" s="25">
        <v>13.364583333333327</v>
      </c>
      <c r="AT240" s="25">
        <v>0.17549999999999996</v>
      </c>
      <c r="AU240" s="25">
        <v>0.13366666666666671</v>
      </c>
      <c r="AV240" s="25">
        <v>0.24454166666666674</v>
      </c>
      <c r="AW240" s="25">
        <v>-193.69250000000002</v>
      </c>
      <c r="AX240" s="25">
        <v>-261.53527777777776</v>
      </c>
      <c r="AY240" s="25">
        <v>-277.28312500000004</v>
      </c>
      <c r="AZ240" s="25"/>
      <c r="BA240" s="25">
        <v>-4481.2215277777768</v>
      </c>
      <c r="BB240" s="25">
        <v>-554.50902777777799</v>
      </c>
      <c r="BC240" s="25"/>
      <c r="BD240" s="25">
        <v>13.689444444444447</v>
      </c>
      <c r="BE240" s="25">
        <v>14.144444444444444</v>
      </c>
    </row>
    <row r="241" spans="1:57" x14ac:dyDescent="0.25">
      <c r="A241" s="1">
        <v>27.2</v>
      </c>
      <c r="B241" s="1">
        <v>8.6</v>
      </c>
      <c r="C241" s="22"/>
      <c r="D241" s="23">
        <v>43948</v>
      </c>
      <c r="E241" s="24">
        <v>247.72916666666666</v>
      </c>
      <c r="F241" s="24">
        <v>42.093749999999993</v>
      </c>
      <c r="G241" s="24">
        <v>17.318750000000001</v>
      </c>
      <c r="H241" s="24">
        <v>0</v>
      </c>
      <c r="I241" s="24">
        <v>239.39583333333334</v>
      </c>
      <c r="J241" s="24">
        <v>3.875</v>
      </c>
      <c r="K241" s="24">
        <v>0.10416666666666667</v>
      </c>
      <c r="L241" s="24">
        <v>3.027083333333334</v>
      </c>
      <c r="M241" s="10">
        <v>1.3564982296622903</v>
      </c>
      <c r="N241" s="25">
        <v>0.25266666666666676</v>
      </c>
      <c r="O241" s="25">
        <v>0.34350000000000008</v>
      </c>
      <c r="P241" s="25">
        <v>0.43529166666666669</v>
      </c>
      <c r="Q241" s="25">
        <v>0.4373333333333333</v>
      </c>
      <c r="R241" s="25">
        <v>0.4082291666666667</v>
      </c>
      <c r="S241" s="25">
        <v>0.31002083333333347</v>
      </c>
      <c r="T241" s="25">
        <v>0.32056250000000025</v>
      </c>
      <c r="U241" s="25">
        <v>0.28204166666666686</v>
      </c>
      <c r="V241" s="25">
        <v>-252.54583333333346</v>
      </c>
      <c r="W241" s="25">
        <v>-215.48333333333335</v>
      </c>
      <c r="X241" s="25">
        <v>-69.599375000000009</v>
      </c>
      <c r="Y241" s="25">
        <v>-68.171666666666667</v>
      </c>
      <c r="Z241" s="25">
        <v>-131.59583333333333</v>
      </c>
      <c r="AA241" s="25">
        <v>-135.41458333333335</v>
      </c>
      <c r="AB241" s="25">
        <v>-118.32499999999997</v>
      </c>
      <c r="AC241" s="25">
        <v>-107.61250000000003</v>
      </c>
      <c r="AD241" s="25">
        <v>-817.8770833333333</v>
      </c>
      <c r="AE241" s="25">
        <v>-744.3208333333331</v>
      </c>
      <c r="AF241" s="25">
        <v>-837.13125000000002</v>
      </c>
      <c r="AG241" s="25">
        <v>-394.72500000000008</v>
      </c>
      <c r="AH241" s="25">
        <v>-751.02083333333337</v>
      </c>
      <c r="AI241" s="25">
        <v>-135.4354166666667</v>
      </c>
      <c r="AJ241" s="25">
        <v>-144.125</v>
      </c>
      <c r="AK241" s="25">
        <v>-332.55625000000003</v>
      </c>
      <c r="AL241" s="25">
        <v>13.781250000000002</v>
      </c>
      <c r="AM241" s="25">
        <v>13.743749999999999</v>
      </c>
      <c r="AN241" s="25">
        <v>13.943749999999994</v>
      </c>
      <c r="AO241" s="25">
        <v>14.10000000000001</v>
      </c>
      <c r="AP241" s="25">
        <v>13.66666666666667</v>
      </c>
      <c r="AQ241" s="25">
        <v>13.647916666666662</v>
      </c>
      <c r="AR241" s="25">
        <v>13.556249999999993</v>
      </c>
      <c r="AS241" s="25">
        <v>13.539583333333333</v>
      </c>
      <c r="AT241" s="25">
        <v>0.17502083333333338</v>
      </c>
      <c r="AU241" s="25">
        <v>0.12113043478260868</v>
      </c>
      <c r="AV241" s="25">
        <v>0.23412499999999983</v>
      </c>
      <c r="AW241" s="25">
        <v>-208.27548611111112</v>
      </c>
      <c r="AX241" s="25">
        <v>-283.96187499999991</v>
      </c>
      <c r="AY241" s="25">
        <v>-288.89513888888888</v>
      </c>
      <c r="AZ241" s="25">
        <v>-3153.986781609196</v>
      </c>
      <c r="BA241" s="25">
        <v>-3695.7624999999994</v>
      </c>
      <c r="BB241" s="25">
        <v>-602.66041666666672</v>
      </c>
      <c r="BC241" s="25">
        <v>17.149013409961686</v>
      </c>
      <c r="BD241" s="25">
        <v>15.188750000000006</v>
      </c>
      <c r="BE241" s="25">
        <v>14.982291666666667</v>
      </c>
    </row>
    <row r="242" spans="1:57" x14ac:dyDescent="0.25">
      <c r="A242" s="1">
        <v>25.9</v>
      </c>
      <c r="B242" s="1">
        <v>10.8</v>
      </c>
      <c r="C242" s="22"/>
      <c r="D242" s="23">
        <v>43949</v>
      </c>
      <c r="E242" s="24">
        <v>251.47916666666666</v>
      </c>
      <c r="F242" s="24">
        <v>40.866666666666667</v>
      </c>
      <c r="G242" s="24">
        <v>19.079166666666666</v>
      </c>
      <c r="H242" s="24">
        <v>0</v>
      </c>
      <c r="I242" s="24">
        <v>217.14583333333334</v>
      </c>
      <c r="J242" s="24">
        <v>7.9375</v>
      </c>
      <c r="K242" s="24">
        <v>2.0833333333333335</v>
      </c>
      <c r="L242" s="24">
        <v>4.8187499999999996</v>
      </c>
      <c r="M242" s="10">
        <v>1.4377365737029784</v>
      </c>
      <c r="N242" s="25">
        <v>0.25191666666666673</v>
      </c>
      <c r="O242" s="25">
        <v>0.34054166666666652</v>
      </c>
      <c r="P242" s="25">
        <v>0.4326458333333334</v>
      </c>
      <c r="Q242" s="25">
        <v>0.43254166666666655</v>
      </c>
      <c r="R242" s="25">
        <v>0.40856249999999972</v>
      </c>
      <c r="S242" s="25">
        <v>0.30962499999999965</v>
      </c>
      <c r="T242" s="25">
        <v>0.31879166666666664</v>
      </c>
      <c r="U242" s="25">
        <v>0.27983333333333343</v>
      </c>
      <c r="V242" s="25">
        <v>-250.67291666666674</v>
      </c>
      <c r="W242" s="25">
        <v>-223.35625000000005</v>
      </c>
      <c r="X242" s="25">
        <v>-72.471666666666692</v>
      </c>
      <c r="Y242" s="25">
        <v>-69.819791666666646</v>
      </c>
      <c r="Z242" s="25">
        <v>-140.12708333333333</v>
      </c>
      <c r="AA242" s="25">
        <v>-141.31666666666666</v>
      </c>
      <c r="AB242" s="25">
        <v>-123.21041666666666</v>
      </c>
      <c r="AC242" s="25">
        <v>-109.66666666666664</v>
      </c>
      <c r="AD242" s="25">
        <v>-871.27083333333337</v>
      </c>
      <c r="AE242" s="25">
        <v>-807.19375000000002</v>
      </c>
      <c r="AF242" s="25">
        <v>-980.47916666666663</v>
      </c>
      <c r="AG242" s="25">
        <v>-433.29374999999999</v>
      </c>
      <c r="AH242" s="25">
        <v>-836.77083333333337</v>
      </c>
      <c r="AI242" s="25">
        <v>-173.8729166666667</v>
      </c>
      <c r="AJ242" s="25">
        <v>-188.96458333333331</v>
      </c>
      <c r="AK242" s="25">
        <v>-500.69166666666666</v>
      </c>
      <c r="AL242" s="25">
        <v>14.516666666666673</v>
      </c>
      <c r="AM242" s="25">
        <v>14.237499999999988</v>
      </c>
      <c r="AN242" s="25">
        <v>14.13125000000001</v>
      </c>
      <c r="AO242" s="25">
        <v>14.17083333333334</v>
      </c>
      <c r="AP242" s="25">
        <v>14.69375</v>
      </c>
      <c r="AQ242" s="25">
        <v>14.420833333333336</v>
      </c>
      <c r="AR242" s="25">
        <v>14.147916666666665</v>
      </c>
      <c r="AS242" s="25">
        <v>14.033333333333337</v>
      </c>
      <c r="AT242" s="25">
        <v>0.17395833333333341</v>
      </c>
      <c r="AU242" s="25">
        <v>0.11542307692307693</v>
      </c>
      <c r="AV242" s="25">
        <v>0.23014583333333336</v>
      </c>
      <c r="AW242" s="25">
        <v>-229.33048611111107</v>
      </c>
      <c r="AX242" s="25">
        <v>-310.87875000000014</v>
      </c>
      <c r="AY242" s="25">
        <v>-309.54215277777774</v>
      </c>
      <c r="AZ242" s="25">
        <v>-5631.0613333333331</v>
      </c>
      <c r="BA242" s="25">
        <v>-3567.9479166666665</v>
      </c>
      <c r="BB242" s="25">
        <v>-656.71826388888883</v>
      </c>
      <c r="BC242" s="25">
        <v>15.163978494623658</v>
      </c>
      <c r="BD242" s="25">
        <v>16.307916666666667</v>
      </c>
      <c r="BE242" s="25">
        <v>15.696736111111107</v>
      </c>
    </row>
    <row r="243" spans="1:57" x14ac:dyDescent="0.25">
      <c r="A243" s="1">
        <v>24.3</v>
      </c>
      <c r="B243" s="1">
        <v>15.4</v>
      </c>
      <c r="C243" s="22"/>
      <c r="D243" s="23">
        <v>43950</v>
      </c>
      <c r="E243" s="24">
        <v>165.4375</v>
      </c>
      <c r="F243" s="24">
        <v>53.039583333333319</v>
      </c>
      <c r="G243" s="24">
        <v>19.212500000000002</v>
      </c>
      <c r="H243" s="24">
        <v>0</v>
      </c>
      <c r="I243" s="24">
        <v>233.72916666666666</v>
      </c>
      <c r="J243" s="24">
        <v>14.75</v>
      </c>
      <c r="K243" s="24">
        <v>3.1458333333333335</v>
      </c>
      <c r="L243" s="24">
        <v>9.2416666666666671</v>
      </c>
      <c r="M243" s="10">
        <v>1.0711967969800062</v>
      </c>
      <c r="N243" s="25">
        <v>0.25089583333333326</v>
      </c>
      <c r="O243" s="25">
        <v>0.33779166666666671</v>
      </c>
      <c r="P243" s="25">
        <v>0.43037499999999967</v>
      </c>
      <c r="Q243" s="25">
        <v>0.42785416666666637</v>
      </c>
      <c r="R243" s="25">
        <v>0.40795833333333348</v>
      </c>
      <c r="S243" s="25">
        <v>0.30874999999999991</v>
      </c>
      <c r="T243" s="25">
        <v>0.31702083333333358</v>
      </c>
      <c r="U243" s="25">
        <v>0.27797916666666639</v>
      </c>
      <c r="V243" s="25">
        <v>-251.70625000000007</v>
      </c>
      <c r="W243" s="25">
        <v>-233.30833333333325</v>
      </c>
      <c r="X243" s="25">
        <v>-75.533541666666679</v>
      </c>
      <c r="Y243" s="25">
        <v>-71.247916666666654</v>
      </c>
      <c r="Z243" s="25">
        <v>-150.94374999999994</v>
      </c>
      <c r="AA243" s="25">
        <v>-148.65208333333331</v>
      </c>
      <c r="AB243" s="25">
        <v>-128.66249999999999</v>
      </c>
      <c r="AC243" s="25">
        <v>-111.71250000000003</v>
      </c>
      <c r="AD243" s="25">
        <v>-924.0625</v>
      </c>
      <c r="AE243" s="25">
        <v>-874.6875</v>
      </c>
      <c r="AF243" s="25">
        <v>-1136.9375</v>
      </c>
      <c r="AG243" s="25">
        <v>-466.58541666666662</v>
      </c>
      <c r="AH243" s="25">
        <v>-898.58333333333337</v>
      </c>
      <c r="AI243" s="25">
        <v>-233.03541666666663</v>
      </c>
      <c r="AJ243" s="25">
        <v>-255.36458333333334</v>
      </c>
      <c r="AK243" s="25">
        <v>-749.13541666666663</v>
      </c>
      <c r="AL243" s="25">
        <v>15.049999999999995</v>
      </c>
      <c r="AM243" s="25">
        <v>14.641666666666671</v>
      </c>
      <c r="AN243" s="25">
        <v>14.40416666666666</v>
      </c>
      <c r="AO243" s="25">
        <v>14.385416666666659</v>
      </c>
      <c r="AP243" s="25">
        <v>15.470833333333333</v>
      </c>
      <c r="AQ243" s="25">
        <v>15.031249999999998</v>
      </c>
      <c r="AR243" s="25">
        <v>14.670833333333334</v>
      </c>
      <c r="AS243" s="25">
        <v>14.487500000000006</v>
      </c>
      <c r="AT243" s="25">
        <v>0.17197916666666657</v>
      </c>
      <c r="AU243" s="25">
        <v>0.11099999999999999</v>
      </c>
      <c r="AV243" s="25">
        <v>0.22777083333333337</v>
      </c>
      <c r="AW243" s="25">
        <v>-255.68638888888884</v>
      </c>
      <c r="AX243" s="25">
        <v>-323.44923611111113</v>
      </c>
      <c r="AY243" s="25">
        <v>-322.21111111111105</v>
      </c>
      <c r="AZ243" s="25">
        <v>-6590.170483682984</v>
      </c>
      <c r="BA243" s="25">
        <v>-4025.5666666666662</v>
      </c>
      <c r="BB243" s="25">
        <v>-686.61604166666655</v>
      </c>
      <c r="BC243" s="25">
        <v>16.777346996437906</v>
      </c>
      <c r="BD243" s="25">
        <v>16.48006944444445</v>
      </c>
      <c r="BE243" s="25">
        <v>16.224930555555556</v>
      </c>
    </row>
    <row r="244" spans="1:57" x14ac:dyDescent="0.25">
      <c r="A244" s="1">
        <v>25.8</v>
      </c>
      <c r="B244" s="1">
        <v>14.7</v>
      </c>
      <c r="C244" s="22"/>
      <c r="D244" s="23">
        <v>43951</v>
      </c>
      <c r="E244" s="24">
        <v>138.22916666666666</v>
      </c>
      <c r="F244" s="24">
        <v>78.27500000000002</v>
      </c>
      <c r="G244" s="24">
        <v>18.239583333333339</v>
      </c>
      <c r="H244" s="24">
        <v>27.999999999999996</v>
      </c>
      <c r="I244" s="24">
        <v>229.1875</v>
      </c>
      <c r="J244" s="24">
        <v>8.0833333333333339</v>
      </c>
      <c r="K244" s="24">
        <v>0.70833333333333337</v>
      </c>
      <c r="L244" s="24">
        <v>14.05833333333333</v>
      </c>
      <c r="M244" s="10">
        <v>0.53860055007579777</v>
      </c>
      <c r="N244" s="25">
        <v>0.26987500000000003</v>
      </c>
      <c r="O244" s="25">
        <v>0.34493750000000012</v>
      </c>
      <c r="P244" s="25">
        <v>0.43458333333333332</v>
      </c>
      <c r="Q244" s="25">
        <v>0.43352083333333336</v>
      </c>
      <c r="R244" s="25">
        <v>0.42433333333333328</v>
      </c>
      <c r="S244" s="25">
        <v>0.31685416666666671</v>
      </c>
      <c r="T244" s="25">
        <v>0.3171874999999999</v>
      </c>
      <c r="U244" s="25">
        <v>0.2774166666666667</v>
      </c>
      <c r="V244" s="25">
        <v>-253.84166666666673</v>
      </c>
      <c r="W244" s="25">
        <v>-202.81104166666671</v>
      </c>
      <c r="X244" s="25">
        <v>-67.289166666666674</v>
      </c>
      <c r="Y244" s="25">
        <v>-72.248749999999987</v>
      </c>
      <c r="Z244" s="25">
        <v>-160.78749999999997</v>
      </c>
      <c r="AA244" s="25">
        <v>-136.25937500000001</v>
      </c>
      <c r="AB244" s="25">
        <v>-131.23749999999998</v>
      </c>
      <c r="AC244" s="25">
        <v>-114.01041666666667</v>
      </c>
      <c r="AD244" s="25">
        <v>-963.75</v>
      </c>
      <c r="AE244" s="25">
        <v>-831.26458333333323</v>
      </c>
      <c r="AF244" s="25">
        <v>-1258.4166666666667</v>
      </c>
      <c r="AG244" s="25">
        <v>-483.36875000000003</v>
      </c>
      <c r="AH244" s="25">
        <v>-753.73124999999993</v>
      </c>
      <c r="AI244" s="25">
        <v>-227.00625000000002</v>
      </c>
      <c r="AJ244" s="25">
        <v>-332.98333333333341</v>
      </c>
      <c r="AK244" s="25">
        <v>-786.49791666666681</v>
      </c>
      <c r="AL244" s="25">
        <v>15.608333333333336</v>
      </c>
      <c r="AM244" s="25">
        <v>15.054166666666667</v>
      </c>
      <c r="AN244" s="25">
        <v>14.706249999999983</v>
      </c>
      <c r="AO244" s="25">
        <v>14.614583333333348</v>
      </c>
      <c r="AP244" s="25">
        <v>16.197916666666668</v>
      </c>
      <c r="AQ244" s="25">
        <v>15.589583333333328</v>
      </c>
      <c r="AR244" s="25">
        <v>15.15416666666667</v>
      </c>
      <c r="AS244" s="25">
        <v>14.937499999999998</v>
      </c>
      <c r="AT244" s="25">
        <v>0.17635416666666673</v>
      </c>
      <c r="AU244" s="25">
        <v>0.14307692307692305</v>
      </c>
      <c r="AV244" s="25">
        <v>0.26604166666666668</v>
      </c>
      <c r="AW244" s="25">
        <v>-236.5479444444444</v>
      </c>
      <c r="AX244" s="25">
        <v>-246.25486805555556</v>
      </c>
      <c r="AY244" s="25">
        <v>-262.32390972222225</v>
      </c>
      <c r="AZ244" s="25">
        <v>-6758.386363636364</v>
      </c>
      <c r="BA244" s="25">
        <v>-3112.6351388888884</v>
      </c>
      <c r="BB244" s="25">
        <v>-565.94749999999999</v>
      </c>
      <c r="BC244" s="25">
        <v>16.807651515151516</v>
      </c>
      <c r="BD244" s="25">
        <v>16.950347222222224</v>
      </c>
      <c r="BE244" s="25">
        <v>17.039166666666667</v>
      </c>
    </row>
    <row r="245" spans="1:57" x14ac:dyDescent="0.25">
      <c r="A245" s="1">
        <v>27.9</v>
      </c>
      <c r="B245" s="1">
        <v>13.7</v>
      </c>
      <c r="C245" s="22"/>
      <c r="D245" s="23">
        <v>43952</v>
      </c>
      <c r="E245" s="24">
        <v>208.52083333333334</v>
      </c>
      <c r="F245" s="24">
        <v>82.69583333333334</v>
      </c>
      <c r="G245" s="24">
        <v>18.354166666666661</v>
      </c>
      <c r="H245" s="24">
        <v>12.499999999999998</v>
      </c>
      <c r="I245" s="24">
        <v>220.08333333333334</v>
      </c>
      <c r="J245" s="24">
        <v>3.5416666666666665</v>
      </c>
      <c r="K245" s="24">
        <v>0.20833333333333334</v>
      </c>
      <c r="L245" s="24">
        <v>14.75</v>
      </c>
      <c r="M245" s="10">
        <v>0.52470192246064673</v>
      </c>
      <c r="N245" s="25">
        <v>0.31922916666666662</v>
      </c>
      <c r="O245" s="25">
        <v>0.37754166666666672</v>
      </c>
      <c r="P245" s="25">
        <v>0.45935416666666656</v>
      </c>
      <c r="Q245" s="25">
        <v>0.4807291666666666</v>
      </c>
      <c r="R245" s="25">
        <v>0.49162500000000003</v>
      </c>
      <c r="S245" s="25">
        <v>0.34202083333333338</v>
      </c>
      <c r="T245" s="25">
        <v>0.33054166666666662</v>
      </c>
      <c r="U245" s="25">
        <v>0.28672916666666676</v>
      </c>
      <c r="V245" s="25">
        <v>-248.14791666666665</v>
      </c>
      <c r="W245" s="25">
        <v>-24.024583333333339</v>
      </c>
      <c r="X245" s="25">
        <v>-13.460416666666665</v>
      </c>
      <c r="Y245" s="25">
        <v>-24.127916666666664</v>
      </c>
      <c r="Z245" s="25">
        <v>-77.08208333333333</v>
      </c>
      <c r="AA245" s="25">
        <v>-21.649375000000003</v>
      </c>
      <c r="AB245" s="25">
        <v>-89.784791666666649</v>
      </c>
      <c r="AC245" s="25">
        <v>-60.893958333333352</v>
      </c>
      <c r="AD245" s="25">
        <v>-810.47499999999991</v>
      </c>
      <c r="AE245" s="25">
        <v>-295.68541666666675</v>
      </c>
      <c r="AF245" s="25">
        <v>-1032.1854166666669</v>
      </c>
      <c r="AG245" s="25">
        <v>-77.747916666666683</v>
      </c>
      <c r="AH245" s="25">
        <v>-13.845833333333324</v>
      </c>
      <c r="AI245" s="25">
        <v>-19.256249999999998</v>
      </c>
      <c r="AJ245" s="25">
        <v>-90.533333333333346</v>
      </c>
      <c r="AK245" s="25">
        <v>-12.297916666666671</v>
      </c>
      <c r="AL245" s="25">
        <v>16.089583333333334</v>
      </c>
      <c r="AM245" s="25">
        <v>15.47083333333333</v>
      </c>
      <c r="AN245" s="25">
        <v>15.050000000000013</v>
      </c>
      <c r="AO245" s="25">
        <v>14.891666666666659</v>
      </c>
      <c r="AP245" s="25">
        <v>16.633333333333329</v>
      </c>
      <c r="AQ245" s="25">
        <v>16.029166666666672</v>
      </c>
      <c r="AR245" s="25">
        <v>15.556249999999993</v>
      </c>
      <c r="AS245" s="25">
        <v>15.354166666666671</v>
      </c>
      <c r="AT245" s="25">
        <v>0.24710638297872342</v>
      </c>
      <c r="AU245" s="25">
        <v>0.21371999999999999</v>
      </c>
      <c r="AV245" s="25">
        <v>0.41485416666666669</v>
      </c>
      <c r="AW245" s="25">
        <v>-15.473638888888885</v>
      </c>
      <c r="AX245" s="25">
        <v>-13.743048611111115</v>
      </c>
      <c r="AY245" s="25">
        <v>-13.470048611111112</v>
      </c>
      <c r="AZ245" s="25">
        <v>-12.504166666666668</v>
      </c>
      <c r="BA245" s="25">
        <v>-10.862083333333329</v>
      </c>
      <c r="BB245" s="25">
        <v>-18.208888888888882</v>
      </c>
      <c r="BC245" s="25">
        <v>18.420687134502923</v>
      </c>
      <c r="BD245" s="25">
        <v>17.580625000000005</v>
      </c>
      <c r="BE245" s="25">
        <v>17.800347222222214</v>
      </c>
    </row>
    <row r="246" spans="1:57" x14ac:dyDescent="0.25">
      <c r="A246" s="1">
        <v>28.1</v>
      </c>
      <c r="B246" s="1">
        <v>13.8</v>
      </c>
      <c r="C246" s="22"/>
      <c r="D246" s="23">
        <v>43953</v>
      </c>
      <c r="E246" s="24">
        <v>186.95833333333334</v>
      </c>
      <c r="F246" s="24">
        <v>85.872916666666654</v>
      </c>
      <c r="G246" s="24">
        <v>17.925000000000001</v>
      </c>
      <c r="H246" s="24">
        <v>17.3</v>
      </c>
      <c r="I246" s="24">
        <v>190.79166666666666</v>
      </c>
      <c r="J246" s="24">
        <v>3.2708333333333335</v>
      </c>
      <c r="K246" s="24">
        <v>0.1875</v>
      </c>
      <c r="L246" s="24">
        <v>15.162500000000003</v>
      </c>
      <c r="M246" s="10">
        <v>0.40148235915889718</v>
      </c>
      <c r="N246" s="25">
        <v>0.31750000000000006</v>
      </c>
      <c r="O246" s="25">
        <v>0.39050000000000012</v>
      </c>
      <c r="P246" s="25">
        <v>0.47589583333333318</v>
      </c>
      <c r="Q246" s="25">
        <v>0.52795833333333331</v>
      </c>
      <c r="R246" s="25">
        <v>0.54925000000000013</v>
      </c>
      <c r="S246" s="25">
        <v>0.35429166666666662</v>
      </c>
      <c r="T246" s="25">
        <v>0.34260416666666643</v>
      </c>
      <c r="U246" s="25">
        <v>0.29824999999999996</v>
      </c>
      <c r="V246" s="25">
        <v>-226.37916666666672</v>
      </c>
      <c r="W246" s="25">
        <v>-21.995833333333334</v>
      </c>
      <c r="X246" s="25">
        <v>-12.558958333333331</v>
      </c>
      <c r="Y246" s="25">
        <v>-13.116458333333336</v>
      </c>
      <c r="Z246" s="25">
        <v>-12.602916666666667</v>
      </c>
      <c r="AA246" s="25">
        <v>-12.797916666666666</v>
      </c>
      <c r="AB246" s="25">
        <v>-14.952499999999995</v>
      </c>
      <c r="AC246" s="25">
        <v>-18.627708333333342</v>
      </c>
      <c r="AD246" s="25">
        <v>-434.93958333333336</v>
      </c>
      <c r="AE246" s="25">
        <v>-79.347916666666649</v>
      </c>
      <c r="AF246" s="25">
        <v>-138.3354166666667</v>
      </c>
      <c r="AG246" s="25">
        <v>-15.727083333333335</v>
      </c>
      <c r="AH246" s="25">
        <v>-12.675000000000004</v>
      </c>
      <c r="AI246" s="25">
        <v>-11.695833333333335</v>
      </c>
      <c r="AJ246" s="25">
        <v>-16.508333333333329</v>
      </c>
      <c r="AK246" s="25">
        <v>-11.625000000000002</v>
      </c>
      <c r="AL246" s="25">
        <v>16.510416666666671</v>
      </c>
      <c r="AM246" s="25">
        <v>15.850000000000001</v>
      </c>
      <c r="AN246" s="25">
        <v>15.343749999999995</v>
      </c>
      <c r="AO246" s="25">
        <v>15.150000000000006</v>
      </c>
      <c r="AP246" s="25">
        <v>16.943750000000001</v>
      </c>
      <c r="AQ246" s="25">
        <v>16.406249999999996</v>
      </c>
      <c r="AR246" s="25">
        <v>15.943750000000007</v>
      </c>
      <c r="AS246" s="25">
        <v>15.700000000000001</v>
      </c>
      <c r="AT246" s="25">
        <v>0.37172916666666661</v>
      </c>
      <c r="AU246" s="25">
        <v>0.23943750000000003</v>
      </c>
      <c r="AV246" s="25">
        <v>0.44837499999999997</v>
      </c>
      <c r="AW246" s="25">
        <v>-15.483395833333333</v>
      </c>
      <c r="AX246" s="25">
        <v>-13.92648611111111</v>
      </c>
      <c r="AY246" s="25">
        <v>-13.481319444444445</v>
      </c>
      <c r="AZ246" s="25">
        <v>-10.5</v>
      </c>
      <c r="BA246" s="25">
        <v>-10.513611111111105</v>
      </c>
      <c r="BB246" s="25">
        <v>-12.527291666666668</v>
      </c>
      <c r="BC246" s="25">
        <v>16.326666666666672</v>
      </c>
      <c r="BD246" s="25">
        <v>17.792013888888885</v>
      </c>
      <c r="BE246" s="25">
        <v>18.020208333333333</v>
      </c>
    </row>
    <row r="247" spans="1:57" x14ac:dyDescent="0.25">
      <c r="A247" s="1">
        <v>29.4</v>
      </c>
      <c r="B247" s="1">
        <v>13.3</v>
      </c>
      <c r="C247" s="22"/>
      <c r="D247" s="23">
        <v>43954</v>
      </c>
      <c r="E247" s="24">
        <v>238.125</v>
      </c>
      <c r="F247" s="24">
        <v>79.281249999999986</v>
      </c>
      <c r="G247" s="24">
        <v>20.914583333333336</v>
      </c>
      <c r="H247" s="24">
        <v>0</v>
      </c>
      <c r="I247" s="24">
        <v>158.60416666666666</v>
      </c>
      <c r="J247" s="24">
        <v>4.895833333333333</v>
      </c>
      <c r="K247" s="24">
        <v>0.6875</v>
      </c>
      <c r="L247" s="24">
        <v>16.752083333333328</v>
      </c>
      <c r="M247" s="10">
        <v>0.67646842257452533</v>
      </c>
      <c r="N247" s="25">
        <v>0.32172916666666668</v>
      </c>
      <c r="O247" s="25">
        <v>0.39506250000000009</v>
      </c>
      <c r="P247" s="25">
        <v>0.48658333333333331</v>
      </c>
      <c r="Q247" s="25">
        <v>0.54400000000000048</v>
      </c>
      <c r="R247" s="25">
        <v>0.56897916666666626</v>
      </c>
      <c r="S247" s="25">
        <v>0.36087499999999983</v>
      </c>
      <c r="T247" s="25">
        <v>0.35162499999999991</v>
      </c>
      <c r="U247" s="25">
        <v>0.30983333333333346</v>
      </c>
      <c r="V247" s="25">
        <v>-198.57499999999996</v>
      </c>
      <c r="W247" s="25">
        <v>-21.894166666666667</v>
      </c>
      <c r="X247" s="25">
        <v>-12.47291666666667</v>
      </c>
      <c r="Y247" s="25">
        <v>-12.94</v>
      </c>
      <c r="Z247" s="25">
        <v>-12.397083333333333</v>
      </c>
      <c r="AA247" s="25">
        <v>-12.975</v>
      </c>
      <c r="AB247" s="25">
        <v>-14.508750000000001</v>
      </c>
      <c r="AC247" s="25">
        <v>-14.492916666666664</v>
      </c>
      <c r="AD247" s="25">
        <v>-131.32083333333324</v>
      </c>
      <c r="AE247" s="25">
        <v>-49.720833333333339</v>
      </c>
      <c r="AF247" s="25">
        <v>-33.337499999999991</v>
      </c>
      <c r="AG247" s="25">
        <v>-13.268750000000002</v>
      </c>
      <c r="AH247" s="25">
        <v>-12.514583333333336</v>
      </c>
      <c r="AI247" s="25">
        <v>-10.5</v>
      </c>
      <c r="AJ247" s="25">
        <v>-10.899999999999991</v>
      </c>
      <c r="AK247" s="25">
        <v>-11.33333333333333</v>
      </c>
      <c r="AL247" s="25">
        <v>16.949999999999989</v>
      </c>
      <c r="AM247" s="25">
        <v>16.141666666666669</v>
      </c>
      <c r="AN247" s="25">
        <v>15.593750000000016</v>
      </c>
      <c r="AO247" s="25">
        <v>15.370833333333321</v>
      </c>
      <c r="AP247" s="25">
        <v>17.522916666666664</v>
      </c>
      <c r="AQ247" s="25">
        <v>16.74166666666666</v>
      </c>
      <c r="AR247" s="25">
        <v>16.231250000000006</v>
      </c>
      <c r="AS247" s="25">
        <v>15.977083333333331</v>
      </c>
      <c r="AT247" s="25">
        <v>0.3929347826086958</v>
      </c>
      <c r="AU247" s="25">
        <v>0.24196296296296291</v>
      </c>
      <c r="AV247" s="25">
        <v>0.44289583333333321</v>
      </c>
      <c r="AW247" s="25">
        <v>-15.397374999999997</v>
      </c>
      <c r="AX247" s="25">
        <v>-13.884166666666665</v>
      </c>
      <c r="AY247" s="25">
        <v>-13.385458333333334</v>
      </c>
      <c r="AZ247" s="25"/>
      <c r="BA247" s="25">
        <v>-10.329236111111113</v>
      </c>
      <c r="BB247" s="25">
        <v>-12.319166666666668</v>
      </c>
      <c r="BC247" s="25"/>
      <c r="BD247" s="25">
        <v>18.655347222222222</v>
      </c>
      <c r="BE247" s="25">
        <v>18.526388888888889</v>
      </c>
    </row>
    <row r="248" spans="1:57" x14ac:dyDescent="0.25">
      <c r="A248" s="1">
        <v>30.1</v>
      </c>
      <c r="B248" s="1">
        <v>19.7</v>
      </c>
      <c r="C248" s="22"/>
      <c r="D248" s="23">
        <v>43955</v>
      </c>
      <c r="E248" s="24">
        <v>251.27083333333334</v>
      </c>
      <c r="F248" s="24">
        <v>70.7</v>
      </c>
      <c r="G248" s="24">
        <v>24.397916666666674</v>
      </c>
      <c r="H248" s="24">
        <v>0</v>
      </c>
      <c r="I248" s="24">
        <v>233.16666666666666</v>
      </c>
      <c r="J248" s="24">
        <v>12.75</v>
      </c>
      <c r="K248" s="24">
        <v>1.6458333333333333</v>
      </c>
      <c r="L248" s="24">
        <v>18.293749999999999</v>
      </c>
      <c r="M248" s="10">
        <v>1.0149771739138371</v>
      </c>
      <c r="N248" s="25">
        <v>0.31208333333333343</v>
      </c>
      <c r="O248" s="25">
        <v>0.39287499999999986</v>
      </c>
      <c r="P248" s="25">
        <v>0.48716666666666669</v>
      </c>
      <c r="Q248" s="25">
        <v>0.54120833333333351</v>
      </c>
      <c r="R248" s="25">
        <v>0.56068749999999978</v>
      </c>
      <c r="S248" s="25">
        <v>0.35399999999999993</v>
      </c>
      <c r="T248" s="25">
        <v>0.35197916666666645</v>
      </c>
      <c r="U248" s="25">
        <v>0.30966666666666637</v>
      </c>
      <c r="V248" s="25">
        <v>-166.85416666666666</v>
      </c>
      <c r="W248" s="25">
        <v>-22.027708333333333</v>
      </c>
      <c r="X248" s="25">
        <v>-12.450416666666669</v>
      </c>
      <c r="Y248" s="25">
        <v>-12.909583333333329</v>
      </c>
      <c r="Z248" s="25">
        <v>-12.617291666666665</v>
      </c>
      <c r="AA248" s="25">
        <v>-21.44583333333334</v>
      </c>
      <c r="AB248" s="25">
        <v>-28.177916666666658</v>
      </c>
      <c r="AC248" s="25">
        <v>-15.130625000000004</v>
      </c>
      <c r="AD248" s="25">
        <v>-97.597916666666663</v>
      </c>
      <c r="AE248" s="25">
        <v>-79.835416666666674</v>
      </c>
      <c r="AF248" s="25">
        <v>-38.57291666666665</v>
      </c>
      <c r="AG248" s="25">
        <v>-19.104166666666664</v>
      </c>
      <c r="AH248" s="25">
        <v>-12.547916666666678</v>
      </c>
      <c r="AI248" s="25">
        <v>-10.502083333333333</v>
      </c>
      <c r="AJ248" s="25">
        <v>-10.829166666666675</v>
      </c>
      <c r="AK248" s="25">
        <v>-11.385416666666659</v>
      </c>
      <c r="AL248" s="25">
        <v>18.002083333333335</v>
      </c>
      <c r="AM248" s="25">
        <v>16.762499999999992</v>
      </c>
      <c r="AN248" s="25">
        <v>15.954166666666671</v>
      </c>
      <c r="AO248" s="25">
        <v>15.639583333333333</v>
      </c>
      <c r="AP248" s="25">
        <v>18.875000000000011</v>
      </c>
      <c r="AQ248" s="25">
        <v>17.647916666666671</v>
      </c>
      <c r="AR248" s="25">
        <v>16.906250000000004</v>
      </c>
      <c r="AS248" s="25">
        <v>16.53541666666667</v>
      </c>
      <c r="AT248" s="25">
        <v>0.37970833333333337</v>
      </c>
      <c r="AU248" s="25">
        <v>0.21966666666666668</v>
      </c>
      <c r="AV248" s="25">
        <v>0.41052083333333328</v>
      </c>
      <c r="AW248" s="25">
        <v>-15.616798611111113</v>
      </c>
      <c r="AX248" s="25">
        <v>-13.793645833333338</v>
      </c>
      <c r="AY248" s="25">
        <v>-13.65353472222222</v>
      </c>
      <c r="AZ248" s="25">
        <v>-10.400000000000002</v>
      </c>
      <c r="BA248" s="25">
        <v>-10.424583333333329</v>
      </c>
      <c r="BB248" s="25">
        <v>-12.466458333333335</v>
      </c>
      <c r="BC248" s="25">
        <v>21.093230726388622</v>
      </c>
      <c r="BD248" s="25">
        <v>20.242638888888887</v>
      </c>
      <c r="BE248" s="25">
        <v>19.747986111111111</v>
      </c>
    </row>
    <row r="249" spans="1:57" x14ac:dyDescent="0.25">
      <c r="A249" s="1">
        <v>31</v>
      </c>
      <c r="B249" s="1">
        <v>17.8</v>
      </c>
      <c r="C249" s="22"/>
      <c r="D249" s="23">
        <v>43956</v>
      </c>
      <c r="E249" s="24">
        <v>241.04166666666666</v>
      </c>
      <c r="F249" s="24">
        <v>60.235416666666659</v>
      </c>
      <c r="G249" s="24">
        <v>25.197916666666661</v>
      </c>
      <c r="H249" s="24">
        <v>0</v>
      </c>
      <c r="I249" s="24">
        <v>234.5</v>
      </c>
      <c r="J249" s="24">
        <v>9.0625</v>
      </c>
      <c r="K249" s="24">
        <v>1.3541666666666667</v>
      </c>
      <c r="L249" s="24">
        <v>16.264583333333331</v>
      </c>
      <c r="M249" s="10">
        <v>1.428374145840664</v>
      </c>
      <c r="N249" s="25">
        <v>0.30181250000000009</v>
      </c>
      <c r="O249" s="25">
        <v>0.39043750000000021</v>
      </c>
      <c r="P249" s="25">
        <v>0.48685416666666653</v>
      </c>
      <c r="Q249" s="25">
        <v>0.53720833333333318</v>
      </c>
      <c r="R249" s="25">
        <v>0.5474583333333336</v>
      </c>
      <c r="S249" s="25">
        <v>0.34308333333333324</v>
      </c>
      <c r="T249" s="25">
        <v>0.34958333333333336</v>
      </c>
      <c r="U249" s="25">
        <v>0.30795833333333322</v>
      </c>
      <c r="V249" s="25">
        <v>-147.80416666666662</v>
      </c>
      <c r="W249" s="25">
        <v>-22.72666666666667</v>
      </c>
      <c r="X249" s="25">
        <v>-12.459583333333333</v>
      </c>
      <c r="Y249" s="25">
        <v>-12.946041666666659</v>
      </c>
      <c r="Z249" s="25">
        <v>-14.38958333333334</v>
      </c>
      <c r="AA249" s="25">
        <v>-33.522916666666681</v>
      </c>
      <c r="AB249" s="25">
        <v>-42.168124999999989</v>
      </c>
      <c r="AC249" s="25">
        <v>-17.058958333333337</v>
      </c>
      <c r="AD249" s="25">
        <v>-109.56874999999998</v>
      </c>
      <c r="AE249" s="25">
        <v>-113.52291666666667</v>
      </c>
      <c r="AF249" s="25">
        <v>-52.120833333333358</v>
      </c>
      <c r="AG249" s="25">
        <v>-32.381250000000001</v>
      </c>
      <c r="AH249" s="25">
        <v>-12.635416666666673</v>
      </c>
      <c r="AI249" s="25">
        <v>-10.537500000000009</v>
      </c>
      <c r="AJ249" s="25">
        <v>-10.800000000000006</v>
      </c>
      <c r="AK249" s="25">
        <v>-11.429166666666665</v>
      </c>
      <c r="AL249" s="25">
        <v>18.637500000000003</v>
      </c>
      <c r="AM249" s="25">
        <v>17.362500000000004</v>
      </c>
      <c r="AN249" s="25">
        <v>16.44166666666667</v>
      </c>
      <c r="AO249" s="25">
        <v>16.043750000000017</v>
      </c>
      <c r="AP249" s="25">
        <v>19.287499999999998</v>
      </c>
      <c r="AQ249" s="25">
        <v>18.204166666666669</v>
      </c>
      <c r="AR249" s="25">
        <v>17.460416666666667</v>
      </c>
      <c r="AS249" s="25">
        <v>17.102083333333344</v>
      </c>
      <c r="AT249" s="25">
        <v>0.35935416666666681</v>
      </c>
      <c r="AU249" s="25">
        <v>0.19411111111111112</v>
      </c>
      <c r="AV249" s="25">
        <v>0.37387500000000001</v>
      </c>
      <c r="AW249" s="25">
        <v>-17.299124999999993</v>
      </c>
      <c r="AX249" s="25">
        <v>-14.544305555555555</v>
      </c>
      <c r="AY249" s="25">
        <v>-17.028944444444438</v>
      </c>
      <c r="AZ249" s="25">
        <v>-10.384166666666671</v>
      </c>
      <c r="BA249" s="25">
        <v>-10.94805555555555</v>
      </c>
      <c r="BB249" s="25">
        <v>-13.04319444444444</v>
      </c>
      <c r="BC249" s="25">
        <v>19.454383333333325</v>
      </c>
      <c r="BD249" s="25">
        <v>20.489722222222223</v>
      </c>
      <c r="BE249" s="25">
        <v>20.120833333333337</v>
      </c>
    </row>
    <row r="250" spans="1:57" x14ac:dyDescent="0.25">
      <c r="A250" s="1">
        <v>33.200000000000003</v>
      </c>
      <c r="B250" s="1">
        <v>22.4</v>
      </c>
      <c r="C250" s="22"/>
      <c r="D250" s="23">
        <v>43957</v>
      </c>
      <c r="E250" s="24">
        <v>260.41666666666669</v>
      </c>
      <c r="F250" s="24">
        <v>46.520833333333343</v>
      </c>
      <c r="G250" s="24">
        <v>27.718749999999996</v>
      </c>
      <c r="H250" s="24">
        <v>0</v>
      </c>
      <c r="I250" s="24">
        <v>238.97916666666666</v>
      </c>
      <c r="J250" s="24">
        <v>17.291666666666668</v>
      </c>
      <c r="K250" s="24">
        <v>4.395833333333333</v>
      </c>
      <c r="L250" s="24">
        <v>14.962499999999997</v>
      </c>
      <c r="M250" s="10">
        <v>2.0779951544584025</v>
      </c>
      <c r="N250" s="25">
        <v>0.29037499999999999</v>
      </c>
      <c r="O250" s="25">
        <v>0.38622916666666662</v>
      </c>
      <c r="P250" s="25">
        <v>0.48404166666666648</v>
      </c>
      <c r="Q250" s="25">
        <v>0.52908333333333335</v>
      </c>
      <c r="R250" s="25">
        <v>0.52445833333333358</v>
      </c>
      <c r="S250" s="25">
        <v>0.33243749999999994</v>
      </c>
      <c r="T250" s="25">
        <v>0.34458333333333324</v>
      </c>
      <c r="U250" s="25">
        <v>0.30458333333333332</v>
      </c>
      <c r="V250" s="25">
        <v>-137.44583333333338</v>
      </c>
      <c r="W250" s="25">
        <v>-25.098958333333339</v>
      </c>
      <c r="X250" s="25">
        <v>-12.581666666666669</v>
      </c>
      <c r="Y250" s="25">
        <v>-13.233958333333335</v>
      </c>
      <c r="Z250" s="25">
        <v>-19.965833333333332</v>
      </c>
      <c r="AA250" s="25">
        <v>-43.412499999999994</v>
      </c>
      <c r="AB250" s="25">
        <v>-50.051875000000003</v>
      </c>
      <c r="AC250" s="25">
        <v>-22.896249999999998</v>
      </c>
      <c r="AD250" s="25">
        <v>-146.86666666666665</v>
      </c>
      <c r="AE250" s="25">
        <v>-165.80208333333334</v>
      </c>
      <c r="AF250" s="25">
        <v>-87.91458333333334</v>
      </c>
      <c r="AG250" s="25">
        <v>-53.922916666666673</v>
      </c>
      <c r="AH250" s="25">
        <v>-13.058333333333337</v>
      </c>
      <c r="AI250" s="25">
        <v>-10.60000000000001</v>
      </c>
      <c r="AJ250" s="25">
        <v>-10.843749999999993</v>
      </c>
      <c r="AK250" s="25">
        <v>-11.51875000000001</v>
      </c>
      <c r="AL250" s="25">
        <v>18.97291666666667</v>
      </c>
      <c r="AM250" s="25">
        <v>17.754166666666659</v>
      </c>
      <c r="AN250" s="25">
        <v>16.839583333333326</v>
      </c>
      <c r="AO250" s="25">
        <v>16.410416666666663</v>
      </c>
      <c r="AP250" s="25">
        <v>19.408333333333328</v>
      </c>
      <c r="AQ250" s="25">
        <v>18.412500000000005</v>
      </c>
      <c r="AR250" s="25">
        <v>17.747916666666665</v>
      </c>
      <c r="AS250" s="25">
        <v>17.427083333333325</v>
      </c>
      <c r="AT250" s="25">
        <v>0.33576744186046514</v>
      </c>
      <c r="AU250" s="25">
        <v>0.17310344827586205</v>
      </c>
      <c r="AV250" s="25">
        <v>0.32993750000000005</v>
      </c>
      <c r="AW250" s="25">
        <v>-17.277368055555559</v>
      </c>
      <c r="AX250" s="25">
        <v>-21.473798611111111</v>
      </c>
      <c r="AY250" s="25">
        <v>-26.722819444444443</v>
      </c>
      <c r="AZ250" s="25"/>
      <c r="BA250" s="25">
        <v>-19.556736111111114</v>
      </c>
      <c r="BB250" s="25">
        <v>-21.874374999999997</v>
      </c>
      <c r="BC250" s="25"/>
      <c r="BD250" s="25">
        <v>21.055763888888894</v>
      </c>
      <c r="BE250" s="25">
        <v>20.514236111111114</v>
      </c>
    </row>
    <row r="251" spans="1:57" x14ac:dyDescent="0.25">
      <c r="A251" s="1">
        <v>35.4</v>
      </c>
      <c r="B251" s="1">
        <v>23.6</v>
      </c>
      <c r="C251" s="22"/>
      <c r="D251" s="23">
        <v>43958</v>
      </c>
      <c r="E251" s="24">
        <v>260.375</v>
      </c>
      <c r="F251" s="24">
        <v>38.104166666666664</v>
      </c>
      <c r="G251" s="24">
        <v>29.268749999999997</v>
      </c>
      <c r="H251" s="24">
        <v>0</v>
      </c>
      <c r="I251" s="24">
        <v>232.79166666666666</v>
      </c>
      <c r="J251" s="24">
        <v>17.541666666666668</v>
      </c>
      <c r="K251" s="24">
        <v>3.6666666666666665</v>
      </c>
      <c r="L251" s="24">
        <v>13.002083333333331</v>
      </c>
      <c r="M251" s="10">
        <v>2.6513565643342383</v>
      </c>
      <c r="N251" s="25">
        <v>0.27912500000000023</v>
      </c>
      <c r="O251" s="25">
        <v>0.38068750000000001</v>
      </c>
      <c r="P251" s="25">
        <v>0.47935416666666647</v>
      </c>
      <c r="Q251" s="25">
        <v>0.51510416666666681</v>
      </c>
      <c r="R251" s="25">
        <v>0.4936875</v>
      </c>
      <c r="S251" s="25">
        <v>0.32408333333333322</v>
      </c>
      <c r="T251" s="25">
        <v>0.33847916666666689</v>
      </c>
      <c r="U251" s="25">
        <v>0.30018750000000011</v>
      </c>
      <c r="V251" s="25">
        <v>-131.22499999999999</v>
      </c>
      <c r="W251" s="25">
        <v>-34.013541666666661</v>
      </c>
      <c r="X251" s="25">
        <v>-13.209166666666667</v>
      </c>
      <c r="Y251" s="25">
        <v>-14.606041666666664</v>
      </c>
      <c r="Z251" s="25">
        <v>-31.451041666666665</v>
      </c>
      <c r="AA251" s="25">
        <v>-51.847499999999975</v>
      </c>
      <c r="AB251" s="25">
        <v>-56.306666666666644</v>
      </c>
      <c r="AC251" s="25">
        <v>-33.897083333333335</v>
      </c>
      <c r="AD251" s="25">
        <v>-230.58541666666667</v>
      </c>
      <c r="AE251" s="25">
        <v>-255.82708333333335</v>
      </c>
      <c r="AF251" s="25">
        <v>-173.97500000000002</v>
      </c>
      <c r="AG251" s="25">
        <v>-116.71458333333334</v>
      </c>
      <c r="AH251" s="25">
        <v>-15.549999999999999</v>
      </c>
      <c r="AI251" s="25">
        <v>-10.99583333333333</v>
      </c>
      <c r="AJ251" s="25">
        <v>-10.995833333333339</v>
      </c>
      <c r="AK251" s="25">
        <v>-12.377083333333337</v>
      </c>
      <c r="AL251" s="25">
        <v>19.349999999999991</v>
      </c>
      <c r="AM251" s="25">
        <v>18.114583333333339</v>
      </c>
      <c r="AN251" s="25">
        <v>17.164583333333336</v>
      </c>
      <c r="AO251" s="25">
        <v>16.72916666666665</v>
      </c>
      <c r="AP251" s="25">
        <v>19.885416666666671</v>
      </c>
      <c r="AQ251" s="25">
        <v>18.754166666666674</v>
      </c>
      <c r="AR251" s="25">
        <v>18.077083333333331</v>
      </c>
      <c r="AS251" s="25">
        <v>17.745833333333326</v>
      </c>
      <c r="AT251" s="25">
        <v>0.30209302325581394</v>
      </c>
      <c r="AU251" s="25">
        <v>0.15026086956521736</v>
      </c>
      <c r="AV251" s="25">
        <v>0.28914583333333338</v>
      </c>
      <c r="AW251" s="25">
        <v>-22.953472222222231</v>
      </c>
      <c r="AX251" s="25">
        <v>-36.32477777777779</v>
      </c>
      <c r="AY251" s="25">
        <v>-40.792083333333331</v>
      </c>
      <c r="AZ251" s="25"/>
      <c r="BA251" s="25">
        <v>-66.305277777777775</v>
      </c>
      <c r="BB251" s="25">
        <v>-51.905555555555544</v>
      </c>
      <c r="BC251" s="25"/>
      <c r="BD251" s="25">
        <v>21.513402777777774</v>
      </c>
      <c r="BE251" s="25">
        <v>20.960138888888888</v>
      </c>
    </row>
    <row r="252" spans="1:57" x14ac:dyDescent="0.25">
      <c r="A252" s="1">
        <v>35.5</v>
      </c>
      <c r="B252" s="1">
        <v>22.5</v>
      </c>
      <c r="C252" s="22"/>
      <c r="D252" s="23">
        <v>43959</v>
      </c>
      <c r="E252" s="24">
        <v>266.5625</v>
      </c>
      <c r="F252" s="24">
        <v>39.072916666666671</v>
      </c>
      <c r="G252" s="24">
        <v>29.022916666666671</v>
      </c>
      <c r="H252" s="24">
        <v>0</v>
      </c>
      <c r="I252" s="24">
        <v>230.95833333333334</v>
      </c>
      <c r="J252" s="24">
        <v>13.354166666666666</v>
      </c>
      <c r="K252" s="24">
        <v>2.9583333333333335</v>
      </c>
      <c r="L252" s="24">
        <v>12.970833333333337</v>
      </c>
      <c r="M252" s="10">
        <v>2.5666203821095546</v>
      </c>
      <c r="N252" s="25">
        <v>0.26989583333333339</v>
      </c>
      <c r="O252" s="25">
        <v>0.37372916666666661</v>
      </c>
      <c r="P252" s="25">
        <v>0.47381249999999975</v>
      </c>
      <c r="Q252" s="25">
        <v>0.49572916666666655</v>
      </c>
      <c r="R252" s="25">
        <v>0.46772916666666636</v>
      </c>
      <c r="S252" s="25">
        <v>0.31889583333333343</v>
      </c>
      <c r="T252" s="25">
        <v>0.33258333333333345</v>
      </c>
      <c r="U252" s="25">
        <v>0.29535416666666653</v>
      </c>
      <c r="V252" s="25">
        <v>-131.3666666666667</v>
      </c>
      <c r="W252" s="25">
        <v>-55.975208333333342</v>
      </c>
      <c r="X252" s="25">
        <v>-15.381875000000001</v>
      </c>
      <c r="Y252" s="25">
        <v>-20.446874999999995</v>
      </c>
      <c r="Z252" s="25">
        <v>-43.198541666666671</v>
      </c>
      <c r="AA252" s="25">
        <v>-59.311249999999973</v>
      </c>
      <c r="AB252" s="25">
        <v>-61.884791666666651</v>
      </c>
      <c r="AC252" s="25">
        <v>-45.763125000000009</v>
      </c>
      <c r="AD252" s="25">
        <v>-394.47291666666666</v>
      </c>
      <c r="AE252" s="25">
        <v>-400.52291666666679</v>
      </c>
      <c r="AF252" s="25">
        <v>-333.03333333333336</v>
      </c>
      <c r="AG252" s="25">
        <v>-222.34166666666667</v>
      </c>
      <c r="AH252" s="25">
        <v>-28.837499999999995</v>
      </c>
      <c r="AI252" s="25">
        <v>-12.977083333333333</v>
      </c>
      <c r="AJ252" s="25">
        <v>-11.939583333333331</v>
      </c>
      <c r="AK252" s="25">
        <v>-20.895833333333332</v>
      </c>
      <c r="AL252" s="25">
        <v>19.804166666666664</v>
      </c>
      <c r="AM252" s="25">
        <v>18.464583333333334</v>
      </c>
      <c r="AN252" s="25">
        <v>17.487500000000008</v>
      </c>
      <c r="AO252" s="25">
        <v>17.035416666666681</v>
      </c>
      <c r="AP252" s="25">
        <v>20.520833333333339</v>
      </c>
      <c r="AQ252" s="25">
        <v>19.329166666666676</v>
      </c>
      <c r="AR252" s="25">
        <v>18.55</v>
      </c>
      <c r="AS252" s="25">
        <v>18.214583333333326</v>
      </c>
      <c r="AT252" s="25">
        <v>0.26302499999999995</v>
      </c>
      <c r="AU252" s="25">
        <v>0.13552173913043475</v>
      </c>
      <c r="AV252" s="25">
        <v>0.26329166666666665</v>
      </c>
      <c r="AW252" s="25">
        <v>-30.739326388888884</v>
      </c>
      <c r="AX252" s="25">
        <v>-56.024166666666666</v>
      </c>
      <c r="AY252" s="25">
        <v>-58.920416666666675</v>
      </c>
      <c r="AZ252" s="25"/>
      <c r="BA252" s="25">
        <v>-421.76215277777777</v>
      </c>
      <c r="BB252" s="25">
        <v>-179.31541666666669</v>
      </c>
      <c r="BC252" s="25"/>
      <c r="BD252" s="25">
        <v>21.903125000000003</v>
      </c>
      <c r="BE252" s="25">
        <v>21.384722222222223</v>
      </c>
    </row>
    <row r="253" spans="1:57" x14ac:dyDescent="0.25">
      <c r="A253" s="1">
        <v>34.9</v>
      </c>
      <c r="B253" s="1">
        <v>19.399999999999999</v>
      </c>
      <c r="C253" s="22"/>
      <c r="D253" s="23">
        <v>43960</v>
      </c>
      <c r="E253" s="24">
        <v>266.47916666666669</v>
      </c>
      <c r="F253" s="24">
        <v>51.59375</v>
      </c>
      <c r="G253" s="24">
        <v>26.668749999999999</v>
      </c>
      <c r="H253" s="24">
        <v>0</v>
      </c>
      <c r="I253" s="24">
        <v>228.33333333333334</v>
      </c>
      <c r="J253" s="24">
        <v>12.541666666666666</v>
      </c>
      <c r="K253" s="24">
        <v>1.375</v>
      </c>
      <c r="L253" s="24">
        <v>14.095833333333337</v>
      </c>
      <c r="M253" s="10">
        <v>1.9406293191005999</v>
      </c>
      <c r="N253" s="25">
        <v>0.26245833333333335</v>
      </c>
      <c r="O253" s="25">
        <v>0.36560416666666673</v>
      </c>
      <c r="P253" s="25">
        <v>0.46687499999999998</v>
      </c>
      <c r="Q253" s="25">
        <v>0.47845833333333315</v>
      </c>
      <c r="R253" s="25">
        <v>0.44977083333333329</v>
      </c>
      <c r="S253" s="25">
        <v>0.31597916666666659</v>
      </c>
      <c r="T253" s="25">
        <v>0.32793749999999994</v>
      </c>
      <c r="U253" s="25">
        <v>0.29116666666666641</v>
      </c>
      <c r="V253" s="25">
        <v>-139.54583333333338</v>
      </c>
      <c r="W253" s="25">
        <v>-85.872708333333321</v>
      </c>
      <c r="X253" s="25">
        <v>-20.336458333333336</v>
      </c>
      <c r="Y253" s="25">
        <v>-30.761666666666674</v>
      </c>
      <c r="Z253" s="25">
        <v>-52.149166666666673</v>
      </c>
      <c r="AA253" s="25">
        <v>-66.212291666666701</v>
      </c>
      <c r="AB253" s="25">
        <v>-65.919583333333335</v>
      </c>
      <c r="AC253" s="25">
        <v>-55.530416666666646</v>
      </c>
      <c r="AD253" s="25">
        <v>-558.48749999999995</v>
      </c>
      <c r="AE253" s="25">
        <v>-551.77499999999998</v>
      </c>
      <c r="AF253" s="25">
        <v>-552.39166666666677</v>
      </c>
      <c r="AG253" s="25">
        <v>-316.42916666666662</v>
      </c>
      <c r="AH253" s="25">
        <v>-58.206250000000004</v>
      </c>
      <c r="AI253" s="25">
        <v>-22.585416666666671</v>
      </c>
      <c r="AJ253" s="25">
        <v>-17.179166666666664</v>
      </c>
      <c r="AK253" s="25">
        <v>-43.1875</v>
      </c>
      <c r="AL253" s="25">
        <v>20.202083333333331</v>
      </c>
      <c r="AM253" s="25">
        <v>18.845833333333328</v>
      </c>
      <c r="AN253" s="25">
        <v>17.841666666666661</v>
      </c>
      <c r="AO253" s="25">
        <v>17.356249999999996</v>
      </c>
      <c r="AP253" s="25">
        <v>20.868749999999999</v>
      </c>
      <c r="AQ253" s="25">
        <v>19.810416666666672</v>
      </c>
      <c r="AR253" s="25">
        <v>18.985416666666669</v>
      </c>
      <c r="AS253" s="25">
        <v>18.629166666666677</v>
      </c>
      <c r="AT253" s="25">
        <v>0.2308372093023256</v>
      </c>
      <c r="AU253" s="25">
        <v>0.12712499999999996</v>
      </c>
      <c r="AV253" s="25">
        <v>0.24970833333333331</v>
      </c>
      <c r="AW253" s="25">
        <v>-41.890020833333331</v>
      </c>
      <c r="AX253" s="25">
        <v>-77.860340277777809</v>
      </c>
      <c r="AY253" s="25">
        <v>-75.625388888888878</v>
      </c>
      <c r="AZ253" s="25"/>
      <c r="BA253" s="25">
        <v>-998.04666666666674</v>
      </c>
      <c r="BB253" s="25">
        <v>-358.8125</v>
      </c>
      <c r="BC253" s="25"/>
      <c r="BD253" s="25">
        <v>22.347152777777769</v>
      </c>
      <c r="BE253" s="25">
        <v>21.941944444444445</v>
      </c>
    </row>
    <row r="254" spans="1:57" x14ac:dyDescent="0.25">
      <c r="A254" s="1">
        <v>26.6</v>
      </c>
      <c r="B254" s="1">
        <v>16.399999999999999</v>
      </c>
      <c r="C254" s="22"/>
      <c r="D254" s="23">
        <v>43961</v>
      </c>
      <c r="E254" s="24">
        <v>167.97916666666666</v>
      </c>
      <c r="F254" s="24">
        <v>67.637499999999974</v>
      </c>
      <c r="G254" s="24">
        <v>20.825000000000003</v>
      </c>
      <c r="H254" s="24">
        <v>0</v>
      </c>
      <c r="I254" s="24">
        <v>225.375</v>
      </c>
      <c r="J254" s="24">
        <v>7.645833333333333</v>
      </c>
      <c r="K254" s="24">
        <v>0.77083333333333337</v>
      </c>
      <c r="L254" s="24">
        <v>14.46875</v>
      </c>
      <c r="M254" s="10">
        <v>0.84952965248729972</v>
      </c>
      <c r="N254" s="25">
        <v>0.25602083333333336</v>
      </c>
      <c r="O254" s="25">
        <v>0.35706250000000006</v>
      </c>
      <c r="P254" s="25">
        <v>0.4587499999999996</v>
      </c>
      <c r="Q254" s="25">
        <v>0.4644583333333332</v>
      </c>
      <c r="R254" s="25">
        <v>0.43562500000000015</v>
      </c>
      <c r="S254" s="25">
        <v>0.3128749999999999</v>
      </c>
      <c r="T254" s="25">
        <v>0.32454166666666645</v>
      </c>
      <c r="U254" s="25">
        <v>0.28779166666666672</v>
      </c>
      <c r="V254" s="25">
        <v>-157.96875000000003</v>
      </c>
      <c r="W254" s="25">
        <v>-113.02291666666663</v>
      </c>
      <c r="X254" s="25">
        <v>-29.985416666666662</v>
      </c>
      <c r="Y254" s="25">
        <v>-40.338541666666664</v>
      </c>
      <c r="Z254" s="25">
        <v>-60.808749999999982</v>
      </c>
      <c r="AA254" s="25">
        <v>-72.97604166666666</v>
      </c>
      <c r="AB254" s="25">
        <v>-70.977499999999978</v>
      </c>
      <c r="AC254" s="25">
        <v>-63.553749999999972</v>
      </c>
      <c r="AD254" s="25">
        <v>-701.04583333333346</v>
      </c>
      <c r="AE254" s="25">
        <v>-680.12499999999977</v>
      </c>
      <c r="AF254" s="25">
        <v>-771.64791666666667</v>
      </c>
      <c r="AG254" s="25">
        <v>-381.09791666666666</v>
      </c>
      <c r="AH254" s="25">
        <v>-143.17916666666665</v>
      </c>
      <c r="AI254" s="25">
        <v>-48.270833333333343</v>
      </c>
      <c r="AJ254" s="25">
        <v>-28.702083333333331</v>
      </c>
      <c r="AK254" s="25">
        <v>-101.29583333333329</v>
      </c>
      <c r="AL254" s="25">
        <v>19.662499999999998</v>
      </c>
      <c r="AM254" s="25">
        <v>18.875</v>
      </c>
      <c r="AN254" s="25">
        <v>18.054166666666674</v>
      </c>
      <c r="AO254" s="25">
        <v>17.587500000000016</v>
      </c>
      <c r="AP254" s="25">
        <v>19.783333333333335</v>
      </c>
      <c r="AQ254" s="25">
        <v>19.395833333333332</v>
      </c>
      <c r="AR254" s="25">
        <v>18.897916666666678</v>
      </c>
      <c r="AS254" s="25">
        <v>18.687500000000007</v>
      </c>
      <c r="AT254" s="25">
        <v>0.20572340425531913</v>
      </c>
      <c r="AU254" s="25">
        <v>0.11894117647058822</v>
      </c>
      <c r="AV254" s="25">
        <v>0.24191666666666659</v>
      </c>
      <c r="AW254" s="25">
        <v>-52.078115277777776</v>
      </c>
      <c r="AX254" s="25">
        <v>-95.271722222222238</v>
      </c>
      <c r="AY254" s="25">
        <v>-89.244986111111118</v>
      </c>
      <c r="AZ254" s="25"/>
      <c r="BA254" s="25">
        <v>-1694.8637499999998</v>
      </c>
      <c r="BB254" s="25">
        <v>-464.05574999999982</v>
      </c>
      <c r="BC254" s="25"/>
      <c r="BD254" s="25">
        <v>21.28319444444444</v>
      </c>
      <c r="BE254" s="25">
        <v>21.313263888888894</v>
      </c>
    </row>
    <row r="255" spans="1:57" x14ac:dyDescent="0.25">
      <c r="A255" s="1">
        <v>24.7</v>
      </c>
      <c r="B255" s="1">
        <v>16.3</v>
      </c>
      <c r="C255" s="22"/>
      <c r="D255" s="23">
        <v>43962</v>
      </c>
      <c r="E255" s="24">
        <v>151.39583333333334</v>
      </c>
      <c r="F255" s="24">
        <v>75.895833333333314</v>
      </c>
      <c r="G255" s="24">
        <v>19.562500000000004</v>
      </c>
      <c r="H255" s="24">
        <v>11.299999999999999</v>
      </c>
      <c r="I255" s="24">
        <v>210.1875</v>
      </c>
      <c r="J255" s="24">
        <v>7.104166666666667</v>
      </c>
      <c r="K255" s="24">
        <v>0.27083333333333331</v>
      </c>
      <c r="L255" s="24">
        <v>14.854166666666666</v>
      </c>
      <c r="M255" s="10">
        <v>0.59737628498286055</v>
      </c>
      <c r="N255" s="25">
        <v>0.26002083333333326</v>
      </c>
      <c r="O255" s="25">
        <v>0.35297916666666668</v>
      </c>
      <c r="P255" s="25">
        <v>0.45022916666666668</v>
      </c>
      <c r="Q255" s="25">
        <v>0.45587500000000003</v>
      </c>
      <c r="R255" s="25">
        <v>0.43541666666666656</v>
      </c>
      <c r="S255" s="25">
        <v>0.31379166666666675</v>
      </c>
      <c r="T255" s="25">
        <v>0.3225416666666665</v>
      </c>
      <c r="U255" s="25">
        <v>0.28564583333333327</v>
      </c>
      <c r="V255" s="25">
        <v>-157.01458333333338</v>
      </c>
      <c r="W255" s="25">
        <v>-127.09999999999997</v>
      </c>
      <c r="X255" s="25">
        <v>-39.286458333333336</v>
      </c>
      <c r="Y255" s="25">
        <v>-47.307708333333331</v>
      </c>
      <c r="Z255" s="25">
        <v>-65.826250000000002</v>
      </c>
      <c r="AA255" s="25">
        <v>-80.087291666666673</v>
      </c>
      <c r="AB255" s="25">
        <v>-77.072916666666671</v>
      </c>
      <c r="AC255" s="25">
        <v>-70.669166666666669</v>
      </c>
      <c r="AD255" s="25">
        <v>-795.68958333333342</v>
      </c>
      <c r="AE255" s="25">
        <v>-764.31875000000002</v>
      </c>
      <c r="AF255" s="25">
        <v>-918.25</v>
      </c>
      <c r="AG255" s="25">
        <v>-412.12916666666666</v>
      </c>
      <c r="AH255" s="25">
        <v>-40.370833333333337</v>
      </c>
      <c r="AI255" s="25">
        <v>-64.677083333333329</v>
      </c>
      <c r="AJ255" s="25">
        <v>-48.120833333333337</v>
      </c>
      <c r="AK255" s="25">
        <v>-205.92916666666667</v>
      </c>
      <c r="AL255" s="25">
        <v>19.322916666666664</v>
      </c>
      <c r="AM255" s="25">
        <v>18.695833333333347</v>
      </c>
      <c r="AN255" s="25">
        <v>18</v>
      </c>
      <c r="AO255" s="25">
        <v>17.685416666666679</v>
      </c>
      <c r="AP255" s="25">
        <v>19.410416666666674</v>
      </c>
      <c r="AQ255" s="25">
        <v>19.110416666666673</v>
      </c>
      <c r="AR255" s="25">
        <v>18.679166666666678</v>
      </c>
      <c r="AS255" s="25">
        <v>18.506249999999994</v>
      </c>
      <c r="AT255" s="25">
        <v>0.22558333333333333</v>
      </c>
      <c r="AU255" s="25">
        <v>0.17817241379310347</v>
      </c>
      <c r="AV255" s="25">
        <v>0.28181250000000008</v>
      </c>
      <c r="AW255" s="25">
        <v>-59.070833333333304</v>
      </c>
      <c r="AX255" s="25">
        <v>-34.608958333333341</v>
      </c>
      <c r="AY255" s="25">
        <v>-26.888541666666672</v>
      </c>
      <c r="AZ255" s="25"/>
      <c r="BA255" s="25">
        <v>-239.09791666666669</v>
      </c>
      <c r="BB255" s="25">
        <v>-518.95625000000007</v>
      </c>
      <c r="BC255" s="25"/>
      <c r="BD255" s="25">
        <v>19.843750000000004</v>
      </c>
      <c r="BE255" s="25">
        <v>21.099999999999994</v>
      </c>
    </row>
    <row r="256" spans="1:57" x14ac:dyDescent="0.25">
      <c r="A256" s="1">
        <v>21.4</v>
      </c>
      <c r="B256" s="1">
        <v>14.4</v>
      </c>
      <c r="C256" s="22"/>
      <c r="D256" s="23">
        <v>43963</v>
      </c>
      <c r="E256" s="24">
        <v>108.8125</v>
      </c>
      <c r="F256" s="24">
        <v>72.472916666666677</v>
      </c>
      <c r="G256" s="24">
        <v>17.964583333333326</v>
      </c>
      <c r="H256" s="24">
        <v>0</v>
      </c>
      <c r="I256" s="24">
        <v>201.35416666666666</v>
      </c>
      <c r="J256" s="24">
        <v>5.833333333333333</v>
      </c>
      <c r="K256" s="24">
        <v>0.375</v>
      </c>
      <c r="L256" s="24">
        <v>12.887499999999996</v>
      </c>
      <c r="M256" s="10">
        <v>0.5830936900139444</v>
      </c>
      <c r="N256" s="25">
        <v>0.25410416666666663</v>
      </c>
      <c r="O256" s="25">
        <v>0.34870833333333323</v>
      </c>
      <c r="P256" s="25">
        <v>0.44437500000000013</v>
      </c>
      <c r="Q256" s="25">
        <v>0.4502083333333331</v>
      </c>
      <c r="R256" s="25">
        <v>0.43099999999999961</v>
      </c>
      <c r="S256" s="25">
        <v>0.31279166666666636</v>
      </c>
      <c r="T256" s="25">
        <v>0.3212916666666667</v>
      </c>
      <c r="U256" s="25">
        <v>0.28460416666666699</v>
      </c>
      <c r="V256" s="25">
        <v>-155.86249999999998</v>
      </c>
      <c r="W256" s="25">
        <v>-139.125</v>
      </c>
      <c r="X256" s="25">
        <v>-44.736249999999991</v>
      </c>
      <c r="Y256" s="25">
        <v>-52.305624999999999</v>
      </c>
      <c r="Z256" s="25">
        <v>-71.231250000000003</v>
      </c>
      <c r="AA256" s="25">
        <v>-86.306249999999977</v>
      </c>
      <c r="AB256" s="25">
        <v>-83.519583333333344</v>
      </c>
      <c r="AC256" s="25">
        <v>-75.793541666666655</v>
      </c>
      <c r="AD256" s="25">
        <v>-843.9375</v>
      </c>
      <c r="AE256" s="25">
        <v>-790.80624999999998</v>
      </c>
      <c r="AF256" s="25">
        <v>-977.58333333333337</v>
      </c>
      <c r="AG256" s="25">
        <v>-414.77291666666656</v>
      </c>
      <c r="AH256" s="25">
        <v>-31.697916666666668</v>
      </c>
      <c r="AI256" s="25">
        <v>-70.983333333333363</v>
      </c>
      <c r="AJ256" s="25">
        <v>-65.752083333333331</v>
      </c>
      <c r="AK256" s="25">
        <v>-302.98333333333335</v>
      </c>
      <c r="AL256" s="25">
        <v>18.468749999999989</v>
      </c>
      <c r="AM256" s="25">
        <v>18.285416666666674</v>
      </c>
      <c r="AN256" s="25">
        <v>17.866666666666664</v>
      </c>
      <c r="AO256" s="25">
        <v>17.604166666666675</v>
      </c>
      <c r="AP256" s="25">
        <v>17.987500000000001</v>
      </c>
      <c r="AQ256" s="25">
        <v>18.268750000000015</v>
      </c>
      <c r="AR256" s="25">
        <v>18.156249999999996</v>
      </c>
      <c r="AS256" s="25">
        <v>18.112499999999994</v>
      </c>
      <c r="AT256" s="25">
        <v>0.22445833333333334</v>
      </c>
      <c r="AU256" s="25">
        <v>0.1497727272727272</v>
      </c>
      <c r="AV256" s="25">
        <v>0.26395833333333318</v>
      </c>
      <c r="AW256" s="25">
        <v>-63.749166666666646</v>
      </c>
      <c r="AX256" s="25">
        <v>-43.956874999999997</v>
      </c>
      <c r="AY256" s="25">
        <v>-28.652708333333337</v>
      </c>
      <c r="AZ256" s="25"/>
      <c r="BA256" s="25">
        <v>-45.722916666666663</v>
      </c>
      <c r="BB256" s="25">
        <v>-522.56458333333342</v>
      </c>
      <c r="BC256" s="25"/>
      <c r="BD256" s="25">
        <v>18.510416666666668</v>
      </c>
      <c r="BE256" s="25">
        <v>19.791666666666661</v>
      </c>
    </row>
    <row r="257" spans="1:57" x14ac:dyDescent="0.25">
      <c r="A257" s="1">
        <v>28.1</v>
      </c>
      <c r="B257" s="1">
        <v>18.100000000000001</v>
      </c>
      <c r="C257" s="22"/>
      <c r="D257" s="23">
        <v>43964</v>
      </c>
      <c r="E257" s="24">
        <v>203.6875</v>
      </c>
      <c r="F257" s="24">
        <v>73.997916666666654</v>
      </c>
      <c r="G257" s="24">
        <v>22.216666666666665</v>
      </c>
      <c r="H257" s="24">
        <v>0</v>
      </c>
      <c r="I257" s="24">
        <v>231.64583333333334</v>
      </c>
      <c r="J257" s="24">
        <v>19.416666666666668</v>
      </c>
      <c r="K257" s="24">
        <v>5.395833333333333</v>
      </c>
      <c r="L257" s="24">
        <v>17.162499999999998</v>
      </c>
      <c r="M257" s="10">
        <v>0.77101966255554544</v>
      </c>
      <c r="N257" s="25">
        <v>0.25208333333333327</v>
      </c>
      <c r="O257" s="25">
        <v>0.34520833333333328</v>
      </c>
      <c r="P257" s="25">
        <v>0.43991666666666657</v>
      </c>
      <c r="Q257" s="25">
        <v>0.44339583333333338</v>
      </c>
      <c r="R257" s="25">
        <v>0.42756249999999979</v>
      </c>
      <c r="S257" s="25">
        <v>0.31112500000000004</v>
      </c>
      <c r="T257" s="25">
        <v>0.31925000000000009</v>
      </c>
      <c r="U257" s="25">
        <v>0.28320833333333323</v>
      </c>
      <c r="V257" s="25">
        <v>-162.40416666666667</v>
      </c>
      <c r="W257" s="25">
        <v>-151.02916666666664</v>
      </c>
      <c r="X257" s="25">
        <v>-49.590208333333344</v>
      </c>
      <c r="Y257" s="25">
        <v>-56.507708333333341</v>
      </c>
      <c r="Z257" s="25">
        <v>-75.856458333333322</v>
      </c>
      <c r="AA257" s="25">
        <v>-92.402083333333337</v>
      </c>
      <c r="AB257" s="25">
        <v>-90.254166666666663</v>
      </c>
      <c r="AC257" s="25">
        <v>-80.42145833333332</v>
      </c>
      <c r="AD257" s="25">
        <v>-849.4375</v>
      </c>
      <c r="AE257" s="25">
        <v>-828.36041666666677</v>
      </c>
      <c r="AF257" s="25">
        <v>-1056.8958333333333</v>
      </c>
      <c r="AG257" s="25">
        <v>-434.74999999999994</v>
      </c>
      <c r="AH257" s="25">
        <v>-59.152083333333344</v>
      </c>
      <c r="AI257" s="25">
        <v>-87.893749999999997</v>
      </c>
      <c r="AJ257" s="25">
        <v>-94.304166666666674</v>
      </c>
      <c r="AK257" s="25">
        <v>-490.15625000000006</v>
      </c>
      <c r="AL257" s="25">
        <v>18.681249999999995</v>
      </c>
      <c r="AM257" s="25">
        <v>18.081249999999997</v>
      </c>
      <c r="AN257" s="25">
        <v>17.639583333333345</v>
      </c>
      <c r="AO257" s="25">
        <v>17.427083333333318</v>
      </c>
      <c r="AP257" s="25">
        <v>19.025000000000002</v>
      </c>
      <c r="AQ257" s="25">
        <v>18.327083333333331</v>
      </c>
      <c r="AR257" s="25">
        <v>17.941666666666666</v>
      </c>
      <c r="AS257" s="25">
        <v>17.835416666666667</v>
      </c>
      <c r="AT257" s="25">
        <v>0.22043750000000004</v>
      </c>
      <c r="AU257" s="25">
        <v>0.14174468085106381</v>
      </c>
      <c r="AV257" s="25">
        <v>0.25368750000000007</v>
      </c>
      <c r="AW257" s="25">
        <v>-66.10604166666667</v>
      </c>
      <c r="AX257" s="25">
        <v>-61.398333333333348</v>
      </c>
      <c r="AY257" s="25">
        <v>-42.762916666666676</v>
      </c>
      <c r="AZ257" s="25"/>
      <c r="BA257" s="25">
        <v>-189.20208333333335</v>
      </c>
      <c r="BB257" s="25">
        <v>-517.7270833333331</v>
      </c>
      <c r="BC257" s="25"/>
      <c r="BD257" s="25">
        <v>20.687499999999996</v>
      </c>
      <c r="BE257" s="25">
        <v>20.297916666666669</v>
      </c>
    </row>
    <row r="258" spans="1:57" x14ac:dyDescent="0.25">
      <c r="A258" s="1">
        <v>29.5</v>
      </c>
      <c r="B258" s="1">
        <v>17.600000000000001</v>
      </c>
      <c r="C258" s="22"/>
      <c r="D258" s="23">
        <v>43965</v>
      </c>
      <c r="E258" s="24">
        <v>215.625</v>
      </c>
      <c r="F258" s="24">
        <v>67.756250000000009</v>
      </c>
      <c r="G258" s="24">
        <v>23.027083333333323</v>
      </c>
      <c r="H258" s="24">
        <v>0</v>
      </c>
      <c r="I258" s="24">
        <v>236.02083333333334</v>
      </c>
      <c r="J258" s="24">
        <v>7.958333333333333</v>
      </c>
      <c r="K258" s="24">
        <v>0.97916666666666663</v>
      </c>
      <c r="L258" s="24">
        <v>16.341666666666665</v>
      </c>
      <c r="M258" s="10">
        <v>1.0125076451467236</v>
      </c>
      <c r="N258" s="25">
        <v>0.24991666666666665</v>
      </c>
      <c r="O258" s="25">
        <v>0.34254166666666658</v>
      </c>
      <c r="P258" s="25">
        <v>0.43729166666666641</v>
      </c>
      <c r="Q258" s="25">
        <v>0.43595833333333317</v>
      </c>
      <c r="R258" s="25">
        <v>0.42437499999999967</v>
      </c>
      <c r="S258" s="25">
        <v>0.31050000000000022</v>
      </c>
      <c r="T258" s="25">
        <v>0.31754166666666689</v>
      </c>
      <c r="U258" s="25">
        <v>0.28106249999999972</v>
      </c>
      <c r="V258" s="25">
        <v>-177.07916666666665</v>
      </c>
      <c r="W258" s="25">
        <v>-162.66666666666671</v>
      </c>
      <c r="X258" s="25">
        <v>-54.31124999999998</v>
      </c>
      <c r="Y258" s="25">
        <v>-59.824374999999996</v>
      </c>
      <c r="Z258" s="25">
        <v>-82.617708333333312</v>
      </c>
      <c r="AA258" s="25">
        <v>-98.785416666666677</v>
      </c>
      <c r="AB258" s="25">
        <v>-96.283333333333346</v>
      </c>
      <c r="AC258" s="25">
        <v>-84.797916666666652</v>
      </c>
      <c r="AD258" s="25">
        <v>-862.89583333333337</v>
      </c>
      <c r="AE258" s="25">
        <v>-865.5625</v>
      </c>
      <c r="AF258" s="25">
        <v>-1200</v>
      </c>
      <c r="AG258" s="25">
        <v>-470.73958333333348</v>
      </c>
      <c r="AH258" s="25">
        <v>-147.05833333333331</v>
      </c>
      <c r="AI258" s="25">
        <v>-138.48124999999999</v>
      </c>
      <c r="AJ258" s="25">
        <v>-163.59583333333333</v>
      </c>
      <c r="AK258" s="25">
        <v>-847.89374999999984</v>
      </c>
      <c r="AL258" s="25">
        <v>19.445833333333329</v>
      </c>
      <c r="AM258" s="25">
        <v>18.493750000000002</v>
      </c>
      <c r="AN258" s="25">
        <v>17.789583333333322</v>
      </c>
      <c r="AO258" s="25">
        <v>17.46875</v>
      </c>
      <c r="AP258" s="25">
        <v>19.931250000000002</v>
      </c>
      <c r="AQ258" s="25">
        <v>19.018749999999994</v>
      </c>
      <c r="AR258" s="25">
        <v>18.422916666666666</v>
      </c>
      <c r="AS258" s="25">
        <v>18.154166666666672</v>
      </c>
      <c r="AT258" s="25">
        <v>0.21139583333333331</v>
      </c>
      <c r="AU258" s="25">
        <v>0.13020833333333334</v>
      </c>
      <c r="AV258" s="25">
        <v>0.24660416666666662</v>
      </c>
      <c r="AW258" s="25">
        <v>-71.615208333333342</v>
      </c>
      <c r="AX258" s="25">
        <v>-81.790416666666673</v>
      </c>
      <c r="AY258" s="25">
        <v>-62.793125000000003</v>
      </c>
      <c r="AZ258" s="25"/>
      <c r="BA258" s="25">
        <v>-716.69999999999993</v>
      </c>
      <c r="BB258" s="25">
        <v>-544.91666666666674</v>
      </c>
      <c r="BC258" s="25"/>
      <c r="BD258" s="25">
        <v>21.191666666666666</v>
      </c>
      <c r="BE258" s="25">
        <v>20.885416666666664</v>
      </c>
    </row>
    <row r="259" spans="1:57" x14ac:dyDescent="0.25">
      <c r="A259" s="1">
        <v>28.4</v>
      </c>
      <c r="B259" s="1">
        <v>14.8</v>
      </c>
      <c r="C259" s="22"/>
      <c r="D259" s="23">
        <v>43966</v>
      </c>
      <c r="E259" s="24">
        <v>198.83333333333334</v>
      </c>
      <c r="F259" s="24">
        <v>73.416666666666671</v>
      </c>
      <c r="G259" s="24">
        <v>21.216666666666669</v>
      </c>
      <c r="H259" s="24">
        <v>9.5</v>
      </c>
      <c r="I259" s="24">
        <v>227.04166666666666</v>
      </c>
      <c r="J259" s="24">
        <v>5.5625</v>
      </c>
      <c r="K259" s="24">
        <v>0.35416666666666669</v>
      </c>
      <c r="L259" s="24">
        <v>15.827083333333333</v>
      </c>
      <c r="M259" s="10">
        <v>0.80369608200246112</v>
      </c>
      <c r="N259" s="25">
        <v>0.24862500000000007</v>
      </c>
      <c r="O259" s="25">
        <v>0.3402291666666668</v>
      </c>
      <c r="P259" s="25">
        <v>0.43402083333333308</v>
      </c>
      <c r="Q259" s="25">
        <v>0.43179166666666652</v>
      </c>
      <c r="R259" s="25">
        <v>0.42375000000000007</v>
      </c>
      <c r="S259" s="25">
        <v>0.31095833333333356</v>
      </c>
      <c r="T259" s="25">
        <v>0.31635416666666688</v>
      </c>
      <c r="U259" s="25">
        <v>0.27964583333333337</v>
      </c>
      <c r="V259" s="25">
        <v>-198.3416666666667</v>
      </c>
      <c r="W259" s="25">
        <v>-175.60416666666671</v>
      </c>
      <c r="X259" s="25">
        <v>-60.201249999999995</v>
      </c>
      <c r="Y259" s="25">
        <v>-62.185833333333356</v>
      </c>
      <c r="Z259" s="25">
        <v>-93.15625</v>
      </c>
      <c r="AA259" s="25">
        <v>-107.88125000000001</v>
      </c>
      <c r="AB259" s="25">
        <v>-103.55</v>
      </c>
      <c r="AC259" s="25">
        <v>-89.391666666666652</v>
      </c>
      <c r="AD259" s="25">
        <v>-922.89583333333337</v>
      </c>
      <c r="AE259" s="25">
        <v>-906.5625</v>
      </c>
      <c r="AF259" s="25">
        <v>-1300.5</v>
      </c>
      <c r="AG259" s="25">
        <v>-494.85208333333327</v>
      </c>
      <c r="AH259" s="25">
        <v>-286.64791666666656</v>
      </c>
      <c r="AI259" s="25">
        <v>-207.98541666666668</v>
      </c>
      <c r="AJ259" s="25">
        <v>-274.08958333333339</v>
      </c>
      <c r="AK259" s="25">
        <v>-1215.8541666666667</v>
      </c>
      <c r="AL259" s="25">
        <v>19.362499999999994</v>
      </c>
      <c r="AM259" s="25">
        <v>18.622916666666672</v>
      </c>
      <c r="AN259" s="25">
        <v>17.958333333333325</v>
      </c>
      <c r="AO259" s="25">
        <v>17.622916666666679</v>
      </c>
      <c r="AP259" s="25">
        <v>19.510416666666668</v>
      </c>
      <c r="AQ259" s="25">
        <v>18.985416666666662</v>
      </c>
      <c r="AR259" s="25">
        <v>18.518749999999994</v>
      </c>
      <c r="AS259" s="25">
        <v>18.316666666666674</v>
      </c>
      <c r="AT259" s="25">
        <v>0.22302083333333333</v>
      </c>
      <c r="AU259" s="25">
        <v>0.18177083333333333</v>
      </c>
      <c r="AV259" s="25">
        <v>0.26708333333333339</v>
      </c>
      <c r="AW259" s="25">
        <v>-27.780416666666657</v>
      </c>
      <c r="AX259" s="25">
        <v>-67.52062500000001</v>
      </c>
      <c r="AY259" s="25">
        <v>-24.758958333333325</v>
      </c>
      <c r="AZ259" s="25"/>
      <c r="BA259" s="25">
        <v>-503.48750000000024</v>
      </c>
      <c r="BB259" s="25">
        <v>-535.93333333333328</v>
      </c>
      <c r="BC259" s="25"/>
      <c r="BD259" s="25">
        <v>20.697916666666668</v>
      </c>
      <c r="BE259" s="25">
        <v>20.722916666666663</v>
      </c>
    </row>
    <row r="260" spans="1:57" x14ac:dyDescent="0.25">
      <c r="A260" s="1">
        <v>29.3</v>
      </c>
      <c r="B260" s="1">
        <v>18.100000000000001</v>
      </c>
      <c r="C260" s="22"/>
      <c r="D260" s="23">
        <v>43967</v>
      </c>
      <c r="E260" s="24">
        <v>200.35416666666666</v>
      </c>
      <c r="F260" s="24">
        <v>71.591666666666669</v>
      </c>
      <c r="G260" s="24">
        <v>22.137500000000003</v>
      </c>
      <c r="H260" s="24">
        <v>0.2</v>
      </c>
      <c r="I260" s="24">
        <v>232.60416666666666</v>
      </c>
      <c r="J260" s="24">
        <v>6.104166666666667</v>
      </c>
      <c r="K260" s="24">
        <v>0.20833333333333334</v>
      </c>
      <c r="L260" s="24">
        <v>16.429166666666667</v>
      </c>
      <c r="M260" s="10">
        <v>0.84092451406757951</v>
      </c>
      <c r="N260" s="25">
        <v>0.24852083333333316</v>
      </c>
      <c r="O260" s="25">
        <v>0.33908333333333301</v>
      </c>
      <c r="P260" s="25">
        <v>0.43239583333333337</v>
      </c>
      <c r="Q260" s="25">
        <v>0.42885416666666659</v>
      </c>
      <c r="R260" s="25">
        <v>0.4229583333333336</v>
      </c>
      <c r="S260" s="25">
        <v>0.31033333333333352</v>
      </c>
      <c r="T260" s="25">
        <v>0.3151666666666666</v>
      </c>
      <c r="U260" s="25">
        <v>0.27881250000000019</v>
      </c>
      <c r="V260" s="25">
        <v>-210.58541666666679</v>
      </c>
      <c r="W260" s="25">
        <v>-191.01458333333335</v>
      </c>
      <c r="X260" s="25">
        <v>-65.605625000000003</v>
      </c>
      <c r="Y260" s="25">
        <v>-65.35104166666666</v>
      </c>
      <c r="Z260" s="25">
        <v>-101.49791666666668</v>
      </c>
      <c r="AA260" s="25">
        <v>-118.27708333333334</v>
      </c>
      <c r="AB260" s="25">
        <v>-111.93124999999999</v>
      </c>
      <c r="AC260" s="25">
        <v>-94.635416666666686</v>
      </c>
      <c r="AD260" s="25">
        <v>-920.16666666666663</v>
      </c>
      <c r="AE260" s="25">
        <v>-930.70833333333337</v>
      </c>
      <c r="AF260" s="25">
        <v>-1350.2083333333333</v>
      </c>
      <c r="AG260" s="25">
        <v>-498.61249999999995</v>
      </c>
      <c r="AH260" s="25">
        <v>-346.57708333333335</v>
      </c>
      <c r="AI260" s="25">
        <v>-291.96458333333334</v>
      </c>
      <c r="AJ260" s="25">
        <v>-419.43958333333336</v>
      </c>
      <c r="AK260" s="25">
        <v>-1481.25</v>
      </c>
      <c r="AL260" s="25">
        <v>19.691666666666674</v>
      </c>
      <c r="AM260" s="25">
        <v>18.787499999999998</v>
      </c>
      <c r="AN260" s="25">
        <v>18.052083333333346</v>
      </c>
      <c r="AO260" s="25">
        <v>17.712500000000002</v>
      </c>
      <c r="AP260" s="25">
        <v>20.083333333333339</v>
      </c>
      <c r="AQ260" s="25">
        <v>19.304166666666678</v>
      </c>
      <c r="AR260" s="25">
        <v>18.702083333333334</v>
      </c>
      <c r="AS260" s="25">
        <v>18.437499999999993</v>
      </c>
      <c r="AT260" s="25">
        <v>0.21156250000000007</v>
      </c>
      <c r="AU260" s="25">
        <v>0.15620833333333328</v>
      </c>
      <c r="AV260" s="25">
        <v>0.25904166666666673</v>
      </c>
      <c r="AW260" s="25">
        <v>-25.713333333333338</v>
      </c>
      <c r="AX260" s="25">
        <v>-61.339999999999996</v>
      </c>
      <c r="AY260" s="25">
        <v>-24.885416666666668</v>
      </c>
      <c r="AZ260" s="25"/>
      <c r="BA260" s="25">
        <v>-492.41666666666674</v>
      </c>
      <c r="BB260" s="25">
        <v>-519.48124999999993</v>
      </c>
      <c r="BC260" s="25"/>
      <c r="BD260" s="25">
        <v>20.845833333333328</v>
      </c>
      <c r="BE260" s="25">
        <v>21.12916666666667</v>
      </c>
    </row>
    <row r="261" spans="1:57" x14ac:dyDescent="0.25">
      <c r="A261" s="1">
        <v>22.9</v>
      </c>
      <c r="B261" s="1">
        <v>15.4</v>
      </c>
      <c r="C261" s="22"/>
      <c r="D261" s="23">
        <v>43968</v>
      </c>
      <c r="E261" s="24">
        <v>99.0625</v>
      </c>
      <c r="F261" s="24">
        <v>88.400000000000034</v>
      </c>
      <c r="G261" s="24">
        <v>17.595833333333328</v>
      </c>
      <c r="H261" s="24">
        <v>11.5</v>
      </c>
      <c r="I261" s="24">
        <v>215.14583333333334</v>
      </c>
      <c r="J261" s="24">
        <v>1.8125</v>
      </c>
      <c r="K261" s="24">
        <v>0</v>
      </c>
      <c r="L261" s="24">
        <v>15.554166666666662</v>
      </c>
      <c r="M261" s="10">
        <v>0.25709240959669238</v>
      </c>
      <c r="N261" s="25">
        <v>0.24779166666666652</v>
      </c>
      <c r="O261" s="25">
        <v>0.33641666666666681</v>
      </c>
      <c r="P261" s="25">
        <v>0.42981249999999971</v>
      </c>
      <c r="Q261" s="25">
        <v>0.42656249999999951</v>
      </c>
      <c r="R261" s="25">
        <v>0.41920833333333335</v>
      </c>
      <c r="S261" s="25">
        <v>0.30993750000000003</v>
      </c>
      <c r="T261" s="25">
        <v>0.31425000000000008</v>
      </c>
      <c r="U261" s="25">
        <v>0.27777083333333336</v>
      </c>
      <c r="V261" s="25">
        <v>-223.31458333333327</v>
      </c>
      <c r="W261" s="25">
        <v>-211.08333333333334</v>
      </c>
      <c r="X261" s="25">
        <v>-71.458333333333357</v>
      </c>
      <c r="Y261" s="25">
        <v>-69.332916666666662</v>
      </c>
      <c r="Z261" s="25">
        <v>-114.82708333333335</v>
      </c>
      <c r="AA261" s="25">
        <v>-131.31666666666666</v>
      </c>
      <c r="AB261" s="25">
        <v>-121.49374999999999</v>
      </c>
      <c r="AC261" s="25">
        <v>-99.920833333333334</v>
      </c>
      <c r="AD261" s="25">
        <v>-991.4375</v>
      </c>
      <c r="AE261" s="25">
        <v>-956.8125</v>
      </c>
      <c r="AF261" s="25">
        <v>-1413.2708333333333</v>
      </c>
      <c r="AG261" s="25">
        <v>-505.37083333333334</v>
      </c>
      <c r="AH261" s="25">
        <v>-397.71666666666664</v>
      </c>
      <c r="AI261" s="25">
        <v>-377.44791666666657</v>
      </c>
      <c r="AJ261" s="25">
        <v>-590.21250000000009</v>
      </c>
      <c r="AK261" s="25">
        <v>-1828.5208333333333</v>
      </c>
      <c r="AL261" s="25">
        <v>19.100000000000005</v>
      </c>
      <c r="AM261" s="25">
        <v>18.710416666666678</v>
      </c>
      <c r="AN261" s="25">
        <v>18.143750000000008</v>
      </c>
      <c r="AO261" s="25">
        <v>17.799999999999986</v>
      </c>
      <c r="AP261" s="25">
        <v>18.87083333333333</v>
      </c>
      <c r="AQ261" s="25">
        <v>18.895833333333325</v>
      </c>
      <c r="AR261" s="25">
        <v>18.589583333333326</v>
      </c>
      <c r="AS261" s="25">
        <v>18.445833333333315</v>
      </c>
      <c r="AT261" s="25">
        <v>0.22056249999999999</v>
      </c>
      <c r="AU261" s="25">
        <v>0.18058333333333335</v>
      </c>
      <c r="AV261" s="25">
        <v>0.26829166666666665</v>
      </c>
      <c r="AW261" s="25">
        <v>-33.307083333333331</v>
      </c>
      <c r="AX261" s="25">
        <v>-54.120625000000025</v>
      </c>
      <c r="AY261" s="25">
        <v>-22.956250000000011</v>
      </c>
      <c r="AZ261" s="25"/>
      <c r="BA261" s="25">
        <v>-620.32916666666654</v>
      </c>
      <c r="BB261" s="25">
        <v>-212.59166666666667</v>
      </c>
      <c r="BC261" s="25"/>
      <c r="BD261" s="25">
        <v>19.085416666666671</v>
      </c>
      <c r="BE261" s="25">
        <v>20.204166666666676</v>
      </c>
    </row>
    <row r="262" spans="1:57" x14ac:dyDescent="0.25">
      <c r="A262" s="1">
        <v>30.1</v>
      </c>
      <c r="B262" s="1">
        <v>15.2</v>
      </c>
      <c r="C262" s="22"/>
      <c r="D262" s="23">
        <v>43969</v>
      </c>
      <c r="E262" s="24">
        <v>266.8125</v>
      </c>
      <c r="F262" s="24">
        <v>65.349999999999994</v>
      </c>
      <c r="G262" s="24">
        <v>21.635416666666671</v>
      </c>
      <c r="H262" s="24">
        <v>0</v>
      </c>
      <c r="I262" s="24">
        <v>212.375</v>
      </c>
      <c r="J262" s="24">
        <v>3.8958333333333335</v>
      </c>
      <c r="K262" s="24">
        <v>0.10416666666666667</v>
      </c>
      <c r="L262" s="24">
        <v>13.310416666666667</v>
      </c>
      <c r="M262" s="10">
        <v>1.1595179633070989</v>
      </c>
      <c r="N262" s="25">
        <v>0.24770833333333322</v>
      </c>
      <c r="O262" s="25">
        <v>0.3353125000000004</v>
      </c>
      <c r="P262" s="25">
        <v>0.42752083333333318</v>
      </c>
      <c r="Q262" s="25">
        <v>0.42485416666666631</v>
      </c>
      <c r="R262" s="25">
        <v>0.41789583333333313</v>
      </c>
      <c r="S262" s="25">
        <v>0.30918749999999973</v>
      </c>
      <c r="T262" s="25">
        <v>0.31347916666666686</v>
      </c>
      <c r="U262" s="25">
        <v>0.27741666666666642</v>
      </c>
      <c r="V262" s="25">
        <v>-221.87916666666663</v>
      </c>
      <c r="W262" s="25">
        <v>-229.15624999999997</v>
      </c>
      <c r="X262" s="25">
        <v>-77.78416666666665</v>
      </c>
      <c r="Y262" s="25">
        <v>-73.662500000000009</v>
      </c>
      <c r="Z262" s="25">
        <v>-122.37291666666663</v>
      </c>
      <c r="AA262" s="25">
        <v>-145.06249999999997</v>
      </c>
      <c r="AB262" s="25">
        <v>-131.94791666666666</v>
      </c>
      <c r="AC262" s="25">
        <v>-106.38958333333335</v>
      </c>
      <c r="AD262" s="25">
        <v>-989.47916666666663</v>
      </c>
      <c r="AE262" s="25">
        <v>-974.6875</v>
      </c>
      <c r="AF262" s="25">
        <v>-1451.4166666666667</v>
      </c>
      <c r="AG262" s="25">
        <v>-504.30416666666662</v>
      </c>
      <c r="AH262" s="25">
        <v>-272.08958333333339</v>
      </c>
      <c r="AI262" s="25">
        <v>-423.30416666666656</v>
      </c>
      <c r="AJ262" s="25">
        <v>-682.80416666666645</v>
      </c>
      <c r="AK262" s="25">
        <v>-2001.9791666666667</v>
      </c>
      <c r="AL262" s="25">
        <v>18.877083333333335</v>
      </c>
      <c r="AM262" s="25">
        <v>18.391666666666666</v>
      </c>
      <c r="AN262" s="25">
        <v>17.949999999999989</v>
      </c>
      <c r="AO262" s="25">
        <v>17.739583333333353</v>
      </c>
      <c r="AP262" s="25">
        <v>18.881249999999998</v>
      </c>
      <c r="AQ262" s="25">
        <v>18.549999999999997</v>
      </c>
      <c r="AR262" s="25">
        <v>18.254166666666674</v>
      </c>
      <c r="AS262" s="25">
        <v>18.154166666666679</v>
      </c>
      <c r="AT262" s="25">
        <v>0.22960416666666669</v>
      </c>
      <c r="AU262" s="25">
        <v>0.19387500000000005</v>
      </c>
      <c r="AV262" s="25">
        <v>0.29775000000000001</v>
      </c>
      <c r="AW262" s="25">
        <v>-38.044791666666683</v>
      </c>
      <c r="AX262" s="25">
        <v>-17.657708333333332</v>
      </c>
      <c r="AY262" s="25">
        <v>-14.593958333333331</v>
      </c>
      <c r="AZ262" s="25"/>
      <c r="BA262" s="25">
        <v>-12.668749999999996</v>
      </c>
      <c r="BB262" s="25">
        <v>-25.45</v>
      </c>
      <c r="BC262" s="25"/>
      <c r="BD262" s="25">
        <v>20.300000000000004</v>
      </c>
      <c r="BE262" s="25">
        <v>20.214583333333337</v>
      </c>
    </row>
    <row r="263" spans="1:57" x14ac:dyDescent="0.25">
      <c r="A263" s="1">
        <v>27</v>
      </c>
      <c r="B263" s="1">
        <v>18</v>
      </c>
      <c r="C263" s="22"/>
      <c r="D263" s="23">
        <v>43970</v>
      </c>
      <c r="E263" s="24">
        <v>144.83333333333334</v>
      </c>
      <c r="F263" s="24">
        <v>72.399999999999991</v>
      </c>
      <c r="G263" s="24">
        <v>21.545833333333334</v>
      </c>
      <c r="H263" s="24">
        <v>13.2</v>
      </c>
      <c r="I263" s="24">
        <v>216.58333333333334</v>
      </c>
      <c r="J263" s="24">
        <v>9.375</v>
      </c>
      <c r="K263" s="24">
        <v>1.5</v>
      </c>
      <c r="L263" s="24">
        <v>16.191666666666666</v>
      </c>
      <c r="M263" s="10">
        <v>0.7414286302599411</v>
      </c>
      <c r="N263" s="25">
        <v>0.24779166666666672</v>
      </c>
      <c r="O263" s="25">
        <v>0.33458333333333323</v>
      </c>
      <c r="P263" s="25">
        <v>0.42614583333333339</v>
      </c>
      <c r="Q263" s="25">
        <v>0.42266666666666675</v>
      </c>
      <c r="R263" s="25">
        <v>0.41752083333333362</v>
      </c>
      <c r="S263" s="25">
        <v>0.30868749999999995</v>
      </c>
      <c r="T263" s="25">
        <v>0.31235416666666643</v>
      </c>
      <c r="U263" s="25">
        <v>0.27656249999999999</v>
      </c>
      <c r="V263" s="25">
        <v>-217.10208333333333</v>
      </c>
      <c r="W263" s="25">
        <v>-245.77916666666667</v>
      </c>
      <c r="X263" s="25">
        <v>-83.3125</v>
      </c>
      <c r="Y263" s="25">
        <v>-77.581874999999982</v>
      </c>
      <c r="Z263" s="25">
        <v>-126.76041666666669</v>
      </c>
      <c r="AA263" s="25">
        <v>-158.05416666666667</v>
      </c>
      <c r="AB263" s="25">
        <v>-142.06041666666664</v>
      </c>
      <c r="AC263" s="25">
        <v>-111.96458333333335</v>
      </c>
      <c r="AD263" s="25">
        <v>-990.85416666666663</v>
      </c>
      <c r="AE263" s="25">
        <v>-985.9375</v>
      </c>
      <c r="AF263" s="25">
        <v>-1498.7708333333333</v>
      </c>
      <c r="AG263" s="25">
        <v>-510.55625000000003</v>
      </c>
      <c r="AH263" s="25">
        <v>-271.95416666666665</v>
      </c>
      <c r="AI263" s="25">
        <v>-516.92291666666677</v>
      </c>
      <c r="AJ263" s="25">
        <v>-794.85625000000016</v>
      </c>
      <c r="AK263" s="25">
        <v>-2252.2291666666665</v>
      </c>
      <c r="AL263" s="25">
        <v>19.03125</v>
      </c>
      <c r="AM263" s="25">
        <v>18.489583333333325</v>
      </c>
      <c r="AN263" s="25">
        <v>17.962499999999991</v>
      </c>
      <c r="AO263" s="25">
        <v>17.700000000000014</v>
      </c>
      <c r="AP263" s="25">
        <v>19.156249999999996</v>
      </c>
      <c r="AQ263" s="25">
        <v>18.702083333333331</v>
      </c>
      <c r="AR263" s="25">
        <v>18.337500000000002</v>
      </c>
      <c r="AS263" s="25">
        <v>18.197916666666675</v>
      </c>
      <c r="AT263" s="25">
        <v>0.22091304347826096</v>
      </c>
      <c r="AU263" s="25">
        <v>0.166625</v>
      </c>
      <c r="AV263" s="25">
        <v>0.27450000000000002</v>
      </c>
      <c r="AW263" s="25">
        <v>-42.475208333333335</v>
      </c>
      <c r="AX263" s="25">
        <v>-32.975833333333334</v>
      </c>
      <c r="AY263" s="25">
        <v>-23.349374999999998</v>
      </c>
      <c r="AZ263" s="25"/>
      <c r="BA263" s="25">
        <v>-31.710416666666671</v>
      </c>
      <c r="BB263" s="25">
        <v>-44.287500000000001</v>
      </c>
      <c r="BC263" s="25"/>
      <c r="BD263" s="25">
        <v>20.339583333333334</v>
      </c>
      <c r="BE263" s="25">
        <v>20.237500000000004</v>
      </c>
    </row>
    <row r="264" spans="1:57" x14ac:dyDescent="0.25">
      <c r="A264" s="1">
        <v>31.2</v>
      </c>
      <c r="B264" s="1">
        <v>19.8</v>
      </c>
      <c r="C264" s="22"/>
      <c r="D264" s="23">
        <v>43971</v>
      </c>
      <c r="E264" s="24">
        <v>180.14583333333334</v>
      </c>
      <c r="F264" s="24">
        <v>77.627083333333331</v>
      </c>
      <c r="G264" s="24">
        <v>23.635416666666668</v>
      </c>
      <c r="H264" s="24">
        <v>0.5</v>
      </c>
      <c r="I264" s="24">
        <v>230.54166666666666</v>
      </c>
      <c r="J264" s="24">
        <v>8.25</v>
      </c>
      <c r="K264" s="24">
        <v>0.85416666666666663</v>
      </c>
      <c r="L264" s="24">
        <v>19.250000000000004</v>
      </c>
      <c r="M264" s="10">
        <v>0.74059744913919745</v>
      </c>
      <c r="N264" s="25">
        <v>0.2616458333333333</v>
      </c>
      <c r="O264" s="25">
        <v>0.34562500000000007</v>
      </c>
      <c r="P264" s="25">
        <v>0.42654166666666665</v>
      </c>
      <c r="Q264" s="25">
        <v>0.422645833333333</v>
      </c>
      <c r="R264" s="25">
        <v>0.42993750000000036</v>
      </c>
      <c r="S264" s="25">
        <v>0.30991666666666684</v>
      </c>
      <c r="T264" s="25">
        <v>0.31197916666666647</v>
      </c>
      <c r="U264" s="25">
        <v>0.27583333333333321</v>
      </c>
      <c r="V264" s="25">
        <v>-201.99375000000001</v>
      </c>
      <c r="W264" s="25">
        <v>-256.32708333333341</v>
      </c>
      <c r="X264" s="25">
        <v>-88.487500000000026</v>
      </c>
      <c r="Y264" s="25">
        <v>-81.291041666666686</v>
      </c>
      <c r="Z264" s="25">
        <v>-127.97499999999991</v>
      </c>
      <c r="AA264" s="25">
        <v>-166.15208333333331</v>
      </c>
      <c r="AB264" s="25">
        <v>-150.74791666666667</v>
      </c>
      <c r="AC264" s="25">
        <v>-117.25208333333332</v>
      </c>
      <c r="AD264" s="25">
        <v>-874.5958333333333</v>
      </c>
      <c r="AE264" s="25">
        <v>-972.20833333333337</v>
      </c>
      <c r="AF264" s="25">
        <v>-1511.4375</v>
      </c>
      <c r="AG264" s="25">
        <v>-520.47083333333319</v>
      </c>
      <c r="AH264" s="25">
        <v>-174.4</v>
      </c>
      <c r="AI264" s="25">
        <v>-551.64374999999984</v>
      </c>
      <c r="AJ264" s="25">
        <v>-899.47916666666663</v>
      </c>
      <c r="AK264" s="25">
        <v>-2333.125</v>
      </c>
      <c r="AL264" s="25">
        <v>19.733333333333331</v>
      </c>
      <c r="AM264" s="25">
        <v>18.768749999999997</v>
      </c>
      <c r="AN264" s="25">
        <v>18.075000000000017</v>
      </c>
      <c r="AO264" s="25">
        <v>17.768749999999983</v>
      </c>
      <c r="AP264" s="25">
        <v>20.485416666666669</v>
      </c>
      <c r="AQ264" s="25">
        <v>19.389583333333338</v>
      </c>
      <c r="AR264" s="25">
        <v>18.716666666666676</v>
      </c>
      <c r="AS264" s="25">
        <v>18.462499999999999</v>
      </c>
      <c r="AT264" s="25">
        <v>0.27772916666666675</v>
      </c>
      <c r="AU264" s="25">
        <v>0.21647500000000006</v>
      </c>
      <c r="AV264" s="25">
        <v>0.39585416666666678</v>
      </c>
      <c r="AW264" s="25">
        <v>-16.466041666666666</v>
      </c>
      <c r="AX264" s="25">
        <v>-14.041875000000003</v>
      </c>
      <c r="AY264" s="25">
        <v>-13.569166666666669</v>
      </c>
      <c r="AZ264" s="25"/>
      <c r="BA264" s="25">
        <v>-11.081250000000004</v>
      </c>
      <c r="BB264" s="25">
        <v>-13.156250000000002</v>
      </c>
      <c r="BC264" s="25"/>
      <c r="BD264" s="25">
        <v>21.493750000000006</v>
      </c>
      <c r="BE264" s="25">
        <v>21.289583333333329</v>
      </c>
    </row>
    <row r="265" spans="1:57" x14ac:dyDescent="0.25">
      <c r="A265" s="1">
        <v>24.1</v>
      </c>
      <c r="B265" s="1">
        <v>18.3</v>
      </c>
      <c r="C265" s="22"/>
      <c r="D265" s="23">
        <v>43972</v>
      </c>
      <c r="E265" s="24">
        <v>91.416666666666671</v>
      </c>
      <c r="F265" s="24">
        <v>85.308333333333323</v>
      </c>
      <c r="G265" s="24">
        <v>20.602083333333333</v>
      </c>
      <c r="H265" s="24">
        <v>7.1</v>
      </c>
      <c r="I265" s="24">
        <v>163.0625</v>
      </c>
      <c r="J265" s="24">
        <v>4.208333333333333</v>
      </c>
      <c r="K265" s="24">
        <v>2.0833333333333332E-2</v>
      </c>
      <c r="L265" s="24">
        <v>17.977083333333329</v>
      </c>
      <c r="M265" s="10">
        <v>0.37525099445971888</v>
      </c>
      <c r="N265" s="25">
        <v>0.26672916666666685</v>
      </c>
      <c r="O265" s="25">
        <v>0.35606249999999989</v>
      </c>
      <c r="P265" s="25">
        <v>0.43412500000000026</v>
      </c>
      <c r="Q265" s="25">
        <v>0.42556249999999984</v>
      </c>
      <c r="R265" s="25">
        <v>0.4501666666666666</v>
      </c>
      <c r="S265" s="25">
        <v>0.31168749999999984</v>
      </c>
      <c r="T265" s="25">
        <v>0.31333333333333341</v>
      </c>
      <c r="U265" s="25">
        <v>0.27637499999999965</v>
      </c>
      <c r="V265" s="25">
        <v>-188.07916666666662</v>
      </c>
      <c r="W265" s="25">
        <v>-259.34583333333336</v>
      </c>
      <c r="X265" s="25">
        <v>-93.206249999999969</v>
      </c>
      <c r="Y265" s="25">
        <v>-84.222916666666634</v>
      </c>
      <c r="Z265" s="25">
        <v>-123.6979166666667</v>
      </c>
      <c r="AA265" s="25">
        <v>-164.75208333333327</v>
      </c>
      <c r="AB265" s="25">
        <v>-156.32499999999996</v>
      </c>
      <c r="AC265" s="25">
        <v>-121.67291666666664</v>
      </c>
      <c r="AD265" s="25">
        <v>-737.38125000000002</v>
      </c>
      <c r="AE265" s="25">
        <v>-945.3125</v>
      </c>
      <c r="AF265" s="25">
        <v>-1460.8333333333333</v>
      </c>
      <c r="AG265" s="25">
        <v>-510.70833333333309</v>
      </c>
      <c r="AH265" s="25">
        <v>-81.000000000000014</v>
      </c>
      <c r="AI265" s="25">
        <v>-531.97500000000002</v>
      </c>
      <c r="AJ265" s="25">
        <v>-914.4375</v>
      </c>
      <c r="AK265" s="25">
        <v>-1693.6666666666667</v>
      </c>
      <c r="AL265" s="25">
        <v>19.949999999999996</v>
      </c>
      <c r="AM265" s="25">
        <v>19.133333333333347</v>
      </c>
      <c r="AN265" s="25">
        <v>18.368749999999984</v>
      </c>
      <c r="AO265" s="25">
        <v>17.987500000000004</v>
      </c>
      <c r="AP265" s="25">
        <v>20.335416666666667</v>
      </c>
      <c r="AQ265" s="25">
        <v>19.802083333333329</v>
      </c>
      <c r="AR265" s="25">
        <v>19.160416666666681</v>
      </c>
      <c r="AS265" s="25">
        <v>18.881249999999984</v>
      </c>
      <c r="AT265" s="25">
        <v>0.33021276595744686</v>
      </c>
      <c r="AU265" s="25">
        <v>0.22602325581395347</v>
      </c>
      <c r="AV265" s="25">
        <v>0.42504166666666671</v>
      </c>
      <c r="AW265" s="25">
        <v>-15.228124999999999</v>
      </c>
      <c r="AX265" s="25">
        <v>-14.095208333333332</v>
      </c>
      <c r="AY265" s="25">
        <v>-13.5</v>
      </c>
      <c r="AZ265" s="25"/>
      <c r="BA265" s="25">
        <v>-10.829166666666673</v>
      </c>
      <c r="BB265" s="25">
        <v>-12.949999999999994</v>
      </c>
      <c r="BC265" s="25"/>
      <c r="BD265" s="25">
        <v>20.472916666666666</v>
      </c>
      <c r="BE265" s="25">
        <v>21.106249999999996</v>
      </c>
    </row>
    <row r="266" spans="1:57" x14ac:dyDescent="0.25">
      <c r="A266" s="1">
        <v>23.6</v>
      </c>
      <c r="B266" s="1">
        <v>15.9</v>
      </c>
      <c r="C266" s="22"/>
      <c r="D266" s="23">
        <v>43973</v>
      </c>
      <c r="E266" s="24">
        <v>120.83333333333333</v>
      </c>
      <c r="F266" s="24">
        <v>79.643750000000011</v>
      </c>
      <c r="G266" s="24">
        <v>19.235416666666662</v>
      </c>
      <c r="H266" s="24">
        <v>0.7</v>
      </c>
      <c r="I266" s="24">
        <v>175.8125</v>
      </c>
      <c r="J266" s="24">
        <v>2.6458333333333335</v>
      </c>
      <c r="K266" s="24">
        <v>0</v>
      </c>
      <c r="L266" s="24">
        <v>15.483333333333336</v>
      </c>
      <c r="M266" s="10">
        <v>0.48758419530153557</v>
      </c>
      <c r="N266" s="25">
        <v>0.26170833333333332</v>
      </c>
      <c r="O266" s="25">
        <v>0.35093750000000012</v>
      </c>
      <c r="P266" s="25">
        <v>0.43254166666666682</v>
      </c>
      <c r="Q266" s="25">
        <v>0.42712499999999975</v>
      </c>
      <c r="R266" s="25">
        <v>0.44197916666666659</v>
      </c>
      <c r="S266" s="25">
        <v>0.31097916666666675</v>
      </c>
      <c r="T266" s="25">
        <v>0.31416666666666665</v>
      </c>
      <c r="U266" s="25">
        <v>0.27699999999999975</v>
      </c>
      <c r="V266" s="25">
        <v>-178.99375000000001</v>
      </c>
      <c r="W266" s="25">
        <v>-258.01874999999995</v>
      </c>
      <c r="X266" s="25">
        <v>-98.341666666666683</v>
      </c>
      <c r="Y266" s="25">
        <v>-87.295833333333306</v>
      </c>
      <c r="Z266" s="25">
        <v>-114.40625</v>
      </c>
      <c r="AA266" s="25">
        <v>-157.35208333333327</v>
      </c>
      <c r="AB266" s="25">
        <v>-159.79791666666671</v>
      </c>
      <c r="AC266" s="25">
        <v>-127.27708333333338</v>
      </c>
      <c r="AD266" s="25">
        <v>-683.40625000000011</v>
      </c>
      <c r="AE266" s="25">
        <v>-926.125</v>
      </c>
      <c r="AF266" s="25">
        <v>-1416.8125</v>
      </c>
      <c r="AG266" s="25">
        <v>-503.49583333333334</v>
      </c>
      <c r="AH266" s="25">
        <v>-57.747916666666661</v>
      </c>
      <c r="AI266" s="25">
        <v>-531.86666666666667</v>
      </c>
      <c r="AJ266" s="25">
        <v>-911.35416666666663</v>
      </c>
      <c r="AK266" s="25">
        <v>-1619.5833333333333</v>
      </c>
      <c r="AL266" s="25">
        <v>19.368750000000002</v>
      </c>
      <c r="AM266" s="25">
        <v>18.929166666666646</v>
      </c>
      <c r="AN266" s="25">
        <v>18.368749999999977</v>
      </c>
      <c r="AO266" s="25">
        <v>18.100000000000012</v>
      </c>
      <c r="AP266" s="25">
        <v>19.400000000000002</v>
      </c>
      <c r="AQ266" s="25">
        <v>19.281250000000004</v>
      </c>
      <c r="AR266" s="25">
        <v>18.929166666666642</v>
      </c>
      <c r="AS266" s="25">
        <v>18.758333333333351</v>
      </c>
      <c r="AT266" s="25">
        <v>0.3264791666666666</v>
      </c>
      <c r="AU266" s="25">
        <v>0.20413157894736841</v>
      </c>
      <c r="AV266" s="25">
        <v>0.40158333333333335</v>
      </c>
      <c r="AW266" s="25">
        <v>-15.451458333333333</v>
      </c>
      <c r="AX266" s="25">
        <v>-14.342708333333333</v>
      </c>
      <c r="AY266" s="25">
        <v>-13.933333333333332</v>
      </c>
      <c r="AZ266" s="25"/>
      <c r="BA266" s="25">
        <v>-10.883333333333338</v>
      </c>
      <c r="BB266" s="25">
        <v>-12.997916666666669</v>
      </c>
      <c r="BC266" s="25"/>
      <c r="BD266" s="25">
        <v>19.681250000000006</v>
      </c>
      <c r="BE266" s="25">
        <v>20.606249999999999</v>
      </c>
    </row>
    <row r="267" spans="1:57" x14ac:dyDescent="0.25">
      <c r="A267" s="1">
        <v>21.6</v>
      </c>
      <c r="B267" s="1">
        <v>16.600000000000001</v>
      </c>
      <c r="C267" s="22"/>
      <c r="D267" s="23">
        <v>43974</v>
      </c>
      <c r="E267" s="24">
        <v>58.395833333333336</v>
      </c>
      <c r="F267" s="24">
        <v>73.331250000000026</v>
      </c>
      <c r="G267" s="24">
        <v>18.579166666666669</v>
      </c>
      <c r="H267" s="24">
        <v>0</v>
      </c>
      <c r="I267" s="24">
        <v>112.20833333333333</v>
      </c>
      <c r="J267" s="24">
        <v>0.3125</v>
      </c>
      <c r="K267" s="24">
        <v>0</v>
      </c>
      <c r="L267" s="24">
        <v>13.68125</v>
      </c>
      <c r="M267" s="10">
        <v>0.57999059396266039</v>
      </c>
      <c r="N267" s="25">
        <v>0.25650000000000023</v>
      </c>
      <c r="O267" s="25">
        <v>0.34518749999999998</v>
      </c>
      <c r="P267" s="25">
        <v>0.42999999999999966</v>
      </c>
      <c r="Q267" s="25">
        <v>0.42656249999999951</v>
      </c>
      <c r="R267" s="25">
        <v>0.4331041666666664</v>
      </c>
      <c r="S267" s="25">
        <v>0.30997916666666669</v>
      </c>
      <c r="T267" s="25">
        <v>0.31452083333333331</v>
      </c>
      <c r="U267" s="25">
        <v>0.27695833333333314</v>
      </c>
      <c r="V267" s="25">
        <v>-173.10833333333332</v>
      </c>
      <c r="W267" s="25">
        <v>-259.97499999999997</v>
      </c>
      <c r="X267" s="25">
        <v>-104.03124999999999</v>
      </c>
      <c r="Y267" s="25">
        <v>-91.058333333333323</v>
      </c>
      <c r="Z267" s="25">
        <v>-109.25624999999997</v>
      </c>
      <c r="AA267" s="25">
        <v>-155.27499999999995</v>
      </c>
      <c r="AB267" s="25">
        <v>-162.97083333333333</v>
      </c>
      <c r="AC267" s="25">
        <v>-133.98541666666674</v>
      </c>
      <c r="AD267" s="25">
        <v>-741.18541666666681</v>
      </c>
      <c r="AE267" s="25">
        <v>-937.0625</v>
      </c>
      <c r="AF267" s="25">
        <v>-1443.6458333333333</v>
      </c>
      <c r="AG267" s="25">
        <v>-505.61041666666659</v>
      </c>
      <c r="AH267" s="25">
        <v>-62.449999999999982</v>
      </c>
      <c r="AI267" s="25">
        <v>-547.05833333333339</v>
      </c>
      <c r="AJ267" s="25">
        <v>-930.6875</v>
      </c>
      <c r="AK267" s="25">
        <v>-1806.875</v>
      </c>
      <c r="AL267" s="25">
        <v>18.766666666666687</v>
      </c>
      <c r="AM267" s="25">
        <v>18.622916666666669</v>
      </c>
      <c r="AN267" s="25">
        <v>18.239583333333353</v>
      </c>
      <c r="AO267" s="25">
        <v>18.041666666666668</v>
      </c>
      <c r="AP267" s="25">
        <v>18.441666666666677</v>
      </c>
      <c r="AQ267" s="25">
        <v>18.702083333333341</v>
      </c>
      <c r="AR267" s="25">
        <v>18.545833333333324</v>
      </c>
      <c r="AS267" s="25">
        <v>18.470833333333317</v>
      </c>
      <c r="AT267" s="25">
        <v>0.31187499999999996</v>
      </c>
      <c r="AU267" s="25">
        <v>0.18107999999999994</v>
      </c>
      <c r="AV267" s="25">
        <v>0.36856249999999996</v>
      </c>
      <c r="AW267" s="25">
        <v>-16.291666666666671</v>
      </c>
      <c r="AX267" s="25">
        <v>-16.828958333333336</v>
      </c>
      <c r="AY267" s="25">
        <v>-17.327708333333334</v>
      </c>
      <c r="AZ267" s="25"/>
      <c r="BA267" s="25">
        <v>-12.127083333333333</v>
      </c>
      <c r="BB267" s="25">
        <v>-13.87916666666667</v>
      </c>
      <c r="BC267" s="25"/>
      <c r="BD267" s="25">
        <v>18.660416666666666</v>
      </c>
      <c r="BE267" s="25">
        <v>19.702083333333334</v>
      </c>
    </row>
    <row r="268" spans="1:57" x14ac:dyDescent="0.25">
      <c r="A268" s="1">
        <v>17.399999999999999</v>
      </c>
      <c r="B268" s="1">
        <v>13.9</v>
      </c>
      <c r="C268" s="22"/>
      <c r="D268" s="23">
        <v>43975</v>
      </c>
      <c r="E268" s="24">
        <v>39.604166666666664</v>
      </c>
      <c r="F268" s="24">
        <v>89.32083333333334</v>
      </c>
      <c r="G268" s="24">
        <v>15.539583333333333</v>
      </c>
      <c r="H268" s="24">
        <v>37.9</v>
      </c>
      <c r="I268" s="24">
        <v>235.66666666666666</v>
      </c>
      <c r="J268" s="24">
        <v>1.875</v>
      </c>
      <c r="K268" s="24">
        <v>0</v>
      </c>
      <c r="L268" s="24">
        <v>13.72291666666667</v>
      </c>
      <c r="M268" s="10">
        <v>0.19487178246824735</v>
      </c>
      <c r="N268" s="25">
        <v>0.26956249999999987</v>
      </c>
      <c r="O268" s="25">
        <v>0.36629166666666668</v>
      </c>
      <c r="P268" s="25">
        <v>0.43941666666666662</v>
      </c>
      <c r="Q268" s="25">
        <v>0.44579166666666664</v>
      </c>
      <c r="R268" s="25">
        <v>0.48447916666666674</v>
      </c>
      <c r="S268" s="25">
        <v>0.31254166666666666</v>
      </c>
      <c r="T268" s="25">
        <v>0.31439583333333337</v>
      </c>
      <c r="U268" s="25">
        <v>0.27579166666666671</v>
      </c>
      <c r="V268" s="25">
        <v>-110.40604166666667</v>
      </c>
      <c r="W268" s="25">
        <v>-121.4752083333333</v>
      </c>
      <c r="X268" s="25">
        <v>-109.72499999999998</v>
      </c>
      <c r="Y268" s="25">
        <v>-94.09499999999997</v>
      </c>
      <c r="Z268" s="25">
        <v>-66.979791666666642</v>
      </c>
      <c r="AA268" s="25">
        <v>-74.324583333333308</v>
      </c>
      <c r="AB268" s="25">
        <v>-144.20583333333332</v>
      </c>
      <c r="AC268" s="25">
        <v>-141.04791666666665</v>
      </c>
      <c r="AD268" s="25">
        <v>-626.10625000000027</v>
      </c>
      <c r="AE268" s="25">
        <v>-559.43749999999989</v>
      </c>
      <c r="AF268" s="25">
        <v>-1200.8958333333337</v>
      </c>
      <c r="AG268" s="25">
        <v>-475.72916666666669</v>
      </c>
      <c r="AH268" s="25">
        <v>-35.533333333333353</v>
      </c>
      <c r="AI268" s="25">
        <v>-376.88333333333327</v>
      </c>
      <c r="AJ268" s="25">
        <v>-966.35416666666663</v>
      </c>
      <c r="AK268" s="25">
        <v>-891.13333333333355</v>
      </c>
      <c r="AL268" s="25">
        <v>17.985416666666655</v>
      </c>
      <c r="AM268" s="25">
        <v>18.139583333333331</v>
      </c>
      <c r="AN268" s="25">
        <v>17.98749999999999</v>
      </c>
      <c r="AO268" s="25">
        <v>17.856249999999978</v>
      </c>
      <c r="AP268" s="25">
        <v>17.404166666666665</v>
      </c>
      <c r="AQ268" s="25">
        <v>17.987500000000018</v>
      </c>
      <c r="AR268" s="25">
        <v>18.006250000000001</v>
      </c>
      <c r="AS268" s="25">
        <v>18.014583333333324</v>
      </c>
      <c r="AT268" s="25">
        <v>0.36241666666666661</v>
      </c>
      <c r="AU268" s="25">
        <v>0.22833333333333336</v>
      </c>
      <c r="AV268" s="25">
        <v>0.41827083333333331</v>
      </c>
      <c r="AW268" s="25">
        <v>-16.39</v>
      </c>
      <c r="AX268" s="25">
        <v>-16.610416666666673</v>
      </c>
      <c r="AY268" s="25">
        <v>-16.838541666666668</v>
      </c>
      <c r="AZ268" s="25"/>
      <c r="BA268" s="25">
        <v>-12.810416666666654</v>
      </c>
      <c r="BB268" s="25">
        <v>-14.277083333333323</v>
      </c>
      <c r="BC268" s="25"/>
      <c r="BD268" s="25">
        <v>17.593750000000007</v>
      </c>
      <c r="BE268" s="25">
        <v>18.441666666666674</v>
      </c>
    </row>
    <row r="269" spans="1:57" x14ac:dyDescent="0.25">
      <c r="A269" s="1">
        <v>21.5</v>
      </c>
      <c r="B269" s="1">
        <v>13.7</v>
      </c>
      <c r="C269" s="22"/>
      <c r="D269" s="23">
        <v>43976</v>
      </c>
      <c r="E269" s="24">
        <v>115.60416666666667</v>
      </c>
      <c r="F269" s="24">
        <v>84.504166666666663</v>
      </c>
      <c r="G269" s="24">
        <v>16.266666666666669</v>
      </c>
      <c r="H269" s="24">
        <v>3.8000000000000003</v>
      </c>
      <c r="I269" s="24">
        <v>183.0625</v>
      </c>
      <c r="J269" s="24">
        <v>4.208333333333333</v>
      </c>
      <c r="K269" s="24">
        <v>0</v>
      </c>
      <c r="L269" s="24">
        <v>13.520833333333336</v>
      </c>
      <c r="M269" s="10">
        <v>0.3174508855994907</v>
      </c>
      <c r="N269" s="25">
        <v>0.28668750000000004</v>
      </c>
      <c r="O269" s="25">
        <v>0.39547916666666655</v>
      </c>
      <c r="P269" s="25">
        <v>0.46916666666666673</v>
      </c>
      <c r="Q269" s="25">
        <v>0.49322916666666644</v>
      </c>
      <c r="R269" s="25">
        <v>0.54983333333333351</v>
      </c>
      <c r="S269" s="25">
        <v>0.35189583333333324</v>
      </c>
      <c r="T269" s="25">
        <v>0.31731250000000005</v>
      </c>
      <c r="U269" s="25">
        <v>0.27447916666666683</v>
      </c>
      <c r="V269" s="25">
        <v>-14.197916666666664</v>
      </c>
      <c r="W269" s="25">
        <v>-21.891458333333336</v>
      </c>
      <c r="X269" s="25">
        <v>-34.467083333333328</v>
      </c>
      <c r="Y269" s="25">
        <v>-24.906875000000003</v>
      </c>
      <c r="Z269" s="25">
        <v>-12.490000000000004</v>
      </c>
      <c r="AA269" s="25">
        <v>-12.482499999999996</v>
      </c>
      <c r="AB269" s="25">
        <v>-15.732291666666669</v>
      </c>
      <c r="AC269" s="25">
        <v>-147.06041666666667</v>
      </c>
      <c r="AD269" s="25">
        <v>-56.51666666666668</v>
      </c>
      <c r="AE269" s="25">
        <v>-65.462500000000006</v>
      </c>
      <c r="AF269" s="25">
        <v>-198.71249999999995</v>
      </c>
      <c r="AG269" s="25">
        <v>-151.12499999999997</v>
      </c>
      <c r="AH269" s="25">
        <v>-13.200000000000003</v>
      </c>
      <c r="AI269" s="25">
        <v>-11.316666666666656</v>
      </c>
      <c r="AJ269" s="25">
        <v>-613.27916666666658</v>
      </c>
      <c r="AK269" s="25">
        <v>-12.239583333333329</v>
      </c>
      <c r="AL269" s="25">
        <v>17.522916666666664</v>
      </c>
      <c r="AM269" s="25">
        <v>17.652083333333344</v>
      </c>
      <c r="AN269" s="25">
        <v>17.620833333333334</v>
      </c>
      <c r="AO269" s="25">
        <v>17.600000000000005</v>
      </c>
      <c r="AP269" s="25">
        <v>17.087499999999995</v>
      </c>
      <c r="AQ269" s="25">
        <v>17.431250000000002</v>
      </c>
      <c r="AR269" s="25">
        <v>17.458333333333321</v>
      </c>
      <c r="AS269" s="25">
        <v>17.497916666666658</v>
      </c>
      <c r="AT269" s="25">
        <v>0.4051904761904761</v>
      </c>
      <c r="AU269" s="25">
        <v>0.25800000000000001</v>
      </c>
      <c r="AV269" s="25">
        <v>0.46352083333333338</v>
      </c>
      <c r="AW269" s="25">
        <v>-15.421458333333335</v>
      </c>
      <c r="AX269" s="25">
        <v>-14.339583333333332</v>
      </c>
      <c r="AY269" s="25">
        <v>-13.64875</v>
      </c>
      <c r="AZ269" s="25"/>
      <c r="BA269" s="25">
        <v>-10.581250000000002</v>
      </c>
      <c r="BB269" s="25">
        <v>-12.504166666666661</v>
      </c>
      <c r="BC269" s="25"/>
      <c r="BD269" s="25">
        <v>17.708333333333336</v>
      </c>
      <c r="BE269" s="25">
        <v>18.433333333333337</v>
      </c>
    </row>
    <row r="270" spans="1:57" x14ac:dyDescent="0.25">
      <c r="A270" s="1">
        <v>21.2</v>
      </c>
      <c r="B270" s="1">
        <v>13.3</v>
      </c>
      <c r="C270" s="22"/>
      <c r="D270" s="23">
        <v>43977</v>
      </c>
      <c r="E270" s="24">
        <v>95.791666666666671</v>
      </c>
      <c r="F270" s="24">
        <v>74.529166666666669</v>
      </c>
      <c r="G270" s="24">
        <v>16.022916666666667</v>
      </c>
      <c r="H270" s="24">
        <v>0</v>
      </c>
      <c r="I270" s="24">
        <v>190.16666666666666</v>
      </c>
      <c r="J270" s="24">
        <v>2.1666666666666665</v>
      </c>
      <c r="K270" s="24">
        <v>0</v>
      </c>
      <c r="L270" s="24">
        <v>11.385416666666664</v>
      </c>
      <c r="M270" s="10">
        <v>0.4901249099171025</v>
      </c>
      <c r="N270" s="25">
        <v>0.28156249999999972</v>
      </c>
      <c r="O270" s="25">
        <v>0.38995833333333341</v>
      </c>
      <c r="P270" s="25">
        <v>0.46862500000000001</v>
      </c>
      <c r="Q270" s="25">
        <v>0.49031249999999998</v>
      </c>
      <c r="R270" s="25">
        <v>0.54062499999999991</v>
      </c>
      <c r="S270" s="25">
        <v>0.34716666666666679</v>
      </c>
      <c r="T270" s="25">
        <v>0.32033333333333325</v>
      </c>
      <c r="U270" s="25">
        <v>0.27560416666666659</v>
      </c>
      <c r="V270" s="25">
        <v>-14.304166666666669</v>
      </c>
      <c r="W270" s="25">
        <v>-22.506250000000009</v>
      </c>
      <c r="X270" s="25">
        <v>-21.599374999999998</v>
      </c>
      <c r="Y270" s="25">
        <v>-20.431041666666662</v>
      </c>
      <c r="Z270" s="25">
        <v>-12.596041666666672</v>
      </c>
      <c r="AA270" s="25">
        <v>-18.036041666666673</v>
      </c>
      <c r="AB270" s="25">
        <v>-33.749583333333327</v>
      </c>
      <c r="AC270" s="25">
        <v>-151.27500000000001</v>
      </c>
      <c r="AD270" s="25">
        <v>-18.356249999999999</v>
      </c>
      <c r="AE270" s="25">
        <v>-83.354166666666686</v>
      </c>
      <c r="AF270" s="25">
        <v>-189.50833333333341</v>
      </c>
      <c r="AG270" s="25">
        <v>-143.30000000000001</v>
      </c>
      <c r="AH270" s="25">
        <v>-13.241666666666655</v>
      </c>
      <c r="AI270" s="25">
        <v>-10.899999999999991</v>
      </c>
      <c r="AJ270" s="25">
        <v>-161.65833333333333</v>
      </c>
      <c r="AK270" s="25">
        <v>-12.999999999999995</v>
      </c>
      <c r="AL270" s="25">
        <v>17.227083333333329</v>
      </c>
      <c r="AM270" s="25">
        <v>17.433333333333312</v>
      </c>
      <c r="AN270" s="25">
        <v>17.414583333333315</v>
      </c>
      <c r="AO270" s="25">
        <v>17.406249999999979</v>
      </c>
      <c r="AP270" s="25">
        <v>16.656250000000004</v>
      </c>
      <c r="AQ270" s="25">
        <v>17.179166666666678</v>
      </c>
      <c r="AR270" s="25">
        <v>17.239583333333343</v>
      </c>
      <c r="AS270" s="25">
        <v>17.272916666666678</v>
      </c>
      <c r="AT270" s="25">
        <v>0.38287500000000002</v>
      </c>
      <c r="AU270" s="25">
        <v>0.23385416666666684</v>
      </c>
      <c r="AV270" s="25">
        <v>0.4392083333333332</v>
      </c>
      <c r="AW270" s="25">
        <v>-15.541666666666664</v>
      </c>
      <c r="AX270" s="25">
        <v>-14.3675</v>
      </c>
      <c r="AY270" s="25">
        <v>-13.693333333333333</v>
      </c>
      <c r="AZ270" s="25"/>
      <c r="BA270" s="25">
        <v>-10.491666666666667</v>
      </c>
      <c r="BB270" s="25">
        <v>-12.441666666666663</v>
      </c>
      <c r="BC270" s="25"/>
      <c r="BD270" s="25">
        <v>17.358333333333338</v>
      </c>
      <c r="BE270" s="25">
        <v>18.120833333333334</v>
      </c>
    </row>
    <row r="271" spans="1:57" x14ac:dyDescent="0.25">
      <c r="A271" s="1">
        <v>19.600000000000001</v>
      </c>
      <c r="B271" s="1">
        <v>12.3</v>
      </c>
      <c r="C271" s="22"/>
      <c r="D271" s="23">
        <v>43978</v>
      </c>
      <c r="E271" s="24">
        <v>68.708333333333329</v>
      </c>
      <c r="F271" s="24">
        <v>78.208333333333357</v>
      </c>
      <c r="G271" s="24">
        <v>15.049999999999997</v>
      </c>
      <c r="H271" s="24">
        <v>0</v>
      </c>
      <c r="I271" s="24">
        <v>211.66666666666666</v>
      </c>
      <c r="J271" s="24">
        <v>2.9583333333333335</v>
      </c>
      <c r="K271" s="24">
        <v>0</v>
      </c>
      <c r="L271" s="24">
        <v>11.222916666666665</v>
      </c>
      <c r="M271" s="10">
        <v>0.3829310511770842</v>
      </c>
      <c r="N271" s="25">
        <v>0.27804166666666646</v>
      </c>
      <c r="O271" s="25">
        <v>0.38531250000000011</v>
      </c>
      <c r="P271" s="25">
        <v>0.46497916666666667</v>
      </c>
      <c r="Q271" s="25">
        <v>0.48708333333333348</v>
      </c>
      <c r="R271" s="25">
        <v>0.53199999999999992</v>
      </c>
      <c r="S271" s="25">
        <v>0.34241666666666654</v>
      </c>
      <c r="T271" s="25">
        <v>0.32241666666666674</v>
      </c>
      <c r="U271" s="25">
        <v>0.27639583333333306</v>
      </c>
      <c r="V271" s="25">
        <v>-14.589791666666663</v>
      </c>
      <c r="W271" s="25">
        <v>-23.471041666666668</v>
      </c>
      <c r="X271" s="25">
        <v>-23.48395833333333</v>
      </c>
      <c r="Y271" s="25">
        <v>-20.419791666666669</v>
      </c>
      <c r="Z271" s="25">
        <v>-12.973333333333331</v>
      </c>
      <c r="AA271" s="25">
        <v>-30.017499999999998</v>
      </c>
      <c r="AB271" s="25">
        <v>-48.282708333333325</v>
      </c>
      <c r="AC271" s="25">
        <v>-152.54583333333329</v>
      </c>
      <c r="AD271" s="25">
        <v>-17.739583333333329</v>
      </c>
      <c r="AE271" s="25">
        <v>-104.075</v>
      </c>
      <c r="AF271" s="25">
        <v>-215.04375000000005</v>
      </c>
      <c r="AG271" s="25">
        <v>-165.09375</v>
      </c>
      <c r="AH271" s="25">
        <v>-13.295833333333329</v>
      </c>
      <c r="AI271" s="25">
        <v>-10.972916666666668</v>
      </c>
      <c r="AJ271" s="25">
        <v>-99.731249999999989</v>
      </c>
      <c r="AK271" s="25">
        <v>-15.641666666666666</v>
      </c>
      <c r="AL271" s="25">
        <v>16.910416666666656</v>
      </c>
      <c r="AM271" s="25">
        <v>17.135416666666671</v>
      </c>
      <c r="AN271" s="25">
        <v>17.19583333333334</v>
      </c>
      <c r="AO271" s="25">
        <v>17.210416666666678</v>
      </c>
      <c r="AP271" s="25">
        <v>16.277083333333334</v>
      </c>
      <c r="AQ271" s="25">
        <v>16.88541666666665</v>
      </c>
      <c r="AR271" s="25">
        <v>16.94374999999998</v>
      </c>
      <c r="AS271" s="25">
        <v>17.002083333333328</v>
      </c>
      <c r="AT271" s="25">
        <v>0.37229729729729721</v>
      </c>
      <c r="AU271" s="25">
        <v>0.22145833333333342</v>
      </c>
      <c r="AV271" s="25">
        <v>0.41597916666666662</v>
      </c>
      <c r="AW271" s="25">
        <v>-15.657083333333334</v>
      </c>
      <c r="AX271" s="25">
        <v>-14.401249999999992</v>
      </c>
      <c r="AY271" s="25">
        <v>-13.892916666666666</v>
      </c>
      <c r="AZ271" s="25"/>
      <c r="BA271" s="25">
        <v>-10.485416666666667</v>
      </c>
      <c r="BB271" s="25">
        <v>-12.5</v>
      </c>
      <c r="BC271" s="25"/>
      <c r="BD271" s="25">
        <v>16.881250000000005</v>
      </c>
      <c r="BE271" s="25">
        <v>17.743750000000002</v>
      </c>
    </row>
    <row r="272" spans="1:57" x14ac:dyDescent="0.25">
      <c r="A272" s="1">
        <v>17.2</v>
      </c>
      <c r="B272" s="1">
        <v>12.9</v>
      </c>
      <c r="C272" s="22"/>
      <c r="D272" s="23">
        <v>43979</v>
      </c>
      <c r="E272" s="24">
        <v>46.895833333333336</v>
      </c>
      <c r="F272" s="24">
        <v>88.512499999999989</v>
      </c>
      <c r="G272" s="24">
        <v>14.625</v>
      </c>
      <c r="H272" s="24">
        <v>1.5</v>
      </c>
      <c r="I272" s="24">
        <v>255.875</v>
      </c>
      <c r="J272" s="24">
        <v>1.8333333333333333</v>
      </c>
      <c r="K272" s="24">
        <v>4.1666666666666664E-2</v>
      </c>
      <c r="L272" s="24">
        <v>12.733333333333333</v>
      </c>
      <c r="M272" s="10">
        <v>0.19397741541052704</v>
      </c>
      <c r="N272" s="25">
        <v>0.27670833333333306</v>
      </c>
      <c r="O272" s="25">
        <v>0.38191666666666668</v>
      </c>
      <c r="P272" s="25">
        <v>0.4623333333333331</v>
      </c>
      <c r="Q272" s="25">
        <v>0.48472916666666704</v>
      </c>
      <c r="R272" s="25">
        <v>0.52608333333333301</v>
      </c>
      <c r="S272" s="25">
        <v>0.33962500000000012</v>
      </c>
      <c r="T272" s="25">
        <v>0.32354166666666667</v>
      </c>
      <c r="U272" s="25">
        <v>0.27687499999999976</v>
      </c>
      <c r="V272" s="25">
        <v>-15.867083333333333</v>
      </c>
      <c r="W272" s="25">
        <v>-24.494166666666668</v>
      </c>
      <c r="X272" s="25">
        <v>-25.818749999999994</v>
      </c>
      <c r="Y272" s="25">
        <v>-21.355416666666667</v>
      </c>
      <c r="Z272" s="25">
        <v>-13.818541666666667</v>
      </c>
      <c r="AA272" s="25">
        <v>-38.130000000000003</v>
      </c>
      <c r="AB272" s="25">
        <v>-55.544166666666655</v>
      </c>
      <c r="AC272" s="25">
        <v>-151.67291666666665</v>
      </c>
      <c r="AD272" s="25">
        <v>-20.549999999999997</v>
      </c>
      <c r="AE272" s="25">
        <v>-116.91041666666666</v>
      </c>
      <c r="AF272" s="25">
        <v>-232.42499999999998</v>
      </c>
      <c r="AG272" s="25">
        <v>-176.48124999999996</v>
      </c>
      <c r="AH272" s="25">
        <v>-13.343749999999995</v>
      </c>
      <c r="AI272" s="25">
        <v>-11.14166666666666</v>
      </c>
      <c r="AJ272" s="25">
        <v>-77.362499999999997</v>
      </c>
      <c r="AK272" s="25">
        <v>-19.920833333333331</v>
      </c>
      <c r="AL272" s="25">
        <v>16.597916666666674</v>
      </c>
      <c r="AM272" s="25">
        <v>16.872916666666651</v>
      </c>
      <c r="AN272" s="25">
        <v>16.962499999999988</v>
      </c>
      <c r="AO272" s="25">
        <v>17.016666666666662</v>
      </c>
      <c r="AP272" s="25">
        <v>16.027083333333334</v>
      </c>
      <c r="AQ272" s="25">
        <v>16.593750000000004</v>
      </c>
      <c r="AR272" s="25">
        <v>16.672916666666676</v>
      </c>
      <c r="AS272" s="25">
        <v>16.729166666666675</v>
      </c>
      <c r="AT272" s="25">
        <v>0.36806250000000024</v>
      </c>
      <c r="AU272" s="25">
        <v>0.21595833333333334</v>
      </c>
      <c r="AV272" s="25">
        <v>0.40206249999999999</v>
      </c>
      <c r="AW272" s="25">
        <v>-15.726666666666667</v>
      </c>
      <c r="AX272" s="25">
        <v>-14.473333333333331</v>
      </c>
      <c r="AY272" s="25">
        <v>-14.178958333333329</v>
      </c>
      <c r="AZ272" s="25"/>
      <c r="BA272" s="25">
        <v>-10.422916666666657</v>
      </c>
      <c r="BB272" s="25">
        <v>-12.5</v>
      </c>
      <c r="BC272" s="25"/>
      <c r="BD272" s="25">
        <v>16.729166666666664</v>
      </c>
      <c r="BE272" s="25">
        <v>17.341666666666669</v>
      </c>
    </row>
    <row r="273" spans="1:57" x14ac:dyDescent="0.25">
      <c r="A273" s="1">
        <v>26.6</v>
      </c>
      <c r="B273" s="1">
        <v>13.9</v>
      </c>
      <c r="C273" s="22"/>
      <c r="D273" s="23">
        <v>43980</v>
      </c>
      <c r="E273" s="24">
        <v>164.33333333333334</v>
      </c>
      <c r="F273" s="24">
        <v>85.620833333333337</v>
      </c>
      <c r="G273" s="24">
        <v>17.906249999999996</v>
      </c>
      <c r="H273" s="24">
        <v>26.899999999999995</v>
      </c>
      <c r="I273" s="24">
        <v>227.6875</v>
      </c>
      <c r="J273" s="24">
        <v>2.3333333333333335</v>
      </c>
      <c r="K273" s="24">
        <v>8.3333333333333329E-2</v>
      </c>
      <c r="L273" s="24">
        <v>15.262500000000001</v>
      </c>
      <c r="M273" s="10">
        <v>0.36162511515581458</v>
      </c>
      <c r="N273" s="25">
        <v>0.30497916666666641</v>
      </c>
      <c r="O273" s="25">
        <v>0.41704166666666637</v>
      </c>
      <c r="P273" s="25">
        <v>0.49887499999999979</v>
      </c>
      <c r="Q273" s="25">
        <v>0.54314583333333333</v>
      </c>
      <c r="R273" s="25">
        <v>0.57381249999999939</v>
      </c>
      <c r="S273" s="25">
        <v>0.38647916666666687</v>
      </c>
      <c r="T273" s="25">
        <v>0.3317708333333334</v>
      </c>
      <c r="U273" s="25">
        <v>0.27591666666666653</v>
      </c>
      <c r="V273" s="25">
        <v>-14.425833333333337</v>
      </c>
      <c r="W273" s="25">
        <v>-22.133333333333336</v>
      </c>
      <c r="X273" s="25">
        <v>-15.359166666666667</v>
      </c>
      <c r="Y273" s="25">
        <v>-14.391666666666671</v>
      </c>
      <c r="Z273" s="25">
        <v>-12.675625000000002</v>
      </c>
      <c r="AA273" s="25">
        <v>-16.319583333333338</v>
      </c>
      <c r="AB273" s="25">
        <v>-23.227291666666677</v>
      </c>
      <c r="AC273" s="25">
        <v>-149.19374999999999</v>
      </c>
      <c r="AD273" s="25">
        <v>-12.370833333333332</v>
      </c>
      <c r="AE273" s="25">
        <v>-37.054166666666653</v>
      </c>
      <c r="AF273" s="25">
        <v>-111.51666666666669</v>
      </c>
      <c r="AG273" s="25">
        <v>-85.979166666666671</v>
      </c>
      <c r="AH273" s="25">
        <v>-12.912499999999993</v>
      </c>
      <c r="AI273" s="25">
        <v>-10.791666666666659</v>
      </c>
      <c r="AJ273" s="25">
        <v>-29.158333333333314</v>
      </c>
      <c r="AK273" s="25">
        <v>-13.110416666666659</v>
      </c>
      <c r="AL273" s="25">
        <v>16.760416666666668</v>
      </c>
      <c r="AM273" s="25">
        <v>16.720833333333335</v>
      </c>
      <c r="AN273" s="25">
        <v>16.76666666666668</v>
      </c>
      <c r="AO273" s="25">
        <v>16.845833333333317</v>
      </c>
      <c r="AP273" s="25">
        <v>16.843749999999996</v>
      </c>
      <c r="AQ273" s="25">
        <v>16.666666666666661</v>
      </c>
      <c r="AR273" s="25">
        <v>16.552083333333329</v>
      </c>
      <c r="AS273" s="25">
        <v>16.556250000000002</v>
      </c>
      <c r="AT273" s="25">
        <v>0.40817021276595739</v>
      </c>
      <c r="AU273" s="25">
        <v>0.26595454545454539</v>
      </c>
      <c r="AV273" s="25">
        <v>0.45750000000000002</v>
      </c>
      <c r="AW273" s="25">
        <v>-15.361250000000005</v>
      </c>
      <c r="AX273" s="25">
        <v>-14.442083333333334</v>
      </c>
      <c r="AY273" s="25">
        <v>-13.746458333333335</v>
      </c>
      <c r="AZ273" s="25"/>
      <c r="BA273" s="25">
        <v>-10.014583333333331</v>
      </c>
      <c r="BB273" s="25">
        <v>-11.581250000000002</v>
      </c>
      <c r="BC273" s="25"/>
      <c r="BD273" s="25">
        <v>18.312499999999996</v>
      </c>
      <c r="BE273" s="25">
        <v>17.787499999999998</v>
      </c>
    </row>
    <row r="274" spans="1:57" x14ac:dyDescent="0.25">
      <c r="A274" s="1">
        <v>28.6</v>
      </c>
      <c r="B274" s="1">
        <v>16.100000000000001</v>
      </c>
      <c r="C274" s="22"/>
      <c r="D274" s="23">
        <v>43981</v>
      </c>
      <c r="E274" s="24">
        <v>217.83333333333334</v>
      </c>
      <c r="F274" s="24">
        <v>79.429166666666674</v>
      </c>
      <c r="G274" s="24">
        <v>21.610416666666666</v>
      </c>
      <c r="H274" s="24">
        <v>0</v>
      </c>
      <c r="I274" s="24">
        <v>236.91666666666666</v>
      </c>
      <c r="J274" s="24">
        <v>5.666666666666667</v>
      </c>
      <c r="K274" s="24">
        <v>0.85416666666666663</v>
      </c>
      <c r="L274" s="24">
        <v>17.537499999999994</v>
      </c>
      <c r="M274" s="10">
        <v>0.64971893967697325</v>
      </c>
      <c r="N274" s="25">
        <v>0.30268750000000016</v>
      </c>
      <c r="O274" s="25">
        <v>0.42041666666666649</v>
      </c>
      <c r="P274" s="25">
        <v>0.50793750000000015</v>
      </c>
      <c r="Q274" s="25">
        <v>0.5518333333333334</v>
      </c>
      <c r="R274" s="25">
        <v>0.57787500000000014</v>
      </c>
      <c r="S274" s="25">
        <v>0.38879166666666681</v>
      </c>
      <c r="T274" s="25">
        <v>0.3426249999999999</v>
      </c>
      <c r="U274" s="25">
        <v>0.27783333333333349</v>
      </c>
      <c r="V274" s="25">
        <v>-14.018125</v>
      </c>
      <c r="W274" s="25">
        <v>-21.568333333333339</v>
      </c>
      <c r="X274" s="25">
        <v>-12.287916666666668</v>
      </c>
      <c r="Y274" s="25">
        <v>-12.832916666666671</v>
      </c>
      <c r="Z274" s="25">
        <v>-12.40416666666667</v>
      </c>
      <c r="AA274" s="25">
        <v>-13.543541666666668</v>
      </c>
      <c r="AB274" s="25">
        <v>-16.538750000000004</v>
      </c>
      <c r="AC274" s="25">
        <v>-142.22291666666666</v>
      </c>
      <c r="AD274" s="25">
        <v>-10.502083333333337</v>
      </c>
      <c r="AE274" s="25">
        <v>-25.979166666666661</v>
      </c>
      <c r="AF274" s="25">
        <v>-69.354166666666671</v>
      </c>
      <c r="AG274" s="25">
        <v>-35.962499999999999</v>
      </c>
      <c r="AH274" s="25">
        <v>-12.966666666666669</v>
      </c>
      <c r="AI274" s="25">
        <v>-10.699999999999994</v>
      </c>
      <c r="AJ274" s="25">
        <v>-11.222916666666661</v>
      </c>
      <c r="AK274" s="25">
        <v>-11.912499999999993</v>
      </c>
      <c r="AL274" s="25">
        <v>17.931249999999995</v>
      </c>
      <c r="AM274" s="25">
        <v>17.245833333333341</v>
      </c>
      <c r="AN274" s="25">
        <v>16.924999999999997</v>
      </c>
      <c r="AO274" s="25">
        <v>16.864583333333325</v>
      </c>
      <c r="AP274" s="25">
        <v>18.606250000000003</v>
      </c>
      <c r="AQ274" s="25">
        <v>17.704166666666659</v>
      </c>
      <c r="AR274" s="25">
        <v>17.206250000000008</v>
      </c>
      <c r="AS274" s="25">
        <v>17.006249999999998</v>
      </c>
      <c r="AT274" s="25">
        <v>0.39184090909090907</v>
      </c>
      <c r="AU274" s="25">
        <v>0.23604651162790702</v>
      </c>
      <c r="AV274" s="25">
        <v>0.4390833333333331</v>
      </c>
      <c r="AW274" s="25">
        <v>-15.217916666666667</v>
      </c>
      <c r="AX274" s="25">
        <v>-14.226250000000002</v>
      </c>
      <c r="AY274" s="25">
        <v>-13.577708333333332</v>
      </c>
      <c r="AZ274" s="25"/>
      <c r="BA274" s="25">
        <v>-9.9729166666666735</v>
      </c>
      <c r="BB274" s="25">
        <v>-11.649999999999999</v>
      </c>
      <c r="BC274" s="25"/>
      <c r="BD274" s="25">
        <v>19.958333333333332</v>
      </c>
      <c r="BE274" s="25">
        <v>19.047916666666669</v>
      </c>
    </row>
    <row r="275" spans="1:57" x14ac:dyDescent="0.25">
      <c r="A275" s="1">
        <v>28.9</v>
      </c>
      <c r="B275" s="1">
        <v>17.3</v>
      </c>
      <c r="C275" s="22"/>
      <c r="D275" s="23">
        <v>43982</v>
      </c>
      <c r="E275" s="24">
        <v>185.85416666666666</v>
      </c>
      <c r="F275" s="24">
        <v>83.454166666666694</v>
      </c>
      <c r="G275" s="24">
        <v>21.252083333333328</v>
      </c>
      <c r="H275" s="24">
        <v>8.5</v>
      </c>
      <c r="I275" s="24">
        <v>232.10416666666666</v>
      </c>
      <c r="J275" s="24">
        <v>6.25</v>
      </c>
      <c r="K275" s="24">
        <v>0.22916666666666666</v>
      </c>
      <c r="L275" s="24">
        <v>18.110416666666662</v>
      </c>
      <c r="M275" s="10">
        <v>0.49201314926699125</v>
      </c>
      <c r="N275" s="25">
        <v>0.29822916666666677</v>
      </c>
      <c r="O275" s="25">
        <v>0.41722916666666654</v>
      </c>
      <c r="P275" s="25">
        <v>0.50702083333333337</v>
      </c>
      <c r="Q275" s="25">
        <v>0.54891666666666694</v>
      </c>
      <c r="R275" s="25">
        <v>0.57393749999999999</v>
      </c>
      <c r="S275" s="25">
        <v>0.38137500000000008</v>
      </c>
      <c r="T275" s="25">
        <v>0.3468124999999998</v>
      </c>
      <c r="U275" s="25">
        <v>0.28037500000000021</v>
      </c>
      <c r="V275" s="25">
        <v>-14.027916666666668</v>
      </c>
      <c r="W275" s="25">
        <v>-21.959583333333331</v>
      </c>
      <c r="X275" s="25">
        <v>-12.427500000000002</v>
      </c>
      <c r="Y275" s="25">
        <v>-12.880833333333337</v>
      </c>
      <c r="Z275" s="25">
        <v>-12.611458333333337</v>
      </c>
      <c r="AA275" s="25">
        <v>-19.324583333333333</v>
      </c>
      <c r="AB275" s="25">
        <v>-27.459374999999998</v>
      </c>
      <c r="AC275" s="25">
        <v>-132.81041666666664</v>
      </c>
      <c r="AD275" s="25">
        <v>-10.624999999999998</v>
      </c>
      <c r="AE275" s="25">
        <v>-36.216666666666661</v>
      </c>
      <c r="AF275" s="25">
        <v>-87.656249999999986</v>
      </c>
      <c r="AG275" s="25">
        <v>-47.631250000000001</v>
      </c>
      <c r="AH275" s="25">
        <v>-13.025000000000004</v>
      </c>
      <c r="AI275" s="25">
        <v>-10.745833333333335</v>
      </c>
      <c r="AJ275" s="25">
        <v>-11.26041666666667</v>
      </c>
      <c r="AK275" s="25">
        <v>-11.958333333333334</v>
      </c>
      <c r="AL275" s="25">
        <v>18.887499999999992</v>
      </c>
      <c r="AM275" s="25">
        <v>17.987499999999994</v>
      </c>
      <c r="AN275" s="25">
        <v>17.366666666666664</v>
      </c>
      <c r="AO275" s="25">
        <v>17.143750000000004</v>
      </c>
      <c r="AP275" s="25">
        <v>19.612500000000001</v>
      </c>
      <c r="AQ275" s="25">
        <v>18.635416666666661</v>
      </c>
      <c r="AR275" s="25">
        <v>17.995833333333326</v>
      </c>
      <c r="AS275" s="25">
        <v>17.695833333333329</v>
      </c>
      <c r="AT275" s="25">
        <v>0.38823809523809527</v>
      </c>
      <c r="AU275" s="25">
        <v>0.23469565217391306</v>
      </c>
      <c r="AV275" s="25">
        <v>0.42366666666666658</v>
      </c>
      <c r="AW275" s="25">
        <v>-15.105416666666668</v>
      </c>
      <c r="AX275" s="25">
        <v>-14.149166666666666</v>
      </c>
      <c r="AY275" s="25">
        <v>-13.62333333333334</v>
      </c>
      <c r="AZ275" s="25"/>
      <c r="BA275" s="25">
        <v>-10.020833333333332</v>
      </c>
      <c r="BB275" s="25">
        <v>-11.677083333333336</v>
      </c>
      <c r="BC275" s="25"/>
      <c r="BD275" s="25">
        <v>20.193750000000001</v>
      </c>
      <c r="BE275" s="25">
        <v>19.875</v>
      </c>
    </row>
    <row r="276" spans="1:57" x14ac:dyDescent="0.25">
      <c r="A276" s="1">
        <v>26.3</v>
      </c>
      <c r="B276" s="1">
        <v>16.8</v>
      </c>
      <c r="C276" s="22"/>
      <c r="D276" s="23">
        <v>43983</v>
      </c>
      <c r="E276" s="24">
        <v>132.0625</v>
      </c>
      <c r="F276" s="24">
        <v>85.527083333333337</v>
      </c>
      <c r="G276" s="24">
        <v>20.310416666666665</v>
      </c>
      <c r="H276" s="24">
        <v>37.800000000000004</v>
      </c>
      <c r="I276" s="24">
        <v>200.77083333333334</v>
      </c>
      <c r="J276" s="24">
        <v>3.5625</v>
      </c>
      <c r="K276" s="24">
        <v>0.10416666666666667</v>
      </c>
      <c r="L276" s="24">
        <v>17.658333333333335</v>
      </c>
      <c r="M276" s="10">
        <v>0.39882309781260533</v>
      </c>
      <c r="N276" s="25">
        <v>0.3053958333333332</v>
      </c>
      <c r="O276" s="25">
        <v>0.42322916666666655</v>
      </c>
      <c r="P276" s="25">
        <v>0.51345833333333302</v>
      </c>
      <c r="Q276" s="25">
        <v>0.5557291666666665</v>
      </c>
      <c r="R276" s="25">
        <v>0.58083333333333365</v>
      </c>
      <c r="S276" s="25">
        <v>0.38693749999999999</v>
      </c>
      <c r="T276" s="25">
        <v>0.35608333333333347</v>
      </c>
      <c r="U276" s="25">
        <v>0.28389583333333351</v>
      </c>
      <c r="V276" s="25">
        <v>-13.974583333333337</v>
      </c>
      <c r="W276" s="25">
        <v>-21.621249999999993</v>
      </c>
      <c r="X276" s="25">
        <v>-12.59229166666667</v>
      </c>
      <c r="Y276" s="25">
        <v>-13.027291666666665</v>
      </c>
      <c r="Z276" s="25">
        <v>-12.223750000000004</v>
      </c>
      <c r="AA276" s="25">
        <v>-25.197083333333335</v>
      </c>
      <c r="AB276" s="25">
        <v>-35.770416666666662</v>
      </c>
      <c r="AC276" s="25">
        <v>-122.30145833333336</v>
      </c>
      <c r="AD276" s="25">
        <v>-10.660416666666665</v>
      </c>
      <c r="AE276" s="25">
        <v>-42.522916666666667</v>
      </c>
      <c r="AF276" s="25">
        <v>-96.150000000000034</v>
      </c>
      <c r="AG276" s="25">
        <v>-53.452083333333341</v>
      </c>
      <c r="AH276" s="25">
        <v>-12.745833333333328</v>
      </c>
      <c r="AI276" s="25">
        <v>-10.712499999999993</v>
      </c>
      <c r="AJ276" s="25">
        <v>-11.295833333333329</v>
      </c>
      <c r="AK276" s="25">
        <v>-11.962500000000004</v>
      </c>
      <c r="AL276" s="25">
        <v>18.952083333333331</v>
      </c>
      <c r="AM276" s="25">
        <v>18.320833333333336</v>
      </c>
      <c r="AN276" s="25">
        <v>17.718749999999996</v>
      </c>
      <c r="AO276" s="25">
        <v>17.454166666666669</v>
      </c>
      <c r="AP276" s="25">
        <v>19.443749999999998</v>
      </c>
      <c r="AQ276" s="25">
        <v>18.837500000000009</v>
      </c>
      <c r="AR276" s="25">
        <v>18.325000000000003</v>
      </c>
      <c r="AS276" s="25">
        <v>18.066666666666677</v>
      </c>
      <c r="AT276" s="25">
        <v>0.41000000000000014</v>
      </c>
      <c r="AU276" s="25">
        <v>0.26362222222222215</v>
      </c>
      <c r="AV276" s="25">
        <v>0.45783333333333348</v>
      </c>
      <c r="AW276" s="25">
        <v>-15.069999999999999</v>
      </c>
      <c r="AX276" s="25">
        <v>-14.186250000000001</v>
      </c>
      <c r="AY276" s="25">
        <v>-13.407708333333332</v>
      </c>
      <c r="AZ276" s="25"/>
      <c r="BA276" s="25">
        <v>-9.7541666666666611</v>
      </c>
      <c r="BB276" s="25">
        <v>-11.141666666666667</v>
      </c>
      <c r="BC276" s="25"/>
      <c r="BD276" s="25">
        <v>20.114583333333332</v>
      </c>
      <c r="BE276" s="25">
        <v>19.883333333333336</v>
      </c>
    </row>
    <row r="277" spans="1:57" x14ac:dyDescent="0.25">
      <c r="A277" s="1">
        <v>26.6</v>
      </c>
      <c r="B277" s="1">
        <v>16.3</v>
      </c>
      <c r="C277" s="22"/>
      <c r="D277" s="23">
        <v>43984</v>
      </c>
      <c r="E277" s="24">
        <v>160.52083333333334</v>
      </c>
      <c r="F277" s="24">
        <v>84.116666666666674</v>
      </c>
      <c r="G277" s="24">
        <v>19.645833333333332</v>
      </c>
      <c r="H277" s="24">
        <v>11</v>
      </c>
      <c r="I277" s="24">
        <v>167.64583333333334</v>
      </c>
      <c r="J277" s="24">
        <v>4.041666666666667</v>
      </c>
      <c r="K277" s="24">
        <v>4.1666666666666664E-2</v>
      </c>
      <c r="L277" s="24">
        <v>16.743749999999995</v>
      </c>
      <c r="M277" s="10">
        <v>0.40335967405977752</v>
      </c>
      <c r="N277" s="25">
        <v>0.40304166666666658</v>
      </c>
      <c r="O277" s="25">
        <v>0.5307708333333333</v>
      </c>
      <c r="P277" s="25">
        <v>0.59222916666666636</v>
      </c>
      <c r="Q277" s="25">
        <v>0.61106250000000029</v>
      </c>
      <c r="R277" s="25">
        <v>0.60850000000000004</v>
      </c>
      <c r="S277" s="25">
        <v>0.48695833333333322</v>
      </c>
      <c r="T277" s="25">
        <v>0.46579166666666638</v>
      </c>
      <c r="U277" s="25">
        <v>0.39825000000000005</v>
      </c>
      <c r="V277" s="25">
        <v>-13.837499999999999</v>
      </c>
      <c r="W277" s="25">
        <v>-20.704791666666662</v>
      </c>
      <c r="X277" s="25">
        <v>-12.135208333333324</v>
      </c>
      <c r="Y277" s="25">
        <v>-12.613750000000001</v>
      </c>
      <c r="Z277" s="25">
        <v>-12.083333333333334</v>
      </c>
      <c r="AA277" s="25">
        <v>-12.129375000000003</v>
      </c>
      <c r="AB277" s="25">
        <v>-12.358124999999996</v>
      </c>
      <c r="AC277" s="25">
        <v>-13.383333333333326</v>
      </c>
      <c r="AD277" s="25">
        <v>-10.208333333333327</v>
      </c>
      <c r="AE277" s="25">
        <v>-11.370833333333323</v>
      </c>
      <c r="AF277" s="25">
        <v>-12.335416666666665</v>
      </c>
      <c r="AG277" s="25">
        <v>-13.620833333333342</v>
      </c>
      <c r="AH277" s="25">
        <v>-12.414583333333333</v>
      </c>
      <c r="AI277" s="25">
        <v>-10.316666666666675</v>
      </c>
      <c r="AJ277" s="25">
        <v>-10.895833333333327</v>
      </c>
      <c r="AK277" s="25">
        <v>-11.345833333333337</v>
      </c>
      <c r="AL277" s="25">
        <v>19.024999999999999</v>
      </c>
      <c r="AM277" s="25">
        <v>18.49583333333333</v>
      </c>
      <c r="AN277" s="25">
        <v>17.981249999999996</v>
      </c>
      <c r="AO277" s="25">
        <v>17.693750000000012</v>
      </c>
      <c r="AP277" s="25">
        <v>19.339583333333334</v>
      </c>
      <c r="AQ277" s="25">
        <v>18.927083333333339</v>
      </c>
      <c r="AR277" s="25">
        <v>18.483333333333327</v>
      </c>
      <c r="AS277" s="25">
        <v>18.25416666666667</v>
      </c>
      <c r="AT277" s="25">
        <v>0.44768085106382965</v>
      </c>
      <c r="AU277" s="25">
        <v>0.31240740740740736</v>
      </c>
      <c r="AV277" s="25">
        <v>0.49037500000000001</v>
      </c>
      <c r="AW277" s="25">
        <v>-14.870833333333332</v>
      </c>
      <c r="AX277" s="25">
        <v>-14.189375000000004</v>
      </c>
      <c r="AY277" s="25">
        <v>-13.297916666666671</v>
      </c>
      <c r="AZ277" s="25"/>
      <c r="BA277" s="25">
        <v>-9.39791666666666</v>
      </c>
      <c r="BB277" s="25">
        <v>-10.658333333333326</v>
      </c>
      <c r="BC277" s="25"/>
      <c r="BD277" s="25">
        <v>19.606249999999999</v>
      </c>
      <c r="BE277" s="25">
        <v>19.839583333333334</v>
      </c>
    </row>
    <row r="278" spans="1:57" x14ac:dyDescent="0.25">
      <c r="A278" s="1">
        <v>26.7</v>
      </c>
      <c r="B278" s="1">
        <v>12.4</v>
      </c>
      <c r="C278" s="22"/>
      <c r="D278" s="23">
        <v>43985</v>
      </c>
      <c r="E278" s="24">
        <v>215.79166666666666</v>
      </c>
      <c r="F278" s="24">
        <v>75.112499999999997</v>
      </c>
      <c r="G278" s="24">
        <v>18.906249999999996</v>
      </c>
      <c r="H278" s="24">
        <v>20.399999999999999</v>
      </c>
      <c r="I278" s="24">
        <v>170.60416666666666</v>
      </c>
      <c r="J278" s="24">
        <v>3.3958333333333335</v>
      </c>
      <c r="K278" s="24">
        <v>4.1666666666666664E-2</v>
      </c>
      <c r="L278" s="24">
        <v>14.079166666666666</v>
      </c>
      <c r="M278" s="10">
        <v>0.64668562769425808</v>
      </c>
      <c r="N278" s="25">
        <v>0.40837499999999993</v>
      </c>
      <c r="O278" s="25">
        <v>0.53439583333333329</v>
      </c>
      <c r="P278" s="25">
        <v>0.59141666666666659</v>
      </c>
      <c r="Q278" s="25">
        <v>0.60450000000000015</v>
      </c>
      <c r="R278" s="25">
        <v>0.60456250000000011</v>
      </c>
      <c r="S278" s="25">
        <v>0.48235416666666686</v>
      </c>
      <c r="T278" s="25">
        <v>0.4698333333333331</v>
      </c>
      <c r="U278" s="25">
        <v>0.40604166666666641</v>
      </c>
      <c r="V278" s="25">
        <v>-13.929583333333333</v>
      </c>
      <c r="W278" s="25">
        <v>-20.878333333333327</v>
      </c>
      <c r="X278" s="25">
        <v>-12.134374999999993</v>
      </c>
      <c r="Y278" s="25">
        <v>-12.589583333333337</v>
      </c>
      <c r="Z278" s="25">
        <v>-12.181666666666665</v>
      </c>
      <c r="AA278" s="25">
        <v>-12.183750000000003</v>
      </c>
      <c r="AB278" s="25">
        <v>-12.33395833333333</v>
      </c>
      <c r="AC278" s="25">
        <v>-13.308541666666663</v>
      </c>
      <c r="AD278" s="25">
        <v>-10.102083333333344</v>
      </c>
      <c r="AE278" s="25">
        <v>-11.23541666666666</v>
      </c>
      <c r="AF278" s="25">
        <v>-11.504166666666663</v>
      </c>
      <c r="AG278" s="25">
        <v>-12.389583333333333</v>
      </c>
      <c r="AH278" s="25">
        <v>-12.379166666666661</v>
      </c>
      <c r="AI278" s="25">
        <v>-10.224999999999993</v>
      </c>
      <c r="AJ278" s="25">
        <v>-10.737499999999992</v>
      </c>
      <c r="AK278" s="25">
        <v>-11.197916666666664</v>
      </c>
      <c r="AL278" s="25">
        <v>18.443749999999991</v>
      </c>
      <c r="AM278" s="25">
        <v>18.304166666666674</v>
      </c>
      <c r="AN278" s="25">
        <v>17.974999999999994</v>
      </c>
      <c r="AO278" s="25">
        <v>17.791666666666661</v>
      </c>
      <c r="AP278" s="25">
        <v>18.337500000000002</v>
      </c>
      <c r="AQ278" s="25">
        <v>18.389583333333331</v>
      </c>
      <c r="AR278" s="25">
        <v>18.191666666666666</v>
      </c>
      <c r="AS278" s="25">
        <v>18.102083333333329</v>
      </c>
      <c r="AT278" s="25">
        <v>0.42879999999999996</v>
      </c>
      <c r="AU278" s="25">
        <v>0.29108108108108105</v>
      </c>
      <c r="AV278" s="25">
        <v>0.48114583333333333</v>
      </c>
      <c r="AW278" s="25">
        <v>-14.961249999999998</v>
      </c>
      <c r="AX278" s="25">
        <v>-14.236249999999998</v>
      </c>
      <c r="AY278" s="25">
        <v>-13.329166666666667</v>
      </c>
      <c r="AZ278" s="25"/>
      <c r="BA278" s="25">
        <v>-9.24166666666666</v>
      </c>
      <c r="BB278" s="25">
        <v>-10.579166666666673</v>
      </c>
      <c r="BC278" s="25"/>
      <c r="BD278" s="25">
        <v>19.410416666666659</v>
      </c>
      <c r="BE278" s="25">
        <v>19.272916666666671</v>
      </c>
    </row>
    <row r="279" spans="1:57" x14ac:dyDescent="0.25">
      <c r="A279" s="1">
        <v>26.1</v>
      </c>
      <c r="B279" s="1">
        <v>16.399999999999999</v>
      </c>
      <c r="C279" s="22"/>
      <c r="D279" s="23">
        <v>43986</v>
      </c>
      <c r="E279" s="24">
        <v>111.8125</v>
      </c>
      <c r="F279" s="24">
        <v>87.952083333333348</v>
      </c>
      <c r="G279" s="24">
        <v>19.743749999999995</v>
      </c>
      <c r="H279" s="24">
        <v>12.699999999999998</v>
      </c>
      <c r="I279" s="24">
        <v>206.97916666666666</v>
      </c>
      <c r="J279" s="24">
        <v>2.5</v>
      </c>
      <c r="K279" s="24">
        <v>2.0833333333333332E-2</v>
      </c>
      <c r="L279" s="24">
        <v>17.600000000000001</v>
      </c>
      <c r="M279" s="10">
        <v>0.31120557225899503</v>
      </c>
      <c r="N279" s="25">
        <v>0.41760416666666655</v>
      </c>
      <c r="O279" s="25">
        <v>0.53902083333333295</v>
      </c>
      <c r="P279" s="25">
        <v>0.59314583333333326</v>
      </c>
      <c r="Q279" s="25">
        <v>0.60125000000000006</v>
      </c>
      <c r="R279" s="25">
        <v>0.60627083333333343</v>
      </c>
      <c r="S279" s="25">
        <v>0.48245833333333338</v>
      </c>
      <c r="T279" s="25">
        <v>0.46777083333333352</v>
      </c>
      <c r="U279" s="25">
        <v>0.40085416666666668</v>
      </c>
      <c r="V279" s="25">
        <v>-13.811875000000001</v>
      </c>
      <c r="W279" s="25">
        <v>-20.725624999999997</v>
      </c>
      <c r="X279" s="25">
        <v>-12.110208333333341</v>
      </c>
      <c r="Y279" s="25">
        <v>-12.55604166666666</v>
      </c>
      <c r="Z279" s="25">
        <v>-12.134375000000004</v>
      </c>
      <c r="AA279" s="25">
        <v>-12.164791666666661</v>
      </c>
      <c r="AB279" s="25">
        <v>-12.331458333333343</v>
      </c>
      <c r="AC279" s="25">
        <v>-13.232500000000003</v>
      </c>
      <c r="AD279" s="25">
        <v>-10.008333333333331</v>
      </c>
      <c r="AE279" s="25">
        <v>-11.133333333333342</v>
      </c>
      <c r="AF279" s="25">
        <v>-11.370833333333337</v>
      </c>
      <c r="AG279" s="25">
        <v>-12.250000000000002</v>
      </c>
      <c r="AH279" s="25">
        <v>-12.266666666666671</v>
      </c>
      <c r="AI279" s="25">
        <v>-10.139583333333343</v>
      </c>
      <c r="AJ279" s="25">
        <v>-10.63125000000001</v>
      </c>
      <c r="AK279" s="25">
        <v>-11.027083333333332</v>
      </c>
      <c r="AL279" s="25">
        <v>18.706250000000001</v>
      </c>
      <c r="AM279" s="25">
        <v>18.270833333333332</v>
      </c>
      <c r="AN279" s="25">
        <v>17.899999999999988</v>
      </c>
      <c r="AO279" s="25">
        <v>17.700000000000014</v>
      </c>
      <c r="AP279" s="25">
        <v>18.974999999999998</v>
      </c>
      <c r="AQ279" s="25">
        <v>18.545833333333327</v>
      </c>
      <c r="AR279" s="25">
        <v>18.183333333333337</v>
      </c>
      <c r="AS279" s="25">
        <v>18.016666666666669</v>
      </c>
      <c r="AT279" s="25">
        <v>0.43497560975609756</v>
      </c>
      <c r="AU279" s="25">
        <v>0.27875757575757582</v>
      </c>
      <c r="AV279" s="25">
        <v>0.48658333333333337</v>
      </c>
      <c r="AW279" s="25">
        <v>-14.913541666666667</v>
      </c>
      <c r="AX279" s="25">
        <v>-14.167083333333336</v>
      </c>
      <c r="AY279" s="25">
        <v>-13.188541666666664</v>
      </c>
      <c r="AZ279" s="25"/>
      <c r="BA279" s="25">
        <v>-9.1270833333333421</v>
      </c>
      <c r="BB279" s="25">
        <v>-10.335416666666669</v>
      </c>
      <c r="BC279" s="25"/>
      <c r="BD279" s="25">
        <v>19.645833333333332</v>
      </c>
      <c r="BE279" s="25">
        <v>19.733333333333331</v>
      </c>
    </row>
    <row r="280" spans="1:57" x14ac:dyDescent="0.25">
      <c r="A280" s="1">
        <v>27.6</v>
      </c>
      <c r="B280" s="1">
        <v>15.2</v>
      </c>
      <c r="C280" s="22"/>
      <c r="D280" s="23">
        <v>43987</v>
      </c>
      <c r="E280" s="24">
        <v>167</v>
      </c>
      <c r="F280" s="24">
        <v>76.258333333333368</v>
      </c>
      <c r="G280" s="24">
        <v>20.254166666666666</v>
      </c>
      <c r="H280" s="24">
        <v>6.7</v>
      </c>
      <c r="I280" s="24">
        <v>228.79166666666666</v>
      </c>
      <c r="J280" s="24">
        <v>2.375</v>
      </c>
      <c r="K280" s="24">
        <v>0</v>
      </c>
      <c r="L280" s="24">
        <v>15.381250000000001</v>
      </c>
      <c r="M280" s="10">
        <v>0.67649717557716815</v>
      </c>
      <c r="N280" s="25">
        <v>0.42856250000000023</v>
      </c>
      <c r="O280" s="25">
        <v>0.5428333333333335</v>
      </c>
      <c r="P280" s="25">
        <v>0.5957916666666665</v>
      </c>
      <c r="Q280" s="25">
        <v>0.60518750000000021</v>
      </c>
      <c r="R280" s="25">
        <v>0.60785416666666692</v>
      </c>
      <c r="S280" s="25">
        <v>0.48568749999999977</v>
      </c>
      <c r="T280" s="25">
        <v>0.47120833333333301</v>
      </c>
      <c r="U280" s="25">
        <v>0.40437500000000015</v>
      </c>
      <c r="V280" s="25">
        <v>-13.786250000000001</v>
      </c>
      <c r="W280" s="25">
        <v>-20.655625000000004</v>
      </c>
      <c r="X280" s="25">
        <v>-12.072708333333333</v>
      </c>
      <c r="Y280" s="25">
        <v>-12.510416666666666</v>
      </c>
      <c r="Z280" s="25">
        <v>-12.114791666666664</v>
      </c>
      <c r="AA280" s="25">
        <v>-12.122083333333334</v>
      </c>
      <c r="AB280" s="25">
        <v>-12.312083333333339</v>
      </c>
      <c r="AC280" s="25">
        <v>-13.201875000000006</v>
      </c>
      <c r="AD280" s="25">
        <v>-9.8999999999999915</v>
      </c>
      <c r="AE280" s="25">
        <v>-11.008333333333333</v>
      </c>
      <c r="AF280" s="25">
        <v>-11.22083333333333</v>
      </c>
      <c r="AG280" s="25">
        <v>-12.112500000000011</v>
      </c>
      <c r="AH280" s="25">
        <v>-12.181249999999997</v>
      </c>
      <c r="AI280" s="25">
        <v>-10.0375</v>
      </c>
      <c r="AJ280" s="25">
        <v>-10.510416666666666</v>
      </c>
      <c r="AK280" s="25">
        <v>-10.912499999999993</v>
      </c>
      <c r="AL280" s="25">
        <v>18.825000000000006</v>
      </c>
      <c r="AM280" s="25">
        <v>18.374999999999982</v>
      </c>
      <c r="AN280" s="25">
        <v>17.987500000000001</v>
      </c>
      <c r="AO280" s="25">
        <v>17.791666666666654</v>
      </c>
      <c r="AP280" s="25">
        <v>19.085416666666664</v>
      </c>
      <c r="AQ280" s="25">
        <v>18.758333333333336</v>
      </c>
      <c r="AR280" s="25">
        <v>18.372916666666651</v>
      </c>
      <c r="AS280" s="25">
        <v>18.200000000000014</v>
      </c>
      <c r="AT280" s="25">
        <v>0.43253571428571425</v>
      </c>
      <c r="AU280" s="25">
        <v>0.27087499999999992</v>
      </c>
      <c r="AV280" s="25">
        <v>0.4895208333333334</v>
      </c>
      <c r="AW280" s="25">
        <v>-14.852916666666664</v>
      </c>
      <c r="AX280" s="25">
        <v>-14.103333333333337</v>
      </c>
      <c r="AY280" s="25">
        <v>-13.159791666666665</v>
      </c>
      <c r="AZ280" s="25"/>
      <c r="BA280" s="25">
        <v>-9.0375000000000068</v>
      </c>
      <c r="BB280" s="25">
        <v>-10.202083333333331</v>
      </c>
      <c r="BC280" s="25"/>
      <c r="BD280" s="25">
        <v>20.320833333333336</v>
      </c>
      <c r="BE280" s="25">
        <v>19.895833333333332</v>
      </c>
    </row>
    <row r="281" spans="1:57" x14ac:dyDescent="0.25">
      <c r="A281" s="1">
        <v>25.8</v>
      </c>
      <c r="B281" s="1">
        <v>16</v>
      </c>
      <c r="C281" s="22"/>
      <c r="D281" s="23">
        <v>43988</v>
      </c>
      <c r="E281" s="24">
        <v>108.5</v>
      </c>
      <c r="F281" s="24">
        <v>83.129166666666649</v>
      </c>
      <c r="G281" s="24">
        <v>20.172916666666669</v>
      </c>
      <c r="H281" s="24">
        <v>5.0000000000000009</v>
      </c>
      <c r="I281" s="24">
        <v>216.14583333333334</v>
      </c>
      <c r="J281" s="24">
        <v>2.375</v>
      </c>
      <c r="K281" s="24">
        <v>8.3333333333333329E-2</v>
      </c>
      <c r="L281" s="24">
        <v>17.158333333333331</v>
      </c>
      <c r="M281" s="10">
        <v>0.42601798167952526</v>
      </c>
      <c r="N281" s="25">
        <v>0.41466666666666652</v>
      </c>
      <c r="O281" s="25">
        <v>0.5282708333333328</v>
      </c>
      <c r="P281" s="25">
        <v>0.58622916666666658</v>
      </c>
      <c r="Q281" s="25">
        <v>0.59429166666666655</v>
      </c>
      <c r="R281" s="25">
        <v>0.59729166666666655</v>
      </c>
      <c r="S281" s="25">
        <v>0.46708333333333329</v>
      </c>
      <c r="T281" s="25">
        <v>0.46558333333333307</v>
      </c>
      <c r="U281" s="25">
        <v>0.3970416666666669</v>
      </c>
      <c r="V281" s="25">
        <v>-13.802291666666669</v>
      </c>
      <c r="W281" s="25">
        <v>-20.748541666666657</v>
      </c>
      <c r="X281" s="25">
        <v>-12.100833333333339</v>
      </c>
      <c r="Y281" s="25">
        <v>-12.504583333333331</v>
      </c>
      <c r="Z281" s="25">
        <v>-12.173750000000005</v>
      </c>
      <c r="AA281" s="25">
        <v>-12.247291666666662</v>
      </c>
      <c r="AB281" s="25">
        <v>-12.359583333333333</v>
      </c>
      <c r="AC281" s="25">
        <v>-13.223333333333336</v>
      </c>
      <c r="AD281" s="25">
        <v>-9.8958333333333268</v>
      </c>
      <c r="AE281" s="25">
        <v>-11</v>
      </c>
      <c r="AF281" s="25">
        <v>-11.199999999999996</v>
      </c>
      <c r="AG281" s="25">
        <v>-12.10000000000001</v>
      </c>
      <c r="AH281" s="25">
        <v>-12.312499999999998</v>
      </c>
      <c r="AI281" s="25">
        <v>-10</v>
      </c>
      <c r="AJ281" s="25">
        <v>-10.497916666666667</v>
      </c>
      <c r="AK281" s="25">
        <v>-10.972916666666675</v>
      </c>
      <c r="AL281" s="25">
        <v>18.827083333333338</v>
      </c>
      <c r="AM281" s="25">
        <v>18.402083333333319</v>
      </c>
      <c r="AN281" s="25">
        <v>18</v>
      </c>
      <c r="AO281" s="25">
        <v>17.799999999999986</v>
      </c>
      <c r="AP281" s="25">
        <v>19.081250000000001</v>
      </c>
      <c r="AQ281" s="25">
        <v>18.722916666666674</v>
      </c>
      <c r="AR281" s="25">
        <v>18.389583333333317</v>
      </c>
      <c r="AS281" s="25">
        <v>18.237500000000015</v>
      </c>
      <c r="AT281" s="25">
        <v>0.4108235294117647</v>
      </c>
      <c r="AU281" s="25">
        <v>0.24764583333333354</v>
      </c>
      <c r="AV281" s="25">
        <v>0.45958333333333362</v>
      </c>
      <c r="AW281" s="25">
        <v>-14.921458333333328</v>
      </c>
      <c r="AX281" s="25">
        <v>-14.075625000000002</v>
      </c>
      <c r="AY281" s="25">
        <v>-13.246875000000003</v>
      </c>
      <c r="AZ281" s="25"/>
      <c r="BA281" s="25">
        <v>-9.0854166666666725</v>
      </c>
      <c r="BB281" s="25">
        <v>-10.335416666666662</v>
      </c>
      <c r="BC281" s="25"/>
      <c r="BD281" s="25">
        <v>19.822916666666671</v>
      </c>
      <c r="BE281" s="25">
        <v>19.852083333333333</v>
      </c>
    </row>
    <row r="282" spans="1:57" x14ac:dyDescent="0.25">
      <c r="A282" s="1">
        <v>28.4</v>
      </c>
      <c r="B282" s="1">
        <v>18.2</v>
      </c>
      <c r="C282" s="22"/>
      <c r="D282" s="23">
        <v>43989</v>
      </c>
      <c r="E282" s="24">
        <v>132.625</v>
      </c>
      <c r="F282" s="24">
        <v>88.931249999999977</v>
      </c>
      <c r="G282" s="24">
        <v>21.443749999999994</v>
      </c>
      <c r="H282" s="24">
        <v>26.200000000000003</v>
      </c>
      <c r="I282" s="24">
        <v>217.66666666666666</v>
      </c>
      <c r="J282" s="24">
        <v>3.6041666666666665</v>
      </c>
      <c r="K282" s="24">
        <v>4.1666666666666664E-2</v>
      </c>
      <c r="L282" s="24">
        <v>19.391666666666662</v>
      </c>
      <c r="M282" s="10">
        <v>0.34072439735635318</v>
      </c>
      <c r="N282" s="25">
        <v>0.42912499999999998</v>
      </c>
      <c r="O282" s="25">
        <v>0.54256249999999984</v>
      </c>
      <c r="P282" s="25">
        <v>0.59627083333333353</v>
      </c>
      <c r="Q282" s="25">
        <v>0.60252083333333351</v>
      </c>
      <c r="R282" s="25">
        <v>0.61393749999999991</v>
      </c>
      <c r="S282" s="25">
        <v>0.48974999999999991</v>
      </c>
      <c r="T282" s="25">
        <v>0.47112499999999979</v>
      </c>
      <c r="U282" s="25">
        <v>0.40085416666666673</v>
      </c>
      <c r="V282" s="25">
        <v>-13.638333333333341</v>
      </c>
      <c r="W282" s="25">
        <v>-20.277916666666666</v>
      </c>
      <c r="X282" s="25">
        <v>-12.015208333333328</v>
      </c>
      <c r="Y282" s="25">
        <v>-12.436250000000001</v>
      </c>
      <c r="Z282" s="25">
        <v>-12.019166666666671</v>
      </c>
      <c r="AA282" s="25">
        <v>-12.070416666666661</v>
      </c>
      <c r="AB282" s="25">
        <v>-12.276249999999997</v>
      </c>
      <c r="AC282" s="25">
        <v>-13.199166666666679</v>
      </c>
      <c r="AD282" s="25">
        <v>-9.6958333333333293</v>
      </c>
      <c r="AE282" s="25">
        <v>-10.858333333333334</v>
      </c>
      <c r="AF282" s="25">
        <v>-11.029166666666667</v>
      </c>
      <c r="AG282" s="25">
        <v>-12.014583333333334</v>
      </c>
      <c r="AH282" s="25">
        <v>-12.039583333333335</v>
      </c>
      <c r="AI282" s="25">
        <v>-9.9041666666666597</v>
      </c>
      <c r="AJ282" s="25">
        <v>-10.383333333333333</v>
      </c>
      <c r="AK282" s="25">
        <v>-10.758333333333328</v>
      </c>
      <c r="AL282" s="25">
        <v>19.437499999999996</v>
      </c>
      <c r="AM282" s="25">
        <v>18.650000000000006</v>
      </c>
      <c r="AN282" s="25">
        <v>18.11875000000002</v>
      </c>
      <c r="AO282" s="25">
        <v>17.899999999999988</v>
      </c>
      <c r="AP282" s="25">
        <v>20.089583333333337</v>
      </c>
      <c r="AQ282" s="25">
        <v>19.264583333333345</v>
      </c>
      <c r="AR282" s="25">
        <v>18.679166666666671</v>
      </c>
      <c r="AS282" s="25">
        <v>18.437499999999996</v>
      </c>
      <c r="AT282" s="25">
        <v>0.43205555555555553</v>
      </c>
      <c r="AU282" s="25">
        <v>0.27347916666666677</v>
      </c>
      <c r="AV282" s="25">
        <v>0.49093750000000008</v>
      </c>
      <c r="AW282" s="25">
        <v>-14.722083333333332</v>
      </c>
      <c r="AX282" s="25">
        <v>-13.989583333333337</v>
      </c>
      <c r="AY282" s="25">
        <v>-13.104375000000006</v>
      </c>
      <c r="AZ282" s="25"/>
      <c r="BA282" s="25">
        <v>-8.889583333333329</v>
      </c>
      <c r="BB282" s="25">
        <v>-10.020833333333334</v>
      </c>
      <c r="BC282" s="25"/>
      <c r="BD282" s="25">
        <v>20.852083333333336</v>
      </c>
      <c r="BE282" s="25">
        <v>20.535416666666663</v>
      </c>
    </row>
    <row r="283" spans="1:57" x14ac:dyDescent="0.25">
      <c r="A283" s="1">
        <v>24.8</v>
      </c>
      <c r="B283" s="1">
        <v>19.3</v>
      </c>
      <c r="C283" s="22"/>
      <c r="D283" s="23">
        <v>43990</v>
      </c>
      <c r="E283" s="24">
        <v>88.145833333333329</v>
      </c>
      <c r="F283" s="24">
        <v>91.850000000000023</v>
      </c>
      <c r="G283" s="24">
        <v>20.924999999999994</v>
      </c>
      <c r="H283" s="24">
        <v>13.299999999999997</v>
      </c>
      <c r="I283" s="24">
        <v>225.72916666666666</v>
      </c>
      <c r="J283" s="24">
        <v>3.2916666666666665</v>
      </c>
      <c r="K283" s="24">
        <v>4.1666666666666664E-2</v>
      </c>
      <c r="L283" s="24">
        <v>19.497916666666672</v>
      </c>
      <c r="M283" s="10">
        <v>0.21918820743302914</v>
      </c>
      <c r="N283" s="25">
        <v>0.45587499999999997</v>
      </c>
      <c r="O283" s="25">
        <v>0.55525000000000013</v>
      </c>
      <c r="P283" s="25">
        <v>0.60387499999999994</v>
      </c>
      <c r="Q283" s="25">
        <v>0.6151041666666669</v>
      </c>
      <c r="R283" s="25">
        <v>0.61785416666666626</v>
      </c>
      <c r="S283" s="25">
        <v>0.5055624999999998</v>
      </c>
      <c r="T283" s="25">
        <v>0.4812916666666669</v>
      </c>
      <c r="U283" s="25">
        <v>0.42281249999999998</v>
      </c>
      <c r="V283" s="25">
        <v>-13.6</v>
      </c>
      <c r="W283" s="25">
        <v>-20.224583333333349</v>
      </c>
      <c r="X283" s="25">
        <v>-11.944166666666675</v>
      </c>
      <c r="Y283" s="25">
        <v>-12.389374999999999</v>
      </c>
      <c r="Z283" s="25">
        <v>-12.011041666666666</v>
      </c>
      <c r="AA283" s="25">
        <v>-11.866041666666666</v>
      </c>
      <c r="AB283" s="25">
        <v>-12.160624999999998</v>
      </c>
      <c r="AC283" s="25">
        <v>-13.126458333333334</v>
      </c>
      <c r="AD283" s="25">
        <v>-9.4895833333333339</v>
      </c>
      <c r="AE283" s="25">
        <v>-10.627083333333344</v>
      </c>
      <c r="AF283" s="25">
        <v>-10.802083333333341</v>
      </c>
      <c r="AG283" s="25">
        <v>-11.735416666666666</v>
      </c>
      <c r="AH283" s="25">
        <v>-11.84583333333333</v>
      </c>
      <c r="AI283" s="25">
        <v>-9.8000000000000078</v>
      </c>
      <c r="AJ283" s="25">
        <v>-10.224999999999993</v>
      </c>
      <c r="AK283" s="25">
        <v>-10.510416666666668</v>
      </c>
      <c r="AL283" s="25">
        <v>19.941666666666674</v>
      </c>
      <c r="AM283" s="25">
        <v>19.141666666666683</v>
      </c>
      <c r="AN283" s="25">
        <v>18.502083333333335</v>
      </c>
      <c r="AO283" s="25">
        <v>18.208333333333336</v>
      </c>
      <c r="AP283" s="25">
        <v>20.485416666666666</v>
      </c>
      <c r="AQ283" s="25">
        <v>19.822916666666664</v>
      </c>
      <c r="AR283" s="25">
        <v>19.197916666666668</v>
      </c>
      <c r="AS283" s="25">
        <v>18.891666666666655</v>
      </c>
      <c r="AT283" s="25">
        <v>0.46696428571428567</v>
      </c>
      <c r="AU283" s="25">
        <v>0.31941666666666668</v>
      </c>
      <c r="AV283" s="25">
        <v>0.51770833333333333</v>
      </c>
      <c r="AW283" s="25">
        <v>-14.477083333333335</v>
      </c>
      <c r="AX283" s="25">
        <v>-13.905208333333329</v>
      </c>
      <c r="AY283" s="25">
        <v>-12.978333333333337</v>
      </c>
      <c r="AZ283" s="25"/>
      <c r="BA283" s="25">
        <v>-8.6958333333333275</v>
      </c>
      <c r="BB283" s="25">
        <v>-9.7854166666666753</v>
      </c>
      <c r="BC283" s="25"/>
      <c r="BD283" s="25">
        <v>20.820833333333336</v>
      </c>
      <c r="BE283" s="25">
        <v>20.5625</v>
      </c>
    </row>
    <row r="284" spans="1:57" x14ac:dyDescent="0.25">
      <c r="A284" s="1">
        <v>25.7</v>
      </c>
      <c r="B284" s="1">
        <v>18.100000000000001</v>
      </c>
      <c r="C284" s="22"/>
      <c r="D284" s="23">
        <v>43991</v>
      </c>
      <c r="E284" s="24">
        <v>120.58333333333333</v>
      </c>
      <c r="F284" s="24">
        <v>85.554166666666674</v>
      </c>
      <c r="G284" s="24">
        <v>20.772916666666656</v>
      </c>
      <c r="H284" s="24">
        <v>2.1</v>
      </c>
      <c r="I284" s="24">
        <v>236.97916666666666</v>
      </c>
      <c r="J284" s="24">
        <v>0.9375</v>
      </c>
      <c r="K284" s="24">
        <v>0</v>
      </c>
      <c r="L284" s="24">
        <v>18.160416666666666</v>
      </c>
      <c r="M284" s="10">
        <v>0.38573067647061876</v>
      </c>
      <c r="N284" s="25">
        <v>0.43595833333333306</v>
      </c>
      <c r="O284" s="25">
        <v>0.53989583333333324</v>
      </c>
      <c r="P284" s="25">
        <v>0.59497916666666673</v>
      </c>
      <c r="Q284" s="25">
        <v>0.60191666666666699</v>
      </c>
      <c r="R284" s="25">
        <v>0.60870833333333341</v>
      </c>
      <c r="S284" s="25">
        <v>0.48316666666666702</v>
      </c>
      <c r="T284" s="25">
        <v>0.47204166666666653</v>
      </c>
      <c r="U284" s="25">
        <v>0.40727083333333364</v>
      </c>
      <c r="V284" s="25">
        <v>-13.633125000000001</v>
      </c>
      <c r="W284" s="25">
        <v>-20.197708333333338</v>
      </c>
      <c r="X284" s="25">
        <v>-11.939583333333339</v>
      </c>
      <c r="Y284" s="25">
        <v>-12.361250000000007</v>
      </c>
      <c r="Z284" s="25">
        <v>-12.01395833333333</v>
      </c>
      <c r="AA284" s="25">
        <v>-11.961875000000001</v>
      </c>
      <c r="AB284" s="25">
        <v>-12.157291666666673</v>
      </c>
      <c r="AC284" s="25">
        <v>-13.080833333333338</v>
      </c>
      <c r="AD284" s="25">
        <v>-9.5</v>
      </c>
      <c r="AE284" s="25">
        <v>-10.60000000000001</v>
      </c>
      <c r="AF284" s="25">
        <v>-10.872916666666656</v>
      </c>
      <c r="AG284" s="25">
        <v>-11.739583333333329</v>
      </c>
      <c r="AH284" s="25">
        <v>-11.949999999999998</v>
      </c>
      <c r="AI284" s="25">
        <v>-9.7666666666666675</v>
      </c>
      <c r="AJ284" s="25">
        <v>-10.160416666666672</v>
      </c>
      <c r="AK284" s="25">
        <v>-10.643749999999995</v>
      </c>
      <c r="AL284" s="25">
        <v>19.875000000000007</v>
      </c>
      <c r="AM284" s="25">
        <v>19.175000000000011</v>
      </c>
      <c r="AN284" s="25">
        <v>18.597916666666681</v>
      </c>
      <c r="AO284" s="25">
        <v>18.327083333333324</v>
      </c>
      <c r="AP284" s="25">
        <v>20.1875</v>
      </c>
      <c r="AQ284" s="25">
        <v>19.781250000000004</v>
      </c>
      <c r="AR284" s="25">
        <v>19.231250000000014</v>
      </c>
      <c r="AS284" s="25">
        <v>19.022916666666664</v>
      </c>
      <c r="AT284" s="25">
        <v>0.42713636363636359</v>
      </c>
      <c r="AU284" s="25">
        <v>0.25872916666666684</v>
      </c>
      <c r="AV284" s="25">
        <v>0.48872916666666671</v>
      </c>
      <c r="AW284" s="25">
        <v>-14.667708333333328</v>
      </c>
      <c r="AX284" s="25">
        <v>-13.898333333333332</v>
      </c>
      <c r="AY284" s="25">
        <v>-13.028333333333334</v>
      </c>
      <c r="AZ284" s="25"/>
      <c r="BA284" s="25">
        <v>-8.7104166666666618</v>
      </c>
      <c r="BB284" s="25">
        <v>-9.8041666666666725</v>
      </c>
      <c r="BC284" s="25"/>
      <c r="BD284" s="25">
        <v>20.504166666666659</v>
      </c>
      <c r="BE284" s="25">
        <v>20.431250000000002</v>
      </c>
    </row>
    <row r="285" spans="1:57" x14ac:dyDescent="0.25">
      <c r="A285" s="1">
        <v>24.1</v>
      </c>
      <c r="B285" s="1">
        <v>18.600000000000001</v>
      </c>
      <c r="C285" s="22"/>
      <c r="D285" s="23">
        <v>43992</v>
      </c>
      <c r="E285" s="24">
        <v>96.458333333333329</v>
      </c>
      <c r="F285" s="24">
        <v>90.49166666666666</v>
      </c>
      <c r="G285" s="24">
        <v>20.720833333333335</v>
      </c>
      <c r="H285" s="24">
        <v>46.900000000000006</v>
      </c>
      <c r="I285" s="24">
        <v>196.9375</v>
      </c>
      <c r="J285" s="24">
        <v>3.4375</v>
      </c>
      <c r="K285" s="24">
        <v>0.29166666666666669</v>
      </c>
      <c r="L285" s="24">
        <v>19.060416666666672</v>
      </c>
      <c r="M285" s="10">
        <v>0.24690244428610442</v>
      </c>
      <c r="N285" s="25">
        <v>0.47116666666666651</v>
      </c>
      <c r="O285" s="25">
        <v>0.56079166666666647</v>
      </c>
      <c r="P285" s="25">
        <v>0.60872916666666688</v>
      </c>
      <c r="Q285" s="25">
        <v>0.62520833333333325</v>
      </c>
      <c r="R285" s="25">
        <v>0.62062499999999987</v>
      </c>
      <c r="S285" s="25">
        <v>0.50970833333333332</v>
      </c>
      <c r="T285" s="25">
        <v>0.48435416666666681</v>
      </c>
      <c r="U285" s="25">
        <v>0.43422916666666683</v>
      </c>
      <c r="V285" s="25">
        <v>-13.603124999999997</v>
      </c>
      <c r="W285" s="25">
        <v>-20.230833333333333</v>
      </c>
      <c r="X285" s="25">
        <v>-11.920416666666663</v>
      </c>
      <c r="Y285" s="25">
        <v>-12.295833333333334</v>
      </c>
      <c r="Z285" s="25">
        <v>-11.997291666666669</v>
      </c>
      <c r="AA285" s="25">
        <v>-11.914166666666668</v>
      </c>
      <c r="AB285" s="25">
        <v>-12.15833333333333</v>
      </c>
      <c r="AC285" s="25">
        <v>-13.068749999999996</v>
      </c>
      <c r="AD285" s="25">
        <v>-9.2458333333333282</v>
      </c>
      <c r="AE285" s="25">
        <v>-10.393750000000006</v>
      </c>
      <c r="AF285" s="25">
        <v>-10.63125000000001</v>
      </c>
      <c r="AG285" s="25">
        <v>-11.572916666666664</v>
      </c>
      <c r="AH285" s="25">
        <v>-11.683333333333342</v>
      </c>
      <c r="AI285" s="25">
        <v>-9.6333333333333417</v>
      </c>
      <c r="AJ285" s="25">
        <v>-9.9604166666666565</v>
      </c>
      <c r="AK285" s="25">
        <v>-10.110416666666655</v>
      </c>
      <c r="AL285" s="25">
        <v>19.891666666666669</v>
      </c>
      <c r="AM285" s="25">
        <v>19.272916666666674</v>
      </c>
      <c r="AN285" s="25">
        <v>18.739583333333346</v>
      </c>
      <c r="AO285" s="25">
        <v>18.512500000000006</v>
      </c>
      <c r="AP285" s="25">
        <v>20.220833333333346</v>
      </c>
      <c r="AQ285" s="25">
        <v>19.766666666666669</v>
      </c>
      <c r="AR285" s="25">
        <v>19.202083333333338</v>
      </c>
      <c r="AS285" s="25">
        <v>18.941666666666666</v>
      </c>
      <c r="AT285" s="25">
        <v>0.48144827586206895</v>
      </c>
      <c r="AU285" s="25">
        <v>0.38535416666666661</v>
      </c>
      <c r="AV285" s="25">
        <v>0.52810416666666671</v>
      </c>
      <c r="AW285" s="25">
        <v>-14.551250000000001</v>
      </c>
      <c r="AX285" s="25">
        <v>-13.876666666666665</v>
      </c>
      <c r="AY285" s="25">
        <v>-13.041875000000005</v>
      </c>
      <c r="AZ285" s="25"/>
      <c r="BA285" s="25">
        <v>-8.5458333333333432</v>
      </c>
      <c r="BB285" s="25">
        <v>-9.5354166666666735</v>
      </c>
      <c r="BC285" s="25"/>
      <c r="BD285" s="25">
        <v>20.468750000000004</v>
      </c>
      <c r="BE285" s="25">
        <v>19.864583333333332</v>
      </c>
    </row>
    <row r="286" spans="1:57" x14ac:dyDescent="0.25">
      <c r="A286" s="1">
        <v>28.3</v>
      </c>
      <c r="B286" s="1">
        <v>21.1</v>
      </c>
      <c r="C286" s="22"/>
      <c r="D286" s="23">
        <v>43993</v>
      </c>
      <c r="E286" s="24">
        <v>182.70833333333334</v>
      </c>
      <c r="F286" s="24">
        <v>81.654166666666683</v>
      </c>
      <c r="G286" s="24">
        <v>23.604166666666661</v>
      </c>
      <c r="H286" s="24">
        <v>0</v>
      </c>
      <c r="I286" s="24">
        <v>235.20833333333334</v>
      </c>
      <c r="J286" s="24">
        <v>13.9375</v>
      </c>
      <c r="K286" s="24">
        <v>3</v>
      </c>
      <c r="L286" s="24">
        <v>20.206250000000008</v>
      </c>
      <c r="M286" s="10">
        <v>0.5646302120616371</v>
      </c>
      <c r="N286" s="25">
        <v>0.44320833333333326</v>
      </c>
      <c r="O286" s="25">
        <v>0.5433958333333333</v>
      </c>
      <c r="P286" s="25">
        <v>0.59720833333333367</v>
      </c>
      <c r="Q286" s="25">
        <v>0.60483333333333322</v>
      </c>
      <c r="R286" s="25">
        <v>0.61141666666666661</v>
      </c>
      <c r="S286" s="25">
        <v>0.48593749999999997</v>
      </c>
      <c r="T286" s="25">
        <v>0.47437500000000005</v>
      </c>
      <c r="U286" s="25">
        <v>0.40962499999999974</v>
      </c>
      <c r="V286" s="25">
        <v>-13.522916666666667</v>
      </c>
      <c r="W286" s="25">
        <v>-20.125</v>
      </c>
      <c r="X286" s="25">
        <v>-11.908749999999996</v>
      </c>
      <c r="Y286" s="25">
        <v>-12.308958333333329</v>
      </c>
      <c r="Z286" s="25">
        <v>-11.956249999999999</v>
      </c>
      <c r="AA286" s="25">
        <v>-11.980833333333331</v>
      </c>
      <c r="AB286" s="25">
        <v>-12.108125000000006</v>
      </c>
      <c r="AC286" s="25">
        <v>-12.999375000000002</v>
      </c>
      <c r="AD286" s="25">
        <v>-9.2354166666666675</v>
      </c>
      <c r="AE286" s="25">
        <v>-10.262500000000005</v>
      </c>
      <c r="AF286" s="25">
        <v>-10.60000000000001</v>
      </c>
      <c r="AG286" s="25">
        <v>-11.497916666666669</v>
      </c>
      <c r="AH286" s="25">
        <v>-11.681249999999999</v>
      </c>
      <c r="AI286" s="25">
        <v>-9.6520833333333265</v>
      </c>
      <c r="AJ286" s="25">
        <v>-9.8999999999999915</v>
      </c>
      <c r="AK286" s="25">
        <v>-10.093749999999996</v>
      </c>
      <c r="AL286" s="25">
        <v>20.299999999999994</v>
      </c>
      <c r="AM286" s="25">
        <v>19.410416666666674</v>
      </c>
      <c r="AN286" s="25">
        <v>18.797916666666655</v>
      </c>
      <c r="AO286" s="25">
        <v>18.554166666666678</v>
      </c>
      <c r="AP286" s="25">
        <v>20.935416666666665</v>
      </c>
      <c r="AQ286" s="25">
        <v>20.108333333333331</v>
      </c>
      <c r="AR286" s="25">
        <v>19.481249999999996</v>
      </c>
      <c r="AS286" s="25">
        <v>19.222916666666659</v>
      </c>
      <c r="AT286" s="25">
        <v>0.43572340425531908</v>
      </c>
      <c r="AU286" s="25">
        <v>0.26289583333333327</v>
      </c>
      <c r="AV286" s="25">
        <v>0.48866666666666675</v>
      </c>
      <c r="AW286" s="25">
        <v>-14.442291666666668</v>
      </c>
      <c r="AX286" s="25">
        <v>-13.742083333333335</v>
      </c>
      <c r="AY286" s="25">
        <v>-12.989791666666664</v>
      </c>
      <c r="AZ286" s="25"/>
      <c r="BA286" s="25">
        <v>-8.7020833333333325</v>
      </c>
      <c r="BB286" s="25">
        <v>-9.6624999999999996</v>
      </c>
      <c r="BC286" s="25"/>
      <c r="BD286" s="25">
        <v>22.089583333333326</v>
      </c>
      <c r="BE286" s="25">
        <v>20.522916666666664</v>
      </c>
    </row>
    <row r="287" spans="1:57" x14ac:dyDescent="0.25">
      <c r="A287" s="1">
        <v>27.9</v>
      </c>
      <c r="B287" s="1">
        <v>21.4</v>
      </c>
      <c r="C287" s="22"/>
      <c r="D287" s="23">
        <v>43994</v>
      </c>
      <c r="E287" s="24">
        <v>160.08333333333334</v>
      </c>
      <c r="F287" s="24">
        <v>79.543750000000017</v>
      </c>
      <c r="G287" s="24">
        <v>24.052083333333329</v>
      </c>
      <c r="H287" s="24">
        <v>0</v>
      </c>
      <c r="I287" s="24">
        <v>237.54166666666666</v>
      </c>
      <c r="J287" s="24">
        <v>11.625</v>
      </c>
      <c r="K287" s="24">
        <v>2.0416666666666665</v>
      </c>
      <c r="L287" s="24">
        <v>20.224999999999998</v>
      </c>
      <c r="M287" s="10">
        <v>0.64310839568854916</v>
      </c>
      <c r="N287" s="25">
        <v>0.43083333333333296</v>
      </c>
      <c r="O287" s="25">
        <v>0.53368749999999998</v>
      </c>
      <c r="P287" s="25">
        <v>0.59191666666666654</v>
      </c>
      <c r="Q287" s="25">
        <v>0.59958333333333336</v>
      </c>
      <c r="R287" s="25">
        <v>0.60429166666666678</v>
      </c>
      <c r="S287" s="25">
        <v>0.47312499999999974</v>
      </c>
      <c r="T287" s="25">
        <v>0.47016666666666662</v>
      </c>
      <c r="U287" s="25">
        <v>0.40454166666666674</v>
      </c>
      <c r="V287" s="25">
        <v>-13.542499999999997</v>
      </c>
      <c r="W287" s="25">
        <v>-20.223749999999988</v>
      </c>
      <c r="X287" s="25">
        <v>-11.936666666666669</v>
      </c>
      <c r="Y287" s="25">
        <v>-12.320000000000002</v>
      </c>
      <c r="Z287" s="25">
        <v>-12.143749999999999</v>
      </c>
      <c r="AA287" s="25">
        <v>-12.189791666666665</v>
      </c>
      <c r="AB287" s="25">
        <v>-12.221666666666671</v>
      </c>
      <c r="AC287" s="25">
        <v>-13.029375000000003</v>
      </c>
      <c r="AD287" s="25">
        <v>-9.3145833333333368</v>
      </c>
      <c r="AE287" s="25">
        <v>-10.370833333333335</v>
      </c>
      <c r="AF287" s="25">
        <v>-10.63125</v>
      </c>
      <c r="AG287" s="25">
        <v>-11.58125000000001</v>
      </c>
      <c r="AH287" s="25">
        <v>-11.868749999999999</v>
      </c>
      <c r="AI287" s="25">
        <v>-9.7395833333333339</v>
      </c>
      <c r="AJ287" s="25">
        <v>-9.8999999999999915</v>
      </c>
      <c r="AK287" s="25">
        <v>-10.274999999999999</v>
      </c>
      <c r="AL287" s="25">
        <v>20.802083333333346</v>
      </c>
      <c r="AM287" s="25">
        <v>19.854166666666661</v>
      </c>
      <c r="AN287" s="25">
        <v>19.052083333333346</v>
      </c>
      <c r="AO287" s="25">
        <v>18.727083333333308</v>
      </c>
      <c r="AP287" s="25">
        <v>21.474999999999998</v>
      </c>
      <c r="AQ287" s="25">
        <v>20.583333333333325</v>
      </c>
      <c r="AR287" s="25">
        <v>19.947916666666661</v>
      </c>
      <c r="AS287" s="25">
        <v>19.631250000000012</v>
      </c>
      <c r="AT287" s="25">
        <v>0.41823913043478272</v>
      </c>
      <c r="AU287" s="25">
        <v>0.24510416666666671</v>
      </c>
      <c r="AV287" s="25">
        <v>0.45735416666666673</v>
      </c>
      <c r="AW287" s="25">
        <v>-14.405416666666669</v>
      </c>
      <c r="AX287" s="25">
        <v>-13.721250000000005</v>
      </c>
      <c r="AY287" s="25">
        <v>-13.061249999999999</v>
      </c>
      <c r="AZ287" s="25"/>
      <c r="BA287" s="25">
        <v>-8.8687500000000004</v>
      </c>
      <c r="BB287" s="25">
        <v>-9.9104166666666718</v>
      </c>
      <c r="BC287" s="25"/>
      <c r="BD287" s="25">
        <v>22.502083333333328</v>
      </c>
      <c r="BE287" s="25">
        <v>21.158333333333335</v>
      </c>
    </row>
    <row r="288" spans="1:57" x14ac:dyDescent="0.25">
      <c r="A288" s="1">
        <v>29.4</v>
      </c>
      <c r="B288" s="1">
        <v>19.100000000000001</v>
      </c>
      <c r="C288" s="22"/>
      <c r="D288" s="23">
        <v>43995</v>
      </c>
      <c r="E288" s="24">
        <v>101.10416666666667</v>
      </c>
      <c r="F288" s="24">
        <v>91.554166666666688</v>
      </c>
      <c r="G288" s="24">
        <v>21.964583333333341</v>
      </c>
      <c r="H288" s="24">
        <v>87.4</v>
      </c>
      <c r="I288" s="24">
        <v>219.89583333333334</v>
      </c>
      <c r="J288" s="24">
        <v>5.1875</v>
      </c>
      <c r="K288" s="24">
        <v>0.91666666666666663</v>
      </c>
      <c r="L288" s="24">
        <v>20.460416666666671</v>
      </c>
      <c r="M288" s="10">
        <v>0.25362595126241533</v>
      </c>
      <c r="N288" s="25">
        <v>0.47981249999999998</v>
      </c>
      <c r="O288" s="25">
        <v>0.56806249999999991</v>
      </c>
      <c r="P288" s="25">
        <v>0.61231250000000015</v>
      </c>
      <c r="Q288" s="25">
        <v>0.62568749999999984</v>
      </c>
      <c r="R288" s="25">
        <v>0.62493750000000003</v>
      </c>
      <c r="S288" s="25">
        <v>0.5238124999999999</v>
      </c>
      <c r="T288" s="25">
        <v>0.49022916666666677</v>
      </c>
      <c r="U288" s="25">
        <v>0.43629166666666674</v>
      </c>
      <c r="V288" s="25">
        <v>-13.530624999999995</v>
      </c>
      <c r="W288" s="25">
        <v>-19.733333333333334</v>
      </c>
      <c r="X288" s="25">
        <v>-11.828333333333331</v>
      </c>
      <c r="Y288" s="25">
        <v>-12.218749999999998</v>
      </c>
      <c r="Z288" s="25">
        <v>-12.088333333333333</v>
      </c>
      <c r="AA288" s="25">
        <v>-12.089375000000004</v>
      </c>
      <c r="AB288" s="25">
        <v>-12.187291666666667</v>
      </c>
      <c r="AC288" s="25">
        <v>-13.061041666666663</v>
      </c>
      <c r="AD288" s="25">
        <v>-9.0666666666666682</v>
      </c>
      <c r="AE288" s="25">
        <v>-10.241666666666667</v>
      </c>
      <c r="AF288" s="25">
        <v>-10.33125000000001</v>
      </c>
      <c r="AG288" s="25">
        <v>-11.360416666666671</v>
      </c>
      <c r="AH288" s="25">
        <v>-11.629166666666668</v>
      </c>
      <c r="AI288" s="25">
        <v>-9.645833333333341</v>
      </c>
      <c r="AJ288" s="25">
        <v>-9.7104166666666654</v>
      </c>
      <c r="AK288" s="25">
        <v>-9.9666666666666615</v>
      </c>
      <c r="AL288" s="25">
        <v>20.795833333333331</v>
      </c>
      <c r="AM288" s="25">
        <v>20.154166666666665</v>
      </c>
      <c r="AN288" s="25">
        <v>19.479166666666661</v>
      </c>
      <c r="AO288" s="25">
        <v>19.104166666666668</v>
      </c>
      <c r="AP288" s="25">
        <v>21.414583333333336</v>
      </c>
      <c r="AQ288" s="25">
        <v>20.931250000000002</v>
      </c>
      <c r="AR288" s="25">
        <v>20.358333333333352</v>
      </c>
      <c r="AS288" s="25">
        <v>20.049999999999994</v>
      </c>
      <c r="AT288" s="25">
        <v>0.49210638297872333</v>
      </c>
      <c r="AU288" s="25">
        <v>0.34945833333333337</v>
      </c>
      <c r="AV288" s="25">
        <v>0.51656249999999992</v>
      </c>
      <c r="AW288" s="25">
        <v>-14.276458333333331</v>
      </c>
      <c r="AX288" s="25">
        <v>-13.763125</v>
      </c>
      <c r="AY288" s="25">
        <v>-12.954791666666665</v>
      </c>
      <c r="AZ288" s="25"/>
      <c r="BA288" s="25">
        <v>-8.6041666666666661</v>
      </c>
      <c r="BB288" s="25">
        <v>-9.5499999999999989</v>
      </c>
      <c r="BC288" s="25"/>
      <c r="BD288" s="25">
        <v>21.066666666666663</v>
      </c>
      <c r="BE288" s="25">
        <v>20.943750000000005</v>
      </c>
    </row>
    <row r="289" spans="1:57" x14ac:dyDescent="0.25">
      <c r="A289" s="1">
        <v>26.8</v>
      </c>
      <c r="B289" s="1">
        <v>19.100000000000001</v>
      </c>
      <c r="C289" s="22"/>
      <c r="D289" s="23">
        <v>43996</v>
      </c>
      <c r="E289" s="24">
        <v>112.79166666666667</v>
      </c>
      <c r="F289" s="24">
        <v>92.114583333333314</v>
      </c>
      <c r="G289" s="24">
        <v>21.302083333333332</v>
      </c>
      <c r="H289" s="24">
        <v>75.600000000000009</v>
      </c>
      <c r="I289" s="24">
        <v>218.33333333333334</v>
      </c>
      <c r="J289" s="24">
        <v>3.0416666666666665</v>
      </c>
      <c r="K289" s="24">
        <v>0</v>
      </c>
      <c r="L289" s="24">
        <v>19.891666666666662</v>
      </c>
      <c r="M289" s="10">
        <v>0.23043177625057898</v>
      </c>
      <c r="N289" s="25">
        <v>0.51420833333333338</v>
      </c>
      <c r="O289" s="25">
        <v>0.58437499999999976</v>
      </c>
      <c r="P289" s="25">
        <v>0.6221875</v>
      </c>
      <c r="Q289" s="25">
        <v>0.64008333333333323</v>
      </c>
      <c r="R289" s="25">
        <v>0.63247916666666659</v>
      </c>
      <c r="S289" s="25">
        <v>0.54289583333333336</v>
      </c>
      <c r="T289" s="25">
        <v>0.49868750000000001</v>
      </c>
      <c r="U289" s="25">
        <v>0.45872916666666647</v>
      </c>
      <c r="V289" s="25">
        <v>-13.548750000000007</v>
      </c>
      <c r="W289" s="25">
        <v>-20.138333333333339</v>
      </c>
      <c r="X289" s="25">
        <v>-11.84208333333333</v>
      </c>
      <c r="Y289" s="25">
        <v>-12.139374999999999</v>
      </c>
      <c r="Z289" s="25">
        <v>-12.008958333333334</v>
      </c>
      <c r="AA289" s="25">
        <v>-12.123750000000001</v>
      </c>
      <c r="AB289" s="25">
        <v>-12.18604166666667</v>
      </c>
      <c r="AC289" s="25">
        <v>-13.1225</v>
      </c>
      <c r="AD289" s="25">
        <v>-8.6291666666666664</v>
      </c>
      <c r="AE289" s="25">
        <v>-9.6979166666666732</v>
      </c>
      <c r="AF289" s="25">
        <v>-9.9083333333333314</v>
      </c>
      <c r="AG289" s="25">
        <v>-10.95624999999999</v>
      </c>
      <c r="AH289" s="25">
        <v>-11.172916666666675</v>
      </c>
      <c r="AI289" s="25">
        <v>-9.4791666666666625</v>
      </c>
      <c r="AJ289" s="25">
        <v>-9.331250000000006</v>
      </c>
      <c r="AK289" s="25">
        <v>-9.5895833333333353</v>
      </c>
      <c r="AL289" s="25">
        <v>19.975000000000001</v>
      </c>
      <c r="AM289" s="25">
        <v>19.493749999999999</v>
      </c>
      <c r="AN289" s="25">
        <v>19.375000000000011</v>
      </c>
      <c r="AO289" s="25">
        <v>19.26250000000001</v>
      </c>
      <c r="AP289" s="25">
        <v>20.960416666666664</v>
      </c>
      <c r="AQ289" s="25">
        <v>20.735416666666669</v>
      </c>
      <c r="AR289" s="25">
        <v>20.389583333333334</v>
      </c>
      <c r="AS289" s="25">
        <v>20.202083333333345</v>
      </c>
      <c r="AT289" s="25">
        <v>0.56712765957446809</v>
      </c>
      <c r="AU289" s="25">
        <v>0.44960416666666664</v>
      </c>
      <c r="AV289" s="25">
        <v>0.56220833333333331</v>
      </c>
      <c r="AW289" s="25">
        <v>-14.540416666666665</v>
      </c>
      <c r="AX289" s="25">
        <v>-13.981666666666669</v>
      </c>
      <c r="AY289" s="25">
        <v>-13.026875000000004</v>
      </c>
      <c r="AZ289" s="25"/>
      <c r="BA289" s="25">
        <v>-8.3729166666666703</v>
      </c>
      <c r="BB289" s="25">
        <v>-9.0916666666666668</v>
      </c>
      <c r="BC289" s="25"/>
      <c r="BD289" s="25">
        <v>19.454166666666666</v>
      </c>
      <c r="BE289" s="25">
        <v>19.943749999999994</v>
      </c>
    </row>
    <row r="290" spans="1:57" x14ac:dyDescent="0.25">
      <c r="A290" s="1">
        <v>28.6</v>
      </c>
      <c r="B290" s="1">
        <v>19.3</v>
      </c>
      <c r="C290" s="22"/>
      <c r="D290" s="23">
        <v>43997</v>
      </c>
      <c r="E290" s="24">
        <v>206</v>
      </c>
      <c r="F290" s="24">
        <v>86.177083333333329</v>
      </c>
      <c r="G290" s="24">
        <v>22.537500000000005</v>
      </c>
      <c r="H290" s="24">
        <v>10.899999999999999</v>
      </c>
      <c r="I290" s="24">
        <v>229.5</v>
      </c>
      <c r="J290" s="24">
        <v>7.145833333333333</v>
      </c>
      <c r="K290" s="24">
        <v>1.0833333333333333</v>
      </c>
      <c r="L290" s="24">
        <v>19.960416666666671</v>
      </c>
      <c r="M290" s="10">
        <v>0.43152882039223833</v>
      </c>
      <c r="N290" s="25">
        <v>0.47258333333333313</v>
      </c>
      <c r="O290" s="25">
        <v>0.56293749999999998</v>
      </c>
      <c r="P290" s="25">
        <v>0.60875000000000024</v>
      </c>
      <c r="Q290" s="25">
        <v>0.61766666666666648</v>
      </c>
      <c r="R290" s="25">
        <v>0.62429166666666647</v>
      </c>
      <c r="S290" s="25">
        <v>0.5119583333333334</v>
      </c>
      <c r="T290" s="25">
        <v>0.48406250000000028</v>
      </c>
      <c r="U290" s="25">
        <v>0.42314583333333355</v>
      </c>
      <c r="V290" s="25">
        <v>-13.477291666666668</v>
      </c>
      <c r="W290" s="25">
        <v>-20.059999999999999</v>
      </c>
      <c r="X290" s="25">
        <v>-11.887083333333331</v>
      </c>
      <c r="Y290" s="25">
        <v>-12.222708333333339</v>
      </c>
      <c r="Z290" s="25">
        <v>-11.981666666666669</v>
      </c>
      <c r="AA290" s="25">
        <v>-12.079999999999998</v>
      </c>
      <c r="AB290" s="25">
        <v>-12.159999999999995</v>
      </c>
      <c r="AC290" s="25">
        <v>-12.882291666666672</v>
      </c>
      <c r="AD290" s="25">
        <v>-8.71458333333333</v>
      </c>
      <c r="AE290" s="25">
        <v>-9.610416666666671</v>
      </c>
      <c r="AF290" s="25">
        <v>-9.8499999999999979</v>
      </c>
      <c r="AG290" s="25">
        <v>-10.839583333333335</v>
      </c>
      <c r="AH290" s="25">
        <v>-11.170833333333327</v>
      </c>
      <c r="AI290" s="25">
        <v>-9.516666666666671</v>
      </c>
      <c r="AJ290" s="25">
        <v>-9.302083333333341</v>
      </c>
      <c r="AK290" s="25">
        <v>-9.6000000000000085</v>
      </c>
      <c r="AL290" s="25">
        <v>20.737500000000001</v>
      </c>
      <c r="AM290" s="25">
        <v>19.970833333333331</v>
      </c>
      <c r="AN290" s="25">
        <v>19.387499999999992</v>
      </c>
      <c r="AO290" s="25">
        <v>19.177083333333346</v>
      </c>
      <c r="AP290" s="25">
        <v>21.441666666666663</v>
      </c>
      <c r="AQ290" s="25">
        <v>20.837500000000009</v>
      </c>
      <c r="AR290" s="25">
        <v>20.368749999999988</v>
      </c>
      <c r="AS290" s="25">
        <v>20.143750000000015</v>
      </c>
      <c r="AT290" s="25">
        <v>0.47633333333333328</v>
      </c>
      <c r="AU290" s="25">
        <v>0.2930416666666667</v>
      </c>
      <c r="AV290" s="25">
        <v>0.51520833333333338</v>
      </c>
      <c r="AW290" s="25">
        <v>-14.316458333333328</v>
      </c>
      <c r="AX290" s="25">
        <v>-13.790208333333331</v>
      </c>
      <c r="AY290" s="25">
        <v>-12.9475</v>
      </c>
      <c r="AZ290" s="25"/>
      <c r="BA290" s="25">
        <v>-8.5416666666666732</v>
      </c>
      <c r="BB290" s="25">
        <v>-9.368749999999995</v>
      </c>
      <c r="BC290" s="25"/>
      <c r="BD290" s="25">
        <v>21.660416666666663</v>
      </c>
      <c r="BE290" s="25">
        <v>20.433333333333334</v>
      </c>
    </row>
    <row r="291" spans="1:57" x14ac:dyDescent="0.25">
      <c r="A291" s="1">
        <v>26.1</v>
      </c>
      <c r="B291" s="1">
        <v>19.8</v>
      </c>
      <c r="C291" s="22"/>
      <c r="D291" s="23">
        <v>43998</v>
      </c>
      <c r="E291" s="24">
        <v>164.875</v>
      </c>
      <c r="F291" s="24">
        <v>84.125000000000014</v>
      </c>
      <c r="G291" s="24">
        <v>22.372916666666669</v>
      </c>
      <c r="H291" s="24">
        <v>0.9</v>
      </c>
      <c r="I291" s="24">
        <v>231.14583333333334</v>
      </c>
      <c r="J291" s="24">
        <v>18.25</v>
      </c>
      <c r="K291" s="24">
        <v>3.75</v>
      </c>
      <c r="L291" s="24">
        <v>19.487500000000004</v>
      </c>
      <c r="M291" s="10">
        <v>0.45552833883335503</v>
      </c>
      <c r="N291" s="25">
        <v>0.44856250000000003</v>
      </c>
      <c r="O291" s="25">
        <v>0.54552083333333334</v>
      </c>
      <c r="P291" s="25">
        <v>0.59879166666666661</v>
      </c>
      <c r="Q291" s="25">
        <v>0.60616666666666696</v>
      </c>
      <c r="R291" s="25">
        <v>0.61347916666666646</v>
      </c>
      <c r="S291" s="25">
        <v>0.49189583333333342</v>
      </c>
      <c r="T291" s="25">
        <v>0.47543749999999968</v>
      </c>
      <c r="U291" s="25">
        <v>0.41108333333333325</v>
      </c>
      <c r="V291" s="25">
        <v>-13.505625000000002</v>
      </c>
      <c r="W291" s="25">
        <v>-20.051041666666666</v>
      </c>
      <c r="X291" s="25">
        <v>-11.898333333333325</v>
      </c>
      <c r="Y291" s="25">
        <v>-12.205833333333338</v>
      </c>
      <c r="Z291" s="25">
        <v>-12.047708333333333</v>
      </c>
      <c r="AA291" s="25">
        <v>-12.168541666666664</v>
      </c>
      <c r="AB291" s="25">
        <v>-12.1625</v>
      </c>
      <c r="AC291" s="25">
        <v>-12.889583333333343</v>
      </c>
      <c r="AD291" s="25">
        <v>-8.800000000000006</v>
      </c>
      <c r="AE291" s="25">
        <v>-9.7270833333333311</v>
      </c>
      <c r="AF291" s="25">
        <v>-9.8999999999999915</v>
      </c>
      <c r="AG291" s="25">
        <v>-10.945833333333335</v>
      </c>
      <c r="AH291" s="25">
        <v>-11.339583333333328</v>
      </c>
      <c r="AI291" s="25">
        <v>-9.6125000000000043</v>
      </c>
      <c r="AJ291" s="25">
        <v>-9.3958333333333268</v>
      </c>
      <c r="AK291" s="25">
        <v>-9.6791666666666689</v>
      </c>
      <c r="AL291" s="25">
        <v>20.860416666666676</v>
      </c>
      <c r="AM291" s="25">
        <v>20.243750000000009</v>
      </c>
      <c r="AN291" s="25">
        <v>19.670833333333348</v>
      </c>
      <c r="AO291" s="25">
        <v>19.302083333333318</v>
      </c>
      <c r="AP291" s="25">
        <v>21.277083333333326</v>
      </c>
      <c r="AQ291" s="25">
        <v>20.866666666666664</v>
      </c>
      <c r="AR291" s="25">
        <v>20.387499999999978</v>
      </c>
      <c r="AS291" s="25">
        <v>20.131250000000005</v>
      </c>
      <c r="AT291" s="25">
        <v>0.44193617021276582</v>
      </c>
      <c r="AU291" s="25">
        <v>0.25887499999999991</v>
      </c>
      <c r="AV291" s="25">
        <v>0.48158333333333331</v>
      </c>
      <c r="AW291" s="25">
        <v>-14.306875000000003</v>
      </c>
      <c r="AX291" s="25">
        <v>-13.736875000000005</v>
      </c>
      <c r="AY291" s="25">
        <v>-13.011249999999997</v>
      </c>
      <c r="AZ291" s="25"/>
      <c r="BA291" s="25">
        <v>-8.6604166666666647</v>
      </c>
      <c r="BB291" s="25">
        <v>-9.547916666666671</v>
      </c>
      <c r="BC291" s="25"/>
      <c r="BD291" s="25">
        <v>21.727083333333326</v>
      </c>
      <c r="BE291" s="25">
        <v>20.652083333333334</v>
      </c>
    </row>
    <row r="292" spans="1:57" x14ac:dyDescent="0.25">
      <c r="A292" s="1">
        <v>27.9</v>
      </c>
      <c r="B292" s="1">
        <v>21.4</v>
      </c>
      <c r="C292" s="22"/>
      <c r="D292" s="23">
        <v>43999</v>
      </c>
      <c r="E292" s="24">
        <v>166.16666666666666</v>
      </c>
      <c r="F292" s="24">
        <v>81.33541666666666</v>
      </c>
      <c r="G292" s="24">
        <v>23.695833333333329</v>
      </c>
      <c r="H292" s="24">
        <v>0</v>
      </c>
      <c r="I292" s="24">
        <v>235.10416666666666</v>
      </c>
      <c r="J292" s="24">
        <v>16.270833333333332</v>
      </c>
      <c r="K292" s="24">
        <v>3.4375</v>
      </c>
      <c r="L292" s="24">
        <v>20.252083333333335</v>
      </c>
      <c r="M292" s="10">
        <v>0.56958878597171181</v>
      </c>
      <c r="N292" s="25">
        <v>0.43679166666666641</v>
      </c>
      <c r="O292" s="25">
        <v>0.53591666666666671</v>
      </c>
      <c r="P292" s="25">
        <v>0.59293750000000001</v>
      </c>
      <c r="Q292" s="25">
        <v>0.60099999999999998</v>
      </c>
      <c r="R292" s="25">
        <v>0.60616666666666674</v>
      </c>
      <c r="S292" s="25">
        <v>0.48247916666666696</v>
      </c>
      <c r="T292" s="25">
        <v>0.4714583333333337</v>
      </c>
      <c r="U292" s="25">
        <v>0.40702083333333355</v>
      </c>
      <c r="V292" s="25">
        <v>-13.545833333333333</v>
      </c>
      <c r="W292" s="25">
        <v>-20.362916666666674</v>
      </c>
      <c r="X292" s="25">
        <v>-11.953333333333333</v>
      </c>
      <c r="Y292" s="25">
        <v>-12.268125000000005</v>
      </c>
      <c r="Z292" s="25">
        <v>-12.330624999999998</v>
      </c>
      <c r="AA292" s="25">
        <v>-12.522708333333334</v>
      </c>
      <c r="AB292" s="25">
        <v>-12.301458333333331</v>
      </c>
      <c r="AC292" s="25">
        <v>-12.989791666666664</v>
      </c>
      <c r="AD292" s="25">
        <v>-8.8749999999999982</v>
      </c>
      <c r="AE292" s="25">
        <v>-9.8666666666666654</v>
      </c>
      <c r="AF292" s="25">
        <v>-9.9625000000000039</v>
      </c>
      <c r="AG292" s="25">
        <v>-11.066666666666677</v>
      </c>
      <c r="AH292" s="25">
        <v>-11.477083333333338</v>
      </c>
      <c r="AI292" s="25">
        <v>-9.697916666666659</v>
      </c>
      <c r="AJ292" s="25">
        <v>-9.3999999999999932</v>
      </c>
      <c r="AK292" s="25">
        <v>-9.837499999999995</v>
      </c>
      <c r="AL292" s="25">
        <v>21.014583333333324</v>
      </c>
      <c r="AM292" s="25">
        <v>20.302083333333332</v>
      </c>
      <c r="AN292" s="25">
        <v>19.706250000000011</v>
      </c>
      <c r="AO292" s="25">
        <v>19.397916666666653</v>
      </c>
      <c r="AP292" s="25">
        <v>21.502083333333328</v>
      </c>
      <c r="AQ292" s="25">
        <v>20.866666666666671</v>
      </c>
      <c r="AR292" s="25">
        <v>20.354166666666654</v>
      </c>
      <c r="AS292" s="25">
        <v>20.077083333333345</v>
      </c>
      <c r="AT292" s="25">
        <v>0.42358333333333348</v>
      </c>
      <c r="AU292" s="25">
        <v>0.24545833333333333</v>
      </c>
      <c r="AV292" s="25">
        <v>0.45606250000000009</v>
      </c>
      <c r="AW292" s="25">
        <v>-14.267708333333331</v>
      </c>
      <c r="AX292" s="25">
        <v>-13.740208333333337</v>
      </c>
      <c r="AY292" s="25">
        <v>-13.093125000000001</v>
      </c>
      <c r="AZ292" s="25"/>
      <c r="BA292" s="25">
        <v>-8.8354166666666618</v>
      </c>
      <c r="BB292" s="25">
        <v>-9.8166666666666647</v>
      </c>
      <c r="BC292" s="25"/>
      <c r="BD292" s="25">
        <v>22.131250000000005</v>
      </c>
      <c r="BE292" s="25">
        <v>21.162500000000001</v>
      </c>
    </row>
    <row r="293" spans="1:57" x14ac:dyDescent="0.25">
      <c r="A293" s="1">
        <v>23</v>
      </c>
      <c r="B293" s="1">
        <v>17.3</v>
      </c>
      <c r="C293" s="22"/>
      <c r="D293" s="23">
        <v>44000</v>
      </c>
      <c r="E293" s="24">
        <v>83.5</v>
      </c>
      <c r="F293" s="24">
        <v>89.604166666666671</v>
      </c>
      <c r="G293" s="24">
        <v>19.364583333333332</v>
      </c>
      <c r="H293" s="24">
        <v>33.70000000000001</v>
      </c>
      <c r="I293" s="24">
        <v>133.85416666666666</v>
      </c>
      <c r="J293" s="24">
        <v>2.25</v>
      </c>
      <c r="K293" s="24">
        <v>8.3333333333333329E-2</v>
      </c>
      <c r="L293" s="24">
        <v>17.564583333333328</v>
      </c>
      <c r="M293" s="10">
        <v>0.24538701069511504</v>
      </c>
      <c r="N293" s="25">
        <v>0.47812499999999997</v>
      </c>
      <c r="O293" s="25">
        <v>0.56689583333333327</v>
      </c>
      <c r="P293" s="25">
        <v>0.61097916666666685</v>
      </c>
      <c r="Q293" s="25">
        <v>0.62447916666666659</v>
      </c>
      <c r="R293" s="25">
        <v>0.6270833333333331</v>
      </c>
      <c r="S293" s="25">
        <v>0.51883333333333348</v>
      </c>
      <c r="T293" s="25">
        <v>0.48672916666666671</v>
      </c>
      <c r="U293" s="25">
        <v>0.42575000000000013</v>
      </c>
      <c r="V293" s="25">
        <v>-13.562083333333341</v>
      </c>
      <c r="W293" s="25">
        <v>-20.096249999999994</v>
      </c>
      <c r="X293" s="25">
        <v>-11.852291666666673</v>
      </c>
      <c r="Y293" s="25">
        <v>-12.253125000000004</v>
      </c>
      <c r="Z293" s="25">
        <v>-12.08312499999999</v>
      </c>
      <c r="AA293" s="25">
        <v>-12.152708333333338</v>
      </c>
      <c r="AB293" s="25">
        <v>-12.171041666666662</v>
      </c>
      <c r="AC293" s="25">
        <v>-12.920208333333322</v>
      </c>
      <c r="AD293" s="25">
        <v>-8.6312500000000068</v>
      </c>
      <c r="AE293" s="25">
        <v>-9.6895833333333385</v>
      </c>
      <c r="AF293" s="25">
        <v>-9.833333333333341</v>
      </c>
      <c r="AG293" s="25">
        <v>-10.820833333333335</v>
      </c>
      <c r="AH293" s="25">
        <v>-11.206249999999999</v>
      </c>
      <c r="AI293" s="25">
        <v>-9.5270833333333318</v>
      </c>
      <c r="AJ293" s="25">
        <v>-9.3083333333333407</v>
      </c>
      <c r="AK293" s="25">
        <v>-9.5479166666666675</v>
      </c>
      <c r="AL293" s="25">
        <v>20.735416666666676</v>
      </c>
      <c r="AM293" s="25">
        <v>20.374999999999989</v>
      </c>
      <c r="AN293" s="25">
        <v>19.843749999999975</v>
      </c>
      <c r="AO293" s="25">
        <v>19.562500000000018</v>
      </c>
      <c r="AP293" s="25">
        <v>20.675000000000001</v>
      </c>
      <c r="AQ293" s="25">
        <v>20.7</v>
      </c>
      <c r="AR293" s="25">
        <v>20.341666666666679</v>
      </c>
      <c r="AS293" s="25">
        <v>20.120833333333334</v>
      </c>
      <c r="AT293" s="25">
        <v>0.47656249999999978</v>
      </c>
      <c r="AU293" s="25">
        <v>0.30439583333333342</v>
      </c>
      <c r="AV293" s="25">
        <v>0.5132916666666667</v>
      </c>
      <c r="AW293" s="25">
        <v>-14.402708333333337</v>
      </c>
      <c r="AX293" s="25">
        <v>-13.921458333333332</v>
      </c>
      <c r="AY293" s="25">
        <v>-13.045833333333329</v>
      </c>
      <c r="AZ293" s="25"/>
      <c r="BA293" s="25">
        <v>-8.5479166666666728</v>
      </c>
      <c r="BB293" s="25">
        <v>-9.4479166666666607</v>
      </c>
      <c r="BC293" s="25"/>
      <c r="BD293" s="25">
        <v>20.541666666666668</v>
      </c>
      <c r="BE293" s="25">
        <v>20.710416666666664</v>
      </c>
    </row>
    <row r="294" spans="1:57" x14ac:dyDescent="0.25">
      <c r="A294" s="1">
        <v>26.8</v>
      </c>
      <c r="B294" s="1">
        <v>17.7</v>
      </c>
      <c r="C294" s="22"/>
      <c r="D294" s="23">
        <v>44001</v>
      </c>
      <c r="E294" s="24">
        <v>137.1875</v>
      </c>
      <c r="F294" s="24">
        <v>86.18125000000002</v>
      </c>
      <c r="G294" s="24">
        <v>21.325000000000003</v>
      </c>
      <c r="H294" s="24">
        <v>0</v>
      </c>
      <c r="I294" s="24">
        <v>157.875</v>
      </c>
      <c r="J294" s="24">
        <v>6.75</v>
      </c>
      <c r="K294" s="24">
        <v>1.0833333333333333</v>
      </c>
      <c r="L294" s="24">
        <v>18.837500000000002</v>
      </c>
      <c r="M294" s="10">
        <v>0.38746013684442299</v>
      </c>
      <c r="N294" s="25">
        <v>0.45285416666666656</v>
      </c>
      <c r="O294" s="25">
        <v>0.54827083333333337</v>
      </c>
      <c r="P294" s="25">
        <v>0.59972916666666687</v>
      </c>
      <c r="Q294" s="25">
        <v>0.60758333333333325</v>
      </c>
      <c r="R294" s="25">
        <v>0.61599999999999977</v>
      </c>
      <c r="S294" s="25">
        <v>0.49620833333333292</v>
      </c>
      <c r="T294" s="25">
        <v>0.47793750000000018</v>
      </c>
      <c r="U294" s="25">
        <v>0.41233333333333344</v>
      </c>
      <c r="V294" s="25">
        <v>-13.542916666666668</v>
      </c>
      <c r="W294" s="25">
        <v>-20.054166666666671</v>
      </c>
      <c r="X294" s="25">
        <v>-11.879999999999995</v>
      </c>
      <c r="Y294" s="25">
        <v>-12.221458333333338</v>
      </c>
      <c r="Z294" s="25">
        <v>-12.058750000000005</v>
      </c>
      <c r="AA294" s="25">
        <v>-12.171666666666674</v>
      </c>
      <c r="AB294" s="25">
        <v>-12.135833333333329</v>
      </c>
      <c r="AC294" s="25">
        <v>-12.918958333333329</v>
      </c>
      <c r="AD294" s="25">
        <v>-8.6749999999999918</v>
      </c>
      <c r="AE294" s="25">
        <v>-9.6125000000000043</v>
      </c>
      <c r="AF294" s="25">
        <v>-9.8000000000000078</v>
      </c>
      <c r="AG294" s="25">
        <v>-10.800000000000006</v>
      </c>
      <c r="AH294" s="25">
        <v>-11.274999999999999</v>
      </c>
      <c r="AI294" s="25">
        <v>-9.5625000000000089</v>
      </c>
      <c r="AJ294" s="25">
        <v>-9.2645833333333325</v>
      </c>
      <c r="AK294" s="25">
        <v>-9.4291666666666583</v>
      </c>
      <c r="AL294" s="25">
        <v>20.327083333333331</v>
      </c>
      <c r="AM294" s="25">
        <v>20.033333333333331</v>
      </c>
      <c r="AN294" s="25">
        <v>19.689583333333346</v>
      </c>
      <c r="AO294" s="25">
        <v>19.479166666666654</v>
      </c>
      <c r="AP294" s="25">
        <v>20.418749999999999</v>
      </c>
      <c r="AQ294" s="25">
        <v>20.195833333333336</v>
      </c>
      <c r="AR294" s="25">
        <v>19.910416666666649</v>
      </c>
      <c r="AS294" s="25">
        <v>19.785416666666688</v>
      </c>
      <c r="AT294" s="25">
        <v>0.44334042553191505</v>
      </c>
      <c r="AU294" s="25">
        <v>0.26281250000000017</v>
      </c>
      <c r="AV294" s="25">
        <v>0.48808333333333365</v>
      </c>
      <c r="AW294" s="25">
        <v>-14.346874999999997</v>
      </c>
      <c r="AX294" s="25">
        <v>-13.845208333333334</v>
      </c>
      <c r="AY294" s="25">
        <v>-13.025</v>
      </c>
      <c r="AZ294" s="25"/>
      <c r="BA294" s="25">
        <v>-8.6249999999999982</v>
      </c>
      <c r="BB294" s="25">
        <v>-9.516666666666671</v>
      </c>
      <c r="BC294" s="25"/>
      <c r="BD294" s="25">
        <v>21.329166666666669</v>
      </c>
      <c r="BE294" s="25">
        <v>20.670833333333338</v>
      </c>
    </row>
    <row r="295" spans="1:57" x14ac:dyDescent="0.25">
      <c r="A295" s="1">
        <v>28.3</v>
      </c>
      <c r="B295" s="1">
        <v>21.2</v>
      </c>
      <c r="C295" s="22"/>
      <c r="D295" s="23">
        <v>44002</v>
      </c>
      <c r="E295" s="24">
        <v>189</v>
      </c>
      <c r="F295" s="24">
        <v>81.218750000000014</v>
      </c>
      <c r="G295" s="24">
        <v>23.835416666666671</v>
      </c>
      <c r="H295" s="24">
        <v>0</v>
      </c>
      <c r="I295" s="24">
        <v>231.08333333333334</v>
      </c>
      <c r="J295" s="24">
        <v>16.9375</v>
      </c>
      <c r="K295" s="24">
        <v>3.9583333333333335</v>
      </c>
      <c r="L295" s="24">
        <v>20.341666666666665</v>
      </c>
      <c r="M295" s="10">
        <v>0.58507081219512269</v>
      </c>
      <c r="N295" s="25">
        <v>0.44066666666666676</v>
      </c>
      <c r="O295" s="25">
        <v>0.53881249999999981</v>
      </c>
      <c r="P295" s="25">
        <v>0.59462499999999974</v>
      </c>
      <c r="Q295" s="25">
        <v>0.60206250000000028</v>
      </c>
      <c r="R295" s="25">
        <v>0.60947916666666679</v>
      </c>
      <c r="S295" s="25">
        <v>0.48639583333333358</v>
      </c>
      <c r="T295" s="25">
        <v>0.47347916666666667</v>
      </c>
      <c r="U295" s="25">
        <v>0.40785416666666691</v>
      </c>
      <c r="V295" s="25">
        <v>-13.483125000000006</v>
      </c>
      <c r="W295" s="25">
        <v>-20.204791666666665</v>
      </c>
      <c r="X295" s="25">
        <v>-11.892083333333337</v>
      </c>
      <c r="Y295" s="25">
        <v>-12.228958333333331</v>
      </c>
      <c r="Z295" s="25">
        <v>-12.194166666666662</v>
      </c>
      <c r="AA295" s="25">
        <v>-12.424791666666669</v>
      </c>
      <c r="AB295" s="25">
        <v>-12.246041666666663</v>
      </c>
      <c r="AC295" s="25">
        <v>-12.940416666666664</v>
      </c>
      <c r="AD295" s="25">
        <v>-8.7333333333333343</v>
      </c>
      <c r="AE295" s="25">
        <v>-9.7333333333333343</v>
      </c>
      <c r="AF295" s="25">
        <v>-9.8333333333333304</v>
      </c>
      <c r="AG295" s="25">
        <v>-10.906249999999995</v>
      </c>
      <c r="AH295" s="25">
        <v>-11.429166666666669</v>
      </c>
      <c r="AI295" s="25">
        <v>-9.6520833333333265</v>
      </c>
      <c r="AJ295" s="25">
        <v>-9.2854166666666735</v>
      </c>
      <c r="AK295" s="25">
        <v>-9.574999999999994</v>
      </c>
      <c r="AL295" s="25">
        <v>20.924999999999997</v>
      </c>
      <c r="AM295" s="25">
        <v>20.227083333333329</v>
      </c>
      <c r="AN295" s="25">
        <v>19.691666666666681</v>
      </c>
      <c r="AO295" s="25">
        <v>19.399999999999984</v>
      </c>
      <c r="AP295" s="25">
        <v>21.408333333333335</v>
      </c>
      <c r="AQ295" s="25">
        <v>20.645833333333336</v>
      </c>
      <c r="AR295" s="25">
        <v>20.131250000000009</v>
      </c>
      <c r="AS295" s="25">
        <v>19.887499999999989</v>
      </c>
      <c r="AT295" s="25">
        <v>0.42852083333333341</v>
      </c>
      <c r="AU295" s="25">
        <v>0.24750000000000005</v>
      </c>
      <c r="AV295" s="25">
        <v>0.4625416666666668</v>
      </c>
      <c r="AW295" s="25">
        <v>-14.200625000000002</v>
      </c>
      <c r="AX295" s="25">
        <v>-13.75583333333333</v>
      </c>
      <c r="AY295" s="25">
        <v>-13.051458333333336</v>
      </c>
      <c r="AZ295" s="25"/>
      <c r="BA295" s="25">
        <v>-8.7791666666666597</v>
      </c>
      <c r="BB295" s="25">
        <v>-9.7479166666666632</v>
      </c>
      <c r="BC295" s="25"/>
      <c r="BD295" s="25">
        <v>22.393749999999986</v>
      </c>
      <c r="BE295" s="25">
        <v>21.404166666666665</v>
      </c>
    </row>
    <row r="296" spans="1:57" x14ac:dyDescent="0.25">
      <c r="A296" s="1">
        <v>28.4</v>
      </c>
      <c r="B296" s="1">
        <v>21.7</v>
      </c>
      <c r="C296" s="22"/>
      <c r="D296" s="23">
        <v>44003</v>
      </c>
      <c r="E296" s="24">
        <v>176.60416666666666</v>
      </c>
      <c r="F296" s="24">
        <v>81.691666666666691</v>
      </c>
      <c r="G296" s="24">
        <v>24.054166666666674</v>
      </c>
      <c r="H296" s="24">
        <v>0</v>
      </c>
      <c r="I296" s="24">
        <v>238.6875</v>
      </c>
      <c r="J296" s="24">
        <v>14.5</v>
      </c>
      <c r="K296" s="24">
        <v>2.5625</v>
      </c>
      <c r="L296" s="24">
        <v>20.68333333333333</v>
      </c>
      <c r="M296" s="10">
        <v>0.56976949284976519</v>
      </c>
      <c r="N296" s="25">
        <v>0.43006249999999996</v>
      </c>
      <c r="O296" s="25">
        <v>0.53116666666666623</v>
      </c>
      <c r="P296" s="25">
        <v>0.59010416666666687</v>
      </c>
      <c r="Q296" s="25">
        <v>0.59862500000000041</v>
      </c>
      <c r="R296" s="25">
        <v>0.60293750000000024</v>
      </c>
      <c r="S296" s="25">
        <v>0.47758333333333308</v>
      </c>
      <c r="T296" s="25">
        <v>0.46987499999999988</v>
      </c>
      <c r="U296" s="25">
        <v>0.40404166666666685</v>
      </c>
      <c r="V296" s="25">
        <v>-13.765208333333332</v>
      </c>
      <c r="W296" s="25">
        <v>-20.819791666666667</v>
      </c>
      <c r="X296" s="25">
        <v>-11.975833333333325</v>
      </c>
      <c r="Y296" s="25">
        <v>-12.328541666666661</v>
      </c>
      <c r="Z296" s="25">
        <v>-13.22625</v>
      </c>
      <c r="AA296" s="25">
        <v>-13.450416666666664</v>
      </c>
      <c r="AB296" s="25">
        <v>-12.677083333333334</v>
      </c>
      <c r="AC296" s="25">
        <v>-13.01354166666667</v>
      </c>
      <c r="AD296" s="25">
        <v>-8.8937500000000025</v>
      </c>
      <c r="AE296" s="25">
        <v>-9.96458333333333</v>
      </c>
      <c r="AF296" s="25">
        <v>-9.8999999999999915</v>
      </c>
      <c r="AG296" s="25">
        <v>-10.987500000000002</v>
      </c>
      <c r="AH296" s="25">
        <v>-11.824999999999996</v>
      </c>
      <c r="AI296" s="25">
        <v>-9.6999999999999922</v>
      </c>
      <c r="AJ296" s="25">
        <v>-9.3000000000000078</v>
      </c>
      <c r="AK296" s="25">
        <v>-9.7437500000000021</v>
      </c>
      <c r="AL296" s="25">
        <v>21.339583333333348</v>
      </c>
      <c r="AM296" s="25">
        <v>20.537500000000009</v>
      </c>
      <c r="AN296" s="25">
        <v>19.872916666666654</v>
      </c>
      <c r="AO296" s="25">
        <v>19.572916666666682</v>
      </c>
      <c r="AP296" s="25">
        <v>21.822916666666661</v>
      </c>
      <c r="AQ296" s="25">
        <v>21.058333333333326</v>
      </c>
      <c r="AR296" s="25">
        <v>20.46458333333333</v>
      </c>
      <c r="AS296" s="25">
        <v>20.200000000000003</v>
      </c>
      <c r="AT296" s="25">
        <v>0.41349999999999981</v>
      </c>
      <c r="AU296" s="25">
        <v>0.23077083333333337</v>
      </c>
      <c r="AV296" s="25">
        <v>0.43854166666666666</v>
      </c>
      <c r="AW296" s="25">
        <v>-14.177291666666676</v>
      </c>
      <c r="AX296" s="25">
        <v>-13.84958333333333</v>
      </c>
      <c r="AY296" s="25">
        <v>-13.257083333333336</v>
      </c>
      <c r="AZ296" s="25"/>
      <c r="BA296" s="25">
        <v>-9.2104166666666689</v>
      </c>
      <c r="BB296" s="25">
        <v>-10.083333333333332</v>
      </c>
      <c r="BC296" s="25"/>
      <c r="BD296" s="25">
        <v>22.616666666666664</v>
      </c>
      <c r="BE296" s="25">
        <v>21.806250000000002</v>
      </c>
    </row>
    <row r="297" spans="1:57" x14ac:dyDescent="0.25">
      <c r="A297" s="1">
        <v>28</v>
      </c>
      <c r="B297" s="1">
        <v>19.5</v>
      </c>
      <c r="C297" s="22"/>
      <c r="D297" s="23">
        <v>44004</v>
      </c>
      <c r="E297" s="24">
        <v>119.64583333333333</v>
      </c>
      <c r="F297" s="24">
        <v>82.587499999999991</v>
      </c>
      <c r="G297" s="24">
        <v>23.274999999999995</v>
      </c>
      <c r="H297" s="24">
        <v>0.2</v>
      </c>
      <c r="I297" s="24">
        <v>237.95833333333334</v>
      </c>
      <c r="J297" s="24">
        <v>9.0625</v>
      </c>
      <c r="K297" s="24">
        <v>1.4375</v>
      </c>
      <c r="L297" s="24">
        <v>20.058333333333334</v>
      </c>
      <c r="M297" s="10">
        <v>0.52868193151200105</v>
      </c>
      <c r="N297" s="25">
        <v>0.41993749999999991</v>
      </c>
      <c r="O297" s="25">
        <v>0.5247916666666661</v>
      </c>
      <c r="P297" s="25">
        <v>0.5860208333333331</v>
      </c>
      <c r="Q297" s="25">
        <v>0.59556250000000033</v>
      </c>
      <c r="R297" s="25">
        <v>0.59600000000000009</v>
      </c>
      <c r="S297" s="25">
        <v>0.46993750000000017</v>
      </c>
      <c r="T297" s="25">
        <v>0.46637499999999971</v>
      </c>
      <c r="U297" s="25">
        <v>0.40081250000000024</v>
      </c>
      <c r="V297" s="25">
        <v>-16.569999999999997</v>
      </c>
      <c r="W297" s="25">
        <v>-22.081041666666668</v>
      </c>
      <c r="X297" s="25">
        <v>-12.107708333333335</v>
      </c>
      <c r="Y297" s="25">
        <v>-12.526874999999999</v>
      </c>
      <c r="Z297" s="25">
        <v>-16.081041666666668</v>
      </c>
      <c r="AA297" s="25">
        <v>-15.208541666666669</v>
      </c>
      <c r="AB297" s="25">
        <v>-13.789374999999998</v>
      </c>
      <c r="AC297" s="25">
        <v>-13.254374999999996</v>
      </c>
      <c r="AD297" s="25">
        <v>-9.2958333333333307</v>
      </c>
      <c r="AE297" s="25">
        <v>-10.337499999999997</v>
      </c>
      <c r="AF297" s="25">
        <v>-9.8999999999999915</v>
      </c>
      <c r="AG297" s="25">
        <v>-11.091666666666669</v>
      </c>
      <c r="AH297" s="25">
        <v>-13.527083333333337</v>
      </c>
      <c r="AI297" s="25">
        <v>-9.7375000000000007</v>
      </c>
      <c r="AJ297" s="25">
        <v>-9.3333333333333304</v>
      </c>
      <c r="AK297" s="25">
        <v>-9.8000000000000078</v>
      </c>
      <c r="AL297" s="25">
        <v>21.495833333333341</v>
      </c>
      <c r="AM297" s="25">
        <v>20.720833333333335</v>
      </c>
      <c r="AN297" s="25">
        <v>20.062500000000014</v>
      </c>
      <c r="AO297" s="25">
        <v>19.754166666666645</v>
      </c>
      <c r="AP297" s="25">
        <v>21.872916666666665</v>
      </c>
      <c r="AQ297" s="25">
        <v>21.254166666666666</v>
      </c>
      <c r="AR297" s="25">
        <v>20.685416666666672</v>
      </c>
      <c r="AS297" s="25">
        <v>20.404166666666654</v>
      </c>
      <c r="AT297" s="25">
        <v>0.40035555555555558</v>
      </c>
      <c r="AU297" s="25">
        <v>0.2152916666666668</v>
      </c>
      <c r="AV297" s="25">
        <v>0.41437499999999994</v>
      </c>
      <c r="AW297" s="25">
        <v>-14.528750000000004</v>
      </c>
      <c r="AX297" s="25">
        <v>-14.48020833333333</v>
      </c>
      <c r="AY297" s="25">
        <v>-14.136875000000002</v>
      </c>
      <c r="AZ297" s="25"/>
      <c r="BA297" s="25">
        <v>-11.814583333333333</v>
      </c>
      <c r="BB297" s="25">
        <v>-10.497916666666669</v>
      </c>
      <c r="BC297" s="25"/>
      <c r="BD297" s="25">
        <v>22.216666666666665</v>
      </c>
      <c r="BE297" s="25">
        <v>21.954166666666666</v>
      </c>
    </row>
    <row r="298" spans="1:57" x14ac:dyDescent="0.25">
      <c r="A298" s="1">
        <v>25.3</v>
      </c>
      <c r="B298" s="1">
        <v>18.3</v>
      </c>
      <c r="C298" s="22"/>
      <c r="D298" s="23">
        <v>44005</v>
      </c>
      <c r="E298" s="24">
        <v>80.25</v>
      </c>
      <c r="F298" s="24">
        <v>91.237500000000011</v>
      </c>
      <c r="G298" s="24">
        <v>20.791666666666668</v>
      </c>
      <c r="H298" s="24">
        <v>12.399999999999997</v>
      </c>
      <c r="I298" s="24">
        <v>227.41666666666666</v>
      </c>
      <c r="J298" s="24">
        <v>2.0833333333333335</v>
      </c>
      <c r="K298" s="24">
        <v>0</v>
      </c>
      <c r="L298" s="24">
        <v>19.277083333333334</v>
      </c>
      <c r="M298" s="10">
        <v>0.22886513168394088</v>
      </c>
      <c r="N298" s="25">
        <v>0.41724999999999973</v>
      </c>
      <c r="O298" s="25">
        <v>0.52697916666666655</v>
      </c>
      <c r="P298" s="25">
        <v>0.5878958333333334</v>
      </c>
      <c r="Q298" s="25">
        <v>0.59456249999999955</v>
      </c>
      <c r="R298" s="25">
        <v>0.59189583333333329</v>
      </c>
      <c r="S298" s="25">
        <v>0.46579166666666644</v>
      </c>
      <c r="T298" s="25">
        <v>0.46433333333333349</v>
      </c>
      <c r="U298" s="25">
        <v>0.39939583333333384</v>
      </c>
      <c r="V298" s="25">
        <v>-16.874374999999997</v>
      </c>
      <c r="W298" s="25">
        <v>-20.709166666666665</v>
      </c>
      <c r="X298" s="25">
        <v>-12.241041666666666</v>
      </c>
      <c r="Y298" s="25">
        <v>-12.798541666666658</v>
      </c>
      <c r="Z298" s="25">
        <v>-13.883333333333331</v>
      </c>
      <c r="AA298" s="25">
        <v>-16.781458333333337</v>
      </c>
      <c r="AB298" s="25">
        <v>-14.776666666666666</v>
      </c>
      <c r="AC298" s="25">
        <v>-13.790625</v>
      </c>
      <c r="AD298" s="25">
        <v>-9.5250000000000075</v>
      </c>
      <c r="AE298" s="25">
        <v>-10.541666666666677</v>
      </c>
      <c r="AF298" s="25">
        <v>-9.8999999999999915</v>
      </c>
      <c r="AG298" s="25">
        <v>-11.162500000000001</v>
      </c>
      <c r="AH298" s="25">
        <v>-13.524999999999993</v>
      </c>
      <c r="AI298" s="25">
        <v>-9.666666666666675</v>
      </c>
      <c r="AJ298" s="25">
        <v>-9.3791666666666664</v>
      </c>
      <c r="AK298" s="25">
        <v>-9.8000000000000078</v>
      </c>
      <c r="AL298" s="25">
        <v>21.060416666666672</v>
      </c>
      <c r="AM298" s="25">
        <v>20.635416666666671</v>
      </c>
      <c r="AN298" s="25">
        <v>20.11041666666668</v>
      </c>
      <c r="AO298" s="25">
        <v>19.829166666666644</v>
      </c>
      <c r="AP298" s="25">
        <v>21.147916666666671</v>
      </c>
      <c r="AQ298" s="25">
        <v>20.947916666666668</v>
      </c>
      <c r="AR298" s="25">
        <v>20.564583333333328</v>
      </c>
      <c r="AS298" s="25">
        <v>20.385416666666639</v>
      </c>
      <c r="AT298" s="25">
        <v>0.43340909090909108</v>
      </c>
      <c r="AU298" s="25">
        <v>0.260625</v>
      </c>
      <c r="AV298" s="25">
        <v>0.45954166666666668</v>
      </c>
      <c r="AW298" s="25">
        <v>-14.574791666666664</v>
      </c>
      <c r="AX298" s="25">
        <v>-14.721250000000003</v>
      </c>
      <c r="AY298" s="25">
        <v>-14.058125000000004</v>
      </c>
      <c r="AZ298" s="25"/>
      <c r="BA298" s="25">
        <v>-11.52708333333333</v>
      </c>
      <c r="BB298" s="25">
        <v>-10.483333333333325</v>
      </c>
      <c r="BC298" s="25"/>
      <c r="BD298" s="25">
        <v>21.358333333333334</v>
      </c>
      <c r="BE298" s="25">
        <v>21.422916666666666</v>
      </c>
    </row>
    <row r="299" spans="1:57" x14ac:dyDescent="0.25">
      <c r="A299" s="1">
        <v>22.6</v>
      </c>
      <c r="B299" s="1">
        <v>18.399999999999999</v>
      </c>
      <c r="C299" s="22"/>
      <c r="D299" s="23">
        <v>44006</v>
      </c>
      <c r="E299" s="24">
        <v>80.916666666666671</v>
      </c>
      <c r="F299" s="24">
        <v>93.762499999999989</v>
      </c>
      <c r="G299" s="24">
        <v>20.022916666666667</v>
      </c>
      <c r="H299" s="24">
        <v>51.200000000000024</v>
      </c>
      <c r="I299" s="24">
        <v>171.125</v>
      </c>
      <c r="J299" s="24">
        <v>1.2916666666666667</v>
      </c>
      <c r="K299" s="24">
        <v>0</v>
      </c>
      <c r="L299" s="24">
        <v>18.970833333333335</v>
      </c>
      <c r="M299" s="10">
        <v>0.15191600159051757</v>
      </c>
      <c r="N299" s="25">
        <v>0.48535416666666675</v>
      </c>
      <c r="O299" s="25">
        <v>0.56883333333333341</v>
      </c>
      <c r="P299" s="25">
        <v>0.61314583333333339</v>
      </c>
      <c r="Q299" s="25">
        <v>0.62818749999999979</v>
      </c>
      <c r="R299" s="25">
        <v>0.62518750000000012</v>
      </c>
      <c r="S299" s="25">
        <v>0.52606249999999999</v>
      </c>
      <c r="T299" s="25">
        <v>0.48958333333333331</v>
      </c>
      <c r="U299" s="25">
        <v>0.43685416666666682</v>
      </c>
      <c r="V299" s="25">
        <v>-13.635833333333332</v>
      </c>
      <c r="W299" s="25">
        <v>-20.218750000000004</v>
      </c>
      <c r="X299" s="25">
        <v>-11.862083333333336</v>
      </c>
      <c r="Y299" s="25">
        <v>-12.409166666666666</v>
      </c>
      <c r="Z299" s="25">
        <v>-11.999375000000001</v>
      </c>
      <c r="AA299" s="25">
        <v>-12.73333333333334</v>
      </c>
      <c r="AB299" s="25">
        <v>-12.675208333333336</v>
      </c>
      <c r="AC299" s="25">
        <v>-13.29104166666667</v>
      </c>
      <c r="AD299" s="25">
        <v>-8.9562499999999954</v>
      </c>
      <c r="AE299" s="25">
        <v>-10.07916666666666</v>
      </c>
      <c r="AF299" s="25">
        <v>-9.6229166666666686</v>
      </c>
      <c r="AG299" s="25">
        <v>-10.670833333333334</v>
      </c>
      <c r="AH299" s="25">
        <v>-12.5625</v>
      </c>
      <c r="AI299" s="25">
        <v>-9.5145833333333325</v>
      </c>
      <c r="AJ299" s="25">
        <v>-9.145833333333341</v>
      </c>
      <c r="AK299" s="25">
        <v>-9.4104166666666735</v>
      </c>
      <c r="AL299" s="25">
        <v>20.766666666666666</v>
      </c>
      <c r="AM299" s="25">
        <v>20.497916666666658</v>
      </c>
      <c r="AN299" s="25">
        <v>20.137500000000006</v>
      </c>
      <c r="AO299" s="25">
        <v>19.927083333333329</v>
      </c>
      <c r="AP299" s="25">
        <v>20.779166666666661</v>
      </c>
      <c r="AQ299" s="25">
        <v>20.700000000000014</v>
      </c>
      <c r="AR299" s="25">
        <v>20.389583333333309</v>
      </c>
      <c r="AS299" s="25">
        <v>20.237500000000022</v>
      </c>
      <c r="AT299" s="25">
        <v>0.51617391304347826</v>
      </c>
      <c r="AU299" s="25">
        <v>0.38379166666666648</v>
      </c>
      <c r="AV299" s="25">
        <v>0.53262500000000002</v>
      </c>
      <c r="AW299" s="25">
        <v>-14.507708333333332</v>
      </c>
      <c r="AX299" s="25">
        <v>-14.287916666666669</v>
      </c>
      <c r="AY299" s="25">
        <v>-13.248125</v>
      </c>
      <c r="AZ299" s="25"/>
      <c r="BA299" s="25">
        <v>-9.8520833333333311</v>
      </c>
      <c r="BB299" s="25">
        <v>-9.81666666666667</v>
      </c>
      <c r="BC299" s="25"/>
      <c r="BD299" s="25">
        <v>20.908333333333331</v>
      </c>
      <c r="BE299" s="25">
        <v>20.864583333333343</v>
      </c>
    </row>
    <row r="300" spans="1:57" x14ac:dyDescent="0.25">
      <c r="A300" s="1">
        <v>29.5</v>
      </c>
      <c r="B300" s="1">
        <v>18.600000000000001</v>
      </c>
      <c r="C300" s="22"/>
      <c r="D300" s="23">
        <v>44007</v>
      </c>
      <c r="E300" s="24">
        <v>237.54166666666666</v>
      </c>
      <c r="F300" s="24">
        <v>81.324999999999989</v>
      </c>
      <c r="G300" s="24">
        <v>22.402083333333334</v>
      </c>
      <c r="H300" s="24">
        <v>0</v>
      </c>
      <c r="I300" s="24">
        <v>230.10416666666666</v>
      </c>
      <c r="J300" s="24">
        <v>3.1458333333333335</v>
      </c>
      <c r="K300" s="24">
        <v>0.27083333333333331</v>
      </c>
      <c r="L300" s="24">
        <v>18.706250000000001</v>
      </c>
      <c r="M300" s="10">
        <v>0.61139474585586717</v>
      </c>
      <c r="N300" s="25">
        <v>0.45924999999999977</v>
      </c>
      <c r="O300" s="25">
        <v>0.55256249999999996</v>
      </c>
      <c r="P300" s="25">
        <v>0.60300000000000009</v>
      </c>
      <c r="Q300" s="25">
        <v>0.61114583333333328</v>
      </c>
      <c r="R300" s="25">
        <v>0.61902083333333313</v>
      </c>
      <c r="S300" s="25">
        <v>0.50108333333333321</v>
      </c>
      <c r="T300" s="25">
        <v>0.4798124999999997</v>
      </c>
      <c r="U300" s="25">
        <v>0.41368749999999999</v>
      </c>
      <c r="V300" s="25">
        <v>-13.478541666666672</v>
      </c>
      <c r="W300" s="25">
        <v>-20</v>
      </c>
      <c r="X300" s="25">
        <v>-11.828750000000001</v>
      </c>
      <c r="Y300" s="25">
        <v>-12.273124999999995</v>
      </c>
      <c r="Z300" s="25">
        <v>-11.981458333333331</v>
      </c>
      <c r="AA300" s="25">
        <v>-12.092499999999994</v>
      </c>
      <c r="AB300" s="25">
        <v>-12.15791666666667</v>
      </c>
      <c r="AC300" s="25">
        <v>-13.125000000000005</v>
      </c>
      <c r="AD300" s="25">
        <v>-8.9291666666666654</v>
      </c>
      <c r="AE300" s="25">
        <v>-9.9562500000000025</v>
      </c>
      <c r="AF300" s="25">
        <v>-9.5145833333333361</v>
      </c>
      <c r="AG300" s="25">
        <v>-10.558333333333344</v>
      </c>
      <c r="AH300" s="25">
        <v>-12.545833333333343</v>
      </c>
      <c r="AI300" s="25">
        <v>-9.5416666666666767</v>
      </c>
      <c r="AJ300" s="25">
        <v>-9.1000000000000068</v>
      </c>
      <c r="AK300" s="25">
        <v>-9.3000000000000078</v>
      </c>
      <c r="AL300" s="25">
        <v>20.897916666666664</v>
      </c>
      <c r="AM300" s="25">
        <v>20.402083333333326</v>
      </c>
      <c r="AN300" s="25">
        <v>20.012499999999999</v>
      </c>
      <c r="AO300" s="25">
        <v>19.839583333333312</v>
      </c>
      <c r="AP300" s="25">
        <v>21.168749999999996</v>
      </c>
      <c r="AQ300" s="25">
        <v>20.675000000000001</v>
      </c>
      <c r="AR300" s="25">
        <v>20.289583333333336</v>
      </c>
      <c r="AS300" s="25">
        <v>20.145833333333346</v>
      </c>
      <c r="AT300" s="25">
        <v>0.45520833333333338</v>
      </c>
      <c r="AU300" s="25">
        <v>0.27483333333333332</v>
      </c>
      <c r="AV300" s="25">
        <v>0.49158333333333343</v>
      </c>
      <c r="AW300" s="25">
        <v>-14.417499999999999</v>
      </c>
      <c r="AX300" s="25">
        <v>-14.169166666666667</v>
      </c>
      <c r="AY300" s="25">
        <v>-13.206875000000004</v>
      </c>
      <c r="AZ300" s="25"/>
      <c r="BA300" s="25">
        <v>-9.9312499999999986</v>
      </c>
      <c r="BB300" s="25">
        <v>-9.8229166666666661</v>
      </c>
      <c r="BC300" s="25"/>
      <c r="BD300" s="25">
        <v>22.110416666666666</v>
      </c>
      <c r="BE300" s="25">
        <v>20.897916666666664</v>
      </c>
    </row>
    <row r="301" spans="1:57" x14ac:dyDescent="0.25">
      <c r="A301" s="1">
        <v>28.7</v>
      </c>
      <c r="B301" s="1">
        <v>20</v>
      </c>
      <c r="C301" s="22"/>
      <c r="D301" s="23">
        <v>44008</v>
      </c>
      <c r="E301" s="24">
        <v>178.16666666666666</v>
      </c>
      <c r="F301" s="24">
        <v>82.808333333333351</v>
      </c>
      <c r="G301" s="24">
        <v>23.464583333333334</v>
      </c>
      <c r="H301" s="24">
        <v>2.5999999999999996</v>
      </c>
      <c r="I301" s="24">
        <v>234.79166666666666</v>
      </c>
      <c r="J301" s="24">
        <v>12.958333333333334</v>
      </c>
      <c r="K301" s="24">
        <v>2.3125</v>
      </c>
      <c r="L301" s="24">
        <v>20.297916666666662</v>
      </c>
      <c r="M301" s="10">
        <v>0.53241163955690018</v>
      </c>
      <c r="N301" s="25">
        <v>0.44270833333333343</v>
      </c>
      <c r="O301" s="25">
        <v>0.54056250000000028</v>
      </c>
      <c r="P301" s="25">
        <v>0.59639583333333357</v>
      </c>
      <c r="Q301" s="25">
        <v>0.60543749999999996</v>
      </c>
      <c r="R301" s="25">
        <v>0.61095833333333349</v>
      </c>
      <c r="S301" s="25">
        <v>0.4860833333333337</v>
      </c>
      <c r="T301" s="25">
        <v>0.47439583333333352</v>
      </c>
      <c r="U301" s="25">
        <v>0.40770833333333328</v>
      </c>
      <c r="V301" s="25">
        <v>-13.458958333333335</v>
      </c>
      <c r="W301" s="25">
        <v>-20.171250000000004</v>
      </c>
      <c r="X301" s="25">
        <v>-11.855416666666663</v>
      </c>
      <c r="Y301" s="25">
        <v>-12.268749999999999</v>
      </c>
      <c r="Z301" s="25">
        <v>-12.16666666666667</v>
      </c>
      <c r="AA301" s="25">
        <v>-12.383125000000005</v>
      </c>
      <c r="AB301" s="25">
        <v>-12.302291666666669</v>
      </c>
      <c r="AC301" s="25">
        <v>-13.214166666666662</v>
      </c>
      <c r="AD301" s="25">
        <v>-9</v>
      </c>
      <c r="AE301" s="25">
        <v>-10.03333333333334</v>
      </c>
      <c r="AF301" s="25">
        <v>-9.6124999999999989</v>
      </c>
      <c r="AG301" s="25">
        <v>-10.722916666666668</v>
      </c>
      <c r="AH301" s="25">
        <v>-12.631250000000009</v>
      </c>
      <c r="AI301" s="25">
        <v>-9.6437499999999936</v>
      </c>
      <c r="AJ301" s="25">
        <v>-9.10208333333334</v>
      </c>
      <c r="AK301" s="25">
        <v>-9.429166666666676</v>
      </c>
      <c r="AL301" s="25">
        <v>21.270833333333332</v>
      </c>
      <c r="AM301" s="25">
        <v>20.610416666666676</v>
      </c>
      <c r="AN301" s="25">
        <v>20.093750000000014</v>
      </c>
      <c r="AO301" s="25">
        <v>19.872916666666651</v>
      </c>
      <c r="AP301" s="25">
        <v>21.59375</v>
      </c>
      <c r="AQ301" s="25">
        <v>21.016666666666659</v>
      </c>
      <c r="AR301" s="25">
        <v>20.539583333333336</v>
      </c>
      <c r="AS301" s="25">
        <v>20.314583333333321</v>
      </c>
      <c r="AT301" s="25">
        <v>0.43172093023255814</v>
      </c>
      <c r="AU301" s="25">
        <v>0.24993749999999995</v>
      </c>
      <c r="AV301" s="25">
        <v>0.45900000000000002</v>
      </c>
      <c r="AW301" s="25">
        <v>-14.383750000000004</v>
      </c>
      <c r="AX301" s="25">
        <v>-14.131666666666669</v>
      </c>
      <c r="AY301" s="25">
        <v>-13.332499999999996</v>
      </c>
      <c r="AZ301" s="25"/>
      <c r="BA301" s="25">
        <v>-10.064583333333335</v>
      </c>
      <c r="BB301" s="25">
        <v>-9.9479166666666696</v>
      </c>
      <c r="BC301" s="25"/>
      <c r="BD301" s="25">
        <v>22.450000000000003</v>
      </c>
      <c r="BE301" s="25">
        <v>21.312499999999996</v>
      </c>
    </row>
    <row r="302" spans="1:57" x14ac:dyDescent="0.25">
      <c r="A302" s="1">
        <v>25.7</v>
      </c>
      <c r="B302" s="1">
        <v>21.7</v>
      </c>
      <c r="C302" s="22"/>
      <c r="D302" s="23">
        <v>44009</v>
      </c>
      <c r="E302" s="24">
        <v>156.6875</v>
      </c>
      <c r="F302" s="24">
        <v>82.96041666666666</v>
      </c>
      <c r="G302" s="24">
        <v>23.404166666666665</v>
      </c>
      <c r="H302" s="24">
        <v>6.4</v>
      </c>
      <c r="I302" s="24">
        <v>227.83333333333334</v>
      </c>
      <c r="J302" s="24">
        <v>18.791666666666668</v>
      </c>
      <c r="K302" s="24">
        <v>5.041666666666667</v>
      </c>
      <c r="L302" s="24">
        <v>20.310416666666665</v>
      </c>
      <c r="M302" s="10">
        <v>0.50242844153624178</v>
      </c>
      <c r="N302" s="25">
        <v>0.44622916666666695</v>
      </c>
      <c r="O302" s="25">
        <v>0.55133333333333356</v>
      </c>
      <c r="P302" s="25">
        <v>0.6023333333333335</v>
      </c>
      <c r="Q302" s="25">
        <v>0.6085833333333337</v>
      </c>
      <c r="R302" s="25">
        <v>0.62472916666666667</v>
      </c>
      <c r="S302" s="25">
        <v>0.48583333333333362</v>
      </c>
      <c r="T302" s="25">
        <v>0.47187499999999999</v>
      </c>
      <c r="U302" s="25">
        <v>0.40575000000000006</v>
      </c>
      <c r="V302" s="25">
        <v>-13.416666666666663</v>
      </c>
      <c r="W302" s="25">
        <v>-19.67625</v>
      </c>
      <c r="X302" s="25">
        <v>-11.806041666666667</v>
      </c>
      <c r="Y302" s="25">
        <v>-12.300833333333332</v>
      </c>
      <c r="Z302" s="25">
        <v>-11.954791666666672</v>
      </c>
      <c r="AA302" s="25">
        <v>-12.258958333333338</v>
      </c>
      <c r="AB302" s="25">
        <v>-12.483541666666662</v>
      </c>
      <c r="AC302" s="25">
        <v>-13.262916666666657</v>
      </c>
      <c r="AD302" s="25">
        <v>-8.8354166666666654</v>
      </c>
      <c r="AE302" s="25">
        <v>-10.018749999999999</v>
      </c>
      <c r="AF302" s="25">
        <v>-9.6354166666666696</v>
      </c>
      <c r="AG302" s="25">
        <v>-10.800000000000006</v>
      </c>
      <c r="AH302" s="25">
        <v>-12.306249999999997</v>
      </c>
      <c r="AI302" s="25">
        <v>-9.604166666666675</v>
      </c>
      <c r="AJ302" s="25">
        <v>-9.1062500000000064</v>
      </c>
      <c r="AK302" s="25">
        <v>-9.5312500000000018</v>
      </c>
      <c r="AL302" s="25">
        <v>21.535416666666674</v>
      </c>
      <c r="AM302" s="25">
        <v>20.833333333333318</v>
      </c>
      <c r="AN302" s="25">
        <v>20.212500000000002</v>
      </c>
      <c r="AO302" s="25">
        <v>19.958333333333332</v>
      </c>
      <c r="AP302" s="25">
        <v>21.831249999999997</v>
      </c>
      <c r="AQ302" s="25">
        <v>21.304166666666664</v>
      </c>
      <c r="AR302" s="25">
        <v>20.787500000000001</v>
      </c>
      <c r="AS302" s="25">
        <v>20.545833333333345</v>
      </c>
      <c r="AT302" s="25">
        <v>0.45354166666666651</v>
      </c>
      <c r="AU302" s="25">
        <v>0.2754791666666665</v>
      </c>
      <c r="AV302" s="25">
        <v>0.48714583333333333</v>
      </c>
      <c r="AW302" s="25">
        <v>-14.30833333333333</v>
      </c>
      <c r="AX302" s="25">
        <v>-14.0375</v>
      </c>
      <c r="AY302" s="25">
        <v>-13.203958333333333</v>
      </c>
      <c r="AZ302" s="25"/>
      <c r="BA302" s="25">
        <v>-9.7541666666666664</v>
      </c>
      <c r="BB302" s="25">
        <v>-9.6479166666666671</v>
      </c>
      <c r="BC302" s="25"/>
      <c r="BD302" s="25">
        <v>22.381249999999998</v>
      </c>
      <c r="BE302" s="25">
        <v>21.720833333333335</v>
      </c>
    </row>
    <row r="303" spans="1:57" x14ac:dyDescent="0.25">
      <c r="A303" s="1">
        <v>26.9</v>
      </c>
      <c r="B303" s="1">
        <v>21.7</v>
      </c>
      <c r="C303" s="22"/>
      <c r="D303" s="23">
        <v>44010</v>
      </c>
      <c r="E303" s="24">
        <v>159.95833333333334</v>
      </c>
      <c r="F303" s="24">
        <v>80.972916666666663</v>
      </c>
      <c r="G303" s="24">
        <v>23.975000000000009</v>
      </c>
      <c r="H303" s="24">
        <v>0</v>
      </c>
      <c r="I303" s="24">
        <v>232.75</v>
      </c>
      <c r="J303" s="24">
        <v>13.895833333333334</v>
      </c>
      <c r="K303" s="24">
        <v>2.7708333333333335</v>
      </c>
      <c r="L303" s="24">
        <v>20.481249999999999</v>
      </c>
      <c r="M303" s="10">
        <v>0.58103213173891732</v>
      </c>
      <c r="N303" s="25">
        <v>0.43518750000000006</v>
      </c>
      <c r="O303" s="25">
        <v>0.53797916666666634</v>
      </c>
      <c r="P303" s="25">
        <v>0.59650000000000036</v>
      </c>
      <c r="Q303" s="25">
        <v>0.60756250000000056</v>
      </c>
      <c r="R303" s="25">
        <v>0.61366666666666636</v>
      </c>
      <c r="S303" s="25">
        <v>0.47997916666666685</v>
      </c>
      <c r="T303" s="25">
        <v>0.46995833333333331</v>
      </c>
      <c r="U303" s="25">
        <v>0.40372916666666692</v>
      </c>
      <c r="V303" s="25">
        <v>-13.439375000000004</v>
      </c>
      <c r="W303" s="25">
        <v>-20.250625000000003</v>
      </c>
      <c r="X303" s="25">
        <v>-11.85375</v>
      </c>
      <c r="Y303" s="25">
        <v>-12.343124999999995</v>
      </c>
      <c r="Z303" s="25">
        <v>-12.111875</v>
      </c>
      <c r="AA303" s="25">
        <v>-12.615833333333335</v>
      </c>
      <c r="AB303" s="25">
        <v>-12.85</v>
      </c>
      <c r="AC303" s="25">
        <v>-13.369791666666666</v>
      </c>
      <c r="AD303" s="25">
        <v>-8.8895833333333272</v>
      </c>
      <c r="AE303" s="25">
        <v>-10.081250000000001</v>
      </c>
      <c r="AF303" s="25">
        <v>-9.6604166666666593</v>
      </c>
      <c r="AG303" s="25">
        <v>-10.81041666666667</v>
      </c>
      <c r="AH303" s="25">
        <v>-12.391666666666666</v>
      </c>
      <c r="AI303" s="25">
        <v>-9.6604166666666593</v>
      </c>
      <c r="AJ303" s="25">
        <v>-9.1000000000000068</v>
      </c>
      <c r="AK303" s="25">
        <v>-9.5687500000000103</v>
      </c>
      <c r="AL303" s="25">
        <v>21.564583333333331</v>
      </c>
      <c r="AM303" s="25">
        <v>20.904166666666651</v>
      </c>
      <c r="AN303" s="25">
        <v>20.299999999999983</v>
      </c>
      <c r="AO303" s="25">
        <v>20.064583333333349</v>
      </c>
      <c r="AP303" s="25">
        <v>21.902083333333334</v>
      </c>
      <c r="AQ303" s="25">
        <v>21.341666666666665</v>
      </c>
      <c r="AR303" s="25">
        <v>20.858333333333317</v>
      </c>
      <c r="AS303" s="25">
        <v>20.61458333333335</v>
      </c>
      <c r="AT303" s="25">
        <v>0.43275000000000013</v>
      </c>
      <c r="AU303" s="25">
        <v>0.2508333333333333</v>
      </c>
      <c r="AV303" s="25">
        <v>0.45933333333333337</v>
      </c>
      <c r="AW303" s="25">
        <v>-14.273333333333332</v>
      </c>
      <c r="AX303" s="25">
        <v>-14.036874999999997</v>
      </c>
      <c r="AY303" s="25">
        <v>-13.292291666666666</v>
      </c>
      <c r="AZ303" s="25"/>
      <c r="BA303" s="25">
        <v>-9.8499999999999925</v>
      </c>
      <c r="BB303" s="25">
        <v>-9.8062500000000004</v>
      </c>
      <c r="BC303" s="25"/>
      <c r="BD303" s="25">
        <v>22.562499999999996</v>
      </c>
      <c r="BE303" s="25">
        <v>21.862499999999997</v>
      </c>
    </row>
    <row r="304" spans="1:57" x14ac:dyDescent="0.25">
      <c r="A304" s="1">
        <v>30.1</v>
      </c>
      <c r="B304" s="1">
        <v>21.8</v>
      </c>
      <c r="C304" s="22"/>
      <c r="D304" s="23">
        <v>44011</v>
      </c>
      <c r="E304" s="24">
        <v>198.97916666666666</v>
      </c>
      <c r="F304" s="24">
        <v>79.670833333333334</v>
      </c>
      <c r="G304" s="24">
        <v>24.729166666666668</v>
      </c>
      <c r="H304" s="24">
        <v>0</v>
      </c>
      <c r="I304" s="24">
        <v>239.29166666666666</v>
      </c>
      <c r="J304" s="24">
        <v>10.020833333333334</v>
      </c>
      <c r="K304" s="24">
        <v>1.5833333333333333</v>
      </c>
      <c r="L304" s="24">
        <v>20.870833333333334</v>
      </c>
      <c r="M304" s="10">
        <v>0.6786145018004559</v>
      </c>
      <c r="N304" s="25">
        <v>0.42435416666666687</v>
      </c>
      <c r="O304" s="25">
        <v>0.52987499999999976</v>
      </c>
      <c r="P304" s="25">
        <v>0.59085416666666679</v>
      </c>
      <c r="Q304" s="25">
        <v>0.60385416666666658</v>
      </c>
      <c r="R304" s="25">
        <v>0.60520833333333335</v>
      </c>
      <c r="S304" s="25">
        <v>0.4705416666666668</v>
      </c>
      <c r="T304" s="25">
        <v>0.46579166666666644</v>
      </c>
      <c r="U304" s="25">
        <v>0.40052083333333321</v>
      </c>
      <c r="V304" s="25">
        <v>-13.927499999999997</v>
      </c>
      <c r="W304" s="25">
        <v>-21.271458333333332</v>
      </c>
      <c r="X304" s="25">
        <v>-11.979166666666666</v>
      </c>
      <c r="Y304" s="25">
        <v>-12.547708333333333</v>
      </c>
      <c r="Z304" s="25">
        <v>-12.99375</v>
      </c>
      <c r="AA304" s="25">
        <v>-14.311249999999999</v>
      </c>
      <c r="AB304" s="25">
        <v>-14.114791666666664</v>
      </c>
      <c r="AC304" s="25">
        <v>-13.836249999999998</v>
      </c>
      <c r="AD304" s="25">
        <v>-9.0229166666666689</v>
      </c>
      <c r="AE304" s="25">
        <v>-10.414583333333329</v>
      </c>
      <c r="AF304" s="25">
        <v>-9.6999999999999922</v>
      </c>
      <c r="AG304" s="25">
        <v>-10.966666666666674</v>
      </c>
      <c r="AH304" s="25">
        <v>-13.124999999999998</v>
      </c>
      <c r="AI304" s="25">
        <v>-9.7354166666666675</v>
      </c>
      <c r="AJ304" s="25">
        <v>-9.1499999999999932</v>
      </c>
      <c r="AK304" s="25">
        <v>-9.6479166666666618</v>
      </c>
      <c r="AL304" s="25">
        <v>21.843749999999996</v>
      </c>
      <c r="AM304" s="25">
        <v>21.050000000000008</v>
      </c>
      <c r="AN304" s="25">
        <v>20.412499999999987</v>
      </c>
      <c r="AO304" s="25">
        <v>20.147916666666692</v>
      </c>
      <c r="AP304" s="25">
        <v>22.320833333333336</v>
      </c>
      <c r="AQ304" s="25">
        <v>21.577083333333324</v>
      </c>
      <c r="AR304" s="25">
        <v>21.029166666666672</v>
      </c>
      <c r="AS304" s="25">
        <v>20.768750000000004</v>
      </c>
      <c r="AT304" s="25">
        <v>0.41754166666666687</v>
      </c>
      <c r="AU304" s="25">
        <v>0.23424999999999999</v>
      </c>
      <c r="AV304" s="25">
        <v>0.43545833333333345</v>
      </c>
      <c r="AW304" s="25">
        <v>-14.287708333333335</v>
      </c>
      <c r="AX304" s="25">
        <v>-14.09166666666667</v>
      </c>
      <c r="AY304" s="25">
        <v>-13.487916666666671</v>
      </c>
      <c r="AZ304" s="25"/>
      <c r="BA304" s="25">
        <v>-10.377083333333337</v>
      </c>
      <c r="BB304" s="25">
        <v>-10.166666666666663</v>
      </c>
      <c r="BC304" s="25"/>
      <c r="BD304" s="25">
        <v>23.454166666666666</v>
      </c>
      <c r="BE304" s="25">
        <v>22.289583333333329</v>
      </c>
    </row>
    <row r="305" spans="1:57" x14ac:dyDescent="0.25">
      <c r="A305" s="1">
        <v>27.7</v>
      </c>
      <c r="B305" s="1">
        <v>18.100000000000001</v>
      </c>
      <c r="C305" s="22"/>
      <c r="D305" s="23">
        <v>44012</v>
      </c>
      <c r="E305" s="24">
        <v>154.04166666666666</v>
      </c>
      <c r="F305" s="24">
        <v>88.84375</v>
      </c>
      <c r="G305" s="24">
        <v>22.095833333333331</v>
      </c>
      <c r="H305" s="24">
        <v>85.40000000000002</v>
      </c>
      <c r="I305" s="24">
        <v>212.875</v>
      </c>
      <c r="J305" s="24">
        <v>3.8125</v>
      </c>
      <c r="K305" s="24">
        <v>0.29166666666666669</v>
      </c>
      <c r="L305" s="24">
        <v>20.043749999999992</v>
      </c>
      <c r="M305" s="10">
        <v>0.3508563819774142</v>
      </c>
      <c r="N305" s="25">
        <v>0.51116666666666688</v>
      </c>
      <c r="O305" s="25">
        <v>0.58020833333333355</v>
      </c>
      <c r="P305" s="25">
        <v>0.6197499999999998</v>
      </c>
      <c r="Q305" s="25">
        <v>0.64233333333333309</v>
      </c>
      <c r="R305" s="25">
        <v>0.63612499999999972</v>
      </c>
      <c r="S305" s="25">
        <v>0.54431249999999998</v>
      </c>
      <c r="T305" s="25">
        <v>0.4951666666666667</v>
      </c>
      <c r="U305" s="25">
        <v>0.44520833333333326</v>
      </c>
      <c r="V305" s="25">
        <v>-13.663124999999996</v>
      </c>
      <c r="W305" s="25">
        <v>-19.859166666666663</v>
      </c>
      <c r="X305" s="25">
        <v>-11.758333333333326</v>
      </c>
      <c r="Y305" s="25">
        <v>-12.109583333333338</v>
      </c>
      <c r="Z305" s="25">
        <v>-12.041874999999996</v>
      </c>
      <c r="AA305" s="25">
        <v>-12.255833333333326</v>
      </c>
      <c r="AB305" s="25">
        <v>-12.335624999999995</v>
      </c>
      <c r="AC305" s="25">
        <v>-13.242083333333332</v>
      </c>
      <c r="AD305" s="25">
        <v>-8.5958333333333403</v>
      </c>
      <c r="AE305" s="25">
        <v>-10.181250000000007</v>
      </c>
      <c r="AF305" s="25">
        <v>-9.4083333333333297</v>
      </c>
      <c r="AG305" s="25">
        <v>-10.485416666666657</v>
      </c>
      <c r="AH305" s="25">
        <v>-12.535416666666656</v>
      </c>
      <c r="AI305" s="25">
        <v>-9.5187499999999989</v>
      </c>
      <c r="AJ305" s="25">
        <v>-8.9499999999999922</v>
      </c>
      <c r="AK305" s="25">
        <v>-9.2791666666666632</v>
      </c>
      <c r="AL305" s="25">
        <v>21.447916666666668</v>
      </c>
      <c r="AM305" s="25">
        <v>21.089583333333326</v>
      </c>
      <c r="AN305" s="25">
        <v>20.620833333333337</v>
      </c>
      <c r="AO305" s="25">
        <v>20.399999999999988</v>
      </c>
      <c r="AP305" s="25">
        <v>21.789583333333336</v>
      </c>
      <c r="AQ305" s="25">
        <v>21.562500000000011</v>
      </c>
      <c r="AR305" s="25">
        <v>21.193750000000005</v>
      </c>
      <c r="AS305" s="25">
        <v>20.987499999999994</v>
      </c>
      <c r="AT305" s="25">
        <v>0.52836170212765943</v>
      </c>
      <c r="AU305" s="25">
        <v>0.39304166666666673</v>
      </c>
      <c r="AV305" s="25">
        <v>0.53593749999999996</v>
      </c>
      <c r="AW305" s="25">
        <v>-14.427916666666668</v>
      </c>
      <c r="AX305" s="25">
        <v>-14.186458333333333</v>
      </c>
      <c r="AY305" s="25">
        <v>-13.228541666666667</v>
      </c>
      <c r="AZ305" s="25"/>
      <c r="BA305" s="25">
        <v>-9.9854166666666604</v>
      </c>
      <c r="BB305" s="25">
        <v>-9.3458333333333297</v>
      </c>
      <c r="BC305" s="25"/>
      <c r="BD305" s="25">
        <v>21.206249999999994</v>
      </c>
      <c r="BE305" s="25">
        <v>21.620833333333326</v>
      </c>
    </row>
    <row r="306" spans="1:57" x14ac:dyDescent="0.25">
      <c r="A306" s="1">
        <v>26.1</v>
      </c>
      <c r="B306" s="1">
        <v>19.100000000000001</v>
      </c>
      <c r="C306" s="22"/>
      <c r="D306" s="23">
        <v>44013</v>
      </c>
      <c r="E306" s="24">
        <v>112.64583333333333</v>
      </c>
      <c r="F306" s="24">
        <v>89.081250000000026</v>
      </c>
      <c r="G306" s="24">
        <v>21.710416666666671</v>
      </c>
      <c r="H306" s="24">
        <v>43.600000000000009</v>
      </c>
      <c r="I306" s="24">
        <v>228</v>
      </c>
      <c r="J306" s="24">
        <v>3.4166666666666665</v>
      </c>
      <c r="K306" s="24">
        <v>0.14583333333333334</v>
      </c>
      <c r="L306" s="24">
        <v>19.752083333333335</v>
      </c>
      <c r="M306" s="10">
        <v>0.31432713426432329</v>
      </c>
      <c r="N306" s="25">
        <v>0.51770833333333344</v>
      </c>
      <c r="O306" s="25">
        <v>0.58254166666666662</v>
      </c>
      <c r="P306" s="25">
        <v>0.62210416666666646</v>
      </c>
      <c r="Q306" s="25">
        <v>0.64549999999999985</v>
      </c>
      <c r="R306" s="25">
        <v>0.63868750000000019</v>
      </c>
      <c r="S306" s="25">
        <v>0.5522083333333333</v>
      </c>
      <c r="T306" s="25">
        <v>0.50035416666666643</v>
      </c>
      <c r="U306" s="25">
        <v>0.45139583333333327</v>
      </c>
      <c r="V306" s="25">
        <v>-13.59166666666666</v>
      </c>
      <c r="W306" s="25">
        <v>-19.9375</v>
      </c>
      <c r="X306" s="25">
        <v>-11.74916666666666</v>
      </c>
      <c r="Y306" s="25">
        <v>-12.129375000000003</v>
      </c>
      <c r="Z306" s="25">
        <v>-11.928333333333342</v>
      </c>
      <c r="AA306" s="25">
        <v>-12.096666666666664</v>
      </c>
      <c r="AB306" s="25">
        <v>-12.150625000000003</v>
      </c>
      <c r="AC306" s="25">
        <v>-13.04479166666667</v>
      </c>
      <c r="AD306" s="25">
        <v>-8.4312500000000004</v>
      </c>
      <c r="AE306" s="25">
        <v>-9.7916666666666625</v>
      </c>
      <c r="AF306" s="25">
        <v>-9.1895833333333314</v>
      </c>
      <c r="AG306" s="25">
        <v>-10.239583333333327</v>
      </c>
      <c r="AH306" s="25">
        <v>-12.302083333333334</v>
      </c>
      <c r="AI306" s="25">
        <v>-9.4437499999999961</v>
      </c>
      <c r="AJ306" s="25">
        <v>-8.7583333333333311</v>
      </c>
      <c r="AK306" s="25">
        <v>-9.1999999999999922</v>
      </c>
      <c r="AL306" s="25">
        <v>21.220833333333324</v>
      </c>
      <c r="AM306" s="25">
        <v>20.90625</v>
      </c>
      <c r="AN306" s="25">
        <v>20.520833333333321</v>
      </c>
      <c r="AO306" s="25">
        <v>20.339583333333309</v>
      </c>
      <c r="AP306" s="25">
        <v>21.579166666666669</v>
      </c>
      <c r="AQ306" s="25">
        <v>21.422916666666669</v>
      </c>
      <c r="AR306" s="25">
        <v>21.087499999999999</v>
      </c>
      <c r="AS306" s="25">
        <v>20.906249999999979</v>
      </c>
      <c r="AT306" s="25">
        <v>0.53441666666666665</v>
      </c>
      <c r="AU306" s="25">
        <v>0.41431249999999992</v>
      </c>
      <c r="AV306" s="25">
        <v>0.54729166666666662</v>
      </c>
      <c r="AW306" s="25">
        <v>-14.33854166666667</v>
      </c>
      <c r="AX306" s="25">
        <v>-14.143541666666659</v>
      </c>
      <c r="AY306" s="25">
        <v>-13.193749999999994</v>
      </c>
      <c r="AZ306" s="25"/>
      <c r="BA306" s="25">
        <v>-9.6749999999999989</v>
      </c>
      <c r="BB306" s="25">
        <v>-9.2104166666666671</v>
      </c>
      <c r="BC306" s="25"/>
      <c r="BD306" s="25">
        <v>21.083333333333332</v>
      </c>
      <c r="BE306" s="25">
        <v>21.231249999999999</v>
      </c>
    </row>
    <row r="307" spans="1:57" x14ac:dyDescent="0.25">
      <c r="A307" s="1">
        <v>23.8</v>
      </c>
      <c r="B307" s="1">
        <v>18.7</v>
      </c>
      <c r="C307" s="22"/>
      <c r="D307" s="23">
        <v>44014</v>
      </c>
      <c r="E307" s="24">
        <v>93.75</v>
      </c>
      <c r="F307" s="24">
        <v>91.441666666666649</v>
      </c>
      <c r="G307" s="24">
        <v>20.606249999999996</v>
      </c>
      <c r="H307" s="24">
        <v>24.9</v>
      </c>
      <c r="I307" s="24">
        <v>236.33333333333334</v>
      </c>
      <c r="J307" s="24">
        <v>1.1875</v>
      </c>
      <c r="K307" s="24">
        <v>0</v>
      </c>
      <c r="L307" s="24">
        <v>19.122916666666669</v>
      </c>
      <c r="M307" s="10">
        <v>0.22162517101712151</v>
      </c>
      <c r="N307" s="25">
        <v>0.50233333333333341</v>
      </c>
      <c r="O307" s="25">
        <v>0.57550000000000001</v>
      </c>
      <c r="P307" s="25">
        <v>0.61666666666666659</v>
      </c>
      <c r="Q307" s="25">
        <v>0.63849999999999996</v>
      </c>
      <c r="R307" s="25">
        <v>0.63583333333333336</v>
      </c>
      <c r="S307" s="25">
        <v>0.53612499999999985</v>
      </c>
      <c r="T307" s="25">
        <v>0.49449999999999994</v>
      </c>
      <c r="U307" s="25">
        <v>0.43618750000000017</v>
      </c>
      <c r="V307" s="25">
        <v>-13.569166666666655</v>
      </c>
      <c r="W307" s="25">
        <v>-19.972499999999993</v>
      </c>
      <c r="X307" s="25">
        <v>-11.758958333333332</v>
      </c>
      <c r="Y307" s="25">
        <v>-12.158124999999997</v>
      </c>
      <c r="Z307" s="25">
        <v>-11.960416666666669</v>
      </c>
      <c r="AA307" s="25">
        <v>-12.016249999999987</v>
      </c>
      <c r="AB307" s="25">
        <v>-12.096874999999999</v>
      </c>
      <c r="AC307" s="25">
        <v>-12.966249999999997</v>
      </c>
      <c r="AD307" s="25">
        <v>-8.4104166666666611</v>
      </c>
      <c r="AE307" s="25">
        <v>-9.6375000000000082</v>
      </c>
      <c r="AF307" s="25">
        <v>-9.114583333333341</v>
      </c>
      <c r="AG307" s="25">
        <v>-10.116666666666676</v>
      </c>
      <c r="AH307" s="25">
        <v>-12.260416666666664</v>
      </c>
      <c r="AI307" s="25">
        <v>-9.4458333333333346</v>
      </c>
      <c r="AJ307" s="25">
        <v>-8.7604166666666696</v>
      </c>
      <c r="AK307" s="25">
        <v>-9.1999999999999922</v>
      </c>
      <c r="AL307" s="25">
        <v>21.035416666666674</v>
      </c>
      <c r="AM307" s="25">
        <v>20.754166666666688</v>
      </c>
      <c r="AN307" s="25">
        <v>20.443749999999991</v>
      </c>
      <c r="AO307" s="25">
        <v>20.299999999999983</v>
      </c>
      <c r="AP307" s="25">
        <v>21.295833333333338</v>
      </c>
      <c r="AQ307" s="25">
        <v>21.20833333333335</v>
      </c>
      <c r="AR307" s="25">
        <v>20.906249999999975</v>
      </c>
      <c r="AS307" s="25">
        <v>20.70833333333335</v>
      </c>
      <c r="AT307" s="25">
        <v>0.50152173913043474</v>
      </c>
      <c r="AU307" s="25">
        <v>0.36610416666666667</v>
      </c>
      <c r="AV307" s="25">
        <v>0.53270833333333345</v>
      </c>
      <c r="AW307" s="25">
        <v>-14.374583333333332</v>
      </c>
      <c r="AX307" s="25">
        <v>-14.098541666666664</v>
      </c>
      <c r="AY307" s="25">
        <v>-13.170624999999994</v>
      </c>
      <c r="AZ307" s="25"/>
      <c r="BA307" s="25">
        <v>-9.5666666666666753</v>
      </c>
      <c r="BB307" s="25">
        <v>-9.2729166666666689</v>
      </c>
      <c r="BC307" s="25"/>
      <c r="BD307" s="25">
        <v>21.131249999999991</v>
      </c>
      <c r="BE307" s="25">
        <v>20.825000000000003</v>
      </c>
    </row>
    <row r="308" spans="1:57" x14ac:dyDescent="0.25">
      <c r="A308" s="1">
        <v>28.2</v>
      </c>
      <c r="B308" s="1">
        <v>18.7</v>
      </c>
      <c r="C308" s="22"/>
      <c r="D308" s="23">
        <v>44015</v>
      </c>
      <c r="E308" s="24">
        <v>171.91666666666666</v>
      </c>
      <c r="F308" s="24">
        <v>85.789583333333326</v>
      </c>
      <c r="G308" s="24">
        <v>22.737500000000008</v>
      </c>
      <c r="H308" s="24">
        <v>0.2</v>
      </c>
      <c r="I308" s="24">
        <v>244.5625</v>
      </c>
      <c r="J308" s="24">
        <v>3.8125</v>
      </c>
      <c r="K308" s="24">
        <v>0.5625</v>
      </c>
      <c r="L308" s="24">
        <v>20.091666666666665</v>
      </c>
      <c r="M308" s="10">
        <v>0.45126961678542715</v>
      </c>
      <c r="N308" s="25">
        <v>0.46927083333333347</v>
      </c>
      <c r="O308" s="25">
        <v>0.55566666666666642</v>
      </c>
      <c r="P308" s="25">
        <v>0.60439583333333324</v>
      </c>
      <c r="Q308" s="25">
        <v>0.61968749999999984</v>
      </c>
      <c r="R308" s="25">
        <v>0.62414583333333284</v>
      </c>
      <c r="S308" s="25">
        <v>0.50666666666666649</v>
      </c>
      <c r="T308" s="25">
        <v>0.48270833333333346</v>
      </c>
      <c r="U308" s="25">
        <v>0.41499999999999976</v>
      </c>
      <c r="V308" s="25">
        <v>-13.515833333333338</v>
      </c>
      <c r="W308" s="25">
        <v>-19.855416666666663</v>
      </c>
      <c r="X308" s="25">
        <v>-11.759374999999993</v>
      </c>
      <c r="Y308" s="25">
        <v>-12.151874999999995</v>
      </c>
      <c r="Z308" s="25">
        <v>-11.963541666666664</v>
      </c>
      <c r="AA308" s="25">
        <v>-12.08791666666666</v>
      </c>
      <c r="AB308" s="25">
        <v>-12.081249999999997</v>
      </c>
      <c r="AC308" s="25">
        <v>-12.903125000000001</v>
      </c>
      <c r="AD308" s="25">
        <v>-8.5</v>
      </c>
      <c r="AE308" s="25">
        <v>-9.6791666666666583</v>
      </c>
      <c r="AF308" s="25">
        <v>-9.1958333333333258</v>
      </c>
      <c r="AG308" s="25">
        <v>-10.210416666666662</v>
      </c>
      <c r="AH308" s="25">
        <v>-12.327083333333327</v>
      </c>
      <c r="AI308" s="25">
        <v>-9.5333333333333403</v>
      </c>
      <c r="AJ308" s="25">
        <v>-8.8333333333333286</v>
      </c>
      <c r="AK308" s="25">
        <v>-9.1999999999999922</v>
      </c>
      <c r="AL308" s="25">
        <v>21.160416666666677</v>
      </c>
      <c r="AM308" s="25">
        <v>20.735416666666666</v>
      </c>
      <c r="AN308" s="25">
        <v>20.397916666666649</v>
      </c>
      <c r="AO308" s="25">
        <v>20.252083333333356</v>
      </c>
      <c r="AP308" s="25">
        <v>21.558333333333334</v>
      </c>
      <c r="AQ308" s="25">
        <v>21.120833333333326</v>
      </c>
      <c r="AR308" s="25">
        <v>20.733333333333338</v>
      </c>
      <c r="AS308" s="25">
        <v>20.547916666666669</v>
      </c>
      <c r="AT308" s="25">
        <v>0.46052083333333349</v>
      </c>
      <c r="AU308" s="25">
        <v>0.27489583333333339</v>
      </c>
      <c r="AV308" s="25">
        <v>0.49943750000000015</v>
      </c>
      <c r="AW308" s="25">
        <v>-14.221666666666669</v>
      </c>
      <c r="AX308" s="25">
        <v>-13.959791666666662</v>
      </c>
      <c r="AY308" s="25">
        <v>-13.138125</v>
      </c>
      <c r="AZ308" s="25"/>
      <c r="BA308" s="25">
        <v>-9.5854166666666707</v>
      </c>
      <c r="BB308" s="25">
        <v>-9.4291666666666654</v>
      </c>
      <c r="BC308" s="25"/>
      <c r="BD308" s="25">
        <v>22.108333333333331</v>
      </c>
      <c r="BE308" s="25">
        <v>21.062500000000004</v>
      </c>
    </row>
    <row r="309" spans="1:57" x14ac:dyDescent="0.25">
      <c r="A309" s="1">
        <v>28.3</v>
      </c>
      <c r="B309" s="1">
        <v>20.9</v>
      </c>
      <c r="C309" s="22"/>
      <c r="D309" s="23">
        <v>44016</v>
      </c>
      <c r="E309" s="24">
        <v>168.02083333333334</v>
      </c>
      <c r="F309" s="24">
        <v>81.38333333333334</v>
      </c>
      <c r="G309" s="24">
        <v>23.266666666666666</v>
      </c>
      <c r="H309" s="24">
        <v>0</v>
      </c>
      <c r="I309" s="24">
        <v>235.75</v>
      </c>
      <c r="J309" s="24">
        <v>12.020833333333334</v>
      </c>
      <c r="K309" s="24">
        <v>1.9583333333333333</v>
      </c>
      <c r="L309" s="24">
        <v>19.814583333333335</v>
      </c>
      <c r="M309" s="10">
        <v>0.56396467312652476</v>
      </c>
      <c r="N309" s="25">
        <v>0.45516666666666672</v>
      </c>
      <c r="O309" s="25">
        <v>0.54658333333333375</v>
      </c>
      <c r="P309" s="25">
        <v>0.59914583333333327</v>
      </c>
      <c r="Q309" s="25">
        <v>0.6146874999999995</v>
      </c>
      <c r="R309" s="25">
        <v>0.61629166666666635</v>
      </c>
      <c r="S309" s="25">
        <v>0.4956041666666664</v>
      </c>
      <c r="T309" s="25">
        <v>0.47822916666666643</v>
      </c>
      <c r="U309" s="25">
        <v>0.41041666666666687</v>
      </c>
      <c r="V309" s="25">
        <v>-13.526041666666664</v>
      </c>
      <c r="W309" s="25">
        <v>-20.044791666666665</v>
      </c>
      <c r="X309" s="25">
        <v>-11.793124999999996</v>
      </c>
      <c r="Y309" s="25">
        <v>-12.190625000000002</v>
      </c>
      <c r="Z309" s="25">
        <v>-12.126458333333334</v>
      </c>
      <c r="AA309" s="25">
        <v>-12.298541666666665</v>
      </c>
      <c r="AB309" s="25">
        <v>-12.228541666666665</v>
      </c>
      <c r="AC309" s="25">
        <v>-13.003333333333325</v>
      </c>
      <c r="AD309" s="25">
        <v>-8.5312500000000071</v>
      </c>
      <c r="AE309" s="25">
        <v>-9.824999999999994</v>
      </c>
      <c r="AF309" s="25">
        <v>-9.2541666666666593</v>
      </c>
      <c r="AG309" s="25">
        <v>-10.335416666666662</v>
      </c>
      <c r="AH309" s="25">
        <v>-12.360416666666664</v>
      </c>
      <c r="AI309" s="25">
        <v>-9.625</v>
      </c>
      <c r="AJ309" s="25">
        <v>-8.8999999999999932</v>
      </c>
      <c r="AK309" s="25">
        <v>-9.324999999999994</v>
      </c>
      <c r="AL309" s="25">
        <v>21.454166666666666</v>
      </c>
      <c r="AM309" s="25">
        <v>20.914583333333322</v>
      </c>
      <c r="AN309" s="25">
        <v>20.418749999999989</v>
      </c>
      <c r="AO309" s="25">
        <v>20.268749999999979</v>
      </c>
      <c r="AP309" s="25">
        <v>21.775000000000002</v>
      </c>
      <c r="AQ309" s="25">
        <v>21.335416666666671</v>
      </c>
      <c r="AR309" s="25">
        <v>20.883333333333315</v>
      </c>
      <c r="AS309" s="25">
        <v>20.641666666666676</v>
      </c>
      <c r="AT309" s="25">
        <v>0.4451458333333333</v>
      </c>
      <c r="AU309" s="25">
        <v>0.25593750000000004</v>
      </c>
      <c r="AV309" s="25">
        <v>0.47222916666666664</v>
      </c>
      <c r="AW309" s="25">
        <v>-14.185833333333335</v>
      </c>
      <c r="AX309" s="25">
        <v>-13.95458333333333</v>
      </c>
      <c r="AY309" s="25">
        <v>-13.257708333333333</v>
      </c>
      <c r="AZ309" s="25"/>
      <c r="BA309" s="25">
        <v>-9.6729166666666675</v>
      </c>
      <c r="BB309" s="25">
        <v>-9.6354166666666643</v>
      </c>
      <c r="BC309" s="25"/>
      <c r="BD309" s="25">
        <v>22.716666666666665</v>
      </c>
      <c r="BE309" s="25">
        <v>21.445833333333329</v>
      </c>
    </row>
    <row r="310" spans="1:57" x14ac:dyDescent="0.25">
      <c r="A310" s="1">
        <v>29.1</v>
      </c>
      <c r="B310" s="1">
        <v>19.899999999999999</v>
      </c>
      <c r="C310" s="22"/>
      <c r="D310" s="23">
        <v>44017</v>
      </c>
      <c r="E310" s="24">
        <v>213.27083333333334</v>
      </c>
      <c r="F310" s="24">
        <v>80.806250000000006</v>
      </c>
      <c r="G310" s="24">
        <v>23.835416666666674</v>
      </c>
      <c r="H310" s="24">
        <v>13.799999999999999</v>
      </c>
      <c r="I310" s="24">
        <v>230.60416666666666</v>
      </c>
      <c r="J310" s="24">
        <v>14.770833333333334</v>
      </c>
      <c r="K310" s="24">
        <v>2.8958333333333335</v>
      </c>
      <c r="L310" s="24">
        <v>20.235416666666662</v>
      </c>
      <c r="M310" s="10">
        <v>0.61076213379201849</v>
      </c>
      <c r="N310" s="25">
        <v>0.44514583333333352</v>
      </c>
      <c r="O310" s="25">
        <v>0.53800000000000014</v>
      </c>
      <c r="P310" s="25">
        <v>0.59422916666666692</v>
      </c>
      <c r="Q310" s="25">
        <v>0.6107291666666671</v>
      </c>
      <c r="R310" s="25">
        <v>0.60839583333333336</v>
      </c>
      <c r="S310" s="25">
        <v>0.48543750000000041</v>
      </c>
      <c r="T310" s="25">
        <v>0.47377083333333303</v>
      </c>
      <c r="U310" s="25">
        <v>0.40677083333333347</v>
      </c>
      <c r="V310" s="25">
        <v>-13.78354166666667</v>
      </c>
      <c r="W310" s="25">
        <v>-20.731874999999999</v>
      </c>
      <c r="X310" s="25">
        <v>-11.881875000000001</v>
      </c>
      <c r="Y310" s="25">
        <v>-12.289583333333328</v>
      </c>
      <c r="Z310" s="25">
        <v>-12.918333333333338</v>
      </c>
      <c r="AA310" s="25">
        <v>-13.287083333333335</v>
      </c>
      <c r="AB310" s="25">
        <v>-12.705000000000004</v>
      </c>
      <c r="AC310" s="25">
        <v>-13.108541666666669</v>
      </c>
      <c r="AD310" s="25">
        <v>-8.6708333333333325</v>
      </c>
      <c r="AE310" s="25">
        <v>-9.9562500000000025</v>
      </c>
      <c r="AF310" s="25">
        <v>-9.3979166666666583</v>
      </c>
      <c r="AG310" s="25">
        <v>-10.450000000000001</v>
      </c>
      <c r="AH310" s="25">
        <v>-12.639583333333334</v>
      </c>
      <c r="AI310" s="25">
        <v>-9.6937499999999925</v>
      </c>
      <c r="AJ310" s="25">
        <v>-8.9541666666666675</v>
      </c>
      <c r="AK310" s="25">
        <v>-9.5270833333333389</v>
      </c>
      <c r="AL310" s="25">
        <v>21.627083333333331</v>
      </c>
      <c r="AM310" s="25">
        <v>21.012500000000003</v>
      </c>
      <c r="AN310" s="25">
        <v>20.502083333333335</v>
      </c>
      <c r="AO310" s="25">
        <v>20.299999999999983</v>
      </c>
      <c r="AP310" s="25">
        <v>21.929166666666671</v>
      </c>
      <c r="AQ310" s="25">
        <v>21.408333333333346</v>
      </c>
      <c r="AR310" s="25">
        <v>20.943749999999987</v>
      </c>
      <c r="AS310" s="25">
        <v>20.687500000000011</v>
      </c>
      <c r="AT310" s="25">
        <v>0.43317021276595746</v>
      </c>
      <c r="AU310" s="25">
        <v>0.24375000000000002</v>
      </c>
      <c r="AV310" s="25">
        <v>0.4502916666666667</v>
      </c>
      <c r="AW310" s="25">
        <v>-14.148541666666665</v>
      </c>
      <c r="AX310" s="25">
        <v>-14.023541666666668</v>
      </c>
      <c r="AY310" s="25">
        <v>-13.390624999999998</v>
      </c>
      <c r="AZ310" s="25"/>
      <c r="BA310" s="25">
        <v>-10.106250000000001</v>
      </c>
      <c r="BB310" s="25">
        <v>-9.9437500000000068</v>
      </c>
      <c r="BC310" s="25"/>
      <c r="BD310" s="25">
        <v>23.052083333333329</v>
      </c>
      <c r="BE310" s="25">
        <v>21.78958333333334</v>
      </c>
    </row>
    <row r="311" spans="1:57" x14ac:dyDescent="0.25">
      <c r="A311" s="1">
        <v>28.6</v>
      </c>
      <c r="B311" s="1">
        <v>21.6</v>
      </c>
      <c r="C311" s="22"/>
      <c r="D311" s="23">
        <v>44018</v>
      </c>
      <c r="E311" s="24">
        <v>239.75</v>
      </c>
      <c r="F311" s="24">
        <v>81.27916666666664</v>
      </c>
      <c r="G311" s="24">
        <v>24.408333333333335</v>
      </c>
      <c r="H311" s="24">
        <v>0</v>
      </c>
      <c r="I311" s="24">
        <v>230.77083333333334</v>
      </c>
      <c r="J311" s="24">
        <v>13.458333333333334</v>
      </c>
      <c r="K311" s="24">
        <v>2.1875</v>
      </c>
      <c r="L311" s="24">
        <v>20.891666666666669</v>
      </c>
      <c r="M311" s="10">
        <v>0.61266443819946625</v>
      </c>
      <c r="N311" s="25">
        <v>0.47335416666666669</v>
      </c>
      <c r="O311" s="25">
        <v>0.55795833333333333</v>
      </c>
      <c r="P311" s="25">
        <v>0.60495833333333315</v>
      </c>
      <c r="Q311" s="25">
        <v>0.61410416666666634</v>
      </c>
      <c r="R311" s="25">
        <v>0.62283333333333324</v>
      </c>
      <c r="S311" s="25">
        <v>0.48202083333333373</v>
      </c>
      <c r="T311" s="25">
        <v>0.46947916666666628</v>
      </c>
      <c r="U311" s="25">
        <v>0.40466666666666645</v>
      </c>
      <c r="V311" s="25">
        <v>-13.506250000000001</v>
      </c>
      <c r="W311" s="25">
        <v>-19.697083333333335</v>
      </c>
      <c r="X311" s="25">
        <v>-11.738541666666665</v>
      </c>
      <c r="Y311" s="25">
        <v>-12.459583333333327</v>
      </c>
      <c r="Z311" s="25">
        <v>-11.915833333333332</v>
      </c>
      <c r="AA311" s="25">
        <v>-13.941458333333332</v>
      </c>
      <c r="AB311" s="25">
        <v>-13.78729166666667</v>
      </c>
      <c r="AC311" s="25">
        <v>-13.307083333333336</v>
      </c>
      <c r="AD311" s="25">
        <v>-8.5604166666666739</v>
      </c>
      <c r="AE311" s="25">
        <v>-10.022916666666672</v>
      </c>
      <c r="AF311" s="25">
        <v>-9.4249999999999989</v>
      </c>
      <c r="AG311" s="25">
        <v>-10.543750000000008</v>
      </c>
      <c r="AH311" s="25">
        <v>-12.360416666666664</v>
      </c>
      <c r="AI311" s="25">
        <v>-9.5395833333333417</v>
      </c>
      <c r="AJ311" s="25">
        <v>-8.9062499999999929</v>
      </c>
      <c r="AK311" s="25">
        <v>-9.583333333333341</v>
      </c>
      <c r="AL311" s="25">
        <v>21.872916666666658</v>
      </c>
      <c r="AM311" s="25">
        <v>21.183333333333341</v>
      </c>
      <c r="AN311" s="25">
        <v>20.606250000000017</v>
      </c>
      <c r="AO311" s="25">
        <v>20.374999999999986</v>
      </c>
      <c r="AP311" s="25">
        <v>22.185416666666665</v>
      </c>
      <c r="AQ311" s="25">
        <v>21.570833333333326</v>
      </c>
      <c r="AR311" s="25">
        <v>21.075000000000006</v>
      </c>
      <c r="AS311" s="25">
        <v>20.812499999999982</v>
      </c>
      <c r="AT311" s="25">
        <v>0.46479166666666688</v>
      </c>
      <c r="AU311" s="25">
        <v>0.27797916666666683</v>
      </c>
      <c r="AV311" s="25">
        <v>0.49677083333333338</v>
      </c>
      <c r="AW311" s="25">
        <v>-14.100624999999996</v>
      </c>
      <c r="AX311" s="25">
        <v>-13.894375000000004</v>
      </c>
      <c r="AY311" s="25">
        <v>-13.141874999999999</v>
      </c>
      <c r="AZ311" s="25"/>
      <c r="BA311" s="25">
        <v>-9.90625</v>
      </c>
      <c r="BB311" s="25">
        <v>-9.4687500000000071</v>
      </c>
      <c r="BC311" s="25"/>
      <c r="BD311" s="25">
        <v>23.308333333333334</v>
      </c>
      <c r="BE311" s="25">
        <v>22.206249999999997</v>
      </c>
    </row>
    <row r="312" spans="1:57" x14ac:dyDescent="0.25">
      <c r="A312" s="1">
        <v>28.6</v>
      </c>
      <c r="B312" s="1">
        <v>22.1</v>
      </c>
      <c r="C312" s="22"/>
      <c r="D312" s="23">
        <v>44019</v>
      </c>
      <c r="E312" s="24">
        <v>179.8125</v>
      </c>
      <c r="F312" s="24">
        <v>81.268749999999997</v>
      </c>
      <c r="G312" s="24">
        <v>24.487500000000008</v>
      </c>
      <c r="H312" s="24">
        <v>0</v>
      </c>
      <c r="I312" s="24">
        <v>234.97916666666666</v>
      </c>
      <c r="J312" s="24">
        <v>14.583333333333334</v>
      </c>
      <c r="K312" s="24">
        <v>2.7916666666666665</v>
      </c>
      <c r="L312" s="24">
        <v>21.010416666666668</v>
      </c>
      <c r="M312" s="10">
        <v>0.60092258282422339</v>
      </c>
      <c r="N312" s="25">
        <v>0.44831250000000011</v>
      </c>
      <c r="O312" s="25">
        <v>0.54385416666666686</v>
      </c>
      <c r="P312" s="25">
        <v>0.59764583333333354</v>
      </c>
      <c r="Q312" s="25">
        <v>0.6114791666666668</v>
      </c>
      <c r="R312" s="25">
        <v>0.61197916666666663</v>
      </c>
      <c r="S312" s="25">
        <v>0.47543749999999974</v>
      </c>
      <c r="T312" s="25">
        <v>0.46637499999999998</v>
      </c>
      <c r="U312" s="25">
        <v>0.4018333333333331</v>
      </c>
      <c r="V312" s="25">
        <v>-13.551041666666668</v>
      </c>
      <c r="W312" s="25">
        <v>-20.453958333333329</v>
      </c>
      <c r="X312" s="25">
        <v>-11.840208333333328</v>
      </c>
      <c r="Y312" s="25">
        <v>-12.640833333333333</v>
      </c>
      <c r="Z312" s="25">
        <v>-12.25</v>
      </c>
      <c r="AA312" s="25">
        <v>-14.740833333333335</v>
      </c>
      <c r="AB312" s="25">
        <v>-14.984999999999998</v>
      </c>
      <c r="AC312" s="25">
        <v>-13.731666666666664</v>
      </c>
      <c r="AD312" s="25">
        <v>-8.6395833333333272</v>
      </c>
      <c r="AE312" s="25">
        <v>-10.30208333333333</v>
      </c>
      <c r="AF312" s="25">
        <v>-9.4895833333333339</v>
      </c>
      <c r="AG312" s="25">
        <v>-10.660416666666659</v>
      </c>
      <c r="AH312" s="25">
        <v>-12.57291666666667</v>
      </c>
      <c r="AI312" s="25">
        <v>-9.6354166666666625</v>
      </c>
      <c r="AJ312" s="25">
        <v>-8.9979166666666668</v>
      </c>
      <c r="AK312" s="25">
        <v>-9.6312499999999979</v>
      </c>
      <c r="AL312" s="25">
        <v>22.129166666666663</v>
      </c>
      <c r="AM312" s="25">
        <v>21.387499999999985</v>
      </c>
      <c r="AN312" s="25">
        <v>20.768749999999979</v>
      </c>
      <c r="AO312" s="25">
        <v>20.475000000000001</v>
      </c>
      <c r="AP312" s="25">
        <v>22.470833333333328</v>
      </c>
      <c r="AQ312" s="25">
        <v>21.822916666666668</v>
      </c>
      <c r="AR312" s="25">
        <v>21.28541666666667</v>
      </c>
      <c r="AS312" s="25">
        <v>21.010416666666668</v>
      </c>
      <c r="AT312" s="25">
        <v>0.43850000000000006</v>
      </c>
      <c r="AU312" s="25">
        <v>0.24816666666666667</v>
      </c>
      <c r="AV312" s="25">
        <v>0.46052083333333343</v>
      </c>
      <c r="AW312" s="25">
        <v>-14.054583333333332</v>
      </c>
      <c r="AX312" s="25">
        <v>-13.886041666666664</v>
      </c>
      <c r="AY312" s="25">
        <v>-13.258541666666668</v>
      </c>
      <c r="AZ312" s="25"/>
      <c r="BA312" s="25">
        <v>-10.06875</v>
      </c>
      <c r="BB312" s="25">
        <v>-9.7666666666666622</v>
      </c>
      <c r="BC312" s="25"/>
      <c r="BD312" s="25">
        <v>23.308333333333334</v>
      </c>
      <c r="BE312" s="25">
        <v>22.545833333333331</v>
      </c>
    </row>
    <row r="313" spans="1:57" x14ac:dyDescent="0.25">
      <c r="A313" s="1">
        <v>27.9</v>
      </c>
      <c r="B313" s="1">
        <v>19.899999999999999</v>
      </c>
      <c r="C313" s="22"/>
      <c r="D313" s="23">
        <v>44020</v>
      </c>
      <c r="E313" s="24">
        <v>124.70833333333333</v>
      </c>
      <c r="F313" s="24">
        <v>86.585416666666674</v>
      </c>
      <c r="G313" s="24">
        <v>23.254166666666659</v>
      </c>
      <c r="H313" s="24">
        <v>60.4</v>
      </c>
      <c r="I313" s="24">
        <v>237.89583333333334</v>
      </c>
      <c r="J313" s="24">
        <v>7.75</v>
      </c>
      <c r="K313" s="24">
        <v>0.27083333333333331</v>
      </c>
      <c r="L313" s="24">
        <v>20.806249999999999</v>
      </c>
      <c r="M313" s="10">
        <v>0.41121547311655005</v>
      </c>
      <c r="N313" s="25">
        <v>0.45093749999999999</v>
      </c>
      <c r="O313" s="25">
        <v>0.54383333333333339</v>
      </c>
      <c r="P313" s="25">
        <v>0.59762499999999996</v>
      </c>
      <c r="Q313" s="25">
        <v>0.61214583333333317</v>
      </c>
      <c r="R313" s="25">
        <v>0.60989583333333353</v>
      </c>
      <c r="S313" s="25">
        <v>0.48383333333333328</v>
      </c>
      <c r="T313" s="25">
        <v>0.46891666666666643</v>
      </c>
      <c r="U313" s="25">
        <v>0.40485416666666668</v>
      </c>
      <c r="V313" s="25">
        <v>-14.340833333333334</v>
      </c>
      <c r="W313" s="25">
        <v>-21.365208333333332</v>
      </c>
      <c r="X313" s="25">
        <v>-11.993333333333331</v>
      </c>
      <c r="Y313" s="25">
        <v>-13.239374999999997</v>
      </c>
      <c r="Z313" s="25">
        <v>-13.434375000000003</v>
      </c>
      <c r="AA313" s="25">
        <v>-16.161041666666662</v>
      </c>
      <c r="AB313" s="25">
        <v>-16.01520833333333</v>
      </c>
      <c r="AC313" s="25">
        <v>-14.594583333333334</v>
      </c>
      <c r="AD313" s="25">
        <v>-8.7708333333333357</v>
      </c>
      <c r="AE313" s="25">
        <v>-10.868749999999997</v>
      </c>
      <c r="AF313" s="25">
        <v>-9.4729166666666682</v>
      </c>
      <c r="AG313" s="25">
        <v>-10.706249999999999</v>
      </c>
      <c r="AH313" s="25">
        <v>-13.19791666666667</v>
      </c>
      <c r="AI313" s="25">
        <v>-9.6791666666666618</v>
      </c>
      <c r="AJ313" s="25">
        <v>-9.0187500000000043</v>
      </c>
      <c r="AK313" s="25">
        <v>-9.7229166666666682</v>
      </c>
      <c r="AL313" s="25">
        <v>22.145833333333325</v>
      </c>
      <c r="AM313" s="25">
        <v>21.491666666666664</v>
      </c>
      <c r="AN313" s="25">
        <v>20.893749999999986</v>
      </c>
      <c r="AO313" s="25">
        <v>20.591666666666683</v>
      </c>
      <c r="AP313" s="25">
        <v>22.389583333333331</v>
      </c>
      <c r="AQ313" s="25">
        <v>21.897916666666664</v>
      </c>
      <c r="AR313" s="25">
        <v>21.408333333333314</v>
      </c>
      <c r="AS313" s="25">
        <v>21.14166666666668</v>
      </c>
      <c r="AT313" s="25">
        <v>0.44261702127659569</v>
      </c>
      <c r="AU313" s="25">
        <v>0.26183333333333331</v>
      </c>
      <c r="AV313" s="25">
        <v>0.45210416666666681</v>
      </c>
      <c r="AW313" s="25">
        <v>-14.138333333333334</v>
      </c>
      <c r="AX313" s="25">
        <v>-13.945</v>
      </c>
      <c r="AY313" s="25">
        <v>-13.423749999999998</v>
      </c>
      <c r="AZ313" s="25"/>
      <c r="BA313" s="25">
        <v>-10.097916666666668</v>
      </c>
      <c r="BB313" s="25">
        <v>-9.9479166666666661</v>
      </c>
      <c r="BC313" s="25"/>
      <c r="BD313" s="25">
        <v>22.864583333333332</v>
      </c>
      <c r="BE313" s="25">
        <v>22.558333333333341</v>
      </c>
    </row>
    <row r="314" spans="1:57" x14ac:dyDescent="0.25">
      <c r="A314" s="1">
        <v>27</v>
      </c>
      <c r="B314" s="1">
        <v>19.399999999999999</v>
      </c>
      <c r="C314" s="22"/>
      <c r="D314" s="23">
        <v>44021</v>
      </c>
      <c r="E314" s="24">
        <v>124.25</v>
      </c>
      <c r="F314" s="24">
        <v>90.989583333333357</v>
      </c>
      <c r="G314" s="24">
        <v>21.860416666666669</v>
      </c>
      <c r="H314" s="24">
        <v>29.599999999999994</v>
      </c>
      <c r="I314" s="24">
        <v>246.66666666666666</v>
      </c>
      <c r="J314" s="24">
        <v>2.0625</v>
      </c>
      <c r="K314" s="24">
        <v>4.1666666666666664E-2</v>
      </c>
      <c r="L314" s="24">
        <v>20.227083333333336</v>
      </c>
      <c r="M314" s="10">
        <v>0.26960611975409032</v>
      </c>
      <c r="N314" s="25">
        <v>0.51804166666666662</v>
      </c>
      <c r="O314" s="25">
        <v>0.58158333333333345</v>
      </c>
      <c r="P314" s="25">
        <v>0.62010416666666635</v>
      </c>
      <c r="Q314" s="25">
        <v>0.64108333333333334</v>
      </c>
      <c r="R314" s="25">
        <v>0.63462500000000011</v>
      </c>
      <c r="S314" s="25">
        <v>0.53606249999999989</v>
      </c>
      <c r="T314" s="25">
        <v>0.49520833333333331</v>
      </c>
      <c r="U314" s="25">
        <v>0.44416666666666699</v>
      </c>
      <c r="V314" s="25">
        <v>-13.553541666666669</v>
      </c>
      <c r="W314" s="25">
        <v>-19.64770833333333</v>
      </c>
      <c r="X314" s="25">
        <v>-11.74854166666667</v>
      </c>
      <c r="Y314" s="25">
        <v>-12.284999999999997</v>
      </c>
      <c r="Z314" s="25">
        <v>-11.922708333333331</v>
      </c>
      <c r="AA314" s="25">
        <v>-12.127708333333338</v>
      </c>
      <c r="AB314" s="25">
        <v>-12.13479166666667</v>
      </c>
      <c r="AC314" s="25">
        <v>-13.211874999999997</v>
      </c>
      <c r="AD314" s="25">
        <v>-8.4208333333333343</v>
      </c>
      <c r="AE314" s="25">
        <v>-10.235416666666659</v>
      </c>
      <c r="AF314" s="25">
        <v>-9.1999999999999922</v>
      </c>
      <c r="AG314" s="25">
        <v>-10.156250000000007</v>
      </c>
      <c r="AH314" s="25">
        <v>-12.410416666666656</v>
      </c>
      <c r="AI314" s="25">
        <v>-9.5</v>
      </c>
      <c r="AJ314" s="25">
        <v>-8.8062500000000075</v>
      </c>
      <c r="AK314" s="25">
        <v>-9.2729166666666689</v>
      </c>
      <c r="AL314" s="25">
        <v>21.635416666666661</v>
      </c>
      <c r="AM314" s="25">
        <v>21.329166666666673</v>
      </c>
      <c r="AN314" s="25">
        <v>20.958333333333318</v>
      </c>
      <c r="AO314" s="25">
        <v>20.741666666666688</v>
      </c>
      <c r="AP314" s="25">
        <v>21.837500000000002</v>
      </c>
      <c r="AQ314" s="25">
        <v>21.695833333333329</v>
      </c>
      <c r="AR314" s="25">
        <v>21.406249999999982</v>
      </c>
      <c r="AS314" s="25">
        <v>21.195833333333347</v>
      </c>
      <c r="AT314" s="25">
        <v>0.53354166666666669</v>
      </c>
      <c r="AU314" s="25">
        <v>0.38889583333333338</v>
      </c>
      <c r="AV314" s="25">
        <v>0.54243750000000002</v>
      </c>
      <c r="AW314" s="25">
        <v>-14.317916666666662</v>
      </c>
      <c r="AX314" s="25">
        <v>-14.114166666666669</v>
      </c>
      <c r="AY314" s="25">
        <v>-13.21041666666666</v>
      </c>
      <c r="AZ314" s="25"/>
      <c r="BA314" s="25">
        <v>-9.4124999999999996</v>
      </c>
      <c r="BB314" s="25">
        <v>-9.15625</v>
      </c>
      <c r="BC314" s="25"/>
      <c r="BD314" s="25">
        <v>21.179166666666664</v>
      </c>
      <c r="BE314" s="25">
        <v>21.59375</v>
      </c>
    </row>
    <row r="315" spans="1:57" x14ac:dyDescent="0.25">
      <c r="A315" s="1">
        <v>24.4</v>
      </c>
      <c r="B315" s="1">
        <v>20.9</v>
      </c>
      <c r="C315" s="22"/>
      <c r="D315" s="23">
        <v>44022</v>
      </c>
      <c r="E315" s="24">
        <v>98.145833333333329</v>
      </c>
      <c r="F315" s="24">
        <v>89.925000000000011</v>
      </c>
      <c r="G315" s="24">
        <v>22.287499999999998</v>
      </c>
      <c r="H315" s="24">
        <v>0.89999999999999991</v>
      </c>
      <c r="I315" s="24">
        <v>226.64583333333334</v>
      </c>
      <c r="J315" s="24">
        <v>8.0416666666666661</v>
      </c>
      <c r="K315" s="24">
        <v>0.70833333333333337</v>
      </c>
      <c r="L315" s="24">
        <v>20.522916666666664</v>
      </c>
      <c r="M315" s="10">
        <v>0.27988866573543997</v>
      </c>
      <c r="N315" s="25">
        <v>0.48891666666666689</v>
      </c>
      <c r="O315" s="25">
        <v>0.56847916666666665</v>
      </c>
      <c r="P315" s="25">
        <v>0.61262499999999998</v>
      </c>
      <c r="Q315" s="25">
        <v>0.62677083333333317</v>
      </c>
      <c r="R315" s="25">
        <v>0.63164583333333324</v>
      </c>
      <c r="S315" s="25">
        <v>0.51989583333333333</v>
      </c>
      <c r="T315" s="25">
        <v>0.48604166666666665</v>
      </c>
      <c r="U315" s="25">
        <v>0.41806250000000017</v>
      </c>
      <c r="V315" s="25">
        <v>-13.531666666666666</v>
      </c>
      <c r="W315" s="25">
        <v>-19.514166666666668</v>
      </c>
      <c r="X315" s="25">
        <v>-11.705208333333326</v>
      </c>
      <c r="Y315" s="25">
        <v>-12.268124999999998</v>
      </c>
      <c r="Z315" s="25">
        <v>-11.887916666666662</v>
      </c>
      <c r="AA315" s="25">
        <v>-12.018749999999992</v>
      </c>
      <c r="AB315" s="25">
        <v>-12.057499999999997</v>
      </c>
      <c r="AC315" s="25">
        <v>-12.977708333333341</v>
      </c>
      <c r="AD315" s="25">
        <v>-8.4874999999999989</v>
      </c>
      <c r="AE315" s="25">
        <v>-10.129166666666674</v>
      </c>
      <c r="AF315" s="25">
        <v>-9.1999999999999922</v>
      </c>
      <c r="AG315" s="25">
        <v>-10.199999999999992</v>
      </c>
      <c r="AH315" s="25">
        <v>-12.39374999999999</v>
      </c>
      <c r="AI315" s="25">
        <v>-9.5</v>
      </c>
      <c r="AJ315" s="25">
        <v>-8.800000000000006</v>
      </c>
      <c r="AK315" s="25">
        <v>-9.2145833333333247</v>
      </c>
      <c r="AL315" s="25">
        <v>21.766666666666662</v>
      </c>
      <c r="AM315" s="25">
        <v>21.337499999999981</v>
      </c>
      <c r="AN315" s="25">
        <v>20.899999999999984</v>
      </c>
      <c r="AO315" s="25">
        <v>20.700000000000021</v>
      </c>
      <c r="AP315" s="25">
        <v>21.960416666666664</v>
      </c>
      <c r="AQ315" s="25">
        <v>21.695833333333354</v>
      </c>
      <c r="AR315" s="25">
        <v>21.335416666666646</v>
      </c>
      <c r="AS315" s="25">
        <v>21.133333333333347</v>
      </c>
      <c r="AT315" s="25">
        <v>0.47544680851063831</v>
      </c>
      <c r="AU315" s="25">
        <v>0.29068750000000004</v>
      </c>
      <c r="AV315" s="25">
        <v>0.51622916666666674</v>
      </c>
      <c r="AW315" s="25">
        <v>-14.042708333333337</v>
      </c>
      <c r="AX315" s="25">
        <v>-13.928541666666666</v>
      </c>
      <c r="AY315" s="25">
        <v>-13.157083333333327</v>
      </c>
      <c r="AZ315" s="25"/>
      <c r="BA315" s="25">
        <v>-9.445833333333324</v>
      </c>
      <c r="BB315" s="25">
        <v>-9.3562499999999922</v>
      </c>
      <c r="BC315" s="25"/>
      <c r="BD315" s="25">
        <v>21.868750000000002</v>
      </c>
      <c r="BE315" s="25">
        <v>21.716666666666665</v>
      </c>
    </row>
    <row r="316" spans="1:57" x14ac:dyDescent="0.25">
      <c r="A316" s="1">
        <v>25.2</v>
      </c>
      <c r="B316" s="1">
        <v>21.1</v>
      </c>
      <c r="C316" s="22"/>
      <c r="D316" s="23">
        <v>44023</v>
      </c>
      <c r="E316" s="24">
        <v>123.52083333333333</v>
      </c>
      <c r="F316" s="24">
        <v>85.88333333333334</v>
      </c>
      <c r="G316" s="24">
        <v>22.491666666666664</v>
      </c>
      <c r="H316" s="24">
        <v>0.4</v>
      </c>
      <c r="I316" s="24">
        <v>231</v>
      </c>
      <c r="J316" s="24">
        <v>13.229166666666666</v>
      </c>
      <c r="K316" s="24">
        <v>2.3333333333333335</v>
      </c>
      <c r="L316" s="24">
        <v>19.989583333333336</v>
      </c>
      <c r="M316" s="10">
        <v>0.39204073573279724</v>
      </c>
      <c r="N316" s="25">
        <v>0.46835416666666657</v>
      </c>
      <c r="O316" s="25">
        <v>0.55604166666666643</v>
      </c>
      <c r="P316" s="25">
        <v>0.60550000000000015</v>
      </c>
      <c r="Q316" s="25">
        <v>0.62041666666666639</v>
      </c>
      <c r="R316" s="25">
        <v>0.62356249999999969</v>
      </c>
      <c r="S316" s="25">
        <v>0.50941666666666696</v>
      </c>
      <c r="T316" s="25">
        <v>0.48300000000000032</v>
      </c>
      <c r="U316" s="25">
        <v>0.41520833333333357</v>
      </c>
      <c r="V316" s="25">
        <v>-13.533958333333329</v>
      </c>
      <c r="W316" s="25">
        <v>-19.676666666666662</v>
      </c>
      <c r="X316" s="25">
        <v>-11.735833333333334</v>
      </c>
      <c r="Y316" s="25">
        <v>-12.25520833333333</v>
      </c>
      <c r="Z316" s="25">
        <v>-11.967499999999996</v>
      </c>
      <c r="AA316" s="25">
        <v>-12.133125000000005</v>
      </c>
      <c r="AB316" s="25">
        <v>-12.09791666666667</v>
      </c>
      <c r="AC316" s="25">
        <v>-13.008124999999987</v>
      </c>
      <c r="AD316" s="25">
        <v>-8.5083333333333346</v>
      </c>
      <c r="AE316" s="25">
        <v>-10.154166666666661</v>
      </c>
      <c r="AF316" s="25">
        <v>-9.2541666666666718</v>
      </c>
      <c r="AG316" s="25">
        <v>-10.208333333333327</v>
      </c>
      <c r="AH316" s="25">
        <v>-12.364583333333327</v>
      </c>
      <c r="AI316" s="25">
        <v>-9.5500000000000096</v>
      </c>
      <c r="AJ316" s="25">
        <v>-8.8312499999999954</v>
      </c>
      <c r="AK316" s="25">
        <v>-9.3333333333333233</v>
      </c>
      <c r="AL316" s="25">
        <v>21.662499999999998</v>
      </c>
      <c r="AM316" s="25">
        <v>21.266666666666676</v>
      </c>
      <c r="AN316" s="25">
        <v>20.858333333333309</v>
      </c>
      <c r="AO316" s="25">
        <v>20.695833333333351</v>
      </c>
      <c r="AP316" s="25">
        <v>21.747916666666665</v>
      </c>
      <c r="AQ316" s="25">
        <v>21.520833333333329</v>
      </c>
      <c r="AR316" s="25">
        <v>21.181250000000013</v>
      </c>
      <c r="AS316" s="25">
        <v>20.985416666666655</v>
      </c>
      <c r="AT316" s="25">
        <v>0.45879166666666671</v>
      </c>
      <c r="AU316" s="25">
        <v>0.26952083333333315</v>
      </c>
      <c r="AV316" s="25">
        <v>0.49383333333333335</v>
      </c>
      <c r="AW316" s="25">
        <v>-13.997291666666674</v>
      </c>
      <c r="AX316" s="25">
        <v>-13.875208333333338</v>
      </c>
      <c r="AY316" s="25">
        <v>-13.178750000000001</v>
      </c>
      <c r="AZ316" s="25"/>
      <c r="BA316" s="25">
        <v>-9.4354166666666668</v>
      </c>
      <c r="BB316" s="25">
        <v>-9.4604166666666725</v>
      </c>
      <c r="BC316" s="25"/>
      <c r="BD316" s="25">
        <v>22.03125</v>
      </c>
      <c r="BE316" s="25">
        <v>21.637500000000003</v>
      </c>
    </row>
    <row r="317" spans="1:57" x14ac:dyDescent="0.25">
      <c r="A317" s="1">
        <v>21.7</v>
      </c>
      <c r="B317" s="1">
        <v>19.8</v>
      </c>
      <c r="C317" s="22"/>
      <c r="D317" s="23">
        <v>44024</v>
      </c>
      <c r="E317" s="24">
        <v>62.5625</v>
      </c>
      <c r="F317" s="24">
        <v>91.089583333333351</v>
      </c>
      <c r="G317" s="24">
        <v>20.618749999999999</v>
      </c>
      <c r="H317" s="24">
        <v>7.8000000000000007</v>
      </c>
      <c r="I317" s="24">
        <v>224.64583333333334</v>
      </c>
      <c r="J317" s="24">
        <v>6.791666666666667</v>
      </c>
      <c r="K317" s="24">
        <v>0.66666666666666663</v>
      </c>
      <c r="L317" s="24">
        <v>19.108333333333334</v>
      </c>
      <c r="M317" s="10">
        <v>0.21816361632211209</v>
      </c>
      <c r="N317" s="25">
        <v>0.47737500000000005</v>
      </c>
      <c r="O317" s="25">
        <v>0.55639583333333331</v>
      </c>
      <c r="P317" s="25">
        <v>0.60414583333333338</v>
      </c>
      <c r="Q317" s="25">
        <v>0.61860416666666673</v>
      </c>
      <c r="R317" s="25">
        <v>0.61950000000000005</v>
      </c>
      <c r="S317" s="25">
        <v>0.50177083333333383</v>
      </c>
      <c r="T317" s="25">
        <v>0.48129166666666712</v>
      </c>
      <c r="U317" s="25">
        <v>0.4135625</v>
      </c>
      <c r="V317" s="25">
        <v>-13.587500000000004</v>
      </c>
      <c r="W317" s="25">
        <v>-19.677291666666665</v>
      </c>
      <c r="X317" s="25">
        <v>-11.749374999999999</v>
      </c>
      <c r="Y317" s="25">
        <v>-12.275833333333338</v>
      </c>
      <c r="Z317" s="25">
        <v>-12.039999999999994</v>
      </c>
      <c r="AA317" s="25">
        <v>-12.252291666666659</v>
      </c>
      <c r="AB317" s="25">
        <v>-12.238541666666661</v>
      </c>
      <c r="AC317" s="25">
        <v>-13.058749999999996</v>
      </c>
      <c r="AD317" s="25">
        <v>-8.5229166666666654</v>
      </c>
      <c r="AE317" s="25">
        <v>-10.16666666666667</v>
      </c>
      <c r="AF317" s="25">
        <v>-9.3000000000000078</v>
      </c>
      <c r="AG317" s="25">
        <v>-10.300000000000008</v>
      </c>
      <c r="AH317" s="25">
        <v>-12.210416666666681</v>
      </c>
      <c r="AI317" s="25">
        <v>-9.5625</v>
      </c>
      <c r="AJ317" s="25">
        <v>-8.8999999999999932</v>
      </c>
      <c r="AK317" s="25">
        <v>-9.3833333333333311</v>
      </c>
      <c r="AL317" s="25">
        <v>21.391666666666652</v>
      </c>
      <c r="AM317" s="25">
        <v>21.183333333333344</v>
      </c>
      <c r="AN317" s="25">
        <v>20.789583333333322</v>
      </c>
      <c r="AO317" s="25">
        <v>20.612500000000011</v>
      </c>
      <c r="AP317" s="25">
        <v>21.235416666666669</v>
      </c>
      <c r="AQ317" s="25">
        <v>21.279166666666683</v>
      </c>
      <c r="AR317" s="25">
        <v>21.029166666666661</v>
      </c>
      <c r="AS317" s="25">
        <v>20.862499999999986</v>
      </c>
      <c r="AT317" s="25">
        <v>0.46353658536585357</v>
      </c>
      <c r="AU317" s="25">
        <v>0.2809166666666667</v>
      </c>
      <c r="AV317" s="25">
        <v>0.50262499999999988</v>
      </c>
      <c r="AW317" s="25">
        <v>-14.592708333333334</v>
      </c>
      <c r="AX317" s="25">
        <v>-13.890416666666667</v>
      </c>
      <c r="AY317" s="25">
        <v>-13.237500000000004</v>
      </c>
      <c r="AZ317" s="25"/>
      <c r="BA317" s="25">
        <v>-9.3249999999999957</v>
      </c>
      <c r="BB317" s="25">
        <v>-9.4895833333333233</v>
      </c>
      <c r="BC317" s="25"/>
      <c r="BD317" s="25">
        <v>21.435416666666669</v>
      </c>
      <c r="BE317" s="25">
        <v>21.339583333333334</v>
      </c>
    </row>
    <row r="318" spans="1:57" x14ac:dyDescent="0.25">
      <c r="A318" s="1">
        <v>22.7</v>
      </c>
      <c r="B318" s="1">
        <v>18.899999999999999</v>
      </c>
      <c r="C318" s="22"/>
      <c r="D318" s="23">
        <v>44025</v>
      </c>
      <c r="E318" s="24">
        <v>79.166666666666671</v>
      </c>
      <c r="F318" s="24">
        <v>90.791666666666686</v>
      </c>
      <c r="G318" s="24">
        <v>20.572916666666661</v>
      </c>
      <c r="H318" s="24">
        <v>2.5</v>
      </c>
      <c r="I318" s="24">
        <v>228.70833333333334</v>
      </c>
      <c r="J318" s="24">
        <v>8.6458333333333339</v>
      </c>
      <c r="K318" s="24">
        <v>1.3125</v>
      </c>
      <c r="L318" s="24">
        <v>18.991666666666671</v>
      </c>
      <c r="M318" s="10">
        <v>0.23078927416350936</v>
      </c>
      <c r="N318" s="25">
        <v>0.48677083333333337</v>
      </c>
      <c r="O318" s="25">
        <v>0.56356250000000019</v>
      </c>
      <c r="P318" s="25">
        <v>0.6091875000000001</v>
      </c>
      <c r="Q318" s="25">
        <v>0.62343749999999964</v>
      </c>
      <c r="R318" s="25">
        <v>0.62645833333333323</v>
      </c>
      <c r="S318" s="25">
        <v>0.50433333333333352</v>
      </c>
      <c r="T318" s="25">
        <v>0.48066666666666685</v>
      </c>
      <c r="U318" s="25">
        <v>0.41331249999999997</v>
      </c>
      <c r="V318" s="25">
        <v>-13.58208333333333</v>
      </c>
      <c r="W318" s="25">
        <v>-19.457708333333333</v>
      </c>
      <c r="X318" s="25">
        <v>-11.685416666666674</v>
      </c>
      <c r="Y318" s="25">
        <v>-12.195416666666672</v>
      </c>
      <c r="Z318" s="25">
        <v>-11.91166666666666</v>
      </c>
      <c r="AA318" s="25">
        <v>-12.229374999999992</v>
      </c>
      <c r="AB318" s="25">
        <v>-12.219374999999999</v>
      </c>
      <c r="AC318" s="25">
        <v>-13.079375000000004</v>
      </c>
      <c r="AD318" s="25">
        <v>-8.4249999999999936</v>
      </c>
      <c r="AE318" s="25">
        <v>-10.100000000000009</v>
      </c>
      <c r="AF318" s="25">
        <v>-9.3000000000000078</v>
      </c>
      <c r="AG318" s="25">
        <v>-10.300000000000008</v>
      </c>
      <c r="AH318" s="25">
        <v>-12.10000000000001</v>
      </c>
      <c r="AI318" s="25">
        <v>-9.5</v>
      </c>
      <c r="AJ318" s="25">
        <v>-8.8999999999999932</v>
      </c>
      <c r="AK318" s="25">
        <v>-9.2020833333333254</v>
      </c>
      <c r="AL318" s="25">
        <v>21.05</v>
      </c>
      <c r="AM318" s="25">
        <v>20.914583333333315</v>
      </c>
      <c r="AN318" s="25">
        <v>20.656250000000011</v>
      </c>
      <c r="AO318" s="25">
        <v>20.541666666666668</v>
      </c>
      <c r="AP318" s="25">
        <v>20.914583333333347</v>
      </c>
      <c r="AQ318" s="25">
        <v>20.937499999999982</v>
      </c>
      <c r="AR318" s="25">
        <v>20.725000000000019</v>
      </c>
      <c r="AS318" s="25">
        <v>20.604166666666671</v>
      </c>
      <c r="AT318" s="25">
        <v>0.46658333333333341</v>
      </c>
      <c r="AU318" s="25">
        <v>0.28141666666666665</v>
      </c>
      <c r="AV318" s="25">
        <v>0.5160625000000002</v>
      </c>
      <c r="AW318" s="25">
        <v>-16.80479166666667</v>
      </c>
      <c r="AX318" s="25">
        <v>-13.878541666666672</v>
      </c>
      <c r="AY318" s="25">
        <v>-13.21000000000001</v>
      </c>
      <c r="AZ318" s="25"/>
      <c r="BA318" s="25">
        <v>-9.1812499999999968</v>
      </c>
      <c r="BB318" s="25">
        <v>-9.3999999999999932</v>
      </c>
      <c r="BC318" s="25"/>
      <c r="BD318" s="25">
        <v>21.297916666666669</v>
      </c>
      <c r="BE318" s="25">
        <v>21.099999999999994</v>
      </c>
    </row>
    <row r="319" spans="1:57" x14ac:dyDescent="0.25">
      <c r="A319" s="1">
        <v>28.2</v>
      </c>
      <c r="B319" s="1">
        <v>20.8</v>
      </c>
      <c r="C319" s="22"/>
      <c r="D319" s="23">
        <v>44026</v>
      </c>
      <c r="E319" s="24">
        <v>225.97916666666666</v>
      </c>
      <c r="F319" s="24">
        <v>78.722916666666649</v>
      </c>
      <c r="G319" s="24">
        <v>23.77291666666666</v>
      </c>
      <c r="H319" s="24">
        <v>0</v>
      </c>
      <c r="I319" s="24">
        <v>238.3125</v>
      </c>
      <c r="J319" s="24">
        <v>12.125</v>
      </c>
      <c r="K319" s="24">
        <v>1.7708333333333333</v>
      </c>
      <c r="L319" s="24">
        <v>19.747916666666665</v>
      </c>
      <c r="M319" s="10">
        <v>0.66749529574709843</v>
      </c>
      <c r="N319" s="25">
        <v>0.46872916666666659</v>
      </c>
      <c r="O319" s="25">
        <v>0.55352083333333357</v>
      </c>
      <c r="P319" s="25">
        <v>0.60352083333333373</v>
      </c>
      <c r="Q319" s="25">
        <v>0.61912499999999981</v>
      </c>
      <c r="R319" s="25">
        <v>0.62210416666666613</v>
      </c>
      <c r="S319" s="25">
        <v>0.50193750000000015</v>
      </c>
      <c r="T319" s="25">
        <v>0.47849999999999993</v>
      </c>
      <c r="U319" s="25">
        <v>0.4116041666666666</v>
      </c>
      <c r="V319" s="25">
        <v>-13.522083333333335</v>
      </c>
      <c r="W319" s="25">
        <v>-19.725625000000004</v>
      </c>
      <c r="X319" s="25">
        <v>-11.719166666666666</v>
      </c>
      <c r="Y319" s="25">
        <v>-12.220624999999993</v>
      </c>
      <c r="Z319" s="25">
        <v>-11.959583333333336</v>
      </c>
      <c r="AA319" s="25">
        <v>-12.251041666666664</v>
      </c>
      <c r="AB319" s="25">
        <v>-12.288124999999996</v>
      </c>
      <c r="AC319" s="25">
        <v>-13.081874999999998</v>
      </c>
      <c r="AD319" s="25">
        <v>-8.4229166666666657</v>
      </c>
      <c r="AE319" s="25">
        <v>-10.089583333333342</v>
      </c>
      <c r="AF319" s="25">
        <v>-9.3333333333333304</v>
      </c>
      <c r="AG319" s="25">
        <v>-10.331249999999997</v>
      </c>
      <c r="AH319" s="25">
        <v>-12.156250000000005</v>
      </c>
      <c r="AI319" s="25">
        <v>-9.5520833333333428</v>
      </c>
      <c r="AJ319" s="25">
        <v>-8.8999999999999932</v>
      </c>
      <c r="AK319" s="25">
        <v>-9.2708333333333215</v>
      </c>
      <c r="AL319" s="25">
        <v>21.279166666666661</v>
      </c>
      <c r="AM319" s="25">
        <v>20.864583333333325</v>
      </c>
      <c r="AN319" s="25">
        <v>20.545833333333338</v>
      </c>
      <c r="AO319" s="25">
        <v>20.422916666666652</v>
      </c>
      <c r="AP319" s="25">
        <v>21.427083333333332</v>
      </c>
      <c r="AQ319" s="25">
        <v>20.999999999999996</v>
      </c>
      <c r="AR319" s="25">
        <v>20.672916666666676</v>
      </c>
      <c r="AS319" s="25">
        <v>20.512500000000003</v>
      </c>
      <c r="AT319" s="25">
        <v>0.4557872340425535</v>
      </c>
      <c r="AU319" s="25">
        <v>0.26325000000000004</v>
      </c>
      <c r="AV319" s="25">
        <v>0.49479166666666674</v>
      </c>
      <c r="AW319" s="25">
        <v>-13.927499999999995</v>
      </c>
      <c r="AX319" s="25">
        <v>-13.823958333333335</v>
      </c>
      <c r="AY319" s="25">
        <v>-13.173958333333333</v>
      </c>
      <c r="AZ319" s="25"/>
      <c r="BA319" s="25">
        <v>-9.2104166666666618</v>
      </c>
      <c r="BB319" s="25">
        <v>-9.4895833333333393</v>
      </c>
      <c r="BC319" s="25"/>
      <c r="BD319" s="25">
        <v>22.670833333333338</v>
      </c>
      <c r="BE319" s="25">
        <v>21.574999999999999</v>
      </c>
    </row>
    <row r="320" spans="1:57" x14ac:dyDescent="0.25">
      <c r="A320" s="1">
        <v>27.7</v>
      </c>
      <c r="B320" s="1">
        <v>20.7</v>
      </c>
      <c r="C320" s="22"/>
      <c r="D320" s="23">
        <v>44027</v>
      </c>
      <c r="E320" s="24">
        <v>178.64583333333334</v>
      </c>
      <c r="F320" s="24">
        <v>79.708333333333357</v>
      </c>
      <c r="G320" s="24">
        <v>23.952083333333338</v>
      </c>
      <c r="H320" s="24">
        <v>0</v>
      </c>
      <c r="I320" s="24">
        <v>235.52083333333334</v>
      </c>
      <c r="J320" s="24">
        <v>13.1875</v>
      </c>
      <c r="K320" s="24">
        <v>2.0625</v>
      </c>
      <c r="L320" s="24">
        <v>20.147916666666664</v>
      </c>
      <c r="M320" s="10">
        <v>0.63393720076048399</v>
      </c>
      <c r="N320" s="25">
        <v>0.45252083333333354</v>
      </c>
      <c r="O320" s="25">
        <v>0.54314583333333355</v>
      </c>
      <c r="P320" s="25">
        <v>0.59781249999999986</v>
      </c>
      <c r="Q320" s="25">
        <v>0.61427083333333277</v>
      </c>
      <c r="R320" s="25">
        <v>0.61306249999999995</v>
      </c>
      <c r="S320" s="25">
        <v>0.49045833333333366</v>
      </c>
      <c r="T320" s="25">
        <v>0.47414583333333327</v>
      </c>
      <c r="U320" s="25">
        <v>0.40814583333333321</v>
      </c>
      <c r="V320" s="25">
        <v>-13.599583333333333</v>
      </c>
      <c r="W320" s="25">
        <v>-20.418125000000003</v>
      </c>
      <c r="X320" s="25">
        <v>-11.800416666666669</v>
      </c>
      <c r="Y320" s="25">
        <v>-12.334999999999996</v>
      </c>
      <c r="Z320" s="25">
        <v>-12.446250000000004</v>
      </c>
      <c r="AA320" s="25">
        <v>-13.280000000000003</v>
      </c>
      <c r="AB320" s="25">
        <v>-13.078333333333331</v>
      </c>
      <c r="AC320" s="25">
        <v>-13.172916666666667</v>
      </c>
      <c r="AD320" s="25">
        <v>-8.5458333333333396</v>
      </c>
      <c r="AE320" s="25">
        <v>-10.14791666666666</v>
      </c>
      <c r="AF320" s="25">
        <v>-9.3999999999999932</v>
      </c>
      <c r="AG320" s="25">
        <v>-10.39999999999999</v>
      </c>
      <c r="AH320" s="25">
        <v>-12.399999999999993</v>
      </c>
      <c r="AI320" s="25">
        <v>-9.6520833333333265</v>
      </c>
      <c r="AJ320" s="25">
        <v>-8.9270833333333321</v>
      </c>
      <c r="AK320" s="25">
        <v>-9.4458333333333346</v>
      </c>
      <c r="AL320" s="25">
        <v>21.652083333333334</v>
      </c>
      <c r="AM320" s="25">
        <v>21.093750000000014</v>
      </c>
      <c r="AN320" s="25">
        <v>20.614583333333353</v>
      </c>
      <c r="AO320" s="25">
        <v>20.460416666666664</v>
      </c>
      <c r="AP320" s="25">
        <v>21.802083333333332</v>
      </c>
      <c r="AQ320" s="25">
        <v>21.358333333333334</v>
      </c>
      <c r="AR320" s="25">
        <v>20.935416666666658</v>
      </c>
      <c r="AS320" s="25">
        <v>20.712500000000006</v>
      </c>
      <c r="AT320" s="25">
        <v>0.44152272727272718</v>
      </c>
      <c r="AU320" s="25">
        <v>0.24397916666666666</v>
      </c>
      <c r="AV320" s="25">
        <v>0.46479166666666655</v>
      </c>
      <c r="AW320" s="25">
        <v>-13.919791666666674</v>
      </c>
      <c r="AX320" s="25">
        <v>-13.910625000000003</v>
      </c>
      <c r="AY320" s="25">
        <v>-13.306041666666665</v>
      </c>
      <c r="AZ320" s="25"/>
      <c r="BA320" s="25">
        <v>-9.412500000000005</v>
      </c>
      <c r="BB320" s="25">
        <v>-9.8187499999999961</v>
      </c>
      <c r="BC320" s="25"/>
      <c r="BD320" s="25">
        <v>22.631249999999994</v>
      </c>
      <c r="BE320" s="25">
        <v>21.9375</v>
      </c>
    </row>
    <row r="321" spans="1:57" x14ac:dyDescent="0.25">
      <c r="A321" s="1">
        <v>28.6</v>
      </c>
      <c r="B321" s="1">
        <v>21.8</v>
      </c>
      <c r="C321" s="22"/>
      <c r="D321" s="23">
        <v>44028</v>
      </c>
      <c r="E321" s="24">
        <v>174.875</v>
      </c>
      <c r="F321" s="24">
        <v>79.539583333333326</v>
      </c>
      <c r="G321" s="24">
        <v>24.324999999999992</v>
      </c>
      <c r="H321" s="24">
        <v>0</v>
      </c>
      <c r="I321" s="24">
        <v>232.47916666666666</v>
      </c>
      <c r="J321" s="24">
        <v>16.6875</v>
      </c>
      <c r="K321" s="24">
        <v>3.4791666666666665</v>
      </c>
      <c r="L321" s="24">
        <v>20.493750000000002</v>
      </c>
      <c r="M321" s="10">
        <v>0.64899537056313794</v>
      </c>
      <c r="N321" s="25">
        <v>0.4384791666666667</v>
      </c>
      <c r="O321" s="25">
        <v>0.53470833333333323</v>
      </c>
      <c r="P321" s="25">
        <v>0.59160416666666693</v>
      </c>
      <c r="Q321" s="25">
        <v>0.61025000000000029</v>
      </c>
      <c r="R321" s="25">
        <v>0.6036041666666665</v>
      </c>
      <c r="S321" s="25">
        <v>0.4788958333333333</v>
      </c>
      <c r="T321" s="25">
        <v>0.46883333333333327</v>
      </c>
      <c r="U321" s="25">
        <v>0.40447916666666678</v>
      </c>
      <c r="V321" s="25">
        <v>-15.634791666666665</v>
      </c>
      <c r="W321" s="25">
        <v>-22.288333333333338</v>
      </c>
      <c r="X321" s="25">
        <v>-11.948125000000005</v>
      </c>
      <c r="Y321" s="25">
        <v>-12.547500000000001</v>
      </c>
      <c r="Z321" s="25">
        <v>-14.744166666666667</v>
      </c>
      <c r="AA321" s="25">
        <v>-15.638125</v>
      </c>
      <c r="AB321" s="25">
        <v>-14.819583333333329</v>
      </c>
      <c r="AC321" s="25">
        <v>-13.678541666666668</v>
      </c>
      <c r="AD321" s="25">
        <v>-8.9874999999999989</v>
      </c>
      <c r="AE321" s="25">
        <v>-10.522916666666665</v>
      </c>
      <c r="AF321" s="25">
        <v>-9.4104166666666611</v>
      </c>
      <c r="AG321" s="25">
        <v>-10.579166666666666</v>
      </c>
      <c r="AH321" s="25">
        <v>-14.181249999999999</v>
      </c>
      <c r="AI321" s="25">
        <v>-9.7354166666666675</v>
      </c>
      <c r="AJ321" s="25">
        <v>-9.0104166666666696</v>
      </c>
      <c r="AK321" s="25">
        <v>-9.5437500000000099</v>
      </c>
      <c r="AL321" s="25">
        <v>21.868750000000009</v>
      </c>
      <c r="AM321" s="25">
        <v>21.264583333333334</v>
      </c>
      <c r="AN321" s="25">
        <v>20.718750000000004</v>
      </c>
      <c r="AO321" s="25">
        <v>20.516666666666669</v>
      </c>
      <c r="AP321" s="25">
        <v>22.066666666666666</v>
      </c>
      <c r="AQ321" s="25">
        <v>21.562499999999989</v>
      </c>
      <c r="AR321" s="25">
        <v>21.11041666666668</v>
      </c>
      <c r="AS321" s="25">
        <v>20.899999999999988</v>
      </c>
      <c r="AT321" s="25">
        <v>0.42375609756097549</v>
      </c>
      <c r="AU321" s="25">
        <v>0.22793750000000002</v>
      </c>
      <c r="AV321" s="25">
        <v>0.43939583333333321</v>
      </c>
      <c r="AW321" s="25">
        <v>-14.0875</v>
      </c>
      <c r="AX321" s="25">
        <v>-14.519791666666663</v>
      </c>
      <c r="AY321" s="25">
        <v>-13.607083333333334</v>
      </c>
      <c r="AZ321" s="25"/>
      <c r="BA321" s="25">
        <v>-10.8375</v>
      </c>
      <c r="BB321" s="25">
        <v>-10.166666666666668</v>
      </c>
      <c r="BC321" s="25"/>
      <c r="BD321" s="25">
        <v>22.825000000000003</v>
      </c>
      <c r="BE321" s="25">
        <v>22.197916666666671</v>
      </c>
    </row>
    <row r="322" spans="1:57" x14ac:dyDescent="0.25">
      <c r="A322" s="1">
        <v>27.2</v>
      </c>
      <c r="B322" s="1">
        <v>21.3</v>
      </c>
      <c r="C322" s="22"/>
      <c r="D322" s="23">
        <v>44029</v>
      </c>
      <c r="E322" s="24">
        <v>138.85416666666666</v>
      </c>
      <c r="F322" s="24">
        <v>82.456250000000026</v>
      </c>
      <c r="G322" s="24">
        <v>23.450000000000003</v>
      </c>
      <c r="H322" s="24">
        <v>3.2</v>
      </c>
      <c r="I322" s="24">
        <v>227.10416666666666</v>
      </c>
      <c r="J322" s="24">
        <v>15.75</v>
      </c>
      <c r="K322" s="24">
        <v>2.75</v>
      </c>
      <c r="L322" s="24">
        <v>20.239583333333339</v>
      </c>
      <c r="M322" s="10">
        <v>0.52293851556651827</v>
      </c>
      <c r="N322" s="25">
        <v>0.42172916666666688</v>
      </c>
      <c r="O322" s="25">
        <v>0.52579166666666632</v>
      </c>
      <c r="P322" s="25">
        <v>0.58456249999999976</v>
      </c>
      <c r="Q322" s="25">
        <v>0.60554166666666653</v>
      </c>
      <c r="R322" s="25">
        <v>0.59081249999999985</v>
      </c>
      <c r="S322" s="25">
        <v>0.46674999999999961</v>
      </c>
      <c r="T322" s="25">
        <v>0.46239583333333312</v>
      </c>
      <c r="U322" s="25">
        <v>0.40006249999999993</v>
      </c>
      <c r="V322" s="25">
        <v>-23.311666666666657</v>
      </c>
      <c r="W322" s="25">
        <v>-28.162291666666661</v>
      </c>
      <c r="X322" s="25">
        <v>-12.584166666666668</v>
      </c>
      <c r="Y322" s="25">
        <v>-13.223749999999997</v>
      </c>
      <c r="Z322" s="25">
        <v>-20.778958333333332</v>
      </c>
      <c r="AA322" s="25">
        <v>-19.201458333333331</v>
      </c>
      <c r="AB322" s="25">
        <v>-17.832291666666663</v>
      </c>
      <c r="AC322" s="25">
        <v>-15.146041666666667</v>
      </c>
      <c r="AD322" s="25">
        <v>-12.604166666666666</v>
      </c>
      <c r="AE322" s="25">
        <v>-12.110416666666666</v>
      </c>
      <c r="AF322" s="25">
        <v>-9.4812500000000011</v>
      </c>
      <c r="AG322" s="25">
        <v>-10.781249999999993</v>
      </c>
      <c r="AH322" s="25">
        <v>-23.881249999999998</v>
      </c>
      <c r="AI322" s="25">
        <v>-10.089583333333332</v>
      </c>
      <c r="AJ322" s="25">
        <v>-9.0812500000000078</v>
      </c>
      <c r="AK322" s="25">
        <v>-9.6854166666666668</v>
      </c>
      <c r="AL322" s="25">
        <v>21.866666666666674</v>
      </c>
      <c r="AM322" s="25">
        <v>21.34999999999998</v>
      </c>
      <c r="AN322" s="25">
        <v>20.802083333333314</v>
      </c>
      <c r="AO322" s="25">
        <v>20.600000000000016</v>
      </c>
      <c r="AP322" s="25">
        <v>21.977083333333336</v>
      </c>
      <c r="AQ322" s="25">
        <v>21.622916666666672</v>
      </c>
      <c r="AR322" s="25">
        <v>21.214583333333341</v>
      </c>
      <c r="AS322" s="25">
        <v>21</v>
      </c>
      <c r="AT322" s="25">
        <v>0.40948936170212746</v>
      </c>
      <c r="AU322" s="25">
        <v>0.21031250000000001</v>
      </c>
      <c r="AV322" s="25">
        <v>0.40820833333333334</v>
      </c>
      <c r="AW322" s="25">
        <v>-14.901458333333331</v>
      </c>
      <c r="AX322" s="25">
        <v>-20.355208333333326</v>
      </c>
      <c r="AY322" s="25">
        <v>-16.30395833333333</v>
      </c>
      <c r="AZ322" s="25"/>
      <c r="BA322" s="25">
        <v>-18.887499999999996</v>
      </c>
      <c r="BB322" s="25">
        <v>-11.793749999999998</v>
      </c>
      <c r="BC322" s="25"/>
      <c r="BD322" s="25">
        <v>22.574999999999999</v>
      </c>
      <c r="BE322" s="25">
        <v>22.216666666666665</v>
      </c>
    </row>
    <row r="323" spans="1:57" x14ac:dyDescent="0.25">
      <c r="A323" s="1">
        <v>27.7</v>
      </c>
      <c r="B323" s="1">
        <v>20.7</v>
      </c>
      <c r="C323" s="22"/>
      <c r="D323" s="23">
        <v>44030</v>
      </c>
      <c r="E323" s="24">
        <v>182.35416666666666</v>
      </c>
      <c r="F323" s="24">
        <v>81.950000000000017</v>
      </c>
      <c r="G323" s="24">
        <v>23.356250000000006</v>
      </c>
      <c r="H323" s="24">
        <v>1.7</v>
      </c>
      <c r="I323" s="24">
        <v>235.72916666666666</v>
      </c>
      <c r="J323" s="24">
        <v>11.645833333333334</v>
      </c>
      <c r="K323" s="24">
        <v>1.2291666666666667</v>
      </c>
      <c r="L323" s="24">
        <v>20.025000000000002</v>
      </c>
      <c r="M323" s="10">
        <v>0.54615648517103221</v>
      </c>
      <c r="N323" s="25">
        <v>0.4056041666666666</v>
      </c>
      <c r="O323" s="25">
        <v>0.51831249999999995</v>
      </c>
      <c r="P323" s="25">
        <v>0.5775625000000002</v>
      </c>
      <c r="Q323" s="25">
        <v>0.60068749999999993</v>
      </c>
      <c r="R323" s="25">
        <v>0.57783333333333364</v>
      </c>
      <c r="S323" s="25">
        <v>0.45641666666666697</v>
      </c>
      <c r="T323" s="25">
        <v>0.45579166666666676</v>
      </c>
      <c r="U323" s="25">
        <v>0.39549999999999996</v>
      </c>
      <c r="V323" s="25">
        <v>-30.009583333333349</v>
      </c>
      <c r="W323" s="25">
        <v>-35.993541666666665</v>
      </c>
      <c r="X323" s="25">
        <v>-14.317708333333334</v>
      </c>
      <c r="Y323" s="25">
        <v>-15.169375000000002</v>
      </c>
      <c r="Z323" s="25">
        <v>-27.508749999999996</v>
      </c>
      <c r="AA323" s="25">
        <v>-22.49145833333333</v>
      </c>
      <c r="AB323" s="25">
        <v>-20.881249999999998</v>
      </c>
      <c r="AC323" s="25">
        <v>-17.660000000000004</v>
      </c>
      <c r="AD323" s="25">
        <v>-22.293750000000003</v>
      </c>
      <c r="AE323" s="25">
        <v>-16.491666666666667</v>
      </c>
      <c r="AF323" s="25">
        <v>-9.6416666666666639</v>
      </c>
      <c r="AG323" s="25">
        <v>-11.033333333333337</v>
      </c>
      <c r="AH323" s="25">
        <v>-26.36666666666666</v>
      </c>
      <c r="AI323" s="25">
        <v>-11.129166666666665</v>
      </c>
      <c r="AJ323" s="25">
        <v>-9.1875</v>
      </c>
      <c r="AK323" s="25">
        <v>-10.202083333333334</v>
      </c>
      <c r="AL323" s="25">
        <v>21.812500000000011</v>
      </c>
      <c r="AM323" s="25">
        <v>21.329166666666662</v>
      </c>
      <c r="AN323" s="25">
        <v>20.868749999999977</v>
      </c>
      <c r="AO323" s="25">
        <v>20.670833333333352</v>
      </c>
      <c r="AP323" s="25">
        <v>21.891666666666669</v>
      </c>
      <c r="AQ323" s="25">
        <v>21.572916666666668</v>
      </c>
      <c r="AR323" s="25">
        <v>21.204166666666676</v>
      </c>
      <c r="AS323" s="25">
        <v>21.004166666666663</v>
      </c>
      <c r="AT323" s="25">
        <v>0.41117241379310343</v>
      </c>
      <c r="AU323" s="25">
        <v>0.2246666666666666</v>
      </c>
      <c r="AV323" s="25">
        <v>0.38239583333333343</v>
      </c>
      <c r="AW323" s="25">
        <v>-15.076250000000002</v>
      </c>
      <c r="AX323" s="25">
        <v>-16.729583333333338</v>
      </c>
      <c r="AY323" s="25">
        <v>-22.060833333333335</v>
      </c>
      <c r="AZ323" s="25"/>
      <c r="BA323" s="25">
        <v>-21.458333333333332</v>
      </c>
      <c r="BB323" s="25">
        <v>-22.331249999999997</v>
      </c>
      <c r="BC323" s="25"/>
      <c r="BD323" s="25">
        <v>22.683333333333337</v>
      </c>
      <c r="BE323" s="25">
        <v>22.289583333333336</v>
      </c>
    </row>
    <row r="324" spans="1:57" x14ac:dyDescent="0.25">
      <c r="A324" s="1">
        <v>25.5</v>
      </c>
      <c r="B324" s="1">
        <v>18.600000000000001</v>
      </c>
      <c r="C324" s="22"/>
      <c r="D324" s="23">
        <v>44031</v>
      </c>
      <c r="E324" s="24">
        <v>124.20833333333333</v>
      </c>
      <c r="F324" s="24">
        <v>85.610416666666694</v>
      </c>
      <c r="G324" s="24">
        <v>21.558333333333326</v>
      </c>
      <c r="H324" s="24">
        <v>41.900000000000006</v>
      </c>
      <c r="I324" s="24">
        <v>221.6875</v>
      </c>
      <c r="J324" s="24">
        <v>3.625</v>
      </c>
      <c r="K324" s="24">
        <v>0.10416666666666667</v>
      </c>
      <c r="L324" s="24">
        <v>18.960416666666667</v>
      </c>
      <c r="M324" s="10">
        <v>0.39686972402933041</v>
      </c>
      <c r="N324" s="25">
        <v>0.47772916666666676</v>
      </c>
      <c r="O324" s="25">
        <v>0.55729166666666663</v>
      </c>
      <c r="P324" s="25">
        <v>0.60310416666666677</v>
      </c>
      <c r="Q324" s="25">
        <v>0.62497916666666631</v>
      </c>
      <c r="R324" s="25">
        <v>0.61552083333333341</v>
      </c>
      <c r="S324" s="25">
        <v>0.51118750000000002</v>
      </c>
      <c r="T324" s="25">
        <v>0.47870833333333324</v>
      </c>
      <c r="U324" s="25">
        <v>0.41529166666666684</v>
      </c>
      <c r="V324" s="25">
        <v>-17.871250000000007</v>
      </c>
      <c r="W324" s="25">
        <v>-23.732916666666664</v>
      </c>
      <c r="X324" s="25">
        <v>-12.535000000000004</v>
      </c>
      <c r="Y324" s="25">
        <v>-13.464166666666673</v>
      </c>
      <c r="Z324" s="25">
        <v>-16.134583333333353</v>
      </c>
      <c r="AA324" s="25">
        <v>-15.051041666666672</v>
      </c>
      <c r="AB324" s="25">
        <v>-15.197291666666651</v>
      </c>
      <c r="AC324" s="25">
        <v>-15.261875000000009</v>
      </c>
      <c r="AD324" s="25">
        <v>-14.002083333333344</v>
      </c>
      <c r="AE324" s="25">
        <v>-13.50416666666667</v>
      </c>
      <c r="AF324" s="25">
        <v>-9.6354166666666661</v>
      </c>
      <c r="AG324" s="25">
        <v>-10.637499999999989</v>
      </c>
      <c r="AH324" s="25">
        <v>-15.724999999999985</v>
      </c>
      <c r="AI324" s="25">
        <v>-10.552083333333325</v>
      </c>
      <c r="AJ324" s="25">
        <v>-9.0583333333333318</v>
      </c>
      <c r="AK324" s="25">
        <v>-10.270833333333334</v>
      </c>
      <c r="AL324" s="25">
        <v>21.583333333333329</v>
      </c>
      <c r="AM324" s="25">
        <v>21.285416666666684</v>
      </c>
      <c r="AN324" s="25">
        <v>20.872916666666644</v>
      </c>
      <c r="AO324" s="25">
        <v>20.700000000000021</v>
      </c>
      <c r="AP324" s="25">
        <v>21.477083333333336</v>
      </c>
      <c r="AQ324" s="25">
        <v>21.402083333333334</v>
      </c>
      <c r="AR324" s="25">
        <v>21.133333333333336</v>
      </c>
      <c r="AS324" s="25">
        <v>20.989583333333325</v>
      </c>
      <c r="AT324" s="25">
        <v>0.49640540540540545</v>
      </c>
      <c r="AU324" s="25">
        <v>0.30547916666666658</v>
      </c>
      <c r="AV324" s="25">
        <v>0.47599999999999992</v>
      </c>
      <c r="AW324" s="25">
        <v>-14.780833333333335</v>
      </c>
      <c r="AX324" s="25">
        <v>-15.476875</v>
      </c>
      <c r="AY324" s="25">
        <v>-16.158125000000002</v>
      </c>
      <c r="AZ324" s="25"/>
      <c r="BA324" s="25">
        <v>-12.735416666666666</v>
      </c>
      <c r="BB324" s="25">
        <v>-16.543749999999992</v>
      </c>
      <c r="BC324" s="25"/>
      <c r="BD324" s="25">
        <v>22.056250000000002</v>
      </c>
      <c r="BE324" s="25">
        <v>21.843749999999996</v>
      </c>
    </row>
    <row r="325" spans="1:57" x14ac:dyDescent="0.25">
      <c r="A325" s="1">
        <v>22.5</v>
      </c>
      <c r="B325" s="1">
        <v>17.3</v>
      </c>
      <c r="C325" s="22"/>
      <c r="D325" s="23">
        <v>44032</v>
      </c>
      <c r="E325" s="24">
        <v>64.229166666666671</v>
      </c>
      <c r="F325" s="24">
        <v>93.399999999999991</v>
      </c>
      <c r="G325" s="24">
        <v>19.522916666666664</v>
      </c>
      <c r="H325" s="24">
        <v>10.299999999999999</v>
      </c>
      <c r="I325" s="24">
        <v>248.3125</v>
      </c>
      <c r="J325" s="24">
        <v>2.1458333333333335</v>
      </c>
      <c r="K325" s="24">
        <v>0.125</v>
      </c>
      <c r="L325" s="24">
        <v>18.418750000000003</v>
      </c>
      <c r="M325" s="10">
        <v>0.15417672323297646</v>
      </c>
      <c r="N325" s="25">
        <v>0.47656250000000006</v>
      </c>
      <c r="O325" s="25">
        <v>0.55704166666666688</v>
      </c>
      <c r="P325" s="25">
        <v>0.60293749999999946</v>
      </c>
      <c r="Q325" s="25">
        <v>0.62022916666666639</v>
      </c>
      <c r="R325" s="25">
        <v>0.61995833333333317</v>
      </c>
      <c r="S325" s="25">
        <v>0.50685416666666649</v>
      </c>
      <c r="T325" s="25">
        <v>0.48277083333333309</v>
      </c>
      <c r="U325" s="25">
        <v>0.41472916666666676</v>
      </c>
      <c r="V325" s="25">
        <v>-13.6875</v>
      </c>
      <c r="W325" s="25">
        <v>-20.288333333333334</v>
      </c>
      <c r="X325" s="25">
        <v>-11.875833333333327</v>
      </c>
      <c r="Y325" s="25">
        <v>-12.319791666666665</v>
      </c>
      <c r="Z325" s="25">
        <v>-12.060833333333328</v>
      </c>
      <c r="AA325" s="25">
        <v>-12.188125000000005</v>
      </c>
      <c r="AB325" s="25">
        <v>-12.060000000000004</v>
      </c>
      <c r="AC325" s="25">
        <v>-13.013749999999989</v>
      </c>
      <c r="AD325" s="25">
        <v>-10.006249999999998</v>
      </c>
      <c r="AE325" s="25">
        <v>-11.181249999999999</v>
      </c>
      <c r="AF325" s="25">
        <v>-9.5</v>
      </c>
      <c r="AG325" s="25">
        <v>-10.39999999999999</v>
      </c>
      <c r="AH325" s="25">
        <v>-12.879166666666654</v>
      </c>
      <c r="AI325" s="25">
        <v>-10.185416666666663</v>
      </c>
      <c r="AJ325" s="25">
        <v>-8.9958333333333318</v>
      </c>
      <c r="AK325" s="25">
        <v>-9.9958333333333318</v>
      </c>
      <c r="AL325" s="25">
        <v>21.175000000000015</v>
      </c>
      <c r="AM325" s="25">
        <v>21.087500000000002</v>
      </c>
      <c r="AN325" s="25">
        <v>20.764583333333345</v>
      </c>
      <c r="AO325" s="25">
        <v>20.647916666666674</v>
      </c>
      <c r="AP325" s="25">
        <v>20.929166666666674</v>
      </c>
      <c r="AQ325" s="25">
        <v>21.112500000000001</v>
      </c>
      <c r="AR325" s="25">
        <v>20.922916666666641</v>
      </c>
      <c r="AS325" s="25">
        <v>20.818750000000005</v>
      </c>
      <c r="AT325" s="25">
        <v>0.46828571428571419</v>
      </c>
      <c r="AU325" s="25">
        <v>0.28608333333333341</v>
      </c>
      <c r="AV325" s="25">
        <v>0.4878958333333332</v>
      </c>
      <c r="AW325" s="25">
        <v>-14.50416666666667</v>
      </c>
      <c r="AX325" s="25">
        <v>-14.375208333333331</v>
      </c>
      <c r="AY325" s="25">
        <v>-13.547916666666678</v>
      </c>
      <c r="AZ325" s="25"/>
      <c r="BA325" s="25">
        <v>-10.360416666666666</v>
      </c>
      <c r="BB325" s="25">
        <v>-12.235416666666671</v>
      </c>
      <c r="BC325" s="25"/>
      <c r="BD325" s="25">
        <v>21.181250000000009</v>
      </c>
      <c r="BE325" s="25">
        <v>21.368750000000002</v>
      </c>
    </row>
    <row r="326" spans="1:57" x14ac:dyDescent="0.25">
      <c r="A326" s="1">
        <v>24.6</v>
      </c>
      <c r="B326" s="1">
        <v>19.899999999999999</v>
      </c>
      <c r="C326" s="22"/>
      <c r="D326" s="23">
        <v>44033</v>
      </c>
      <c r="E326" s="24">
        <v>119.89583333333333</v>
      </c>
      <c r="F326" s="24">
        <v>86.422916666666694</v>
      </c>
      <c r="G326" s="24">
        <v>21.704166666666669</v>
      </c>
      <c r="H326" s="24">
        <v>0.2</v>
      </c>
      <c r="I326" s="24">
        <v>229.66666666666666</v>
      </c>
      <c r="J326" s="24">
        <v>19.1875</v>
      </c>
      <c r="K326" s="24">
        <v>3.7916666666666665</v>
      </c>
      <c r="L326" s="24">
        <v>19.318749999999998</v>
      </c>
      <c r="M326" s="10">
        <v>0.3625778638346398</v>
      </c>
      <c r="N326" s="25">
        <v>0.48729166666666662</v>
      </c>
      <c r="O326" s="25">
        <v>0.56439583333333332</v>
      </c>
      <c r="P326" s="25">
        <v>0.60802083333333368</v>
      </c>
      <c r="Q326" s="25">
        <v>0.62806249999999997</v>
      </c>
      <c r="R326" s="25">
        <v>0.62752083333333331</v>
      </c>
      <c r="S326" s="25">
        <v>0.52197916666666688</v>
      </c>
      <c r="T326" s="25">
        <v>0.48631250000000054</v>
      </c>
      <c r="U326" s="25">
        <v>0.41881250000000003</v>
      </c>
      <c r="V326" s="25">
        <v>-13.658333333333337</v>
      </c>
      <c r="W326" s="25">
        <v>-20.403333333333343</v>
      </c>
      <c r="X326" s="25">
        <v>-11.85104166666668</v>
      </c>
      <c r="Y326" s="25">
        <v>-12.316874999999998</v>
      </c>
      <c r="Z326" s="25">
        <v>-12.000833333333331</v>
      </c>
      <c r="AA326" s="25">
        <v>-12.092291666666666</v>
      </c>
      <c r="AB326" s="25">
        <v>-12.048333333333334</v>
      </c>
      <c r="AC326" s="25">
        <v>-13.013124999999995</v>
      </c>
      <c r="AD326" s="25">
        <v>-9.8041666666666725</v>
      </c>
      <c r="AE326" s="25">
        <v>-10.960416666666658</v>
      </c>
      <c r="AF326" s="25">
        <v>-9.4062499999999929</v>
      </c>
      <c r="AG326" s="25">
        <v>-10.29166666666667</v>
      </c>
      <c r="AH326" s="25">
        <v>-12.766666666666664</v>
      </c>
      <c r="AI326" s="25">
        <v>-10.100000000000009</v>
      </c>
      <c r="AJ326" s="25">
        <v>-8.8999999999999932</v>
      </c>
      <c r="AK326" s="25">
        <v>-9.8041666666666742</v>
      </c>
      <c r="AL326" s="25">
        <v>21.004166666666666</v>
      </c>
      <c r="AM326" s="25">
        <v>20.847916666666649</v>
      </c>
      <c r="AN326" s="25">
        <v>20.633333333333347</v>
      </c>
      <c r="AO326" s="25">
        <v>20.53125</v>
      </c>
      <c r="AP326" s="25">
        <v>20.927083333333332</v>
      </c>
      <c r="AQ326" s="25">
        <v>20.889583333333331</v>
      </c>
      <c r="AR326" s="25">
        <v>20.687500000000014</v>
      </c>
      <c r="AS326" s="25">
        <v>20.604166666666675</v>
      </c>
      <c r="AT326" s="25">
        <v>0.47529166666666645</v>
      </c>
      <c r="AU326" s="25">
        <v>0.29033333333333339</v>
      </c>
      <c r="AV326" s="25">
        <v>0.50931250000000006</v>
      </c>
      <c r="AW326" s="25">
        <v>-14.46708333333333</v>
      </c>
      <c r="AX326" s="25">
        <v>-14.343333333333321</v>
      </c>
      <c r="AY326" s="25">
        <v>-13.478749999999993</v>
      </c>
      <c r="AZ326" s="25"/>
      <c r="BA326" s="25">
        <v>-10.199999999999992</v>
      </c>
      <c r="BB326" s="25">
        <v>-11.956249999999992</v>
      </c>
      <c r="BC326" s="25"/>
      <c r="BD326" s="25">
        <v>21.65625</v>
      </c>
      <c r="BE326" s="25">
        <v>21.327083333333331</v>
      </c>
    </row>
    <row r="327" spans="1:57" x14ac:dyDescent="0.25">
      <c r="A327" s="1">
        <v>25.7</v>
      </c>
      <c r="B327" s="1">
        <v>20.399999999999999</v>
      </c>
      <c r="C327" s="22"/>
      <c r="D327" s="23">
        <v>44034</v>
      </c>
      <c r="E327" s="24">
        <v>164.70833333333334</v>
      </c>
      <c r="F327" s="24">
        <v>82.768750000000026</v>
      </c>
      <c r="G327" s="24">
        <v>22.395833333333332</v>
      </c>
      <c r="H327" s="24">
        <v>0</v>
      </c>
      <c r="I327" s="24">
        <v>231.41666666666666</v>
      </c>
      <c r="J327" s="24">
        <v>19.125</v>
      </c>
      <c r="K327" s="24">
        <v>3.9791666666666665</v>
      </c>
      <c r="L327" s="24">
        <v>19.289583333333333</v>
      </c>
      <c r="M327" s="10">
        <v>0.47944696431909378</v>
      </c>
      <c r="N327" s="25">
        <v>0.46308333333333329</v>
      </c>
      <c r="O327" s="25">
        <v>0.55031250000000009</v>
      </c>
      <c r="P327" s="25">
        <v>0.60002083333333345</v>
      </c>
      <c r="Q327" s="25">
        <v>0.6169791666666663</v>
      </c>
      <c r="R327" s="25">
        <v>0.61760416666666629</v>
      </c>
      <c r="S327" s="25">
        <v>0.50385416666666671</v>
      </c>
      <c r="T327" s="25">
        <v>0.48112500000000019</v>
      </c>
      <c r="U327" s="25">
        <v>0.41399999999999976</v>
      </c>
      <c r="V327" s="25">
        <v>-13.632916666666661</v>
      </c>
      <c r="W327" s="25">
        <v>-20.565625000000001</v>
      </c>
      <c r="X327" s="25">
        <v>-11.877499999999998</v>
      </c>
      <c r="Y327" s="25">
        <v>-12.326666666666666</v>
      </c>
      <c r="Z327" s="25">
        <v>-12.096458333333343</v>
      </c>
      <c r="AA327" s="25">
        <v>-12.234791666666668</v>
      </c>
      <c r="AB327" s="25">
        <v>-12.136249999999997</v>
      </c>
      <c r="AC327" s="25">
        <v>-13.043125000000003</v>
      </c>
      <c r="AD327" s="25">
        <v>-9.8000000000000078</v>
      </c>
      <c r="AE327" s="25">
        <v>-10.902083333333325</v>
      </c>
      <c r="AF327" s="25">
        <v>-9.3999999999999932</v>
      </c>
      <c r="AG327" s="25">
        <v>-10.252083333333335</v>
      </c>
      <c r="AH327" s="25">
        <v>-12.752083333333326</v>
      </c>
      <c r="AI327" s="25">
        <v>-10.08125000000001</v>
      </c>
      <c r="AJ327" s="25">
        <v>-8.8999999999999932</v>
      </c>
      <c r="AK327" s="25">
        <v>-9.8812499999999908</v>
      </c>
      <c r="AL327" s="25">
        <v>21.145833333333325</v>
      </c>
      <c r="AM327" s="25">
        <v>20.85416666666665</v>
      </c>
      <c r="AN327" s="25">
        <v>20.577083333333345</v>
      </c>
      <c r="AO327" s="25">
        <v>20.462499999999991</v>
      </c>
      <c r="AP327" s="25">
        <v>21.152083333333334</v>
      </c>
      <c r="AQ327" s="25">
        <v>20.977083333333333</v>
      </c>
      <c r="AR327" s="25">
        <v>20.714583333333341</v>
      </c>
      <c r="AS327" s="25">
        <v>20.583333333333346</v>
      </c>
      <c r="AT327" s="25">
        <v>0.45950000000000002</v>
      </c>
      <c r="AU327" s="25">
        <v>0.2644375000000001</v>
      </c>
      <c r="AV327" s="25">
        <v>0.47995833333333321</v>
      </c>
      <c r="AW327" s="25">
        <v>-25.555833333333325</v>
      </c>
      <c r="AX327" s="25">
        <v>-14.27520833333333</v>
      </c>
      <c r="AY327" s="25">
        <v>-13.56</v>
      </c>
      <c r="AZ327" s="25"/>
      <c r="BA327" s="25">
        <v>-10.260416666666661</v>
      </c>
      <c r="BB327" s="25">
        <v>-11.93333333333333</v>
      </c>
      <c r="BC327" s="25"/>
      <c r="BD327" s="25">
        <v>22.158333333333331</v>
      </c>
      <c r="BE327" s="25">
        <v>21.5</v>
      </c>
    </row>
    <row r="328" spans="1:57" x14ac:dyDescent="0.25">
      <c r="A328" s="1">
        <v>28.8</v>
      </c>
      <c r="B328" s="1">
        <v>20.7</v>
      </c>
      <c r="C328" s="22"/>
      <c r="D328" s="23">
        <v>44035</v>
      </c>
      <c r="E328" s="24">
        <v>239.64583333333334</v>
      </c>
      <c r="F328" s="24">
        <v>78.34999999999998</v>
      </c>
      <c r="G328" s="24">
        <v>23.974999999999998</v>
      </c>
      <c r="H328" s="24">
        <v>0</v>
      </c>
      <c r="I328" s="24">
        <v>232.27083333333334</v>
      </c>
      <c r="J328" s="24">
        <v>18.333333333333332</v>
      </c>
      <c r="K328" s="24">
        <v>3.875</v>
      </c>
      <c r="L328" s="24">
        <v>19.862500000000004</v>
      </c>
      <c r="M328" s="10">
        <v>0.69277424931038434</v>
      </c>
      <c r="N328" s="25">
        <v>0.44787500000000002</v>
      </c>
      <c r="O328" s="25">
        <v>0.54052083333333367</v>
      </c>
      <c r="P328" s="25">
        <v>0.5936458333333331</v>
      </c>
      <c r="Q328" s="25">
        <v>0.6124583333333331</v>
      </c>
      <c r="R328" s="25">
        <v>0.60962500000000042</v>
      </c>
      <c r="S328" s="25">
        <v>0.49197916666666702</v>
      </c>
      <c r="T328" s="25">
        <v>0.47549999999999998</v>
      </c>
      <c r="U328" s="25">
        <v>0.40989583333333329</v>
      </c>
      <c r="V328" s="25">
        <v>-13.809583333333334</v>
      </c>
      <c r="W328" s="25">
        <v>-21.470833333333335</v>
      </c>
      <c r="X328" s="25">
        <v>-11.961874999999997</v>
      </c>
      <c r="Y328" s="25">
        <v>-12.428541666666661</v>
      </c>
      <c r="Z328" s="25">
        <v>-12.556875000000003</v>
      </c>
      <c r="AA328" s="25">
        <v>-12.851249999999999</v>
      </c>
      <c r="AB328" s="25">
        <v>-12.563958333333334</v>
      </c>
      <c r="AC328" s="25">
        <v>-13.107916666666668</v>
      </c>
      <c r="AD328" s="25">
        <v>-9.8541666666666661</v>
      </c>
      <c r="AE328" s="25">
        <v>-10.972916666666672</v>
      </c>
      <c r="AF328" s="25">
        <v>-9.4458333333333346</v>
      </c>
      <c r="AG328" s="25">
        <v>-10.360416666666657</v>
      </c>
      <c r="AH328" s="25">
        <v>-13.147916666666667</v>
      </c>
      <c r="AI328" s="25">
        <v>-10.085416666666676</v>
      </c>
      <c r="AJ328" s="25">
        <v>-8.9229166666666639</v>
      </c>
      <c r="AK328" s="25">
        <v>-9.9229166666666639</v>
      </c>
      <c r="AL328" s="25">
        <v>21.477083333333336</v>
      </c>
      <c r="AM328" s="25">
        <v>20.977083333333329</v>
      </c>
      <c r="AN328" s="25">
        <v>20.600000000000016</v>
      </c>
      <c r="AO328" s="25">
        <v>20.416666666666654</v>
      </c>
      <c r="AP328" s="25">
        <v>21.610416666666669</v>
      </c>
      <c r="AQ328" s="25">
        <v>21.187500000000004</v>
      </c>
      <c r="AR328" s="25">
        <v>20.818750000000005</v>
      </c>
      <c r="AS328" s="25">
        <v>20.664583333333344</v>
      </c>
      <c r="AT328" s="25">
        <v>0.4425</v>
      </c>
      <c r="AU328" s="25">
        <v>0.24500000000000008</v>
      </c>
      <c r="AV328" s="25">
        <v>0.453125</v>
      </c>
      <c r="AW328" s="25">
        <v>-15.035000000000004</v>
      </c>
      <c r="AX328" s="25">
        <v>-14.255624999999993</v>
      </c>
      <c r="AY328" s="25">
        <v>-13.650212765957445</v>
      </c>
      <c r="AZ328" s="25"/>
      <c r="BA328" s="25">
        <v>-10.470833333333331</v>
      </c>
      <c r="BB328" s="25">
        <v>-11.991666666666672</v>
      </c>
      <c r="BC328" s="25"/>
      <c r="BD328" s="25">
        <v>23.135416666666671</v>
      </c>
      <c r="BE328" s="25">
        <v>21.908333333333331</v>
      </c>
    </row>
    <row r="329" spans="1:57" x14ac:dyDescent="0.25">
      <c r="A329" s="1">
        <v>29.6</v>
      </c>
      <c r="B329" s="1">
        <v>21.4</v>
      </c>
      <c r="C329" s="22"/>
      <c r="D329" s="23">
        <v>44036</v>
      </c>
      <c r="E329" s="24">
        <v>257.3125</v>
      </c>
      <c r="F329" s="24">
        <v>77.970833333333346</v>
      </c>
      <c r="G329" s="24">
        <v>24.731250000000003</v>
      </c>
      <c r="H329" s="24">
        <v>0</v>
      </c>
      <c r="I329" s="24">
        <v>234.64583333333334</v>
      </c>
      <c r="J329" s="24">
        <v>15.645833333333334</v>
      </c>
      <c r="K329" s="24">
        <v>2.9166666666666665</v>
      </c>
      <c r="L329" s="24">
        <v>20.512500000000003</v>
      </c>
      <c r="M329" s="10">
        <v>0.73631827289622664</v>
      </c>
      <c r="N329" s="25">
        <v>0.43020833333333347</v>
      </c>
      <c r="O329" s="25">
        <v>0.53074999999999972</v>
      </c>
      <c r="P329" s="25">
        <v>0.58577083333333291</v>
      </c>
      <c r="Q329" s="25">
        <v>0.60758333333333336</v>
      </c>
      <c r="R329" s="25">
        <v>0.59870833333333329</v>
      </c>
      <c r="S329" s="25">
        <v>0.47729166666666645</v>
      </c>
      <c r="T329" s="25">
        <v>0.46781249999999991</v>
      </c>
      <c r="U329" s="25">
        <v>0.40491666666666676</v>
      </c>
      <c r="V329" s="25">
        <v>-16.772916666666671</v>
      </c>
      <c r="W329" s="25">
        <v>-24.388333333333332</v>
      </c>
      <c r="X329" s="25">
        <v>-12.18229166666667</v>
      </c>
      <c r="Y329" s="25">
        <v>-12.777291666666668</v>
      </c>
      <c r="Z329" s="25">
        <v>-15.040208333333334</v>
      </c>
      <c r="AA329" s="25">
        <v>-15.000833333333334</v>
      </c>
      <c r="AB329" s="25">
        <v>-14.332708333333331</v>
      </c>
      <c r="AC329" s="25">
        <v>-13.507500000000002</v>
      </c>
      <c r="AD329" s="25">
        <v>-10.695833333333333</v>
      </c>
      <c r="AE329" s="25">
        <v>-11.443749999999996</v>
      </c>
      <c r="AF329" s="25">
        <v>-9.5</v>
      </c>
      <c r="AG329" s="25">
        <v>-10.558333333333332</v>
      </c>
      <c r="AH329" s="25">
        <v>-17.929166666666671</v>
      </c>
      <c r="AI329" s="25">
        <v>-10.174999999999999</v>
      </c>
      <c r="AJ329" s="25">
        <v>-8.9895833333333357</v>
      </c>
      <c r="AK329" s="25">
        <v>-9.9833333333333414</v>
      </c>
      <c r="AL329" s="25">
        <v>21.972916666666666</v>
      </c>
      <c r="AM329" s="25">
        <v>21.258333333333333</v>
      </c>
      <c r="AN329" s="25">
        <v>20.716666666666665</v>
      </c>
      <c r="AO329" s="25">
        <v>20.527083333333341</v>
      </c>
      <c r="AP329" s="25">
        <v>22.197916666666668</v>
      </c>
      <c r="AQ329" s="25">
        <v>21.591666666666658</v>
      </c>
      <c r="AR329" s="25">
        <v>21.129166666666674</v>
      </c>
      <c r="AS329" s="25">
        <v>20.914583333333322</v>
      </c>
      <c r="AT329" s="25">
        <v>0.42142857142857126</v>
      </c>
      <c r="AU329" s="25">
        <v>0.22208333333333338</v>
      </c>
      <c r="AV329" s="25">
        <v>0.41681249999999981</v>
      </c>
      <c r="AW329" s="25">
        <v>-14.671875</v>
      </c>
      <c r="AX329" s="25">
        <v>-15.875624999999999</v>
      </c>
      <c r="AY329" s="25">
        <v>-14.398958333333338</v>
      </c>
      <c r="AZ329" s="25"/>
      <c r="BA329" s="25">
        <v>-14.014583333333333</v>
      </c>
      <c r="BB329" s="25">
        <v>-12.735416666666664</v>
      </c>
      <c r="BC329" s="25"/>
      <c r="BD329" s="25">
        <v>23.458333333333329</v>
      </c>
      <c r="BE329" s="25">
        <v>22.435416666666665</v>
      </c>
    </row>
    <row r="330" spans="1:57" x14ac:dyDescent="0.25">
      <c r="A330" s="1">
        <v>30.8</v>
      </c>
      <c r="B330" s="1">
        <v>21.7</v>
      </c>
      <c r="C330" s="22"/>
      <c r="D330" s="23">
        <v>44037</v>
      </c>
      <c r="E330" s="24">
        <v>204.35416666666666</v>
      </c>
      <c r="F330" s="24">
        <v>79.060416666666654</v>
      </c>
      <c r="G330" s="24">
        <v>24.997916666666665</v>
      </c>
      <c r="H330" s="24">
        <v>0</v>
      </c>
      <c r="I330" s="24">
        <v>232.20833333333334</v>
      </c>
      <c r="J330" s="24">
        <v>11.770833333333334</v>
      </c>
      <c r="K330" s="24">
        <v>2</v>
      </c>
      <c r="L330" s="24">
        <v>21.008333333333333</v>
      </c>
      <c r="M330" s="10">
        <v>0.711602201324954</v>
      </c>
      <c r="N330" s="25">
        <v>0.40806249999999972</v>
      </c>
      <c r="O330" s="25">
        <v>0.52091666666666681</v>
      </c>
      <c r="P330" s="25">
        <v>0.57620833333333343</v>
      </c>
      <c r="Q330" s="25">
        <v>0.60212500000000002</v>
      </c>
      <c r="R330" s="25">
        <v>0.58347916666666655</v>
      </c>
      <c r="S330" s="25">
        <v>0.46054166666666685</v>
      </c>
      <c r="T330" s="25">
        <v>0.45835416666666701</v>
      </c>
      <c r="U330" s="25">
        <v>0.39845833333333308</v>
      </c>
      <c r="V330" s="25">
        <v>-26.761458333333348</v>
      </c>
      <c r="W330" s="25">
        <v>-35.162916666666661</v>
      </c>
      <c r="X330" s="25">
        <v>-13.356875000000002</v>
      </c>
      <c r="Y330" s="25">
        <v>-14.33375</v>
      </c>
      <c r="Z330" s="25">
        <v>-22.36645833333333</v>
      </c>
      <c r="AA330" s="25">
        <v>-18.880625000000009</v>
      </c>
      <c r="AB330" s="25">
        <v>-18.379583333333333</v>
      </c>
      <c r="AC330" s="25">
        <v>-15.273958333333331</v>
      </c>
      <c r="AD330" s="25">
        <v>-17.345833333333335</v>
      </c>
      <c r="AE330" s="25">
        <v>-14.6</v>
      </c>
      <c r="AF330" s="25">
        <v>-9.5854166666666689</v>
      </c>
      <c r="AG330" s="25">
        <v>-10.835416666666665</v>
      </c>
      <c r="AH330" s="25">
        <v>-38.431250000000006</v>
      </c>
      <c r="AI330" s="25">
        <v>-11.170833333333333</v>
      </c>
      <c r="AJ330" s="25">
        <v>-9.1187499999999932</v>
      </c>
      <c r="AK330" s="25">
        <v>-10.58333333333333</v>
      </c>
      <c r="AL330" s="25">
        <v>22.258333333333336</v>
      </c>
      <c r="AM330" s="25">
        <v>21.514583333333334</v>
      </c>
      <c r="AN330" s="25">
        <v>20.912499999999991</v>
      </c>
      <c r="AO330" s="25">
        <v>20.672916666666683</v>
      </c>
      <c r="AP330" s="25">
        <v>22.535416666666663</v>
      </c>
      <c r="AQ330" s="25">
        <v>21.895833333333343</v>
      </c>
      <c r="AR330" s="25">
        <v>21.406249999999986</v>
      </c>
      <c r="AS330" s="25">
        <v>21.16458333333334</v>
      </c>
      <c r="AT330" s="25">
        <v>0.40058536585365861</v>
      </c>
      <c r="AU330" s="25">
        <v>0.19620833333333329</v>
      </c>
      <c r="AV330" s="25">
        <v>0.37429166666666663</v>
      </c>
      <c r="AW330" s="25">
        <v>-18.954583333333332</v>
      </c>
      <c r="AX330" s="25">
        <v>-27.108333333333334</v>
      </c>
      <c r="AY330" s="25">
        <v>-19.11666666666666</v>
      </c>
      <c r="AZ330" s="25"/>
      <c r="BA330" s="25">
        <v>-28.947916666666671</v>
      </c>
      <c r="BB330" s="25">
        <v>-24.504166666666663</v>
      </c>
      <c r="BC330" s="25"/>
      <c r="BD330" s="25">
        <v>23.795833333333334</v>
      </c>
      <c r="BE330" s="25">
        <v>22.849999999999998</v>
      </c>
    </row>
    <row r="331" spans="1:57" x14ac:dyDescent="0.25">
      <c r="A331" s="1">
        <v>26.4</v>
      </c>
      <c r="B331" s="1">
        <v>18.100000000000001</v>
      </c>
      <c r="C331" s="22"/>
      <c r="D331" s="23">
        <v>44038</v>
      </c>
      <c r="E331" s="24">
        <v>80.895833333333329</v>
      </c>
      <c r="F331" s="24">
        <v>86.61875000000002</v>
      </c>
      <c r="G331" s="24">
        <v>21.993750000000002</v>
      </c>
      <c r="H331" s="24">
        <v>7.3</v>
      </c>
      <c r="I331" s="24">
        <v>196.72916666666666</v>
      </c>
      <c r="J331" s="24">
        <v>6.1875</v>
      </c>
      <c r="K331" s="24">
        <v>0.72916666666666663</v>
      </c>
      <c r="L331" s="24">
        <v>19.641666666666669</v>
      </c>
      <c r="M331" s="10">
        <v>0.36401359057331417</v>
      </c>
      <c r="N331" s="25">
        <v>0.39066666666666672</v>
      </c>
      <c r="O331" s="25">
        <v>0.51335416666666689</v>
      </c>
      <c r="P331" s="25">
        <v>0.56968749999999979</v>
      </c>
      <c r="Q331" s="25">
        <v>0.59725000000000017</v>
      </c>
      <c r="R331" s="25">
        <v>0.57043750000000004</v>
      </c>
      <c r="S331" s="25">
        <v>0.44977083333333345</v>
      </c>
      <c r="T331" s="25">
        <v>0.45156250000000026</v>
      </c>
      <c r="U331" s="25">
        <v>0.39325000000000004</v>
      </c>
      <c r="V331" s="25">
        <v>-36.822708333333331</v>
      </c>
      <c r="W331" s="25">
        <v>-43.896458333333321</v>
      </c>
      <c r="X331" s="25">
        <v>-16.089166666666664</v>
      </c>
      <c r="Y331" s="25">
        <v>-18.190000000000001</v>
      </c>
      <c r="Z331" s="25">
        <v>-31.982708333333338</v>
      </c>
      <c r="AA331" s="25">
        <v>-23.519374999999997</v>
      </c>
      <c r="AB331" s="25">
        <v>-22.978333333333335</v>
      </c>
      <c r="AC331" s="25">
        <v>-19.027291666666667</v>
      </c>
      <c r="AD331" s="25">
        <v>-29.183333333333337</v>
      </c>
      <c r="AE331" s="25">
        <v>-19.708333333333325</v>
      </c>
      <c r="AF331" s="25">
        <v>-9.8958333333333339</v>
      </c>
      <c r="AG331" s="25">
        <v>-11.077083333333343</v>
      </c>
      <c r="AH331" s="25">
        <v>-34.364583333333314</v>
      </c>
      <c r="AI331" s="25">
        <v>-13.264583333333333</v>
      </c>
      <c r="AJ331" s="25">
        <v>-9.3416666666666668</v>
      </c>
      <c r="AK331" s="25">
        <v>-13.089583333333335</v>
      </c>
      <c r="AL331" s="25">
        <v>22.189583333333342</v>
      </c>
      <c r="AM331" s="25">
        <v>21.656250000000011</v>
      </c>
      <c r="AN331" s="25">
        <v>21.085416666666681</v>
      </c>
      <c r="AO331" s="25">
        <v>20.822916666666654</v>
      </c>
      <c r="AP331" s="25">
        <v>22.212500000000002</v>
      </c>
      <c r="AQ331" s="25">
        <v>22.010416666666661</v>
      </c>
      <c r="AR331" s="25">
        <v>21.600000000000005</v>
      </c>
      <c r="AS331" s="25">
        <v>21.360416666666648</v>
      </c>
      <c r="AT331" s="25">
        <v>0.40010869565217416</v>
      </c>
      <c r="AU331" s="25">
        <v>0.21112499999999998</v>
      </c>
      <c r="AV331" s="25">
        <v>0.35510416666666683</v>
      </c>
      <c r="AW331" s="25">
        <v>-18.787083333333328</v>
      </c>
      <c r="AX331" s="25">
        <v>-25.823958333333334</v>
      </c>
      <c r="AY331" s="25">
        <v>-25.644375</v>
      </c>
      <c r="AZ331" s="25"/>
      <c r="BA331" s="25">
        <v>-29.772916666666674</v>
      </c>
      <c r="BB331" s="25">
        <v>-36.033333333333331</v>
      </c>
      <c r="BC331" s="25"/>
      <c r="BD331" s="25">
        <v>22.512500000000003</v>
      </c>
      <c r="BE331" s="25">
        <v>22.670833333333334</v>
      </c>
    </row>
    <row r="332" spans="1:57" x14ac:dyDescent="0.25">
      <c r="A332" s="1">
        <v>32.200000000000003</v>
      </c>
      <c r="B332" s="1">
        <v>15.8</v>
      </c>
      <c r="C332" s="22"/>
      <c r="D332" s="23">
        <v>44039</v>
      </c>
      <c r="E332" s="24">
        <v>291.97916666666669</v>
      </c>
      <c r="F332" s="24">
        <v>69.70208333333332</v>
      </c>
      <c r="G332" s="24">
        <v>23.341666666666665</v>
      </c>
      <c r="H332" s="24">
        <v>0</v>
      </c>
      <c r="I332" s="24">
        <v>177.97916666666666</v>
      </c>
      <c r="J332" s="24">
        <v>3.8125</v>
      </c>
      <c r="K332" s="24">
        <v>0.125</v>
      </c>
      <c r="L332" s="24">
        <v>16.712499999999995</v>
      </c>
      <c r="M332" s="10">
        <v>1.1070419800310576</v>
      </c>
      <c r="N332" s="25">
        <v>0.37743750000000009</v>
      </c>
      <c r="O332" s="25">
        <v>0.50489583333333343</v>
      </c>
      <c r="P332" s="25">
        <v>0.56310416666666663</v>
      </c>
      <c r="Q332" s="25">
        <v>0.59020833333333289</v>
      </c>
      <c r="R332" s="25">
        <v>0.55887499999999968</v>
      </c>
      <c r="S332" s="25">
        <v>0.44131250000000005</v>
      </c>
      <c r="T332" s="25">
        <v>0.44591666666666668</v>
      </c>
      <c r="U332" s="25">
        <v>0.38895833333333329</v>
      </c>
      <c r="V332" s="25">
        <v>-41.012499999999996</v>
      </c>
      <c r="W332" s="25">
        <v>-41.968124999999993</v>
      </c>
      <c r="X332" s="25">
        <v>-18.885833333333334</v>
      </c>
      <c r="Y332" s="25">
        <v>-21.869166666666672</v>
      </c>
      <c r="Z332" s="25">
        <v>-34.959791666666653</v>
      </c>
      <c r="AA332" s="25">
        <v>-26.601874999999993</v>
      </c>
      <c r="AB332" s="25">
        <v>-25.309375000000006</v>
      </c>
      <c r="AC332" s="25">
        <v>-22.36375</v>
      </c>
      <c r="AD332" s="25">
        <v>-34.431249999999999</v>
      </c>
      <c r="AE332" s="25">
        <v>-23.812499999999989</v>
      </c>
      <c r="AF332" s="25">
        <v>-11.341666666666667</v>
      </c>
      <c r="AG332" s="25">
        <v>-11.483333333333329</v>
      </c>
      <c r="AH332" s="25">
        <v>-20.447916666666661</v>
      </c>
      <c r="AI332" s="25">
        <v>-14.885416666666664</v>
      </c>
      <c r="AJ332" s="25">
        <v>-10.054166666666664</v>
      </c>
      <c r="AK332" s="25">
        <v>-18.627083333333331</v>
      </c>
      <c r="AL332" s="25">
        <v>21.50833333333334</v>
      </c>
      <c r="AM332" s="25">
        <v>21.287500000000001</v>
      </c>
      <c r="AN332" s="25">
        <v>20.985416666666655</v>
      </c>
      <c r="AO332" s="25">
        <v>20.822916666666657</v>
      </c>
      <c r="AP332" s="25">
        <v>21.31666666666667</v>
      </c>
      <c r="AQ332" s="25">
        <v>21.327083333333338</v>
      </c>
      <c r="AR332" s="25">
        <v>21.145833333333336</v>
      </c>
      <c r="AS332" s="25">
        <v>21.060416666666661</v>
      </c>
      <c r="AT332" s="25">
        <v>0.40252083333333327</v>
      </c>
      <c r="AU332" s="25">
        <v>0.21954166666666677</v>
      </c>
      <c r="AV332" s="25">
        <v>0.35131249999999997</v>
      </c>
      <c r="AW332" s="25">
        <v>-23.958958333333342</v>
      </c>
      <c r="AX332" s="25">
        <v>-17.620416666666667</v>
      </c>
      <c r="AY332" s="25">
        <v>-27.214791666666667</v>
      </c>
      <c r="AZ332" s="25"/>
      <c r="BA332" s="25">
        <v>-15.462500000000006</v>
      </c>
      <c r="BB332" s="25">
        <v>-36.885416666666671</v>
      </c>
      <c r="BC332" s="25"/>
      <c r="BD332" s="25">
        <v>22.462500000000002</v>
      </c>
      <c r="BE332" s="25">
        <v>22.085416666666664</v>
      </c>
    </row>
    <row r="333" spans="1:57" x14ac:dyDescent="0.25">
      <c r="A333" s="1">
        <v>31.8</v>
      </c>
      <c r="B333" s="1">
        <v>16.8</v>
      </c>
      <c r="C333" s="22"/>
      <c r="D333" s="23">
        <v>44040</v>
      </c>
      <c r="E333" s="24">
        <v>274.85416666666669</v>
      </c>
      <c r="F333" s="24">
        <v>67.783333333333317</v>
      </c>
      <c r="G333" s="24">
        <v>23.958333333333332</v>
      </c>
      <c r="H333" s="24">
        <v>0</v>
      </c>
      <c r="I333" s="24">
        <v>226.02083333333334</v>
      </c>
      <c r="J333" s="24">
        <v>2.0833333333333335</v>
      </c>
      <c r="K333" s="24">
        <v>0</v>
      </c>
      <c r="L333" s="24">
        <v>17.202083333333334</v>
      </c>
      <c r="M333" s="10">
        <v>1.1201982685885747</v>
      </c>
      <c r="N333" s="25">
        <v>0.35004166666666675</v>
      </c>
      <c r="O333" s="25">
        <v>0.48720833333333341</v>
      </c>
      <c r="P333" s="25">
        <v>0.54906250000000023</v>
      </c>
      <c r="Q333" s="25">
        <v>0.57520833333333332</v>
      </c>
      <c r="R333" s="25">
        <v>0.5393958333333333</v>
      </c>
      <c r="S333" s="25">
        <v>0.42197916666666674</v>
      </c>
      <c r="T333" s="25">
        <v>0.43043750000000019</v>
      </c>
      <c r="U333" s="25">
        <v>0.37866666666666665</v>
      </c>
      <c r="V333" s="25">
        <v>-46.948541666666671</v>
      </c>
      <c r="W333" s="25">
        <v>-60.672083333333326</v>
      </c>
      <c r="X333" s="25">
        <v>-23.400000000000002</v>
      </c>
      <c r="Y333" s="25">
        <v>-28.073125000000001</v>
      </c>
      <c r="Z333" s="25">
        <v>-41.608541666666667</v>
      </c>
      <c r="AA333" s="25">
        <v>-31.068750000000005</v>
      </c>
      <c r="AB333" s="25">
        <v>-31.566666666666663</v>
      </c>
      <c r="AC333" s="25">
        <v>-28.874166666666667</v>
      </c>
      <c r="AD333" s="25">
        <v>-52.13750000000001</v>
      </c>
      <c r="AE333" s="25">
        <v>-34.614583333333336</v>
      </c>
      <c r="AF333" s="25">
        <v>-20.120833333333334</v>
      </c>
      <c r="AG333" s="25">
        <v>-15.047916666666667</v>
      </c>
      <c r="AH333" s="25">
        <v>-55.420833333333341</v>
      </c>
      <c r="AI333" s="25">
        <v>-24.366666666666674</v>
      </c>
      <c r="AJ333" s="25">
        <v>-13.827083333333333</v>
      </c>
      <c r="AK333" s="25">
        <v>-33.941666666666656</v>
      </c>
      <c r="AL333" s="25">
        <v>21.627083333333342</v>
      </c>
      <c r="AM333" s="25">
        <v>21.243750000000002</v>
      </c>
      <c r="AN333" s="25">
        <v>20.864583333333311</v>
      </c>
      <c r="AO333" s="25">
        <v>20.702083333333352</v>
      </c>
      <c r="AP333" s="25">
        <v>21.508333333333336</v>
      </c>
      <c r="AQ333" s="25">
        <v>21.327083333333338</v>
      </c>
      <c r="AR333" s="25">
        <v>21.058333333333334</v>
      </c>
      <c r="AS333" s="25">
        <v>20.924999999999979</v>
      </c>
      <c r="AT333" s="25">
        <v>0.37638095238095248</v>
      </c>
      <c r="AU333" s="25">
        <v>0.18804166666666666</v>
      </c>
      <c r="AV333" s="25">
        <v>0.32808333333333334</v>
      </c>
      <c r="AW333" s="25">
        <v>-19.302916666666665</v>
      </c>
      <c r="AX333" s="25">
        <v>-30.566666666666666</v>
      </c>
      <c r="AY333" s="25">
        <v>-38.195869565217393</v>
      </c>
      <c r="AZ333" s="25"/>
      <c r="BA333" s="25">
        <v>-38.33124999999999</v>
      </c>
      <c r="BB333" s="25">
        <v>-65.854166666666671</v>
      </c>
      <c r="BC333" s="25"/>
      <c r="BD333" s="25">
        <v>22.525000000000002</v>
      </c>
      <c r="BE333" s="25">
        <v>22.091666666666672</v>
      </c>
    </row>
    <row r="334" spans="1:57" x14ac:dyDescent="0.25">
      <c r="A334" s="1">
        <v>30.5</v>
      </c>
      <c r="B334" s="1">
        <v>18.3</v>
      </c>
      <c r="C334" s="22"/>
      <c r="D334" s="23">
        <v>44041</v>
      </c>
      <c r="E334" s="24">
        <v>257.33333333333331</v>
      </c>
      <c r="F334" s="24">
        <v>72.814583333333346</v>
      </c>
      <c r="G334" s="24">
        <v>24.068749999999994</v>
      </c>
      <c r="H334" s="24">
        <v>0</v>
      </c>
      <c r="I334" s="24">
        <v>213.375</v>
      </c>
      <c r="J334" s="24">
        <v>5.5</v>
      </c>
      <c r="K334" s="24">
        <v>0.27083333333333331</v>
      </c>
      <c r="L334" s="24">
        <v>18.568750000000005</v>
      </c>
      <c r="M334" s="10">
        <v>0.92438723048514182</v>
      </c>
      <c r="N334" s="25">
        <v>0.32508333333333328</v>
      </c>
      <c r="O334" s="25">
        <v>0.46712499999999985</v>
      </c>
      <c r="P334" s="25">
        <v>0.53406249999999977</v>
      </c>
      <c r="Q334" s="25">
        <v>0.5570624999999999</v>
      </c>
      <c r="R334" s="25">
        <v>0.5187291666666668</v>
      </c>
      <c r="S334" s="25">
        <v>0.40320833333333339</v>
      </c>
      <c r="T334" s="25">
        <v>0.41239583333333329</v>
      </c>
      <c r="U334" s="25">
        <v>0.36662500000000015</v>
      </c>
      <c r="V334" s="25">
        <v>-53.609374999999979</v>
      </c>
      <c r="W334" s="25">
        <v>-80.707916666666677</v>
      </c>
      <c r="X334" s="25">
        <v>-29.602708333333336</v>
      </c>
      <c r="Y334" s="25">
        <v>-34.517291666666672</v>
      </c>
      <c r="Z334" s="25">
        <v>-48.206666666666671</v>
      </c>
      <c r="AA334" s="25">
        <v>-36.423958333333331</v>
      </c>
      <c r="AB334" s="25">
        <v>-38.544374999999995</v>
      </c>
      <c r="AC334" s="25">
        <v>-37.183958333333329</v>
      </c>
      <c r="AD334" s="25">
        <v>-84.735416666666666</v>
      </c>
      <c r="AE334" s="25">
        <v>-58.90625</v>
      </c>
      <c r="AF334" s="25">
        <v>-33.114583333333336</v>
      </c>
      <c r="AG334" s="25">
        <v>-24.475000000000009</v>
      </c>
      <c r="AH334" s="25">
        <v>-156.4916666666667</v>
      </c>
      <c r="AI334" s="25">
        <v>-42.03541666666667</v>
      </c>
      <c r="AJ334" s="25">
        <v>-23.060416666666665</v>
      </c>
      <c r="AK334" s="25">
        <v>-51.364583333333336</v>
      </c>
      <c r="AL334" s="25">
        <v>21.889583333333324</v>
      </c>
      <c r="AM334" s="25">
        <v>21.341666666666669</v>
      </c>
      <c r="AN334" s="25">
        <v>20.899999999999984</v>
      </c>
      <c r="AO334" s="25">
        <v>20.700000000000021</v>
      </c>
      <c r="AP334" s="25">
        <v>21.947916666666668</v>
      </c>
      <c r="AQ334" s="25">
        <v>21.568749999999991</v>
      </c>
      <c r="AR334" s="25">
        <v>21.200000000000003</v>
      </c>
      <c r="AS334" s="25">
        <v>21.025000000000002</v>
      </c>
      <c r="AT334" s="25">
        <v>0.34737500000000004</v>
      </c>
      <c r="AU334" s="25">
        <v>0.16160416666666663</v>
      </c>
      <c r="AV334" s="25">
        <v>0.3043749999999999</v>
      </c>
      <c r="AW334" s="25">
        <v>-26.594791666666676</v>
      </c>
      <c r="AX334" s="25">
        <v>-46.078333333333319</v>
      </c>
      <c r="AY334" s="25">
        <v>-89.401914893617004</v>
      </c>
      <c r="AZ334" s="25"/>
      <c r="BA334" s="25">
        <v>-121.43124999999999</v>
      </c>
      <c r="BB334" s="25">
        <v>-150.78125000000003</v>
      </c>
      <c r="BC334" s="25"/>
      <c r="BD334" s="25">
        <v>23.170833333333331</v>
      </c>
      <c r="BE334" s="25">
        <v>22.489583333333332</v>
      </c>
    </row>
    <row r="335" spans="1:57" x14ac:dyDescent="0.25">
      <c r="A335" s="1">
        <v>30.9</v>
      </c>
      <c r="B335" s="1">
        <v>20.6</v>
      </c>
      <c r="C335" s="22"/>
      <c r="D335" s="23">
        <v>44042</v>
      </c>
      <c r="E335" s="24">
        <v>259.125</v>
      </c>
      <c r="F335" s="24">
        <v>73.983333333333306</v>
      </c>
      <c r="G335" s="24">
        <v>24.527083333333337</v>
      </c>
      <c r="H335" s="24">
        <v>0</v>
      </c>
      <c r="I335" s="24">
        <v>237.45833333333334</v>
      </c>
      <c r="J335" s="24">
        <v>7.666666666666667</v>
      </c>
      <c r="K335" s="24">
        <v>0.39583333333333331</v>
      </c>
      <c r="L335" s="24">
        <v>19.283333333333324</v>
      </c>
      <c r="M335" s="10">
        <v>0.8969768416974605</v>
      </c>
      <c r="N335" s="25">
        <v>0.30266666666666664</v>
      </c>
      <c r="O335" s="25">
        <v>0.44585416666666666</v>
      </c>
      <c r="P335" s="25">
        <v>0.51883333333333359</v>
      </c>
      <c r="Q335" s="25">
        <v>0.5368124999999998</v>
      </c>
      <c r="R335" s="25">
        <v>0.49964583333333329</v>
      </c>
      <c r="S335" s="25">
        <v>0.38585416666666655</v>
      </c>
      <c r="T335" s="25">
        <v>0.39462500000000023</v>
      </c>
      <c r="U335" s="25">
        <v>0.35416666666666669</v>
      </c>
      <c r="V335" s="25">
        <v>-60.925416666666671</v>
      </c>
      <c r="W335" s="25">
        <v>-101.45625000000001</v>
      </c>
      <c r="X335" s="25">
        <v>-37.193333333333328</v>
      </c>
      <c r="Y335" s="25">
        <v>-40.154583333333342</v>
      </c>
      <c r="Z335" s="25">
        <v>-54.444166666666668</v>
      </c>
      <c r="AA335" s="25">
        <v>-42.324374999999989</v>
      </c>
      <c r="AB335" s="25">
        <v>-44.930416666666652</v>
      </c>
      <c r="AC335" s="25">
        <v>-45.765208333333327</v>
      </c>
      <c r="AD335" s="25">
        <v>-154.09791666666666</v>
      </c>
      <c r="AE335" s="25">
        <v>-114.77916666666665</v>
      </c>
      <c r="AF335" s="25">
        <v>-56.816666666666684</v>
      </c>
      <c r="AG335" s="25">
        <v>-36.033333333333324</v>
      </c>
      <c r="AH335" s="25">
        <v>-322.60624999999999</v>
      </c>
      <c r="AI335" s="25">
        <v>-65.935416666666669</v>
      </c>
      <c r="AJ335" s="25">
        <v>-37.802083333333336</v>
      </c>
      <c r="AK335" s="25">
        <v>-107.37083333333334</v>
      </c>
      <c r="AL335" s="25">
        <v>22.104166666666682</v>
      </c>
      <c r="AM335" s="25">
        <v>21.485416666666662</v>
      </c>
      <c r="AN335" s="25">
        <v>20.997916666666665</v>
      </c>
      <c r="AO335" s="25">
        <v>20.783333333333314</v>
      </c>
      <c r="AP335" s="25">
        <v>22.193750000000005</v>
      </c>
      <c r="AQ335" s="25">
        <v>21.724999999999998</v>
      </c>
      <c r="AR335" s="25">
        <v>21.337500000000006</v>
      </c>
      <c r="AS335" s="25">
        <v>21.152083333333348</v>
      </c>
      <c r="AT335" s="25">
        <v>0.31331249999999999</v>
      </c>
      <c r="AU335" s="25">
        <v>0.14449999999999996</v>
      </c>
      <c r="AV335" s="25">
        <v>0.28329166666666655</v>
      </c>
      <c r="AW335" s="25">
        <v>-34.147083333333335</v>
      </c>
      <c r="AX335" s="25">
        <v>-59.586874999999999</v>
      </c>
      <c r="AY335" s="25">
        <v>-64.437692307692302</v>
      </c>
      <c r="AZ335" s="25"/>
      <c r="BA335" s="25">
        <v>-383.58333333333331</v>
      </c>
      <c r="BB335" s="25">
        <v>-269.04791666666671</v>
      </c>
      <c r="BC335" s="25"/>
      <c r="BD335" s="25">
        <v>23.481249999999999</v>
      </c>
      <c r="BE335" s="25">
        <v>22.883333333333336</v>
      </c>
    </row>
    <row r="336" spans="1:57" x14ac:dyDescent="0.25">
      <c r="A336" s="1">
        <v>31.8</v>
      </c>
      <c r="B336" s="1">
        <v>20.6</v>
      </c>
      <c r="C336" s="22"/>
      <c r="D336" s="23">
        <v>44043</v>
      </c>
      <c r="E336" s="24">
        <v>214.41666666666666</v>
      </c>
      <c r="F336" s="24">
        <v>75.560416666666654</v>
      </c>
      <c r="G336" s="24">
        <v>24.518749999999997</v>
      </c>
      <c r="H336" s="24">
        <v>0</v>
      </c>
      <c r="I336" s="24">
        <v>228.10416666666666</v>
      </c>
      <c r="J336" s="24">
        <v>6.354166666666667</v>
      </c>
      <c r="K336" s="24">
        <v>0.39583333333333331</v>
      </c>
      <c r="L336" s="24">
        <v>19.654166666666665</v>
      </c>
      <c r="M336" s="10">
        <v>0.84287571545245532</v>
      </c>
      <c r="N336" s="25">
        <v>0.28612499999999996</v>
      </c>
      <c r="O336" s="25">
        <v>0.42543749999999986</v>
      </c>
      <c r="P336" s="25">
        <v>0.50433333333333319</v>
      </c>
      <c r="Q336" s="25">
        <v>0.51756250000000004</v>
      </c>
      <c r="R336" s="25">
        <v>0.48339583333333341</v>
      </c>
      <c r="S336" s="25">
        <v>0.37158333333333315</v>
      </c>
      <c r="T336" s="25">
        <v>0.38031250000000005</v>
      </c>
      <c r="U336" s="25">
        <v>0.3426249999999999</v>
      </c>
      <c r="V336" s="25">
        <v>-66.499791666666653</v>
      </c>
      <c r="W336" s="25">
        <v>-122.81249999999999</v>
      </c>
      <c r="X336" s="25">
        <v>-44.435624999999995</v>
      </c>
      <c r="Y336" s="25">
        <v>-45.052083333333321</v>
      </c>
      <c r="Z336" s="25">
        <v>-58.828541666666666</v>
      </c>
      <c r="AA336" s="25">
        <v>-48.654166666666669</v>
      </c>
      <c r="AB336" s="25">
        <v>-50.554166666666653</v>
      </c>
      <c r="AC336" s="25">
        <v>-53.270208333333329</v>
      </c>
      <c r="AD336" s="25">
        <v>-256.73541666666671</v>
      </c>
      <c r="AE336" s="25">
        <v>-210.68749999999997</v>
      </c>
      <c r="AF336" s="25">
        <v>-109.79374999999997</v>
      </c>
      <c r="AG336" s="25">
        <v>-56.591666666666669</v>
      </c>
      <c r="AH336" s="25">
        <v>-477.79791666666665</v>
      </c>
      <c r="AI336" s="25">
        <v>-115.40833333333332</v>
      </c>
      <c r="AJ336" s="25">
        <v>-72.293750000000017</v>
      </c>
      <c r="AK336" s="25">
        <v>-265.62083333333334</v>
      </c>
      <c r="AL336" s="25">
        <v>22.264583333333338</v>
      </c>
      <c r="AM336" s="25">
        <v>21.63333333333334</v>
      </c>
      <c r="AN336" s="25">
        <v>21.097916666666681</v>
      </c>
      <c r="AO336" s="25">
        <v>20.870833333333319</v>
      </c>
      <c r="AP336" s="25">
        <v>22.410416666666674</v>
      </c>
      <c r="AQ336" s="25">
        <v>21.906250000000011</v>
      </c>
      <c r="AR336" s="25">
        <v>21.489583333333329</v>
      </c>
      <c r="AS336" s="25">
        <v>21.28541666666667</v>
      </c>
      <c r="AT336" s="25">
        <v>0.2813191489361701</v>
      </c>
      <c r="AU336" s="25">
        <v>0.13472916666666676</v>
      </c>
      <c r="AV336" s="25">
        <v>0.26806249999999993</v>
      </c>
      <c r="AW336" s="25">
        <v>-56.945416666666659</v>
      </c>
      <c r="AX336" s="25">
        <v>-72.191874999999996</v>
      </c>
      <c r="AY336" s="25">
        <v>-72.937500000000014</v>
      </c>
      <c r="AZ336" s="25"/>
      <c r="BA336" s="25">
        <v>-718.79374999999982</v>
      </c>
      <c r="BB336" s="25">
        <v>-357.98958333333343</v>
      </c>
      <c r="BC336" s="25"/>
      <c r="BD336" s="25">
        <v>23.481249999999999</v>
      </c>
      <c r="BE336" s="25">
        <v>23.147916666666664</v>
      </c>
    </row>
    <row r="337" spans="1:57" x14ac:dyDescent="0.25">
      <c r="A337" s="1">
        <v>30.3</v>
      </c>
      <c r="B337" s="1">
        <v>19.899999999999999</v>
      </c>
      <c r="C337" s="22"/>
      <c r="D337" s="23">
        <v>44044</v>
      </c>
      <c r="E337" s="24">
        <v>153.16666666666666</v>
      </c>
      <c r="F337" s="24">
        <v>78.28958333333334</v>
      </c>
      <c r="G337" s="24">
        <v>23.462500000000006</v>
      </c>
      <c r="H337" s="24">
        <v>8.8000000000000007</v>
      </c>
      <c r="I337" s="24">
        <v>236.25</v>
      </c>
      <c r="J337" s="24">
        <v>3.7708333333333335</v>
      </c>
      <c r="K337" s="24">
        <v>0.125</v>
      </c>
      <c r="L337" s="24">
        <v>19.285416666666659</v>
      </c>
      <c r="M337" s="10">
        <v>0.693545799922341</v>
      </c>
      <c r="N337" s="25">
        <v>0.2759375</v>
      </c>
      <c r="O337" s="25">
        <v>0.40733333333333333</v>
      </c>
      <c r="P337" s="25">
        <v>0.49137500000000006</v>
      </c>
      <c r="Q337" s="25">
        <v>0.50064583333333323</v>
      </c>
      <c r="R337" s="25">
        <v>0.47743750000000013</v>
      </c>
      <c r="S337" s="25">
        <v>0.36889583333333337</v>
      </c>
      <c r="T337" s="25">
        <v>0.37054166666666677</v>
      </c>
      <c r="U337" s="25">
        <v>0.33310416666666687</v>
      </c>
      <c r="V337" s="25">
        <v>-73.398541666666674</v>
      </c>
      <c r="W337" s="25">
        <v>-143.56458333333339</v>
      </c>
      <c r="X337" s="25">
        <v>-51.205833333333338</v>
      </c>
      <c r="Y337" s="25">
        <v>-49.461874999999992</v>
      </c>
      <c r="Z337" s="25">
        <v>-54.286041666666669</v>
      </c>
      <c r="AA337" s="25">
        <v>-54.705208333333339</v>
      </c>
      <c r="AB337" s="25">
        <v>-55.56708333333335</v>
      </c>
      <c r="AC337" s="25">
        <v>-59.454791666666658</v>
      </c>
      <c r="AD337" s="25">
        <v>-295.34375000000006</v>
      </c>
      <c r="AE337" s="25">
        <v>-268.59166666666675</v>
      </c>
      <c r="AF337" s="25">
        <v>-185.56666666666669</v>
      </c>
      <c r="AG337" s="25">
        <v>-94.941666666666649</v>
      </c>
      <c r="AH337" s="25">
        <v>-466.23333333333335</v>
      </c>
      <c r="AI337" s="25">
        <v>-222.38125000000002</v>
      </c>
      <c r="AJ337" s="25">
        <v>-150.41875000000002</v>
      </c>
      <c r="AK337" s="25">
        <v>-525.3416666666667</v>
      </c>
      <c r="AL337" s="25">
        <v>22.206249999999994</v>
      </c>
      <c r="AM337" s="25">
        <v>21.704166666666669</v>
      </c>
      <c r="AN337" s="25">
        <v>21.200000000000021</v>
      </c>
      <c r="AO337" s="25">
        <v>20.956249999999997</v>
      </c>
      <c r="AP337" s="25">
        <v>22.308333333333337</v>
      </c>
      <c r="AQ337" s="25">
        <v>21.96875</v>
      </c>
      <c r="AR337" s="25">
        <v>21.593750000000011</v>
      </c>
      <c r="AS337" s="25">
        <v>21.383333333333312</v>
      </c>
      <c r="AT337" s="25">
        <v>0.26191666666666669</v>
      </c>
      <c r="AU337" s="25">
        <v>0.14481250000000004</v>
      </c>
      <c r="AV337" s="25">
        <v>0.26785416666666662</v>
      </c>
      <c r="AW337" s="25">
        <v>-60.213958333333331</v>
      </c>
      <c r="AX337" s="25">
        <v>-80.97166666666665</v>
      </c>
      <c r="AY337" s="25">
        <v>-85.594814814814811</v>
      </c>
      <c r="AZ337" s="25"/>
      <c r="BA337" s="25">
        <v>-781.92291666666642</v>
      </c>
      <c r="BB337" s="25">
        <v>-418.14791666666662</v>
      </c>
      <c r="BC337" s="25"/>
      <c r="BD337" s="25">
        <v>23.039583333333329</v>
      </c>
      <c r="BE337" s="25">
        <v>23.085416666666664</v>
      </c>
    </row>
    <row r="338" spans="1:57" x14ac:dyDescent="0.25">
      <c r="A338" s="1">
        <v>28</v>
      </c>
      <c r="B338" s="1">
        <v>19.2</v>
      </c>
      <c r="C338" s="22"/>
      <c r="D338" s="23">
        <v>44045</v>
      </c>
      <c r="E338" s="24">
        <v>142.77083333333334</v>
      </c>
      <c r="F338" s="24">
        <v>88.233333333333391</v>
      </c>
      <c r="G338" s="24">
        <v>22.179166666666664</v>
      </c>
      <c r="H338" s="24">
        <v>13.7</v>
      </c>
      <c r="I338" s="24">
        <v>234.39583333333334</v>
      </c>
      <c r="J338" s="24">
        <v>2.7291666666666665</v>
      </c>
      <c r="K338" s="24">
        <v>4.1666666666666664E-2</v>
      </c>
      <c r="L338" s="24">
        <v>20.002083333333328</v>
      </c>
      <c r="M338" s="10">
        <v>0.36315269896688385</v>
      </c>
      <c r="N338" s="25">
        <v>0.27995833333333336</v>
      </c>
      <c r="O338" s="25">
        <v>0.39954166666666663</v>
      </c>
      <c r="P338" s="25">
        <v>0.48347916666666696</v>
      </c>
      <c r="Q338" s="25">
        <v>0.4909375000000003</v>
      </c>
      <c r="R338" s="25">
        <v>0.50127083333333311</v>
      </c>
      <c r="S338" s="25">
        <v>0.3801666666666666</v>
      </c>
      <c r="T338" s="25">
        <v>0.36937499999999984</v>
      </c>
      <c r="U338" s="25">
        <v>0.32808333333333323</v>
      </c>
      <c r="V338" s="25">
        <v>-79.036666666666662</v>
      </c>
      <c r="W338" s="25">
        <v>-103.58562499999999</v>
      </c>
      <c r="X338" s="25">
        <v>-57.143541666666671</v>
      </c>
      <c r="Y338" s="25">
        <v>-52.775416666666651</v>
      </c>
      <c r="Z338" s="25">
        <v>-12.431458333333333</v>
      </c>
      <c r="AA338" s="25">
        <v>-55.586250000000014</v>
      </c>
      <c r="AB338" s="25">
        <v>-58.738541666666684</v>
      </c>
      <c r="AC338" s="25">
        <v>-63.559166666666641</v>
      </c>
      <c r="AD338" s="25">
        <v>-10.581250000000001</v>
      </c>
      <c r="AE338" s="25">
        <v>-103.69375000000001</v>
      </c>
      <c r="AF338" s="25">
        <v>-212.22291666666672</v>
      </c>
      <c r="AG338" s="25">
        <v>-115.08958333333335</v>
      </c>
      <c r="AH338" s="25">
        <v>-23.452083333333348</v>
      </c>
      <c r="AI338" s="25">
        <v>-211.36041666666665</v>
      </c>
      <c r="AJ338" s="25">
        <v>-227.05625000000006</v>
      </c>
      <c r="AK338" s="25">
        <v>-678.99375000000009</v>
      </c>
      <c r="AL338" s="25">
        <v>21.981249999999992</v>
      </c>
      <c r="AM338" s="25">
        <v>21.614583333333343</v>
      </c>
      <c r="AN338" s="25">
        <v>21.166666666666679</v>
      </c>
      <c r="AO338" s="25">
        <v>21</v>
      </c>
      <c r="AP338" s="25">
        <v>22.066666666666663</v>
      </c>
      <c r="AQ338" s="25">
        <v>21.833333333333339</v>
      </c>
      <c r="AR338" s="25">
        <v>21.520833333333329</v>
      </c>
      <c r="AS338" s="25">
        <v>21.368749999999977</v>
      </c>
      <c r="AT338" s="25">
        <v>0.32604166666666673</v>
      </c>
      <c r="AU338" s="25">
        <v>0.24283333333333337</v>
      </c>
      <c r="AV338" s="25">
        <v>0.3097083333333332</v>
      </c>
      <c r="AW338" s="25">
        <v>-52.919791666666676</v>
      </c>
      <c r="AX338" s="25">
        <v>-32.657499999999999</v>
      </c>
      <c r="AY338" s="25">
        <v>-99.885365853658527</v>
      </c>
      <c r="AZ338" s="25"/>
      <c r="BA338" s="25">
        <v>-16.739583333333329</v>
      </c>
      <c r="BB338" s="25">
        <v>-391.7833333333333</v>
      </c>
      <c r="BC338" s="25"/>
      <c r="BD338" s="25">
        <v>22.491666666666664</v>
      </c>
      <c r="BE338" s="25">
        <v>22.870833333333337</v>
      </c>
    </row>
    <row r="339" spans="1:57" x14ac:dyDescent="0.25">
      <c r="A339" s="1">
        <v>23.4</v>
      </c>
      <c r="B339" s="1">
        <v>19.399999999999999</v>
      </c>
      <c r="C339" s="22"/>
      <c r="D339" s="23">
        <v>44046</v>
      </c>
      <c r="E339" s="24">
        <v>104.02083333333333</v>
      </c>
      <c r="F339" s="24">
        <v>92.45</v>
      </c>
      <c r="G339" s="24">
        <v>20.972916666666666</v>
      </c>
      <c r="H339" s="24">
        <v>12.2</v>
      </c>
      <c r="I339" s="24">
        <v>227.97916666666666</v>
      </c>
      <c r="J339" s="24">
        <v>2.7916666666666665</v>
      </c>
      <c r="K339" s="24">
        <v>4.1666666666666664E-2</v>
      </c>
      <c r="L339" s="24">
        <v>19.68333333333333</v>
      </c>
      <c r="M339" s="10">
        <v>0.19547116230165407</v>
      </c>
      <c r="N339" s="25">
        <v>0.3031875</v>
      </c>
      <c r="O339" s="25">
        <v>0.40335416666666662</v>
      </c>
      <c r="P339" s="25">
        <v>0.48420833333333341</v>
      </c>
      <c r="Q339" s="25">
        <v>0.48897916666666652</v>
      </c>
      <c r="R339" s="25">
        <v>0.52879166666666666</v>
      </c>
      <c r="S339" s="25">
        <v>0.3761666666666667</v>
      </c>
      <c r="T339" s="25">
        <v>0.36966666666666642</v>
      </c>
      <c r="U339" s="25">
        <v>0.32697916666666665</v>
      </c>
      <c r="V339" s="25">
        <v>-64.183125000000004</v>
      </c>
      <c r="W339" s="25">
        <v>-26.212500000000006</v>
      </c>
      <c r="X339" s="25">
        <v>-55.971875000000011</v>
      </c>
      <c r="Y339" s="25">
        <v>-55.079166666666659</v>
      </c>
      <c r="Z339" s="25">
        <v>-12.178333333333333</v>
      </c>
      <c r="AA339" s="25">
        <v>-54.302708333333328</v>
      </c>
      <c r="AB339" s="25">
        <v>-60.166666666666657</v>
      </c>
      <c r="AC339" s="25">
        <v>-65.513125000000016</v>
      </c>
      <c r="AD339" s="25">
        <v>-10.381249999999993</v>
      </c>
      <c r="AE339" s="25">
        <v>-105.56875000000004</v>
      </c>
      <c r="AF339" s="25">
        <v>-201.20000000000005</v>
      </c>
      <c r="AG339" s="25">
        <v>-110.56458333333335</v>
      </c>
      <c r="AH339" s="25">
        <v>-12.918750000000005</v>
      </c>
      <c r="AI339" s="25">
        <v>-22.791666666666671</v>
      </c>
      <c r="AJ339" s="25">
        <v>-230.18333333333328</v>
      </c>
      <c r="AK339" s="25">
        <v>-670.83749999999998</v>
      </c>
      <c r="AL339" s="25">
        <v>21.822916666666668</v>
      </c>
      <c r="AM339" s="25">
        <v>21.537499999999998</v>
      </c>
      <c r="AN339" s="25">
        <v>21.145833333333343</v>
      </c>
      <c r="AO339" s="25">
        <v>20.968749999999993</v>
      </c>
      <c r="AP339" s="25">
        <v>21.852083333333329</v>
      </c>
      <c r="AQ339" s="25">
        <v>21.754166666666666</v>
      </c>
      <c r="AR339" s="25">
        <v>21.477083333333326</v>
      </c>
      <c r="AS339" s="25">
        <v>21.335416666666646</v>
      </c>
      <c r="AT339" s="25">
        <v>0.40112499999999995</v>
      </c>
      <c r="AU339" s="25">
        <v>0.26035416666666672</v>
      </c>
      <c r="AV339" s="25">
        <v>0.36060416666666667</v>
      </c>
      <c r="AW339" s="25">
        <v>-14.782708333333334</v>
      </c>
      <c r="AX339" s="25">
        <v>-14.367291666666668</v>
      </c>
      <c r="AY339" s="25">
        <v>-105.25880000000001</v>
      </c>
      <c r="AZ339" s="25"/>
      <c r="BA339" s="25">
        <v>-10.581249999999997</v>
      </c>
      <c r="BB339" s="25">
        <v>-75.35208333333334</v>
      </c>
      <c r="BC339" s="25"/>
      <c r="BD339" s="25">
        <v>22.158333333333331</v>
      </c>
      <c r="BE339" s="25">
        <v>22.577083333333331</v>
      </c>
    </row>
    <row r="340" spans="1:57" x14ac:dyDescent="0.25">
      <c r="A340" s="1">
        <v>27.2</v>
      </c>
      <c r="B340" s="1">
        <v>18.3</v>
      </c>
      <c r="C340" s="22"/>
      <c r="D340" s="23">
        <v>44047</v>
      </c>
      <c r="E340" s="24">
        <v>136.10416666666666</v>
      </c>
      <c r="F340" s="24">
        <v>86.218749999999986</v>
      </c>
      <c r="G340" s="24">
        <v>22.368750000000002</v>
      </c>
      <c r="H340" s="24">
        <v>0.2</v>
      </c>
      <c r="I340" s="24">
        <v>213.14583333333334</v>
      </c>
      <c r="J340" s="24">
        <v>2.7708333333333335</v>
      </c>
      <c r="K340" s="24">
        <v>0.10416666666666667</v>
      </c>
      <c r="L340" s="24">
        <v>19.818750000000005</v>
      </c>
      <c r="M340" s="10">
        <v>0.42443003886107133</v>
      </c>
      <c r="N340" s="25">
        <v>0.39091666666666675</v>
      </c>
      <c r="O340" s="25">
        <v>0.4297500000000003</v>
      </c>
      <c r="P340" s="25">
        <v>0.5130625000000002</v>
      </c>
      <c r="Q340" s="25">
        <v>0.49477083333333294</v>
      </c>
      <c r="R340" s="25">
        <v>0.59320833333333345</v>
      </c>
      <c r="S340" s="25">
        <v>0.41508333333333325</v>
      </c>
      <c r="T340" s="25">
        <v>0.37202083333333319</v>
      </c>
      <c r="U340" s="25">
        <v>0.32702083333333332</v>
      </c>
      <c r="V340" s="25">
        <v>-39.30333333333332</v>
      </c>
      <c r="W340" s="25">
        <v>-21.971666666666664</v>
      </c>
      <c r="X340" s="25">
        <v>-12.424374999999998</v>
      </c>
      <c r="Y340" s="25">
        <v>-55.793124999999996</v>
      </c>
      <c r="Z340" s="25">
        <v>-12.116250000000003</v>
      </c>
      <c r="AA340" s="25">
        <v>-13.581874999999997</v>
      </c>
      <c r="AB340" s="25">
        <v>-60.465208333333329</v>
      </c>
      <c r="AC340" s="25">
        <v>-65.506666666666661</v>
      </c>
      <c r="AD340" s="25">
        <v>-10.177083333333327</v>
      </c>
      <c r="AE340" s="25">
        <v>-14.420833333333336</v>
      </c>
      <c r="AF340" s="25">
        <v>-175.34375000000003</v>
      </c>
      <c r="AG340" s="25">
        <v>-95.364583333333329</v>
      </c>
      <c r="AH340" s="25">
        <v>-12.766666666666659</v>
      </c>
      <c r="AI340" s="25">
        <v>-10.672916666666667</v>
      </c>
      <c r="AJ340" s="25">
        <v>-25.543749999999999</v>
      </c>
      <c r="AK340" s="25">
        <v>-633.34791666666672</v>
      </c>
      <c r="AL340" s="25">
        <v>21.685416666666669</v>
      </c>
      <c r="AM340" s="25">
        <v>21.395833333333314</v>
      </c>
      <c r="AN340" s="25">
        <v>21.056250000000006</v>
      </c>
      <c r="AO340" s="25">
        <v>20.899999999999984</v>
      </c>
      <c r="AP340" s="25">
        <v>21.783333333333335</v>
      </c>
      <c r="AQ340" s="25">
        <v>21.591666666666658</v>
      </c>
      <c r="AR340" s="25">
        <v>21.335416666666671</v>
      </c>
      <c r="AS340" s="25">
        <v>21.204166666666683</v>
      </c>
      <c r="AT340" s="25">
        <v>0.4362499999999998</v>
      </c>
      <c r="AU340" s="25">
        <v>0.2725625000000001</v>
      </c>
      <c r="AV340" s="25">
        <v>0.4514166666666668</v>
      </c>
      <c r="AW340" s="25">
        <v>-15.056666666666667</v>
      </c>
      <c r="AX340" s="25">
        <v>-14.38083333333333</v>
      </c>
      <c r="AY340" s="25">
        <v>-30.258064516129032</v>
      </c>
      <c r="AZ340" s="25"/>
      <c r="BA340" s="25">
        <v>-10.379166666666661</v>
      </c>
      <c r="BB340" s="25">
        <v>-12.860416666666664</v>
      </c>
      <c r="BC340" s="25"/>
      <c r="BD340" s="25">
        <v>22.287499999999998</v>
      </c>
      <c r="BE340" s="25">
        <v>22.368749999999995</v>
      </c>
    </row>
    <row r="341" spans="1:57" x14ac:dyDescent="0.25">
      <c r="A341" s="1">
        <v>30</v>
      </c>
      <c r="B341" s="1">
        <v>20.2</v>
      </c>
      <c r="C341" s="22"/>
      <c r="D341" s="23">
        <v>44048</v>
      </c>
      <c r="E341" s="24">
        <v>205.79166666666666</v>
      </c>
      <c r="F341" s="24">
        <v>77.491666666666688</v>
      </c>
      <c r="G341" s="24">
        <v>24.345833333333331</v>
      </c>
      <c r="H341" s="24">
        <v>0</v>
      </c>
      <c r="I341" s="24">
        <v>228.10416666666666</v>
      </c>
      <c r="J341" s="24">
        <v>5.5</v>
      </c>
      <c r="K341" s="24">
        <v>0.375</v>
      </c>
      <c r="L341" s="24">
        <v>19.941666666666663</v>
      </c>
      <c r="M341" s="10">
        <v>0.76496044162125487</v>
      </c>
      <c r="N341" s="25">
        <v>0.35843749999999996</v>
      </c>
      <c r="O341" s="25">
        <v>0.42583333333333306</v>
      </c>
      <c r="P341" s="25">
        <v>0.50495833333333329</v>
      </c>
      <c r="Q341" s="25">
        <v>0.49202083333333296</v>
      </c>
      <c r="R341" s="25">
        <v>0.57954166666666662</v>
      </c>
      <c r="S341" s="25">
        <v>0.39864583333333364</v>
      </c>
      <c r="T341" s="25">
        <v>0.37189583333333326</v>
      </c>
      <c r="U341" s="25">
        <v>0.32675000000000004</v>
      </c>
      <c r="V341" s="25">
        <v>-41.43666666666666</v>
      </c>
      <c r="W341" s="25">
        <v>-25.026666666666671</v>
      </c>
      <c r="X341" s="25">
        <v>-15.067291666666664</v>
      </c>
      <c r="Y341" s="25">
        <v>-56.866250000000008</v>
      </c>
      <c r="Z341" s="25">
        <v>-12.521458333333333</v>
      </c>
      <c r="AA341" s="25">
        <v>-20.196874999999999</v>
      </c>
      <c r="AB341" s="25">
        <v>-59.454374999999999</v>
      </c>
      <c r="AC341" s="25">
        <v>-63.571458333333332</v>
      </c>
      <c r="AD341" s="25">
        <v>-10.268749999999999</v>
      </c>
      <c r="AE341" s="25">
        <v>-30.360416666666655</v>
      </c>
      <c r="AF341" s="25">
        <v>-171.36249999999995</v>
      </c>
      <c r="AG341" s="25">
        <v>-94.379166666666706</v>
      </c>
      <c r="AH341" s="25">
        <v>-13.383333333333335</v>
      </c>
      <c r="AI341" s="25">
        <v>-11.281250000000005</v>
      </c>
      <c r="AJ341" s="25">
        <v>-31.485416666666669</v>
      </c>
      <c r="AK341" s="25">
        <v>-639.26666666666665</v>
      </c>
      <c r="AL341" s="25">
        <v>22.066666666666674</v>
      </c>
      <c r="AM341" s="25">
        <v>21.504166666666666</v>
      </c>
      <c r="AN341" s="25">
        <v>21.095833333333349</v>
      </c>
      <c r="AO341" s="25">
        <v>20.899999999999984</v>
      </c>
      <c r="AP341" s="25">
        <v>22.368749999999995</v>
      </c>
      <c r="AQ341" s="25">
        <v>21.866666666666671</v>
      </c>
      <c r="AR341" s="25">
        <v>21.485416666666662</v>
      </c>
      <c r="AS341" s="25">
        <v>21.289583333333336</v>
      </c>
      <c r="AT341" s="25">
        <v>0.41495833333333332</v>
      </c>
      <c r="AU341" s="25">
        <v>0.24475</v>
      </c>
      <c r="AV341" s="25">
        <v>0.42914583333333334</v>
      </c>
      <c r="AW341" s="25">
        <v>-14.717708333333334</v>
      </c>
      <c r="AX341" s="25">
        <v>-14.394166666666669</v>
      </c>
      <c r="AY341" s="25">
        <v>-21.439285714285713</v>
      </c>
      <c r="AZ341" s="25"/>
      <c r="BA341" s="25">
        <v>-10.472916666666674</v>
      </c>
      <c r="BB341" s="25">
        <v>-12.956249999999999</v>
      </c>
      <c r="BC341" s="25"/>
      <c r="BD341" s="25">
        <v>23.295833333333331</v>
      </c>
      <c r="BE341" s="25">
        <v>22.693750000000005</v>
      </c>
    </row>
    <row r="342" spans="1:57" x14ac:dyDescent="0.25">
      <c r="A342" s="1">
        <v>28.1</v>
      </c>
      <c r="B342" s="1">
        <v>20.5</v>
      </c>
      <c r="C342" s="22"/>
      <c r="D342" s="23">
        <v>44049</v>
      </c>
      <c r="E342" s="24">
        <v>135.75</v>
      </c>
      <c r="F342" s="24">
        <v>83.293749999999989</v>
      </c>
      <c r="G342" s="24">
        <v>22.743750000000002</v>
      </c>
      <c r="H342" s="24">
        <v>0</v>
      </c>
      <c r="I342" s="24">
        <v>231.29166666666666</v>
      </c>
      <c r="J342" s="24">
        <v>8.3958333333333339</v>
      </c>
      <c r="K342" s="24">
        <v>0.77083333333333337</v>
      </c>
      <c r="L342" s="24">
        <v>19.708333333333336</v>
      </c>
      <c r="M342" s="10">
        <v>0.48399098595726397</v>
      </c>
      <c r="N342" s="25">
        <v>0.32875000000000004</v>
      </c>
      <c r="O342" s="25">
        <v>0.42010416666666689</v>
      </c>
      <c r="P342" s="25">
        <v>0.4973541666666666</v>
      </c>
      <c r="Q342" s="25">
        <v>0.48906250000000001</v>
      </c>
      <c r="R342" s="25">
        <v>0.56195833333333323</v>
      </c>
      <c r="S342" s="25">
        <v>0.38304166666666667</v>
      </c>
      <c r="T342" s="25">
        <v>0.37018750000000006</v>
      </c>
      <c r="U342" s="25">
        <v>0.32549999999999968</v>
      </c>
      <c r="V342" s="25">
        <v>-45.326458333333314</v>
      </c>
      <c r="W342" s="25">
        <v>-36.865624999999994</v>
      </c>
      <c r="X342" s="25">
        <v>-23.012916666666658</v>
      </c>
      <c r="Y342" s="25">
        <v>-58.431041666666687</v>
      </c>
      <c r="Z342" s="25">
        <v>-15.342291666666666</v>
      </c>
      <c r="AA342" s="25">
        <v>-27.538125000000004</v>
      </c>
      <c r="AB342" s="25">
        <v>-60.398958333333333</v>
      </c>
      <c r="AC342" s="25">
        <v>-64.086666666666659</v>
      </c>
      <c r="AD342" s="25">
        <v>-12.364583333333334</v>
      </c>
      <c r="AE342" s="25">
        <v>-52.949999999999989</v>
      </c>
      <c r="AF342" s="25">
        <v>-186.03749999999999</v>
      </c>
      <c r="AG342" s="25">
        <v>-102.39999999999998</v>
      </c>
      <c r="AH342" s="25">
        <v>-18.96458333333333</v>
      </c>
      <c r="AI342" s="25">
        <v>-13.62291666666667</v>
      </c>
      <c r="AJ342" s="25">
        <v>-43.800000000000004</v>
      </c>
      <c r="AK342" s="25">
        <v>-654.82083333333333</v>
      </c>
      <c r="AL342" s="25">
        <v>22.152083333333323</v>
      </c>
      <c r="AM342" s="25">
        <v>21.685416666666683</v>
      </c>
      <c r="AN342" s="25">
        <v>21.193750000000019</v>
      </c>
      <c r="AO342" s="25">
        <v>20.979166666666668</v>
      </c>
      <c r="AP342" s="25">
        <v>22.21875</v>
      </c>
      <c r="AQ342" s="25">
        <v>21.999999999999989</v>
      </c>
      <c r="AR342" s="25">
        <v>21.664583333333344</v>
      </c>
      <c r="AS342" s="25">
        <v>21.464583333333326</v>
      </c>
      <c r="AT342" s="25">
        <v>0.39464583333333353</v>
      </c>
      <c r="AU342" s="25">
        <v>0.22168749999999993</v>
      </c>
      <c r="AV342" s="25">
        <v>0.39166666666666666</v>
      </c>
      <c r="AW342" s="25">
        <v>-14.932499999999999</v>
      </c>
      <c r="AX342" s="25">
        <v>-15.521041666666667</v>
      </c>
      <c r="AY342" s="25">
        <v>-16.855</v>
      </c>
      <c r="AZ342" s="25"/>
      <c r="BA342" s="25">
        <v>-10.879166666666665</v>
      </c>
      <c r="BB342" s="25">
        <v>-13.749999999999998</v>
      </c>
      <c r="BC342" s="25"/>
      <c r="BD342" s="25">
        <v>22.697916666666671</v>
      </c>
      <c r="BE342" s="25">
        <v>22.627083333333331</v>
      </c>
    </row>
    <row r="343" spans="1:57" x14ac:dyDescent="0.25">
      <c r="A343" s="1">
        <v>26.6</v>
      </c>
      <c r="B343" s="1">
        <v>20.6</v>
      </c>
      <c r="C343" s="22"/>
      <c r="D343" s="23">
        <v>44050</v>
      </c>
      <c r="E343" s="24">
        <v>144.95833333333334</v>
      </c>
      <c r="F343" s="24">
        <v>82.874999999999986</v>
      </c>
      <c r="G343" s="24">
        <v>22.733333333333331</v>
      </c>
      <c r="H343" s="24">
        <v>0</v>
      </c>
      <c r="I343" s="24">
        <v>232.9375</v>
      </c>
      <c r="J343" s="24">
        <v>12.229166666666666</v>
      </c>
      <c r="K343" s="24">
        <v>1.2291666666666667</v>
      </c>
      <c r="L343" s="24">
        <v>19.618749999999999</v>
      </c>
      <c r="M343" s="10">
        <v>0.49445379789817001</v>
      </c>
      <c r="N343" s="25">
        <v>0.30820833333333331</v>
      </c>
      <c r="O343" s="25">
        <v>0.41185416666666663</v>
      </c>
      <c r="P343" s="25">
        <v>0.4899166666666665</v>
      </c>
      <c r="Q343" s="25">
        <v>0.48535416666666692</v>
      </c>
      <c r="R343" s="25">
        <v>0.54208333333333336</v>
      </c>
      <c r="S343" s="25">
        <v>0.3735208333333333</v>
      </c>
      <c r="T343" s="25">
        <v>0.3687500000000003</v>
      </c>
      <c r="U343" s="25">
        <v>0.3241041666666668</v>
      </c>
      <c r="V343" s="25">
        <v>-49.827708333333312</v>
      </c>
      <c r="W343" s="25">
        <v>-58.672083333333319</v>
      </c>
      <c r="X343" s="25">
        <v>-33.92270833333334</v>
      </c>
      <c r="Y343" s="25">
        <v>-60.559583333333336</v>
      </c>
      <c r="Z343" s="25">
        <v>-22.68416666666667</v>
      </c>
      <c r="AA343" s="25">
        <v>-34.317291666666669</v>
      </c>
      <c r="AB343" s="25">
        <v>-61.807500000000005</v>
      </c>
      <c r="AC343" s="25">
        <v>-66.282916666666679</v>
      </c>
      <c r="AD343" s="25">
        <v>-24.350000000000005</v>
      </c>
      <c r="AE343" s="25">
        <v>-82.806249999999991</v>
      </c>
      <c r="AF343" s="25">
        <v>-204.35833333333332</v>
      </c>
      <c r="AG343" s="25">
        <v>-113.66666666666667</v>
      </c>
      <c r="AH343" s="25">
        <v>-40.999999999999993</v>
      </c>
      <c r="AI343" s="25">
        <v>-24.235416666666669</v>
      </c>
      <c r="AJ343" s="25">
        <v>-65.783333333333331</v>
      </c>
      <c r="AK343" s="25">
        <v>-681.03125000000011</v>
      </c>
      <c r="AL343" s="25">
        <v>21.902083333333341</v>
      </c>
      <c r="AM343" s="25">
        <v>21.581250000000008</v>
      </c>
      <c r="AN343" s="25">
        <v>21.179166666666681</v>
      </c>
      <c r="AO343" s="25">
        <v>21</v>
      </c>
      <c r="AP343" s="25">
        <v>21.891666666666669</v>
      </c>
      <c r="AQ343" s="25">
        <v>21.770833333333332</v>
      </c>
      <c r="AR343" s="25">
        <v>21.504166666666663</v>
      </c>
      <c r="AS343" s="25">
        <v>21.377083333333307</v>
      </c>
      <c r="AT343" s="25">
        <v>0.38087500000000007</v>
      </c>
      <c r="AU343" s="25">
        <v>0.20150000000000004</v>
      </c>
      <c r="AV343" s="25">
        <v>0.36195833333333338</v>
      </c>
      <c r="AW343" s="25">
        <v>-16.841875000000002</v>
      </c>
      <c r="AX343" s="25">
        <v>-21.641666666666669</v>
      </c>
      <c r="AY343" s="25">
        <v>-28.877000000000002</v>
      </c>
      <c r="AZ343" s="25"/>
      <c r="BA343" s="25">
        <v>-16.137499999999999</v>
      </c>
      <c r="BB343" s="25">
        <v>-23.247916666666669</v>
      </c>
      <c r="BC343" s="25"/>
      <c r="BD343" s="25">
        <v>22.549999999999997</v>
      </c>
      <c r="BE343" s="25">
        <v>22.5</v>
      </c>
    </row>
    <row r="344" spans="1:57" x14ac:dyDescent="0.25">
      <c r="A344" s="1">
        <v>28.8</v>
      </c>
      <c r="B344" s="1">
        <v>18.8</v>
      </c>
      <c r="C344" s="22"/>
      <c r="D344" s="23">
        <v>44051</v>
      </c>
      <c r="E344" s="24">
        <v>188.47916666666666</v>
      </c>
      <c r="F344" s="24">
        <v>82.533333333333317</v>
      </c>
      <c r="G344" s="24">
        <v>23.308333333333334</v>
      </c>
      <c r="H344" s="24">
        <v>33.900000000000006</v>
      </c>
      <c r="I344" s="24">
        <v>238.47916666666666</v>
      </c>
      <c r="J344" s="24">
        <v>10.604166666666666</v>
      </c>
      <c r="K344" s="24">
        <v>1.1458333333333333</v>
      </c>
      <c r="L344" s="24">
        <v>20.045833333333327</v>
      </c>
      <c r="M344" s="10">
        <v>0.55065683506795216</v>
      </c>
      <c r="N344" s="25">
        <v>0.30918750000000017</v>
      </c>
      <c r="O344" s="25">
        <v>0.40729166666666661</v>
      </c>
      <c r="P344" s="25">
        <v>0.48812499999999986</v>
      </c>
      <c r="Q344" s="25">
        <v>0.48793749999999969</v>
      </c>
      <c r="R344" s="25">
        <v>0.52887500000000021</v>
      </c>
      <c r="S344" s="25">
        <v>0.37443750000000015</v>
      </c>
      <c r="T344" s="25">
        <v>0.36527083333333327</v>
      </c>
      <c r="U344" s="25">
        <v>0.32095833333333346</v>
      </c>
      <c r="V344" s="25">
        <v>-52.61375000000001</v>
      </c>
      <c r="W344" s="25">
        <v>-75.277083333333323</v>
      </c>
      <c r="X344" s="25">
        <v>-39.063958333333325</v>
      </c>
      <c r="Y344" s="25">
        <v>-60.747291666666662</v>
      </c>
      <c r="Z344" s="25">
        <v>-31.082291666666666</v>
      </c>
      <c r="AA344" s="25">
        <v>-38.00333333333333</v>
      </c>
      <c r="AB344" s="25">
        <v>-63.498541666666661</v>
      </c>
      <c r="AC344" s="25">
        <v>-68.868333333333325</v>
      </c>
      <c r="AD344" s="25">
        <v>-42.77083333333335</v>
      </c>
      <c r="AE344" s="25">
        <v>-122.32708333333331</v>
      </c>
      <c r="AF344" s="25">
        <v>-233.70833333333334</v>
      </c>
      <c r="AG344" s="25">
        <v>-137.44166666666669</v>
      </c>
      <c r="AH344" s="25">
        <v>-91.245833333333351</v>
      </c>
      <c r="AI344" s="25">
        <v>-47.077083333333341</v>
      </c>
      <c r="AJ344" s="25">
        <v>-97.120833333333337</v>
      </c>
      <c r="AK344" s="25">
        <v>-719.22916666666663</v>
      </c>
      <c r="AL344" s="25">
        <v>22.004166666666663</v>
      </c>
      <c r="AM344" s="25">
        <v>21.581250000000008</v>
      </c>
      <c r="AN344" s="25">
        <v>21.162500000000012</v>
      </c>
      <c r="AO344" s="25">
        <v>21</v>
      </c>
      <c r="AP344" s="25">
        <v>22.112500000000001</v>
      </c>
      <c r="AQ344" s="25">
        <v>21.812500000000011</v>
      </c>
      <c r="AR344" s="25">
        <v>21.489583333333329</v>
      </c>
      <c r="AS344" s="25">
        <v>21.345833333333314</v>
      </c>
      <c r="AT344" s="25">
        <v>0.37775000000000003</v>
      </c>
      <c r="AU344" s="25">
        <v>0.20412500000000003</v>
      </c>
      <c r="AV344" s="25">
        <v>0.34822916666666665</v>
      </c>
      <c r="AW344" s="25">
        <v>-22.24291666666667</v>
      </c>
      <c r="AX344" s="25">
        <v>-29.541249999999994</v>
      </c>
      <c r="AY344" s="25">
        <v>-37.805714285714288</v>
      </c>
      <c r="AZ344" s="25"/>
      <c r="BA344" s="25">
        <v>-26.122916666666665</v>
      </c>
      <c r="BB344" s="25">
        <v>-38.670833333333334</v>
      </c>
      <c r="BC344" s="25"/>
      <c r="BD344" s="25">
        <v>22.916666666666668</v>
      </c>
      <c r="BE344" s="25">
        <v>22.664583333333336</v>
      </c>
    </row>
    <row r="345" spans="1:57" x14ac:dyDescent="0.25">
      <c r="A345" s="1">
        <v>26.1</v>
      </c>
      <c r="B345" s="1">
        <v>18.899999999999999</v>
      </c>
      <c r="C345" s="22"/>
      <c r="D345" s="23">
        <v>44052</v>
      </c>
      <c r="E345" s="24">
        <v>113.0625</v>
      </c>
      <c r="F345" s="24">
        <v>91.116666666666688</v>
      </c>
      <c r="G345" s="24">
        <v>21.125</v>
      </c>
      <c r="H345" s="24">
        <v>45.900000000000013</v>
      </c>
      <c r="I345" s="24">
        <v>253.25</v>
      </c>
      <c r="J345" s="24">
        <v>4.4375</v>
      </c>
      <c r="K345" s="24">
        <v>2.0833333333333332E-2</v>
      </c>
      <c r="L345" s="24">
        <v>19.556249999999999</v>
      </c>
      <c r="M345" s="10">
        <v>0.24657902403725693</v>
      </c>
      <c r="N345" s="25">
        <v>0.47606249999999989</v>
      </c>
      <c r="O345" s="25">
        <v>0.54956249999999984</v>
      </c>
      <c r="P345" s="25">
        <v>0.60087500000000016</v>
      </c>
      <c r="Q345" s="25">
        <v>0.62433333333333296</v>
      </c>
      <c r="R345" s="25">
        <v>0.62454166666666644</v>
      </c>
      <c r="S345" s="25">
        <v>0.52470833333333333</v>
      </c>
      <c r="T345" s="25">
        <v>0.45347916666666682</v>
      </c>
      <c r="U345" s="25">
        <v>0.39572916666666652</v>
      </c>
      <c r="V345" s="25">
        <v>-13.723333333333342</v>
      </c>
      <c r="W345" s="25">
        <v>-22.094583333333336</v>
      </c>
      <c r="X345" s="25">
        <v>-12.045833333333329</v>
      </c>
      <c r="Y345" s="25">
        <v>-12.818333333333333</v>
      </c>
      <c r="Z345" s="25">
        <v>-12.091666666666661</v>
      </c>
      <c r="AA345" s="25">
        <v>-12.295208333333322</v>
      </c>
      <c r="AB345" s="25">
        <v>-14.447708333333324</v>
      </c>
      <c r="AC345" s="25">
        <v>-26.515416666666663</v>
      </c>
      <c r="AD345" s="25">
        <v>-10.010416666666666</v>
      </c>
      <c r="AE345" s="25">
        <v>-11.097916666666672</v>
      </c>
      <c r="AF345" s="25">
        <v>-14.768749999999983</v>
      </c>
      <c r="AG345" s="25">
        <v>-16.314583333333349</v>
      </c>
      <c r="AH345" s="25">
        <v>-12.616666666666676</v>
      </c>
      <c r="AI345" s="25">
        <v>-10.325000000000005</v>
      </c>
      <c r="AJ345" s="25">
        <v>-10.822916666666673</v>
      </c>
      <c r="AK345" s="25">
        <v>-19.02916666666664</v>
      </c>
      <c r="AL345" s="25">
        <v>21.520833333333329</v>
      </c>
      <c r="AM345" s="25">
        <v>21.447916666666647</v>
      </c>
      <c r="AN345" s="25">
        <v>21.166666666666679</v>
      </c>
      <c r="AO345" s="25">
        <v>21.035416666666674</v>
      </c>
      <c r="AP345" s="25">
        <v>21.318749999999998</v>
      </c>
      <c r="AQ345" s="25">
        <v>21.441666666666674</v>
      </c>
      <c r="AR345" s="25">
        <v>21.320833333333351</v>
      </c>
      <c r="AS345" s="25">
        <v>21.241666666666678</v>
      </c>
      <c r="AT345" s="25">
        <v>0.5056250000000001</v>
      </c>
      <c r="AU345" s="25">
        <v>0.3738541666666666</v>
      </c>
      <c r="AV345" s="25">
        <v>0.51650000000000007</v>
      </c>
      <c r="AW345" s="25">
        <v>-14.519374999999998</v>
      </c>
      <c r="AX345" s="25">
        <v>-14.769583333333337</v>
      </c>
      <c r="AY345" s="25">
        <v>-13.79116279069768</v>
      </c>
      <c r="AZ345" s="25"/>
      <c r="BA345" s="25">
        <v>-10.375000000000002</v>
      </c>
      <c r="BB345" s="25">
        <v>-12.566666666666668</v>
      </c>
      <c r="BC345" s="25"/>
      <c r="BD345" s="25">
        <v>22.241666666666671</v>
      </c>
      <c r="BE345" s="25">
        <v>21.895833333333339</v>
      </c>
    </row>
    <row r="346" spans="1:57" x14ac:dyDescent="0.25">
      <c r="A346" s="1">
        <v>30.4</v>
      </c>
      <c r="B346" s="1">
        <v>19.7</v>
      </c>
      <c r="C346" s="22"/>
      <c r="D346" s="23">
        <v>44053</v>
      </c>
      <c r="E346" s="24">
        <v>198.4375</v>
      </c>
      <c r="F346" s="24">
        <v>81.679166666666646</v>
      </c>
      <c r="G346" s="24">
        <v>24.095833333333335</v>
      </c>
      <c r="H346" s="24">
        <v>0</v>
      </c>
      <c r="I346" s="24">
        <v>231.47916666666666</v>
      </c>
      <c r="J346" s="24">
        <v>4.9375</v>
      </c>
      <c r="K346" s="24">
        <v>0.10416666666666667</v>
      </c>
      <c r="L346" s="24">
        <v>20.554166666666667</v>
      </c>
      <c r="M346" s="10">
        <v>0.63512456321903499</v>
      </c>
      <c r="N346" s="25">
        <v>0.44437499999999969</v>
      </c>
      <c r="O346" s="25">
        <v>0.54622916666666665</v>
      </c>
      <c r="P346" s="25">
        <v>0.59389583333333307</v>
      </c>
      <c r="Q346" s="25">
        <v>0.60731250000000025</v>
      </c>
      <c r="R346" s="25">
        <v>0.61362499999999986</v>
      </c>
      <c r="S346" s="25">
        <v>0.50502083333333347</v>
      </c>
      <c r="T346" s="25">
        <v>0.47608333333333341</v>
      </c>
      <c r="U346" s="25">
        <v>0.41027083333333331</v>
      </c>
      <c r="V346" s="25">
        <v>-13.578750000000001</v>
      </c>
      <c r="W346" s="25">
        <v>-21.623958333333334</v>
      </c>
      <c r="X346" s="25">
        <v>-12.033750000000003</v>
      </c>
      <c r="Y346" s="25">
        <v>-12.621458333333331</v>
      </c>
      <c r="Z346" s="25">
        <v>-12.0725</v>
      </c>
      <c r="AA346" s="25">
        <v>-12.333750000000004</v>
      </c>
      <c r="AB346" s="25">
        <v>-12.256666666666669</v>
      </c>
      <c r="AC346" s="25">
        <v>-13.069374999999994</v>
      </c>
      <c r="AD346" s="25">
        <v>-10.006250000000001</v>
      </c>
      <c r="AE346" s="25">
        <v>-11.01041666666667</v>
      </c>
      <c r="AF346" s="25">
        <v>-11.295833333333336</v>
      </c>
      <c r="AG346" s="25">
        <v>-12.10000000000001</v>
      </c>
      <c r="AH346" s="25">
        <v>-12.75208333333333</v>
      </c>
      <c r="AI346" s="25">
        <v>-10.391666666666667</v>
      </c>
      <c r="AJ346" s="25">
        <v>-10.702083333333325</v>
      </c>
      <c r="AK346" s="25">
        <v>-11.425000000000004</v>
      </c>
      <c r="AL346" s="25">
        <v>21.9375</v>
      </c>
      <c r="AM346" s="25">
        <v>21.439583333333328</v>
      </c>
      <c r="AN346" s="25">
        <v>21.100000000000016</v>
      </c>
      <c r="AO346" s="25">
        <v>20.983333333333331</v>
      </c>
      <c r="AP346" s="25">
        <v>22.208333333333332</v>
      </c>
      <c r="AQ346" s="25">
        <v>21.697916666666671</v>
      </c>
      <c r="AR346" s="25">
        <v>21.347916666666666</v>
      </c>
      <c r="AS346" s="25">
        <v>21.191666666666666</v>
      </c>
      <c r="AT346" s="25">
        <v>0.45897916666666688</v>
      </c>
      <c r="AU346" s="25">
        <v>0.28016666666666662</v>
      </c>
      <c r="AV346" s="25">
        <v>0.4838541666666667</v>
      </c>
      <c r="AW346" s="25">
        <v>-13.785208333333339</v>
      </c>
      <c r="AX346" s="25">
        <v>-14.454791666666663</v>
      </c>
      <c r="AY346" s="25">
        <v>-15.468124999999999</v>
      </c>
      <c r="AZ346" s="25"/>
      <c r="BA346" s="25">
        <v>-10.372916666666665</v>
      </c>
      <c r="BB346" s="25">
        <v>-12.554166666666674</v>
      </c>
      <c r="BC346" s="25"/>
      <c r="BD346" s="25">
        <v>23.162499999999994</v>
      </c>
      <c r="BE346" s="25">
        <v>22.502083333333342</v>
      </c>
    </row>
    <row r="347" spans="1:57" x14ac:dyDescent="0.25">
      <c r="A347" s="1">
        <v>28.7</v>
      </c>
      <c r="B347" s="1">
        <v>21.5</v>
      </c>
      <c r="C347" s="22"/>
      <c r="D347" s="23">
        <v>44054</v>
      </c>
      <c r="E347" s="24">
        <v>163.125</v>
      </c>
      <c r="F347" s="24">
        <v>83.310416666666711</v>
      </c>
      <c r="G347" s="24">
        <v>23.866666666666664</v>
      </c>
      <c r="H347" s="24">
        <v>0</v>
      </c>
      <c r="I347" s="24">
        <v>229.97916666666666</v>
      </c>
      <c r="J347" s="24">
        <v>10.083333333333334</v>
      </c>
      <c r="K347" s="24">
        <v>1.9166666666666667</v>
      </c>
      <c r="L347" s="24">
        <v>20.772916666666664</v>
      </c>
      <c r="M347" s="10">
        <v>0.53040773961314969</v>
      </c>
      <c r="N347" s="25">
        <v>0.42860416666666651</v>
      </c>
      <c r="O347" s="25">
        <v>0.53527083333333314</v>
      </c>
      <c r="P347" s="25">
        <v>0.58706249999999949</v>
      </c>
      <c r="Q347" s="25">
        <v>0.60179166666666706</v>
      </c>
      <c r="R347" s="25">
        <v>0.60575000000000023</v>
      </c>
      <c r="S347" s="25">
        <v>0.49077083333333321</v>
      </c>
      <c r="T347" s="25">
        <v>0.47091666666666671</v>
      </c>
      <c r="U347" s="25">
        <v>0.40549999999999975</v>
      </c>
      <c r="V347" s="25">
        <v>-13.709375</v>
      </c>
      <c r="W347" s="25">
        <v>-22.596666666666664</v>
      </c>
      <c r="X347" s="25">
        <v>-12.126250000000006</v>
      </c>
      <c r="Y347" s="25">
        <v>-12.730416666666665</v>
      </c>
      <c r="Z347" s="25">
        <v>-12.400416666666665</v>
      </c>
      <c r="AA347" s="25">
        <v>-12.814375000000004</v>
      </c>
      <c r="AB347" s="25">
        <v>-12.510416666666666</v>
      </c>
      <c r="AC347" s="25">
        <v>-13.192500000000003</v>
      </c>
      <c r="AD347" s="25">
        <v>-10.039583333333342</v>
      </c>
      <c r="AE347" s="25">
        <v>-11.110416666666666</v>
      </c>
      <c r="AF347" s="25">
        <v>-11.281250000000005</v>
      </c>
      <c r="AG347" s="25">
        <v>-12.127083333333337</v>
      </c>
      <c r="AH347" s="25">
        <v>-13.293749999999996</v>
      </c>
      <c r="AI347" s="25">
        <v>-10.585416666666669</v>
      </c>
      <c r="AJ347" s="25">
        <v>-10.724999999999996</v>
      </c>
      <c r="AK347" s="25">
        <v>-11.610416666666671</v>
      </c>
      <c r="AL347" s="25">
        <v>22.377083333333346</v>
      </c>
      <c r="AM347" s="25">
        <v>21.739583333333332</v>
      </c>
      <c r="AN347" s="25">
        <v>21.222916666666659</v>
      </c>
      <c r="AO347" s="25">
        <v>21.033333333333342</v>
      </c>
      <c r="AP347" s="25">
        <v>22.672916666666662</v>
      </c>
      <c r="AQ347" s="25">
        <v>22.185416666666669</v>
      </c>
      <c r="AR347" s="25">
        <v>21.733333333333334</v>
      </c>
      <c r="AS347" s="25">
        <v>21.508333333333336</v>
      </c>
      <c r="AT347" s="25">
        <v>0.4371874999999999</v>
      </c>
      <c r="AU347" s="25">
        <v>0.25310416666666663</v>
      </c>
      <c r="AV347" s="25">
        <v>0.44858333333333333</v>
      </c>
      <c r="AW347" s="25">
        <v>-13.786458333333336</v>
      </c>
      <c r="AX347" s="25">
        <v>-14.412916666666668</v>
      </c>
      <c r="AY347" s="25">
        <v>-17.318571428571428</v>
      </c>
      <c r="AZ347" s="25"/>
      <c r="BA347" s="25">
        <v>-10.53333333333334</v>
      </c>
      <c r="BB347" s="25">
        <v>-12.660416666666672</v>
      </c>
      <c r="BC347" s="25"/>
      <c r="BD347" s="25">
        <v>23.333333333333339</v>
      </c>
      <c r="BE347" s="25">
        <v>22.808333333333334</v>
      </c>
    </row>
    <row r="348" spans="1:57" x14ac:dyDescent="0.25">
      <c r="A348" s="1">
        <v>24.2</v>
      </c>
      <c r="B348" s="1">
        <v>21</v>
      </c>
      <c r="C348" s="22"/>
      <c r="D348" s="23">
        <v>44055</v>
      </c>
      <c r="E348" s="24">
        <v>105.47916666666667</v>
      </c>
      <c r="F348" s="24">
        <v>86.558333333333337</v>
      </c>
      <c r="G348" s="24">
        <v>22.439583333333335</v>
      </c>
      <c r="H348" s="24">
        <v>5.0000000000000009</v>
      </c>
      <c r="I348" s="24">
        <v>228.6875</v>
      </c>
      <c r="J348" s="24">
        <v>16.9375</v>
      </c>
      <c r="K348" s="24">
        <v>4.666666666666667</v>
      </c>
      <c r="L348" s="24">
        <v>20.072916666666668</v>
      </c>
      <c r="M348" s="10">
        <v>0.37070695676012827</v>
      </c>
      <c r="N348" s="25">
        <v>0.4166249999999998</v>
      </c>
      <c r="O348" s="25">
        <v>0.52743749999999967</v>
      </c>
      <c r="P348" s="25">
        <v>0.58197916666666616</v>
      </c>
      <c r="Q348" s="25">
        <v>0.5988541666666668</v>
      </c>
      <c r="R348" s="25">
        <v>0.59812500000000013</v>
      </c>
      <c r="S348" s="25">
        <v>0.48264583333333305</v>
      </c>
      <c r="T348" s="25">
        <v>0.46722916666666703</v>
      </c>
      <c r="U348" s="25">
        <v>0.40302083333333338</v>
      </c>
      <c r="V348" s="25">
        <v>-14.823958333333335</v>
      </c>
      <c r="W348" s="25">
        <v>-24.757500000000004</v>
      </c>
      <c r="X348" s="25">
        <v>-12.379583333333331</v>
      </c>
      <c r="Y348" s="25">
        <v>-13.035208333333332</v>
      </c>
      <c r="Z348" s="25">
        <v>-13.246458333333331</v>
      </c>
      <c r="AA348" s="25">
        <v>-14.086875000000001</v>
      </c>
      <c r="AB348" s="25">
        <v>-13.310625</v>
      </c>
      <c r="AC348" s="25">
        <v>-13.465000000000002</v>
      </c>
      <c r="AD348" s="25">
        <v>-10.154166666666663</v>
      </c>
      <c r="AE348" s="25">
        <v>-11.23958333333333</v>
      </c>
      <c r="AF348" s="25">
        <v>-11.20416666666666</v>
      </c>
      <c r="AG348" s="25">
        <v>-12.10000000000001</v>
      </c>
      <c r="AH348" s="25">
        <v>-13.129166666666668</v>
      </c>
      <c r="AI348" s="25">
        <v>-10.670833333333329</v>
      </c>
      <c r="AJ348" s="25">
        <v>-10.743749999999999</v>
      </c>
      <c r="AK348" s="25">
        <v>-11.654166666666667</v>
      </c>
      <c r="AL348" s="25">
        <v>22.168750000000014</v>
      </c>
      <c r="AM348" s="25">
        <v>21.793750000000014</v>
      </c>
      <c r="AN348" s="25">
        <v>21.333333333333307</v>
      </c>
      <c r="AO348" s="25">
        <v>21.100000000000016</v>
      </c>
      <c r="AP348" s="25">
        <v>22.187499999999996</v>
      </c>
      <c r="AQ348" s="25">
        <v>22.072916666666668</v>
      </c>
      <c r="AR348" s="25">
        <v>21.772916666666688</v>
      </c>
      <c r="AS348" s="25">
        <v>21.589583333333337</v>
      </c>
      <c r="AT348" s="25">
        <v>0.43606521739130427</v>
      </c>
      <c r="AU348" s="25">
        <v>0.26162500000000005</v>
      </c>
      <c r="AV348" s="25">
        <v>0.42366666666666669</v>
      </c>
      <c r="AW348" s="25">
        <v>-14.075833333333337</v>
      </c>
      <c r="AX348" s="25">
        <v>-14.453541666666673</v>
      </c>
      <c r="AY348" s="25">
        <v>-14.672000000000006</v>
      </c>
      <c r="AZ348" s="25"/>
      <c r="BA348" s="25">
        <v>-10.370833333333332</v>
      </c>
      <c r="BB348" s="25">
        <v>-12.747916666666661</v>
      </c>
      <c r="BC348" s="25"/>
      <c r="BD348" s="25">
        <v>22.7</v>
      </c>
      <c r="BE348" s="25">
        <v>22.489583333333339</v>
      </c>
    </row>
    <row r="349" spans="1:57" x14ac:dyDescent="0.25">
      <c r="A349" s="1">
        <v>24.2</v>
      </c>
      <c r="B349" s="1">
        <v>20.2</v>
      </c>
      <c r="C349" s="22"/>
      <c r="D349" s="23">
        <v>44056</v>
      </c>
      <c r="E349" s="24">
        <v>108.20833333333333</v>
      </c>
      <c r="F349" s="24">
        <v>85.760416666666686</v>
      </c>
      <c r="G349" s="24">
        <v>22.133333333333336</v>
      </c>
      <c r="H349" s="24">
        <v>12.999999999999998</v>
      </c>
      <c r="I349" s="24">
        <v>227.3125</v>
      </c>
      <c r="J349" s="24">
        <v>16.6875</v>
      </c>
      <c r="K349" s="24">
        <v>3.875</v>
      </c>
      <c r="L349" s="24">
        <v>19.604166666666664</v>
      </c>
      <c r="M349" s="10">
        <v>0.38882099322142288</v>
      </c>
      <c r="N349" s="25">
        <v>0.45722916666666658</v>
      </c>
      <c r="O349" s="25">
        <v>0.54791666666666639</v>
      </c>
      <c r="P349" s="25">
        <v>0.59685416666666669</v>
      </c>
      <c r="Q349" s="25">
        <v>0.61197916666666641</v>
      </c>
      <c r="R349" s="25">
        <v>0.61585416666666659</v>
      </c>
      <c r="S349" s="25">
        <v>0.50227083333333356</v>
      </c>
      <c r="T349" s="25">
        <v>0.46750000000000019</v>
      </c>
      <c r="U349" s="25">
        <v>0.40266666666666673</v>
      </c>
      <c r="V349" s="25">
        <v>-14.066250000000004</v>
      </c>
      <c r="W349" s="25">
        <v>-22.075208333333325</v>
      </c>
      <c r="X349" s="25">
        <v>-12.130416666666674</v>
      </c>
      <c r="Y349" s="25">
        <v>-12.958958333333333</v>
      </c>
      <c r="Z349" s="25">
        <v>-12.377916666666657</v>
      </c>
      <c r="AA349" s="25">
        <v>-13.202708333333328</v>
      </c>
      <c r="AB349" s="25">
        <v>-13.431458333333332</v>
      </c>
      <c r="AC349" s="25">
        <v>-13.559583333333343</v>
      </c>
      <c r="AD349" s="25">
        <v>-9.9520833333333325</v>
      </c>
      <c r="AE349" s="25">
        <v>-11.008333333333328</v>
      </c>
      <c r="AF349" s="25">
        <v>-11.14375000000001</v>
      </c>
      <c r="AG349" s="25">
        <v>-12.041666666666664</v>
      </c>
      <c r="AH349" s="25">
        <v>-12.600000000000003</v>
      </c>
      <c r="AI349" s="25">
        <v>-10.343749999999998</v>
      </c>
      <c r="AJ349" s="25">
        <v>-10.556249999999999</v>
      </c>
      <c r="AK349" s="25">
        <v>-11.40833333333333</v>
      </c>
      <c r="AL349" s="25">
        <v>21.868750000000002</v>
      </c>
      <c r="AM349" s="25">
        <v>21.641666666666676</v>
      </c>
      <c r="AN349" s="25">
        <v>21.270833333333339</v>
      </c>
      <c r="AO349" s="25">
        <v>21.100000000000016</v>
      </c>
      <c r="AP349" s="25">
        <v>21.810416666666669</v>
      </c>
      <c r="AQ349" s="25">
        <v>21.793749999999999</v>
      </c>
      <c r="AR349" s="25">
        <v>21.572916666666668</v>
      </c>
      <c r="AS349" s="25">
        <v>21.445833333333322</v>
      </c>
      <c r="AT349" s="25">
        <v>0.46034285714285722</v>
      </c>
      <c r="AU349" s="25">
        <v>0.2891875000000001</v>
      </c>
      <c r="AV349" s="25">
        <v>0.47618749999999999</v>
      </c>
      <c r="AW349" s="25">
        <v>-14.018541666666671</v>
      </c>
      <c r="AX349" s="25">
        <v>-14.497708333333337</v>
      </c>
      <c r="AY349" s="25">
        <v>-14.758518518518517</v>
      </c>
      <c r="AZ349" s="25"/>
      <c r="BA349" s="25">
        <v>-10.070833333333333</v>
      </c>
      <c r="BB349" s="25">
        <v>-12.362500000000002</v>
      </c>
      <c r="BC349" s="25"/>
      <c r="BD349" s="25">
        <v>22.314583333333328</v>
      </c>
      <c r="BE349" s="25">
        <v>22.154166666666658</v>
      </c>
    </row>
    <row r="350" spans="1:57" x14ac:dyDescent="0.25">
      <c r="A350" s="1">
        <v>27.1</v>
      </c>
      <c r="B350" s="1">
        <v>20</v>
      </c>
      <c r="C350" s="22"/>
      <c r="D350" s="23">
        <v>44057</v>
      </c>
      <c r="E350" s="24">
        <v>189.875</v>
      </c>
      <c r="F350" s="24">
        <v>81.27291666666666</v>
      </c>
      <c r="G350" s="24">
        <v>22.516666666666669</v>
      </c>
      <c r="H350" s="24">
        <v>0.7</v>
      </c>
      <c r="I350" s="24">
        <v>232.64583333333334</v>
      </c>
      <c r="J350" s="24">
        <v>14.541666666666666</v>
      </c>
      <c r="K350" s="24">
        <v>2.9791666666666665</v>
      </c>
      <c r="L350" s="24">
        <v>19.062499999999996</v>
      </c>
      <c r="M350" s="10">
        <v>0.53972713872306666</v>
      </c>
      <c r="N350" s="25">
        <v>0.44314583333333341</v>
      </c>
      <c r="O350" s="25">
        <v>0.54370833333333335</v>
      </c>
      <c r="P350" s="25">
        <v>0.59339583333333346</v>
      </c>
      <c r="Q350" s="25">
        <v>0.60839583333333336</v>
      </c>
      <c r="R350" s="25">
        <v>0.61187500000000006</v>
      </c>
      <c r="S350" s="25">
        <v>0.49647916666666658</v>
      </c>
      <c r="T350" s="25">
        <v>0.46900000000000031</v>
      </c>
      <c r="U350" s="25">
        <v>0.40433333333333349</v>
      </c>
      <c r="V350" s="25">
        <v>-13.649375000000001</v>
      </c>
      <c r="W350" s="25">
        <v>-21.848958333333332</v>
      </c>
      <c r="X350" s="25">
        <v>-12.051458333333331</v>
      </c>
      <c r="Y350" s="25">
        <v>-12.669791666666661</v>
      </c>
      <c r="Z350" s="25">
        <v>-12.141250000000001</v>
      </c>
      <c r="AA350" s="25">
        <v>-12.502916666666666</v>
      </c>
      <c r="AB350" s="25">
        <v>-12.924166666666663</v>
      </c>
      <c r="AC350" s="25">
        <v>-13.540833333333341</v>
      </c>
      <c r="AD350" s="25">
        <v>-9.8312499999999989</v>
      </c>
      <c r="AE350" s="25">
        <v>-10.875</v>
      </c>
      <c r="AF350" s="25">
        <v>-11.006250000000001</v>
      </c>
      <c r="AG350" s="25">
        <v>-11.902083333333323</v>
      </c>
      <c r="AH350" s="25">
        <v>-12.654166666666661</v>
      </c>
      <c r="AI350" s="25">
        <v>-10.299999999999994</v>
      </c>
      <c r="AJ350" s="25">
        <v>-10.445833333333331</v>
      </c>
      <c r="AK350" s="25">
        <v>-11.266666666666667</v>
      </c>
      <c r="AL350" s="25">
        <v>21.787500000000005</v>
      </c>
      <c r="AM350" s="25">
        <v>21.508333333333329</v>
      </c>
      <c r="AN350" s="25">
        <v>21.200000000000021</v>
      </c>
      <c r="AO350" s="25">
        <v>21.068750000000009</v>
      </c>
      <c r="AP350" s="25">
        <v>21.793750000000003</v>
      </c>
      <c r="AQ350" s="25">
        <v>21.6875</v>
      </c>
      <c r="AR350" s="25">
        <v>21.433333333333319</v>
      </c>
      <c r="AS350" s="25">
        <v>21.320833333333322</v>
      </c>
      <c r="AT350" s="25">
        <v>0.4516</v>
      </c>
      <c r="AU350" s="25">
        <v>0.2694375</v>
      </c>
      <c r="AV350" s="25">
        <v>0.47054166666666669</v>
      </c>
      <c r="AW350" s="25">
        <v>-13.735833333333334</v>
      </c>
      <c r="AX350" s="25">
        <v>-14.492291666666665</v>
      </c>
      <c r="AY350" s="25">
        <v>-36.703999999999994</v>
      </c>
      <c r="AZ350" s="25"/>
      <c r="BA350" s="25">
        <v>-10.022916666666669</v>
      </c>
      <c r="BB350" s="25">
        <v>-12.143750000000004</v>
      </c>
      <c r="BC350" s="25"/>
      <c r="BD350" s="25">
        <v>22.693750000000005</v>
      </c>
      <c r="BE350" s="25">
        <v>22.143749999999997</v>
      </c>
    </row>
    <row r="351" spans="1:57" x14ac:dyDescent="0.25">
      <c r="A351" s="1">
        <v>24.8</v>
      </c>
      <c r="B351" s="1">
        <v>19.8</v>
      </c>
      <c r="C351" s="22"/>
      <c r="D351" s="23">
        <v>44058</v>
      </c>
      <c r="E351" s="24">
        <v>134.5625</v>
      </c>
      <c r="F351" s="24">
        <v>83.381249999999994</v>
      </c>
      <c r="G351" s="24">
        <v>21.747916666666669</v>
      </c>
      <c r="H351" s="24">
        <v>0</v>
      </c>
      <c r="I351" s="24">
        <v>228.4375</v>
      </c>
      <c r="J351" s="24">
        <v>15.375</v>
      </c>
      <c r="K351" s="24">
        <v>3.4166666666666665</v>
      </c>
      <c r="L351" s="24">
        <v>18.783333333333339</v>
      </c>
      <c r="M351" s="10">
        <v>0.44261854498555647</v>
      </c>
      <c r="N351" s="25">
        <v>0.42658333333333359</v>
      </c>
      <c r="O351" s="25">
        <v>0.5321874999999997</v>
      </c>
      <c r="P351" s="25">
        <v>0.58504166666666635</v>
      </c>
      <c r="Q351" s="25">
        <v>0.60237500000000022</v>
      </c>
      <c r="R351" s="25">
        <v>0.60266666666666668</v>
      </c>
      <c r="S351" s="25">
        <v>0.48308333333333359</v>
      </c>
      <c r="T351" s="25">
        <v>0.46485416666666651</v>
      </c>
      <c r="U351" s="25">
        <v>0.40143749999999967</v>
      </c>
      <c r="V351" s="25">
        <v>-13.79166666666667</v>
      </c>
      <c r="W351" s="25">
        <v>-23.849583333333332</v>
      </c>
      <c r="X351" s="25">
        <v>-12.259375</v>
      </c>
      <c r="Y351" s="25">
        <v>-12.952083333333333</v>
      </c>
      <c r="Z351" s="25">
        <v>-12.662291666666667</v>
      </c>
      <c r="AA351" s="25">
        <v>-13.655208333333334</v>
      </c>
      <c r="AB351" s="25">
        <v>-13.722083333333329</v>
      </c>
      <c r="AC351" s="25">
        <v>-13.914375</v>
      </c>
      <c r="AD351" s="25">
        <v>-9.8874999999999975</v>
      </c>
      <c r="AE351" s="25">
        <v>-11.070833333333335</v>
      </c>
      <c r="AF351" s="25">
        <v>-11</v>
      </c>
      <c r="AG351" s="25">
        <v>-11.927083333333329</v>
      </c>
      <c r="AH351" s="25">
        <v>-13.233333333333334</v>
      </c>
      <c r="AI351" s="25">
        <v>-10.458333333333337</v>
      </c>
      <c r="AJ351" s="25">
        <v>-10.456249999999999</v>
      </c>
      <c r="AK351" s="25">
        <v>-11.331249999999997</v>
      </c>
      <c r="AL351" s="25">
        <v>21.662499999999994</v>
      </c>
      <c r="AM351" s="25">
        <v>21.472916666666652</v>
      </c>
      <c r="AN351" s="25">
        <v>21.160416666666677</v>
      </c>
      <c r="AO351" s="25">
        <v>21</v>
      </c>
      <c r="AP351" s="25">
        <v>21.537500000000009</v>
      </c>
      <c r="AQ351" s="25">
        <v>21.581250000000001</v>
      </c>
      <c r="AR351" s="25">
        <v>21.387499999999978</v>
      </c>
      <c r="AS351" s="25">
        <v>21.277083333333355</v>
      </c>
      <c r="AT351" s="25">
        <v>0.43427777777777776</v>
      </c>
      <c r="AU351" s="25">
        <v>0.24810416666666676</v>
      </c>
      <c r="AV351" s="25">
        <v>0.43902083333333319</v>
      </c>
      <c r="AW351" s="25">
        <v>-13.755624999999997</v>
      </c>
      <c r="AX351" s="25">
        <v>-14.576666666666663</v>
      </c>
      <c r="AY351" s="25"/>
      <c r="AZ351" s="25"/>
      <c r="BA351" s="25">
        <v>-10.20833333333333</v>
      </c>
      <c r="BB351" s="25">
        <v>-12.243749999999993</v>
      </c>
      <c r="BC351" s="25"/>
      <c r="BD351" s="25">
        <v>22.406250000000014</v>
      </c>
      <c r="BE351" s="25">
        <v>21.985416666666669</v>
      </c>
    </row>
    <row r="352" spans="1:57" x14ac:dyDescent="0.25">
      <c r="A352" s="1">
        <v>24.1</v>
      </c>
      <c r="B352" s="1">
        <v>19.399999999999999</v>
      </c>
      <c r="C352" s="22"/>
      <c r="D352" s="23">
        <v>44059</v>
      </c>
      <c r="E352" s="24">
        <v>113.27083333333333</v>
      </c>
      <c r="F352" s="24">
        <v>84.452083333333348</v>
      </c>
      <c r="G352" s="24">
        <v>21.158333333333339</v>
      </c>
      <c r="H352" s="24">
        <v>1.9</v>
      </c>
      <c r="I352" s="24">
        <v>230.64583333333334</v>
      </c>
      <c r="J352" s="24">
        <v>15.291666666666666</v>
      </c>
      <c r="K352" s="24">
        <v>3.3958333333333335</v>
      </c>
      <c r="L352" s="24">
        <v>18.402083333333334</v>
      </c>
      <c r="M352" s="10">
        <v>0.40152166393080302</v>
      </c>
      <c r="N352" s="25">
        <v>0.41331249999999997</v>
      </c>
      <c r="O352" s="25">
        <v>0.52312499999999962</v>
      </c>
      <c r="P352" s="25">
        <v>0.57768750000000024</v>
      </c>
      <c r="Q352" s="25">
        <v>0.59754166666666675</v>
      </c>
      <c r="R352" s="25">
        <v>0.59370833333333317</v>
      </c>
      <c r="S352" s="25">
        <v>0.47377083333333331</v>
      </c>
      <c r="T352" s="25">
        <v>0.46004166666666685</v>
      </c>
      <c r="U352" s="25">
        <v>0.39835416666666701</v>
      </c>
      <c r="V352" s="25">
        <v>-15.472708333333337</v>
      </c>
      <c r="W352" s="25">
        <v>-28.110625000000002</v>
      </c>
      <c r="X352" s="25">
        <v>-12.893333333333331</v>
      </c>
      <c r="Y352" s="25">
        <v>-13.718749999999998</v>
      </c>
      <c r="Z352" s="25">
        <v>-14.304166666666669</v>
      </c>
      <c r="AA352" s="25">
        <v>-15.691875000000001</v>
      </c>
      <c r="AB352" s="25">
        <v>-15.145416666666669</v>
      </c>
      <c r="AC352" s="25">
        <v>-14.672083333333333</v>
      </c>
      <c r="AD352" s="25">
        <v>-10.227083333333333</v>
      </c>
      <c r="AE352" s="25">
        <v>-11.356250000000001</v>
      </c>
      <c r="AF352" s="25">
        <v>-11</v>
      </c>
      <c r="AG352" s="25">
        <v>-11.958333333333334</v>
      </c>
      <c r="AH352" s="25">
        <v>-15.772916666666665</v>
      </c>
      <c r="AI352" s="25">
        <v>-10.87083333333333</v>
      </c>
      <c r="AJ352" s="25">
        <v>-10.5</v>
      </c>
      <c r="AK352" s="25">
        <v>-11.485416666666667</v>
      </c>
      <c r="AL352" s="25">
        <v>21.395833333333332</v>
      </c>
      <c r="AM352" s="25">
        <v>21.306250000000009</v>
      </c>
      <c r="AN352" s="25">
        <v>21.066666666666674</v>
      </c>
      <c r="AO352" s="25">
        <v>20.977083333333329</v>
      </c>
      <c r="AP352" s="25">
        <v>21.183333333333337</v>
      </c>
      <c r="AQ352" s="25">
        <v>21.345833333333335</v>
      </c>
      <c r="AR352" s="25">
        <v>21.200000000000014</v>
      </c>
      <c r="AS352" s="25">
        <v>21.104166666666668</v>
      </c>
      <c r="AT352" s="25">
        <v>0.42259090909090896</v>
      </c>
      <c r="AU352" s="25">
        <v>0.2348124999999999</v>
      </c>
      <c r="AV352" s="25">
        <v>0.40947916666666662</v>
      </c>
      <c r="AW352" s="25">
        <v>-14.225</v>
      </c>
      <c r="AX352" s="25">
        <v>-14.699583333333331</v>
      </c>
      <c r="AY352" s="25">
        <v>-31.272727272727273</v>
      </c>
      <c r="AZ352" s="25"/>
      <c r="BA352" s="25">
        <v>-10.556250000000002</v>
      </c>
      <c r="BB352" s="25">
        <v>-12.735416666666666</v>
      </c>
      <c r="BC352" s="25"/>
      <c r="BD352" s="25">
        <v>21.989583333333329</v>
      </c>
      <c r="BE352" s="25">
        <v>21.679166666666664</v>
      </c>
    </row>
    <row r="353" spans="1:57" x14ac:dyDescent="0.25">
      <c r="A353" s="1">
        <v>22.8</v>
      </c>
      <c r="B353" s="1">
        <v>18.2</v>
      </c>
      <c r="C353" s="22"/>
      <c r="D353" s="23">
        <v>44060</v>
      </c>
      <c r="E353" s="24">
        <v>116.625</v>
      </c>
      <c r="F353" s="24">
        <v>89.481249999999989</v>
      </c>
      <c r="G353" s="24">
        <v>19.7</v>
      </c>
      <c r="H353" s="24">
        <v>14.399999999999999</v>
      </c>
      <c r="I353" s="24">
        <v>230.02083333333334</v>
      </c>
      <c r="J353" s="24">
        <v>12.041666666666666</v>
      </c>
      <c r="K353" s="24">
        <v>2.3333333333333335</v>
      </c>
      <c r="L353" s="24">
        <v>17.908333333333335</v>
      </c>
      <c r="M353" s="10">
        <v>0.24647521651074347</v>
      </c>
      <c r="N353" s="25">
        <v>0.40889583333333329</v>
      </c>
      <c r="O353" s="25">
        <v>0.5227708333333333</v>
      </c>
      <c r="P353" s="25">
        <v>0.57929166666666687</v>
      </c>
      <c r="Q353" s="25">
        <v>0.59729166666666655</v>
      </c>
      <c r="R353" s="25">
        <v>0.5924583333333332</v>
      </c>
      <c r="S353" s="25">
        <v>0.46618749999999998</v>
      </c>
      <c r="T353" s="25">
        <v>0.45602083333333288</v>
      </c>
      <c r="U353" s="25">
        <v>0.39520833333333311</v>
      </c>
      <c r="V353" s="25">
        <v>-18.118541666666665</v>
      </c>
      <c r="W353" s="25">
        <v>-31.162916666666664</v>
      </c>
      <c r="X353" s="25">
        <v>-13.579583333333332</v>
      </c>
      <c r="Y353" s="25">
        <v>-15.273541666666668</v>
      </c>
      <c r="Z353" s="25">
        <v>-16.016458333333336</v>
      </c>
      <c r="AA353" s="25">
        <v>-17.427291666666669</v>
      </c>
      <c r="AB353" s="25">
        <v>-16.866666666666671</v>
      </c>
      <c r="AC353" s="25">
        <v>-15.967916666666667</v>
      </c>
      <c r="AD353" s="25">
        <v>-11.149999999999999</v>
      </c>
      <c r="AE353" s="25">
        <v>-11.704166666666671</v>
      </c>
      <c r="AF353" s="25">
        <v>-11</v>
      </c>
      <c r="AG353" s="25">
        <v>-11.995833333333332</v>
      </c>
      <c r="AH353" s="25">
        <v>-17.218749999999993</v>
      </c>
      <c r="AI353" s="25">
        <v>-11.408333333333333</v>
      </c>
      <c r="AJ353" s="25">
        <v>-10.512500000000006</v>
      </c>
      <c r="AK353" s="25">
        <v>-11.945833333333338</v>
      </c>
      <c r="AL353" s="25">
        <v>21.135416666666668</v>
      </c>
      <c r="AM353" s="25">
        <v>21.129166666666674</v>
      </c>
      <c r="AN353" s="25">
        <v>20.95624999999999</v>
      </c>
      <c r="AO353" s="25">
        <v>20.872916666666644</v>
      </c>
      <c r="AP353" s="25">
        <v>20.833333333333339</v>
      </c>
      <c r="AQ353" s="25">
        <v>21.093750000000004</v>
      </c>
      <c r="AR353" s="25">
        <v>20.991666666666656</v>
      </c>
      <c r="AS353" s="25">
        <v>20.937499999999982</v>
      </c>
      <c r="AT353" s="25">
        <v>0.43472916666666678</v>
      </c>
      <c r="AU353" s="25">
        <v>0.25156249999999997</v>
      </c>
      <c r="AV353" s="25">
        <v>0.41008333333333313</v>
      </c>
      <c r="AW353" s="25">
        <v>-14.495208333333336</v>
      </c>
      <c r="AX353" s="25">
        <v>-14.896249999999997</v>
      </c>
      <c r="AY353" s="25">
        <v>-22.041578947368418</v>
      </c>
      <c r="AZ353" s="25"/>
      <c r="BA353" s="25">
        <v>-11.685416666666669</v>
      </c>
      <c r="BB353" s="25">
        <v>-15.997916666666669</v>
      </c>
      <c r="BC353" s="25"/>
      <c r="BD353" s="25">
        <v>21.608333333333334</v>
      </c>
      <c r="BE353" s="25">
        <v>21.418749999999999</v>
      </c>
    </row>
    <row r="354" spans="1:57" x14ac:dyDescent="0.25">
      <c r="A354" s="1">
        <v>25.8</v>
      </c>
      <c r="B354" s="1">
        <v>17.3</v>
      </c>
      <c r="C354" s="22"/>
      <c r="D354" s="23">
        <v>44061</v>
      </c>
      <c r="E354" s="24">
        <v>150.16666666666666</v>
      </c>
      <c r="F354" s="24">
        <v>88.806250000000034</v>
      </c>
      <c r="G354" s="24">
        <v>19.824999999999999</v>
      </c>
      <c r="H354" s="24">
        <v>26.599999999999998</v>
      </c>
      <c r="I354" s="24">
        <v>226.85416666666666</v>
      </c>
      <c r="J354" s="24">
        <v>5.083333333333333</v>
      </c>
      <c r="K354" s="24">
        <v>0.29166666666666669</v>
      </c>
      <c r="L354" s="24">
        <v>17.843750000000004</v>
      </c>
      <c r="M354" s="10">
        <v>0.28641641689057273</v>
      </c>
      <c r="N354" s="25">
        <v>0.43025000000000008</v>
      </c>
      <c r="O354" s="25">
        <v>0.54456250000000006</v>
      </c>
      <c r="P354" s="25">
        <v>0.59900000000000009</v>
      </c>
      <c r="Q354" s="25">
        <v>0.61710416666666679</v>
      </c>
      <c r="R354" s="25">
        <v>0.62060416666666651</v>
      </c>
      <c r="S354" s="25">
        <v>0.48685416666666659</v>
      </c>
      <c r="T354" s="25">
        <v>0.46514583333333331</v>
      </c>
      <c r="U354" s="25">
        <v>0.40787500000000004</v>
      </c>
      <c r="V354" s="25">
        <v>-13.595833333333333</v>
      </c>
      <c r="W354" s="25">
        <v>-21.244374999999994</v>
      </c>
      <c r="X354" s="25">
        <v>-11.968541666666665</v>
      </c>
      <c r="Y354" s="25">
        <v>-14.655416666666676</v>
      </c>
      <c r="Z354" s="25">
        <v>-12.056458333333344</v>
      </c>
      <c r="AA354" s="25">
        <v>-12.631874999999999</v>
      </c>
      <c r="AB354" s="25">
        <v>-14.596666666666669</v>
      </c>
      <c r="AC354" s="25">
        <v>-14.699375000000002</v>
      </c>
      <c r="AD354" s="25">
        <v>-10.079166666666667</v>
      </c>
      <c r="AE354" s="25">
        <v>-10.918750000000003</v>
      </c>
      <c r="AF354" s="25">
        <v>-10.862499999999999</v>
      </c>
      <c r="AG354" s="25">
        <v>-11.789583333333324</v>
      </c>
      <c r="AH354" s="25">
        <v>-12.731250000000008</v>
      </c>
      <c r="AI354" s="25">
        <v>-10.493749999999995</v>
      </c>
      <c r="AJ354" s="25">
        <v>-10.210416666666665</v>
      </c>
      <c r="AK354" s="25">
        <v>-11.570833333333335</v>
      </c>
      <c r="AL354" s="25">
        <v>20.887499999999999</v>
      </c>
      <c r="AM354" s="25">
        <v>20.927083333333318</v>
      </c>
      <c r="AN354" s="25">
        <v>20.810416666666665</v>
      </c>
      <c r="AO354" s="25">
        <v>20.756250000000019</v>
      </c>
      <c r="AP354" s="25">
        <v>20.733333333333338</v>
      </c>
      <c r="AQ354" s="25">
        <v>20.904166666666672</v>
      </c>
      <c r="AR354" s="25">
        <v>20.802083333333339</v>
      </c>
      <c r="AS354" s="25">
        <v>20.754166666666681</v>
      </c>
      <c r="AT354" s="25">
        <v>0.48259574468085104</v>
      </c>
      <c r="AU354" s="25">
        <v>0.30899999999999989</v>
      </c>
      <c r="AV354" s="25">
        <v>0.49633333333333335</v>
      </c>
      <c r="AW354" s="25">
        <v>-14.734791666666665</v>
      </c>
      <c r="AX354" s="25">
        <v>-14.674166666666665</v>
      </c>
      <c r="AY354" s="25">
        <v>-15.076153846153844</v>
      </c>
      <c r="AZ354" s="25"/>
      <c r="BA354" s="25">
        <v>-10.393749999999995</v>
      </c>
      <c r="BB354" s="25">
        <v>-12.445833333333335</v>
      </c>
      <c r="BC354" s="25"/>
      <c r="BD354" s="25">
        <v>21.337499999999995</v>
      </c>
      <c r="BE354" s="25">
        <v>21.258333333333336</v>
      </c>
    </row>
    <row r="355" spans="1:57" x14ac:dyDescent="0.25">
      <c r="A355" s="1">
        <v>28.7</v>
      </c>
      <c r="B355" s="1">
        <v>16.100000000000001</v>
      </c>
      <c r="C355" s="22"/>
      <c r="D355" s="23">
        <v>44062</v>
      </c>
      <c r="E355" s="24">
        <v>198.8125</v>
      </c>
      <c r="F355" s="24">
        <v>83.052083333333343</v>
      </c>
      <c r="G355" s="24">
        <v>20.999999999999996</v>
      </c>
      <c r="H355" s="24">
        <v>0</v>
      </c>
      <c r="I355" s="24">
        <v>241.16666666666666</v>
      </c>
      <c r="J355" s="24">
        <v>2.4375</v>
      </c>
      <c r="K355" s="24">
        <v>0</v>
      </c>
      <c r="L355" s="24">
        <v>17.764583333333341</v>
      </c>
      <c r="M355" s="10">
        <v>0.52000560092051795</v>
      </c>
      <c r="N355" s="25">
        <v>0.46481249999999957</v>
      </c>
      <c r="O355" s="25">
        <v>0.55933333333333302</v>
      </c>
      <c r="P355" s="25">
        <v>0.60329166666666656</v>
      </c>
      <c r="Q355" s="25">
        <v>0.61933333333333296</v>
      </c>
      <c r="R355" s="25">
        <v>0.62137500000000012</v>
      </c>
      <c r="S355" s="25">
        <v>0.51745833333333346</v>
      </c>
      <c r="T355" s="25">
        <v>0.48216666666666647</v>
      </c>
      <c r="U355" s="25">
        <v>0.41927083333333309</v>
      </c>
      <c r="V355" s="25">
        <v>-13.605833333333335</v>
      </c>
      <c r="W355" s="25">
        <v>-21.327916666666667</v>
      </c>
      <c r="X355" s="25">
        <v>-11.934791666666674</v>
      </c>
      <c r="Y355" s="25">
        <v>-12.588333333333333</v>
      </c>
      <c r="Z355" s="25">
        <v>-12.038124999999996</v>
      </c>
      <c r="AA355" s="25">
        <v>-12.215624999999996</v>
      </c>
      <c r="AB355" s="25">
        <v>-12.09958333333333</v>
      </c>
      <c r="AC355" s="25">
        <v>-12.989583333333334</v>
      </c>
      <c r="AD355" s="25">
        <v>-9.8999999999999915</v>
      </c>
      <c r="AE355" s="25">
        <v>-10.729166666666659</v>
      </c>
      <c r="AF355" s="25">
        <v>-10.585416666666676</v>
      </c>
      <c r="AG355" s="25">
        <v>-11.352083333333331</v>
      </c>
      <c r="AH355" s="25">
        <v>-12.758333333333326</v>
      </c>
      <c r="AI355" s="25">
        <v>-10.379166666666661</v>
      </c>
      <c r="AJ355" s="25">
        <v>-10.100000000000009</v>
      </c>
      <c r="AK355" s="25">
        <v>-11.037500000000009</v>
      </c>
      <c r="AL355" s="25">
        <v>20.795833333333331</v>
      </c>
      <c r="AM355" s="25">
        <v>20.772916666666671</v>
      </c>
      <c r="AN355" s="25">
        <v>20.683333333333344</v>
      </c>
      <c r="AO355" s="25">
        <v>20.660416666666677</v>
      </c>
      <c r="AP355" s="25">
        <v>20.787500000000001</v>
      </c>
      <c r="AQ355" s="25">
        <v>20.783333333333335</v>
      </c>
      <c r="AR355" s="25">
        <v>20.677083333333336</v>
      </c>
      <c r="AS355" s="25">
        <v>20.627083333333339</v>
      </c>
      <c r="AT355" s="25">
        <v>0.47566666666666652</v>
      </c>
      <c r="AU355" s="25">
        <v>0.29110416666666677</v>
      </c>
      <c r="AV355" s="25">
        <v>0.50868749999999996</v>
      </c>
      <c r="AW355" s="25">
        <v>-14.211875000000006</v>
      </c>
      <c r="AX355" s="25">
        <v>-14.637083333333331</v>
      </c>
      <c r="AY355" s="25">
        <v>-45.838918918918921</v>
      </c>
      <c r="AZ355" s="25"/>
      <c r="BA355" s="25">
        <v>-10.220833333333331</v>
      </c>
      <c r="BB355" s="25">
        <v>-12.18125</v>
      </c>
      <c r="BC355" s="25"/>
      <c r="BD355" s="25">
        <v>21.695833333333336</v>
      </c>
      <c r="BE355" s="25">
        <v>21.429166666666664</v>
      </c>
    </row>
    <row r="356" spans="1:57" x14ac:dyDescent="0.25">
      <c r="A356" s="1">
        <v>29.6</v>
      </c>
      <c r="B356" s="1">
        <v>18.600000000000001</v>
      </c>
      <c r="C356" s="22"/>
      <c r="D356" s="23">
        <v>44063</v>
      </c>
      <c r="E356" s="24">
        <v>194.95833333333334</v>
      </c>
      <c r="F356" s="24">
        <v>78.895833333333329</v>
      </c>
      <c r="G356" s="24">
        <v>22.620833333333341</v>
      </c>
      <c r="H356" s="24">
        <v>0</v>
      </c>
      <c r="I356" s="24">
        <v>229.54166666666666</v>
      </c>
      <c r="J356" s="24">
        <v>2.9375</v>
      </c>
      <c r="K356" s="24">
        <v>0</v>
      </c>
      <c r="L356" s="24">
        <v>18.587500000000002</v>
      </c>
      <c r="M356" s="10">
        <v>0.65442685817700619</v>
      </c>
      <c r="N356" s="25">
        <v>0.44566666666666688</v>
      </c>
      <c r="O356" s="25">
        <v>0.54466666666666685</v>
      </c>
      <c r="P356" s="25">
        <v>0.59433333333333327</v>
      </c>
      <c r="Q356" s="25">
        <v>0.60958333333333337</v>
      </c>
      <c r="R356" s="25">
        <v>0.61216666666666708</v>
      </c>
      <c r="S356" s="25">
        <v>0.49658333333333321</v>
      </c>
      <c r="T356" s="25">
        <v>0.47404166666666625</v>
      </c>
      <c r="U356" s="25">
        <v>0.40947916666666662</v>
      </c>
      <c r="V356" s="25">
        <v>-13.529583333333333</v>
      </c>
      <c r="W356" s="25">
        <v>-21.862916666666663</v>
      </c>
      <c r="X356" s="25">
        <v>-11.975208333333326</v>
      </c>
      <c r="Y356" s="25">
        <v>-12.637083333333331</v>
      </c>
      <c r="Z356" s="25">
        <v>-12.146041666666669</v>
      </c>
      <c r="AA356" s="25">
        <v>-12.419166666666664</v>
      </c>
      <c r="AB356" s="25">
        <v>-12.22854166666667</v>
      </c>
      <c r="AC356" s="25">
        <v>-13.037916666666668</v>
      </c>
      <c r="AD356" s="25">
        <v>-9.9062499999999929</v>
      </c>
      <c r="AE356" s="25">
        <v>-10.735416666666666</v>
      </c>
      <c r="AF356" s="25">
        <v>-10.60833333333334</v>
      </c>
      <c r="AG356" s="25">
        <v>-11.4375</v>
      </c>
      <c r="AH356" s="25">
        <v>-12.935416666666674</v>
      </c>
      <c r="AI356" s="25">
        <v>-10.485416666666675</v>
      </c>
      <c r="AJ356" s="25">
        <v>-10.100000000000009</v>
      </c>
      <c r="AK356" s="25">
        <v>-11.137500000000001</v>
      </c>
      <c r="AL356" s="25">
        <v>21.30416666666666</v>
      </c>
      <c r="AM356" s="25">
        <v>20.972916666666659</v>
      </c>
      <c r="AN356" s="25">
        <v>20.695833333333351</v>
      </c>
      <c r="AO356" s="25">
        <v>20.600000000000016</v>
      </c>
      <c r="AP356" s="25">
        <v>21.520833333333332</v>
      </c>
      <c r="AQ356" s="25">
        <v>21.2</v>
      </c>
      <c r="AR356" s="25">
        <v>20.899999999999988</v>
      </c>
      <c r="AS356" s="25">
        <v>20.76250000000001</v>
      </c>
      <c r="AT356" s="25">
        <v>0.45187500000000008</v>
      </c>
      <c r="AU356" s="25">
        <v>0.26150000000000001</v>
      </c>
      <c r="AV356" s="25">
        <v>0.47466666666666657</v>
      </c>
      <c r="AW356" s="25">
        <v>-14.221041666666663</v>
      </c>
      <c r="AX356" s="25">
        <v>-14.537500000000001</v>
      </c>
      <c r="AY356" s="25">
        <v>-34.672916666666666</v>
      </c>
      <c r="AZ356" s="25"/>
      <c r="BA356" s="25">
        <v>-10.295833333333325</v>
      </c>
      <c r="BB356" s="25">
        <v>-12.268749999999992</v>
      </c>
      <c r="BC356" s="25"/>
      <c r="BD356" s="25">
        <v>22.291666666666661</v>
      </c>
      <c r="BE356" s="25">
        <v>22.089583333333334</v>
      </c>
    </row>
    <row r="357" spans="1:57" x14ac:dyDescent="0.25">
      <c r="A357" s="1">
        <v>29</v>
      </c>
      <c r="B357" s="1">
        <v>18.399999999999999</v>
      </c>
      <c r="C357" s="22"/>
      <c r="D357" s="23">
        <v>44064</v>
      </c>
      <c r="E357" s="24">
        <v>155.6875</v>
      </c>
      <c r="F357" s="24">
        <v>84.102083333333312</v>
      </c>
      <c r="G357" s="24">
        <v>22.014583333333338</v>
      </c>
      <c r="H357" s="24">
        <v>0</v>
      </c>
      <c r="I357" s="24">
        <v>226.20833333333334</v>
      </c>
      <c r="J357" s="24">
        <v>4.229166666666667</v>
      </c>
      <c r="K357" s="24">
        <v>0.20833333333333334</v>
      </c>
      <c r="L357" s="24">
        <v>19.091666666666658</v>
      </c>
      <c r="M357" s="10">
        <v>0.46711770270670278</v>
      </c>
      <c r="N357" s="25">
        <v>0.431458333333333</v>
      </c>
      <c r="O357" s="25">
        <v>0.53558333333333363</v>
      </c>
      <c r="P357" s="25">
        <v>0.58777083333333313</v>
      </c>
      <c r="Q357" s="25">
        <v>0.60556249999999967</v>
      </c>
      <c r="R357" s="25">
        <v>0.60502083333333367</v>
      </c>
      <c r="S357" s="25">
        <v>0.48497916666666679</v>
      </c>
      <c r="T357" s="25">
        <v>0.46920833333333317</v>
      </c>
      <c r="U357" s="25">
        <v>0.40581249999999991</v>
      </c>
      <c r="V357" s="25">
        <v>-13.632291666666662</v>
      </c>
      <c r="W357" s="25">
        <v>-23.679583333333337</v>
      </c>
      <c r="X357" s="25">
        <v>-12.130833333333337</v>
      </c>
      <c r="Y357" s="25">
        <v>-12.819166666666668</v>
      </c>
      <c r="Z357" s="25">
        <v>-12.85375</v>
      </c>
      <c r="AA357" s="25">
        <v>-13.335000000000001</v>
      </c>
      <c r="AB357" s="25">
        <v>-12.753124999999997</v>
      </c>
      <c r="AC357" s="25">
        <v>-13.19</v>
      </c>
      <c r="AD357" s="25">
        <v>-9.9729166666666735</v>
      </c>
      <c r="AE357" s="25">
        <v>-10.879166666666665</v>
      </c>
      <c r="AF357" s="25">
        <v>-10.614583333333337</v>
      </c>
      <c r="AG357" s="25">
        <v>-11.502083333333333</v>
      </c>
      <c r="AH357" s="25">
        <v>-13.637500000000001</v>
      </c>
      <c r="AI357" s="25">
        <v>-10.670833333333334</v>
      </c>
      <c r="AJ357" s="25">
        <v>-10.137499999999996</v>
      </c>
      <c r="AK357" s="25">
        <v>-11.197916666666664</v>
      </c>
      <c r="AL357" s="25">
        <v>21.535416666666659</v>
      </c>
      <c r="AM357" s="25">
        <v>21.166666666666675</v>
      </c>
      <c r="AN357" s="25">
        <v>20.799999999999983</v>
      </c>
      <c r="AO357" s="25">
        <v>20.687500000000018</v>
      </c>
      <c r="AP357" s="25">
        <v>21.720833333333331</v>
      </c>
      <c r="AQ357" s="25">
        <v>21.489583333333339</v>
      </c>
      <c r="AR357" s="25">
        <v>21.166666666666675</v>
      </c>
      <c r="AS357" s="25">
        <v>20.981249999999996</v>
      </c>
      <c r="AT357" s="25">
        <v>0.43747916666666659</v>
      </c>
      <c r="AU357" s="25">
        <v>0.24224999999999999</v>
      </c>
      <c r="AV357" s="25">
        <v>0.44516666666666671</v>
      </c>
      <c r="AW357" s="25">
        <v>-14.141875000000001</v>
      </c>
      <c r="AX357" s="25">
        <v>-14.639791666666667</v>
      </c>
      <c r="AY357" s="25">
        <v>-14.077872340425531</v>
      </c>
      <c r="AZ357" s="25"/>
      <c r="BA357" s="25">
        <v>-10.543750000000001</v>
      </c>
      <c r="BB357" s="25">
        <v>-12.36458333333333</v>
      </c>
      <c r="BC357" s="25"/>
      <c r="BD357" s="25">
        <v>22.139583333333331</v>
      </c>
      <c r="BE357" s="25">
        <v>22.197916666666668</v>
      </c>
    </row>
    <row r="358" spans="1:57" x14ac:dyDescent="0.25">
      <c r="A358" s="1">
        <v>28.3</v>
      </c>
      <c r="B358" s="1">
        <v>18.8</v>
      </c>
      <c r="C358" s="22"/>
      <c r="D358" s="23">
        <v>44065</v>
      </c>
      <c r="E358" s="24">
        <v>210.64583333333334</v>
      </c>
      <c r="F358" s="24">
        <v>78.662500000000023</v>
      </c>
      <c r="G358" s="24">
        <v>22.687499999999989</v>
      </c>
      <c r="H358" s="24">
        <v>0</v>
      </c>
      <c r="I358" s="24">
        <v>237.79166666666666</v>
      </c>
      <c r="J358" s="24">
        <v>10.083333333333334</v>
      </c>
      <c r="K358" s="24">
        <v>1.5</v>
      </c>
      <c r="L358" s="24">
        <v>18.627083333333335</v>
      </c>
      <c r="M358" s="10">
        <v>0.64895494101892581</v>
      </c>
      <c r="N358" s="25">
        <v>0.41472916666666654</v>
      </c>
      <c r="O358" s="25">
        <v>0.52599999999999991</v>
      </c>
      <c r="P358" s="25">
        <v>0.57945833333333352</v>
      </c>
      <c r="Q358" s="25">
        <v>0.60087500000000038</v>
      </c>
      <c r="R358" s="25">
        <v>0.59537499999999999</v>
      </c>
      <c r="S358" s="25">
        <v>0.47377083333333331</v>
      </c>
      <c r="T358" s="25">
        <v>0.4635624999999996</v>
      </c>
      <c r="U358" s="25">
        <v>0.40172916666666664</v>
      </c>
      <c r="V358" s="25">
        <v>-15.478333333333333</v>
      </c>
      <c r="W358" s="25">
        <v>-28.403333333333336</v>
      </c>
      <c r="X358" s="25">
        <v>-12.634583333333333</v>
      </c>
      <c r="Y358" s="25">
        <v>-13.300208333333336</v>
      </c>
      <c r="Z358" s="25">
        <v>-15.199166666666665</v>
      </c>
      <c r="AA358" s="25">
        <v>-15.131666666666668</v>
      </c>
      <c r="AB358" s="25">
        <v>-14.027291666666672</v>
      </c>
      <c r="AC358" s="25">
        <v>-13.579791666666667</v>
      </c>
      <c r="AD358" s="25">
        <v>-10.772916666666665</v>
      </c>
      <c r="AE358" s="25">
        <v>-11.233333333333333</v>
      </c>
      <c r="AF358" s="25">
        <v>-10.639583333333329</v>
      </c>
      <c r="AG358" s="25">
        <v>-11.591666666666669</v>
      </c>
      <c r="AH358" s="25">
        <v>-17.262499999999999</v>
      </c>
      <c r="AI358" s="25">
        <v>-11.283333333333333</v>
      </c>
      <c r="AJ358" s="25">
        <v>-10.227083333333331</v>
      </c>
      <c r="AK358" s="25">
        <v>-11.399999999999999</v>
      </c>
      <c r="AL358" s="25">
        <v>21.514583333333334</v>
      </c>
      <c r="AM358" s="25">
        <v>21.181250000000002</v>
      </c>
      <c r="AN358" s="25">
        <v>20.864583333333311</v>
      </c>
      <c r="AO358" s="25">
        <v>20.700000000000021</v>
      </c>
      <c r="AP358" s="25">
        <v>21.668749999999999</v>
      </c>
      <c r="AQ358" s="25">
        <v>21.439583333333335</v>
      </c>
      <c r="AR358" s="25">
        <v>21.164583333333336</v>
      </c>
      <c r="AS358" s="25">
        <v>21.018749999999997</v>
      </c>
      <c r="AT358" s="25">
        <v>0.4207083333333333</v>
      </c>
      <c r="AU358" s="25">
        <v>0.22622916666666668</v>
      </c>
      <c r="AV358" s="25">
        <v>0.40347916666666667</v>
      </c>
      <c r="AW358" s="25">
        <v>-14.880833333333335</v>
      </c>
      <c r="AX358" s="25">
        <v>-15.525833333333331</v>
      </c>
      <c r="AY358" s="25">
        <v>-15.193548387096776</v>
      </c>
      <c r="AZ358" s="25"/>
      <c r="BA358" s="25">
        <v>-14.054166666666667</v>
      </c>
      <c r="BB358" s="25">
        <v>-13.577083333333336</v>
      </c>
      <c r="BC358" s="25"/>
      <c r="BD358" s="25">
        <v>22.570833333333326</v>
      </c>
      <c r="BE358" s="25">
        <v>22.241666666666664</v>
      </c>
    </row>
    <row r="359" spans="1:57" x14ac:dyDescent="0.25">
      <c r="A359" s="1">
        <v>28.4</v>
      </c>
      <c r="B359" s="1">
        <v>19.899999999999999</v>
      </c>
      <c r="C359" s="22"/>
      <c r="D359" s="23">
        <v>44066</v>
      </c>
      <c r="E359" s="24">
        <v>214.35416666666666</v>
      </c>
      <c r="F359" s="24">
        <v>76.722916666666663</v>
      </c>
      <c r="G359" s="24">
        <v>23.402083333333337</v>
      </c>
      <c r="H359" s="24">
        <v>0</v>
      </c>
      <c r="I359" s="24">
        <v>232.04166666666666</v>
      </c>
      <c r="J359" s="24">
        <v>14</v>
      </c>
      <c r="K359" s="24">
        <v>2.5833333333333335</v>
      </c>
      <c r="L359" s="24">
        <v>18.945833333333329</v>
      </c>
      <c r="M359" s="10">
        <v>0.71917145793861126</v>
      </c>
      <c r="N359" s="25">
        <v>0.38745833333333324</v>
      </c>
      <c r="O359" s="25">
        <v>0.51268750000000007</v>
      </c>
      <c r="P359" s="25">
        <v>0.5666041666666668</v>
      </c>
      <c r="Q359" s="25">
        <v>0.59247916666666656</v>
      </c>
      <c r="R359" s="25">
        <v>0.58110416666666687</v>
      </c>
      <c r="S359" s="25">
        <v>0.4574791666666666</v>
      </c>
      <c r="T359" s="25">
        <v>0.45327083333333373</v>
      </c>
      <c r="U359" s="25">
        <v>0.39504166666666679</v>
      </c>
      <c r="V359" s="25">
        <v>-23.580416666666668</v>
      </c>
      <c r="W359" s="25">
        <v>-45.542500000000011</v>
      </c>
      <c r="X359" s="25">
        <v>-14.596041666666666</v>
      </c>
      <c r="Y359" s="25">
        <v>-15.385208333333338</v>
      </c>
      <c r="Z359" s="25">
        <v>-22.177916666666672</v>
      </c>
      <c r="AA359" s="25">
        <v>-18.730833333333333</v>
      </c>
      <c r="AB359" s="25">
        <v>-17.407708333333336</v>
      </c>
      <c r="AC359" s="25">
        <v>-15.499166666666666</v>
      </c>
      <c r="AD359" s="25">
        <v>-16.747916666666665</v>
      </c>
      <c r="AE359" s="25">
        <v>-13.545833333333334</v>
      </c>
      <c r="AF359" s="25">
        <v>-10.9125</v>
      </c>
      <c r="AG359" s="25">
        <v>-11.831249999999997</v>
      </c>
      <c r="AH359" s="25">
        <v>-34.947916666666664</v>
      </c>
      <c r="AI359" s="25">
        <v>-14.262499999999998</v>
      </c>
      <c r="AJ359" s="25">
        <v>-10.439583333333333</v>
      </c>
      <c r="AK359" s="25">
        <v>-12.914583333333333</v>
      </c>
      <c r="AL359" s="25">
        <v>21.714583333333337</v>
      </c>
      <c r="AM359" s="25">
        <v>21.279166666666672</v>
      </c>
      <c r="AN359" s="25">
        <v>20.904166666666651</v>
      </c>
      <c r="AO359" s="25">
        <v>20.787499999999984</v>
      </c>
      <c r="AP359" s="25">
        <v>21.864583333333332</v>
      </c>
      <c r="AQ359" s="25">
        <v>21.574999999999989</v>
      </c>
      <c r="AR359" s="25">
        <v>21.247916666666669</v>
      </c>
      <c r="AS359" s="25">
        <v>21.081250000000011</v>
      </c>
      <c r="AT359" s="25">
        <v>0.40119148936170207</v>
      </c>
      <c r="AU359" s="25">
        <v>0.20233333333333334</v>
      </c>
      <c r="AV359" s="25">
        <v>0.35229166666666684</v>
      </c>
      <c r="AW359" s="25">
        <v>-16.631458333333335</v>
      </c>
      <c r="AX359" s="25">
        <v>-23.872916666666672</v>
      </c>
      <c r="AY359" s="25">
        <v>-91.852499999999992</v>
      </c>
      <c r="AZ359" s="25"/>
      <c r="BA359" s="25">
        <v>-28.402083333333334</v>
      </c>
      <c r="BB359" s="25">
        <v>-30.575000000000003</v>
      </c>
      <c r="BC359" s="25"/>
      <c r="BD359" s="25">
        <v>22.910416666666663</v>
      </c>
      <c r="BE359" s="25">
        <v>22.506249999999998</v>
      </c>
    </row>
    <row r="360" spans="1:57" x14ac:dyDescent="0.25">
      <c r="A360" s="1">
        <v>29.9</v>
      </c>
      <c r="B360" s="1">
        <v>19.899999999999999</v>
      </c>
      <c r="C360" s="22"/>
      <c r="D360" s="23">
        <v>44067</v>
      </c>
      <c r="E360" s="24">
        <v>149.8125</v>
      </c>
      <c r="F360" s="24">
        <v>82.070833333333326</v>
      </c>
      <c r="G360" s="24">
        <v>22.677083333333332</v>
      </c>
      <c r="H360" s="24">
        <v>0</v>
      </c>
      <c r="I360" s="24">
        <v>252.5625</v>
      </c>
      <c r="J360" s="24">
        <v>6.5625</v>
      </c>
      <c r="K360" s="24">
        <v>0.33333333333333331</v>
      </c>
      <c r="L360" s="24">
        <v>19.350000000000005</v>
      </c>
      <c r="M360" s="10">
        <v>0.53633439450765186</v>
      </c>
      <c r="N360" s="25">
        <v>0.35749999999999998</v>
      </c>
      <c r="O360" s="25">
        <v>0.49739583333333354</v>
      </c>
      <c r="P360" s="25">
        <v>0.55499999999999938</v>
      </c>
      <c r="Q360" s="25">
        <v>0.58139583333333344</v>
      </c>
      <c r="R360" s="25">
        <v>0.56577083333333344</v>
      </c>
      <c r="S360" s="25">
        <v>0.44170833333333331</v>
      </c>
      <c r="T360" s="25">
        <v>0.44183333333333358</v>
      </c>
      <c r="U360" s="25">
        <v>0.38654166666666656</v>
      </c>
      <c r="V360" s="25">
        <v>-34.482708333333328</v>
      </c>
      <c r="W360" s="25">
        <v>-70.056666666666672</v>
      </c>
      <c r="X360" s="25">
        <v>-18.754791666666662</v>
      </c>
      <c r="Y360" s="25">
        <v>-20.368125000000006</v>
      </c>
      <c r="Z360" s="25">
        <v>-32.432708333333338</v>
      </c>
      <c r="AA360" s="25">
        <v>-23.040833333333335</v>
      </c>
      <c r="AB360" s="25">
        <v>-22.881041666666665</v>
      </c>
      <c r="AC360" s="25">
        <v>-20.6175</v>
      </c>
      <c r="AD360" s="25">
        <v>-29.441666666666666</v>
      </c>
      <c r="AE360" s="25">
        <v>-21.035416666666663</v>
      </c>
      <c r="AF360" s="25">
        <v>-13.345833333333333</v>
      </c>
      <c r="AG360" s="25">
        <v>-12.485416666666671</v>
      </c>
      <c r="AH360" s="25">
        <v>-73.589583333333337</v>
      </c>
      <c r="AI360" s="25">
        <v>-26.231250000000003</v>
      </c>
      <c r="AJ360" s="25">
        <v>-11.808333333333335</v>
      </c>
      <c r="AK360" s="25">
        <v>-21.247916666666672</v>
      </c>
      <c r="AL360" s="25">
        <v>21.858333333333338</v>
      </c>
      <c r="AM360" s="25">
        <v>21.402083333333319</v>
      </c>
      <c r="AN360" s="25">
        <v>21</v>
      </c>
      <c r="AO360" s="25">
        <v>20.814583333333317</v>
      </c>
      <c r="AP360" s="25">
        <v>22.020833333333329</v>
      </c>
      <c r="AQ360" s="25">
        <v>21.731249999999999</v>
      </c>
      <c r="AR360" s="25">
        <v>21.381249999999984</v>
      </c>
      <c r="AS360" s="25">
        <v>21.204166666666669</v>
      </c>
      <c r="AT360" s="25">
        <v>0.38252083333333337</v>
      </c>
      <c r="AU360" s="25">
        <v>0.17812499999999998</v>
      </c>
      <c r="AV360" s="25">
        <v>0.31508333333333333</v>
      </c>
      <c r="AW360" s="25">
        <v>-32.162291666666661</v>
      </c>
      <c r="AX360" s="25">
        <v>-36.123124999999995</v>
      </c>
      <c r="AY360" s="25">
        <v>-44.596249999999998</v>
      </c>
      <c r="AZ360" s="25"/>
      <c r="BA360" s="25">
        <v>-57.98749999999999</v>
      </c>
      <c r="BB360" s="25">
        <v>-74.235416666666637</v>
      </c>
      <c r="BC360" s="25"/>
      <c r="BD360" s="25">
        <v>22.516666666666662</v>
      </c>
      <c r="BE360" s="25">
        <v>22.679166666666674</v>
      </c>
    </row>
    <row r="361" spans="1:57" x14ac:dyDescent="0.25">
      <c r="A361" s="1">
        <v>32.6</v>
      </c>
      <c r="B361" s="1">
        <v>17.5</v>
      </c>
      <c r="C361" s="22"/>
      <c r="D361" s="23">
        <v>44068</v>
      </c>
      <c r="E361" s="24">
        <v>285.14583333333331</v>
      </c>
      <c r="F361" s="24">
        <v>65.58541666666666</v>
      </c>
      <c r="G361" s="24">
        <v>23.722916666666659</v>
      </c>
      <c r="H361" s="24">
        <v>0</v>
      </c>
      <c r="I361" s="24">
        <v>187.20833333333334</v>
      </c>
      <c r="J361" s="24">
        <v>3.6458333333333335</v>
      </c>
      <c r="K361" s="24">
        <v>0</v>
      </c>
      <c r="L361" s="24">
        <v>16.085416666666667</v>
      </c>
      <c r="M361" s="10">
        <v>1.2245262537789239</v>
      </c>
      <c r="N361" s="25">
        <v>0.33356250000000015</v>
      </c>
      <c r="O361" s="25">
        <v>0.47997916666666668</v>
      </c>
      <c r="P361" s="25">
        <v>0.5425416666666667</v>
      </c>
      <c r="Q361" s="25">
        <v>0.56689583333333304</v>
      </c>
      <c r="R361" s="25">
        <v>0.54737500000000006</v>
      </c>
      <c r="S361" s="25">
        <v>0.42597916666666663</v>
      </c>
      <c r="T361" s="25">
        <v>0.42952083333333335</v>
      </c>
      <c r="U361" s="25">
        <v>0.37812499999999988</v>
      </c>
      <c r="V361" s="25">
        <v>-42.775208333333346</v>
      </c>
      <c r="W361" s="25">
        <v>-91.399999999999991</v>
      </c>
      <c r="X361" s="25">
        <v>-24.59333333333333</v>
      </c>
      <c r="Y361" s="25">
        <v>-26.649166666666673</v>
      </c>
      <c r="Z361" s="25">
        <v>-40.359791666666673</v>
      </c>
      <c r="AA361" s="25">
        <v>-27.371666666666666</v>
      </c>
      <c r="AB361" s="25">
        <v>-28.118333333333325</v>
      </c>
      <c r="AC361" s="25">
        <v>-27.508541666666659</v>
      </c>
      <c r="AD361" s="25">
        <v>-44.291666666666664</v>
      </c>
      <c r="AE361" s="25">
        <v>-30.002083333333328</v>
      </c>
      <c r="AF361" s="25">
        <v>-20.818750000000005</v>
      </c>
      <c r="AG361" s="25">
        <v>-16.316666666666666</v>
      </c>
      <c r="AH361" s="25">
        <v>-176.0916666666667</v>
      </c>
      <c r="AI361" s="25">
        <v>-47.770833333333314</v>
      </c>
      <c r="AJ361" s="25">
        <v>-17.083333333333332</v>
      </c>
      <c r="AK361" s="25">
        <v>-33.99583333333333</v>
      </c>
      <c r="AL361" s="25">
        <v>21.654166666666669</v>
      </c>
      <c r="AM361" s="25">
        <v>21.356250000000003</v>
      </c>
      <c r="AN361" s="25">
        <v>21.037500000000001</v>
      </c>
      <c r="AO361" s="25">
        <v>20.899999999999984</v>
      </c>
      <c r="AP361" s="25">
        <v>21.827083333333338</v>
      </c>
      <c r="AQ361" s="25">
        <v>21.622916666666665</v>
      </c>
      <c r="AR361" s="25">
        <v>21.339583333333337</v>
      </c>
      <c r="AS361" s="25">
        <v>21.202083333333341</v>
      </c>
      <c r="AT361" s="25">
        <v>0.36048936170212759</v>
      </c>
      <c r="AU361" s="25">
        <v>0.16068749999999996</v>
      </c>
      <c r="AV361" s="25">
        <v>0.29091666666666671</v>
      </c>
      <c r="AW361" s="25">
        <v>-41.651458333333331</v>
      </c>
      <c r="AX361" s="25">
        <v>-44.953124999999993</v>
      </c>
      <c r="AY361" s="25">
        <v>-73.902307692307687</v>
      </c>
      <c r="AZ361" s="25"/>
      <c r="BA361" s="25">
        <v>-155.67083333333335</v>
      </c>
      <c r="BB361" s="25">
        <v>-182.4708333333333</v>
      </c>
      <c r="BC361" s="25"/>
      <c r="BD361" s="25">
        <v>22.464583333333334</v>
      </c>
      <c r="BE361" s="25">
        <v>22.643750000000001</v>
      </c>
    </row>
    <row r="362" spans="1:57" x14ac:dyDescent="0.25">
      <c r="A362" s="1">
        <v>33.4</v>
      </c>
      <c r="B362" s="1">
        <v>15.4</v>
      </c>
      <c r="C362" s="22"/>
      <c r="D362" s="23">
        <v>44069</v>
      </c>
      <c r="E362" s="24">
        <v>289.1875</v>
      </c>
      <c r="F362" s="24">
        <v>57.204166666666687</v>
      </c>
      <c r="G362" s="24">
        <v>23.818749999999998</v>
      </c>
      <c r="H362" s="24">
        <v>0</v>
      </c>
      <c r="I362" s="24">
        <v>248.85416666666666</v>
      </c>
      <c r="J362" s="24">
        <v>2.5208333333333335</v>
      </c>
      <c r="K362" s="24">
        <v>2.0833333333333332E-2</v>
      </c>
      <c r="L362" s="24">
        <v>14.05208333333333</v>
      </c>
      <c r="M362" s="10">
        <v>1.5071725417553348</v>
      </c>
      <c r="N362" s="25">
        <v>0.3035208333333333</v>
      </c>
      <c r="O362" s="25">
        <v>0.45235416666666667</v>
      </c>
      <c r="P362" s="25">
        <v>0.52116666666666689</v>
      </c>
      <c r="Q362" s="25">
        <v>0.54187499999999988</v>
      </c>
      <c r="R362" s="25">
        <v>0.51952083333333354</v>
      </c>
      <c r="S362" s="25">
        <v>0.39912500000000001</v>
      </c>
      <c r="T362" s="25">
        <v>0.40872916666666653</v>
      </c>
      <c r="U362" s="25">
        <v>0.36293749999999997</v>
      </c>
      <c r="V362" s="25">
        <v>-51.894166666666671</v>
      </c>
      <c r="W362" s="25">
        <v>-116.39583333333336</v>
      </c>
      <c r="X362" s="25">
        <v>-33.576041666666669</v>
      </c>
      <c r="Y362" s="25">
        <v>-33.925000000000004</v>
      </c>
      <c r="Z362" s="25">
        <v>-48.752083333333331</v>
      </c>
      <c r="AA362" s="25">
        <v>-33.05937500000001</v>
      </c>
      <c r="AB362" s="25">
        <v>-36.569375000000008</v>
      </c>
      <c r="AC362" s="25">
        <v>-38.094999999999999</v>
      </c>
      <c r="AD362" s="25">
        <v>-91.516666666666666</v>
      </c>
      <c r="AE362" s="25">
        <v>-60.177083333333343</v>
      </c>
      <c r="AF362" s="25">
        <v>-37.737500000000004</v>
      </c>
      <c r="AG362" s="25">
        <v>-27.418749999999999</v>
      </c>
      <c r="AH362" s="25">
        <v>-369.75208333333336</v>
      </c>
      <c r="AI362" s="25">
        <v>-92.9375</v>
      </c>
      <c r="AJ362" s="25">
        <v>-29.439583333333335</v>
      </c>
      <c r="AK362" s="25">
        <v>-59.79375000000001</v>
      </c>
      <c r="AL362" s="25">
        <v>21.408333333333335</v>
      </c>
      <c r="AM362" s="25">
        <v>21.227083333333336</v>
      </c>
      <c r="AN362" s="25">
        <v>20.960416666666656</v>
      </c>
      <c r="AO362" s="25">
        <v>20.864583333333311</v>
      </c>
      <c r="AP362" s="25">
        <v>21.416666666666671</v>
      </c>
      <c r="AQ362" s="25">
        <v>21.416666666666657</v>
      </c>
      <c r="AR362" s="25">
        <v>21.231249999999999</v>
      </c>
      <c r="AS362" s="25">
        <v>21.122916666666669</v>
      </c>
      <c r="AT362" s="25">
        <v>0.32519148936170211</v>
      </c>
      <c r="AU362" s="25">
        <v>0.14332258064516132</v>
      </c>
      <c r="AV362" s="25">
        <v>0.26566666666666672</v>
      </c>
      <c r="AW362" s="25">
        <v>-46.822291666666672</v>
      </c>
      <c r="AX362" s="25">
        <v>-55.352083333333326</v>
      </c>
      <c r="AY362" s="25">
        <v>-83.005813953488371</v>
      </c>
      <c r="AZ362" s="25"/>
      <c r="BA362" s="25">
        <v>-495.57083333333338</v>
      </c>
      <c r="BB362" s="25">
        <v>-333.73124999999999</v>
      </c>
      <c r="BC362" s="25"/>
      <c r="BD362" s="25">
        <v>21.958333333333343</v>
      </c>
      <c r="BE362" s="25">
        <v>22.472916666666663</v>
      </c>
    </row>
    <row r="363" spans="1:57" x14ac:dyDescent="0.25">
      <c r="A363" s="1">
        <v>30.3</v>
      </c>
      <c r="B363" s="1">
        <v>16.899999999999999</v>
      </c>
      <c r="C363" s="22"/>
      <c r="D363" s="23">
        <v>44070</v>
      </c>
      <c r="E363" s="24">
        <v>273.64583333333331</v>
      </c>
      <c r="F363" s="24">
        <v>66.533333333333331</v>
      </c>
      <c r="G363" s="24">
        <v>23.885416666666671</v>
      </c>
      <c r="H363" s="24">
        <v>0</v>
      </c>
      <c r="I363" s="24">
        <v>207.10416666666666</v>
      </c>
      <c r="J363" s="24">
        <v>6.0625</v>
      </c>
      <c r="K363" s="24">
        <v>0.875</v>
      </c>
      <c r="L363" s="24">
        <v>16.889583333333334</v>
      </c>
      <c r="M363" s="10">
        <v>1.1256118135842317</v>
      </c>
      <c r="N363" s="25">
        <v>0.28310416666666671</v>
      </c>
      <c r="O363" s="25">
        <v>0.42620833333333352</v>
      </c>
      <c r="P363" s="25">
        <v>0.50129166666666669</v>
      </c>
      <c r="Q363" s="25">
        <v>0.51458333333333339</v>
      </c>
      <c r="R363" s="25">
        <v>0.49579166666666641</v>
      </c>
      <c r="S363" s="25">
        <v>0.37829166666666664</v>
      </c>
      <c r="T363" s="25">
        <v>0.38972916666666663</v>
      </c>
      <c r="U363" s="25">
        <v>0.34939583333333329</v>
      </c>
      <c r="V363" s="25">
        <v>-61.099374999999988</v>
      </c>
      <c r="W363" s="25">
        <v>-141.09375</v>
      </c>
      <c r="X363" s="25">
        <v>-42.771458333333335</v>
      </c>
      <c r="Y363" s="25">
        <v>-39.993541666666658</v>
      </c>
      <c r="Z363" s="25">
        <v>-55.827499999999993</v>
      </c>
      <c r="AA363" s="25">
        <v>-39.71041666666666</v>
      </c>
      <c r="AB363" s="25">
        <v>-44.330416666666657</v>
      </c>
      <c r="AC363" s="25">
        <v>-48.759999999999991</v>
      </c>
      <c r="AD363" s="25">
        <v>-191.29166666666666</v>
      </c>
      <c r="AE363" s="25">
        <v>-141.92916666666667</v>
      </c>
      <c r="AF363" s="25">
        <v>-78.11666666666666</v>
      </c>
      <c r="AG363" s="25">
        <v>-44.037499999999994</v>
      </c>
      <c r="AH363" s="25">
        <v>-549.05416666666667</v>
      </c>
      <c r="AI363" s="25">
        <v>-201.96041666666667</v>
      </c>
      <c r="AJ363" s="25">
        <v>-63.208333333333336</v>
      </c>
      <c r="AK363" s="25">
        <v>-162.55833333333337</v>
      </c>
      <c r="AL363" s="25">
        <v>21.654166666666658</v>
      </c>
      <c r="AM363" s="25">
        <v>21.243750000000002</v>
      </c>
      <c r="AN363" s="25">
        <v>20.935416666666654</v>
      </c>
      <c r="AO363" s="25">
        <v>20.799999999999979</v>
      </c>
      <c r="AP363" s="25">
        <v>21.816666666666674</v>
      </c>
      <c r="AQ363" s="25">
        <v>21.537500000000005</v>
      </c>
      <c r="AR363" s="25">
        <v>21.260416666666668</v>
      </c>
      <c r="AS363" s="25">
        <v>21.125000000000007</v>
      </c>
      <c r="AT363" s="25">
        <v>0.29036170212765972</v>
      </c>
      <c r="AU363" s="25">
        <v>0.13099999999999998</v>
      </c>
      <c r="AV363" s="25">
        <v>0.25049999999999989</v>
      </c>
      <c r="AW363" s="25">
        <v>-60.860833333333339</v>
      </c>
      <c r="AX363" s="25">
        <v>-67.219791666666666</v>
      </c>
      <c r="AY363" s="25">
        <v>-93.045161290322568</v>
      </c>
      <c r="AZ363" s="25"/>
      <c r="BA363" s="25">
        <v>-847.50625000000002</v>
      </c>
      <c r="BB363" s="25">
        <v>-422.03958333333338</v>
      </c>
      <c r="BC363" s="25"/>
      <c r="BD363" s="25">
        <v>22.568750000000005</v>
      </c>
      <c r="BE363" s="25">
        <v>22.8125</v>
      </c>
    </row>
    <row r="364" spans="1:57" x14ac:dyDescent="0.25">
      <c r="A364" s="1">
        <v>28.8</v>
      </c>
      <c r="B364" s="1">
        <v>19.899999999999999</v>
      </c>
      <c r="C364" s="22"/>
      <c r="D364" s="23">
        <v>44071</v>
      </c>
      <c r="E364" s="24">
        <v>170.875</v>
      </c>
      <c r="F364" s="24">
        <v>73.760416666666686</v>
      </c>
      <c r="G364" s="24">
        <v>23.887499999999999</v>
      </c>
      <c r="H364" s="24">
        <v>0</v>
      </c>
      <c r="I364" s="24">
        <v>229.08333333333334</v>
      </c>
      <c r="J364" s="24">
        <v>6.979166666666667</v>
      </c>
      <c r="K364" s="24">
        <v>0.5625</v>
      </c>
      <c r="L364" s="24">
        <v>18.835416666666667</v>
      </c>
      <c r="M364" s="10">
        <v>0.813013433523889</v>
      </c>
      <c r="N364" s="25">
        <v>0.27039583333333334</v>
      </c>
      <c r="O364" s="25">
        <v>0.40527083333333302</v>
      </c>
      <c r="P364" s="25">
        <v>0.48462500000000025</v>
      </c>
      <c r="Q364" s="25">
        <v>0.49318750000000017</v>
      </c>
      <c r="R364" s="25">
        <v>0.47854166666666659</v>
      </c>
      <c r="S364" s="25">
        <v>0.3635000000000001</v>
      </c>
      <c r="T364" s="25">
        <v>0.37539583333333321</v>
      </c>
      <c r="U364" s="25">
        <v>0.33777083333333341</v>
      </c>
      <c r="V364" s="25">
        <v>-67.476458333333326</v>
      </c>
      <c r="W364" s="25">
        <v>-161.53125000000003</v>
      </c>
      <c r="X364" s="25">
        <v>-50.918749999999989</v>
      </c>
      <c r="Y364" s="25">
        <v>-45.354374999999997</v>
      </c>
      <c r="Z364" s="25">
        <v>-60.620208333333331</v>
      </c>
      <c r="AA364" s="25">
        <v>-46.973333333333336</v>
      </c>
      <c r="AB364" s="25">
        <v>-50.71541666666667</v>
      </c>
      <c r="AC364" s="25">
        <v>-57.016666666666673</v>
      </c>
      <c r="AD364" s="25">
        <v>-331.15208333333339</v>
      </c>
      <c r="AE364" s="25">
        <v>-272.16458333333327</v>
      </c>
      <c r="AF364" s="25">
        <v>-161.20624999999998</v>
      </c>
      <c r="AG364" s="25">
        <v>-81.158333333333346</v>
      </c>
      <c r="AH364" s="25">
        <v>-726.79583333333346</v>
      </c>
      <c r="AI364" s="25">
        <v>-374.1875</v>
      </c>
      <c r="AJ364" s="25">
        <v>-153.94374999999997</v>
      </c>
      <c r="AK364" s="25">
        <v>-416.62083333333334</v>
      </c>
      <c r="AL364" s="25">
        <v>21.952083333333331</v>
      </c>
      <c r="AM364" s="25">
        <v>21.431249999999988</v>
      </c>
      <c r="AN364" s="25">
        <v>21.008333333333336</v>
      </c>
      <c r="AO364" s="25">
        <v>20.872916666666651</v>
      </c>
      <c r="AP364" s="25">
        <v>22.093750000000004</v>
      </c>
      <c r="AQ364" s="25">
        <v>21.760416666666671</v>
      </c>
      <c r="AR364" s="25">
        <v>21.429166666666656</v>
      </c>
      <c r="AS364" s="25">
        <v>21.268750000000008</v>
      </c>
      <c r="AT364" s="25">
        <v>0.26093749999999999</v>
      </c>
      <c r="AU364" s="25">
        <v>0.12256249999999996</v>
      </c>
      <c r="AV364" s="25">
        <v>0.24143749999999986</v>
      </c>
      <c r="AW364" s="25">
        <v>-78.224166666666676</v>
      </c>
      <c r="AX364" s="25">
        <v>-79.542291666666685</v>
      </c>
      <c r="AY364" s="25"/>
      <c r="AZ364" s="25"/>
      <c r="BA364" s="25">
        <v>-1175.2291666666667</v>
      </c>
      <c r="BB364" s="25">
        <v>-478.0833333333332</v>
      </c>
      <c r="BC364" s="25"/>
      <c r="BD364" s="25">
        <v>22.939583333333328</v>
      </c>
      <c r="BE364" s="25">
        <v>23.262500000000003</v>
      </c>
    </row>
    <row r="365" spans="1:57" x14ac:dyDescent="0.25">
      <c r="A365" s="1">
        <v>29.4</v>
      </c>
      <c r="B365" s="1">
        <v>16.5</v>
      </c>
      <c r="C365" s="22"/>
      <c r="D365" s="23">
        <v>44072</v>
      </c>
      <c r="E365" s="24">
        <v>225.125</v>
      </c>
      <c r="F365" s="24">
        <v>78.779166666666683</v>
      </c>
      <c r="G365" s="24">
        <v>22.454166666666662</v>
      </c>
      <c r="H365" s="24">
        <v>6.6</v>
      </c>
      <c r="I365" s="24">
        <v>237.25</v>
      </c>
      <c r="J365" s="24">
        <v>6.666666666666667</v>
      </c>
      <c r="K365" s="24">
        <v>0.27083333333333331</v>
      </c>
      <c r="L365" s="24">
        <v>18.389583333333331</v>
      </c>
      <c r="M365" s="10">
        <v>0.65231515662623962</v>
      </c>
      <c r="N365" s="25">
        <v>0.26379166666666681</v>
      </c>
      <c r="O365" s="25">
        <v>0.39104166666666673</v>
      </c>
      <c r="P365" s="25">
        <v>0.47187499999999999</v>
      </c>
      <c r="Q365" s="25">
        <v>0.47825000000000001</v>
      </c>
      <c r="R365" s="25">
        <v>0.48908333333333331</v>
      </c>
      <c r="S365" s="25">
        <v>0.35560416666666667</v>
      </c>
      <c r="T365" s="25">
        <v>0.36708333333333337</v>
      </c>
      <c r="U365" s="25">
        <v>0.32945833333333324</v>
      </c>
      <c r="V365" s="25">
        <v>-75.717500000000015</v>
      </c>
      <c r="W365" s="25">
        <v>-178.23125000000002</v>
      </c>
      <c r="X365" s="25">
        <v>-58.55937500000001</v>
      </c>
      <c r="Y365" s="25">
        <v>-50.248125000000009</v>
      </c>
      <c r="Z365" s="25">
        <v>-68.4375</v>
      </c>
      <c r="AA365" s="25">
        <v>-54.227499999999985</v>
      </c>
      <c r="AB365" s="25">
        <v>-55.873333333333328</v>
      </c>
      <c r="AC365" s="25">
        <v>-63.468333333333312</v>
      </c>
      <c r="AD365" s="25">
        <v>-444.45625000000001</v>
      </c>
      <c r="AE365" s="25">
        <v>-371.38124999999991</v>
      </c>
      <c r="AF365" s="25">
        <v>-242.58333333333329</v>
      </c>
      <c r="AG365" s="25">
        <v>-130.26874999999998</v>
      </c>
      <c r="AH365" s="25">
        <v>-715.93958333333319</v>
      </c>
      <c r="AI365" s="25">
        <v>-514.55624999999998</v>
      </c>
      <c r="AJ365" s="25">
        <v>-333.15208333333322</v>
      </c>
      <c r="AK365" s="25">
        <v>-710.49791666666658</v>
      </c>
      <c r="AL365" s="25">
        <v>21.839583333333326</v>
      </c>
      <c r="AM365" s="25">
        <v>21.472916666666652</v>
      </c>
      <c r="AN365" s="25">
        <v>21.087500000000013</v>
      </c>
      <c r="AO365" s="25">
        <v>20.916666666666654</v>
      </c>
      <c r="AP365" s="25">
        <v>21.90625</v>
      </c>
      <c r="AQ365" s="25">
        <v>21.731249999999999</v>
      </c>
      <c r="AR365" s="25">
        <v>21.449999999999992</v>
      </c>
      <c r="AS365" s="25">
        <v>21.3125</v>
      </c>
      <c r="AT365" s="25">
        <v>0.25587500000000002</v>
      </c>
      <c r="AU365" s="25">
        <v>0.13133333333333333</v>
      </c>
      <c r="AV365" s="25">
        <v>0.25972916666666651</v>
      </c>
      <c r="AW365" s="25">
        <v>-84.029166666666654</v>
      </c>
      <c r="AX365" s="25">
        <v>-49.505416666666662</v>
      </c>
      <c r="AY365" s="25">
        <v>-129.90374999999997</v>
      </c>
      <c r="AZ365" s="25"/>
      <c r="BA365" s="25">
        <v>-503.28749999999997</v>
      </c>
      <c r="BB365" s="25">
        <v>-494.48333333333312</v>
      </c>
      <c r="BC365" s="25"/>
      <c r="BD365" s="25">
        <v>22.527083333333323</v>
      </c>
      <c r="BE365" s="25">
        <v>23.145833333333339</v>
      </c>
    </row>
    <row r="366" spans="1:57" x14ac:dyDescent="0.25">
      <c r="A366" s="1">
        <v>29.1</v>
      </c>
      <c r="B366" s="1">
        <v>20.100000000000001</v>
      </c>
      <c r="C366" s="22"/>
      <c r="D366" s="23">
        <v>44073</v>
      </c>
      <c r="E366" s="24">
        <v>225.77083333333334</v>
      </c>
      <c r="F366" s="24">
        <v>76.106249999999989</v>
      </c>
      <c r="G366" s="24">
        <v>23.6875</v>
      </c>
      <c r="H366" s="24">
        <v>0</v>
      </c>
      <c r="I366" s="24">
        <v>234</v>
      </c>
      <c r="J366" s="24">
        <v>7.708333333333333</v>
      </c>
      <c r="K366" s="24">
        <v>0.52083333333333337</v>
      </c>
      <c r="L366" s="24">
        <v>18.987500000000001</v>
      </c>
      <c r="M366" s="10">
        <v>0.77439546046441043</v>
      </c>
      <c r="N366" s="25">
        <v>0.25979166666666659</v>
      </c>
      <c r="O366" s="25">
        <v>0.37970833333333348</v>
      </c>
      <c r="P366" s="25">
        <v>0.45962499999999978</v>
      </c>
      <c r="Q366" s="25">
        <v>0.46589583333333318</v>
      </c>
      <c r="R366" s="25">
        <v>0.47245833333333337</v>
      </c>
      <c r="S366" s="25">
        <v>0.34960416666666672</v>
      </c>
      <c r="T366" s="25">
        <v>0.36062500000000003</v>
      </c>
      <c r="U366" s="25">
        <v>0.32231250000000006</v>
      </c>
      <c r="V366" s="25">
        <v>-84.206250000000026</v>
      </c>
      <c r="W366" s="25">
        <v>-198.46666666666661</v>
      </c>
      <c r="X366" s="25">
        <v>-64.850416666666661</v>
      </c>
      <c r="Y366" s="25">
        <v>-54.502499999999998</v>
      </c>
      <c r="Z366" s="25">
        <v>-75.28229166666668</v>
      </c>
      <c r="AA366" s="25">
        <v>-60.687708333333326</v>
      </c>
      <c r="AB366" s="25">
        <v>-59.786666666666683</v>
      </c>
      <c r="AC366" s="25">
        <v>-68.644999999999996</v>
      </c>
      <c r="AD366" s="25">
        <v>-513.74583333333328</v>
      </c>
      <c r="AE366" s="25">
        <v>-454.98749999999995</v>
      </c>
      <c r="AF366" s="25">
        <v>-340.11041666666671</v>
      </c>
      <c r="AG366" s="25">
        <v>-190.45833333333337</v>
      </c>
      <c r="AH366" s="25">
        <v>-712.53749999999991</v>
      </c>
      <c r="AI366" s="25">
        <v>-606.07291666666652</v>
      </c>
      <c r="AJ366" s="25">
        <v>-544.03541666666649</v>
      </c>
      <c r="AK366" s="25">
        <v>-1006.6458333333334</v>
      </c>
      <c r="AL366" s="25">
        <v>22.060416666666672</v>
      </c>
      <c r="AM366" s="25">
        <v>21.539583333333336</v>
      </c>
      <c r="AN366" s="25">
        <v>21.106250000000017</v>
      </c>
      <c r="AO366" s="25">
        <v>20.981249999999999</v>
      </c>
      <c r="AP366" s="25">
        <v>22.291666666666661</v>
      </c>
      <c r="AQ366" s="25">
        <v>21.872916666666683</v>
      </c>
      <c r="AR366" s="25">
        <v>21.525000000000002</v>
      </c>
      <c r="AS366" s="25">
        <v>21.352083333333315</v>
      </c>
      <c r="AT366" s="25">
        <v>0.24229166666666668</v>
      </c>
      <c r="AU366" s="25">
        <v>0.14199999999999999</v>
      </c>
      <c r="AV366" s="25">
        <v>0.25104166666666655</v>
      </c>
      <c r="AW366" s="25">
        <v>-91.439583333333303</v>
      </c>
      <c r="AX366" s="25">
        <v>-58.368333333333339</v>
      </c>
      <c r="AY366" s="25">
        <v>-165.19318181818178</v>
      </c>
      <c r="AZ366" s="25"/>
      <c r="BA366" s="25">
        <v>-800.81875000000002</v>
      </c>
      <c r="BB366" s="25">
        <v>-491.84583333333347</v>
      </c>
      <c r="BC366" s="25"/>
      <c r="BD366" s="25">
        <v>22.997916666666669</v>
      </c>
      <c r="BE366" s="25">
        <v>23.362499999999997</v>
      </c>
    </row>
    <row r="367" spans="1:57" x14ac:dyDescent="0.25">
      <c r="A367" s="1">
        <v>31.5</v>
      </c>
      <c r="B367" s="1">
        <v>18.600000000000001</v>
      </c>
      <c r="C367" s="22"/>
      <c r="D367" s="23">
        <v>44074</v>
      </c>
      <c r="E367" s="24">
        <v>240.25</v>
      </c>
      <c r="F367" s="24">
        <v>69.504166666666649</v>
      </c>
      <c r="G367" s="24">
        <v>24.241666666666664</v>
      </c>
      <c r="H367" s="24">
        <v>0</v>
      </c>
      <c r="I367" s="24">
        <v>231.79166666666666</v>
      </c>
      <c r="J367" s="24">
        <v>3.9166666666666665</v>
      </c>
      <c r="K367" s="24">
        <v>0.14583333333333334</v>
      </c>
      <c r="L367" s="24">
        <v>17.881249999999998</v>
      </c>
      <c r="M367" s="10">
        <v>1.0534122207005441</v>
      </c>
      <c r="N367" s="25">
        <v>0.25452083333333353</v>
      </c>
      <c r="O367" s="25">
        <v>0.36708333333333348</v>
      </c>
      <c r="P367" s="25">
        <v>0.44768750000000007</v>
      </c>
      <c r="Q367" s="25">
        <v>0.45297916666666693</v>
      </c>
      <c r="R367" s="25">
        <v>0.4542500000000001</v>
      </c>
      <c r="S367" s="25">
        <v>0.34316666666666662</v>
      </c>
      <c r="T367" s="25">
        <v>0.35310416666666661</v>
      </c>
      <c r="U367" s="25">
        <v>0.31443750000000015</v>
      </c>
      <c r="V367" s="25">
        <v>-95.593750000000014</v>
      </c>
      <c r="W367" s="25">
        <v>-221.88541666666666</v>
      </c>
      <c r="X367" s="25">
        <v>-71.843125000000001</v>
      </c>
      <c r="Y367" s="25">
        <v>-57.52</v>
      </c>
      <c r="Z367" s="25">
        <v>-84.660416666666677</v>
      </c>
      <c r="AA367" s="25">
        <v>-66.023958333333354</v>
      </c>
      <c r="AB367" s="25">
        <v>-62.561458333333327</v>
      </c>
      <c r="AC367" s="25">
        <v>-72.33645833333334</v>
      </c>
      <c r="AD367" s="25">
        <v>-607.06875000000002</v>
      </c>
      <c r="AE367" s="25">
        <v>-570.97291666666649</v>
      </c>
      <c r="AF367" s="25">
        <v>-488.26874999999995</v>
      </c>
      <c r="AG367" s="25">
        <v>-262.83958333333328</v>
      </c>
      <c r="AH367" s="25">
        <v>-762.22083333333342</v>
      </c>
      <c r="AI367" s="25">
        <v>-720.32916666666654</v>
      </c>
      <c r="AJ367" s="25">
        <v>-760.23958333333337</v>
      </c>
      <c r="AK367" s="25">
        <v>-1416.875</v>
      </c>
      <c r="AL367" s="25">
        <v>22.150000000000006</v>
      </c>
      <c r="AM367" s="25">
        <v>21.637500000000003</v>
      </c>
      <c r="AN367" s="25">
        <v>21.200000000000021</v>
      </c>
      <c r="AO367" s="25">
        <v>21</v>
      </c>
      <c r="AP367" s="25">
        <v>22.316666666666666</v>
      </c>
      <c r="AQ367" s="25">
        <v>21.954166666666666</v>
      </c>
      <c r="AR367" s="25">
        <v>21.608333333333334</v>
      </c>
      <c r="AS367" s="25">
        <v>21.431249999999988</v>
      </c>
      <c r="AT367" s="25">
        <v>0.22531249999999994</v>
      </c>
      <c r="AU367" s="25">
        <v>0.12542857142857142</v>
      </c>
      <c r="AV367" s="25">
        <v>0.24127083333333335</v>
      </c>
      <c r="AW367" s="25">
        <v>-110.80833333333332</v>
      </c>
      <c r="AX367" s="25">
        <v>-79.033125000000013</v>
      </c>
      <c r="AY367" s="25">
        <v>-170.50000000000003</v>
      </c>
      <c r="AZ367" s="25"/>
      <c r="BA367" s="25">
        <v>-1184.625</v>
      </c>
      <c r="BB367" s="25">
        <v>-512.36666666666656</v>
      </c>
      <c r="BC367" s="25"/>
      <c r="BD367" s="25">
        <v>22.854166666666668</v>
      </c>
      <c r="BE367" s="25">
        <v>23.389583333333334</v>
      </c>
    </row>
    <row r="368" spans="1:57" x14ac:dyDescent="0.25">
      <c r="A368" s="1">
        <v>31.4</v>
      </c>
      <c r="B368" s="1">
        <v>18.399999999999999</v>
      </c>
      <c r="C368" s="22"/>
      <c r="D368" s="23">
        <v>44075</v>
      </c>
      <c r="E368" s="24">
        <v>191.91666666666666</v>
      </c>
      <c r="F368" s="24">
        <v>72.070833333333354</v>
      </c>
      <c r="G368" s="24">
        <v>23.881250000000005</v>
      </c>
      <c r="H368" s="24">
        <v>0</v>
      </c>
      <c r="I368" s="24">
        <v>225.02083333333334</v>
      </c>
      <c r="J368" s="24">
        <v>3.0833333333333335</v>
      </c>
      <c r="K368" s="24">
        <v>0.14583333333333334</v>
      </c>
      <c r="L368" s="24">
        <v>18.164583333333329</v>
      </c>
      <c r="M368" s="10">
        <v>0.94910748691109825</v>
      </c>
      <c r="N368" s="25">
        <v>0.24997916666666645</v>
      </c>
      <c r="O368" s="25">
        <v>0.3570208333333334</v>
      </c>
      <c r="P368" s="25">
        <v>0.43810416666666679</v>
      </c>
      <c r="Q368" s="25">
        <v>0.44197916666666703</v>
      </c>
      <c r="R368" s="25">
        <v>0.44227083333333334</v>
      </c>
      <c r="S368" s="25">
        <v>0.33752083333333366</v>
      </c>
      <c r="T368" s="25">
        <v>0.34672916666666675</v>
      </c>
      <c r="U368" s="25">
        <v>0.30762499999999998</v>
      </c>
      <c r="V368" s="25">
        <v>-111.70833333333333</v>
      </c>
      <c r="W368" s="25">
        <v>-248.71041666666676</v>
      </c>
      <c r="X368" s="25">
        <v>-79.784999999999982</v>
      </c>
      <c r="Y368" s="25">
        <v>-61.01874999999999</v>
      </c>
      <c r="Z368" s="25">
        <v>-98.095833333333346</v>
      </c>
      <c r="AA368" s="25">
        <v>-71.410833333333301</v>
      </c>
      <c r="AB368" s="25">
        <v>-67.00937500000002</v>
      </c>
      <c r="AC368" s="25">
        <v>-76.335833333333341</v>
      </c>
      <c r="AD368" s="25">
        <v>-706.1270833333333</v>
      </c>
      <c r="AE368" s="25">
        <v>-673.12499999999989</v>
      </c>
      <c r="AF368" s="25">
        <v>-644.03750000000002</v>
      </c>
      <c r="AG368" s="25">
        <v>-318.375</v>
      </c>
      <c r="AH368" s="25">
        <v>-828.93124999999998</v>
      </c>
      <c r="AI368" s="25">
        <v>-827.67500000000007</v>
      </c>
      <c r="AJ368" s="25">
        <v>-990.16666666666663</v>
      </c>
      <c r="AK368" s="25">
        <v>-1904.3333333333333</v>
      </c>
      <c r="AL368" s="25">
        <v>22.097916666666674</v>
      </c>
      <c r="AM368" s="25">
        <v>21.664583333333336</v>
      </c>
      <c r="AN368" s="25">
        <v>21.247916666666686</v>
      </c>
      <c r="AO368" s="25">
        <v>21.087500000000016</v>
      </c>
      <c r="AP368" s="25">
        <v>22.2</v>
      </c>
      <c r="AQ368" s="25">
        <v>21.950000000000006</v>
      </c>
      <c r="AR368" s="25">
        <v>21.645833333333339</v>
      </c>
      <c r="AS368" s="25">
        <v>21.487499999999994</v>
      </c>
      <c r="AT368" s="25">
        <v>0.21006976744186054</v>
      </c>
      <c r="AU368" s="25">
        <v>0.1176</v>
      </c>
      <c r="AV368" s="25">
        <v>0.23466666666666658</v>
      </c>
      <c r="AW368" s="25">
        <v>-121.51666666666669</v>
      </c>
      <c r="AX368" s="25">
        <v>-92.802083333333314</v>
      </c>
      <c r="AY368" s="25">
        <v>-124.62969696969697</v>
      </c>
      <c r="AZ368" s="25"/>
      <c r="BA368" s="25">
        <v>-1480.6041666666667</v>
      </c>
      <c r="BB368" s="25">
        <v>-541.82499999999982</v>
      </c>
      <c r="BC368" s="25"/>
      <c r="BD368" s="25">
        <v>22.733333333333331</v>
      </c>
      <c r="BE368" s="25">
        <v>23.358333333333331</v>
      </c>
    </row>
    <row r="369" spans="1:57" x14ac:dyDescent="0.25">
      <c r="A369" s="1">
        <v>34.4</v>
      </c>
      <c r="B369" s="1">
        <v>18</v>
      </c>
      <c r="C369" s="22"/>
      <c r="D369" s="23">
        <v>44076</v>
      </c>
      <c r="E369" s="24">
        <v>256.45833333333331</v>
      </c>
      <c r="F369" s="24">
        <v>70.739583333333329</v>
      </c>
      <c r="G369" s="24">
        <v>24.668749999999999</v>
      </c>
      <c r="H369" s="24">
        <v>0.5</v>
      </c>
      <c r="I369" s="24">
        <v>202.25</v>
      </c>
      <c r="J369" s="24">
        <v>3.7291666666666665</v>
      </c>
      <c r="K369" s="24">
        <v>0.1875</v>
      </c>
      <c r="L369" s="24">
        <v>18.389583333333334</v>
      </c>
      <c r="M369" s="10">
        <v>1.1199542459123231</v>
      </c>
      <c r="N369" s="25">
        <v>0.24629166666666649</v>
      </c>
      <c r="O369" s="25">
        <v>0.34862500000000013</v>
      </c>
      <c r="P369" s="25">
        <v>0.43047916666666658</v>
      </c>
      <c r="Q369" s="25">
        <v>0.43322916666666633</v>
      </c>
      <c r="R369" s="25">
        <v>0.43414583333333301</v>
      </c>
      <c r="S369" s="25">
        <v>0.33312499999999995</v>
      </c>
      <c r="T369" s="25">
        <v>0.34102083333333327</v>
      </c>
      <c r="U369" s="25">
        <v>0.30141666666666661</v>
      </c>
      <c r="V369" s="25">
        <v>-134.24166666666665</v>
      </c>
      <c r="W369" s="25">
        <v>-280.33125000000001</v>
      </c>
      <c r="X369" s="25">
        <v>-89.639583333333334</v>
      </c>
      <c r="Y369" s="25">
        <v>-65.803750000000022</v>
      </c>
      <c r="Z369" s="25">
        <v>-115.93333333333328</v>
      </c>
      <c r="AA369" s="25">
        <v>-78.596875000000011</v>
      </c>
      <c r="AB369" s="25">
        <v>-71.729791666666628</v>
      </c>
      <c r="AC369" s="25">
        <v>-81.179999999999993</v>
      </c>
      <c r="AD369" s="25">
        <v>-783.0333333333333</v>
      </c>
      <c r="AE369" s="25">
        <v>-751.52708333333328</v>
      </c>
      <c r="AF369" s="25">
        <v>-792.45625000000018</v>
      </c>
      <c r="AG369" s="25">
        <v>-362.90208333333334</v>
      </c>
      <c r="AH369" s="25">
        <v>-850.8770833333333</v>
      </c>
      <c r="AI369" s="25">
        <v>-905.58333333333337</v>
      </c>
      <c r="AJ369" s="25">
        <v>-1211.6041666666667</v>
      </c>
      <c r="AK369" s="25">
        <v>-2365.375</v>
      </c>
      <c r="AL369" s="25">
        <v>22.243749999999995</v>
      </c>
      <c r="AM369" s="25">
        <v>21.702083333333334</v>
      </c>
      <c r="AN369" s="25">
        <v>21.272916666666671</v>
      </c>
      <c r="AO369" s="25">
        <v>21.100000000000016</v>
      </c>
      <c r="AP369" s="25">
        <v>22.520833333333332</v>
      </c>
      <c r="AQ369" s="25">
        <v>22.043750000000003</v>
      </c>
      <c r="AR369" s="25">
        <v>21.675000000000001</v>
      </c>
      <c r="AS369" s="25">
        <v>21.506249999999994</v>
      </c>
      <c r="AT369" s="25">
        <v>0.19970212765957446</v>
      </c>
      <c r="AU369" s="25">
        <v>0.115</v>
      </c>
      <c r="AV369" s="25">
        <v>0.22970833333333338</v>
      </c>
      <c r="AW369" s="25">
        <v>-143.32499999999996</v>
      </c>
      <c r="AX369" s="25">
        <v>-108.46458333333339</v>
      </c>
      <c r="AY369" s="25">
        <v>-193.89583333333326</v>
      </c>
      <c r="AZ369" s="25"/>
      <c r="BA369" s="25">
        <v>-1685.5</v>
      </c>
      <c r="BB369" s="25">
        <v>-564.99375000000009</v>
      </c>
      <c r="BC369" s="25"/>
      <c r="BD369" s="25">
        <v>22.814583333333331</v>
      </c>
      <c r="BE369" s="25">
        <v>23.570833333333329</v>
      </c>
    </row>
    <row r="370" spans="1:57" x14ac:dyDescent="0.25">
      <c r="A370" s="1">
        <v>26.6</v>
      </c>
      <c r="B370" s="1">
        <v>19.3</v>
      </c>
      <c r="C370" s="22"/>
      <c r="D370" s="23">
        <v>44077</v>
      </c>
      <c r="E370" s="24">
        <v>106.08333333333333</v>
      </c>
      <c r="F370" s="24">
        <v>83.999999999999986</v>
      </c>
      <c r="G370" s="24">
        <v>21.887499999999999</v>
      </c>
      <c r="H370" s="24">
        <v>0.2</v>
      </c>
      <c r="I370" s="24">
        <v>193.97916666666666</v>
      </c>
      <c r="J370" s="24">
        <v>2.8958333333333335</v>
      </c>
      <c r="K370" s="24">
        <v>2.0833333333333332E-2</v>
      </c>
      <c r="L370" s="24">
        <v>18.977083333333329</v>
      </c>
      <c r="M370" s="10">
        <v>0.44841211900930383</v>
      </c>
      <c r="N370" s="25">
        <v>0.24429166666666657</v>
      </c>
      <c r="O370" s="25">
        <v>0.34302083333333333</v>
      </c>
      <c r="P370" s="25">
        <v>0.42570833333333313</v>
      </c>
      <c r="Q370" s="25">
        <v>0.42839583333333325</v>
      </c>
      <c r="R370" s="25">
        <v>0.42966666666666681</v>
      </c>
      <c r="S370" s="25">
        <v>0.33070833333333344</v>
      </c>
      <c r="T370" s="25">
        <v>0.33739583333333334</v>
      </c>
      <c r="U370" s="25">
        <v>0.29718749999999988</v>
      </c>
      <c r="V370" s="25">
        <v>-167.37708333333333</v>
      </c>
      <c r="W370" s="25">
        <v>-312.08333333333337</v>
      </c>
      <c r="X370" s="25">
        <v>-101.43333333333334</v>
      </c>
      <c r="Y370" s="25">
        <v>-70.559583333333336</v>
      </c>
      <c r="Z370" s="25">
        <v>-141.29791666666662</v>
      </c>
      <c r="AA370" s="25">
        <v>-86.972916666666663</v>
      </c>
      <c r="AB370" s="25">
        <v>-76.794374999999988</v>
      </c>
      <c r="AC370" s="25">
        <v>-86.179166666666674</v>
      </c>
      <c r="AD370" s="25">
        <v>-851.52083333333337</v>
      </c>
      <c r="AE370" s="25">
        <v>-800.1854166666667</v>
      </c>
      <c r="AF370" s="25">
        <v>-901.1875</v>
      </c>
      <c r="AG370" s="25">
        <v>-390.55833333333339</v>
      </c>
      <c r="AH370" s="25">
        <v>-870.97916666666663</v>
      </c>
      <c r="AI370" s="25">
        <v>-965.04166666666663</v>
      </c>
      <c r="AJ370" s="25">
        <v>-1392.5625</v>
      </c>
      <c r="AK370" s="25">
        <v>-2708.7916666666665</v>
      </c>
      <c r="AL370" s="25">
        <v>22.110416666666666</v>
      </c>
      <c r="AM370" s="25">
        <v>21.781250000000011</v>
      </c>
      <c r="AN370" s="25">
        <v>21.349999999999977</v>
      </c>
      <c r="AO370" s="25">
        <v>21.147916666666681</v>
      </c>
      <c r="AP370" s="25">
        <v>22.112500000000008</v>
      </c>
      <c r="AQ370" s="25">
        <v>22.047916666666662</v>
      </c>
      <c r="AR370" s="25">
        <v>21.756250000000019</v>
      </c>
      <c r="AS370" s="25">
        <v>21.587500000000002</v>
      </c>
      <c r="AT370" s="25">
        <v>0.19185714285714289</v>
      </c>
      <c r="AU370" s="25">
        <v>0.111</v>
      </c>
      <c r="AV370" s="25">
        <v>0.2264375000000001</v>
      </c>
      <c r="AW370" s="25">
        <v>-170.54166666666666</v>
      </c>
      <c r="AX370" s="25">
        <v>-127.42708333333336</v>
      </c>
      <c r="AY370" s="25">
        <v>-241.20416666666665</v>
      </c>
      <c r="AZ370" s="25"/>
      <c r="BA370" s="25">
        <v>-1844.9791666666667</v>
      </c>
      <c r="BB370" s="25">
        <v>-582.42291666666665</v>
      </c>
      <c r="BC370" s="25"/>
      <c r="BD370" s="25">
        <v>22.295833333333331</v>
      </c>
      <c r="BE370" s="25">
        <v>23.318749999999991</v>
      </c>
    </row>
    <row r="371" spans="1:57" x14ac:dyDescent="0.25">
      <c r="A371" s="1">
        <v>29.5</v>
      </c>
      <c r="B371" s="1">
        <v>19.7</v>
      </c>
      <c r="C371" s="22"/>
      <c r="D371" s="23">
        <v>44078</v>
      </c>
      <c r="E371" s="24">
        <v>213.125</v>
      </c>
      <c r="F371" s="24">
        <v>73.822916666666643</v>
      </c>
      <c r="G371" s="24">
        <v>23.714583333333326</v>
      </c>
      <c r="H371" s="24">
        <v>0</v>
      </c>
      <c r="I371" s="24">
        <v>236.45833333333334</v>
      </c>
      <c r="J371" s="24">
        <v>8.2291666666666661</v>
      </c>
      <c r="K371" s="24">
        <v>0.6875</v>
      </c>
      <c r="L371" s="24">
        <v>18.566666666666663</v>
      </c>
      <c r="M371" s="10">
        <v>0.83531737074946644</v>
      </c>
      <c r="N371" s="25">
        <v>0.24183333333333326</v>
      </c>
      <c r="O371" s="25">
        <v>0.33712500000000006</v>
      </c>
      <c r="P371" s="25">
        <v>0.42108333333333331</v>
      </c>
      <c r="Q371" s="25">
        <v>0.42389583333333358</v>
      </c>
      <c r="R371" s="25">
        <v>0.42566666666666647</v>
      </c>
      <c r="S371" s="25">
        <v>0.32789583333333339</v>
      </c>
      <c r="T371" s="25">
        <v>0.33385416666666673</v>
      </c>
      <c r="U371" s="25">
        <v>0.29402083333333323</v>
      </c>
      <c r="V371" s="25">
        <v>-203.51666666666665</v>
      </c>
      <c r="W371" s="25">
        <v>-318.96666666666675</v>
      </c>
      <c r="X371" s="25">
        <v>-115.89791666666669</v>
      </c>
      <c r="Y371" s="25">
        <v>-76.237708333333302</v>
      </c>
      <c r="Z371" s="25">
        <v>-164.76874999999998</v>
      </c>
      <c r="AA371" s="25">
        <v>-96.933333333333323</v>
      </c>
      <c r="AB371" s="25">
        <v>-82.922499999999999</v>
      </c>
      <c r="AC371" s="25">
        <v>-91.924999999999997</v>
      </c>
      <c r="AD371" s="25">
        <v>-889.66666666666663</v>
      </c>
      <c r="AE371" s="25">
        <v>-849.75</v>
      </c>
      <c r="AF371" s="25">
        <v>-1018.5416666666666</v>
      </c>
      <c r="AG371" s="25">
        <v>-414.71875000000006</v>
      </c>
      <c r="AH371" s="25">
        <v>-869.5625</v>
      </c>
      <c r="AI371" s="25">
        <v>-1011.875</v>
      </c>
      <c r="AJ371" s="25">
        <v>-1519.7916666666667</v>
      </c>
      <c r="AK371" s="25">
        <v>-3039.5833333333335</v>
      </c>
      <c r="AL371" s="25">
        <v>22.031250000000011</v>
      </c>
      <c r="AM371" s="25">
        <v>21.631250000000005</v>
      </c>
      <c r="AN371" s="25">
        <v>21.275000000000002</v>
      </c>
      <c r="AO371" s="25">
        <v>21.110416666666683</v>
      </c>
      <c r="AP371" s="25">
        <v>22.21875</v>
      </c>
      <c r="AQ371" s="25">
        <v>21.875000000000004</v>
      </c>
      <c r="AR371" s="25">
        <v>21.568749999999998</v>
      </c>
      <c r="AS371" s="25">
        <v>21.424999999999983</v>
      </c>
      <c r="AT371" s="25">
        <v>0.18756818181818177</v>
      </c>
      <c r="AU371" s="25">
        <v>0.111</v>
      </c>
      <c r="AV371" s="25">
        <v>0.2235</v>
      </c>
      <c r="AW371" s="25">
        <v>-199.21250000000001</v>
      </c>
      <c r="AX371" s="25">
        <v>-150.79999999999998</v>
      </c>
      <c r="AY371" s="25">
        <v>-300.93340909090909</v>
      </c>
      <c r="AZ371" s="25"/>
      <c r="BA371" s="25">
        <v>-1844.9375</v>
      </c>
      <c r="BB371" s="25">
        <v>-590.72708333333333</v>
      </c>
      <c r="BC371" s="25"/>
      <c r="BD371" s="25">
        <v>22.839583333333337</v>
      </c>
      <c r="BE371" s="25">
        <v>23.358333333333331</v>
      </c>
    </row>
    <row r="372" spans="1:57" x14ac:dyDescent="0.25">
      <c r="A372" s="1">
        <v>29.6</v>
      </c>
      <c r="B372" s="1">
        <v>18.2</v>
      </c>
      <c r="C372" s="22"/>
      <c r="D372" s="23">
        <v>44079</v>
      </c>
      <c r="E372" s="24">
        <v>176.625</v>
      </c>
      <c r="F372" s="24">
        <v>83.295833333333348</v>
      </c>
      <c r="G372" s="24">
        <v>22.777083333333334</v>
      </c>
      <c r="H372" s="24">
        <v>6.8000000000000007</v>
      </c>
      <c r="I372" s="24">
        <v>229.89583333333334</v>
      </c>
      <c r="J372" s="24">
        <v>7.416666666666667</v>
      </c>
      <c r="K372" s="24">
        <v>1.2916666666666667</v>
      </c>
      <c r="L372" s="24">
        <v>19.643749999999997</v>
      </c>
      <c r="M372" s="10">
        <v>0.51909976696176019</v>
      </c>
      <c r="N372" s="25">
        <v>0.24085416666666656</v>
      </c>
      <c r="O372" s="25">
        <v>0.33260416666666687</v>
      </c>
      <c r="P372" s="25">
        <v>0.41712500000000025</v>
      </c>
      <c r="Q372" s="25">
        <v>0.42006250000000006</v>
      </c>
      <c r="R372" s="25">
        <v>0.42352083333333318</v>
      </c>
      <c r="S372" s="25">
        <v>0.32560416666666631</v>
      </c>
      <c r="T372" s="25">
        <v>0.330166666666667</v>
      </c>
      <c r="U372" s="25">
        <v>0.2897916666666665</v>
      </c>
      <c r="V372" s="25">
        <v>-235.06250000000003</v>
      </c>
      <c r="W372" s="25">
        <v>-235.72291666666669</v>
      </c>
      <c r="X372" s="25">
        <v>-132.67708333333329</v>
      </c>
      <c r="Y372" s="25">
        <v>-82.855833333333337</v>
      </c>
      <c r="Z372" s="25">
        <v>-187.23750000000004</v>
      </c>
      <c r="AA372" s="25">
        <v>-108.9083333333333</v>
      </c>
      <c r="AB372" s="25">
        <v>-89.577083333333306</v>
      </c>
      <c r="AC372" s="25">
        <v>-97.850000000000023</v>
      </c>
      <c r="AD372" s="25">
        <v>-922.22916666666663</v>
      </c>
      <c r="AE372" s="25">
        <v>-882.04166666666663</v>
      </c>
      <c r="AF372" s="25">
        <v>-1126.1458333333333</v>
      </c>
      <c r="AG372" s="25">
        <v>-438.38124999999991</v>
      </c>
      <c r="AH372" s="25">
        <v>-859.08333333333337</v>
      </c>
      <c r="AI372" s="25">
        <v>-1061.0416666666667</v>
      </c>
      <c r="AJ372" s="25">
        <v>-1642.5208333333333</v>
      </c>
      <c r="AK372" s="25">
        <v>-3438.2916666666665</v>
      </c>
      <c r="AL372" s="25">
        <v>22.185416666666672</v>
      </c>
      <c r="AM372" s="25">
        <v>21.737500000000001</v>
      </c>
      <c r="AN372" s="25">
        <v>21.302083333333314</v>
      </c>
      <c r="AO372" s="25">
        <v>21.102083333333351</v>
      </c>
      <c r="AP372" s="25">
        <v>22.331249999999997</v>
      </c>
      <c r="AQ372" s="25">
        <v>22.027083333333326</v>
      </c>
      <c r="AR372" s="25">
        <v>21.681250000000002</v>
      </c>
      <c r="AS372" s="25">
        <v>21.527083333333334</v>
      </c>
      <c r="AT372" s="25">
        <v>0.19615555555555553</v>
      </c>
      <c r="AU372" s="25">
        <v>0.12972727272727272</v>
      </c>
      <c r="AV372" s="25">
        <v>0.2377500000000001</v>
      </c>
      <c r="AW372" s="25">
        <v>-241.68750000000003</v>
      </c>
      <c r="AX372" s="25">
        <v>-189.39166666666662</v>
      </c>
      <c r="AY372" s="25">
        <v>-306.00749999999999</v>
      </c>
      <c r="AZ372" s="25"/>
      <c r="BA372" s="25">
        <v>-1710.8125</v>
      </c>
      <c r="BB372" s="25">
        <v>-588.7687500000003</v>
      </c>
      <c r="BC372" s="25"/>
      <c r="BD372" s="25">
        <v>22.712500000000006</v>
      </c>
      <c r="BE372" s="25">
        <v>23.422916666666669</v>
      </c>
    </row>
    <row r="373" spans="1:57" x14ac:dyDescent="0.25">
      <c r="A373" s="1">
        <v>23</v>
      </c>
      <c r="B373" s="1">
        <v>17.600000000000001</v>
      </c>
      <c r="C373" s="22"/>
      <c r="D373" s="23">
        <v>44080</v>
      </c>
      <c r="E373" s="24">
        <v>84.270833333333329</v>
      </c>
      <c r="F373" s="24">
        <v>87.197916666666629</v>
      </c>
      <c r="G373" s="24">
        <v>20.110416666666662</v>
      </c>
      <c r="H373" s="24">
        <v>48.400000000000013</v>
      </c>
      <c r="I373" s="24">
        <v>196.35416666666666</v>
      </c>
      <c r="J373" s="24">
        <v>4.458333333333333</v>
      </c>
      <c r="K373" s="24">
        <v>0.3125</v>
      </c>
      <c r="L373" s="24">
        <v>17.854166666666664</v>
      </c>
      <c r="M373" s="10">
        <v>0.31355872293256254</v>
      </c>
      <c r="N373" s="25">
        <v>0.37495833333333345</v>
      </c>
      <c r="O373" s="25">
        <v>0.4411041666666668</v>
      </c>
      <c r="P373" s="25">
        <v>0.53314583333333332</v>
      </c>
      <c r="Q373" s="25">
        <v>0.55818750000000017</v>
      </c>
      <c r="R373" s="25">
        <v>0.57222916666666668</v>
      </c>
      <c r="S373" s="25">
        <v>0.43162500000000009</v>
      </c>
      <c r="T373" s="25">
        <v>0.35693750000000007</v>
      </c>
      <c r="U373" s="25">
        <v>0.30252083333333307</v>
      </c>
      <c r="V373" s="25">
        <v>-63.861041666666658</v>
      </c>
      <c r="W373" s="25">
        <v>-44.351875000000028</v>
      </c>
      <c r="X373" s="25">
        <v>-34.194166666666703</v>
      </c>
      <c r="Y373" s="25">
        <v>-27.602708333333329</v>
      </c>
      <c r="Z373" s="25">
        <v>-43.222083333333323</v>
      </c>
      <c r="AA373" s="25">
        <v>-30.516249999999985</v>
      </c>
      <c r="AB373" s="25">
        <v>-89.991874999999993</v>
      </c>
      <c r="AC373" s="25">
        <v>-29.886250000000008</v>
      </c>
      <c r="AD373" s="25">
        <v>-143.6604166666668</v>
      </c>
      <c r="AE373" s="25">
        <v>-156.50416666666663</v>
      </c>
      <c r="AF373" s="25">
        <v>-321.07083333333327</v>
      </c>
      <c r="AG373" s="25">
        <v>-107.14999999999993</v>
      </c>
      <c r="AH373" s="25">
        <v>-98.470833333333417</v>
      </c>
      <c r="AI373" s="25">
        <v>-186.68541666666636</v>
      </c>
      <c r="AJ373" s="25">
        <v>-324.96250000000015</v>
      </c>
      <c r="AK373" s="25">
        <v>-1283.3729166666665</v>
      </c>
      <c r="AL373" s="25">
        <v>21.529166666666658</v>
      </c>
      <c r="AM373" s="25">
        <v>21.562499999999996</v>
      </c>
      <c r="AN373" s="25">
        <v>21.318749999999998</v>
      </c>
      <c r="AO373" s="25">
        <v>21.170833333333345</v>
      </c>
      <c r="AP373" s="25">
        <v>21.250000000000004</v>
      </c>
      <c r="AQ373" s="25">
        <v>21.631249999999994</v>
      </c>
      <c r="AR373" s="25">
        <v>21.508333333333315</v>
      </c>
      <c r="AS373" s="25">
        <v>21.452083333333317</v>
      </c>
      <c r="AT373" s="25">
        <v>0.38826086956521738</v>
      </c>
      <c r="AU373" s="25">
        <v>0.25856249999999997</v>
      </c>
      <c r="AV373" s="25">
        <v>0.43933333333333341</v>
      </c>
      <c r="AW373" s="25">
        <v>-60.976458333333348</v>
      </c>
      <c r="AX373" s="25">
        <v>-39.473333333333315</v>
      </c>
      <c r="AY373" s="25">
        <v>-59.107499999999995</v>
      </c>
      <c r="AZ373" s="25"/>
      <c r="BA373" s="25">
        <v>-143.30625000000003</v>
      </c>
      <c r="BB373" s="25">
        <v>-106.08541666666675</v>
      </c>
      <c r="BC373" s="25"/>
      <c r="BD373" s="25">
        <v>21.358333333333331</v>
      </c>
      <c r="BE373" s="25">
        <v>22.427083333333332</v>
      </c>
    </row>
    <row r="374" spans="1:57" x14ac:dyDescent="0.25">
      <c r="A374" s="1">
        <v>26.3</v>
      </c>
      <c r="B374" s="1">
        <v>17.7</v>
      </c>
      <c r="C374" s="22"/>
      <c r="D374" s="23">
        <v>44081</v>
      </c>
      <c r="E374" s="24">
        <v>121.29166666666667</v>
      </c>
      <c r="F374" s="24">
        <v>80.939583333333331</v>
      </c>
      <c r="G374" s="24">
        <v>20.372916666666665</v>
      </c>
      <c r="H374" s="24">
        <v>0</v>
      </c>
      <c r="I374" s="24">
        <v>198.39583333333334</v>
      </c>
      <c r="J374" s="24">
        <v>3.3958333333333335</v>
      </c>
      <c r="K374" s="24">
        <v>0</v>
      </c>
      <c r="L374" s="24">
        <v>16.927083333333332</v>
      </c>
      <c r="M374" s="10">
        <v>0.4819711981961981</v>
      </c>
      <c r="N374" s="25">
        <v>0.37745833333333323</v>
      </c>
      <c r="O374" s="25">
        <v>0.45718750000000047</v>
      </c>
      <c r="P374" s="25">
        <v>0.55174999999999985</v>
      </c>
      <c r="Q374" s="25">
        <v>0.58091666666666653</v>
      </c>
      <c r="R374" s="25">
        <v>0.58527083333333307</v>
      </c>
      <c r="S374" s="25">
        <v>0.43731249999999999</v>
      </c>
      <c r="T374" s="25">
        <v>0.37354166666666672</v>
      </c>
      <c r="U374" s="25">
        <v>0.30608333333333304</v>
      </c>
      <c r="V374" s="25">
        <v>-13.583958333333333</v>
      </c>
      <c r="W374" s="25">
        <v>-25.667083333333334</v>
      </c>
      <c r="X374" s="25">
        <v>-12.397916666666665</v>
      </c>
      <c r="Y374" s="25">
        <v>-13.326666666666661</v>
      </c>
      <c r="Z374" s="25">
        <v>-12.637708333333336</v>
      </c>
      <c r="AA374" s="25">
        <v>-17.047916666666673</v>
      </c>
      <c r="AB374" s="25">
        <v>-71.615000000000009</v>
      </c>
      <c r="AC374" s="25">
        <v>-16.142291666666669</v>
      </c>
      <c r="AD374" s="25">
        <v>-10.206249999999997</v>
      </c>
      <c r="AE374" s="25">
        <v>-19.12083333333333</v>
      </c>
      <c r="AF374" s="25">
        <v>-51.895833333333321</v>
      </c>
      <c r="AG374" s="25">
        <v>-26.120833333333334</v>
      </c>
      <c r="AH374" s="25">
        <v>-12.914583333333338</v>
      </c>
      <c r="AI374" s="25">
        <v>-10.595833333333331</v>
      </c>
      <c r="AJ374" s="25">
        <v>-10.737499999999999</v>
      </c>
      <c r="AK374" s="25">
        <v>-34.316666666666656</v>
      </c>
      <c r="AL374" s="25">
        <v>20.972916666666663</v>
      </c>
      <c r="AM374" s="25">
        <v>21.116666666666674</v>
      </c>
      <c r="AN374" s="25">
        <v>21.047916666666666</v>
      </c>
      <c r="AO374" s="25">
        <v>21.008333333333329</v>
      </c>
      <c r="AP374" s="25">
        <v>20.737500000000004</v>
      </c>
      <c r="AQ374" s="25">
        <v>21.05</v>
      </c>
      <c r="AR374" s="25">
        <v>21.024999999999991</v>
      </c>
      <c r="AS374" s="25">
        <v>21.022916666666656</v>
      </c>
      <c r="AT374" s="25">
        <v>0.39714893617021285</v>
      </c>
      <c r="AU374" s="25">
        <v>0.23264583333333341</v>
      </c>
      <c r="AV374" s="25">
        <v>0.42860416666666684</v>
      </c>
      <c r="AW374" s="25">
        <v>-14.526874999999999</v>
      </c>
      <c r="AX374" s="25">
        <v>-14.504791666666664</v>
      </c>
      <c r="AY374" s="25">
        <v>-25.200740740740745</v>
      </c>
      <c r="AZ374" s="25"/>
      <c r="BA374" s="25">
        <v>-10.577083333333334</v>
      </c>
      <c r="BB374" s="25">
        <v>-12.883333333333328</v>
      </c>
      <c r="BC374" s="25"/>
      <c r="BD374" s="25">
        <v>21.241666666666671</v>
      </c>
      <c r="BE374" s="25">
        <v>22.102083333333329</v>
      </c>
    </row>
    <row r="375" spans="1:57" x14ac:dyDescent="0.25">
      <c r="A375" s="1">
        <v>25.7</v>
      </c>
      <c r="B375" s="1">
        <v>18.3</v>
      </c>
      <c r="C375" s="22"/>
      <c r="D375" s="23">
        <v>44082</v>
      </c>
      <c r="E375" s="24">
        <v>106.54166666666667</v>
      </c>
      <c r="F375" s="24">
        <v>86.09375</v>
      </c>
      <c r="G375" s="24">
        <v>20.329166666666676</v>
      </c>
      <c r="H375" s="24">
        <v>2.8</v>
      </c>
      <c r="I375" s="24">
        <v>201.60416666666666</v>
      </c>
      <c r="J375" s="24">
        <v>1.2916666666666667</v>
      </c>
      <c r="K375" s="24">
        <v>2.0833333333333332E-2</v>
      </c>
      <c r="L375" s="24">
        <v>17.827083333333331</v>
      </c>
      <c r="M375" s="10">
        <v>0.36350155857399752</v>
      </c>
      <c r="N375" s="25">
        <v>0.36300000000000016</v>
      </c>
      <c r="O375" s="25">
        <v>0.4489374999999996</v>
      </c>
      <c r="P375" s="25">
        <v>0.54308333333333325</v>
      </c>
      <c r="Q375" s="25">
        <v>0.57260416666666658</v>
      </c>
      <c r="R375" s="25">
        <v>0.57554166666666673</v>
      </c>
      <c r="S375" s="25">
        <v>0.42377083333333337</v>
      </c>
      <c r="T375" s="25">
        <v>0.37345833333333323</v>
      </c>
      <c r="U375" s="25">
        <v>0.30710416666666673</v>
      </c>
      <c r="V375" s="25">
        <v>-14.246458333333335</v>
      </c>
      <c r="W375" s="25">
        <v>-29.607916666666654</v>
      </c>
      <c r="X375" s="25">
        <v>-13.03</v>
      </c>
      <c r="Y375" s="25">
        <v>-14.703958333333333</v>
      </c>
      <c r="Z375" s="25">
        <v>-14.400833333333336</v>
      </c>
      <c r="AA375" s="25">
        <v>-22.980208333333337</v>
      </c>
      <c r="AB375" s="25">
        <v>-65.191041666666692</v>
      </c>
      <c r="AC375" s="25">
        <v>-24.399999999999995</v>
      </c>
      <c r="AD375" s="25">
        <v>-10.470833333333335</v>
      </c>
      <c r="AE375" s="25">
        <v>-29.149999999999995</v>
      </c>
      <c r="AF375" s="25">
        <v>-66.656249999999986</v>
      </c>
      <c r="AG375" s="25">
        <v>-37.991666666666681</v>
      </c>
      <c r="AH375" s="25">
        <v>-13.410416666666672</v>
      </c>
      <c r="AI375" s="25">
        <v>-11.01041666666667</v>
      </c>
      <c r="AJ375" s="25">
        <v>-10.806250000000006</v>
      </c>
      <c r="AK375" s="25">
        <v>-31.808333333333348</v>
      </c>
      <c r="AL375" s="25">
        <v>21.047916666666669</v>
      </c>
      <c r="AM375" s="25">
        <v>21.024999999999999</v>
      </c>
      <c r="AN375" s="25">
        <v>20.874999999999979</v>
      </c>
      <c r="AO375" s="25">
        <v>20.852083333333308</v>
      </c>
      <c r="AP375" s="25">
        <v>20.941666666666663</v>
      </c>
      <c r="AQ375" s="25">
        <v>21.068750000000009</v>
      </c>
      <c r="AR375" s="25">
        <v>20.922916666666652</v>
      </c>
      <c r="AS375" s="25">
        <v>20.862499999999979</v>
      </c>
      <c r="AT375" s="25">
        <v>0.3878297872340426</v>
      </c>
      <c r="AU375" s="25">
        <v>0.22018749999999998</v>
      </c>
      <c r="AV375" s="25">
        <v>0.39579166666666671</v>
      </c>
      <c r="AW375" s="25">
        <v>-14.635833333333332</v>
      </c>
      <c r="AX375" s="25">
        <v>-14.711041666666672</v>
      </c>
      <c r="AY375" s="25"/>
      <c r="AZ375" s="25"/>
      <c r="BA375" s="25">
        <v>-10.660416666666666</v>
      </c>
      <c r="BB375" s="25">
        <v>-13.352083333333333</v>
      </c>
      <c r="BC375" s="25"/>
      <c r="BD375" s="25">
        <v>21.345833333333335</v>
      </c>
      <c r="BE375" s="25">
        <v>22.018750000000001</v>
      </c>
    </row>
    <row r="376" spans="1:57" x14ac:dyDescent="0.25">
      <c r="A376" s="1">
        <v>29.8</v>
      </c>
      <c r="B376" s="1">
        <v>18.7</v>
      </c>
      <c r="C376" s="22"/>
      <c r="D376" s="23">
        <v>44083</v>
      </c>
      <c r="E376" s="24">
        <v>199.64583333333334</v>
      </c>
      <c r="F376" s="24">
        <v>82.170833333333334</v>
      </c>
      <c r="G376" s="24">
        <v>22.497916666666658</v>
      </c>
      <c r="H376" s="24">
        <v>0.7</v>
      </c>
      <c r="I376" s="24">
        <v>228.08333333333334</v>
      </c>
      <c r="J376" s="24">
        <v>5.083333333333333</v>
      </c>
      <c r="K376" s="24">
        <v>0.45833333333333331</v>
      </c>
      <c r="L376" s="24">
        <v>19.054166666666664</v>
      </c>
      <c r="M376" s="10">
        <v>0.57077725915487598</v>
      </c>
      <c r="N376" s="25">
        <v>0.3504374999999999</v>
      </c>
      <c r="O376" s="25">
        <v>0.44356250000000036</v>
      </c>
      <c r="P376" s="25">
        <v>0.53585416666666652</v>
      </c>
      <c r="Q376" s="25">
        <v>0.56485416666666655</v>
      </c>
      <c r="R376" s="25">
        <v>0.56677083333333333</v>
      </c>
      <c r="S376" s="25">
        <v>0.41168749999999976</v>
      </c>
      <c r="T376" s="25">
        <v>0.37139583333333331</v>
      </c>
      <c r="U376" s="25">
        <v>0.30770833333333342</v>
      </c>
      <c r="V376" s="25">
        <v>-16.705208333333335</v>
      </c>
      <c r="W376" s="25">
        <v>-38.179583333333326</v>
      </c>
      <c r="X376" s="25">
        <v>-14.569375000000001</v>
      </c>
      <c r="Y376" s="25">
        <v>-17.513124999999992</v>
      </c>
      <c r="Z376" s="25">
        <v>-18.036666666666669</v>
      </c>
      <c r="AA376" s="25">
        <v>-27.777916666666666</v>
      </c>
      <c r="AB376" s="25">
        <v>-63.251875000000013</v>
      </c>
      <c r="AC376" s="25">
        <v>-33.137916666666662</v>
      </c>
      <c r="AD376" s="25">
        <v>-12.331250000000002</v>
      </c>
      <c r="AE376" s="25">
        <v>-40.737500000000004</v>
      </c>
      <c r="AF376" s="25">
        <v>-83.885416666666671</v>
      </c>
      <c r="AG376" s="25">
        <v>-50.09791666666667</v>
      </c>
      <c r="AH376" s="25">
        <v>-14.045833333333334</v>
      </c>
      <c r="AI376" s="25">
        <v>-12.045833333333333</v>
      </c>
      <c r="AJ376" s="25">
        <v>-11.014583333333334</v>
      </c>
      <c r="AK376" s="25">
        <v>-34.768750000000004</v>
      </c>
      <c r="AL376" s="25">
        <v>21.306249999999999</v>
      </c>
      <c r="AM376" s="25">
        <v>21.020833333333325</v>
      </c>
      <c r="AN376" s="25">
        <v>20.824999999999985</v>
      </c>
      <c r="AO376" s="25">
        <v>20.775000000000002</v>
      </c>
      <c r="AP376" s="25">
        <v>21.589583333333337</v>
      </c>
      <c r="AQ376" s="25">
        <v>21.220833333333324</v>
      </c>
      <c r="AR376" s="25">
        <v>20.943749999999994</v>
      </c>
      <c r="AS376" s="25">
        <v>20.854166666666654</v>
      </c>
      <c r="AT376" s="25">
        <v>0.38512499999999988</v>
      </c>
      <c r="AU376" s="25">
        <v>0.21797916666666664</v>
      </c>
      <c r="AV376" s="25">
        <v>0.36897916666666669</v>
      </c>
      <c r="AW376" s="25">
        <v>-14.675416666666672</v>
      </c>
      <c r="AX376" s="25">
        <v>-14.918125000000003</v>
      </c>
      <c r="AY376" s="25">
        <v>-146.66500000000002</v>
      </c>
      <c r="AZ376" s="25"/>
      <c r="BA376" s="25">
        <v>-10.631250000000001</v>
      </c>
      <c r="BB376" s="25">
        <v>-19.18333333333333</v>
      </c>
      <c r="BC376" s="25"/>
      <c r="BD376" s="25">
        <v>22.241666666666671</v>
      </c>
      <c r="BE376" s="25">
        <v>22.393750000000001</v>
      </c>
    </row>
    <row r="377" spans="1:57" x14ac:dyDescent="0.25">
      <c r="A377" s="1">
        <v>22.6</v>
      </c>
      <c r="B377" s="1">
        <v>18.899999999999999</v>
      </c>
      <c r="C377" s="22"/>
      <c r="D377" s="23">
        <v>44084</v>
      </c>
      <c r="E377" s="24">
        <v>55.4375</v>
      </c>
      <c r="F377" s="24">
        <v>90.777083333333351</v>
      </c>
      <c r="G377" s="24">
        <v>20.658333333333328</v>
      </c>
      <c r="H377" s="24">
        <v>23.999999999999996</v>
      </c>
      <c r="I377" s="24">
        <v>235.10416666666666</v>
      </c>
      <c r="J377" s="24">
        <v>4.8125</v>
      </c>
      <c r="K377" s="24">
        <v>0.52083333333333337</v>
      </c>
      <c r="L377" s="24">
        <v>19.087499999999995</v>
      </c>
      <c r="M377" s="10">
        <v>0.22590761274817439</v>
      </c>
      <c r="N377" s="25">
        <v>0.36039583333333347</v>
      </c>
      <c r="O377" s="25">
        <v>0.47202083333333356</v>
      </c>
      <c r="P377" s="25">
        <v>0.55787500000000012</v>
      </c>
      <c r="Q377" s="25">
        <v>0.58277083333333313</v>
      </c>
      <c r="R377" s="25">
        <v>0.58216666666666661</v>
      </c>
      <c r="S377" s="25">
        <v>0.43925000000000008</v>
      </c>
      <c r="T377" s="25">
        <v>0.38643749999999993</v>
      </c>
      <c r="U377" s="25">
        <v>0.32429166666666664</v>
      </c>
      <c r="V377" s="25">
        <v>-17.865208333333332</v>
      </c>
      <c r="W377" s="25">
        <v>-39.048749999999991</v>
      </c>
      <c r="X377" s="25">
        <v>-14.670624999999996</v>
      </c>
      <c r="Y377" s="25">
        <v>-17.313541666666669</v>
      </c>
      <c r="Z377" s="25">
        <v>-18.422708333333333</v>
      </c>
      <c r="AA377" s="25">
        <v>-23.111250000000002</v>
      </c>
      <c r="AB377" s="25">
        <v>-41.11249999999999</v>
      </c>
      <c r="AC377" s="25">
        <v>-28.522083333333331</v>
      </c>
      <c r="AD377" s="25">
        <v>-14.30000000000001</v>
      </c>
      <c r="AE377" s="25">
        <v>-35.22291666666667</v>
      </c>
      <c r="AF377" s="25">
        <v>-63.743749999999984</v>
      </c>
      <c r="AG377" s="25">
        <v>-38.774999999999999</v>
      </c>
      <c r="AH377" s="25">
        <v>-14.712499999999986</v>
      </c>
      <c r="AI377" s="25">
        <v>-12.522916666666676</v>
      </c>
      <c r="AJ377" s="25">
        <v>-11.214583333333335</v>
      </c>
      <c r="AK377" s="25">
        <v>-27.681250000000002</v>
      </c>
      <c r="AL377" s="25">
        <v>21.477083333333322</v>
      </c>
      <c r="AM377" s="25">
        <v>21.247916666666693</v>
      </c>
      <c r="AN377" s="25">
        <v>20.975000000000001</v>
      </c>
      <c r="AO377" s="25">
        <v>20.843749999999989</v>
      </c>
      <c r="AP377" s="25">
        <v>21.487500000000001</v>
      </c>
      <c r="AQ377" s="25">
        <v>21.512499999999992</v>
      </c>
      <c r="AR377" s="25">
        <v>21.243750000000023</v>
      </c>
      <c r="AS377" s="25">
        <v>21.100000000000016</v>
      </c>
      <c r="AT377" s="25">
        <v>0.42033333333333345</v>
      </c>
      <c r="AU377" s="25">
        <v>0.25570833333333332</v>
      </c>
      <c r="AV377" s="25">
        <v>0.4077291666666667</v>
      </c>
      <c r="AW377" s="25">
        <v>-15.953958333333333</v>
      </c>
      <c r="AX377" s="25">
        <v>-15.457708333333334</v>
      </c>
      <c r="AY377" s="25">
        <v>-56.203333333333326</v>
      </c>
      <c r="AZ377" s="25"/>
      <c r="BA377" s="25">
        <v>-10.556249999999997</v>
      </c>
      <c r="BB377" s="25">
        <v>-23.291666666666647</v>
      </c>
      <c r="BC377" s="25"/>
      <c r="BD377" s="25">
        <v>21.687499999999996</v>
      </c>
      <c r="BE377" s="25">
        <v>22.179166666666674</v>
      </c>
    </row>
    <row r="378" spans="1:57" x14ac:dyDescent="0.25">
      <c r="A378" s="1">
        <v>24</v>
      </c>
      <c r="B378" s="1">
        <v>17.899999999999999</v>
      </c>
      <c r="C378" s="22"/>
      <c r="D378" s="23">
        <v>44085</v>
      </c>
      <c r="E378" s="24">
        <v>92.854166666666671</v>
      </c>
      <c r="F378" s="24">
        <v>88.66249999999998</v>
      </c>
      <c r="G378" s="24">
        <v>20.183333333333334</v>
      </c>
      <c r="H378" s="24">
        <v>0.8</v>
      </c>
      <c r="I378" s="24">
        <v>274.60416666666669</v>
      </c>
      <c r="J378" s="24">
        <v>2.9166666666666665</v>
      </c>
      <c r="K378" s="24">
        <v>2.0833333333333332E-2</v>
      </c>
      <c r="L378" s="24">
        <v>18.231249999999999</v>
      </c>
      <c r="M378" s="10">
        <v>0.27932895142493969</v>
      </c>
      <c r="N378" s="25">
        <v>0.385125</v>
      </c>
      <c r="O378" s="25">
        <v>0.50652083333333364</v>
      </c>
      <c r="P378" s="25">
        <v>0.58610416666666632</v>
      </c>
      <c r="Q378" s="25">
        <v>0.60225000000000006</v>
      </c>
      <c r="R378" s="25">
        <v>0.60366666666666668</v>
      </c>
      <c r="S378" s="25">
        <v>0.46910416666666649</v>
      </c>
      <c r="T378" s="25">
        <v>0.41295833333333332</v>
      </c>
      <c r="U378" s="25">
        <v>0.33918749999999992</v>
      </c>
      <c r="V378" s="25">
        <v>-13.573124999999999</v>
      </c>
      <c r="W378" s="25">
        <v>-22.713750000000001</v>
      </c>
      <c r="X378" s="25">
        <v>-12.12083333333333</v>
      </c>
      <c r="Y378" s="25">
        <v>-12.377708333333338</v>
      </c>
      <c r="Z378" s="25">
        <v>-12.237916666666671</v>
      </c>
      <c r="AA378" s="25">
        <v>-13.064166666666665</v>
      </c>
      <c r="AB378" s="25">
        <v>-14.898333333333333</v>
      </c>
      <c r="AC378" s="25">
        <v>-13.500833333333327</v>
      </c>
      <c r="AD378" s="25">
        <v>-10.097916666666675</v>
      </c>
      <c r="AE378" s="25">
        <v>-11.679166666666667</v>
      </c>
      <c r="AF378" s="25">
        <v>-13.064583333333333</v>
      </c>
      <c r="AG378" s="25">
        <v>-12.835416666666665</v>
      </c>
      <c r="AH378" s="25">
        <v>-12.799999999999997</v>
      </c>
      <c r="AI378" s="25">
        <v>-10.597916666666675</v>
      </c>
      <c r="AJ378" s="25">
        <v>-10.720833333333324</v>
      </c>
      <c r="AK378" s="25">
        <v>-12.033333333333339</v>
      </c>
      <c r="AL378" s="25">
        <v>21.120833333333326</v>
      </c>
      <c r="AM378" s="25">
        <v>21.077083333333338</v>
      </c>
      <c r="AN378" s="25">
        <v>20.904166666666644</v>
      </c>
      <c r="AO378" s="25">
        <v>20.835416666666646</v>
      </c>
      <c r="AP378" s="25">
        <v>21.029166666666672</v>
      </c>
      <c r="AQ378" s="25">
        <v>21.164583333333333</v>
      </c>
      <c r="AR378" s="25">
        <v>21.012499999999992</v>
      </c>
      <c r="AS378" s="25">
        <v>20.962499999999988</v>
      </c>
      <c r="AT378" s="25">
        <v>0.43441860465116272</v>
      </c>
      <c r="AU378" s="25">
        <v>0.2613125</v>
      </c>
      <c r="AV378" s="25">
        <v>0.4641458333333332</v>
      </c>
      <c r="AW378" s="25">
        <v>-14.256458333333333</v>
      </c>
      <c r="AX378" s="25">
        <v>-14.582499999999996</v>
      </c>
      <c r="AY378" s="25">
        <v>-179.26055555555556</v>
      </c>
      <c r="AZ378" s="25"/>
      <c r="BA378" s="25">
        <v>-10.137500000000005</v>
      </c>
      <c r="BB378" s="25">
        <v>-12.710416666666667</v>
      </c>
      <c r="BC378" s="25"/>
      <c r="BD378" s="25">
        <v>21.408333333333331</v>
      </c>
      <c r="BE378" s="25">
        <v>21.847916666666663</v>
      </c>
    </row>
    <row r="379" spans="1:57" x14ac:dyDescent="0.25">
      <c r="A379" s="1">
        <v>20.100000000000001</v>
      </c>
      <c r="B379" s="1">
        <v>16.8</v>
      </c>
      <c r="C379" s="22"/>
      <c r="D379" s="23">
        <v>44086</v>
      </c>
      <c r="E379" s="24">
        <v>47.6875</v>
      </c>
      <c r="F379" s="24">
        <v>94.28125</v>
      </c>
      <c r="G379" s="24">
        <v>17.954166666666662</v>
      </c>
      <c r="H379" s="24">
        <v>2.1999999999999997</v>
      </c>
      <c r="I379" s="24">
        <v>223.66666666666666</v>
      </c>
      <c r="J379" s="24">
        <v>2.2291666666666665</v>
      </c>
      <c r="K379" s="24">
        <v>0</v>
      </c>
      <c r="L379" s="24">
        <v>17.018750000000008</v>
      </c>
      <c r="M379" s="10">
        <v>0.11919354633972611</v>
      </c>
      <c r="N379" s="25">
        <v>0.37985416666666666</v>
      </c>
      <c r="O379" s="25">
        <v>0.50056249999999969</v>
      </c>
      <c r="P379" s="25">
        <v>0.58166666666666633</v>
      </c>
      <c r="Q379" s="25">
        <v>0.59791666666666743</v>
      </c>
      <c r="R379" s="25">
        <v>0.59802083333333367</v>
      </c>
      <c r="S379" s="25">
        <v>0.46050000000000008</v>
      </c>
      <c r="T379" s="25">
        <v>0.41241666666666671</v>
      </c>
      <c r="U379" s="25">
        <v>0.33947916666666672</v>
      </c>
      <c r="V379" s="25">
        <v>-13.621458333333335</v>
      </c>
      <c r="W379" s="25">
        <v>-23.427916666666658</v>
      </c>
      <c r="X379" s="25">
        <v>-12.223124999999998</v>
      </c>
      <c r="Y379" s="25">
        <v>-12.518958333333332</v>
      </c>
      <c r="Z379" s="25">
        <v>-12.468958333333328</v>
      </c>
      <c r="AA379" s="25">
        <v>-15.538333333333332</v>
      </c>
      <c r="AB379" s="25">
        <v>-19.673125000000002</v>
      </c>
      <c r="AC379" s="25">
        <v>-14.252916666666671</v>
      </c>
      <c r="AD379" s="25">
        <v>-10.018749999999999</v>
      </c>
      <c r="AE379" s="25">
        <v>-13.814583333333333</v>
      </c>
      <c r="AF379" s="25">
        <v>-17.712499999999999</v>
      </c>
      <c r="AG379" s="25">
        <v>-14.164583333333335</v>
      </c>
      <c r="AH379" s="25">
        <v>-12.585416666666667</v>
      </c>
      <c r="AI379" s="25">
        <v>-10.60000000000001</v>
      </c>
      <c r="AJ379" s="25">
        <v>-10.639583333333343</v>
      </c>
      <c r="AK379" s="25">
        <v>-11.968749999999993</v>
      </c>
      <c r="AL379" s="25">
        <v>20.666666666666675</v>
      </c>
      <c r="AM379" s="25">
        <v>20.877083333333335</v>
      </c>
      <c r="AN379" s="25">
        <v>20.793750000000014</v>
      </c>
      <c r="AO379" s="25">
        <v>20.758333333333351</v>
      </c>
      <c r="AP379" s="25">
        <v>20.277083333333337</v>
      </c>
      <c r="AQ379" s="25">
        <v>20.804166666666678</v>
      </c>
      <c r="AR379" s="25">
        <v>20.783333333333346</v>
      </c>
      <c r="AS379" s="25">
        <v>20.762500000000014</v>
      </c>
      <c r="AT379" s="25">
        <v>0.42719565217391298</v>
      </c>
      <c r="AU379" s="25">
        <v>0.25491666666666685</v>
      </c>
      <c r="AV379" s="25">
        <v>0.45010416666666658</v>
      </c>
      <c r="AW379" s="25">
        <v>-14.156458333333324</v>
      </c>
      <c r="AX379" s="25">
        <v>-14.636458333333328</v>
      </c>
      <c r="AY379" s="25"/>
      <c r="AZ379" s="25"/>
      <c r="BA379" s="25">
        <v>-10.083333333333337</v>
      </c>
      <c r="BB379" s="25">
        <v>-12.635416666666677</v>
      </c>
      <c r="BC379" s="25"/>
      <c r="BD379" s="25">
        <v>20.656250000000004</v>
      </c>
      <c r="BE379" s="25">
        <v>21.291666666666671</v>
      </c>
    </row>
    <row r="380" spans="1:57" x14ac:dyDescent="0.25">
      <c r="A380" s="1">
        <v>20.3</v>
      </c>
      <c r="B380" s="1">
        <v>17</v>
      </c>
      <c r="C380" s="22"/>
      <c r="D380" s="23">
        <v>44087</v>
      </c>
      <c r="E380" s="24">
        <v>41.854166666666664</v>
      </c>
      <c r="F380" s="24">
        <v>95.589583333333351</v>
      </c>
      <c r="G380" s="24">
        <v>18.497916666666661</v>
      </c>
      <c r="H380" s="24">
        <v>43.599999999999994</v>
      </c>
      <c r="I380" s="24">
        <v>243.33333333333334</v>
      </c>
      <c r="J380" s="24">
        <v>2.6041666666666665</v>
      </c>
      <c r="K380" s="24">
        <v>0</v>
      </c>
      <c r="L380" s="24">
        <v>17.77708333333333</v>
      </c>
      <c r="M380" s="10">
        <v>9.4567658149389514E-2</v>
      </c>
      <c r="N380" s="25">
        <v>0.43552083333333336</v>
      </c>
      <c r="O380" s="25">
        <v>0.5368750000000001</v>
      </c>
      <c r="P380" s="25">
        <v>0.59887499999999971</v>
      </c>
      <c r="Q380" s="25">
        <v>0.62372916666666633</v>
      </c>
      <c r="R380" s="25">
        <v>0.61239583333333314</v>
      </c>
      <c r="S380" s="25">
        <v>0.49318750000000006</v>
      </c>
      <c r="T380" s="25">
        <v>0.43920833333333342</v>
      </c>
      <c r="U380" s="25">
        <v>0.37229166666666652</v>
      </c>
      <c r="V380" s="25">
        <v>-13.633125000000001</v>
      </c>
      <c r="W380" s="25">
        <v>-22.771249999999998</v>
      </c>
      <c r="X380" s="25">
        <v>-12.143958333333332</v>
      </c>
      <c r="Y380" s="25">
        <v>-12.399166666666671</v>
      </c>
      <c r="Z380" s="25">
        <v>-12.340625000000001</v>
      </c>
      <c r="AA380" s="25">
        <v>-15.151249999999992</v>
      </c>
      <c r="AB380" s="25">
        <v>-18.530624999999997</v>
      </c>
      <c r="AC380" s="25">
        <v>-14.382916666666665</v>
      </c>
      <c r="AD380" s="25">
        <v>-9.8208333333333311</v>
      </c>
      <c r="AE380" s="25">
        <v>-13.62291666666667</v>
      </c>
      <c r="AF380" s="25">
        <v>-16.247916666666661</v>
      </c>
      <c r="AG380" s="25">
        <v>-14.820833333333319</v>
      </c>
      <c r="AH380" s="25">
        <v>-12.341666666666676</v>
      </c>
      <c r="AI380" s="25">
        <v>-10.304166666666672</v>
      </c>
      <c r="AJ380" s="25">
        <v>-10.44375</v>
      </c>
      <c r="AK380" s="25">
        <v>-11.539583333333338</v>
      </c>
      <c r="AL380" s="25">
        <v>20.322916666666661</v>
      </c>
      <c r="AM380" s="25">
        <v>20.537499999999998</v>
      </c>
      <c r="AN380" s="25">
        <v>20.57083333333334</v>
      </c>
      <c r="AO380" s="25">
        <v>20.589583333333341</v>
      </c>
      <c r="AP380" s="25">
        <v>19.979166666666668</v>
      </c>
      <c r="AQ380" s="25">
        <v>20.364583333333329</v>
      </c>
      <c r="AR380" s="25">
        <v>20.366666666666656</v>
      </c>
      <c r="AS380" s="25">
        <v>20.402083333333309</v>
      </c>
      <c r="AT380" s="25">
        <v>0.46399999999999997</v>
      </c>
      <c r="AU380" s="25">
        <v>0.32104166666666678</v>
      </c>
      <c r="AV380" s="25">
        <v>0.49197916666666669</v>
      </c>
      <c r="AW380" s="25">
        <v>-15.2325</v>
      </c>
      <c r="AX380" s="25">
        <v>-14.733541666666662</v>
      </c>
      <c r="AY380" s="25"/>
      <c r="AZ380" s="25"/>
      <c r="BA380" s="25">
        <v>-9.84375</v>
      </c>
      <c r="BB380" s="25">
        <v>-12.145833333333329</v>
      </c>
      <c r="BC380" s="25"/>
      <c r="BD380" s="25">
        <v>20.495833333333326</v>
      </c>
      <c r="BE380" s="25">
        <v>20.916666666666671</v>
      </c>
    </row>
    <row r="381" spans="1:57" x14ac:dyDescent="0.25">
      <c r="A381" s="1">
        <v>18.2</v>
      </c>
      <c r="B381" s="1">
        <v>15.7</v>
      </c>
      <c r="C381" s="22"/>
      <c r="D381" s="23">
        <v>44088</v>
      </c>
      <c r="E381" s="24">
        <v>37.958333333333336</v>
      </c>
      <c r="F381" s="24">
        <v>96.270833333333314</v>
      </c>
      <c r="G381" s="24">
        <v>16.735416666666666</v>
      </c>
      <c r="H381" s="24">
        <v>97.100000000000023</v>
      </c>
      <c r="I381" s="24">
        <v>249.08333333333334</v>
      </c>
      <c r="J381" s="24">
        <v>1.4583333333333333</v>
      </c>
      <c r="K381" s="24">
        <v>0</v>
      </c>
      <c r="L381" s="24">
        <v>16.139583333333327</v>
      </c>
      <c r="M381" s="10">
        <v>7.2009670918615348E-2</v>
      </c>
      <c r="N381" s="25">
        <v>0.50268750000000018</v>
      </c>
      <c r="O381" s="25">
        <v>0.57522916666666657</v>
      </c>
      <c r="P381" s="25">
        <v>0.6170416666666666</v>
      </c>
      <c r="Q381" s="25">
        <v>0.6378541666666665</v>
      </c>
      <c r="R381" s="25">
        <v>0.62543749999999987</v>
      </c>
      <c r="S381" s="25">
        <v>0.57381250000000006</v>
      </c>
      <c r="T381" s="25">
        <v>0.50675000000000014</v>
      </c>
      <c r="U381" s="25">
        <v>0.46283333333333326</v>
      </c>
      <c r="V381" s="25">
        <v>-13.793750000000001</v>
      </c>
      <c r="W381" s="25">
        <v>-23.09020833333334</v>
      </c>
      <c r="X381" s="25">
        <v>-12.169375</v>
      </c>
      <c r="Y381" s="25">
        <v>-12.363124999999998</v>
      </c>
      <c r="Z381" s="25">
        <v>-12.532083333333338</v>
      </c>
      <c r="AA381" s="25">
        <v>-12.402291666666663</v>
      </c>
      <c r="AB381" s="25">
        <v>-12.595208333333332</v>
      </c>
      <c r="AC381" s="25">
        <v>-13.412291666666667</v>
      </c>
      <c r="AD381" s="25">
        <v>-9.3937499999999954</v>
      </c>
      <c r="AE381" s="25">
        <v>-10.72500000000001</v>
      </c>
      <c r="AF381" s="25">
        <v>-11.008333333333331</v>
      </c>
      <c r="AG381" s="25">
        <v>-12.018749999999992</v>
      </c>
      <c r="AH381" s="25">
        <v>-11.875000000000002</v>
      </c>
      <c r="AI381" s="25">
        <v>-9.8520833333333417</v>
      </c>
      <c r="AJ381" s="25">
        <v>-9.9791666666666572</v>
      </c>
      <c r="AK381" s="25">
        <v>-10.697916666666677</v>
      </c>
      <c r="AL381" s="25">
        <v>18.758333333333329</v>
      </c>
      <c r="AM381" s="25">
        <v>19.054166666666671</v>
      </c>
      <c r="AN381" s="25">
        <v>19.516666666666669</v>
      </c>
      <c r="AO381" s="25">
        <v>19.86666666666666</v>
      </c>
      <c r="AP381" s="25">
        <v>18.377083333333328</v>
      </c>
      <c r="AQ381" s="25">
        <v>19.139583333333334</v>
      </c>
      <c r="AR381" s="25">
        <v>19.335416666666653</v>
      </c>
      <c r="AS381" s="25">
        <v>19.420833333333338</v>
      </c>
      <c r="AT381" s="25">
        <v>0.56436585365853653</v>
      </c>
      <c r="AU381" s="25">
        <v>0.52543749999999978</v>
      </c>
      <c r="AV381" s="25">
        <v>0.55358333333333354</v>
      </c>
      <c r="AW381" s="25">
        <v>-17.125833333333333</v>
      </c>
      <c r="AX381" s="25">
        <v>-15.159375000000002</v>
      </c>
      <c r="AY381" s="25"/>
      <c r="AZ381" s="25"/>
      <c r="BA381" s="25">
        <v>-9.4562500000000007</v>
      </c>
      <c r="BB381" s="25">
        <v>-11.341666666666667</v>
      </c>
      <c r="BC381" s="25"/>
      <c r="BD381" s="25">
        <v>18.639583333333331</v>
      </c>
      <c r="BE381" s="25">
        <v>19.047916666666666</v>
      </c>
    </row>
    <row r="382" spans="1:57" x14ac:dyDescent="0.25">
      <c r="A382" s="1">
        <v>18.8</v>
      </c>
      <c r="B382" s="1">
        <v>16.8</v>
      </c>
      <c r="C382" s="22"/>
      <c r="D382" s="23">
        <v>44089</v>
      </c>
      <c r="E382" s="24">
        <v>28.083333333333332</v>
      </c>
      <c r="F382" s="24">
        <v>96.779166666666683</v>
      </c>
      <c r="G382" s="24">
        <v>17.541666666666668</v>
      </c>
      <c r="H382" s="24">
        <v>22.699999999999996</v>
      </c>
      <c r="I382" s="24">
        <v>254.66666666666666</v>
      </c>
      <c r="J382" s="24">
        <v>0.625</v>
      </c>
      <c r="K382" s="24">
        <v>0</v>
      </c>
      <c r="L382" s="24">
        <v>17.016666666666666</v>
      </c>
      <c r="M382" s="10">
        <v>6.5064293796034026E-2</v>
      </c>
      <c r="N382" s="25">
        <v>0.46877083333333314</v>
      </c>
      <c r="O382" s="25">
        <v>0.55808333333333315</v>
      </c>
      <c r="P382" s="25">
        <v>0.60343749999999985</v>
      </c>
      <c r="Q382" s="25">
        <v>0.62118749999999967</v>
      </c>
      <c r="R382" s="25">
        <v>0.61768749999999961</v>
      </c>
      <c r="S382" s="25">
        <v>0.5291458333333332</v>
      </c>
      <c r="T382" s="25">
        <v>0.4824583333333336</v>
      </c>
      <c r="U382" s="25">
        <v>0.43020833333333347</v>
      </c>
      <c r="V382" s="25">
        <v>-13.913541666666662</v>
      </c>
      <c r="W382" s="25">
        <v>-22.807500000000001</v>
      </c>
      <c r="X382" s="25">
        <v>-12.240000000000002</v>
      </c>
      <c r="Y382" s="25">
        <v>-12.566666666666668</v>
      </c>
      <c r="Z382" s="25">
        <v>-12.383541666666668</v>
      </c>
      <c r="AA382" s="25">
        <v>-12.158541666666666</v>
      </c>
      <c r="AB382" s="25">
        <v>-12.582083333333335</v>
      </c>
      <c r="AC382" s="25">
        <v>-13.210208333333341</v>
      </c>
      <c r="AD382" s="25">
        <v>-9.3895833333333272</v>
      </c>
      <c r="AE382" s="25">
        <v>-10.524999999999999</v>
      </c>
      <c r="AF382" s="25">
        <v>-10.904166666666656</v>
      </c>
      <c r="AG382" s="25">
        <v>-11.747916666666669</v>
      </c>
      <c r="AH382" s="25">
        <v>-11.789583333333342</v>
      </c>
      <c r="AI382" s="25">
        <v>-9.7437499999999968</v>
      </c>
      <c r="AJ382" s="25">
        <v>-9.8979166666666583</v>
      </c>
      <c r="AK382" s="25">
        <v>-10.504166666666666</v>
      </c>
      <c r="AL382" s="25">
        <v>18.727083333333333</v>
      </c>
      <c r="AM382" s="25">
        <v>19.000000000000007</v>
      </c>
      <c r="AN382" s="25">
        <v>19.281249999999982</v>
      </c>
      <c r="AO382" s="25">
        <v>19.600000000000016</v>
      </c>
      <c r="AP382" s="25">
        <v>18.55416666666666</v>
      </c>
      <c r="AQ382" s="25">
        <v>18.870833333333334</v>
      </c>
      <c r="AR382" s="25">
        <v>18.914583333333322</v>
      </c>
      <c r="AS382" s="25">
        <v>18.960416666666656</v>
      </c>
      <c r="AT382" s="25">
        <v>0.48885294117647055</v>
      </c>
      <c r="AU382" s="25">
        <v>0.31506250000000002</v>
      </c>
      <c r="AV382" s="25">
        <v>0.52422916666666663</v>
      </c>
      <c r="AW382" s="25">
        <v>-16.978333333333332</v>
      </c>
      <c r="AX382" s="25">
        <v>-15.780000000000001</v>
      </c>
      <c r="AY382" s="25">
        <v>-13.983750000000001</v>
      </c>
      <c r="AZ382" s="25"/>
      <c r="BA382" s="25">
        <v>-9.4874999999999989</v>
      </c>
      <c r="BB382" s="25">
        <v>-11.306250000000006</v>
      </c>
      <c r="BC382" s="25"/>
      <c r="BD382" s="25">
        <v>18.847916666666666</v>
      </c>
      <c r="BE382" s="25">
        <v>19.145833333333325</v>
      </c>
    </row>
    <row r="383" spans="1:57" x14ac:dyDescent="0.25">
      <c r="A383" s="1">
        <v>19.7</v>
      </c>
      <c r="B383" s="1">
        <v>16.100000000000001</v>
      </c>
      <c r="C383" s="22"/>
      <c r="D383" s="23">
        <v>44090</v>
      </c>
      <c r="E383" s="24">
        <v>47.6875</v>
      </c>
      <c r="F383" s="24">
        <v>95.512499999999989</v>
      </c>
      <c r="G383" s="24">
        <v>17.422916666666659</v>
      </c>
      <c r="H383" s="24">
        <v>57.60000000000003</v>
      </c>
      <c r="I383" s="24">
        <v>208.16666666666666</v>
      </c>
      <c r="J383" s="24">
        <v>2</v>
      </c>
      <c r="K383" s="24">
        <v>0</v>
      </c>
      <c r="L383" s="24">
        <v>16.693749999999998</v>
      </c>
      <c r="M383" s="10">
        <v>9.2639622869281638E-2</v>
      </c>
      <c r="N383" s="25">
        <v>0.49104166666666643</v>
      </c>
      <c r="O383" s="25">
        <v>0.56770833333333326</v>
      </c>
      <c r="P383" s="25">
        <v>0.61064583333333333</v>
      </c>
      <c r="Q383" s="25">
        <v>0.63206249999999964</v>
      </c>
      <c r="R383" s="25">
        <v>0.6220833333333331</v>
      </c>
      <c r="S383" s="25">
        <v>0.55237499999999973</v>
      </c>
      <c r="T383" s="25">
        <v>0.49516666666666692</v>
      </c>
      <c r="U383" s="25">
        <v>0.45102083333333343</v>
      </c>
      <c r="V383" s="25">
        <v>-13.98125000000001</v>
      </c>
      <c r="W383" s="25">
        <v>-23.054374999999997</v>
      </c>
      <c r="X383" s="25">
        <v>-12.271874999999994</v>
      </c>
      <c r="Y383" s="25">
        <v>-12.495208333333332</v>
      </c>
      <c r="Z383" s="25">
        <v>-12.385416666666666</v>
      </c>
      <c r="AA383" s="25">
        <v>-12.455208333333337</v>
      </c>
      <c r="AB383" s="25">
        <v>-12.768750000000004</v>
      </c>
      <c r="AC383" s="25">
        <v>-13.38833333333333</v>
      </c>
      <c r="AD383" s="25">
        <v>-9.2083333333333321</v>
      </c>
      <c r="AE383" s="25">
        <v>-10.293750000000001</v>
      </c>
      <c r="AF383" s="25">
        <v>-10.631250000000003</v>
      </c>
      <c r="AG383" s="25">
        <v>-11.510416666666663</v>
      </c>
      <c r="AH383" s="25">
        <v>-11.63958333333334</v>
      </c>
      <c r="AI383" s="25">
        <v>-9.5354166666666647</v>
      </c>
      <c r="AJ383" s="25">
        <v>-9.7708333333333339</v>
      </c>
      <c r="AK383" s="25">
        <v>-10.345833333333342</v>
      </c>
      <c r="AL383" s="25">
        <v>18.437500000000004</v>
      </c>
      <c r="AM383" s="25">
        <v>18.608333333333334</v>
      </c>
      <c r="AN383" s="25">
        <v>18.860416666666662</v>
      </c>
      <c r="AO383" s="25">
        <v>19.122916666666665</v>
      </c>
      <c r="AP383" s="25">
        <v>18.316666666666677</v>
      </c>
      <c r="AQ383" s="25">
        <v>18.650000000000009</v>
      </c>
      <c r="AR383" s="25">
        <v>18.670833333333338</v>
      </c>
      <c r="AS383" s="25">
        <v>18.675000000000008</v>
      </c>
      <c r="AT383" s="25">
        <v>0.53736842105263161</v>
      </c>
      <c r="AU383" s="25">
        <v>0.46347916666666628</v>
      </c>
      <c r="AV383" s="25">
        <v>0.54649999999999987</v>
      </c>
      <c r="AW383" s="25">
        <v>-15.737499999999997</v>
      </c>
      <c r="AX383" s="25">
        <v>-15.835625</v>
      </c>
      <c r="AY383" s="25">
        <v>-13.985625000000004</v>
      </c>
      <c r="AZ383" s="25"/>
      <c r="BA383" s="25">
        <v>-9.2749999999999968</v>
      </c>
      <c r="BB383" s="25">
        <v>-10.995833333333332</v>
      </c>
      <c r="BC383" s="25"/>
      <c r="BD383" s="25">
        <v>18.460416666666674</v>
      </c>
      <c r="BE383" s="25">
        <v>18.895833333333332</v>
      </c>
    </row>
    <row r="384" spans="1:57" x14ac:dyDescent="0.25">
      <c r="A384" s="1">
        <v>18.899999999999999</v>
      </c>
      <c r="B384" s="1">
        <v>14.3</v>
      </c>
      <c r="C384" s="22"/>
      <c r="D384" s="23">
        <v>44091</v>
      </c>
      <c r="E384" s="24">
        <v>54.541666666666664</v>
      </c>
      <c r="F384" s="24">
        <v>93.11875000000002</v>
      </c>
      <c r="G384" s="24">
        <v>16.608333333333331</v>
      </c>
      <c r="H384" s="24">
        <v>69.600000000000023</v>
      </c>
      <c r="I384" s="24">
        <v>177.27083333333334</v>
      </c>
      <c r="J384" s="24">
        <v>3.7708333333333335</v>
      </c>
      <c r="K384" s="24">
        <v>0</v>
      </c>
      <c r="L384" s="24">
        <v>15.48124999999999</v>
      </c>
      <c r="M384" s="10">
        <v>0.12772949917834575</v>
      </c>
      <c r="N384" s="25">
        <v>0.50406249999999997</v>
      </c>
      <c r="O384" s="25">
        <v>0.5671666666666666</v>
      </c>
      <c r="P384" s="25">
        <v>0.60931250000000015</v>
      </c>
      <c r="Q384" s="25">
        <v>0.62900000000000011</v>
      </c>
      <c r="R384" s="25">
        <v>0.62439583333333315</v>
      </c>
      <c r="S384" s="25">
        <v>0.55445833333333316</v>
      </c>
      <c r="T384" s="25">
        <v>0.49616666666666687</v>
      </c>
      <c r="U384" s="25">
        <v>0.45020833333333349</v>
      </c>
      <c r="V384" s="25">
        <v>-14.055833333333331</v>
      </c>
      <c r="W384" s="25">
        <v>-23.518541666666664</v>
      </c>
      <c r="X384" s="25">
        <v>-12.350000000000003</v>
      </c>
      <c r="Y384" s="25">
        <v>-12.560208333333337</v>
      </c>
      <c r="Z384" s="25">
        <v>-12.430624999999999</v>
      </c>
      <c r="AA384" s="25">
        <v>-12.649583333333332</v>
      </c>
      <c r="AB384" s="25">
        <v>-12.852916666666658</v>
      </c>
      <c r="AC384" s="25">
        <v>-13.567083333333334</v>
      </c>
      <c r="AD384" s="25">
        <v>-9.0000000000000089</v>
      </c>
      <c r="AE384" s="25">
        <v>-10.118750000000009</v>
      </c>
      <c r="AF384" s="25">
        <v>-10.466666666666669</v>
      </c>
      <c r="AG384" s="25">
        <v>-11.302083333333341</v>
      </c>
      <c r="AH384" s="25">
        <v>-11.487499999999997</v>
      </c>
      <c r="AI384" s="25">
        <v>-9.3125000000000053</v>
      </c>
      <c r="AJ384" s="25">
        <v>-9.604166666666675</v>
      </c>
      <c r="AK384" s="25">
        <v>-10.135416666666673</v>
      </c>
      <c r="AL384" s="25">
        <v>17.895833333333329</v>
      </c>
      <c r="AM384" s="25">
        <v>18.018750000000008</v>
      </c>
      <c r="AN384" s="25">
        <v>18.302083333333332</v>
      </c>
      <c r="AO384" s="25">
        <v>18.570833333333333</v>
      </c>
      <c r="AP384" s="25">
        <v>18.043749999999999</v>
      </c>
      <c r="AQ384" s="25">
        <v>18.410416666666652</v>
      </c>
      <c r="AR384" s="25">
        <v>18.38124999999998</v>
      </c>
      <c r="AS384" s="25">
        <v>18.368749999999981</v>
      </c>
      <c r="AT384" s="25">
        <v>0.54935714285714288</v>
      </c>
      <c r="AU384" s="25">
        <v>0.45031249999999995</v>
      </c>
      <c r="AV384" s="25">
        <v>0.55822916666666644</v>
      </c>
      <c r="AW384" s="25">
        <v>-16.576874999999998</v>
      </c>
      <c r="AX384" s="25">
        <v>-16.171875000000004</v>
      </c>
      <c r="AY384" s="25">
        <v>-13.649166666666673</v>
      </c>
      <c r="AZ384" s="25"/>
      <c r="BA384" s="25">
        <v>-9.14791666666666</v>
      </c>
      <c r="BB384" s="25">
        <v>-10.704166666666666</v>
      </c>
      <c r="BC384" s="25"/>
      <c r="BD384" s="25">
        <v>17.943749999999998</v>
      </c>
      <c r="BE384" s="25">
        <v>18.481249999999996</v>
      </c>
    </row>
    <row r="385" spans="1:57" x14ac:dyDescent="0.25">
      <c r="A385" s="1">
        <v>20.6</v>
      </c>
      <c r="B385" s="1">
        <v>13.9</v>
      </c>
      <c r="C385" s="22"/>
      <c r="D385" s="23">
        <v>44092</v>
      </c>
      <c r="E385" s="24">
        <v>86</v>
      </c>
      <c r="F385" s="24">
        <v>86.356250000000003</v>
      </c>
      <c r="G385" s="24">
        <v>15.956249999999997</v>
      </c>
      <c r="H385" s="24">
        <v>0</v>
      </c>
      <c r="I385" s="24">
        <v>230.5625</v>
      </c>
      <c r="J385" s="24">
        <v>3.0833333333333335</v>
      </c>
      <c r="K385" s="24">
        <v>0</v>
      </c>
      <c r="L385" s="24">
        <v>13.652083333333337</v>
      </c>
      <c r="M385" s="10">
        <v>0.25914933858694983</v>
      </c>
      <c r="N385" s="25">
        <v>0.44347916666666665</v>
      </c>
      <c r="O385" s="25">
        <v>0.53712500000000019</v>
      </c>
      <c r="P385" s="25">
        <v>0.58906249999999949</v>
      </c>
      <c r="Q385" s="25">
        <v>0.60060416666666672</v>
      </c>
      <c r="R385" s="25">
        <v>0.60552083333333317</v>
      </c>
      <c r="S385" s="25">
        <v>0.50706250000000008</v>
      </c>
      <c r="T385" s="25">
        <v>0.47197916666666678</v>
      </c>
      <c r="U385" s="25">
        <v>0.41193750000000001</v>
      </c>
      <c r="V385" s="25">
        <v>-14.134791666666667</v>
      </c>
      <c r="W385" s="25">
        <v>-24.422291666666666</v>
      </c>
      <c r="X385" s="25">
        <v>-12.36979166666667</v>
      </c>
      <c r="Y385" s="25">
        <v>-12.712708333333332</v>
      </c>
      <c r="Z385" s="25">
        <v>-12.479166666666666</v>
      </c>
      <c r="AA385" s="25">
        <v>-12.654166666666663</v>
      </c>
      <c r="AB385" s="25">
        <v>-12.753333333333336</v>
      </c>
      <c r="AC385" s="25">
        <v>-13.16916666666666</v>
      </c>
      <c r="AD385" s="25">
        <v>-9.1208333333333336</v>
      </c>
      <c r="AE385" s="25">
        <v>-10.158333333333326</v>
      </c>
      <c r="AF385" s="25">
        <v>-10.506250000000001</v>
      </c>
      <c r="AG385" s="25">
        <v>-11.283333333333337</v>
      </c>
      <c r="AH385" s="25">
        <v>-11.595833333333339</v>
      </c>
      <c r="AI385" s="25">
        <v>-9.3729166666666597</v>
      </c>
      <c r="AJ385" s="25">
        <v>-9.6645833333333258</v>
      </c>
      <c r="AK385" s="25">
        <v>-10.385416666666668</v>
      </c>
      <c r="AL385" s="25">
        <v>17.674999999999986</v>
      </c>
      <c r="AM385" s="25">
        <v>18.118750000000016</v>
      </c>
      <c r="AN385" s="25">
        <v>18.399999999999984</v>
      </c>
      <c r="AO385" s="25">
        <v>18.600000000000016</v>
      </c>
      <c r="AP385" s="25">
        <v>17.360416666666662</v>
      </c>
      <c r="AQ385" s="25">
        <v>17.937499999999996</v>
      </c>
      <c r="AR385" s="25">
        <v>18.014583333333324</v>
      </c>
      <c r="AS385" s="25">
        <v>18.029166666666658</v>
      </c>
      <c r="AT385" s="25">
        <v>0.45754285714285714</v>
      </c>
      <c r="AU385" s="25">
        <v>0.27095833333333341</v>
      </c>
      <c r="AV385" s="25">
        <v>0.49993749999999992</v>
      </c>
      <c r="AW385" s="25">
        <v>-14.840000000000002</v>
      </c>
      <c r="AX385" s="25">
        <v>-15.180000000000005</v>
      </c>
      <c r="AY385" s="25">
        <v>-13.689166666666667</v>
      </c>
      <c r="AZ385" s="25"/>
      <c r="BA385" s="25">
        <v>-9.2875000000000068</v>
      </c>
      <c r="BB385" s="25">
        <v>-10.906249999999993</v>
      </c>
      <c r="BC385" s="25"/>
      <c r="BD385" s="25">
        <v>17.614583333333336</v>
      </c>
      <c r="BE385" s="25">
        <v>18.156250000000007</v>
      </c>
    </row>
    <row r="386" spans="1:57" x14ac:dyDescent="0.25">
      <c r="A386" s="1">
        <v>18</v>
      </c>
      <c r="B386" s="1">
        <v>13.2</v>
      </c>
      <c r="C386" s="22"/>
      <c r="D386" s="23">
        <v>44093</v>
      </c>
      <c r="E386" s="24">
        <v>72.75</v>
      </c>
      <c r="F386" s="24">
        <v>91.870833333333337</v>
      </c>
      <c r="G386" s="24">
        <v>15.766666666666671</v>
      </c>
      <c r="H386" s="24">
        <v>3.0000000000000004</v>
      </c>
      <c r="I386" s="24">
        <v>221.8125</v>
      </c>
      <c r="J386" s="24">
        <v>2</v>
      </c>
      <c r="K386" s="24">
        <v>0</v>
      </c>
      <c r="L386" s="24">
        <v>14.445833333333335</v>
      </c>
      <c r="M386" s="10">
        <v>0.14395205491153151</v>
      </c>
      <c r="N386" s="25">
        <v>0.44060416666666663</v>
      </c>
      <c r="O386" s="25">
        <v>0.53116666666666668</v>
      </c>
      <c r="P386" s="25">
        <v>0.58418749999999964</v>
      </c>
      <c r="Q386" s="25">
        <v>0.595291666666667</v>
      </c>
      <c r="R386" s="25">
        <v>0.60064583333333321</v>
      </c>
      <c r="S386" s="25">
        <v>0.50062499999999999</v>
      </c>
      <c r="T386" s="25">
        <v>0.46772916666666636</v>
      </c>
      <c r="U386" s="25">
        <v>0.40691666666666654</v>
      </c>
      <c r="V386" s="25">
        <v>-14.188958333333344</v>
      </c>
      <c r="W386" s="25">
        <v>-23.981250000000014</v>
      </c>
      <c r="X386" s="25">
        <v>-12.368958333333337</v>
      </c>
      <c r="Y386" s="25">
        <v>-12.755000000000001</v>
      </c>
      <c r="Z386" s="25">
        <v>-12.511041666666671</v>
      </c>
      <c r="AA386" s="25">
        <v>-12.862708333333336</v>
      </c>
      <c r="AB386" s="25">
        <v>-12.835208333333334</v>
      </c>
      <c r="AC386" s="25">
        <v>-13.226666666666661</v>
      </c>
      <c r="AD386" s="25">
        <v>-9.1250000000000053</v>
      </c>
      <c r="AE386" s="25">
        <v>-10.199999999999992</v>
      </c>
      <c r="AF386" s="25">
        <v>-10.543750000000005</v>
      </c>
      <c r="AG386" s="25">
        <v>-11.391666666666657</v>
      </c>
      <c r="AH386" s="25">
        <v>-11.589583333333332</v>
      </c>
      <c r="AI386" s="25">
        <v>-9.3999999999999932</v>
      </c>
      <c r="AJ386" s="25">
        <v>-9.6791666666666654</v>
      </c>
      <c r="AK386" s="25">
        <v>-10.512500000000001</v>
      </c>
      <c r="AL386" s="25">
        <v>17.652083333333326</v>
      </c>
      <c r="AM386" s="25">
        <v>18.077083333333338</v>
      </c>
      <c r="AN386" s="25">
        <v>18.352083333333308</v>
      </c>
      <c r="AO386" s="25">
        <v>18.545833333333338</v>
      </c>
      <c r="AP386" s="25">
        <v>17.275000000000002</v>
      </c>
      <c r="AQ386" s="25">
        <v>17.727083333333333</v>
      </c>
      <c r="AR386" s="25">
        <v>17.775000000000016</v>
      </c>
      <c r="AS386" s="25">
        <v>17.77500000000002</v>
      </c>
      <c r="AT386" s="25">
        <v>0.4524634146341463</v>
      </c>
      <c r="AU386" s="25">
        <v>0.26768750000000008</v>
      </c>
      <c r="AV386" s="25">
        <v>0.49235416666666687</v>
      </c>
      <c r="AW386" s="25">
        <v>-14.807916666666664</v>
      </c>
      <c r="AX386" s="25">
        <v>-14.865624999999996</v>
      </c>
      <c r="AY386" s="25">
        <v>-13.701458333333326</v>
      </c>
      <c r="AZ386" s="25"/>
      <c r="BA386" s="25">
        <v>-9.227083333333324</v>
      </c>
      <c r="BB386" s="25">
        <v>-10.858333333333336</v>
      </c>
      <c r="BC386" s="25"/>
      <c r="BD386" s="25">
        <v>17.687499999999996</v>
      </c>
      <c r="BE386" s="25">
        <v>18.085416666666664</v>
      </c>
    </row>
    <row r="387" spans="1:57" x14ac:dyDescent="0.25">
      <c r="A387" s="1">
        <v>24.4</v>
      </c>
      <c r="B387" s="1">
        <v>16.2</v>
      </c>
      <c r="C387" s="22"/>
      <c r="D387" s="23">
        <v>44094</v>
      </c>
      <c r="E387" s="24">
        <v>116.41666666666667</v>
      </c>
      <c r="F387" s="24">
        <v>89.466666666666683</v>
      </c>
      <c r="G387" s="24">
        <v>18.916666666666664</v>
      </c>
      <c r="H387" s="24">
        <v>1.2</v>
      </c>
      <c r="I387" s="24">
        <v>219.08333333333334</v>
      </c>
      <c r="J387" s="24">
        <v>5.4375</v>
      </c>
      <c r="K387" s="24">
        <v>0.60416666666666663</v>
      </c>
      <c r="L387" s="24">
        <v>17.070833333333333</v>
      </c>
      <c r="M387" s="10">
        <v>0.2580243093805582</v>
      </c>
      <c r="N387" s="25">
        <v>0.4479999999999999</v>
      </c>
      <c r="O387" s="25">
        <v>0.5366875000000001</v>
      </c>
      <c r="P387" s="25">
        <v>0.58810416666666665</v>
      </c>
      <c r="Q387" s="25">
        <v>0.59606250000000005</v>
      </c>
      <c r="R387" s="25">
        <v>0.60210416666666722</v>
      </c>
      <c r="S387" s="25">
        <v>0.49849999999999967</v>
      </c>
      <c r="T387" s="25">
        <v>0.46618749999999992</v>
      </c>
      <c r="U387" s="25">
        <v>0.40474999999999978</v>
      </c>
      <c r="V387" s="25">
        <v>-14.155833333333332</v>
      </c>
      <c r="W387" s="25">
        <v>-23.428125000000012</v>
      </c>
      <c r="X387" s="25">
        <v>-12.271041666666662</v>
      </c>
      <c r="Y387" s="25">
        <v>-12.67916666666666</v>
      </c>
      <c r="Z387" s="25">
        <v>-12.397499999999996</v>
      </c>
      <c r="AA387" s="25">
        <v>-12.85666666666666</v>
      </c>
      <c r="AB387" s="25">
        <v>-12.852499999999992</v>
      </c>
      <c r="AC387" s="25">
        <v>-13.292916666666654</v>
      </c>
      <c r="AD387" s="25">
        <v>-9.1000000000000068</v>
      </c>
      <c r="AE387" s="25">
        <v>-10.231249999999999</v>
      </c>
      <c r="AF387" s="25">
        <v>-10.518750000000004</v>
      </c>
      <c r="AG387" s="25">
        <v>-11.399999999999991</v>
      </c>
      <c r="AH387" s="25">
        <v>-11.541666666666673</v>
      </c>
      <c r="AI387" s="25">
        <v>-9.3999999999999932</v>
      </c>
      <c r="AJ387" s="25">
        <v>-9.6000000000000085</v>
      </c>
      <c r="AK387" s="25">
        <v>-10.495833333333332</v>
      </c>
      <c r="AL387" s="25">
        <v>18.272916666666656</v>
      </c>
      <c r="AM387" s="25">
        <v>18.197916666666671</v>
      </c>
      <c r="AN387" s="25">
        <v>18.310416666666654</v>
      </c>
      <c r="AO387" s="25">
        <v>18.474999999999994</v>
      </c>
      <c r="AP387" s="25">
        <v>18.231249999999999</v>
      </c>
      <c r="AQ387" s="25">
        <v>18.018750000000004</v>
      </c>
      <c r="AR387" s="25">
        <v>17.860416666666666</v>
      </c>
      <c r="AS387" s="25">
        <v>17.741666666666656</v>
      </c>
      <c r="AT387" s="25">
        <v>0.45125000000000015</v>
      </c>
      <c r="AU387" s="25">
        <v>0.26545833333333335</v>
      </c>
      <c r="AV387" s="25">
        <v>0.49518749999999984</v>
      </c>
      <c r="AW387" s="25">
        <v>-14.782291666666666</v>
      </c>
      <c r="AX387" s="25">
        <v>-14.689791666666665</v>
      </c>
      <c r="AY387" s="25">
        <v>-13.604374999999997</v>
      </c>
      <c r="AZ387" s="25"/>
      <c r="BA387" s="25">
        <v>-9.1999999999999922</v>
      </c>
      <c r="BB387" s="25">
        <v>-10.724999999999996</v>
      </c>
      <c r="BC387" s="25"/>
      <c r="BD387" s="25">
        <v>18.987500000000001</v>
      </c>
      <c r="BE387" s="25">
        <v>18.80833333333333</v>
      </c>
    </row>
    <row r="388" spans="1:57" x14ac:dyDescent="0.25">
      <c r="A388" s="1">
        <v>25.7</v>
      </c>
      <c r="B388" s="1">
        <v>17.7</v>
      </c>
      <c r="C388" s="22"/>
      <c r="D388" s="23">
        <v>44095</v>
      </c>
      <c r="E388" s="24">
        <v>130.0625</v>
      </c>
      <c r="F388" s="24">
        <v>87.537500000000023</v>
      </c>
      <c r="G388" s="24">
        <v>20.218750000000004</v>
      </c>
      <c r="H388" s="24">
        <v>0.2</v>
      </c>
      <c r="I388" s="24">
        <v>234.14583333333334</v>
      </c>
      <c r="J388" s="24">
        <v>11.666666666666666</v>
      </c>
      <c r="K388" s="24">
        <v>1.9375</v>
      </c>
      <c r="L388" s="24">
        <v>18.020833333333339</v>
      </c>
      <c r="M388" s="10">
        <v>0.31866418686983872</v>
      </c>
      <c r="N388" s="25">
        <v>0.43704166666666677</v>
      </c>
      <c r="O388" s="25">
        <v>0.5305624999999996</v>
      </c>
      <c r="P388" s="25">
        <v>0.58535416666666629</v>
      </c>
      <c r="Q388" s="25">
        <v>0.59518750000000042</v>
      </c>
      <c r="R388" s="25">
        <v>0.60185416666666647</v>
      </c>
      <c r="S388" s="25">
        <v>0.49622916666666655</v>
      </c>
      <c r="T388" s="25">
        <v>0.46489583333333312</v>
      </c>
      <c r="U388" s="25">
        <v>0.40316666666666673</v>
      </c>
      <c r="V388" s="25">
        <v>-14.009791666666665</v>
      </c>
      <c r="W388" s="25">
        <v>-23.843125000000004</v>
      </c>
      <c r="X388" s="25">
        <v>-12.284583333333329</v>
      </c>
      <c r="Y388" s="25">
        <v>-12.677083333333337</v>
      </c>
      <c r="Z388" s="25">
        <v>-12.399791666666665</v>
      </c>
      <c r="AA388" s="25">
        <v>-12.914791666666664</v>
      </c>
      <c r="AB388" s="25">
        <v>-12.916041666666667</v>
      </c>
      <c r="AC388" s="25">
        <v>-13.320000000000002</v>
      </c>
      <c r="AD388" s="25">
        <v>-9.1000000000000068</v>
      </c>
      <c r="AE388" s="25">
        <v>-10.300000000000008</v>
      </c>
      <c r="AF388" s="25">
        <v>-10.51041666666667</v>
      </c>
      <c r="AG388" s="25">
        <v>-11.399999999999991</v>
      </c>
      <c r="AH388" s="25">
        <v>-11.674999999999997</v>
      </c>
      <c r="AI388" s="25">
        <v>-9.4500000000000011</v>
      </c>
      <c r="AJ388" s="25">
        <v>-9.6000000000000085</v>
      </c>
      <c r="AK388" s="25">
        <v>-10.5</v>
      </c>
      <c r="AL388" s="25">
        <v>19.043750000000014</v>
      </c>
      <c r="AM388" s="25">
        <v>18.658333333333342</v>
      </c>
      <c r="AN388" s="25">
        <v>18.495833333333337</v>
      </c>
      <c r="AO388" s="25">
        <v>18.533333333333342</v>
      </c>
      <c r="AP388" s="25">
        <v>19.235416666666662</v>
      </c>
      <c r="AQ388" s="25">
        <v>18.722916666666674</v>
      </c>
      <c r="AR388" s="25">
        <v>18.350000000000001</v>
      </c>
      <c r="AS388" s="25">
        <v>18.139583333333341</v>
      </c>
      <c r="AT388" s="25">
        <v>0.44585416666666672</v>
      </c>
      <c r="AU388" s="25">
        <v>0.26047916666666654</v>
      </c>
      <c r="AV388" s="25">
        <v>0.47958333333333342</v>
      </c>
      <c r="AW388" s="25">
        <v>-14.619791666666677</v>
      </c>
      <c r="AX388" s="25">
        <v>-14.615625</v>
      </c>
      <c r="AY388" s="25">
        <v>-13.581250000000002</v>
      </c>
      <c r="AZ388" s="25"/>
      <c r="BA388" s="25">
        <v>-9.2270833333333311</v>
      </c>
      <c r="BB388" s="25">
        <v>-10.735416666666666</v>
      </c>
      <c r="BC388" s="25"/>
      <c r="BD388" s="25">
        <v>19.745833333333334</v>
      </c>
      <c r="BE388" s="25">
        <v>19.579166666666669</v>
      </c>
    </row>
    <row r="389" spans="1:57" x14ac:dyDescent="0.25">
      <c r="A389" s="1">
        <v>20.6</v>
      </c>
      <c r="B389" s="1">
        <v>15.6</v>
      </c>
      <c r="C389" s="22"/>
      <c r="D389" s="23">
        <v>44096</v>
      </c>
      <c r="E389" s="24">
        <v>57.0625</v>
      </c>
      <c r="F389" s="24">
        <v>89.597916666666677</v>
      </c>
      <c r="G389" s="24">
        <v>17.44583333333334</v>
      </c>
      <c r="H389" s="24">
        <v>15.299999999999999</v>
      </c>
      <c r="I389" s="24">
        <v>199.08333333333334</v>
      </c>
      <c r="J389" s="24">
        <v>3.5</v>
      </c>
      <c r="K389" s="24">
        <v>0.10416666666666667</v>
      </c>
      <c r="L389" s="24">
        <v>15.700000000000003</v>
      </c>
      <c r="M389" s="10">
        <v>0.2116112430015821</v>
      </c>
      <c r="N389" s="25">
        <v>0.45985416666666651</v>
      </c>
      <c r="O389" s="25">
        <v>0.54810416666666661</v>
      </c>
      <c r="P389" s="25">
        <v>0.59666666666666679</v>
      </c>
      <c r="Q389" s="25">
        <v>0.60910416666666689</v>
      </c>
      <c r="R389" s="25">
        <v>0.61372916666666644</v>
      </c>
      <c r="S389" s="25">
        <v>0.51641666666666663</v>
      </c>
      <c r="T389" s="25">
        <v>0.47179166666666661</v>
      </c>
      <c r="U389" s="25">
        <v>0.4098541666666668</v>
      </c>
      <c r="V389" s="25">
        <v>-14.033958333333331</v>
      </c>
      <c r="W389" s="25">
        <v>-23.056250000000002</v>
      </c>
      <c r="X389" s="25">
        <v>-12.129999999999995</v>
      </c>
      <c r="Y389" s="25">
        <v>-12.612708333333332</v>
      </c>
      <c r="Z389" s="25">
        <v>-12.322291666666658</v>
      </c>
      <c r="AA389" s="25">
        <v>-12.773124999999993</v>
      </c>
      <c r="AB389" s="25">
        <v>-12.776458333333331</v>
      </c>
      <c r="AC389" s="25">
        <v>-13.298333333333339</v>
      </c>
      <c r="AD389" s="25">
        <v>-9.0187499999999989</v>
      </c>
      <c r="AE389" s="25">
        <v>-10.172916666666676</v>
      </c>
      <c r="AF389" s="25">
        <v>-10.385416666666673</v>
      </c>
      <c r="AG389" s="25">
        <v>-11.237500000000011</v>
      </c>
      <c r="AH389" s="25">
        <v>-11.45624999999999</v>
      </c>
      <c r="AI389" s="25">
        <v>-9.3458333333333403</v>
      </c>
      <c r="AJ389" s="25">
        <v>-9.5270833333333318</v>
      </c>
      <c r="AK389" s="25">
        <v>-10.191666666666668</v>
      </c>
      <c r="AL389" s="25">
        <v>19.079166666666662</v>
      </c>
      <c r="AM389" s="25">
        <v>18.949999999999989</v>
      </c>
      <c r="AN389" s="25">
        <v>18.758333333333315</v>
      </c>
      <c r="AO389" s="25">
        <v>18.697916666666668</v>
      </c>
      <c r="AP389" s="25">
        <v>18.866666666666664</v>
      </c>
      <c r="AQ389" s="25">
        <v>18.981249999999982</v>
      </c>
      <c r="AR389" s="25">
        <v>18.700000000000014</v>
      </c>
      <c r="AS389" s="25">
        <v>18.529166666666672</v>
      </c>
      <c r="AT389" s="25">
        <v>0.47213636363636363</v>
      </c>
      <c r="AU389" s="25">
        <v>0.28931249999999992</v>
      </c>
      <c r="AV389" s="25">
        <v>0.51168750000000018</v>
      </c>
      <c r="AW389" s="25">
        <v>-15.984583333333328</v>
      </c>
      <c r="AX389" s="25">
        <v>-15.361666666666666</v>
      </c>
      <c r="AY389" s="25">
        <v>-13.623541666666661</v>
      </c>
      <c r="AZ389" s="25"/>
      <c r="BA389" s="25">
        <v>-9.0374999999999996</v>
      </c>
      <c r="BB389" s="25">
        <v>-10.404166666666674</v>
      </c>
      <c r="BC389" s="25"/>
      <c r="BD389" s="25">
        <v>18.900000000000002</v>
      </c>
      <c r="BE389" s="25">
        <v>19.377083333333331</v>
      </c>
    </row>
    <row r="390" spans="1:57" x14ac:dyDescent="0.25">
      <c r="A390" s="1">
        <v>18.600000000000001</v>
      </c>
      <c r="B390" s="1">
        <v>14.2</v>
      </c>
      <c r="C390" s="22"/>
      <c r="D390" s="23">
        <v>44097</v>
      </c>
      <c r="E390" s="24">
        <v>71.166666666666671</v>
      </c>
      <c r="F390" s="24">
        <v>88.441666666666649</v>
      </c>
      <c r="G390" s="24">
        <v>15.958333333333336</v>
      </c>
      <c r="H390" s="24">
        <v>0.4</v>
      </c>
      <c r="I390" s="24">
        <v>241.875</v>
      </c>
      <c r="J390" s="24">
        <v>2.3333333333333335</v>
      </c>
      <c r="K390" s="24">
        <v>0</v>
      </c>
      <c r="L390" s="24">
        <v>14.029166666666669</v>
      </c>
      <c r="M390" s="10">
        <v>0.21442741072654561</v>
      </c>
      <c r="N390" s="25">
        <v>0.44408333333333377</v>
      </c>
      <c r="O390" s="25">
        <v>0.53808333333333325</v>
      </c>
      <c r="P390" s="25">
        <v>0.58991666666666664</v>
      </c>
      <c r="Q390" s="25">
        <v>0.60145833333333354</v>
      </c>
      <c r="R390" s="25">
        <v>0.60725000000000029</v>
      </c>
      <c r="S390" s="25">
        <v>0.50941666666666663</v>
      </c>
      <c r="T390" s="25">
        <v>0.47152083333333333</v>
      </c>
      <c r="U390" s="25">
        <v>0.40956250000000005</v>
      </c>
      <c r="V390" s="25">
        <v>-14.121875000000003</v>
      </c>
      <c r="W390" s="25">
        <v>-23.659999999999993</v>
      </c>
      <c r="X390" s="25">
        <v>-12.206666666666669</v>
      </c>
      <c r="Y390" s="25">
        <v>-12.63645833333333</v>
      </c>
      <c r="Z390" s="25">
        <v>-12.359375000000002</v>
      </c>
      <c r="AA390" s="25">
        <v>-12.773541666666672</v>
      </c>
      <c r="AB390" s="25">
        <v>-12.702291666666666</v>
      </c>
      <c r="AC390" s="25">
        <v>-13.286250000000004</v>
      </c>
      <c r="AD390" s="25">
        <v>-9</v>
      </c>
      <c r="AE390" s="25">
        <v>-10.100000000000009</v>
      </c>
      <c r="AF390" s="25">
        <v>-10.300000000000008</v>
      </c>
      <c r="AG390" s="25">
        <v>-11.100000000000009</v>
      </c>
      <c r="AH390" s="25">
        <v>-11.466666666666669</v>
      </c>
      <c r="AI390" s="25">
        <v>-9.3937499999999918</v>
      </c>
      <c r="AJ390" s="25">
        <v>-9.4895833333333304</v>
      </c>
      <c r="AK390" s="25">
        <v>-10.129166666666659</v>
      </c>
      <c r="AL390" s="25">
        <v>18.239583333333336</v>
      </c>
      <c r="AM390" s="25">
        <v>18.600000000000005</v>
      </c>
      <c r="AN390" s="25">
        <v>18.672916666666673</v>
      </c>
      <c r="AO390" s="25">
        <v>18.731250000000017</v>
      </c>
      <c r="AP390" s="25">
        <v>17.735416666666662</v>
      </c>
      <c r="AQ390" s="25">
        <v>18.285416666666684</v>
      </c>
      <c r="AR390" s="25">
        <v>18.308333333333348</v>
      </c>
      <c r="AS390" s="25">
        <v>18.272916666666678</v>
      </c>
      <c r="AT390" s="25">
        <v>0.4637222222222222</v>
      </c>
      <c r="AU390" s="25">
        <v>0.26762500000000006</v>
      </c>
      <c r="AV390" s="25">
        <v>0.49699999999999983</v>
      </c>
      <c r="AW390" s="25">
        <v>-15.361874999999996</v>
      </c>
      <c r="AX390" s="25">
        <v>-14.982500000000003</v>
      </c>
      <c r="AY390" s="25">
        <v>-13.717500000000001</v>
      </c>
      <c r="AZ390" s="25"/>
      <c r="BA390" s="25">
        <v>-9</v>
      </c>
      <c r="BB390" s="25">
        <v>-10.300000000000008</v>
      </c>
      <c r="BC390" s="25"/>
      <c r="BD390" s="25">
        <v>18.06666666666667</v>
      </c>
      <c r="BE390" s="25">
        <v>18.658333333333328</v>
      </c>
    </row>
    <row r="391" spans="1:57" x14ac:dyDescent="0.25">
      <c r="A391" s="1">
        <v>20.2</v>
      </c>
      <c r="B391" s="1">
        <v>14.6</v>
      </c>
      <c r="C391" s="22"/>
      <c r="D391" s="23">
        <v>44098</v>
      </c>
      <c r="E391" s="24">
        <v>77.104166666666671</v>
      </c>
      <c r="F391" s="24">
        <v>88.752083333333317</v>
      </c>
      <c r="G391" s="24">
        <v>16.845833333333335</v>
      </c>
      <c r="H391" s="24">
        <v>0</v>
      </c>
      <c r="I391" s="24">
        <v>232.66666666666666</v>
      </c>
      <c r="J391" s="24">
        <v>3.3958333333333335</v>
      </c>
      <c r="K391" s="24">
        <v>0.33333333333333331</v>
      </c>
      <c r="L391" s="24">
        <v>14.943749999999994</v>
      </c>
      <c r="M391" s="10">
        <v>0.22779546995063379</v>
      </c>
      <c r="N391" s="25">
        <v>0.43583333333333335</v>
      </c>
      <c r="O391" s="25">
        <v>0.5310625000000001</v>
      </c>
      <c r="P391" s="25">
        <v>0.58462499999999951</v>
      </c>
      <c r="Q391" s="25">
        <v>0.59670833333333306</v>
      </c>
      <c r="R391" s="25">
        <v>0.60183333333333289</v>
      </c>
      <c r="S391" s="25">
        <v>0.50222916666666673</v>
      </c>
      <c r="T391" s="25">
        <v>0.46781250000000024</v>
      </c>
      <c r="U391" s="25">
        <v>0.40604166666666686</v>
      </c>
      <c r="V391" s="25">
        <v>-14.156041666666662</v>
      </c>
      <c r="W391" s="25">
        <v>-23.954166666666669</v>
      </c>
      <c r="X391" s="25">
        <v>-12.262708333333327</v>
      </c>
      <c r="Y391" s="25">
        <v>-12.708333333333334</v>
      </c>
      <c r="Z391" s="25">
        <v>-12.459791666666662</v>
      </c>
      <c r="AA391" s="25">
        <v>-12.919166666666671</v>
      </c>
      <c r="AB391" s="25">
        <v>-12.803125000000001</v>
      </c>
      <c r="AC391" s="25">
        <v>-13.352291666666668</v>
      </c>
      <c r="AD391" s="25">
        <v>-8.9875000000000007</v>
      </c>
      <c r="AE391" s="25">
        <v>-10.100000000000009</v>
      </c>
      <c r="AF391" s="25">
        <v>-10.300000000000008</v>
      </c>
      <c r="AG391" s="25">
        <v>-11.100000000000009</v>
      </c>
      <c r="AH391" s="25">
        <v>-11.539583333333342</v>
      </c>
      <c r="AI391" s="25">
        <v>-9.4520833333333343</v>
      </c>
      <c r="AJ391" s="25">
        <v>-9.4083333333333261</v>
      </c>
      <c r="AK391" s="25">
        <v>-10.214583333333328</v>
      </c>
      <c r="AL391" s="25">
        <v>18.072916666666661</v>
      </c>
      <c r="AM391" s="25">
        <v>18.352083333333319</v>
      </c>
      <c r="AN391" s="25">
        <v>18.470833333333324</v>
      </c>
      <c r="AO391" s="25">
        <v>18.568750000000009</v>
      </c>
      <c r="AP391" s="25">
        <v>17.679166666666667</v>
      </c>
      <c r="AQ391" s="25">
        <v>18.020833333333332</v>
      </c>
      <c r="AR391" s="25">
        <v>17.999999999999993</v>
      </c>
      <c r="AS391" s="25">
        <v>18.004166666666659</v>
      </c>
      <c r="AT391" s="25">
        <v>0.44365625000000014</v>
      </c>
      <c r="AU391" s="25">
        <v>0.26729166666666682</v>
      </c>
      <c r="AV391" s="25">
        <v>0.48270833333333335</v>
      </c>
      <c r="AW391" s="25">
        <v>-14.891249999999999</v>
      </c>
      <c r="AX391" s="25">
        <v>-14.76458333333334</v>
      </c>
      <c r="AY391" s="25">
        <v>-13.805624999999999</v>
      </c>
      <c r="AZ391" s="25"/>
      <c r="BA391" s="25">
        <v>-9</v>
      </c>
      <c r="BB391" s="25">
        <v>-10.329166666666664</v>
      </c>
      <c r="BC391" s="25"/>
      <c r="BD391" s="25">
        <v>18.287500000000001</v>
      </c>
      <c r="BE391" s="25">
        <v>18.516666666666662</v>
      </c>
    </row>
    <row r="392" spans="1:57" x14ac:dyDescent="0.25">
      <c r="A392" s="1">
        <v>18.3</v>
      </c>
      <c r="B392" s="1">
        <v>15.1</v>
      </c>
      <c r="C392" s="22"/>
      <c r="D392" s="23">
        <v>44099</v>
      </c>
      <c r="E392" s="24">
        <v>30.125</v>
      </c>
      <c r="F392" s="24">
        <v>94.433333333333337</v>
      </c>
      <c r="G392" s="24">
        <v>16.664583333333329</v>
      </c>
      <c r="H392" s="24">
        <v>7.0000000000000009</v>
      </c>
      <c r="I392" s="24">
        <v>221.85416666666666</v>
      </c>
      <c r="J392" s="24">
        <v>6.333333333333333</v>
      </c>
      <c r="K392" s="24">
        <v>0.47916666666666669</v>
      </c>
      <c r="L392" s="24">
        <v>15.758333333333335</v>
      </c>
      <c r="M392" s="10">
        <v>0.1067190687811977</v>
      </c>
      <c r="N392" s="25">
        <v>0.4357083333333332</v>
      </c>
      <c r="O392" s="25">
        <v>0.52924999999999978</v>
      </c>
      <c r="P392" s="25">
        <v>0.58241666666666692</v>
      </c>
      <c r="Q392" s="25">
        <v>0.59422916666666692</v>
      </c>
      <c r="R392" s="25">
        <v>0.5994791666666669</v>
      </c>
      <c r="S392" s="25">
        <v>0.49966666666666665</v>
      </c>
      <c r="T392" s="25">
        <v>0.46600000000000014</v>
      </c>
      <c r="U392" s="25">
        <v>0.40443750000000006</v>
      </c>
      <c r="V392" s="25">
        <v>-14.186249999999999</v>
      </c>
      <c r="W392" s="25">
        <v>-24.139791666666664</v>
      </c>
      <c r="X392" s="25">
        <v>-12.308958333333335</v>
      </c>
      <c r="Y392" s="25">
        <v>-12.80208333333333</v>
      </c>
      <c r="Z392" s="25">
        <v>-12.546666666666667</v>
      </c>
      <c r="AA392" s="25">
        <v>-13.045</v>
      </c>
      <c r="AB392" s="25">
        <v>-12.880833333333326</v>
      </c>
      <c r="AC392" s="25">
        <v>-13.397083333333327</v>
      </c>
      <c r="AD392" s="25">
        <v>-8.9666666666666615</v>
      </c>
      <c r="AE392" s="25">
        <v>-10.100000000000009</v>
      </c>
      <c r="AF392" s="25">
        <v>-10.300000000000008</v>
      </c>
      <c r="AG392" s="25">
        <v>-11.100000000000009</v>
      </c>
      <c r="AH392" s="25">
        <v>-11.531250000000002</v>
      </c>
      <c r="AI392" s="25">
        <v>-9.4937499999999986</v>
      </c>
      <c r="AJ392" s="25">
        <v>-9.3999999999999932</v>
      </c>
      <c r="AK392" s="25">
        <v>-10.206249999999992</v>
      </c>
      <c r="AL392" s="25">
        <v>18.179166666666671</v>
      </c>
      <c r="AM392" s="25">
        <v>18.335416666666649</v>
      </c>
      <c r="AN392" s="25">
        <v>18.399999999999984</v>
      </c>
      <c r="AO392" s="25">
        <v>18.5</v>
      </c>
      <c r="AP392" s="25">
        <v>17.831250000000001</v>
      </c>
      <c r="AQ392" s="25">
        <v>18.093750000000011</v>
      </c>
      <c r="AR392" s="25">
        <v>18.033333333333331</v>
      </c>
      <c r="AS392" s="25">
        <v>18</v>
      </c>
      <c r="AT392" s="25">
        <v>0.45212500000000005</v>
      </c>
      <c r="AU392" s="25">
        <v>0.27866666666666662</v>
      </c>
      <c r="AV392" s="25">
        <v>0.48037500000000022</v>
      </c>
      <c r="AW392" s="25">
        <v>-14.734583333333331</v>
      </c>
      <c r="AX392" s="25">
        <v>-14.711250000000005</v>
      </c>
      <c r="AY392" s="25">
        <v>-13.853124999999993</v>
      </c>
      <c r="AZ392" s="25"/>
      <c r="BA392" s="25">
        <v>-8.9687499999999947</v>
      </c>
      <c r="BB392" s="25">
        <v>-10.289583333333342</v>
      </c>
      <c r="BC392" s="25"/>
      <c r="BD392" s="25">
        <v>18.350000000000001</v>
      </c>
      <c r="BE392" s="25">
        <v>18.502083333333346</v>
      </c>
    </row>
    <row r="393" spans="1:57" x14ac:dyDescent="0.25">
      <c r="A393" s="1">
        <v>18.899999999999999</v>
      </c>
      <c r="B393" s="1">
        <v>14.3</v>
      </c>
      <c r="C393" s="22"/>
      <c r="D393" s="23">
        <v>44100</v>
      </c>
      <c r="E393" s="24">
        <v>78.333333333333329</v>
      </c>
      <c r="F393" s="24">
        <v>91.074999999999946</v>
      </c>
      <c r="G393" s="24">
        <v>15.862500000000002</v>
      </c>
      <c r="H393" s="24">
        <v>1.5</v>
      </c>
      <c r="I393" s="24">
        <v>217.22916666666666</v>
      </c>
      <c r="J393" s="24">
        <v>3.0208333333333335</v>
      </c>
      <c r="K393" s="24">
        <v>0</v>
      </c>
      <c r="L393" s="24">
        <v>14.381249999999994</v>
      </c>
      <c r="M393" s="10">
        <v>0.16897277508301992</v>
      </c>
      <c r="N393" s="25">
        <v>0.46150000000000019</v>
      </c>
      <c r="O393" s="25">
        <v>0.55037500000000017</v>
      </c>
      <c r="P393" s="25">
        <v>0.59535416666666685</v>
      </c>
      <c r="Q393" s="25">
        <v>0.60445833333333365</v>
      </c>
      <c r="R393" s="25">
        <v>0.60837500000000044</v>
      </c>
      <c r="S393" s="25">
        <v>0.50458333333333338</v>
      </c>
      <c r="T393" s="25">
        <v>0.46662499999999985</v>
      </c>
      <c r="U393" s="25">
        <v>0.40522916666666636</v>
      </c>
      <c r="V393" s="25">
        <v>-14.211041666666672</v>
      </c>
      <c r="W393" s="25">
        <v>-23.256666666666661</v>
      </c>
      <c r="X393" s="25">
        <v>-12.173125000000006</v>
      </c>
      <c r="Y393" s="25">
        <v>-12.646041666666662</v>
      </c>
      <c r="Z393" s="25">
        <v>-12.320833333333335</v>
      </c>
      <c r="AA393" s="25">
        <v>-12.897083333333329</v>
      </c>
      <c r="AB393" s="25">
        <v>-12.820624999999998</v>
      </c>
      <c r="AC393" s="25">
        <v>-13.39270833333333</v>
      </c>
      <c r="AD393" s="25">
        <v>-8.8500000000000014</v>
      </c>
      <c r="AE393" s="25">
        <v>-10.041666666666666</v>
      </c>
      <c r="AF393" s="25">
        <v>-10.243749999999995</v>
      </c>
      <c r="AG393" s="25">
        <v>-11.020833333333334</v>
      </c>
      <c r="AH393" s="25">
        <v>-11.333333333333329</v>
      </c>
      <c r="AI393" s="25">
        <v>-9.3999999999999932</v>
      </c>
      <c r="AJ393" s="25">
        <v>-9.3083333333333407</v>
      </c>
      <c r="AK393" s="25">
        <v>-9.9249999999999989</v>
      </c>
      <c r="AL393" s="25">
        <v>17.931250000000002</v>
      </c>
      <c r="AM393" s="25">
        <v>18.210416666666681</v>
      </c>
      <c r="AN393" s="25">
        <v>18.343749999999979</v>
      </c>
      <c r="AO393" s="25">
        <v>18.433333333333319</v>
      </c>
      <c r="AP393" s="25">
        <v>17.508333333333333</v>
      </c>
      <c r="AQ393" s="25">
        <v>17.912499999999994</v>
      </c>
      <c r="AR393" s="25">
        <v>17.899999999999981</v>
      </c>
      <c r="AS393" s="25">
        <v>17.891666666666641</v>
      </c>
      <c r="AT393" s="25">
        <v>0.45820000000000005</v>
      </c>
      <c r="AU393" s="25">
        <v>0.2959374999999998</v>
      </c>
      <c r="AV393" s="25">
        <v>0.51122916666666673</v>
      </c>
      <c r="AW393" s="25">
        <v>-15.545833333333329</v>
      </c>
      <c r="AX393" s="25">
        <v>-14.812916666666652</v>
      </c>
      <c r="AY393" s="25">
        <v>-13.803125</v>
      </c>
      <c r="AZ393" s="25"/>
      <c r="BA393" s="25">
        <v>-8.8624999999999936</v>
      </c>
      <c r="BB393" s="25">
        <v>-9.9937500000000004</v>
      </c>
      <c r="BC393" s="25"/>
      <c r="BD393" s="25">
        <v>17.987500000000001</v>
      </c>
      <c r="BE393" s="25">
        <v>18.295833333333338</v>
      </c>
    </row>
    <row r="394" spans="1:57" x14ac:dyDescent="0.25">
      <c r="A394" s="1">
        <v>17.2</v>
      </c>
      <c r="B394" s="1">
        <v>13.6</v>
      </c>
      <c r="C394" s="22"/>
      <c r="D394" s="23">
        <v>44101</v>
      </c>
      <c r="E394" s="24">
        <v>53.083333333333336</v>
      </c>
      <c r="F394" s="24">
        <v>90.754166666666649</v>
      </c>
      <c r="G394" s="24">
        <v>15.099999999999994</v>
      </c>
      <c r="H394" s="24">
        <v>0.8</v>
      </c>
      <c r="I394" s="24">
        <v>225.29166666666666</v>
      </c>
      <c r="J394" s="24">
        <v>4.041666666666667</v>
      </c>
      <c r="K394" s="24">
        <v>4.1666666666666664E-2</v>
      </c>
      <c r="L394" s="24">
        <v>13.583333333333336</v>
      </c>
      <c r="M394" s="10">
        <v>0.16265835851057875</v>
      </c>
      <c r="N394" s="25">
        <v>0.44172916666666651</v>
      </c>
      <c r="O394" s="25">
        <v>0.53695833333333332</v>
      </c>
      <c r="P394" s="25">
        <v>0.58741666666666636</v>
      </c>
      <c r="Q394" s="25">
        <v>0.59900000000000009</v>
      </c>
      <c r="R394" s="25">
        <v>0.60362500000000019</v>
      </c>
      <c r="S394" s="25">
        <v>0.50495833333333329</v>
      </c>
      <c r="T394" s="25">
        <v>0.46743749999999978</v>
      </c>
      <c r="U394" s="25">
        <v>0.40552083333333333</v>
      </c>
      <c r="V394" s="25">
        <v>-14.164583333333335</v>
      </c>
      <c r="W394" s="25">
        <v>-23.895000000000007</v>
      </c>
      <c r="X394" s="25">
        <v>-12.236666666666666</v>
      </c>
      <c r="Y394" s="25">
        <v>-12.692083333333336</v>
      </c>
      <c r="Z394" s="25">
        <v>-12.407916666666667</v>
      </c>
      <c r="AA394" s="25">
        <v>-12.880416666666662</v>
      </c>
      <c r="AB394" s="25">
        <v>-12.778750000000009</v>
      </c>
      <c r="AC394" s="25">
        <v>-13.405624999999993</v>
      </c>
      <c r="AD394" s="25">
        <v>-8.8145833333333403</v>
      </c>
      <c r="AE394" s="25">
        <v>-10</v>
      </c>
      <c r="AF394" s="25">
        <v>-10.199999999999992</v>
      </c>
      <c r="AG394" s="25">
        <v>-10.98958333333333</v>
      </c>
      <c r="AH394" s="25">
        <v>-11.410416666666661</v>
      </c>
      <c r="AI394" s="25">
        <v>-9.3999999999999932</v>
      </c>
      <c r="AJ394" s="25">
        <v>-9.3000000000000078</v>
      </c>
      <c r="AK394" s="25">
        <v>-9.9708333333333332</v>
      </c>
      <c r="AL394" s="25">
        <v>17.606250000000006</v>
      </c>
      <c r="AM394" s="25">
        <v>18.045833333333331</v>
      </c>
      <c r="AN394" s="25">
        <v>18.218750000000014</v>
      </c>
      <c r="AO394" s="25">
        <v>18.343749999999979</v>
      </c>
      <c r="AP394" s="25">
        <v>17.066666666666674</v>
      </c>
      <c r="AQ394" s="25">
        <v>17.656250000000011</v>
      </c>
      <c r="AR394" s="25">
        <v>17.718750000000011</v>
      </c>
      <c r="AS394" s="25">
        <v>17.760416666666686</v>
      </c>
      <c r="AT394" s="25">
        <v>0.44652631578947377</v>
      </c>
      <c r="AU394" s="25">
        <v>0.28570833333333356</v>
      </c>
      <c r="AV394" s="25">
        <v>0.49147916666666669</v>
      </c>
      <c r="AW394" s="25">
        <v>-17.716666666666665</v>
      </c>
      <c r="AX394" s="25">
        <v>-14.823124999999985</v>
      </c>
      <c r="AY394" s="25">
        <v>-13.900624999999993</v>
      </c>
      <c r="AZ394" s="25"/>
      <c r="BA394" s="25">
        <v>-8.8770833333333261</v>
      </c>
      <c r="BB394" s="25">
        <v>-9.9604166666666654</v>
      </c>
      <c r="BC394" s="25"/>
      <c r="BD394" s="25">
        <v>17.595833333333335</v>
      </c>
      <c r="BE394" s="25">
        <v>17.883333333333333</v>
      </c>
    </row>
    <row r="395" spans="1:57" x14ac:dyDescent="0.25">
      <c r="A395" s="1">
        <v>19.100000000000001</v>
      </c>
      <c r="B395" s="1">
        <v>14.5</v>
      </c>
      <c r="C395" s="22"/>
      <c r="D395" s="23">
        <v>44102</v>
      </c>
      <c r="E395" s="24">
        <v>49.020833333333336</v>
      </c>
      <c r="F395" s="24">
        <v>94.356250000000003</v>
      </c>
      <c r="G395" s="24">
        <v>16.808333333333326</v>
      </c>
      <c r="H395" s="24">
        <v>3.5000000000000004</v>
      </c>
      <c r="I395" s="24">
        <v>220.29166666666666</v>
      </c>
      <c r="J395" s="24">
        <v>6.270833333333333</v>
      </c>
      <c r="K395" s="24">
        <v>0.47916666666666669</v>
      </c>
      <c r="L395" s="24">
        <v>15.887500000000001</v>
      </c>
      <c r="M395" s="10">
        <v>0.11186196167926539</v>
      </c>
      <c r="N395" s="25">
        <v>0.45199999999999996</v>
      </c>
      <c r="O395" s="25">
        <v>0.53795833333333365</v>
      </c>
      <c r="P395" s="25">
        <v>0.58681250000000007</v>
      </c>
      <c r="Q395" s="25">
        <v>0.59625000000000028</v>
      </c>
      <c r="R395" s="25">
        <v>0.60549999999999971</v>
      </c>
      <c r="S395" s="25">
        <v>0.50439583333333349</v>
      </c>
      <c r="T395" s="25">
        <v>0.46625000000000011</v>
      </c>
      <c r="U395" s="25">
        <v>0.40500000000000003</v>
      </c>
      <c r="V395" s="25">
        <v>-14.163958333333335</v>
      </c>
      <c r="W395" s="25">
        <v>-23.623124999999998</v>
      </c>
      <c r="X395" s="25">
        <v>-12.224166666666662</v>
      </c>
      <c r="Y395" s="25">
        <v>-12.727500000000006</v>
      </c>
      <c r="Z395" s="25">
        <v>-12.339166666666664</v>
      </c>
      <c r="AA395" s="25">
        <v>-12.885625000000003</v>
      </c>
      <c r="AB395" s="25">
        <v>-12.807916666666664</v>
      </c>
      <c r="AC395" s="25">
        <v>-13.408124999999998</v>
      </c>
      <c r="AD395" s="25">
        <v>-8.800000000000006</v>
      </c>
      <c r="AE395" s="25">
        <v>-9.9729166666666611</v>
      </c>
      <c r="AF395" s="25">
        <v>-10.127083333333342</v>
      </c>
      <c r="AG395" s="25">
        <v>-10.904166666666656</v>
      </c>
      <c r="AH395" s="25">
        <v>-11.308333333333339</v>
      </c>
      <c r="AI395" s="25">
        <v>-9.3999999999999932</v>
      </c>
      <c r="AJ395" s="25">
        <v>-9.2395833333333268</v>
      </c>
      <c r="AK395" s="25">
        <v>-9.9749999999999943</v>
      </c>
      <c r="AL395" s="25">
        <v>17.595833333333328</v>
      </c>
      <c r="AM395" s="25">
        <v>17.856249999999992</v>
      </c>
      <c r="AN395" s="25">
        <v>18.056250000000006</v>
      </c>
      <c r="AO395" s="25">
        <v>18.202083333333345</v>
      </c>
      <c r="AP395" s="25">
        <v>17.24583333333333</v>
      </c>
      <c r="AQ395" s="25">
        <v>17.522916666666664</v>
      </c>
      <c r="AR395" s="25">
        <v>17.545833333333338</v>
      </c>
      <c r="AS395" s="25">
        <v>17.554166666666671</v>
      </c>
      <c r="AT395" s="25">
        <v>0.44921428571428584</v>
      </c>
      <c r="AU395" s="25">
        <v>0.28906250000000011</v>
      </c>
      <c r="AV395" s="25">
        <v>0.49556249999999974</v>
      </c>
      <c r="AW395" s="25">
        <v>-15.433749999999996</v>
      </c>
      <c r="AX395" s="25">
        <v>-14.745625000000002</v>
      </c>
      <c r="AY395" s="25">
        <v>-13.876666666666678</v>
      </c>
      <c r="AZ395" s="25"/>
      <c r="BA395" s="25">
        <v>-8.8041666666666742</v>
      </c>
      <c r="BB395" s="25">
        <v>-9.8562500000000046</v>
      </c>
      <c r="BC395" s="25"/>
      <c r="BD395" s="25">
        <v>18.029166666666672</v>
      </c>
      <c r="BE395" s="25">
        <v>17.945833333333319</v>
      </c>
    </row>
    <row r="396" spans="1:57" x14ac:dyDescent="0.25">
      <c r="A396" s="1">
        <v>21.5</v>
      </c>
      <c r="B396" s="1">
        <v>14.9</v>
      </c>
      <c r="C396" s="22"/>
      <c r="D396" s="23">
        <v>44103</v>
      </c>
      <c r="E396" s="24">
        <v>83.520833333333329</v>
      </c>
      <c r="F396" s="24">
        <v>90.764583333333306</v>
      </c>
      <c r="G396" s="24">
        <v>17.195833333333336</v>
      </c>
      <c r="H396" s="24">
        <v>9.5999999999999979</v>
      </c>
      <c r="I396" s="24">
        <v>239.1875</v>
      </c>
      <c r="J396" s="24">
        <v>3.625</v>
      </c>
      <c r="K396" s="24">
        <v>0.14583333333333334</v>
      </c>
      <c r="L396" s="24">
        <v>15.625</v>
      </c>
      <c r="M396" s="10">
        <v>0.19218795022856749</v>
      </c>
      <c r="N396" s="25">
        <v>0.47174999999999973</v>
      </c>
      <c r="O396" s="25">
        <v>0.55545833333333339</v>
      </c>
      <c r="P396" s="25">
        <v>0.5987083333333334</v>
      </c>
      <c r="Q396" s="25">
        <v>0.612375</v>
      </c>
      <c r="R396" s="25">
        <v>0.61556249999999979</v>
      </c>
      <c r="S396" s="25">
        <v>0.52695833333333308</v>
      </c>
      <c r="T396" s="25">
        <v>0.47575000000000012</v>
      </c>
      <c r="U396" s="25">
        <v>0.41560416666666661</v>
      </c>
      <c r="V396" s="25">
        <v>-14.058958333333331</v>
      </c>
      <c r="W396" s="25">
        <v>-22.999583333333344</v>
      </c>
      <c r="X396" s="25">
        <v>-12.127083333333344</v>
      </c>
      <c r="Y396" s="25">
        <v>-12.589791666666663</v>
      </c>
      <c r="Z396" s="25">
        <v>-12.274999999999997</v>
      </c>
      <c r="AA396" s="25">
        <v>-12.628125000000006</v>
      </c>
      <c r="AB396" s="25">
        <v>-12.613750000000005</v>
      </c>
      <c r="AC396" s="25">
        <v>-13.27708333333333</v>
      </c>
      <c r="AD396" s="25">
        <v>-8.699999999999994</v>
      </c>
      <c r="AE396" s="25">
        <v>-9.7958333333333361</v>
      </c>
      <c r="AF396" s="25">
        <v>-9.9479166666666572</v>
      </c>
      <c r="AG396" s="25">
        <v>-10.762499999999996</v>
      </c>
      <c r="AH396" s="25">
        <v>-11.154166666666669</v>
      </c>
      <c r="AI396" s="25">
        <v>-9.3000000000000043</v>
      </c>
      <c r="AJ396" s="25">
        <v>-9.1166666666666742</v>
      </c>
      <c r="AK396" s="25">
        <v>-9.6229166666666686</v>
      </c>
      <c r="AL396" s="25">
        <v>18.070833333333329</v>
      </c>
      <c r="AM396" s="25">
        <v>18.025000000000006</v>
      </c>
      <c r="AN396" s="25">
        <v>18.079166666666683</v>
      </c>
      <c r="AO396" s="25">
        <v>18.145833333333353</v>
      </c>
      <c r="AP396" s="25">
        <v>17.914583333333329</v>
      </c>
      <c r="AQ396" s="25">
        <v>17.931249999999999</v>
      </c>
      <c r="AR396" s="25">
        <v>17.785416666666652</v>
      </c>
      <c r="AS396" s="25">
        <v>17.695833333333333</v>
      </c>
      <c r="AT396" s="25">
        <v>0.46462500000000007</v>
      </c>
      <c r="AU396" s="25">
        <v>0.30791666666666667</v>
      </c>
      <c r="AV396" s="25">
        <v>0.51893750000000038</v>
      </c>
      <c r="AW396" s="25">
        <v>-17.650833333333331</v>
      </c>
      <c r="AX396" s="25">
        <v>-15.177291666666664</v>
      </c>
      <c r="AY396" s="25">
        <v>-13.77708333333333</v>
      </c>
      <c r="AZ396" s="25"/>
      <c r="BA396" s="25">
        <v>-8.7145833333333265</v>
      </c>
      <c r="BB396" s="25">
        <v>-9.7041666666666586</v>
      </c>
      <c r="BC396" s="25"/>
      <c r="BD396" s="25">
        <v>18.402083333333337</v>
      </c>
      <c r="BE396" s="25">
        <v>18.439583333333335</v>
      </c>
    </row>
    <row r="397" spans="1:57" x14ac:dyDescent="0.25">
      <c r="A397" s="1">
        <v>21.3</v>
      </c>
      <c r="B397" s="1">
        <v>14.3</v>
      </c>
      <c r="C397" s="22"/>
      <c r="D397" s="23">
        <v>44104</v>
      </c>
      <c r="E397" s="24">
        <v>96.916666666666671</v>
      </c>
      <c r="F397" s="24">
        <v>84.831250000000026</v>
      </c>
      <c r="G397" s="24">
        <v>17.425000000000001</v>
      </c>
      <c r="H397" s="24">
        <v>0.2</v>
      </c>
      <c r="I397" s="24">
        <v>238.5625</v>
      </c>
      <c r="J397" s="24">
        <v>3.0208333333333335</v>
      </c>
      <c r="K397" s="24">
        <v>2.0833333333333332E-2</v>
      </c>
      <c r="L397" s="24">
        <v>14.762499999999994</v>
      </c>
      <c r="M397" s="10">
        <v>0.32498057476171205</v>
      </c>
      <c r="N397" s="25">
        <v>0.44704166666666673</v>
      </c>
      <c r="O397" s="25">
        <v>0.53937500000000016</v>
      </c>
      <c r="P397" s="25">
        <v>0.58866666666666612</v>
      </c>
      <c r="Q397" s="25">
        <v>0.59977083333333336</v>
      </c>
      <c r="R397" s="25">
        <v>0.60564583333333322</v>
      </c>
      <c r="S397" s="25">
        <v>0.5088750000000003</v>
      </c>
      <c r="T397" s="25">
        <v>0.47039583333333335</v>
      </c>
      <c r="U397" s="25">
        <v>0.40877083333333325</v>
      </c>
      <c r="V397" s="25">
        <v>-14.015625000000009</v>
      </c>
      <c r="W397" s="25">
        <v>-23.893333333333327</v>
      </c>
      <c r="X397" s="25">
        <v>-12.210416666666669</v>
      </c>
      <c r="Y397" s="25">
        <v>-12.617916666666664</v>
      </c>
      <c r="Z397" s="25">
        <v>-12.348541666666661</v>
      </c>
      <c r="AA397" s="25">
        <v>-12.793124999999998</v>
      </c>
      <c r="AB397" s="25">
        <v>-12.676458333333331</v>
      </c>
      <c r="AC397" s="25">
        <v>-13.29958333333334</v>
      </c>
      <c r="AD397" s="25">
        <v>-8.699999999999994</v>
      </c>
      <c r="AE397" s="25">
        <v>-9.7812500000000053</v>
      </c>
      <c r="AF397" s="25">
        <v>-9.8999999999999915</v>
      </c>
      <c r="AG397" s="25">
        <v>-10.741666666666667</v>
      </c>
      <c r="AH397" s="25">
        <v>-11.26249999999999</v>
      </c>
      <c r="AI397" s="25">
        <v>-9.4291666666666654</v>
      </c>
      <c r="AJ397" s="25">
        <v>-9.110416666666671</v>
      </c>
      <c r="AK397" s="25">
        <v>-9.725000000000005</v>
      </c>
      <c r="AL397" s="25">
        <v>17.983333333333331</v>
      </c>
      <c r="AM397" s="25">
        <v>18.062500000000007</v>
      </c>
      <c r="AN397" s="25">
        <v>18.100000000000012</v>
      </c>
      <c r="AO397" s="25">
        <v>18.200000000000014</v>
      </c>
      <c r="AP397" s="25">
        <v>17.770833333333336</v>
      </c>
      <c r="AQ397" s="25">
        <v>17.931250000000002</v>
      </c>
      <c r="AR397" s="25">
        <v>17.833333333333329</v>
      </c>
      <c r="AS397" s="25">
        <v>17.768750000000004</v>
      </c>
      <c r="AT397" s="25">
        <v>0.45289130434782621</v>
      </c>
      <c r="AU397" s="25">
        <v>0.28685416666666658</v>
      </c>
      <c r="AV397" s="25">
        <v>0.4953333333333334</v>
      </c>
      <c r="AW397" s="25">
        <v>-16.970833333333331</v>
      </c>
      <c r="AX397" s="25">
        <v>-14.820833333333338</v>
      </c>
      <c r="AY397" s="25">
        <v>-13.808333333333332</v>
      </c>
      <c r="AZ397" s="25"/>
      <c r="BA397" s="25">
        <v>-8.7583333333333382</v>
      </c>
      <c r="BB397" s="25">
        <v>-9.7333333333333325</v>
      </c>
      <c r="BC397" s="25"/>
      <c r="BD397" s="25">
        <v>18.227083333333329</v>
      </c>
      <c r="BE397" s="25">
        <v>18.324999999999999</v>
      </c>
    </row>
    <row r="398" spans="1:57" x14ac:dyDescent="0.25">
      <c r="A398" s="1">
        <v>18.3</v>
      </c>
      <c r="B398" s="1">
        <v>16</v>
      </c>
      <c r="C398" s="22"/>
      <c r="D398" s="23">
        <v>44105</v>
      </c>
      <c r="E398" s="24">
        <v>33.645833333333336</v>
      </c>
      <c r="F398" s="24">
        <v>95.210416666666632</v>
      </c>
      <c r="G398" s="24">
        <v>17.170833333333334</v>
      </c>
      <c r="H398" s="24">
        <v>1.4</v>
      </c>
      <c r="I398" s="24">
        <v>228.22916666666666</v>
      </c>
      <c r="J398" s="24">
        <v>4.958333333333333</v>
      </c>
      <c r="K398" s="24">
        <v>0.25</v>
      </c>
      <c r="L398" s="24">
        <v>16.387500000000003</v>
      </c>
      <c r="M398" s="10">
        <v>9.399218529727027E-2</v>
      </c>
      <c r="N398" s="25">
        <v>0.44081249999999977</v>
      </c>
      <c r="O398" s="25">
        <v>0.53356250000000049</v>
      </c>
      <c r="P398" s="25">
        <v>0.58545833333333375</v>
      </c>
      <c r="Q398" s="25">
        <v>0.59643749999999984</v>
      </c>
      <c r="R398" s="25">
        <v>0.60210416666666666</v>
      </c>
      <c r="S398" s="25">
        <v>0.50341666666666662</v>
      </c>
      <c r="T398" s="25">
        <v>0.46795833333333331</v>
      </c>
      <c r="U398" s="25">
        <v>0.40597916666666672</v>
      </c>
      <c r="V398" s="25">
        <v>-13.96354166666667</v>
      </c>
      <c r="W398" s="25">
        <v>-23.942499999999999</v>
      </c>
      <c r="X398" s="25">
        <v>-12.227500000000012</v>
      </c>
      <c r="Y398" s="25">
        <v>-12.65208333333333</v>
      </c>
      <c r="Z398" s="25">
        <v>-12.423333333333332</v>
      </c>
      <c r="AA398" s="25">
        <v>-12.906458333333335</v>
      </c>
      <c r="AB398" s="25">
        <v>-12.788124999999996</v>
      </c>
      <c r="AC398" s="25">
        <v>-13.331458333333336</v>
      </c>
      <c r="AD398" s="25">
        <v>-8.699999999999994</v>
      </c>
      <c r="AE398" s="25">
        <v>-9.7979166666666746</v>
      </c>
      <c r="AF398" s="25">
        <v>-9.8999999999999915</v>
      </c>
      <c r="AG398" s="25">
        <v>-10.747916666666663</v>
      </c>
      <c r="AH398" s="25">
        <v>-11.35416666666667</v>
      </c>
      <c r="AI398" s="25">
        <v>-9.5</v>
      </c>
      <c r="AJ398" s="25">
        <v>-9.1270833333333403</v>
      </c>
      <c r="AK398" s="25">
        <v>-9.8000000000000078</v>
      </c>
      <c r="AL398" s="25">
        <v>18.091666666666679</v>
      </c>
      <c r="AM398" s="25">
        <v>18.135416666666682</v>
      </c>
      <c r="AN398" s="25">
        <v>18.100000000000012</v>
      </c>
      <c r="AO398" s="25">
        <v>18.200000000000014</v>
      </c>
      <c r="AP398" s="25">
        <v>17.897916666666678</v>
      </c>
      <c r="AQ398" s="25">
        <v>18.039583333333336</v>
      </c>
      <c r="AR398" s="25">
        <v>17.899999999999988</v>
      </c>
      <c r="AS398" s="25">
        <v>17.827083333333317</v>
      </c>
      <c r="AT398" s="25">
        <v>0.44840909090909081</v>
      </c>
      <c r="AU398" s="25">
        <v>0.28506249999999983</v>
      </c>
      <c r="AV398" s="25">
        <v>0.48362500000000058</v>
      </c>
      <c r="AW398" s="25">
        <v>-15.583333333333329</v>
      </c>
      <c r="AX398" s="25">
        <v>-14.712499999999991</v>
      </c>
      <c r="AY398" s="25">
        <v>-13.854583333333339</v>
      </c>
      <c r="AZ398" s="25"/>
      <c r="BA398" s="25">
        <v>-8.78541666666667</v>
      </c>
      <c r="BB398" s="25">
        <v>-9.7645833333333325</v>
      </c>
      <c r="BC398" s="25"/>
      <c r="BD398" s="25">
        <v>18.385416666666668</v>
      </c>
      <c r="BE398" s="25">
        <v>18.358333333333331</v>
      </c>
    </row>
    <row r="399" spans="1:57" x14ac:dyDescent="0.25">
      <c r="A399" s="1">
        <v>25.8</v>
      </c>
      <c r="B399" s="1">
        <v>18.399999999999999</v>
      </c>
      <c r="C399" s="22"/>
      <c r="D399" s="23">
        <v>44106</v>
      </c>
      <c r="E399" s="24">
        <v>113.4375</v>
      </c>
      <c r="F399" s="24">
        <v>86.733333333333334</v>
      </c>
      <c r="G399" s="24">
        <v>20.795833333333324</v>
      </c>
      <c r="H399" s="24">
        <v>0.89999999999999991</v>
      </c>
      <c r="I399" s="24">
        <v>234.0625</v>
      </c>
      <c r="J399" s="24">
        <v>14.354166666666666</v>
      </c>
      <c r="K399" s="24">
        <v>2.7916666666666665</v>
      </c>
      <c r="L399" s="24">
        <v>18.443750000000005</v>
      </c>
      <c r="M399" s="10">
        <v>0.34971332741970568</v>
      </c>
      <c r="N399" s="25">
        <v>0.44768750000000002</v>
      </c>
      <c r="O399" s="25">
        <v>0.53368750000000043</v>
      </c>
      <c r="P399" s="25">
        <v>0.58470833333333327</v>
      </c>
      <c r="Q399" s="25">
        <v>0.59518750000000031</v>
      </c>
      <c r="R399" s="25">
        <v>0.60543750000000063</v>
      </c>
      <c r="S399" s="25">
        <v>0.50183333333333324</v>
      </c>
      <c r="T399" s="25">
        <v>0.46687500000000021</v>
      </c>
      <c r="U399" s="25">
        <v>0.4044999999999998</v>
      </c>
      <c r="V399" s="25">
        <v>-13.843124999999999</v>
      </c>
      <c r="W399" s="25">
        <v>-24.099999999999994</v>
      </c>
      <c r="X399" s="25">
        <v>-12.222083333333336</v>
      </c>
      <c r="Y399" s="25">
        <v>-12.688958333333339</v>
      </c>
      <c r="Z399" s="25">
        <v>-12.252708333333333</v>
      </c>
      <c r="AA399" s="25">
        <v>-12.918750000000001</v>
      </c>
      <c r="AB399" s="25">
        <v>-12.834999999999999</v>
      </c>
      <c r="AC399" s="25">
        <v>-13.330000000000005</v>
      </c>
      <c r="AD399" s="25">
        <v>-8.699999999999994</v>
      </c>
      <c r="AE399" s="25">
        <v>-9.7999999999999918</v>
      </c>
      <c r="AF399" s="25">
        <v>-9.9270833333333304</v>
      </c>
      <c r="AG399" s="25">
        <v>-10.747916666666669</v>
      </c>
      <c r="AH399" s="25">
        <v>-11.30416666666666</v>
      </c>
      <c r="AI399" s="25">
        <v>-9.5</v>
      </c>
      <c r="AJ399" s="25">
        <v>-9.1083333333333378</v>
      </c>
      <c r="AK399" s="25">
        <v>-9.8145833333333368</v>
      </c>
      <c r="AL399" s="25">
        <v>18.739583333333329</v>
      </c>
      <c r="AM399" s="25">
        <v>18.327083333333331</v>
      </c>
      <c r="AN399" s="25">
        <v>18.193750000000001</v>
      </c>
      <c r="AO399" s="25">
        <v>18.206250000000008</v>
      </c>
      <c r="AP399" s="25">
        <v>18.987500000000001</v>
      </c>
      <c r="AQ399" s="25">
        <v>18.43333333333333</v>
      </c>
      <c r="AR399" s="25">
        <v>18.118750000000002</v>
      </c>
      <c r="AS399" s="25">
        <v>17.979166666666671</v>
      </c>
      <c r="AT399" s="25">
        <v>0.4507199999999999</v>
      </c>
      <c r="AU399" s="25">
        <v>0.28604166666666669</v>
      </c>
      <c r="AV399" s="25">
        <v>0.48510416666666673</v>
      </c>
      <c r="AW399" s="25">
        <v>-15.489999999999997</v>
      </c>
      <c r="AX399" s="25">
        <v>-14.560625000000002</v>
      </c>
      <c r="AY399" s="25">
        <v>-13.792413793103449</v>
      </c>
      <c r="AZ399" s="25"/>
      <c r="BA399" s="25">
        <v>-8.7416666666666689</v>
      </c>
      <c r="BB399" s="25">
        <v>-9.7354166666666675</v>
      </c>
      <c r="BC399" s="25"/>
      <c r="BD399" s="25">
        <v>19.672916666666669</v>
      </c>
      <c r="BE399" s="25">
        <v>19.252083333333335</v>
      </c>
    </row>
    <row r="400" spans="1:57" x14ac:dyDescent="0.25">
      <c r="A400" s="1">
        <v>26.9</v>
      </c>
      <c r="B400" s="1">
        <v>20.100000000000001</v>
      </c>
      <c r="C400" s="22"/>
      <c r="D400" s="23">
        <v>44107</v>
      </c>
      <c r="E400" s="24">
        <v>119.47916666666667</v>
      </c>
      <c r="F400" s="24">
        <v>83.35208333333334</v>
      </c>
      <c r="G400" s="24">
        <v>22.120833333333337</v>
      </c>
      <c r="H400" s="24">
        <v>0</v>
      </c>
      <c r="I400" s="24">
        <v>231.52083333333334</v>
      </c>
      <c r="J400" s="24">
        <v>12.416666666666666</v>
      </c>
      <c r="K400" s="24">
        <v>2.1458333333333335</v>
      </c>
      <c r="L400" s="24">
        <v>19.091666666666669</v>
      </c>
      <c r="M400" s="10">
        <v>0.46969517153563012</v>
      </c>
      <c r="N400" s="25">
        <v>0.43910416666666641</v>
      </c>
      <c r="O400" s="25">
        <v>0.53120833333333339</v>
      </c>
      <c r="P400" s="25">
        <v>0.58281249999999973</v>
      </c>
      <c r="Q400" s="25">
        <v>0.59381250000000008</v>
      </c>
      <c r="R400" s="25">
        <v>0.60379166666666706</v>
      </c>
      <c r="S400" s="25">
        <v>0.49800000000000022</v>
      </c>
      <c r="T400" s="25">
        <v>0.46506249999999977</v>
      </c>
      <c r="U400" s="25">
        <v>0.40225000000000005</v>
      </c>
      <c r="V400" s="25">
        <v>-13.754583333333338</v>
      </c>
      <c r="W400" s="25">
        <v>-25.568333333333328</v>
      </c>
      <c r="X400" s="25">
        <v>-12.288958333333332</v>
      </c>
      <c r="Y400" s="25">
        <v>-12.782916666666667</v>
      </c>
      <c r="Z400" s="25">
        <v>-12.427291666666667</v>
      </c>
      <c r="AA400" s="25">
        <v>-13.203333333333331</v>
      </c>
      <c r="AB400" s="25">
        <v>-12.990208333333335</v>
      </c>
      <c r="AC400" s="25">
        <v>-13.357499999999993</v>
      </c>
      <c r="AD400" s="25">
        <v>-8.71458333333333</v>
      </c>
      <c r="AE400" s="25">
        <v>-9.9437500000000014</v>
      </c>
      <c r="AF400" s="25">
        <v>-9.9666666666666686</v>
      </c>
      <c r="AG400" s="25">
        <v>-10.837499999999997</v>
      </c>
      <c r="AH400" s="25">
        <v>-11.629166666666668</v>
      </c>
      <c r="AI400" s="25">
        <v>-9.5458333333333432</v>
      </c>
      <c r="AJ400" s="25">
        <v>-9.1812499999999932</v>
      </c>
      <c r="AK400" s="25">
        <v>-9.8479166666666593</v>
      </c>
      <c r="AL400" s="25">
        <v>19.668749999999996</v>
      </c>
      <c r="AM400" s="25">
        <v>18.893750000000001</v>
      </c>
      <c r="AN400" s="25">
        <v>18.485416666666673</v>
      </c>
      <c r="AO400" s="25">
        <v>18.399999999999991</v>
      </c>
      <c r="AP400" s="25">
        <v>20.041666666666668</v>
      </c>
      <c r="AQ400" s="25">
        <v>19.283333333333335</v>
      </c>
      <c r="AR400" s="25">
        <v>18.735416666666666</v>
      </c>
      <c r="AS400" s="25">
        <v>18.487500000000004</v>
      </c>
      <c r="AT400" s="25">
        <v>0.44043243243243241</v>
      </c>
      <c r="AU400" s="25">
        <v>0.27770833333333339</v>
      </c>
      <c r="AV400" s="25">
        <v>0.46781249999999991</v>
      </c>
      <c r="AW400" s="25">
        <v>-15.541875000000003</v>
      </c>
      <c r="AX400" s="25">
        <v>-14.570208333333335</v>
      </c>
      <c r="AY400" s="25"/>
      <c r="AZ400" s="25"/>
      <c r="BA400" s="25">
        <v>-8.8458333333333261</v>
      </c>
      <c r="BB400" s="25">
        <v>-9.9062500000000071</v>
      </c>
      <c r="BC400" s="25"/>
      <c r="BD400" s="25">
        <v>20.479166666666664</v>
      </c>
      <c r="BE400" s="25">
        <v>20.129166666666663</v>
      </c>
    </row>
    <row r="401" spans="1:57" x14ac:dyDescent="0.25">
      <c r="A401" s="1">
        <v>20.8</v>
      </c>
      <c r="B401" s="1">
        <v>14.4</v>
      </c>
      <c r="C401" s="22"/>
      <c r="D401" s="23">
        <v>44108</v>
      </c>
      <c r="E401" s="24">
        <v>38.583333333333336</v>
      </c>
      <c r="F401" s="24">
        <v>91.616666666666674</v>
      </c>
      <c r="G401" s="24">
        <v>16.5</v>
      </c>
      <c r="H401" s="24">
        <v>3.1000000000000005</v>
      </c>
      <c r="I401" s="24">
        <v>202.875</v>
      </c>
      <c r="J401" s="24">
        <v>4.604166666666667</v>
      </c>
      <c r="K401" s="24">
        <v>6.25E-2</v>
      </c>
      <c r="L401" s="24">
        <v>15.116666666666669</v>
      </c>
      <c r="M401" s="10">
        <v>0.15742772069978681</v>
      </c>
      <c r="N401" s="25">
        <v>0.43289583333333331</v>
      </c>
      <c r="O401" s="25">
        <v>0.52720833333333317</v>
      </c>
      <c r="P401" s="25">
        <v>0.58162499999999961</v>
      </c>
      <c r="Q401" s="25">
        <v>0.59368750000000015</v>
      </c>
      <c r="R401" s="25">
        <v>0.59997916666666673</v>
      </c>
      <c r="S401" s="25">
        <v>0.49570833333333358</v>
      </c>
      <c r="T401" s="25">
        <v>0.46502083333333322</v>
      </c>
      <c r="U401" s="25">
        <v>0.40177083333333324</v>
      </c>
      <c r="V401" s="25">
        <v>-13.885625000000006</v>
      </c>
      <c r="W401" s="25">
        <v>-27.533541666666668</v>
      </c>
      <c r="X401" s="25">
        <v>-12.474375000000007</v>
      </c>
      <c r="Y401" s="25">
        <v>-12.915625000000006</v>
      </c>
      <c r="Z401" s="25">
        <v>-13.262916666666669</v>
      </c>
      <c r="AA401" s="25">
        <v>-13.817708333333334</v>
      </c>
      <c r="AB401" s="25">
        <v>-13.364166666666675</v>
      </c>
      <c r="AC401" s="25">
        <v>-13.462083333333331</v>
      </c>
      <c r="AD401" s="25">
        <v>-8.7708333333333375</v>
      </c>
      <c r="AE401" s="25">
        <v>-10.058333333333341</v>
      </c>
      <c r="AF401" s="25">
        <v>-9.9812499999999957</v>
      </c>
      <c r="AG401" s="25">
        <v>-10.899999999999991</v>
      </c>
      <c r="AH401" s="25">
        <v>-11.57916666666666</v>
      </c>
      <c r="AI401" s="25">
        <v>-9.6000000000000085</v>
      </c>
      <c r="AJ401" s="25">
        <v>-9.2062499999999936</v>
      </c>
      <c r="AK401" s="25">
        <v>-9.8999999999999915</v>
      </c>
      <c r="AL401" s="25">
        <v>19.331250000000001</v>
      </c>
      <c r="AM401" s="25">
        <v>19.164583333333336</v>
      </c>
      <c r="AN401" s="25">
        <v>18.783333333333317</v>
      </c>
      <c r="AO401" s="25">
        <v>18.656250000000018</v>
      </c>
      <c r="AP401" s="25">
        <v>19.049999999999997</v>
      </c>
      <c r="AQ401" s="25">
        <v>19.335416666666671</v>
      </c>
      <c r="AR401" s="25">
        <v>19.039583333333326</v>
      </c>
      <c r="AS401" s="25">
        <v>18.837499999999988</v>
      </c>
      <c r="AT401" s="25">
        <v>0.44063414634146336</v>
      </c>
      <c r="AU401" s="25">
        <v>0.2822708333333333</v>
      </c>
      <c r="AV401" s="25">
        <v>0.46056249999999971</v>
      </c>
      <c r="AW401" s="25">
        <v>-16.595625000000002</v>
      </c>
      <c r="AX401" s="25">
        <v>-14.885624999999999</v>
      </c>
      <c r="AY401" s="25"/>
      <c r="AZ401" s="25"/>
      <c r="BA401" s="25">
        <v>-8.7729166666666636</v>
      </c>
      <c r="BB401" s="25">
        <v>-10.100000000000009</v>
      </c>
      <c r="BC401" s="25"/>
      <c r="BD401" s="25">
        <v>18.891666666666666</v>
      </c>
      <c r="BE401" s="25">
        <v>19.504166666666659</v>
      </c>
    </row>
    <row r="402" spans="1:57" x14ac:dyDescent="0.25">
      <c r="A402" s="1">
        <v>15.8</v>
      </c>
      <c r="B402" s="1">
        <v>11.5</v>
      </c>
      <c r="C402" s="22"/>
      <c r="D402" s="23">
        <v>44109</v>
      </c>
      <c r="E402" s="24">
        <v>50.916666666666664</v>
      </c>
      <c r="F402" s="24">
        <v>91.243749999999977</v>
      </c>
      <c r="G402" s="24">
        <v>13.393749999999995</v>
      </c>
      <c r="H402" s="24">
        <v>0.89999999999999991</v>
      </c>
      <c r="I402" s="24">
        <v>198.39583333333334</v>
      </c>
      <c r="J402" s="24">
        <v>4.645833333333333</v>
      </c>
      <c r="K402" s="24">
        <v>6.25E-2</v>
      </c>
      <c r="L402" s="24">
        <v>11.993749999999999</v>
      </c>
      <c r="M402" s="10">
        <v>0.13719330875408661</v>
      </c>
      <c r="N402" s="25">
        <v>0.42599999999999971</v>
      </c>
      <c r="O402" s="25">
        <v>0.52106249999999965</v>
      </c>
      <c r="P402" s="25">
        <v>0.57722916666666657</v>
      </c>
      <c r="Q402" s="25">
        <v>0.5918125000000003</v>
      </c>
      <c r="R402" s="25">
        <v>0.59283333333333343</v>
      </c>
      <c r="S402" s="25">
        <v>0.49177083333333305</v>
      </c>
      <c r="T402" s="25">
        <v>0.46347916666666661</v>
      </c>
      <c r="U402" s="25">
        <v>0.4006874999999997</v>
      </c>
      <c r="V402" s="25">
        <v>-14.12291666666667</v>
      </c>
      <c r="W402" s="25">
        <v>-29.380000000000006</v>
      </c>
      <c r="X402" s="25">
        <v>-12.796041666666662</v>
      </c>
      <c r="Y402" s="25">
        <v>-13.079583333333327</v>
      </c>
      <c r="Z402" s="25">
        <v>-13.948333333333332</v>
      </c>
      <c r="AA402" s="25">
        <v>-14.350625000000001</v>
      </c>
      <c r="AB402" s="25">
        <v>-13.608958333333334</v>
      </c>
      <c r="AC402" s="25">
        <v>-13.592083333333322</v>
      </c>
      <c r="AD402" s="25">
        <v>-8.814583333333335</v>
      </c>
      <c r="AE402" s="25">
        <v>-10.100000000000009</v>
      </c>
      <c r="AF402" s="25">
        <v>-9.9249999999999918</v>
      </c>
      <c r="AG402" s="25">
        <v>-10.899999999999991</v>
      </c>
      <c r="AH402" s="25">
        <v>-11.437499999999991</v>
      </c>
      <c r="AI402" s="25">
        <v>-9.64791666666666</v>
      </c>
      <c r="AJ402" s="25">
        <v>-9.2833333333333385</v>
      </c>
      <c r="AK402" s="25">
        <v>-9.8999999999999915</v>
      </c>
      <c r="AL402" s="25">
        <v>17.887499999999996</v>
      </c>
      <c r="AM402" s="25">
        <v>18.504166666666663</v>
      </c>
      <c r="AN402" s="25">
        <v>18.610416666666666</v>
      </c>
      <c r="AO402" s="25">
        <v>18.637500000000006</v>
      </c>
      <c r="AP402" s="25">
        <v>17.091666666666669</v>
      </c>
      <c r="AQ402" s="25">
        <v>18.106249999999996</v>
      </c>
      <c r="AR402" s="25">
        <v>18.28125</v>
      </c>
      <c r="AS402" s="25">
        <v>18.331250000000008</v>
      </c>
      <c r="AT402" s="25">
        <v>0.43513043478260849</v>
      </c>
      <c r="AU402" s="25">
        <v>0.27579166666666705</v>
      </c>
      <c r="AV402" s="25">
        <v>0.45595833333333363</v>
      </c>
      <c r="AW402" s="25">
        <v>-16.19458333333333</v>
      </c>
      <c r="AX402" s="25">
        <v>-15.070833333333333</v>
      </c>
      <c r="AY402" s="25"/>
      <c r="AZ402" s="25"/>
      <c r="BA402" s="25">
        <v>-8.7979166666666728</v>
      </c>
      <c r="BB402" s="25">
        <v>-10.100000000000009</v>
      </c>
      <c r="BC402" s="25"/>
      <c r="BD402" s="25">
        <v>17.387500000000003</v>
      </c>
      <c r="BE402" s="25">
        <v>18.139583333333341</v>
      </c>
    </row>
    <row r="403" spans="1:57" x14ac:dyDescent="0.25">
      <c r="A403" s="1">
        <v>15.2</v>
      </c>
      <c r="B403" s="1">
        <v>10.5</v>
      </c>
      <c r="C403" s="22"/>
      <c r="D403" s="23">
        <v>44110</v>
      </c>
      <c r="E403" s="24">
        <v>56.104166666666664</v>
      </c>
      <c r="F403" s="24">
        <v>90.797916666666666</v>
      </c>
      <c r="G403" s="24">
        <v>12.17708333333333</v>
      </c>
      <c r="H403" s="24">
        <v>0.60000000000000009</v>
      </c>
      <c r="I403" s="24">
        <v>231.45833333333334</v>
      </c>
      <c r="J403" s="24">
        <v>4.395833333333333</v>
      </c>
      <c r="K403" s="24">
        <v>0</v>
      </c>
      <c r="L403" s="24">
        <v>10.679166666666665</v>
      </c>
      <c r="M403" s="10">
        <v>0.13756485686660683</v>
      </c>
      <c r="N403" s="25">
        <v>0.41931249999999998</v>
      </c>
      <c r="O403" s="25">
        <v>0.51450000000000029</v>
      </c>
      <c r="P403" s="25">
        <v>0.5716458333333333</v>
      </c>
      <c r="Q403" s="25">
        <v>0.58814583333333303</v>
      </c>
      <c r="R403" s="25">
        <v>0.58589583333333362</v>
      </c>
      <c r="S403" s="25">
        <v>0.48729166666666668</v>
      </c>
      <c r="T403" s="25">
        <v>0.460979166666667</v>
      </c>
      <c r="U403" s="25">
        <v>0.39925000000000027</v>
      </c>
      <c r="V403" s="25">
        <v>-14.313333333333333</v>
      </c>
      <c r="W403" s="25">
        <v>-31.43812500000001</v>
      </c>
      <c r="X403" s="25">
        <v>-13.363333333333335</v>
      </c>
      <c r="Y403" s="25">
        <v>-13.277916666666663</v>
      </c>
      <c r="Z403" s="25">
        <v>-14.687291666666672</v>
      </c>
      <c r="AA403" s="25">
        <v>-14.901666666666666</v>
      </c>
      <c r="AB403" s="25">
        <v>-13.872916666666661</v>
      </c>
      <c r="AC403" s="25">
        <v>-13.76729166666667</v>
      </c>
      <c r="AD403" s="25">
        <v>-8.8770833333333261</v>
      </c>
      <c r="AE403" s="25">
        <v>-10.100000000000009</v>
      </c>
      <c r="AF403" s="25">
        <v>-9.8999999999999915</v>
      </c>
      <c r="AG403" s="25">
        <v>-10.902083333333325</v>
      </c>
      <c r="AH403" s="25">
        <v>-11.447916666666666</v>
      </c>
      <c r="AI403" s="25">
        <v>-9.6958333333333258</v>
      </c>
      <c r="AJ403" s="25">
        <v>-9.3000000000000078</v>
      </c>
      <c r="AK403" s="25">
        <v>-9.8999999999999915</v>
      </c>
      <c r="AL403" s="25">
        <v>16.795833333333331</v>
      </c>
      <c r="AM403" s="25">
        <v>17.735416666666669</v>
      </c>
      <c r="AN403" s="25">
        <v>18.164583333333336</v>
      </c>
      <c r="AO403" s="25">
        <v>18.347916666666666</v>
      </c>
      <c r="AP403" s="25">
        <v>15.754166666666665</v>
      </c>
      <c r="AQ403" s="25">
        <v>17.004166666666652</v>
      </c>
      <c r="AR403" s="25">
        <v>17.402083333333344</v>
      </c>
      <c r="AS403" s="25">
        <v>17.593749999999989</v>
      </c>
      <c r="AT403" s="25">
        <v>0.42843589743589744</v>
      </c>
      <c r="AU403" s="25">
        <v>0.27254166666666685</v>
      </c>
      <c r="AV403" s="25">
        <v>0.44683333333333319</v>
      </c>
      <c r="AW403" s="25">
        <v>-17.077708333333327</v>
      </c>
      <c r="AX403" s="25">
        <v>-15.246249999999998</v>
      </c>
      <c r="AY403" s="25"/>
      <c r="AZ403" s="25"/>
      <c r="BA403" s="25">
        <v>-8.800000000000006</v>
      </c>
      <c r="BB403" s="25">
        <v>-10.104166666666673</v>
      </c>
      <c r="BC403" s="25"/>
      <c r="BD403" s="25">
        <v>16.504166666666666</v>
      </c>
      <c r="BE403" s="25">
        <v>17.081249999999994</v>
      </c>
    </row>
    <row r="404" spans="1:57" x14ac:dyDescent="0.25">
      <c r="A404" s="1">
        <v>17.399999999999999</v>
      </c>
      <c r="B404" s="1">
        <v>10.7</v>
      </c>
      <c r="C404" s="22"/>
      <c r="D404" s="23">
        <v>44111</v>
      </c>
      <c r="E404" s="24">
        <v>60.166666666666664</v>
      </c>
      <c r="F404" s="24">
        <v>88.256250000000009</v>
      </c>
      <c r="G404" s="24">
        <v>13.13125</v>
      </c>
      <c r="H404" s="24">
        <v>0.4</v>
      </c>
      <c r="I404" s="24">
        <v>221.47916666666666</v>
      </c>
      <c r="J404" s="24">
        <v>2.1875</v>
      </c>
      <c r="K404" s="24">
        <v>0</v>
      </c>
      <c r="L404" s="24">
        <v>11.175000000000002</v>
      </c>
      <c r="M404" s="10">
        <v>0.19137339812726539</v>
      </c>
      <c r="N404" s="25">
        <v>0.41506250000000011</v>
      </c>
      <c r="O404" s="25">
        <v>0.50964583333333324</v>
      </c>
      <c r="P404" s="25">
        <v>0.56706250000000025</v>
      </c>
      <c r="Q404" s="25">
        <v>0.58433333333333304</v>
      </c>
      <c r="R404" s="25">
        <v>0.58160416666666637</v>
      </c>
      <c r="S404" s="25">
        <v>0.48364583333333333</v>
      </c>
      <c r="T404" s="25">
        <v>0.45829166666666676</v>
      </c>
      <c r="U404" s="25">
        <v>0.39725000000000016</v>
      </c>
      <c r="V404" s="25">
        <v>-14.376458333333339</v>
      </c>
      <c r="W404" s="25">
        <v>-33.687083333333327</v>
      </c>
      <c r="X404" s="25">
        <v>-14.173958333333331</v>
      </c>
      <c r="Y404" s="25">
        <v>-13.578958333333333</v>
      </c>
      <c r="Z404" s="25">
        <v>-15.613541666666668</v>
      </c>
      <c r="AA404" s="25">
        <v>-15.444791666666667</v>
      </c>
      <c r="AB404" s="25">
        <v>-14.172916666666667</v>
      </c>
      <c r="AC404" s="25">
        <v>-14.027916666666671</v>
      </c>
      <c r="AD404" s="25">
        <v>-8.9166666666666625</v>
      </c>
      <c r="AE404" s="25">
        <v>-10.133333333333331</v>
      </c>
      <c r="AF404" s="25">
        <v>-9.8999999999999915</v>
      </c>
      <c r="AG404" s="25">
        <v>-10.933333333333332</v>
      </c>
      <c r="AH404" s="25">
        <v>-11.516666666666673</v>
      </c>
      <c r="AI404" s="25">
        <v>-9.8479166666666682</v>
      </c>
      <c r="AJ404" s="25">
        <v>-9.3395833333333282</v>
      </c>
      <c r="AK404" s="25">
        <v>-9.9145833333333275</v>
      </c>
      <c r="AL404" s="25">
        <v>16.356250000000006</v>
      </c>
      <c r="AM404" s="25">
        <v>17.212500000000009</v>
      </c>
      <c r="AN404" s="25">
        <v>17.727083333333344</v>
      </c>
      <c r="AO404" s="25">
        <v>17.974999999999987</v>
      </c>
      <c r="AP404" s="25">
        <v>15.435416666666663</v>
      </c>
      <c r="AQ404" s="25">
        <v>16.466666666666665</v>
      </c>
      <c r="AR404" s="25">
        <v>16.831250000000015</v>
      </c>
      <c r="AS404" s="25">
        <v>17.043749999999992</v>
      </c>
      <c r="AT404" s="25">
        <v>0.42381250000000015</v>
      </c>
      <c r="AU404" s="25">
        <v>0.26964583333333325</v>
      </c>
      <c r="AV404" s="25">
        <v>0.43943749999999998</v>
      </c>
      <c r="AW404" s="25">
        <v>-16.021875000000005</v>
      </c>
      <c r="AX404" s="25">
        <v>-15.268749999999999</v>
      </c>
      <c r="AY404" s="25"/>
      <c r="AZ404" s="25"/>
      <c r="BA404" s="25">
        <v>-8.8333333333333304</v>
      </c>
      <c r="BB404" s="25">
        <v>-10.156249999999993</v>
      </c>
      <c r="BC404" s="25"/>
      <c r="BD404" s="25">
        <v>16.379166666666666</v>
      </c>
      <c r="BE404" s="25">
        <v>16.797916666666669</v>
      </c>
    </row>
    <row r="405" spans="1:57" x14ac:dyDescent="0.25">
      <c r="A405" s="1">
        <v>16.2</v>
      </c>
      <c r="B405" s="1">
        <v>12.2</v>
      </c>
      <c r="C405" s="22"/>
      <c r="D405" s="23">
        <v>44112</v>
      </c>
      <c r="E405" s="24">
        <v>47.916666666666664</v>
      </c>
      <c r="F405" s="24">
        <v>89.012499999999974</v>
      </c>
      <c r="G405" s="24">
        <v>13.839583333333332</v>
      </c>
      <c r="H405" s="24">
        <v>0.2</v>
      </c>
      <c r="I405" s="24">
        <v>234.14583333333334</v>
      </c>
      <c r="J405" s="24">
        <v>2.6875</v>
      </c>
      <c r="K405" s="24">
        <v>4.1666666666666664E-2</v>
      </c>
      <c r="L405" s="24">
        <v>12.043750000000001</v>
      </c>
      <c r="M405" s="10">
        <v>0.17849102765144112</v>
      </c>
      <c r="N405" s="25">
        <v>0.41168750000000015</v>
      </c>
      <c r="O405" s="25">
        <v>0.5068125</v>
      </c>
      <c r="P405" s="25">
        <v>0.5631458333333339</v>
      </c>
      <c r="Q405" s="25">
        <v>0.58085416666666589</v>
      </c>
      <c r="R405" s="25">
        <v>0.57931250000000045</v>
      </c>
      <c r="S405" s="25">
        <v>0.48102083333333345</v>
      </c>
      <c r="T405" s="25">
        <v>0.45643749999999977</v>
      </c>
      <c r="U405" s="25">
        <v>0.39510416666666637</v>
      </c>
      <c r="V405" s="25">
        <v>-14.408749999999998</v>
      </c>
      <c r="W405" s="25">
        <v>-37.865416666666661</v>
      </c>
      <c r="X405" s="25">
        <v>-15.229374999999997</v>
      </c>
      <c r="Y405" s="25">
        <v>-14.083541666666667</v>
      </c>
      <c r="Z405" s="25">
        <v>-17.181875000000002</v>
      </c>
      <c r="AA405" s="25">
        <v>-16.161458333333332</v>
      </c>
      <c r="AB405" s="25">
        <v>-14.627083333333333</v>
      </c>
      <c r="AC405" s="25">
        <v>-14.395208333333327</v>
      </c>
      <c r="AD405" s="25">
        <v>-9.0125000000000028</v>
      </c>
      <c r="AE405" s="25">
        <v>-10.224999999999998</v>
      </c>
      <c r="AF405" s="25">
        <v>-9.8999999999999915</v>
      </c>
      <c r="AG405" s="25">
        <v>-10.99375</v>
      </c>
      <c r="AH405" s="25">
        <v>-11.645833333333334</v>
      </c>
      <c r="AI405" s="25">
        <v>-10.191666666666668</v>
      </c>
      <c r="AJ405" s="25">
        <v>-9.4645833333333353</v>
      </c>
      <c r="AK405" s="25">
        <v>-9.9916666666666671</v>
      </c>
      <c r="AL405" s="25">
        <v>16.362499999999997</v>
      </c>
      <c r="AM405" s="25">
        <v>17.016666666666662</v>
      </c>
      <c r="AN405" s="25">
        <v>17.445833333333322</v>
      </c>
      <c r="AO405" s="25">
        <v>17.702083333333345</v>
      </c>
      <c r="AP405" s="25">
        <v>15.664583333333331</v>
      </c>
      <c r="AQ405" s="25">
        <v>16.418749999999999</v>
      </c>
      <c r="AR405" s="25">
        <v>16.641666666666676</v>
      </c>
      <c r="AS405" s="25">
        <v>16.779166666666686</v>
      </c>
      <c r="AT405" s="25">
        <v>0.42025000000000001</v>
      </c>
      <c r="AU405" s="25">
        <v>0.26483333333333331</v>
      </c>
      <c r="AV405" s="25">
        <v>0.43168749999999961</v>
      </c>
      <c r="AW405" s="25">
        <v>-15.952500000000001</v>
      </c>
      <c r="AX405" s="25">
        <v>-15.259583333333337</v>
      </c>
      <c r="AY405" s="25"/>
      <c r="AZ405" s="25"/>
      <c r="BA405" s="25">
        <v>-8.8999999999999932</v>
      </c>
      <c r="BB405" s="25">
        <v>-10.302083333333323</v>
      </c>
      <c r="BC405" s="25"/>
      <c r="BD405" s="25">
        <v>16.577083333333334</v>
      </c>
      <c r="BE405" s="25">
        <v>16.702083333333324</v>
      </c>
    </row>
    <row r="406" spans="1:57" x14ac:dyDescent="0.25">
      <c r="A406" s="1">
        <v>19.8</v>
      </c>
      <c r="B406" s="1">
        <v>11.6</v>
      </c>
      <c r="C406" s="22"/>
      <c r="D406" s="23">
        <v>44113</v>
      </c>
      <c r="E406" s="24">
        <v>114.39583333333333</v>
      </c>
      <c r="F406" s="24">
        <v>82.533333333333317</v>
      </c>
      <c r="G406" s="24">
        <v>14.920833333333334</v>
      </c>
      <c r="H406" s="24">
        <v>0</v>
      </c>
      <c r="I406" s="24">
        <v>240.3125</v>
      </c>
      <c r="J406" s="24">
        <v>3.4375</v>
      </c>
      <c r="K406" s="24">
        <v>0.125</v>
      </c>
      <c r="L406" s="24">
        <v>11.841666666666667</v>
      </c>
      <c r="M406" s="10">
        <v>0.33124684186052056</v>
      </c>
      <c r="N406" s="25">
        <v>0.40729166666666666</v>
      </c>
      <c r="O406" s="25">
        <v>0.50345833333333301</v>
      </c>
      <c r="P406" s="25">
        <v>0.55912500000000021</v>
      </c>
      <c r="Q406" s="25">
        <v>0.57795833333333346</v>
      </c>
      <c r="R406" s="25">
        <v>0.57650000000000035</v>
      </c>
      <c r="S406" s="25">
        <v>0.4778541666666663</v>
      </c>
      <c r="T406" s="25">
        <v>0.45362500000000017</v>
      </c>
      <c r="U406" s="25">
        <v>0.39289583333333306</v>
      </c>
      <c r="V406" s="25">
        <v>-14.910416666666663</v>
      </c>
      <c r="W406" s="25">
        <v>-44.18333333333333</v>
      </c>
      <c r="X406" s="25">
        <v>-16.515625000000004</v>
      </c>
      <c r="Y406" s="25">
        <v>-14.921875</v>
      </c>
      <c r="Z406" s="25">
        <v>-19.368124999999999</v>
      </c>
      <c r="AA406" s="25">
        <v>-16.977708333333336</v>
      </c>
      <c r="AB406" s="25">
        <v>-15.136041666666666</v>
      </c>
      <c r="AC406" s="25">
        <v>-14.767083333333334</v>
      </c>
      <c r="AD406" s="25">
        <v>-9.1604166666666647</v>
      </c>
      <c r="AE406" s="25">
        <v>-10.354166666666664</v>
      </c>
      <c r="AF406" s="25">
        <v>-9.9041666666666597</v>
      </c>
      <c r="AG406" s="25">
        <v>-11.039583333333342</v>
      </c>
      <c r="AH406" s="25">
        <v>-12.002083333333333</v>
      </c>
      <c r="AI406" s="25">
        <v>-10.714583333333335</v>
      </c>
      <c r="AJ406" s="25">
        <v>-9.5833333333333339</v>
      </c>
      <c r="AK406" s="25">
        <v>-10.081250000000001</v>
      </c>
      <c r="AL406" s="25">
        <v>16.452083333333327</v>
      </c>
      <c r="AM406" s="25">
        <v>16.916666666666661</v>
      </c>
      <c r="AN406" s="25">
        <v>17.262500000000021</v>
      </c>
      <c r="AO406" s="25">
        <v>17.533333333333331</v>
      </c>
      <c r="AP406" s="25">
        <v>15.92708333333333</v>
      </c>
      <c r="AQ406" s="25">
        <v>16.4375</v>
      </c>
      <c r="AR406" s="25">
        <v>16.575000000000006</v>
      </c>
      <c r="AS406" s="25">
        <v>16.658333333333346</v>
      </c>
      <c r="AT406" s="25">
        <v>0.41531034482758622</v>
      </c>
      <c r="AU406" s="25">
        <v>0.25906250000000003</v>
      </c>
      <c r="AV406" s="25">
        <v>0.42233333333333339</v>
      </c>
      <c r="AW406" s="25">
        <v>-15.901041666666664</v>
      </c>
      <c r="AX406" s="25">
        <v>-15.308750000000002</v>
      </c>
      <c r="AY406" s="25"/>
      <c r="AZ406" s="25"/>
      <c r="BA406" s="25">
        <v>-9.0250000000000004</v>
      </c>
      <c r="BB406" s="25">
        <v>-10.937500000000002</v>
      </c>
      <c r="BC406" s="25"/>
      <c r="BD406" s="25">
        <v>16.837499999999995</v>
      </c>
      <c r="BE406" s="25">
        <v>16.887500000000006</v>
      </c>
    </row>
    <row r="407" spans="1:57" x14ac:dyDescent="0.25">
      <c r="A407" s="1">
        <v>22.9</v>
      </c>
      <c r="B407" s="1">
        <v>12.3</v>
      </c>
      <c r="C407" s="22"/>
      <c r="D407" s="23">
        <v>44114</v>
      </c>
      <c r="E407" s="24">
        <v>153.45833333333334</v>
      </c>
      <c r="F407" s="24">
        <v>79.456249999999997</v>
      </c>
      <c r="G407" s="24">
        <v>16.185416666666665</v>
      </c>
      <c r="H407" s="24">
        <v>0</v>
      </c>
      <c r="I407" s="24">
        <v>225.77083333333334</v>
      </c>
      <c r="J407" s="24">
        <v>4.791666666666667</v>
      </c>
      <c r="K407" s="24">
        <v>8.3333333333333329E-2</v>
      </c>
      <c r="L407" s="24">
        <v>12.38958333333334</v>
      </c>
      <c r="M407" s="10">
        <v>0.43641562614044083</v>
      </c>
      <c r="N407" s="25">
        <v>0.39922916666666652</v>
      </c>
      <c r="O407" s="25">
        <v>0.49939583333333321</v>
      </c>
      <c r="P407" s="25">
        <v>0.55304166666666654</v>
      </c>
      <c r="Q407" s="25">
        <v>0.57422916666666646</v>
      </c>
      <c r="R407" s="25">
        <v>0.5728749999999998</v>
      </c>
      <c r="S407" s="25">
        <v>0.47324999999999995</v>
      </c>
      <c r="T407" s="25">
        <v>0.44897916666666693</v>
      </c>
      <c r="U407" s="25">
        <v>0.38941666666666674</v>
      </c>
      <c r="V407" s="25">
        <v>-17.527291666666674</v>
      </c>
      <c r="W407" s="25">
        <v>-55.531875000000007</v>
      </c>
      <c r="X407" s="25">
        <v>-18.555000000000003</v>
      </c>
      <c r="Y407" s="25">
        <v>-16.425208333333337</v>
      </c>
      <c r="Z407" s="25">
        <v>-23.178541666666671</v>
      </c>
      <c r="AA407" s="25">
        <v>-18.447708333333331</v>
      </c>
      <c r="AB407" s="25">
        <v>-16.318541666666665</v>
      </c>
      <c r="AC407" s="25">
        <v>-15.795624999999999</v>
      </c>
      <c r="AD407" s="25">
        <v>-9.9729166666666664</v>
      </c>
      <c r="AE407" s="25">
        <v>-10.672916666666666</v>
      </c>
      <c r="AF407" s="25">
        <v>-9.9625000000000004</v>
      </c>
      <c r="AG407" s="25">
        <v>-11.185416666666663</v>
      </c>
      <c r="AH407" s="25">
        <v>-13.545833333333336</v>
      </c>
      <c r="AI407" s="25">
        <v>-12.383333333333338</v>
      </c>
      <c r="AJ407" s="25">
        <v>-9.9437499999999996</v>
      </c>
      <c r="AK407" s="25">
        <v>-10.443749999999996</v>
      </c>
      <c r="AL407" s="25">
        <v>16.945833333333329</v>
      </c>
      <c r="AM407" s="25">
        <v>17.054166666666664</v>
      </c>
      <c r="AN407" s="25">
        <v>17.268750000000004</v>
      </c>
      <c r="AO407" s="25">
        <v>17.433333333333319</v>
      </c>
      <c r="AP407" s="25">
        <v>16.585416666666671</v>
      </c>
      <c r="AQ407" s="25">
        <v>16.777083333333341</v>
      </c>
      <c r="AR407" s="25">
        <v>16.743750000000002</v>
      </c>
      <c r="AS407" s="25">
        <v>16.756249999999998</v>
      </c>
      <c r="AT407" s="25">
        <v>0.40492307692307694</v>
      </c>
      <c r="AU407" s="25">
        <v>0.24756250000000005</v>
      </c>
      <c r="AV407" s="25">
        <v>0.40556249999999999</v>
      </c>
      <c r="AW407" s="25">
        <v>-16.06958333333333</v>
      </c>
      <c r="AX407" s="25">
        <v>-16.953749999999996</v>
      </c>
      <c r="AY407" s="25">
        <v>-72.499285714285705</v>
      </c>
      <c r="AZ407" s="25"/>
      <c r="BA407" s="25">
        <v>-10.05625</v>
      </c>
      <c r="BB407" s="25">
        <v>-14.837499999999997</v>
      </c>
      <c r="BC407" s="25"/>
      <c r="BD407" s="25">
        <v>17.375</v>
      </c>
      <c r="BE407" s="25">
        <v>17.437499999999996</v>
      </c>
    </row>
    <row r="408" spans="1:57" x14ac:dyDescent="0.25">
      <c r="A408" s="1">
        <v>20.9</v>
      </c>
      <c r="B408" s="1">
        <v>12.2</v>
      </c>
      <c r="C408" s="22"/>
      <c r="D408" s="23">
        <v>44115</v>
      </c>
      <c r="E408" s="24">
        <v>87.708333333333329</v>
      </c>
      <c r="F408" s="24">
        <v>85.433333333333294</v>
      </c>
      <c r="G408" s="24">
        <v>15.081250000000004</v>
      </c>
      <c r="H408" s="24">
        <v>0</v>
      </c>
      <c r="I408" s="24">
        <v>254.9375</v>
      </c>
      <c r="J408" s="24">
        <v>3.0416666666666665</v>
      </c>
      <c r="K408" s="24">
        <v>0.125</v>
      </c>
      <c r="L408" s="24">
        <v>12.539583333333333</v>
      </c>
      <c r="M408" s="10">
        <v>0.28048425547789774</v>
      </c>
      <c r="N408" s="25">
        <v>0.38881250000000006</v>
      </c>
      <c r="O408" s="25">
        <v>0.49368749999999989</v>
      </c>
      <c r="P408" s="25">
        <v>0.54783333333333384</v>
      </c>
      <c r="Q408" s="25">
        <v>0.57054166666666661</v>
      </c>
      <c r="R408" s="25">
        <v>0.56714583333333357</v>
      </c>
      <c r="S408" s="25">
        <v>0.46770833333333334</v>
      </c>
      <c r="T408" s="25">
        <v>0.44464583333333341</v>
      </c>
      <c r="U408" s="25">
        <v>0.38558333333333322</v>
      </c>
      <c r="V408" s="25">
        <v>-22.79354166666668</v>
      </c>
      <c r="W408" s="25">
        <v>-69.239374999999981</v>
      </c>
      <c r="X408" s="25">
        <v>-21.077291666666667</v>
      </c>
      <c r="Y408" s="25">
        <v>-18.771250000000006</v>
      </c>
      <c r="Z408" s="25">
        <v>-28.357708333333324</v>
      </c>
      <c r="AA408" s="25">
        <v>-20.440208333333334</v>
      </c>
      <c r="AB408" s="25">
        <v>-18.138333333333332</v>
      </c>
      <c r="AC408" s="25">
        <v>-17.860624999999999</v>
      </c>
      <c r="AD408" s="25">
        <v>-12.779166666666663</v>
      </c>
      <c r="AE408" s="25">
        <v>-11.402083333333332</v>
      </c>
      <c r="AF408" s="25">
        <v>-10.045833333333343</v>
      </c>
      <c r="AG408" s="25">
        <v>-11.343749999999993</v>
      </c>
      <c r="AH408" s="25">
        <v>-17.593749999999996</v>
      </c>
      <c r="AI408" s="25">
        <v>-15.502083333333333</v>
      </c>
      <c r="AJ408" s="25">
        <v>-11.166666666666666</v>
      </c>
      <c r="AK408" s="25">
        <v>-11.412499999999996</v>
      </c>
      <c r="AL408" s="25">
        <v>17.060416666666661</v>
      </c>
      <c r="AM408" s="25">
        <v>17.270833333333339</v>
      </c>
      <c r="AN408" s="25">
        <v>17.360416666666648</v>
      </c>
      <c r="AO408" s="25">
        <v>17.489583333333332</v>
      </c>
      <c r="AP408" s="25">
        <v>16.543749999999996</v>
      </c>
      <c r="AQ408" s="25">
        <v>16.939583333333328</v>
      </c>
      <c r="AR408" s="25">
        <v>16.918749999999985</v>
      </c>
      <c r="AS408" s="25">
        <v>16.914583333333315</v>
      </c>
      <c r="AT408" s="25">
        <v>0.39602564102564114</v>
      </c>
      <c r="AU408" s="25">
        <v>0.23335416666666672</v>
      </c>
      <c r="AV408" s="25">
        <v>0.38516666666666666</v>
      </c>
      <c r="AW408" s="25">
        <v>-16.668749999999999</v>
      </c>
      <c r="AX408" s="25">
        <v>-24.191041666666674</v>
      </c>
      <c r="AY408" s="25">
        <v>-30.583333333333332</v>
      </c>
      <c r="AZ408" s="25"/>
      <c r="BA408" s="25">
        <v>-14.089583333333337</v>
      </c>
      <c r="BB408" s="25">
        <v>-26.318749999999994</v>
      </c>
      <c r="BC408" s="25"/>
      <c r="BD408" s="25">
        <v>17.006249999999998</v>
      </c>
      <c r="BE408" s="25">
        <v>17.297916666666666</v>
      </c>
    </row>
    <row r="409" spans="1:57" x14ac:dyDescent="0.25">
      <c r="A409" s="1">
        <v>22.1</v>
      </c>
      <c r="B409" s="1">
        <v>13.3</v>
      </c>
      <c r="C409" s="22"/>
      <c r="D409" s="23">
        <v>44116</v>
      </c>
      <c r="E409" s="24">
        <v>96.729166666666671</v>
      </c>
      <c r="F409" s="24">
        <v>82.074999999999974</v>
      </c>
      <c r="G409" s="24">
        <v>16.706250000000001</v>
      </c>
      <c r="H409" s="24">
        <v>0</v>
      </c>
      <c r="I409" s="24">
        <v>255.91666666666666</v>
      </c>
      <c r="J409" s="24">
        <v>2.3125</v>
      </c>
      <c r="K409" s="24">
        <v>0.10416666666666667</v>
      </c>
      <c r="L409" s="24">
        <v>13.460416666666665</v>
      </c>
      <c r="M409" s="10">
        <v>0.38391649257586774</v>
      </c>
      <c r="N409" s="25">
        <v>0.37864583333333329</v>
      </c>
      <c r="O409" s="25">
        <v>0.48754166666666671</v>
      </c>
      <c r="P409" s="25">
        <v>0.54243750000000024</v>
      </c>
      <c r="Q409" s="25">
        <v>0.56597916666666637</v>
      </c>
      <c r="R409" s="25">
        <v>0.56120833333333342</v>
      </c>
      <c r="S409" s="25">
        <v>0.46208333333333301</v>
      </c>
      <c r="T409" s="25">
        <v>0.44022916666666689</v>
      </c>
      <c r="U409" s="25">
        <v>0.3826874999999999</v>
      </c>
      <c r="V409" s="25">
        <v>-27.424166666666668</v>
      </c>
      <c r="W409" s="25">
        <v>-82.447916666666671</v>
      </c>
      <c r="X409" s="25">
        <v>-23.596458333333331</v>
      </c>
      <c r="Y409" s="25">
        <v>-21.245416666666671</v>
      </c>
      <c r="Z409" s="25">
        <v>-32.716250000000002</v>
      </c>
      <c r="AA409" s="25">
        <v>-22.303749999999997</v>
      </c>
      <c r="AB409" s="25">
        <v>-19.957083333333333</v>
      </c>
      <c r="AC409" s="25">
        <v>-20.750625000000003</v>
      </c>
      <c r="AD409" s="25">
        <v>-17.595833333333335</v>
      </c>
      <c r="AE409" s="25">
        <v>-12.787499999999996</v>
      </c>
      <c r="AF409" s="25">
        <v>-10.322916666666663</v>
      </c>
      <c r="AG409" s="25">
        <v>-11.545833333333336</v>
      </c>
      <c r="AH409" s="25">
        <v>-26.068750000000005</v>
      </c>
      <c r="AI409" s="25">
        <v>-21.560416666666665</v>
      </c>
      <c r="AJ409" s="25">
        <v>-13.397916666666667</v>
      </c>
      <c r="AK409" s="25">
        <v>-13.785416666666665</v>
      </c>
      <c r="AL409" s="25">
        <v>17.137500000000006</v>
      </c>
      <c r="AM409" s="25">
        <v>17.266666666666662</v>
      </c>
      <c r="AN409" s="25">
        <v>17.377083333333314</v>
      </c>
      <c r="AO409" s="25">
        <v>17.5</v>
      </c>
      <c r="AP409" s="25">
        <v>16.820833333333329</v>
      </c>
      <c r="AQ409" s="25">
        <v>16.997916666666665</v>
      </c>
      <c r="AR409" s="25">
        <v>16.945833333333329</v>
      </c>
      <c r="AS409" s="25">
        <v>16.910416666666656</v>
      </c>
      <c r="AT409" s="25">
        <v>0.38933333333333331</v>
      </c>
      <c r="AU409" s="25">
        <v>0.22131249999999994</v>
      </c>
      <c r="AV409" s="25">
        <v>0.36793749999999997</v>
      </c>
      <c r="AW409" s="25">
        <v>-18.260624999999997</v>
      </c>
      <c r="AX409" s="25">
        <v>-30.901875</v>
      </c>
      <c r="AY409" s="25">
        <v>-32.671250000000001</v>
      </c>
      <c r="AZ409" s="25"/>
      <c r="BA409" s="25">
        <v>-20.029166666666658</v>
      </c>
      <c r="BB409" s="25">
        <v>-34.466666666666676</v>
      </c>
      <c r="BC409" s="25"/>
      <c r="BD409" s="25">
        <v>17.245833333333334</v>
      </c>
      <c r="BE409" s="25">
        <v>17.46458333333333</v>
      </c>
    </row>
    <row r="410" spans="1:57" x14ac:dyDescent="0.25">
      <c r="A410" s="1">
        <v>20.6</v>
      </c>
      <c r="B410" s="1">
        <v>13.3</v>
      </c>
      <c r="C410" s="22"/>
      <c r="D410" s="23">
        <v>44117</v>
      </c>
      <c r="E410" s="24">
        <v>101.41666666666667</v>
      </c>
      <c r="F410" s="24">
        <v>79.131249999999994</v>
      </c>
      <c r="G410" s="24">
        <v>16.497916666666665</v>
      </c>
      <c r="H410" s="24">
        <v>0</v>
      </c>
      <c r="I410" s="24">
        <v>226.83333333333334</v>
      </c>
      <c r="J410" s="24">
        <v>4.708333333333333</v>
      </c>
      <c r="K410" s="24">
        <v>6.25E-2</v>
      </c>
      <c r="L410" s="24">
        <v>12.785416666666668</v>
      </c>
      <c r="M410" s="10">
        <v>0.41592622814310221</v>
      </c>
      <c r="N410" s="25">
        <v>0.36414583333333334</v>
      </c>
      <c r="O410" s="25">
        <v>0.4802499999999999</v>
      </c>
      <c r="P410" s="25">
        <v>0.53539583333333363</v>
      </c>
      <c r="Q410" s="25">
        <v>0.56022916666666644</v>
      </c>
      <c r="R410" s="25">
        <v>0.55364583333333306</v>
      </c>
      <c r="S410" s="25">
        <v>0.45435416666666661</v>
      </c>
      <c r="T410" s="25">
        <v>0.43506249999999969</v>
      </c>
      <c r="U410" s="25">
        <v>0.37831250000000005</v>
      </c>
      <c r="V410" s="25">
        <v>-32.105208333333344</v>
      </c>
      <c r="W410" s="25">
        <v>-96.145833333333357</v>
      </c>
      <c r="X410" s="25">
        <v>-26.450416666666658</v>
      </c>
      <c r="Y410" s="25">
        <v>-23.913333333333338</v>
      </c>
      <c r="Z410" s="25">
        <v>-37.29666666666666</v>
      </c>
      <c r="AA410" s="25">
        <v>-24.583958333333328</v>
      </c>
      <c r="AB410" s="25">
        <v>-22.416666666666657</v>
      </c>
      <c r="AC410" s="25">
        <v>-25.118125000000003</v>
      </c>
      <c r="AD410" s="25">
        <v>-24.510416666666668</v>
      </c>
      <c r="AE410" s="25">
        <v>-16.702083333333341</v>
      </c>
      <c r="AF410" s="25">
        <v>-12.039583333333333</v>
      </c>
      <c r="AG410" s="25">
        <v>-12.049999999999999</v>
      </c>
      <c r="AH410" s="25">
        <v>-37.366666666666667</v>
      </c>
      <c r="AI410" s="25">
        <v>-28.833333333333329</v>
      </c>
      <c r="AJ410" s="25">
        <v>-16.635416666666664</v>
      </c>
      <c r="AK410" s="25">
        <v>-19.118750000000002</v>
      </c>
      <c r="AL410" s="25">
        <v>17.195833333333329</v>
      </c>
      <c r="AM410" s="25">
        <v>17.329166666666659</v>
      </c>
      <c r="AN410" s="25">
        <v>17.399999999999988</v>
      </c>
      <c r="AO410" s="25">
        <v>17.5</v>
      </c>
      <c r="AP410" s="25">
        <v>16.908333333333335</v>
      </c>
      <c r="AQ410" s="25">
        <v>17.129166666666656</v>
      </c>
      <c r="AR410" s="25">
        <v>17.052083333333339</v>
      </c>
      <c r="AS410" s="25">
        <v>16.997916666666665</v>
      </c>
      <c r="AT410" s="25">
        <v>0.38088571428571433</v>
      </c>
      <c r="AU410" s="25">
        <v>0.20629166666666665</v>
      </c>
      <c r="AV410" s="25">
        <v>0.3458750000000001</v>
      </c>
      <c r="AW410" s="25">
        <v>-21.105833333333329</v>
      </c>
      <c r="AX410" s="25">
        <v>-38.659166666666671</v>
      </c>
      <c r="AY410" s="25">
        <v>-38.025294117647057</v>
      </c>
      <c r="AZ410" s="25"/>
      <c r="BA410" s="25">
        <v>-25.495833333333337</v>
      </c>
      <c r="BB410" s="25">
        <v>-47.633333333333319</v>
      </c>
      <c r="BC410" s="25"/>
      <c r="BD410" s="25">
        <v>17.320833333333333</v>
      </c>
      <c r="BE410" s="25">
        <v>17.485416666666666</v>
      </c>
    </row>
    <row r="411" spans="1:57" x14ac:dyDescent="0.25">
      <c r="A411" s="1">
        <v>18</v>
      </c>
      <c r="B411" s="1">
        <v>13</v>
      </c>
      <c r="C411" s="22"/>
      <c r="D411" s="23">
        <v>44118</v>
      </c>
      <c r="E411" s="24">
        <v>58.659574468085104</v>
      </c>
      <c r="F411" s="24">
        <v>89.068085106382981</v>
      </c>
      <c r="G411" s="24">
        <v>14.700000000000006</v>
      </c>
      <c r="H411" s="24">
        <v>2.1</v>
      </c>
      <c r="I411" s="24">
        <v>189.72340425531914</v>
      </c>
      <c r="J411" s="24">
        <v>3.4468085106382977</v>
      </c>
      <c r="K411" s="24">
        <v>0</v>
      </c>
      <c r="L411" s="24">
        <v>12.891489361702124</v>
      </c>
      <c r="M411" s="10">
        <v>0.1888703421726515</v>
      </c>
      <c r="N411" s="25">
        <v>0.3520625</v>
      </c>
      <c r="O411" s="25">
        <v>0.4733958333333334</v>
      </c>
      <c r="P411" s="25">
        <v>0.5303958333333334</v>
      </c>
      <c r="Q411" s="25">
        <v>0.55533333333333312</v>
      </c>
      <c r="R411" s="25">
        <v>0.54633333333333367</v>
      </c>
      <c r="S411" s="25">
        <v>0.44770833333333332</v>
      </c>
      <c r="T411" s="25">
        <v>0.43091666666666639</v>
      </c>
      <c r="U411" s="25">
        <v>0.37456250000000008</v>
      </c>
      <c r="V411" s="25">
        <v>-36.872708333333335</v>
      </c>
      <c r="W411" s="25">
        <v>-109.47500000000001</v>
      </c>
      <c r="X411" s="25">
        <v>-29.765624999999989</v>
      </c>
      <c r="Y411" s="25">
        <v>-26.724791666666661</v>
      </c>
      <c r="Z411" s="25">
        <v>-41.839374999999997</v>
      </c>
      <c r="AA411" s="25">
        <v>-27.240624999999998</v>
      </c>
      <c r="AB411" s="25">
        <v>-25.111249999999995</v>
      </c>
      <c r="AC411" s="25">
        <v>-30.11</v>
      </c>
      <c r="AD411" s="25">
        <v>-28.860416666666662</v>
      </c>
      <c r="AE411" s="25">
        <v>-19.793749999999999</v>
      </c>
      <c r="AF411" s="25">
        <v>-14.254166666666665</v>
      </c>
      <c r="AG411" s="25">
        <v>-12.860416666666671</v>
      </c>
      <c r="AH411" s="25">
        <v>-46.916666666666664</v>
      </c>
      <c r="AI411" s="25">
        <v>-36.958333333333321</v>
      </c>
      <c r="AJ411" s="25">
        <v>-20.25416666666667</v>
      </c>
      <c r="AK411" s="25">
        <v>-24.572916666666661</v>
      </c>
      <c r="AL411" s="25">
        <v>17.047916666666666</v>
      </c>
      <c r="AM411" s="25">
        <v>17.333333333333318</v>
      </c>
      <c r="AN411" s="25">
        <v>17.399999999999988</v>
      </c>
      <c r="AO411" s="25">
        <v>17.5</v>
      </c>
      <c r="AP411" s="25">
        <v>16.602083333333329</v>
      </c>
      <c r="AQ411" s="25">
        <v>17.072916666666668</v>
      </c>
      <c r="AR411" s="25">
        <v>17.068750000000001</v>
      </c>
      <c r="AS411" s="25">
        <v>17.043750000000003</v>
      </c>
      <c r="AT411" s="25">
        <v>0.37466666666666665</v>
      </c>
      <c r="AU411" s="25">
        <v>0.19460416666666666</v>
      </c>
      <c r="AV411" s="25">
        <v>0.32922916666666674</v>
      </c>
      <c r="AW411" s="25">
        <v>-27.213750000000001</v>
      </c>
      <c r="AX411" s="25">
        <v>-45.609374999999993</v>
      </c>
      <c r="AY411" s="25">
        <v>-42.345416666666665</v>
      </c>
      <c r="AZ411" s="25"/>
      <c r="BA411" s="25">
        <v>-30.518749999999986</v>
      </c>
      <c r="BB411" s="25">
        <v>-70.431249999999963</v>
      </c>
      <c r="BC411" s="25"/>
      <c r="BD411" s="25">
        <v>16.966666666666665</v>
      </c>
      <c r="BE411" s="25">
        <v>17.331250000000008</v>
      </c>
    </row>
    <row r="412" spans="1:57" x14ac:dyDescent="0.25">
      <c r="A412" s="1">
        <v>14.4</v>
      </c>
      <c r="B412" s="1">
        <v>12.1</v>
      </c>
      <c r="C412" s="22"/>
      <c r="D412" s="23">
        <v>44119</v>
      </c>
      <c r="E412" s="24">
        <v>46.1875</v>
      </c>
      <c r="F412" s="24">
        <v>95.587499999999977</v>
      </c>
      <c r="G412" s="24">
        <v>13.031250000000005</v>
      </c>
      <c r="H412" s="24">
        <v>24.099999999999991</v>
      </c>
      <c r="I412" s="24">
        <v>168.25</v>
      </c>
      <c r="J412" s="24">
        <v>2.8125</v>
      </c>
      <c r="K412" s="24">
        <v>0</v>
      </c>
      <c r="L412" s="24">
        <v>12.34166666666667</v>
      </c>
      <c r="M412" s="10">
        <v>6.6673211073425692E-2</v>
      </c>
      <c r="N412" s="25">
        <v>0.38485416666666689</v>
      </c>
      <c r="O412" s="25">
        <v>0.49589583333333348</v>
      </c>
      <c r="P412" s="25">
        <v>0.54760416666666634</v>
      </c>
      <c r="Q412" s="25">
        <v>0.56158333333333388</v>
      </c>
      <c r="R412" s="25">
        <v>0.54675000000000018</v>
      </c>
      <c r="S412" s="25">
        <v>0.44731249999999978</v>
      </c>
      <c r="T412" s="25">
        <v>0.42999999999999977</v>
      </c>
      <c r="U412" s="25">
        <v>0.37431249999999999</v>
      </c>
      <c r="V412" s="25">
        <v>-22.92291666666668</v>
      </c>
      <c r="W412" s="25">
        <v>-55.961875000000013</v>
      </c>
      <c r="X412" s="25">
        <v>-26.387499999999992</v>
      </c>
      <c r="Y412" s="25">
        <v>-28.694999999999983</v>
      </c>
      <c r="Z412" s="25">
        <v>-33.255416666666669</v>
      </c>
      <c r="AA412" s="25">
        <v>-29.17729166666668</v>
      </c>
      <c r="AB412" s="25">
        <v>-26.51604166666667</v>
      </c>
      <c r="AC412" s="25">
        <v>-32.062291666666653</v>
      </c>
      <c r="AD412" s="25">
        <v>-22.179166666666674</v>
      </c>
      <c r="AE412" s="25">
        <v>-18.827083333333331</v>
      </c>
      <c r="AF412" s="25">
        <v>-14.683333333333339</v>
      </c>
      <c r="AG412" s="25">
        <v>-13.3125</v>
      </c>
      <c r="AH412" s="25">
        <v>-18.741666666666671</v>
      </c>
      <c r="AI412" s="25">
        <v>-21.137499999999978</v>
      </c>
      <c r="AJ412" s="25">
        <v>-19.539583333333329</v>
      </c>
      <c r="AK412" s="25">
        <v>-25.591666666666658</v>
      </c>
      <c r="AL412" s="25">
        <v>16.42916666666666</v>
      </c>
      <c r="AM412" s="25">
        <v>17.029166666666658</v>
      </c>
      <c r="AN412" s="25">
        <v>17.300000000000015</v>
      </c>
      <c r="AO412" s="25">
        <v>17.45624999999999</v>
      </c>
      <c r="AP412" s="25">
        <v>15.69375</v>
      </c>
      <c r="AQ412" s="25">
        <v>16.512499999999985</v>
      </c>
      <c r="AR412" s="25">
        <v>16.704166666666669</v>
      </c>
      <c r="AS412" s="25">
        <v>16.779166666666679</v>
      </c>
      <c r="AT412" s="25">
        <v>0.44497222222222227</v>
      </c>
      <c r="AU412" s="25">
        <v>0.29541666666666666</v>
      </c>
      <c r="AV412" s="25">
        <v>0.4352083333333332</v>
      </c>
      <c r="AW412" s="25">
        <v>-22.801874999999995</v>
      </c>
      <c r="AX412" s="25">
        <v>-21.057916666666664</v>
      </c>
      <c r="AY412" s="25">
        <v>-27.334374999999998</v>
      </c>
      <c r="AZ412" s="25"/>
      <c r="BA412" s="25">
        <v>-13.333333333333329</v>
      </c>
      <c r="BB412" s="25">
        <v>-40.247916666666626</v>
      </c>
      <c r="BC412" s="25"/>
      <c r="BD412" s="25">
        <v>16.162500000000005</v>
      </c>
      <c r="BE412" s="25">
        <v>16.754166666666666</v>
      </c>
    </row>
    <row r="413" spans="1:57" x14ac:dyDescent="0.25">
      <c r="A413" s="1">
        <v>13.7</v>
      </c>
      <c r="B413" s="1">
        <v>9.6</v>
      </c>
      <c r="C413" s="22"/>
      <c r="D413" s="23">
        <v>44120</v>
      </c>
      <c r="E413" s="24">
        <v>69.666666666666671</v>
      </c>
      <c r="F413" s="24">
        <v>90.510416666666643</v>
      </c>
      <c r="G413" s="24">
        <v>11.339583333333337</v>
      </c>
      <c r="H413" s="24">
        <v>6.5000000000000018</v>
      </c>
      <c r="I413" s="24">
        <v>199.89583333333334</v>
      </c>
      <c r="J413" s="24">
        <v>4.895833333333333</v>
      </c>
      <c r="K413" s="24">
        <v>0</v>
      </c>
      <c r="L413" s="24">
        <v>9.8062500000000004</v>
      </c>
      <c r="M413" s="10">
        <v>0.1298271931295652</v>
      </c>
      <c r="N413" s="25">
        <v>0.45702083333333343</v>
      </c>
      <c r="O413" s="25">
        <v>0.54266666666666674</v>
      </c>
      <c r="P413" s="25">
        <v>0.58502083333333299</v>
      </c>
      <c r="Q413" s="25">
        <v>0.60652083333333329</v>
      </c>
      <c r="R413" s="25">
        <v>0.58416666666666661</v>
      </c>
      <c r="S413" s="25">
        <v>0.44768750000000002</v>
      </c>
      <c r="T413" s="25">
        <v>0.43018749999999989</v>
      </c>
      <c r="U413" s="25">
        <v>0.3759791666666667</v>
      </c>
      <c r="V413" s="25">
        <v>-14.532083333333334</v>
      </c>
      <c r="W413" s="25">
        <v>-25.433958333333337</v>
      </c>
      <c r="X413" s="25">
        <v>-12.596666666666666</v>
      </c>
      <c r="Y413" s="25">
        <v>-14.963749999999997</v>
      </c>
      <c r="Z413" s="25">
        <v>-12.739791666666669</v>
      </c>
      <c r="AA413" s="25">
        <v>-20.18375</v>
      </c>
      <c r="AB413" s="25">
        <v>-24.736249999999998</v>
      </c>
      <c r="AC413" s="25">
        <v>-31.093124999999997</v>
      </c>
      <c r="AD413" s="25">
        <v>-9.8916666666666604</v>
      </c>
      <c r="AE413" s="25">
        <v>-11.464583333333321</v>
      </c>
      <c r="AF413" s="25">
        <v>-13.506250000000003</v>
      </c>
      <c r="AG413" s="25">
        <v>-12.531250000000005</v>
      </c>
      <c r="AH413" s="25">
        <v>-12.452083333333325</v>
      </c>
      <c r="AI413" s="25">
        <v>-10.300000000000008</v>
      </c>
      <c r="AJ413" s="25">
        <v>-10.524999999999999</v>
      </c>
      <c r="AK413" s="25">
        <v>-12.76458333333332</v>
      </c>
      <c r="AL413" s="25">
        <v>15.762500000000005</v>
      </c>
      <c r="AM413" s="25">
        <v>16.612500000000001</v>
      </c>
      <c r="AN413" s="25">
        <v>17.035416666666663</v>
      </c>
      <c r="AO413" s="25">
        <v>17.268750000000022</v>
      </c>
      <c r="AP413" s="25">
        <v>14.847916666666668</v>
      </c>
      <c r="AQ413" s="25">
        <v>15.904166666666677</v>
      </c>
      <c r="AR413" s="25">
        <v>16.216666666666672</v>
      </c>
      <c r="AS413" s="25">
        <v>16.358333333333341</v>
      </c>
      <c r="AT413" s="25">
        <v>0.46173809523809528</v>
      </c>
      <c r="AU413" s="25">
        <v>0.30431250000000004</v>
      </c>
      <c r="AV413" s="25">
        <v>0.49429166666666674</v>
      </c>
      <c r="AW413" s="25">
        <v>-23.508125000000007</v>
      </c>
      <c r="AX413" s="25">
        <v>-16.271041666666672</v>
      </c>
      <c r="AY413" s="25">
        <v>-104.03595238095238</v>
      </c>
      <c r="AZ413" s="25"/>
      <c r="BA413" s="25">
        <v>-10.320833333333342</v>
      </c>
      <c r="BB413" s="25">
        <v>-12.397916666666655</v>
      </c>
      <c r="BC413" s="25"/>
      <c r="BD413" s="25">
        <v>15.452083333333333</v>
      </c>
      <c r="BE413" s="25">
        <v>16.224999999999998</v>
      </c>
    </row>
    <row r="414" spans="1:57" x14ac:dyDescent="0.25">
      <c r="A414" s="1">
        <v>12.8</v>
      </c>
      <c r="B414" s="1">
        <v>8.5</v>
      </c>
      <c r="C414" s="22"/>
      <c r="D414" s="23">
        <v>44121</v>
      </c>
      <c r="E414" s="24">
        <v>52.5</v>
      </c>
      <c r="F414" s="24">
        <v>88.947916666666671</v>
      </c>
      <c r="G414" s="24">
        <v>10.1</v>
      </c>
      <c r="H414" s="24">
        <v>0.60000000000000009</v>
      </c>
      <c r="I414" s="24">
        <v>241.33333333333334</v>
      </c>
      <c r="J414" s="24">
        <v>2.7916666666666665</v>
      </c>
      <c r="K414" s="24">
        <v>0</v>
      </c>
      <c r="L414" s="24">
        <v>8.3395833333333318</v>
      </c>
      <c r="M414" s="10">
        <v>0.14001003519520558</v>
      </c>
      <c r="N414" s="25">
        <v>0.43589583333333315</v>
      </c>
      <c r="O414" s="25">
        <v>0.52706249999999999</v>
      </c>
      <c r="P414" s="25">
        <v>0.57489583333333327</v>
      </c>
      <c r="Q414" s="25">
        <v>0.59039583333333312</v>
      </c>
      <c r="R414" s="25">
        <v>0.58429166666666632</v>
      </c>
      <c r="S414" s="25">
        <v>0.45333333333333292</v>
      </c>
      <c r="T414" s="25">
        <v>0.43879166666666664</v>
      </c>
      <c r="U414" s="25">
        <v>0.39189583333333328</v>
      </c>
      <c r="V414" s="25">
        <v>-14.706041666666669</v>
      </c>
      <c r="W414" s="25">
        <v>-26.521041666666665</v>
      </c>
      <c r="X414" s="25">
        <v>-12.666250000000012</v>
      </c>
      <c r="Y414" s="25">
        <v>-13.134583333333326</v>
      </c>
      <c r="Z414" s="25">
        <v>-12.892500000000004</v>
      </c>
      <c r="AA414" s="25">
        <v>-13.328958333333327</v>
      </c>
      <c r="AB414" s="25">
        <v>-17.576874999999994</v>
      </c>
      <c r="AC414" s="25">
        <v>-24.70291666666667</v>
      </c>
      <c r="AD414" s="25">
        <v>-9.8458333333333403</v>
      </c>
      <c r="AE414" s="25">
        <v>-10.847916666666675</v>
      </c>
      <c r="AF414" s="25">
        <v>-11.17083333333334</v>
      </c>
      <c r="AG414" s="25">
        <v>-11.831250000000004</v>
      </c>
      <c r="AH414" s="25">
        <v>-12.360416666666664</v>
      </c>
      <c r="AI414" s="25">
        <v>-10.300000000000008</v>
      </c>
      <c r="AJ414" s="25">
        <v>-10.43124999999999</v>
      </c>
      <c r="AK414" s="25">
        <v>-11.300000000000004</v>
      </c>
      <c r="AL414" s="25">
        <v>14.79166666666667</v>
      </c>
      <c r="AM414" s="25">
        <v>15.991666666666646</v>
      </c>
      <c r="AN414" s="25">
        <v>16.66041666666667</v>
      </c>
      <c r="AO414" s="25">
        <v>16.979166666666654</v>
      </c>
      <c r="AP414" s="25">
        <v>13.754166666666668</v>
      </c>
      <c r="AQ414" s="25">
        <v>15.131250000000001</v>
      </c>
      <c r="AR414" s="25">
        <v>15.593749999999993</v>
      </c>
      <c r="AS414" s="25">
        <v>15.825000000000008</v>
      </c>
      <c r="AT414" s="25">
        <v>0.44544444444444448</v>
      </c>
      <c r="AU414" s="25">
        <v>0.28831250000000014</v>
      </c>
      <c r="AV414" s="25">
        <v>0.47527083333333325</v>
      </c>
      <c r="AW414" s="25">
        <v>-23.851041666666671</v>
      </c>
      <c r="AX414" s="25">
        <v>-16.046458333333344</v>
      </c>
      <c r="AY414" s="25">
        <v>-217.9</v>
      </c>
      <c r="AZ414" s="25"/>
      <c r="BA414" s="25">
        <v>-10.300000000000008</v>
      </c>
      <c r="BB414" s="25">
        <v>-12.281250000000007</v>
      </c>
      <c r="BC414" s="25"/>
      <c r="BD414" s="25">
        <v>14.660416666666665</v>
      </c>
      <c r="BE414" s="25">
        <v>15.443750000000001</v>
      </c>
    </row>
    <row r="415" spans="1:57" x14ac:dyDescent="0.25">
      <c r="A415" s="1">
        <v>14.3</v>
      </c>
      <c r="B415" s="1">
        <v>8.6999999999999993</v>
      </c>
      <c r="C415" s="22"/>
      <c r="D415" s="23">
        <v>44122</v>
      </c>
      <c r="E415" s="24">
        <v>62.791666666666664</v>
      </c>
      <c r="F415" s="24">
        <v>87.03749999999998</v>
      </c>
      <c r="G415" s="24">
        <v>10.910416666666668</v>
      </c>
      <c r="H415" s="24">
        <v>0</v>
      </c>
      <c r="I415" s="24">
        <v>211.89583333333334</v>
      </c>
      <c r="J415" s="24">
        <v>2.75</v>
      </c>
      <c r="K415" s="24">
        <v>0</v>
      </c>
      <c r="L415" s="24">
        <v>8.7895833333333329</v>
      </c>
      <c r="M415" s="10">
        <v>0.18005371847142662</v>
      </c>
      <c r="N415" s="25">
        <v>0.42695833333333333</v>
      </c>
      <c r="O415" s="25">
        <v>0.51912499999999995</v>
      </c>
      <c r="P415" s="25">
        <v>0.56945833333333362</v>
      </c>
      <c r="Q415" s="25">
        <v>0.58462499999999962</v>
      </c>
      <c r="R415" s="25">
        <v>0.58027083333333263</v>
      </c>
      <c r="S415" s="25">
        <v>0.45708333333333323</v>
      </c>
      <c r="T415" s="25">
        <v>0.44460416666666686</v>
      </c>
      <c r="U415" s="25">
        <v>0.3937500000000001</v>
      </c>
      <c r="V415" s="25">
        <v>-14.763750000000003</v>
      </c>
      <c r="W415" s="25">
        <v>-27.211249999999989</v>
      </c>
      <c r="X415" s="25">
        <v>-12.734166666666669</v>
      </c>
      <c r="Y415" s="25">
        <v>-13.203749999999999</v>
      </c>
      <c r="Z415" s="25">
        <v>-13.005416666666662</v>
      </c>
      <c r="AA415" s="25">
        <v>-13.501250000000001</v>
      </c>
      <c r="AB415" s="25">
        <v>-14.875416666666666</v>
      </c>
      <c r="AC415" s="25">
        <v>-19.762083333333333</v>
      </c>
      <c r="AD415" s="25">
        <v>-9.8000000000000078</v>
      </c>
      <c r="AE415" s="25">
        <v>-10.787500000000007</v>
      </c>
      <c r="AF415" s="25">
        <v>-11.033333333333331</v>
      </c>
      <c r="AG415" s="25">
        <v>-11.704166666666664</v>
      </c>
      <c r="AH415" s="25">
        <v>-12.302083333333334</v>
      </c>
      <c r="AI415" s="25">
        <v>-10.300000000000008</v>
      </c>
      <c r="AJ415" s="25">
        <v>-10.39999999999999</v>
      </c>
      <c r="AK415" s="25">
        <v>-11.300000000000004</v>
      </c>
      <c r="AL415" s="25">
        <v>14.443750000000009</v>
      </c>
      <c r="AM415" s="25">
        <v>15.524999999999993</v>
      </c>
      <c r="AN415" s="25">
        <v>16.245833333333344</v>
      </c>
      <c r="AO415" s="25">
        <v>16.641666666666669</v>
      </c>
      <c r="AP415" s="25">
        <v>13.500000000000002</v>
      </c>
      <c r="AQ415" s="25">
        <v>14.68125</v>
      </c>
      <c r="AR415" s="25">
        <v>15.110416666666667</v>
      </c>
      <c r="AS415" s="25">
        <v>15.343750000000014</v>
      </c>
      <c r="AT415" s="25">
        <v>0.43678571428571428</v>
      </c>
      <c r="AU415" s="25">
        <v>0.27925000000000005</v>
      </c>
      <c r="AV415" s="25">
        <v>0.4614791666666665</v>
      </c>
      <c r="AW415" s="25">
        <v>-23.689791666666668</v>
      </c>
      <c r="AX415" s="25">
        <v>-15.878958333333332</v>
      </c>
      <c r="AY415" s="25"/>
      <c r="AZ415" s="25"/>
      <c r="BA415" s="25">
        <v>-10.262500000000001</v>
      </c>
      <c r="BB415" s="25">
        <v>-12.202083333333334</v>
      </c>
      <c r="BC415" s="25"/>
      <c r="BD415" s="25">
        <v>14.625</v>
      </c>
      <c r="BE415" s="25">
        <v>15.125</v>
      </c>
    </row>
    <row r="416" spans="1:57" x14ac:dyDescent="0.25">
      <c r="A416" s="1">
        <v>16.3</v>
      </c>
      <c r="B416" s="1">
        <v>9.9</v>
      </c>
      <c r="C416" s="22"/>
      <c r="D416" s="23">
        <v>44123</v>
      </c>
      <c r="E416" s="24">
        <v>88.645833333333329</v>
      </c>
      <c r="F416" s="24">
        <v>83.583333333333329</v>
      </c>
      <c r="G416" s="24">
        <v>12.28125</v>
      </c>
      <c r="H416" s="24">
        <v>0</v>
      </c>
      <c r="I416" s="24">
        <v>179.04166666666666</v>
      </c>
      <c r="J416" s="24">
        <v>3.125</v>
      </c>
      <c r="K416" s="24">
        <v>0</v>
      </c>
      <c r="L416" s="24">
        <v>9.5083333333333329</v>
      </c>
      <c r="M416" s="10">
        <v>0.25217785357492384</v>
      </c>
      <c r="N416" s="25">
        <v>0.4207291666666666</v>
      </c>
      <c r="O416" s="25">
        <v>0.51391666666666691</v>
      </c>
      <c r="P416" s="25">
        <v>0.56577083333333356</v>
      </c>
      <c r="Q416" s="25">
        <v>0.58049999999999968</v>
      </c>
      <c r="R416" s="25">
        <v>0.57843750000000005</v>
      </c>
      <c r="S416" s="25">
        <v>0.45879166666666632</v>
      </c>
      <c r="T416" s="25">
        <v>0.44543749999999999</v>
      </c>
      <c r="U416" s="25">
        <v>0.39266666666666655</v>
      </c>
      <c r="V416" s="25">
        <v>-14.711458333333333</v>
      </c>
      <c r="W416" s="25">
        <v>-28.313541666666666</v>
      </c>
      <c r="X416" s="25">
        <v>-12.796458333333334</v>
      </c>
      <c r="Y416" s="25">
        <v>-13.295000000000002</v>
      </c>
      <c r="Z416" s="25">
        <v>-13.117291666666668</v>
      </c>
      <c r="AA416" s="25">
        <v>-13.682916666666664</v>
      </c>
      <c r="AB416" s="25">
        <v>-14.632500000000002</v>
      </c>
      <c r="AC416" s="25">
        <v>-17.798958333333328</v>
      </c>
      <c r="AD416" s="25">
        <v>-9.733333333333329</v>
      </c>
      <c r="AE416" s="25">
        <v>-10.766666666666671</v>
      </c>
      <c r="AF416" s="25">
        <v>-10.97083333333333</v>
      </c>
      <c r="AG416" s="25">
        <v>-11.610416666666678</v>
      </c>
      <c r="AH416" s="25">
        <v>-12.337499999999997</v>
      </c>
      <c r="AI416" s="25">
        <v>-10.34166666666666</v>
      </c>
      <c r="AJ416" s="25">
        <v>-10.397916666666658</v>
      </c>
      <c r="AK416" s="25">
        <v>-11.227083333333331</v>
      </c>
      <c r="AL416" s="25">
        <v>14.606250000000001</v>
      </c>
      <c r="AM416" s="25">
        <v>15.393749999999999</v>
      </c>
      <c r="AN416" s="25">
        <v>16.008333333333326</v>
      </c>
      <c r="AO416" s="25">
        <v>16.379166666666645</v>
      </c>
      <c r="AP416" s="25">
        <v>13.889583333333333</v>
      </c>
      <c r="AQ416" s="25">
        <v>14.710416666666662</v>
      </c>
      <c r="AR416" s="25">
        <v>14.993749999999997</v>
      </c>
      <c r="AS416" s="25">
        <v>15.152083333333344</v>
      </c>
      <c r="AT416" s="25">
        <v>0.43036170212765956</v>
      </c>
      <c r="AU416" s="25">
        <v>0.27072916666666674</v>
      </c>
      <c r="AV416" s="25">
        <v>0.44829166666666653</v>
      </c>
      <c r="AW416" s="25">
        <v>-23.888541666666665</v>
      </c>
      <c r="AX416" s="25">
        <v>-15.774375000000004</v>
      </c>
      <c r="AY416" s="25">
        <v>-32.914999999999999</v>
      </c>
      <c r="AZ416" s="25"/>
      <c r="BA416" s="25">
        <v>-10.291666666666668</v>
      </c>
      <c r="BB416" s="25">
        <v>-12.200000000000001</v>
      </c>
      <c r="BC416" s="25"/>
      <c r="BD416" s="25">
        <v>15.008333333333333</v>
      </c>
      <c r="BE416" s="25">
        <v>15.299999999999999</v>
      </c>
    </row>
    <row r="417" spans="1:57" x14ac:dyDescent="0.25">
      <c r="A417" s="1">
        <v>11.4</v>
      </c>
      <c r="B417" s="1">
        <v>8.1</v>
      </c>
      <c r="C417" s="22"/>
      <c r="D417" s="23">
        <v>44124</v>
      </c>
      <c r="E417" s="24">
        <v>55.354166666666664</v>
      </c>
      <c r="F417" s="24">
        <v>91.847916666666663</v>
      </c>
      <c r="G417" s="24">
        <v>10.062499999999998</v>
      </c>
      <c r="H417" s="24">
        <v>5.1000000000000005</v>
      </c>
      <c r="I417" s="24">
        <v>227.66666666666666</v>
      </c>
      <c r="J417" s="24">
        <v>2.5625</v>
      </c>
      <c r="K417" s="24">
        <v>4.1666666666666664E-2</v>
      </c>
      <c r="L417" s="24">
        <v>8.7895833333333346</v>
      </c>
      <c r="M417" s="10">
        <v>0.10146554758154717</v>
      </c>
      <c r="N417" s="25">
        <v>0.42162500000000014</v>
      </c>
      <c r="O417" s="25">
        <v>0.51300000000000001</v>
      </c>
      <c r="P417" s="25">
        <v>0.5646874999999999</v>
      </c>
      <c r="Q417" s="25">
        <v>0.5786458333333333</v>
      </c>
      <c r="R417" s="25">
        <v>0.57593749999999977</v>
      </c>
      <c r="S417" s="25">
        <v>0.45970833333333383</v>
      </c>
      <c r="T417" s="25">
        <v>0.44562500000000016</v>
      </c>
      <c r="U417" s="25">
        <v>0.39212499999999983</v>
      </c>
      <c r="V417" s="25">
        <v>-14.73854166666667</v>
      </c>
      <c r="W417" s="25">
        <v>-28.64333333333332</v>
      </c>
      <c r="X417" s="25">
        <v>-12.895208333333327</v>
      </c>
      <c r="Y417" s="25">
        <v>-13.399583333333331</v>
      </c>
      <c r="Z417" s="25">
        <v>-13.347291666666663</v>
      </c>
      <c r="AA417" s="25">
        <v>-14.078958333333338</v>
      </c>
      <c r="AB417" s="25">
        <v>-14.788958333333326</v>
      </c>
      <c r="AC417" s="25">
        <v>-17.164583333333333</v>
      </c>
      <c r="AD417" s="25">
        <v>-9.6937499999999961</v>
      </c>
      <c r="AE417" s="25">
        <v>-10.733333333333329</v>
      </c>
      <c r="AF417" s="25">
        <v>-10.897916666666658</v>
      </c>
      <c r="AG417" s="25">
        <v>-11.55625</v>
      </c>
      <c r="AH417" s="25">
        <v>-12.127083333333333</v>
      </c>
      <c r="AI417" s="25">
        <v>-10.32291666666667</v>
      </c>
      <c r="AJ417" s="25">
        <v>-10.316666666666675</v>
      </c>
      <c r="AK417" s="25">
        <v>-11.193749999999996</v>
      </c>
      <c r="AL417" s="25">
        <v>14.393749999999997</v>
      </c>
      <c r="AM417" s="25">
        <v>15.333333333333348</v>
      </c>
      <c r="AN417" s="25">
        <v>15.90624999999998</v>
      </c>
      <c r="AO417" s="25">
        <v>16.247916666666683</v>
      </c>
      <c r="AP417" s="25">
        <v>13.535416666666665</v>
      </c>
      <c r="AQ417" s="25">
        <v>14.66666666666667</v>
      </c>
      <c r="AR417" s="25">
        <v>14.962499999999983</v>
      </c>
      <c r="AS417" s="25">
        <v>15.116666666666669</v>
      </c>
      <c r="AT417" s="25">
        <v>0.43581249999999994</v>
      </c>
      <c r="AU417" s="25">
        <v>0.28485416666666669</v>
      </c>
      <c r="AV417" s="25">
        <v>0.45785416666666673</v>
      </c>
      <c r="AW417" s="25">
        <v>-21.951666666666668</v>
      </c>
      <c r="AX417" s="25">
        <v>-15.82479166666667</v>
      </c>
      <c r="AY417" s="25">
        <v>-21.204666666666665</v>
      </c>
      <c r="AZ417" s="25"/>
      <c r="BA417" s="25">
        <v>-10.129166666666668</v>
      </c>
      <c r="BB417" s="25">
        <v>-11.968750000000005</v>
      </c>
      <c r="BC417" s="25"/>
      <c r="BD417" s="25">
        <v>14.445833333333335</v>
      </c>
      <c r="BE417" s="25">
        <v>14.954166666666664</v>
      </c>
    </row>
    <row r="418" spans="1:57" x14ac:dyDescent="0.25">
      <c r="A418" s="1">
        <v>21.3</v>
      </c>
      <c r="B418" s="1">
        <v>8.6999999999999993</v>
      </c>
      <c r="C418" s="22"/>
      <c r="D418" s="23">
        <v>44125</v>
      </c>
      <c r="E418" s="24">
        <v>165.97916666666666</v>
      </c>
      <c r="F418" s="24">
        <v>75.089583333333366</v>
      </c>
      <c r="G418" s="24">
        <v>12.875000000000005</v>
      </c>
      <c r="H418" s="24">
        <v>0.60000000000000009</v>
      </c>
      <c r="I418" s="24">
        <v>232.3125</v>
      </c>
      <c r="J418" s="24">
        <v>3.5833333333333335</v>
      </c>
      <c r="K418" s="24">
        <v>0</v>
      </c>
      <c r="L418" s="24">
        <v>8.1791666666666671</v>
      </c>
      <c r="M418" s="10">
        <v>0.44497322615553087</v>
      </c>
      <c r="N418" s="25">
        <v>0.42845833333333322</v>
      </c>
      <c r="O418" s="25">
        <v>0.51687500000000008</v>
      </c>
      <c r="P418" s="25">
        <v>0.56566666666666643</v>
      </c>
      <c r="Q418" s="25">
        <v>0.57662499999999983</v>
      </c>
      <c r="R418" s="25">
        <v>0.57524999999999959</v>
      </c>
      <c r="S418" s="25">
        <v>0.4583750000000002</v>
      </c>
      <c r="T418" s="25">
        <v>0.44416666666666677</v>
      </c>
      <c r="U418" s="25">
        <v>0.39077083333333329</v>
      </c>
      <c r="V418" s="25">
        <v>-14.615833333333333</v>
      </c>
      <c r="W418" s="25">
        <v>-27.488749999999996</v>
      </c>
      <c r="X418" s="25">
        <v>-12.877916666666657</v>
      </c>
      <c r="Y418" s="25">
        <v>-13.500416666666668</v>
      </c>
      <c r="Z418" s="25">
        <v>-13.217708333333333</v>
      </c>
      <c r="AA418" s="25">
        <v>-14.458333333333336</v>
      </c>
      <c r="AB418" s="25">
        <v>-14.92</v>
      </c>
      <c r="AC418" s="25">
        <v>-16.805833333333332</v>
      </c>
      <c r="AD418" s="25">
        <v>-9.6125000000000043</v>
      </c>
      <c r="AE418" s="25">
        <v>-10.737499999999999</v>
      </c>
      <c r="AF418" s="25">
        <v>-10.843749999999998</v>
      </c>
      <c r="AG418" s="25">
        <v>-11.535416666666675</v>
      </c>
      <c r="AH418" s="25">
        <v>-12.041666666666677</v>
      </c>
      <c r="AI418" s="25">
        <v>-10.135416666666663</v>
      </c>
      <c r="AJ418" s="25">
        <v>-10.277083333333337</v>
      </c>
      <c r="AK418" s="25">
        <v>-11.10833333333334</v>
      </c>
      <c r="AL418" s="25">
        <v>14.6</v>
      </c>
      <c r="AM418" s="25">
        <v>15.14583333333333</v>
      </c>
      <c r="AN418" s="25">
        <v>15.693750000000009</v>
      </c>
      <c r="AO418" s="25">
        <v>16.058333333333337</v>
      </c>
      <c r="AP418" s="25">
        <v>13.833333333333334</v>
      </c>
      <c r="AQ418" s="25">
        <v>14.454166666666667</v>
      </c>
      <c r="AR418" s="25">
        <v>14.689583333333333</v>
      </c>
      <c r="AS418" s="25">
        <v>14.847916666666661</v>
      </c>
      <c r="AT418" s="25">
        <v>0.43813157894736854</v>
      </c>
      <c r="AU418" s="25">
        <v>0.28140476190476188</v>
      </c>
      <c r="AV418" s="25">
        <v>0.46639583333333334</v>
      </c>
      <c r="AW418" s="25">
        <v>-22.211250000000003</v>
      </c>
      <c r="AX418" s="25">
        <v>-15.801249999999998</v>
      </c>
      <c r="AY418" s="25">
        <v>-20.800952380952385</v>
      </c>
      <c r="AZ418" s="25"/>
      <c r="BA418" s="25">
        <v>-9.9979166666666757</v>
      </c>
      <c r="BB418" s="25">
        <v>-11.76249999999999</v>
      </c>
      <c r="BC418" s="25"/>
      <c r="BD418" s="25">
        <v>14.945833333333331</v>
      </c>
      <c r="BE418" s="25">
        <v>15.464583333333335</v>
      </c>
    </row>
    <row r="419" spans="1:57" x14ac:dyDescent="0.25">
      <c r="A419" s="1">
        <v>23.7</v>
      </c>
      <c r="B419" s="1">
        <v>8.6999999999999993</v>
      </c>
      <c r="C419" s="22"/>
      <c r="D419" s="23">
        <v>44126</v>
      </c>
      <c r="E419" s="24">
        <v>212.0625</v>
      </c>
      <c r="F419" s="24">
        <v>56.762499999999996</v>
      </c>
      <c r="G419" s="24">
        <v>14.368750000000004</v>
      </c>
      <c r="H419" s="24">
        <v>0</v>
      </c>
      <c r="I419" s="24">
        <v>214.75</v>
      </c>
      <c r="J419" s="24">
        <v>4.104166666666667</v>
      </c>
      <c r="K419" s="24">
        <v>0.14583333333333334</v>
      </c>
      <c r="L419" s="24">
        <v>5.0062499999999988</v>
      </c>
      <c r="M419" s="10">
        <v>0.85058292519075918</v>
      </c>
      <c r="N419" s="25">
        <v>0.41568749999999982</v>
      </c>
      <c r="O419" s="25">
        <v>0.50987500000000041</v>
      </c>
      <c r="P419" s="25">
        <v>0.55924999999999958</v>
      </c>
      <c r="Q419" s="25">
        <v>0.5734999999999999</v>
      </c>
      <c r="R419" s="25">
        <v>0.57314583333333335</v>
      </c>
      <c r="S419" s="25">
        <v>0.45485416666666706</v>
      </c>
      <c r="T419" s="25">
        <v>0.44006250000000041</v>
      </c>
      <c r="U419" s="25">
        <v>0.38745833333333352</v>
      </c>
      <c r="V419" s="25">
        <v>-14.621041666666668</v>
      </c>
      <c r="W419" s="25">
        <v>-30.365833333333338</v>
      </c>
      <c r="X419" s="25">
        <v>-13.023541666666667</v>
      </c>
      <c r="Y419" s="25">
        <v>-13.77083333333333</v>
      </c>
      <c r="Z419" s="25">
        <v>-14.026250000000003</v>
      </c>
      <c r="AA419" s="25">
        <v>-15.512291666666668</v>
      </c>
      <c r="AB419" s="25">
        <v>-15.597499999999998</v>
      </c>
      <c r="AC419" s="25">
        <v>-17.650208333333328</v>
      </c>
      <c r="AD419" s="25">
        <v>-9.6833333333333282</v>
      </c>
      <c r="AE419" s="25">
        <v>-10.9</v>
      </c>
      <c r="AF419" s="25">
        <v>-10.866666666666658</v>
      </c>
      <c r="AG419" s="25">
        <v>-11.610416666666666</v>
      </c>
      <c r="AH419" s="25">
        <v>-12.258333333333331</v>
      </c>
      <c r="AI419" s="25">
        <v>-10.299999999999994</v>
      </c>
      <c r="AJ419" s="25">
        <v>-10.300000000000008</v>
      </c>
      <c r="AK419" s="25">
        <v>-11.162499999999996</v>
      </c>
      <c r="AL419" s="25">
        <v>15.035416666666665</v>
      </c>
      <c r="AM419" s="25">
        <v>15.381250000000003</v>
      </c>
      <c r="AN419" s="25">
        <v>15.73125000000001</v>
      </c>
      <c r="AO419" s="25">
        <v>16</v>
      </c>
      <c r="AP419" s="25">
        <v>14.268749999999999</v>
      </c>
      <c r="AQ419" s="25">
        <v>14.775000000000006</v>
      </c>
      <c r="AR419" s="25">
        <v>14.874999999999998</v>
      </c>
      <c r="AS419" s="25">
        <v>14.933333333333325</v>
      </c>
      <c r="AT419" s="25">
        <v>0.42686842105263156</v>
      </c>
      <c r="AU419" s="25">
        <v>0.25533333333333336</v>
      </c>
      <c r="AV419" s="25">
        <v>0.44075000000000014</v>
      </c>
      <c r="AW419" s="25">
        <v>-21.654583333333324</v>
      </c>
      <c r="AX419" s="25">
        <v>-15.830416666666666</v>
      </c>
      <c r="AY419" s="25">
        <v>-31.577647058823533</v>
      </c>
      <c r="AZ419" s="25"/>
      <c r="BA419" s="25">
        <v>-10.218749999999991</v>
      </c>
      <c r="BB419" s="25">
        <v>-11.95625000000001</v>
      </c>
      <c r="BC419" s="25"/>
      <c r="BD419" s="25">
        <v>14.997916666666667</v>
      </c>
      <c r="BE419" s="25">
        <v>16.022916666666667</v>
      </c>
    </row>
    <row r="420" spans="1:57" x14ac:dyDescent="0.25">
      <c r="A420" s="1">
        <v>23.9</v>
      </c>
      <c r="B420" s="1">
        <v>7.7</v>
      </c>
      <c r="C420" s="22"/>
      <c r="D420" s="23">
        <v>44127</v>
      </c>
      <c r="E420" s="24">
        <v>193.6875</v>
      </c>
      <c r="F420" s="24">
        <v>55.931250000000013</v>
      </c>
      <c r="G420" s="24">
        <v>14.856250000000001</v>
      </c>
      <c r="H420" s="24">
        <v>0</v>
      </c>
      <c r="I420" s="24">
        <v>212.39583333333334</v>
      </c>
      <c r="J420" s="24">
        <v>3.3958333333333335</v>
      </c>
      <c r="K420" s="24">
        <v>8.3333333333333329E-2</v>
      </c>
      <c r="L420" s="24">
        <v>5.4770833333333329</v>
      </c>
      <c r="M420" s="10">
        <v>0.86471895299777612</v>
      </c>
      <c r="N420" s="25">
        <v>0.40116666666666667</v>
      </c>
      <c r="O420" s="25">
        <v>0.50104166666666683</v>
      </c>
      <c r="P420" s="25">
        <v>0.55004166666666732</v>
      </c>
      <c r="Q420" s="25">
        <v>0.56908333333333327</v>
      </c>
      <c r="R420" s="25">
        <v>0.56691666666666662</v>
      </c>
      <c r="S420" s="25">
        <v>0.44902083333333359</v>
      </c>
      <c r="T420" s="25">
        <v>0.43543749999999953</v>
      </c>
      <c r="U420" s="25">
        <v>0.38339583333333332</v>
      </c>
      <c r="V420" s="25">
        <v>-14.797291666666665</v>
      </c>
      <c r="W420" s="25">
        <v>-35.526041666666664</v>
      </c>
      <c r="X420" s="25">
        <v>-13.685833333333333</v>
      </c>
      <c r="Y420" s="25">
        <v>-14.572708333333336</v>
      </c>
      <c r="Z420" s="25">
        <v>-17.473958333333332</v>
      </c>
      <c r="AA420" s="25">
        <v>-17.857500000000002</v>
      </c>
      <c r="AB420" s="25">
        <v>-17.220416666666669</v>
      </c>
      <c r="AC420" s="25">
        <v>-20.336041666666663</v>
      </c>
      <c r="AD420" s="25">
        <v>-10.056250000000002</v>
      </c>
      <c r="AE420" s="25">
        <v>-11.362499999999997</v>
      </c>
      <c r="AF420" s="25">
        <v>-10.968750000000005</v>
      </c>
      <c r="AG420" s="25">
        <v>-11.787499999999989</v>
      </c>
      <c r="AH420" s="25">
        <v>-13.19375</v>
      </c>
      <c r="AI420" s="25">
        <v>-10.829166666666666</v>
      </c>
      <c r="AJ420" s="25">
        <v>-10.4125</v>
      </c>
      <c r="AK420" s="25">
        <v>-11.431249999999997</v>
      </c>
      <c r="AL420" s="25">
        <v>15.162500000000001</v>
      </c>
      <c r="AM420" s="25">
        <v>15.500000000000007</v>
      </c>
      <c r="AN420" s="25">
        <v>15.777083333333339</v>
      </c>
      <c r="AO420" s="25">
        <v>16.029166666666672</v>
      </c>
      <c r="AP420" s="25">
        <v>14.420833333333334</v>
      </c>
      <c r="AQ420" s="25">
        <v>14.889583333333327</v>
      </c>
      <c r="AR420" s="25">
        <v>14.954166666666666</v>
      </c>
      <c r="AS420" s="25">
        <v>14.99791666666666</v>
      </c>
      <c r="AT420" s="25">
        <v>0.40931250000000002</v>
      </c>
      <c r="AU420" s="25">
        <v>0.24915000000000004</v>
      </c>
      <c r="AV420" s="25">
        <v>0.41139583333333318</v>
      </c>
      <c r="AW420" s="25">
        <v>-21.189583333333335</v>
      </c>
      <c r="AX420" s="25">
        <v>-16.12</v>
      </c>
      <c r="AY420" s="25">
        <v>-37.329534883720932</v>
      </c>
      <c r="AZ420" s="25"/>
      <c r="BA420" s="25">
        <v>-11.447916666666666</v>
      </c>
      <c r="BB420" s="25">
        <v>-12.397916666666665</v>
      </c>
      <c r="BC420" s="25"/>
      <c r="BD420" s="25">
        <v>15.077083333333329</v>
      </c>
      <c r="BE420" s="25">
        <v>16.145833333333336</v>
      </c>
    </row>
    <row r="421" spans="1:57" x14ac:dyDescent="0.25">
      <c r="A421" s="1">
        <v>22.8</v>
      </c>
      <c r="B421" s="1">
        <v>9.6</v>
      </c>
      <c r="C421" s="22"/>
      <c r="D421" s="23">
        <v>44128</v>
      </c>
      <c r="E421" s="24">
        <v>180.0625</v>
      </c>
      <c r="F421" s="24">
        <v>62.287499999999987</v>
      </c>
      <c r="G421" s="24">
        <v>15.489583333333336</v>
      </c>
      <c r="H421" s="24">
        <v>0</v>
      </c>
      <c r="I421" s="24">
        <v>215.125</v>
      </c>
      <c r="J421" s="24">
        <v>4.666666666666667</v>
      </c>
      <c r="K421" s="24">
        <v>0.25</v>
      </c>
      <c r="L421" s="24">
        <v>7.9354166666666641</v>
      </c>
      <c r="M421" s="10">
        <v>0.74631909174273792</v>
      </c>
      <c r="N421" s="25">
        <v>0.38658333333333345</v>
      </c>
      <c r="O421" s="25">
        <v>0.49258333333333354</v>
      </c>
      <c r="P421" s="25">
        <v>0.54127083333333303</v>
      </c>
      <c r="Q421" s="25">
        <v>0.56404166666666666</v>
      </c>
      <c r="R421" s="25">
        <v>0.55914583333333312</v>
      </c>
      <c r="S421" s="25">
        <v>0.44212499999999993</v>
      </c>
      <c r="T421" s="25">
        <v>0.43</v>
      </c>
      <c r="U421" s="25">
        <v>0.37806249999999997</v>
      </c>
      <c r="V421" s="25">
        <v>-17.101666666666667</v>
      </c>
      <c r="W421" s="25">
        <v>-48.523958333333333</v>
      </c>
      <c r="X421" s="25">
        <v>-15.646874999999996</v>
      </c>
      <c r="Y421" s="25">
        <v>-16.620833333333334</v>
      </c>
      <c r="Z421" s="25">
        <v>-24.509374999999995</v>
      </c>
      <c r="AA421" s="25">
        <v>-20.716666666666665</v>
      </c>
      <c r="AB421" s="25">
        <v>-20.032708333333336</v>
      </c>
      <c r="AC421" s="25">
        <v>-26.292083333333338</v>
      </c>
      <c r="AD421" s="25">
        <v>-12.3375</v>
      </c>
      <c r="AE421" s="25">
        <v>-13.050000000000002</v>
      </c>
      <c r="AF421" s="25">
        <v>-11.674999999999997</v>
      </c>
      <c r="AG421" s="25">
        <v>-12.12083333333333</v>
      </c>
      <c r="AH421" s="25">
        <v>-16.860416666666666</v>
      </c>
      <c r="AI421" s="25">
        <v>-12.441666666666668</v>
      </c>
      <c r="AJ421" s="25">
        <v>-10.708333333333329</v>
      </c>
      <c r="AK421" s="25">
        <v>-12.320833333333338</v>
      </c>
      <c r="AL421" s="25">
        <v>15.600000000000003</v>
      </c>
      <c r="AM421" s="25">
        <v>15.67708333333333</v>
      </c>
      <c r="AN421" s="25">
        <v>15.862499999999988</v>
      </c>
      <c r="AO421" s="25">
        <v>16.085416666666681</v>
      </c>
      <c r="AP421" s="25">
        <v>15.010416666666663</v>
      </c>
      <c r="AQ421" s="25">
        <v>15.21666666666667</v>
      </c>
      <c r="AR421" s="25">
        <v>15.162500000000001</v>
      </c>
      <c r="AS421" s="25">
        <v>15.147916666666676</v>
      </c>
      <c r="AT421" s="25">
        <v>0.39788095238095234</v>
      </c>
      <c r="AU421" s="25">
        <v>0.21838888888888891</v>
      </c>
      <c r="AV421" s="25">
        <v>0.3781666666666666</v>
      </c>
      <c r="AW421" s="25">
        <v>-21.826666666666668</v>
      </c>
      <c r="AX421" s="25">
        <v>-19.448958333333334</v>
      </c>
      <c r="AY421" s="25">
        <v>-18.406304347826087</v>
      </c>
      <c r="AZ421" s="25"/>
      <c r="BA421" s="25">
        <v>-19.70624999999999</v>
      </c>
      <c r="BB421" s="25">
        <v>-14.954166666666664</v>
      </c>
      <c r="BC421" s="25"/>
      <c r="BD421" s="25">
        <v>15.581250000000002</v>
      </c>
      <c r="BE421" s="25">
        <v>16.531249999999996</v>
      </c>
    </row>
    <row r="422" spans="1:57" x14ac:dyDescent="0.25">
      <c r="A422" s="1">
        <v>24.4</v>
      </c>
      <c r="B422" s="1">
        <v>10.7</v>
      </c>
      <c r="C422" s="22"/>
      <c r="D422" s="23">
        <v>44129</v>
      </c>
      <c r="E422" s="24">
        <v>196.72916666666666</v>
      </c>
      <c r="F422" s="24">
        <v>65.916666666666671</v>
      </c>
      <c r="G422" s="24">
        <v>16.854166666666664</v>
      </c>
      <c r="H422" s="24">
        <v>0</v>
      </c>
      <c r="I422" s="24">
        <v>228.41666666666666</v>
      </c>
      <c r="J422" s="24">
        <v>6.125</v>
      </c>
      <c r="K422" s="24">
        <v>0.1875</v>
      </c>
      <c r="L422" s="24">
        <v>10.110416666666667</v>
      </c>
      <c r="M422" s="10">
        <v>0.73997325659041036</v>
      </c>
      <c r="N422" s="25">
        <v>0.36875000000000019</v>
      </c>
      <c r="O422" s="25">
        <v>0.48281250000000009</v>
      </c>
      <c r="P422" s="25">
        <v>0.53291666666666626</v>
      </c>
      <c r="Q422" s="25">
        <v>0.55816666666666637</v>
      </c>
      <c r="R422" s="25">
        <v>0.55025000000000013</v>
      </c>
      <c r="S422" s="25">
        <v>0.43472916666666667</v>
      </c>
      <c r="T422" s="25">
        <v>0.42406250000000023</v>
      </c>
      <c r="U422" s="25">
        <v>0.37254166666666655</v>
      </c>
      <c r="V422" s="25">
        <v>-23.646458333333342</v>
      </c>
      <c r="W422" s="25">
        <v>-70.796250000000015</v>
      </c>
      <c r="X422" s="25">
        <v>-19.231874999999999</v>
      </c>
      <c r="Y422" s="25">
        <v>-20.230000000000008</v>
      </c>
      <c r="Z422" s="25">
        <v>-32.890000000000008</v>
      </c>
      <c r="AA422" s="25">
        <v>-23.942916666666665</v>
      </c>
      <c r="AB422" s="25">
        <v>-23.671458333333334</v>
      </c>
      <c r="AC422" s="25">
        <v>-34.633333333333319</v>
      </c>
      <c r="AD422" s="25">
        <v>-19.95</v>
      </c>
      <c r="AE422" s="25">
        <v>-17.929166666666667</v>
      </c>
      <c r="AF422" s="25">
        <v>-14.706249999999997</v>
      </c>
      <c r="AG422" s="25">
        <v>-13.193749999999994</v>
      </c>
      <c r="AH422" s="25">
        <v>-30.702083333333324</v>
      </c>
      <c r="AI422" s="25">
        <v>-17.768750000000001</v>
      </c>
      <c r="AJ422" s="25">
        <v>-11.960416666666667</v>
      </c>
      <c r="AK422" s="25">
        <v>-14.606250000000003</v>
      </c>
      <c r="AL422" s="25">
        <v>16.104166666666668</v>
      </c>
      <c r="AM422" s="25">
        <v>15.977083333333335</v>
      </c>
      <c r="AN422" s="25">
        <v>16.016666666666669</v>
      </c>
      <c r="AO422" s="25">
        <v>16.175000000000011</v>
      </c>
      <c r="AP422" s="25">
        <v>15.55208333333333</v>
      </c>
      <c r="AQ422" s="25">
        <v>15.554166666666669</v>
      </c>
      <c r="AR422" s="25">
        <v>15.425000000000006</v>
      </c>
      <c r="AS422" s="25">
        <v>15.36458333333333</v>
      </c>
      <c r="AT422" s="25">
        <v>0.38531250000000011</v>
      </c>
      <c r="AU422" s="25">
        <v>0.19673333333333334</v>
      </c>
      <c r="AV422" s="25">
        <v>0.33979166666666666</v>
      </c>
      <c r="AW422" s="25">
        <v>-28.056874999999994</v>
      </c>
      <c r="AX422" s="25">
        <v>-32.182291666666664</v>
      </c>
      <c r="AY422" s="25">
        <v>-31.961999999999993</v>
      </c>
      <c r="AZ422" s="25"/>
      <c r="BA422" s="25">
        <v>-33.24583333333333</v>
      </c>
      <c r="BB422" s="25">
        <v>-29.414583333333329</v>
      </c>
      <c r="BC422" s="25"/>
      <c r="BD422" s="25">
        <v>16.254166666666666</v>
      </c>
      <c r="BE422" s="25">
        <v>17.141666666666669</v>
      </c>
    </row>
    <row r="423" spans="1:57" x14ac:dyDescent="0.25">
      <c r="A423" s="1">
        <v>17.3</v>
      </c>
      <c r="B423" s="1">
        <v>13.1</v>
      </c>
      <c r="C423" s="22"/>
      <c r="D423" s="23">
        <v>44130</v>
      </c>
      <c r="E423" s="24">
        <v>64.895833333333329</v>
      </c>
      <c r="F423" s="24">
        <v>79.135416666666671</v>
      </c>
      <c r="G423" s="24">
        <v>15.277083333333332</v>
      </c>
      <c r="H423" s="24">
        <v>0</v>
      </c>
      <c r="I423" s="24">
        <v>214.60416666666666</v>
      </c>
      <c r="J423" s="24">
        <v>3.1666666666666665</v>
      </c>
      <c r="K423" s="24">
        <v>0</v>
      </c>
      <c r="L423" s="24">
        <v>11.660416666666663</v>
      </c>
      <c r="M423" s="10">
        <v>0.36815612260431924</v>
      </c>
      <c r="N423" s="25">
        <v>0.35329166666666673</v>
      </c>
      <c r="O423" s="25">
        <v>0.47493749999999996</v>
      </c>
      <c r="P423" s="25">
        <v>0.52670833333333289</v>
      </c>
      <c r="Q423" s="25">
        <v>0.55279166666666646</v>
      </c>
      <c r="R423" s="25">
        <v>0.54164583333333338</v>
      </c>
      <c r="S423" s="25">
        <v>0.42833333333333301</v>
      </c>
      <c r="T423" s="25">
        <v>0.41912499999999991</v>
      </c>
      <c r="U423" s="25">
        <v>0.3675000000000001</v>
      </c>
      <c r="V423" s="25">
        <v>-31.646458333333324</v>
      </c>
      <c r="W423" s="25">
        <v>-93.587499999999991</v>
      </c>
      <c r="X423" s="25">
        <v>-23.953958333333329</v>
      </c>
      <c r="Y423" s="25">
        <v>-24.315625000000008</v>
      </c>
      <c r="Z423" s="25">
        <v>-41.106249999999996</v>
      </c>
      <c r="AA423" s="25">
        <v>-27.878541666666667</v>
      </c>
      <c r="AB423" s="25">
        <v>-27.783124999999998</v>
      </c>
      <c r="AC423" s="25">
        <v>-42.190000000000005</v>
      </c>
      <c r="AD423" s="25">
        <v>-29.625000000000004</v>
      </c>
      <c r="AE423" s="25">
        <v>-23.227083333333329</v>
      </c>
      <c r="AF423" s="25">
        <v>-18.94166666666667</v>
      </c>
      <c r="AG423" s="25">
        <v>-14.981249999999994</v>
      </c>
      <c r="AH423" s="25">
        <v>-55.20416666666668</v>
      </c>
      <c r="AI423" s="25">
        <v>-29.639583333333324</v>
      </c>
      <c r="AJ423" s="25">
        <v>-15.2125</v>
      </c>
      <c r="AK423" s="25">
        <v>-20.612500000000001</v>
      </c>
      <c r="AL423" s="25">
        <v>16.337499999999999</v>
      </c>
      <c r="AM423" s="25">
        <v>16.341666666666654</v>
      </c>
      <c r="AN423" s="25">
        <v>16.279166666666654</v>
      </c>
      <c r="AO423" s="25">
        <v>16.345833333333324</v>
      </c>
      <c r="AP423" s="25">
        <v>15.887500000000005</v>
      </c>
      <c r="AQ423" s="25">
        <v>16.014583333333331</v>
      </c>
      <c r="AR423" s="25">
        <v>15.816666666666661</v>
      </c>
      <c r="AS423" s="25">
        <v>15.708333333333327</v>
      </c>
      <c r="AT423" s="25">
        <v>0.3739302325581394</v>
      </c>
      <c r="AU423" s="25"/>
      <c r="AV423" s="25">
        <v>0.30808333333333338</v>
      </c>
      <c r="AW423" s="25">
        <v>-56.695</v>
      </c>
      <c r="AX423" s="25">
        <v>-45.966875000000009</v>
      </c>
      <c r="AY423" s="25">
        <v>-35.938958333333325</v>
      </c>
      <c r="AZ423" s="25"/>
      <c r="BA423" s="25">
        <v>-56.460416666666674</v>
      </c>
      <c r="BB423" s="25">
        <v>-48.793749999999996</v>
      </c>
      <c r="BC423" s="25"/>
      <c r="BD423" s="25">
        <v>16.214583333333334</v>
      </c>
      <c r="BE423" s="25">
        <v>17.041666666666661</v>
      </c>
    </row>
    <row r="424" spans="1:57" x14ac:dyDescent="0.25">
      <c r="A424" s="1">
        <v>19.7</v>
      </c>
      <c r="B424" s="1">
        <v>12.9</v>
      </c>
      <c r="C424" s="22"/>
      <c r="D424" s="23">
        <v>44131</v>
      </c>
      <c r="E424" s="24">
        <v>66.104166666666671</v>
      </c>
      <c r="F424" s="24">
        <v>85.654166666666654</v>
      </c>
      <c r="G424" s="24">
        <v>15.554166666666667</v>
      </c>
      <c r="H424" s="24">
        <v>0.7</v>
      </c>
      <c r="I424" s="24">
        <v>223.125</v>
      </c>
      <c r="J424" s="24">
        <v>3.5833333333333335</v>
      </c>
      <c r="K424" s="24">
        <v>0.27083333333333331</v>
      </c>
      <c r="L424" s="24">
        <v>13.102083333333335</v>
      </c>
      <c r="M424" s="10">
        <v>0.26779767549450356</v>
      </c>
      <c r="N424" s="25">
        <v>0.34489583333333335</v>
      </c>
      <c r="O424" s="25">
        <v>0.46795833333333348</v>
      </c>
      <c r="P424" s="25">
        <v>0.52291666666666681</v>
      </c>
      <c r="Q424" s="25">
        <v>0.5486458333333335</v>
      </c>
      <c r="R424" s="25">
        <v>0.53375000000000006</v>
      </c>
      <c r="S424" s="25">
        <v>0.42412500000000009</v>
      </c>
      <c r="T424" s="25">
        <v>0.41622916666666648</v>
      </c>
      <c r="U424" s="25">
        <v>0.36464583333333328</v>
      </c>
      <c r="V424" s="25">
        <v>-38.963541666666664</v>
      </c>
      <c r="W424" s="25">
        <v>-112.77916666666665</v>
      </c>
      <c r="X424" s="25">
        <v>-28.833333333333339</v>
      </c>
      <c r="Y424" s="25">
        <v>-27.981666666666669</v>
      </c>
      <c r="Z424" s="25">
        <v>-46.696249999999999</v>
      </c>
      <c r="AA424" s="25">
        <v>-31.523541666666663</v>
      </c>
      <c r="AB424" s="25">
        <v>-30.921250000000001</v>
      </c>
      <c r="AC424" s="25">
        <v>-46.574166666666677</v>
      </c>
      <c r="AD424" s="25">
        <v>-33.945833333333333</v>
      </c>
      <c r="AE424" s="25">
        <v>-25.045833333333338</v>
      </c>
      <c r="AF424" s="25">
        <v>-20.745833333333334</v>
      </c>
      <c r="AG424" s="25">
        <v>-16.797916666666676</v>
      </c>
      <c r="AH424" s="25">
        <v>-83.893749999999983</v>
      </c>
      <c r="AI424" s="25">
        <v>-39.668749999999989</v>
      </c>
      <c r="AJ424" s="25">
        <v>-19.306250000000002</v>
      </c>
      <c r="AK424" s="25">
        <v>-25.183333333333326</v>
      </c>
      <c r="AL424" s="25">
        <v>16.09375</v>
      </c>
      <c r="AM424" s="25">
        <v>16.227083333333336</v>
      </c>
      <c r="AN424" s="25">
        <v>16.29999999999999</v>
      </c>
      <c r="AO424" s="25">
        <v>16.399999999999988</v>
      </c>
      <c r="AP424" s="25">
        <v>15.729166666666663</v>
      </c>
      <c r="AQ424" s="25">
        <v>15.889583333333336</v>
      </c>
      <c r="AR424" s="25">
        <v>15.808333333333328</v>
      </c>
      <c r="AS424" s="25">
        <v>15.760416666666666</v>
      </c>
      <c r="AT424" s="25">
        <v>0.36754166666666671</v>
      </c>
      <c r="AU424" s="25">
        <v>0.17299999999999999</v>
      </c>
      <c r="AV424" s="25">
        <v>0.29562499999999992</v>
      </c>
      <c r="AW424" s="25">
        <v>-81.322708333333352</v>
      </c>
      <c r="AX424" s="25">
        <v>-53.730208333333337</v>
      </c>
      <c r="AY424" s="25">
        <v>-45.633541666666673</v>
      </c>
      <c r="AZ424" s="25"/>
      <c r="BA424" s="25">
        <v>-74.295833333333348</v>
      </c>
      <c r="BB424" s="25">
        <v>-77.931249999999991</v>
      </c>
      <c r="BC424" s="25"/>
      <c r="BD424" s="25">
        <v>16.337500000000002</v>
      </c>
      <c r="BE424" s="25">
        <v>16.822916666666664</v>
      </c>
    </row>
    <row r="425" spans="1:57" x14ac:dyDescent="0.25">
      <c r="A425" s="1">
        <v>15.4</v>
      </c>
      <c r="B425" s="1">
        <v>11.3</v>
      </c>
      <c r="C425" s="22"/>
      <c r="D425" s="23">
        <v>44132</v>
      </c>
      <c r="E425" s="24">
        <v>36.041666666666664</v>
      </c>
      <c r="F425" s="24">
        <v>93.25208333333336</v>
      </c>
      <c r="G425" s="24">
        <v>12.856249999999998</v>
      </c>
      <c r="H425" s="24">
        <v>3.9000000000000004</v>
      </c>
      <c r="I425" s="24">
        <v>200.83333333333334</v>
      </c>
      <c r="J425" s="24">
        <v>3.1666666666666665</v>
      </c>
      <c r="K425" s="24">
        <v>0</v>
      </c>
      <c r="L425" s="24">
        <v>11.783333333333339</v>
      </c>
      <c r="M425" s="10">
        <v>0.1008143610352117</v>
      </c>
      <c r="N425" s="25">
        <v>0.34052083333333333</v>
      </c>
      <c r="O425" s="25">
        <v>0.46339583333333301</v>
      </c>
      <c r="P425" s="25">
        <v>0.52147916666666683</v>
      </c>
      <c r="Q425" s="25">
        <v>0.5455208333333339</v>
      </c>
      <c r="R425" s="25">
        <v>0.52885416666666674</v>
      </c>
      <c r="S425" s="25">
        <v>0.42302083333333357</v>
      </c>
      <c r="T425" s="25">
        <v>0.41499999999999954</v>
      </c>
      <c r="U425" s="25">
        <v>0.36302083333333296</v>
      </c>
      <c r="V425" s="25">
        <v>-45.268541666666664</v>
      </c>
      <c r="W425" s="25">
        <v>-126.44166666666665</v>
      </c>
      <c r="X425" s="25">
        <v>-32.958958333333335</v>
      </c>
      <c r="Y425" s="25">
        <v>-30.973541666666673</v>
      </c>
      <c r="Z425" s="25">
        <v>-51.53645833333335</v>
      </c>
      <c r="AA425" s="25">
        <v>-34.297916666666673</v>
      </c>
      <c r="AB425" s="25">
        <v>-32.85854166666666</v>
      </c>
      <c r="AC425" s="25">
        <v>-49.166458333333338</v>
      </c>
      <c r="AD425" s="25">
        <v>-36.587499999999999</v>
      </c>
      <c r="AE425" s="25">
        <v>-25.825000000000003</v>
      </c>
      <c r="AF425" s="25">
        <v>-21.5</v>
      </c>
      <c r="AG425" s="25">
        <v>-17.702083333333324</v>
      </c>
      <c r="AH425" s="25">
        <v>-99.889583333333334</v>
      </c>
      <c r="AI425" s="25">
        <v>-43.868750000000013</v>
      </c>
      <c r="AJ425" s="25">
        <v>-22.089583333333334</v>
      </c>
      <c r="AK425" s="25">
        <v>-27.197916666666643</v>
      </c>
      <c r="AL425" s="25">
        <v>15.96458333333333</v>
      </c>
      <c r="AM425" s="25">
        <v>16.287500000000016</v>
      </c>
      <c r="AN425" s="25">
        <v>16.368749999999981</v>
      </c>
      <c r="AO425" s="25">
        <v>16.472916666666666</v>
      </c>
      <c r="AP425" s="25">
        <v>15.487499999999992</v>
      </c>
      <c r="AQ425" s="25">
        <v>15.98124999999999</v>
      </c>
      <c r="AR425" s="25">
        <v>15.924999999999985</v>
      </c>
      <c r="AS425" s="25">
        <v>15.868749999999983</v>
      </c>
      <c r="AT425" s="25">
        <v>0.38556249999999981</v>
      </c>
      <c r="AU425" s="25"/>
      <c r="AV425" s="25">
        <v>0.29795833333333338</v>
      </c>
      <c r="AW425" s="25">
        <v>-89.299583333333317</v>
      </c>
      <c r="AX425" s="25">
        <v>-48.414166666666667</v>
      </c>
      <c r="AY425" s="25">
        <v>-56.221666666666664</v>
      </c>
      <c r="AZ425" s="25"/>
      <c r="BA425" s="25">
        <v>-72.935416666666683</v>
      </c>
      <c r="BB425" s="25">
        <v>-99.329166666666708</v>
      </c>
      <c r="BC425" s="25"/>
      <c r="BD425" s="25">
        <v>15.735416666666666</v>
      </c>
      <c r="BE425" s="25">
        <v>16.552083333333332</v>
      </c>
    </row>
    <row r="426" spans="1:57" x14ac:dyDescent="0.25">
      <c r="A426" s="1">
        <v>15.9</v>
      </c>
      <c r="B426" s="1">
        <v>10.8</v>
      </c>
      <c r="C426" s="22"/>
      <c r="D426" s="23">
        <v>44133</v>
      </c>
      <c r="E426" s="24">
        <v>65.25</v>
      </c>
      <c r="F426" s="24">
        <v>88.954166666666666</v>
      </c>
      <c r="G426" s="24">
        <v>13.033333333333333</v>
      </c>
      <c r="H426" s="24">
        <v>0.8</v>
      </c>
      <c r="I426" s="24">
        <v>220.08333333333334</v>
      </c>
      <c r="J426" s="24">
        <v>2.7083333333333335</v>
      </c>
      <c r="K426" s="24">
        <v>0</v>
      </c>
      <c r="L426" s="24">
        <v>11.200000000000001</v>
      </c>
      <c r="M426" s="10">
        <v>0.17707378382858172</v>
      </c>
      <c r="N426" s="25">
        <v>0.33618750000000036</v>
      </c>
      <c r="O426" s="25">
        <v>0.4582500000000001</v>
      </c>
      <c r="P426" s="25">
        <v>0.51852083333333321</v>
      </c>
      <c r="Q426" s="25">
        <v>0.54206249999999978</v>
      </c>
      <c r="R426" s="25">
        <v>0.52289583333333278</v>
      </c>
      <c r="S426" s="25">
        <v>0.42037500000000011</v>
      </c>
      <c r="T426" s="25">
        <v>0.41379166666666672</v>
      </c>
      <c r="U426" s="25">
        <v>0.36191666666666672</v>
      </c>
      <c r="V426" s="25">
        <v>-49.771041666666662</v>
      </c>
      <c r="W426" s="25">
        <v>-138.34375000000003</v>
      </c>
      <c r="X426" s="25">
        <v>-36.293750000000003</v>
      </c>
      <c r="Y426" s="25">
        <v>-33.280208333333341</v>
      </c>
      <c r="Z426" s="25">
        <v>-54.909375000000018</v>
      </c>
      <c r="AA426" s="25">
        <v>-36.250208333333347</v>
      </c>
      <c r="AB426" s="25">
        <v>-33.817916666666669</v>
      </c>
      <c r="AC426" s="25">
        <v>-50.128541666666656</v>
      </c>
      <c r="AD426" s="25">
        <v>-38.404166666666654</v>
      </c>
      <c r="AE426" s="25">
        <v>-26.047916666666666</v>
      </c>
      <c r="AF426" s="25">
        <v>-21.931250000000002</v>
      </c>
      <c r="AG426" s="25">
        <v>-18.587499999999995</v>
      </c>
      <c r="AH426" s="25">
        <v>-80.293749999999989</v>
      </c>
      <c r="AI426" s="25">
        <v>-45.777083333333337</v>
      </c>
      <c r="AJ426" s="25">
        <v>-23.962499999999995</v>
      </c>
      <c r="AK426" s="25">
        <v>-28.368749999999991</v>
      </c>
      <c r="AL426" s="25">
        <v>15.339583333333337</v>
      </c>
      <c r="AM426" s="25">
        <v>15.895833333333323</v>
      </c>
      <c r="AN426" s="25">
        <v>16.191666666666674</v>
      </c>
      <c r="AO426" s="25">
        <v>16.366666666666646</v>
      </c>
      <c r="AP426" s="25">
        <v>14.76041666666667</v>
      </c>
      <c r="AQ426" s="25">
        <v>15.391666666666664</v>
      </c>
      <c r="AR426" s="25">
        <v>15.52916666666666</v>
      </c>
      <c r="AS426" s="25">
        <v>15.602083333333335</v>
      </c>
      <c r="AT426" s="25">
        <v>0.38429166666666664</v>
      </c>
      <c r="AU426" s="25"/>
      <c r="AV426" s="25">
        <v>0.29735416666666659</v>
      </c>
      <c r="AW426" s="25">
        <v>-65.098333333333329</v>
      </c>
      <c r="AX426" s="25">
        <v>-37.273541666666667</v>
      </c>
      <c r="AY426" s="25">
        <v>-61.080833333333338</v>
      </c>
      <c r="AZ426" s="25"/>
      <c r="BA426" s="25">
        <v>-55.72291666666667</v>
      </c>
      <c r="BB426" s="25">
        <v>-100.64791666666666</v>
      </c>
      <c r="BC426" s="25"/>
      <c r="BD426" s="25">
        <v>15.431249999999999</v>
      </c>
      <c r="BE426" s="25">
        <v>16.033333333333331</v>
      </c>
    </row>
    <row r="427" spans="1:57" x14ac:dyDescent="0.25">
      <c r="A427" s="1">
        <v>19.100000000000001</v>
      </c>
      <c r="B427" s="1">
        <v>12.8</v>
      </c>
      <c r="C427" s="22"/>
      <c r="D427" s="23">
        <v>44134</v>
      </c>
      <c r="E427" s="24">
        <v>86.5</v>
      </c>
      <c r="F427" s="24">
        <v>89.658333333333346</v>
      </c>
      <c r="G427" s="24">
        <v>15.370833333333335</v>
      </c>
      <c r="H427" s="24">
        <v>0.4</v>
      </c>
      <c r="I427" s="24">
        <v>252.60416666666666</v>
      </c>
      <c r="J427" s="24">
        <v>5.645833333333333</v>
      </c>
      <c r="K427" s="24">
        <v>0.25</v>
      </c>
      <c r="L427" s="24">
        <v>13.633333333333333</v>
      </c>
      <c r="M427" s="10">
        <v>0.19633115178058327</v>
      </c>
      <c r="N427" s="25">
        <v>0.33427083333333313</v>
      </c>
      <c r="O427" s="25">
        <v>0.45466666666666683</v>
      </c>
      <c r="P427" s="25">
        <v>0.51595833333333341</v>
      </c>
      <c r="Q427" s="25">
        <v>0.53820833333333329</v>
      </c>
      <c r="R427" s="25">
        <v>0.52022916666666652</v>
      </c>
      <c r="S427" s="25">
        <v>0.41874999999999973</v>
      </c>
      <c r="T427" s="25">
        <v>0.41177083333333342</v>
      </c>
      <c r="U427" s="25">
        <v>0.35945833333333338</v>
      </c>
      <c r="V427" s="25">
        <v>-51.841666666666676</v>
      </c>
      <c r="W427" s="25">
        <v>-147.01666666666662</v>
      </c>
      <c r="X427" s="25">
        <v>-38.848958333333321</v>
      </c>
      <c r="Y427" s="25">
        <v>-35.323958333333337</v>
      </c>
      <c r="Z427" s="25">
        <v>-56.62916666666667</v>
      </c>
      <c r="AA427" s="25">
        <v>-37.658541666666657</v>
      </c>
      <c r="AB427" s="25">
        <v>-34.865000000000002</v>
      </c>
      <c r="AC427" s="25">
        <v>-52.132083333333334</v>
      </c>
      <c r="AD427" s="25">
        <v>-41.218750000000007</v>
      </c>
      <c r="AE427" s="25">
        <v>-26.618749999999995</v>
      </c>
      <c r="AF427" s="25">
        <v>-23.224999999999998</v>
      </c>
      <c r="AG427" s="25">
        <v>-20.970833333333335</v>
      </c>
      <c r="AH427" s="25">
        <v>-79.639583333333348</v>
      </c>
      <c r="AI427" s="25">
        <v>-49.560416666666661</v>
      </c>
      <c r="AJ427" s="25">
        <v>-26.131249999999994</v>
      </c>
      <c r="AK427" s="25">
        <v>-30.054166666666656</v>
      </c>
      <c r="AL427" s="25">
        <v>15.768749999999995</v>
      </c>
      <c r="AM427" s="25">
        <v>15.897916666666674</v>
      </c>
      <c r="AN427" s="25">
        <v>16.100000000000012</v>
      </c>
      <c r="AO427" s="25">
        <v>16.266666666666683</v>
      </c>
      <c r="AP427" s="25">
        <v>15.495833333333337</v>
      </c>
      <c r="AQ427" s="25">
        <v>15.593749999999995</v>
      </c>
      <c r="AR427" s="25">
        <v>15.554166666666669</v>
      </c>
      <c r="AS427" s="25">
        <v>15.531250000000007</v>
      </c>
      <c r="AT427" s="25">
        <v>0.38354166666666667</v>
      </c>
      <c r="AU427" s="25"/>
      <c r="AV427" s="25">
        <v>0.29587500000000005</v>
      </c>
      <c r="AW427" s="25">
        <v>-58.393541666666657</v>
      </c>
      <c r="AX427" s="25">
        <v>-42.097291666666663</v>
      </c>
      <c r="AY427" s="25">
        <v>-121.52133333333333</v>
      </c>
      <c r="AZ427" s="25"/>
      <c r="BA427" s="25">
        <v>-57.195833333333347</v>
      </c>
      <c r="BB427" s="25">
        <v>-111.03750000000001</v>
      </c>
      <c r="BC427" s="25"/>
      <c r="BD427" s="25">
        <v>16.314583333333335</v>
      </c>
      <c r="BE427" s="25">
        <v>16.481249999999999</v>
      </c>
    </row>
    <row r="428" spans="1:57" x14ac:dyDescent="0.25">
      <c r="A428" s="1">
        <v>15.7</v>
      </c>
      <c r="B428" s="1">
        <v>12.7</v>
      </c>
      <c r="C428" s="22"/>
      <c r="D428" s="23">
        <v>44135</v>
      </c>
      <c r="E428" s="24">
        <v>22.520833333333332</v>
      </c>
      <c r="F428" s="24">
        <v>94.339583333333323</v>
      </c>
      <c r="G428" s="24">
        <v>14.327083333333325</v>
      </c>
      <c r="H428" s="24">
        <v>1.5999999999999999</v>
      </c>
      <c r="I428" s="24">
        <v>241.16666666666666</v>
      </c>
      <c r="J428" s="24">
        <v>4.520833333333333</v>
      </c>
      <c r="K428" s="24">
        <v>0.1875</v>
      </c>
      <c r="L428" s="24">
        <v>13.424999999999997</v>
      </c>
      <c r="M428" s="10">
        <v>9.3783007625374629E-2</v>
      </c>
      <c r="N428" s="25">
        <v>0.33208333333333362</v>
      </c>
      <c r="O428" s="25">
        <v>0.45212500000000028</v>
      </c>
      <c r="P428" s="25">
        <v>0.51500000000000035</v>
      </c>
      <c r="Q428" s="25">
        <v>0.53566666666666662</v>
      </c>
      <c r="R428" s="25">
        <v>0.51885416666666684</v>
      </c>
      <c r="S428" s="25">
        <v>0.41814583333333305</v>
      </c>
      <c r="T428" s="25">
        <v>0.41097916666666667</v>
      </c>
      <c r="U428" s="25">
        <v>0.35802083333333351</v>
      </c>
      <c r="V428" s="25">
        <v>-54.982500000000009</v>
      </c>
      <c r="W428" s="25">
        <v>-154.37083333333325</v>
      </c>
      <c r="X428" s="25">
        <v>-40.918750000000003</v>
      </c>
      <c r="Y428" s="25">
        <v>-37.062291666666653</v>
      </c>
      <c r="Z428" s="25">
        <v>-59.056250000000013</v>
      </c>
      <c r="AA428" s="25">
        <v>-39.214166666666664</v>
      </c>
      <c r="AB428" s="25">
        <v>-36.020416666666669</v>
      </c>
      <c r="AC428" s="25">
        <v>-54.234791666666666</v>
      </c>
      <c r="AD428" s="25">
        <v>-42.737500000000004</v>
      </c>
      <c r="AE428" s="25">
        <v>-26.977083333333326</v>
      </c>
      <c r="AF428" s="25">
        <v>-24.045833333333331</v>
      </c>
      <c r="AG428" s="25">
        <v>-22.314583333333328</v>
      </c>
      <c r="AH428" s="25">
        <v>-81.402083333333323</v>
      </c>
      <c r="AI428" s="25">
        <v>-51.993750000000006</v>
      </c>
      <c r="AJ428" s="25">
        <v>-27.887500000000003</v>
      </c>
      <c r="AK428" s="25">
        <v>-31.397916666666678</v>
      </c>
      <c r="AL428" s="25">
        <v>16.035416666666666</v>
      </c>
      <c r="AM428" s="25">
        <v>16.187500000000011</v>
      </c>
      <c r="AN428" s="25">
        <v>16.193750000000012</v>
      </c>
      <c r="AO428" s="25">
        <v>16.29999999999999</v>
      </c>
      <c r="AP428" s="25">
        <v>15.745833333333328</v>
      </c>
      <c r="AQ428" s="25">
        <v>15.993749999999999</v>
      </c>
      <c r="AR428" s="25">
        <v>15.887499999999987</v>
      </c>
      <c r="AS428" s="25">
        <v>15.789583333333324</v>
      </c>
      <c r="AT428" s="25">
        <v>0.38072916666666662</v>
      </c>
      <c r="AU428" s="25"/>
      <c r="AV428" s="25">
        <v>0.29368749999999993</v>
      </c>
      <c r="AW428" s="25">
        <v>-54.505000000000024</v>
      </c>
      <c r="AX428" s="25">
        <v>-48.808333333333358</v>
      </c>
      <c r="AY428" s="25"/>
      <c r="AZ428" s="25"/>
      <c r="BA428" s="25">
        <v>-60.258333333333347</v>
      </c>
      <c r="BB428" s="25">
        <v>-118.05833333333332</v>
      </c>
      <c r="BC428" s="25"/>
      <c r="BD428" s="25">
        <v>16.154166666666665</v>
      </c>
      <c r="BE428" s="25">
        <v>16.464583333333334</v>
      </c>
    </row>
    <row r="429" spans="1:57" x14ac:dyDescent="0.25">
      <c r="A429" s="1">
        <v>12.8</v>
      </c>
      <c r="B429" s="1">
        <v>9.6999999999999993</v>
      </c>
      <c r="C429" s="22"/>
      <c r="D429" s="23">
        <v>44136</v>
      </c>
      <c r="E429" s="24">
        <v>29.854166666666668</v>
      </c>
      <c r="F429" s="24">
        <v>94.410416666666663</v>
      </c>
      <c r="G429" s="24">
        <v>11.510416666666666</v>
      </c>
      <c r="H429" s="24">
        <v>3.5000000000000009</v>
      </c>
      <c r="I429" s="24">
        <v>201.0625</v>
      </c>
      <c r="J429" s="24">
        <v>2.4583333333333335</v>
      </c>
      <c r="K429" s="24">
        <v>0</v>
      </c>
      <c r="L429" s="24">
        <v>10.641666666666664</v>
      </c>
      <c r="M429" s="10">
        <v>7.3736400570686852E-2</v>
      </c>
      <c r="N429" s="25">
        <v>0.33018750000000019</v>
      </c>
      <c r="O429" s="25">
        <v>0.4499166666666668</v>
      </c>
      <c r="P429" s="25">
        <v>0.51420833333333338</v>
      </c>
      <c r="Q429" s="25">
        <v>0.53381250000000036</v>
      </c>
      <c r="R429" s="25">
        <v>0.51479166666666698</v>
      </c>
      <c r="S429" s="25">
        <v>0.418375</v>
      </c>
      <c r="T429" s="25">
        <v>0.4108124999999998</v>
      </c>
      <c r="U429" s="25">
        <v>0.35850000000000021</v>
      </c>
      <c r="V429" s="25">
        <v>-58.321041666666673</v>
      </c>
      <c r="W429" s="25">
        <v>-161.56250000000003</v>
      </c>
      <c r="X429" s="25">
        <v>-42.854791666666664</v>
      </c>
      <c r="Y429" s="25">
        <v>-38.597083333333337</v>
      </c>
      <c r="Z429" s="25">
        <v>-61.409583333333337</v>
      </c>
      <c r="AA429" s="25">
        <v>-40.485624999999992</v>
      </c>
      <c r="AB429" s="25">
        <v>-36.406041666666688</v>
      </c>
      <c r="AC429" s="25">
        <v>-54.114999999999988</v>
      </c>
      <c r="AD429" s="25">
        <v>-42.179166666666674</v>
      </c>
      <c r="AE429" s="25">
        <v>-27.006249999999998</v>
      </c>
      <c r="AF429" s="25">
        <v>-23.712500000000006</v>
      </c>
      <c r="AG429" s="25">
        <v>-22.116666666666664</v>
      </c>
      <c r="AH429" s="25">
        <v>-56.439583333333353</v>
      </c>
      <c r="AI429" s="25">
        <v>-50.837500000000013</v>
      </c>
      <c r="AJ429" s="25">
        <v>-28.160416666666674</v>
      </c>
      <c r="AK429" s="25">
        <v>-31.58541666666666</v>
      </c>
      <c r="AL429" s="25">
        <v>15.366666666666662</v>
      </c>
      <c r="AM429" s="25">
        <v>15.947916666666652</v>
      </c>
      <c r="AN429" s="25">
        <v>16.168750000000003</v>
      </c>
      <c r="AO429" s="25">
        <v>16.29999999999999</v>
      </c>
      <c r="AP429" s="25">
        <v>14.772916666666672</v>
      </c>
      <c r="AQ429" s="25">
        <v>15.560416666666661</v>
      </c>
      <c r="AR429" s="25">
        <v>15.672916666666671</v>
      </c>
      <c r="AS429" s="25">
        <v>15.706250000000006</v>
      </c>
      <c r="AT429" s="25">
        <v>0.40181250000000007</v>
      </c>
      <c r="AU429" s="25"/>
      <c r="AV429" s="25">
        <v>0.30931249999999999</v>
      </c>
      <c r="AW429" s="25">
        <v>-34.776458333333345</v>
      </c>
      <c r="AX429" s="25">
        <v>-30.272708333333338</v>
      </c>
      <c r="AY429" s="25"/>
      <c r="AZ429" s="25"/>
      <c r="BA429" s="25">
        <v>-43.650000000000006</v>
      </c>
      <c r="BB429" s="25">
        <v>-109.28333333333332</v>
      </c>
      <c r="BC429" s="25"/>
      <c r="BD429" s="25">
        <v>15.122916666666663</v>
      </c>
      <c r="BE429" s="25">
        <v>15.7875</v>
      </c>
    </row>
    <row r="430" spans="1:57" x14ac:dyDescent="0.25">
      <c r="A430" s="1">
        <v>12.6</v>
      </c>
      <c r="B430" s="1">
        <v>7.4</v>
      </c>
      <c r="C430" s="22"/>
      <c r="D430" s="23">
        <v>44137</v>
      </c>
      <c r="E430" s="24">
        <v>51.645833333333336</v>
      </c>
      <c r="F430" s="24">
        <v>84.437500000000014</v>
      </c>
      <c r="G430" s="24">
        <v>9.7229166666666682</v>
      </c>
      <c r="H430" s="24">
        <v>1.5999999999999999</v>
      </c>
      <c r="I430" s="24">
        <v>219.89583333333334</v>
      </c>
      <c r="J430" s="24">
        <v>3.3958333333333335</v>
      </c>
      <c r="K430" s="24">
        <v>0</v>
      </c>
      <c r="L430" s="24">
        <v>7.1749999999999998</v>
      </c>
      <c r="M430" s="10">
        <v>0.19589438570469123</v>
      </c>
      <c r="N430" s="25">
        <v>0.3256874999999998</v>
      </c>
      <c r="O430" s="25">
        <v>0.44560416666666675</v>
      </c>
      <c r="P430" s="25">
        <v>0.51027083333333312</v>
      </c>
      <c r="Q430" s="25">
        <v>0.52983333333333349</v>
      </c>
      <c r="R430" s="25">
        <v>0.50785416666666661</v>
      </c>
      <c r="S430" s="25">
        <v>0.41495833333333326</v>
      </c>
      <c r="T430" s="25">
        <v>0.40893750000000012</v>
      </c>
      <c r="U430" s="25">
        <v>0.35704166666666654</v>
      </c>
      <c r="V430" s="25">
        <v>-59.376041666666652</v>
      </c>
      <c r="W430" s="25">
        <v>-171.73958333333329</v>
      </c>
      <c r="X430" s="25">
        <v>-45.373333333333335</v>
      </c>
      <c r="Y430" s="25">
        <v>-40.280624999999993</v>
      </c>
      <c r="Z430" s="25">
        <v>-63.98562500000002</v>
      </c>
      <c r="AA430" s="25">
        <v>-41.666458333333331</v>
      </c>
      <c r="AB430" s="25">
        <v>-36.991458333333327</v>
      </c>
      <c r="AC430" s="25">
        <v>-55.28125</v>
      </c>
      <c r="AD430" s="25">
        <v>-43.024999999999999</v>
      </c>
      <c r="AE430" s="25">
        <v>-27.185416666666683</v>
      </c>
      <c r="AF430" s="25">
        <v>-24.712499999999991</v>
      </c>
      <c r="AG430" s="25">
        <v>-23.741666666666678</v>
      </c>
      <c r="AH430" s="25">
        <v>-27.481249999999992</v>
      </c>
      <c r="AI430" s="25">
        <v>-53.675000000000004</v>
      </c>
      <c r="AJ430" s="25">
        <v>-31.152083333333326</v>
      </c>
      <c r="AK430" s="25">
        <v>-33.72291666666667</v>
      </c>
      <c r="AL430" s="25">
        <v>14.225000000000007</v>
      </c>
      <c r="AM430" s="25">
        <v>15.333333333333337</v>
      </c>
      <c r="AN430" s="25">
        <v>15.881250000000007</v>
      </c>
      <c r="AO430" s="25">
        <v>16.143750000000001</v>
      </c>
      <c r="AP430" s="25">
        <v>13.235416666666666</v>
      </c>
      <c r="AQ430" s="25">
        <v>14.61249999999999</v>
      </c>
      <c r="AR430" s="25">
        <v>15.008333333333333</v>
      </c>
      <c r="AS430" s="25">
        <v>15.193750000000001</v>
      </c>
      <c r="AT430" s="25">
        <v>0.40435416666666679</v>
      </c>
      <c r="AU430" s="25"/>
      <c r="AV430" s="25">
        <v>0.31170833333333348</v>
      </c>
      <c r="AW430" s="25">
        <v>-21.205833333333331</v>
      </c>
      <c r="AX430" s="25">
        <v>-17.019583333333333</v>
      </c>
      <c r="AY430" s="25"/>
      <c r="AZ430" s="25"/>
      <c r="BA430" s="25">
        <v>-21.768749999999997</v>
      </c>
      <c r="BB430" s="25">
        <v>-88.666666666666643</v>
      </c>
      <c r="BC430" s="25"/>
      <c r="BD430" s="25">
        <v>13.881250000000003</v>
      </c>
      <c r="BE430" s="25">
        <v>14.768750000000002</v>
      </c>
    </row>
    <row r="431" spans="1:57" x14ac:dyDescent="0.25">
      <c r="A431" s="1">
        <v>14.4</v>
      </c>
      <c r="B431" s="1">
        <v>7.3</v>
      </c>
      <c r="C431" s="22"/>
      <c r="D431" s="23">
        <v>44138</v>
      </c>
      <c r="E431" s="24">
        <v>81.020833333333329</v>
      </c>
      <c r="F431" s="24">
        <v>80.656250000000014</v>
      </c>
      <c r="G431" s="24">
        <v>9.6062499999999975</v>
      </c>
      <c r="H431" s="24">
        <v>0.4</v>
      </c>
      <c r="I431" s="24">
        <v>237.4375</v>
      </c>
      <c r="J431" s="24">
        <v>4.0625</v>
      </c>
      <c r="K431" s="24">
        <v>2.0833333333333332E-2</v>
      </c>
      <c r="L431" s="24">
        <v>6.3375000000000012</v>
      </c>
      <c r="M431" s="10">
        <v>0.24497329168460505</v>
      </c>
      <c r="N431" s="25">
        <v>0.32156249999999997</v>
      </c>
      <c r="O431" s="25">
        <v>0.43935416666666693</v>
      </c>
      <c r="P431" s="25">
        <v>0.50518750000000001</v>
      </c>
      <c r="Q431" s="25">
        <v>0.52339583333333317</v>
      </c>
      <c r="R431" s="25">
        <v>0.50225000000000031</v>
      </c>
      <c r="S431" s="25">
        <v>0.41083333333333316</v>
      </c>
      <c r="T431" s="25">
        <v>0.40587499999999993</v>
      </c>
      <c r="U431" s="25">
        <v>0.35360416666666666</v>
      </c>
      <c r="V431" s="25">
        <v>-57.845416666666672</v>
      </c>
      <c r="W431" s="25">
        <v>-182.36041666666662</v>
      </c>
      <c r="X431" s="25">
        <v>-48.245625000000011</v>
      </c>
      <c r="Y431" s="25">
        <v>-42.398333333333333</v>
      </c>
      <c r="Z431" s="25">
        <v>-65.286874999999995</v>
      </c>
      <c r="AA431" s="25">
        <v>-42.921250000000015</v>
      </c>
      <c r="AB431" s="25">
        <v>-38.629583333333329</v>
      </c>
      <c r="AC431" s="25">
        <v>-58.449583333333351</v>
      </c>
      <c r="AD431" s="25">
        <v>-44.650000000000006</v>
      </c>
      <c r="AE431" s="25">
        <v>-27.731249999999989</v>
      </c>
      <c r="AF431" s="25">
        <v>-26.154166666666672</v>
      </c>
      <c r="AG431" s="25">
        <v>-25.664583333333322</v>
      </c>
      <c r="AH431" s="25">
        <v>-20.179166666666671</v>
      </c>
      <c r="AI431" s="25">
        <v>-57.914583333333354</v>
      </c>
      <c r="AJ431" s="25">
        <v>-36.375000000000007</v>
      </c>
      <c r="AK431" s="25">
        <v>-37.916666666666664</v>
      </c>
      <c r="AL431" s="25">
        <v>13.710416666666665</v>
      </c>
      <c r="AM431" s="25">
        <v>14.822916666666679</v>
      </c>
      <c r="AN431" s="25">
        <v>15.477083333333319</v>
      </c>
      <c r="AO431" s="25">
        <v>15.833333333333343</v>
      </c>
      <c r="AP431" s="25">
        <v>12.775</v>
      </c>
      <c r="AQ431" s="25">
        <v>14.020833333333329</v>
      </c>
      <c r="AR431" s="25">
        <v>14.441666666666654</v>
      </c>
      <c r="AS431" s="25">
        <v>14.660416666666672</v>
      </c>
      <c r="AT431" s="25">
        <v>0.39652083333333343</v>
      </c>
      <c r="AU431" s="25"/>
      <c r="AV431" s="25">
        <v>0.30889583333333337</v>
      </c>
      <c r="AW431" s="25">
        <v>-20.843749999999996</v>
      </c>
      <c r="AX431" s="25">
        <v>-19.62833333333333</v>
      </c>
      <c r="AY431" s="25">
        <v>-113.56740740740744</v>
      </c>
      <c r="AZ431" s="25"/>
      <c r="BA431" s="25">
        <v>-17.481250000000003</v>
      </c>
      <c r="BB431" s="25">
        <v>-74.162500000000009</v>
      </c>
      <c r="BC431" s="25"/>
      <c r="BD431" s="25">
        <v>13.704166666666666</v>
      </c>
      <c r="BE431" s="25">
        <v>14.372916666666663</v>
      </c>
    </row>
    <row r="432" spans="1:57" x14ac:dyDescent="0.25">
      <c r="A432" s="1">
        <v>15</v>
      </c>
      <c r="B432" s="1">
        <v>7.3</v>
      </c>
      <c r="C432" s="22"/>
      <c r="D432" s="23">
        <v>44139</v>
      </c>
      <c r="E432" s="24">
        <v>77.354166666666671</v>
      </c>
      <c r="F432" s="24">
        <v>78.862500000000011</v>
      </c>
      <c r="G432" s="24">
        <v>9.970833333333335</v>
      </c>
      <c r="H432" s="24">
        <v>0</v>
      </c>
      <c r="I432" s="24">
        <v>232.5625</v>
      </c>
      <c r="J432" s="24">
        <v>3.5833333333333335</v>
      </c>
      <c r="K432" s="24">
        <v>8.3333333333333329E-2</v>
      </c>
      <c r="L432" s="24">
        <v>6.3833333333333329</v>
      </c>
      <c r="M432" s="10">
        <v>0.27453754222998328</v>
      </c>
      <c r="N432" s="25">
        <v>0.31741666666666679</v>
      </c>
      <c r="O432" s="25">
        <v>0.4336666666666662</v>
      </c>
      <c r="P432" s="25">
        <v>0.5000625000000003</v>
      </c>
      <c r="Q432" s="25">
        <v>0.51706249999999998</v>
      </c>
      <c r="R432" s="25">
        <v>0.49774999999999991</v>
      </c>
      <c r="S432" s="25">
        <v>0.40716666666666684</v>
      </c>
      <c r="T432" s="25">
        <v>0.40258333333333324</v>
      </c>
      <c r="U432" s="25">
        <v>0.35045833333333309</v>
      </c>
      <c r="V432" s="25">
        <v>-57.212083333333332</v>
      </c>
      <c r="W432" s="25">
        <v>-192.38958333333326</v>
      </c>
      <c r="X432" s="25">
        <v>-51.194791666666667</v>
      </c>
      <c r="Y432" s="25">
        <v>-44.685416666666676</v>
      </c>
      <c r="Z432" s="25">
        <v>-66.734583333333347</v>
      </c>
      <c r="AA432" s="25">
        <v>-44.413125000000001</v>
      </c>
      <c r="AB432" s="25">
        <v>-40.366874999999993</v>
      </c>
      <c r="AC432" s="25">
        <v>-61.741458333333348</v>
      </c>
      <c r="AD432" s="25">
        <v>-47.9375</v>
      </c>
      <c r="AE432" s="25">
        <v>-29.008333333333312</v>
      </c>
      <c r="AF432" s="25">
        <v>-28.224999999999998</v>
      </c>
      <c r="AG432" s="25">
        <v>-26.970833333333328</v>
      </c>
      <c r="AH432" s="25">
        <v>-20.829166666666669</v>
      </c>
      <c r="AI432" s="25">
        <v>-62.706250000000004</v>
      </c>
      <c r="AJ432" s="25">
        <v>-43.256250000000001</v>
      </c>
      <c r="AK432" s="25">
        <v>-42.4</v>
      </c>
      <c r="AL432" s="25">
        <v>13.375000000000002</v>
      </c>
      <c r="AM432" s="25">
        <v>14.510416666666657</v>
      </c>
      <c r="AN432" s="25">
        <v>15.187500000000007</v>
      </c>
      <c r="AO432" s="25">
        <v>15.554166666666667</v>
      </c>
      <c r="AP432" s="25">
        <v>12.533333333333333</v>
      </c>
      <c r="AQ432" s="25">
        <v>13.660416666666677</v>
      </c>
      <c r="AR432" s="25">
        <v>14.116666666666669</v>
      </c>
      <c r="AS432" s="25">
        <v>14.320833333333345</v>
      </c>
      <c r="AT432" s="25">
        <v>0.38881249999999995</v>
      </c>
      <c r="AU432" s="25">
        <v>0.21647619047619054</v>
      </c>
      <c r="AV432" s="25">
        <v>0.3038333333333334</v>
      </c>
      <c r="AW432" s="25">
        <v>-22.91854166666667</v>
      </c>
      <c r="AX432" s="25">
        <v>-30.103958333333328</v>
      </c>
      <c r="AY432" s="25">
        <v>-72.285172413793106</v>
      </c>
      <c r="AZ432" s="25"/>
      <c r="BA432" s="25">
        <v>-20.216666666666665</v>
      </c>
      <c r="BB432" s="25">
        <v>-78.108333333333334</v>
      </c>
      <c r="BC432" s="25"/>
      <c r="BD432" s="25">
        <v>13.537500000000003</v>
      </c>
      <c r="BE432" s="25">
        <v>14.058333333333332</v>
      </c>
    </row>
    <row r="433" spans="1:57" x14ac:dyDescent="0.25">
      <c r="A433" s="1">
        <v>13.1</v>
      </c>
      <c r="B433" s="1">
        <v>9.1999999999999993</v>
      </c>
      <c r="C433" s="22"/>
      <c r="D433" s="23">
        <v>44140</v>
      </c>
      <c r="E433" s="24">
        <v>28.4375</v>
      </c>
      <c r="F433" s="24">
        <v>94.512499999999989</v>
      </c>
      <c r="G433" s="24">
        <v>10.866666666666667</v>
      </c>
      <c r="H433" s="24">
        <v>1.7999999999999998</v>
      </c>
      <c r="I433" s="24">
        <v>242.91666666666666</v>
      </c>
      <c r="J433" s="24">
        <v>2.0833333333333335</v>
      </c>
      <c r="K433" s="24">
        <v>0</v>
      </c>
      <c r="L433" s="24">
        <v>10.016666666666666</v>
      </c>
      <c r="M433" s="10">
        <v>7.1481170229758542E-2</v>
      </c>
      <c r="N433" s="25">
        <v>0.31545833333333351</v>
      </c>
      <c r="O433" s="25">
        <v>0.42977083333333299</v>
      </c>
      <c r="P433" s="25">
        <v>0.49702083333333319</v>
      </c>
      <c r="Q433" s="25">
        <v>0.51289583333333366</v>
      </c>
      <c r="R433" s="25">
        <v>0.49564583333333273</v>
      </c>
      <c r="S433" s="25">
        <v>0.4054374999999999</v>
      </c>
      <c r="T433" s="25">
        <v>0.40027083333333319</v>
      </c>
      <c r="U433" s="25">
        <v>0.34900000000000014</v>
      </c>
      <c r="V433" s="25">
        <v>-56.769375000000004</v>
      </c>
      <c r="W433" s="25">
        <v>-199.99999999999997</v>
      </c>
      <c r="X433" s="25">
        <v>-53.837916666666672</v>
      </c>
      <c r="Y433" s="25">
        <v>-46.910208333333344</v>
      </c>
      <c r="Z433" s="25">
        <v>-67.206041666666678</v>
      </c>
      <c r="AA433" s="25">
        <v>-45.802291666666655</v>
      </c>
      <c r="AB433" s="25">
        <v>-41.911458333333336</v>
      </c>
      <c r="AC433" s="25">
        <v>-64.600416666666689</v>
      </c>
      <c r="AD433" s="25">
        <v>-49.622916666666661</v>
      </c>
      <c r="AE433" s="25">
        <v>-29.768750000000011</v>
      </c>
      <c r="AF433" s="25">
        <v>-28.689583333333342</v>
      </c>
      <c r="AG433" s="25">
        <v>-27.045833333333317</v>
      </c>
      <c r="AH433" s="25">
        <v>-24.354166666666657</v>
      </c>
      <c r="AI433" s="25">
        <v>-63.55833333333333</v>
      </c>
      <c r="AJ433" s="25">
        <v>-46.76458333333332</v>
      </c>
      <c r="AK433" s="25">
        <v>-44.745833333333358</v>
      </c>
      <c r="AL433" s="25">
        <v>13.497916666666669</v>
      </c>
      <c r="AM433" s="25">
        <v>14.372916666666667</v>
      </c>
      <c r="AN433" s="25">
        <v>14.958333333333323</v>
      </c>
      <c r="AO433" s="25">
        <v>15.341666666666656</v>
      </c>
      <c r="AP433" s="25">
        <v>12.779166666666676</v>
      </c>
      <c r="AQ433" s="25">
        <v>13.614583333333341</v>
      </c>
      <c r="AR433" s="25">
        <v>13.983333333333325</v>
      </c>
      <c r="AS433" s="25">
        <v>14.141666666666678</v>
      </c>
      <c r="AT433" s="25">
        <v>0.38670833333333327</v>
      </c>
      <c r="AU433" s="25">
        <v>0.21316666666666664</v>
      </c>
      <c r="AV433" s="25">
        <v>0.30181250000000021</v>
      </c>
      <c r="AW433" s="25">
        <v>-20.891875000000002</v>
      </c>
      <c r="AX433" s="25">
        <v>-40.286874999999995</v>
      </c>
      <c r="AY433" s="25">
        <v>-69.639090909090925</v>
      </c>
      <c r="AZ433" s="25"/>
      <c r="BA433" s="25">
        <v>-22.647916666666664</v>
      </c>
      <c r="BB433" s="25">
        <v>-79.597916666666677</v>
      </c>
      <c r="BC433" s="25"/>
      <c r="BD433" s="25">
        <v>13.92708333333332</v>
      </c>
      <c r="BE433" s="25">
        <v>14.135416666666659</v>
      </c>
    </row>
    <row r="434" spans="1:57" x14ac:dyDescent="0.25">
      <c r="A434" s="1">
        <v>17.8</v>
      </c>
      <c r="B434" s="1">
        <v>9.3000000000000007</v>
      </c>
      <c r="C434" s="22"/>
      <c r="D434" s="23">
        <v>44141</v>
      </c>
      <c r="E434" s="24">
        <v>86.375</v>
      </c>
      <c r="F434" s="24">
        <v>86.035416666666663</v>
      </c>
      <c r="G434" s="24">
        <v>11.806250000000006</v>
      </c>
      <c r="H434" s="24">
        <v>1.3</v>
      </c>
      <c r="I434" s="24">
        <v>195.375</v>
      </c>
      <c r="J434" s="24">
        <v>3.25</v>
      </c>
      <c r="K434" s="24">
        <v>0</v>
      </c>
      <c r="L434" s="24">
        <v>9.4416666666666682</v>
      </c>
      <c r="M434" s="10">
        <v>0.21336008449048158</v>
      </c>
      <c r="N434" s="25">
        <v>0.31652083333333353</v>
      </c>
      <c r="O434" s="25">
        <v>0.42906249999999974</v>
      </c>
      <c r="P434" s="25">
        <v>0.4959583333333335</v>
      </c>
      <c r="Q434" s="25">
        <v>0.51050000000000006</v>
      </c>
      <c r="R434" s="25">
        <v>0.49560416666666612</v>
      </c>
      <c r="S434" s="25">
        <v>0.40587500000000015</v>
      </c>
      <c r="T434" s="25">
        <v>0.39956250000000049</v>
      </c>
      <c r="U434" s="25">
        <v>0.34793750000000007</v>
      </c>
      <c r="V434" s="25">
        <v>-56.002499999999998</v>
      </c>
      <c r="W434" s="25">
        <v>-202.94375000000005</v>
      </c>
      <c r="X434" s="25">
        <v>-55.481666666666662</v>
      </c>
      <c r="Y434" s="25">
        <v>-48.638125000000002</v>
      </c>
      <c r="Z434" s="25">
        <v>-66.385833333333338</v>
      </c>
      <c r="AA434" s="25">
        <v>-46.556458333333325</v>
      </c>
      <c r="AB434" s="25">
        <v>-42.618541666666665</v>
      </c>
      <c r="AC434" s="25">
        <v>-65.222083333333345</v>
      </c>
      <c r="AD434" s="25">
        <v>-49.066666666666684</v>
      </c>
      <c r="AE434" s="25">
        <v>-30.345833333333356</v>
      </c>
      <c r="AF434" s="25">
        <v>-29.287500000000005</v>
      </c>
      <c r="AG434" s="25">
        <v>-27.708333333333332</v>
      </c>
      <c r="AH434" s="25">
        <v>-25.481250000000006</v>
      </c>
      <c r="AI434" s="25">
        <v>-63.762499999999996</v>
      </c>
      <c r="AJ434" s="25">
        <v>-48.995833333333316</v>
      </c>
      <c r="AK434" s="25">
        <v>-46.114583333333321</v>
      </c>
      <c r="AL434" s="25">
        <v>13.929166666666665</v>
      </c>
      <c r="AM434" s="25">
        <v>14.445833333333331</v>
      </c>
      <c r="AN434" s="25">
        <v>14.899999999999986</v>
      </c>
      <c r="AO434" s="25">
        <v>15.214583333333342</v>
      </c>
      <c r="AP434" s="25">
        <v>13.372916666666669</v>
      </c>
      <c r="AQ434" s="25">
        <v>13.90833333333334</v>
      </c>
      <c r="AR434" s="25">
        <v>14.066666666666675</v>
      </c>
      <c r="AS434" s="25">
        <v>14.14791666666668</v>
      </c>
      <c r="AT434" s="25">
        <v>0.39900000000000008</v>
      </c>
      <c r="AU434" s="25">
        <v>0.23506250000000001</v>
      </c>
      <c r="AV434" s="25">
        <v>0.30831249999999993</v>
      </c>
      <c r="AW434" s="25">
        <v>-19.686041666666664</v>
      </c>
      <c r="AX434" s="25">
        <v>-40.813124999999992</v>
      </c>
      <c r="AY434" s="25">
        <v>-162.44142857142859</v>
      </c>
      <c r="AZ434" s="25"/>
      <c r="BA434" s="25">
        <v>-22.633333333333336</v>
      </c>
      <c r="BB434" s="25">
        <v>-78.729166666666671</v>
      </c>
      <c r="BC434" s="25"/>
      <c r="BD434" s="25">
        <v>14.333333333333336</v>
      </c>
      <c r="BE434" s="25">
        <v>14.539583333333333</v>
      </c>
    </row>
    <row r="435" spans="1:57" x14ac:dyDescent="0.25">
      <c r="A435" s="1">
        <v>22.4</v>
      </c>
      <c r="B435" s="1">
        <v>8</v>
      </c>
      <c r="C435" s="22"/>
      <c r="D435" s="23">
        <v>44142</v>
      </c>
      <c r="E435" s="24">
        <v>180.8125</v>
      </c>
      <c r="F435" s="24">
        <v>74.687499999999986</v>
      </c>
      <c r="G435" s="24">
        <v>13.599999999999996</v>
      </c>
      <c r="H435" s="24">
        <v>0</v>
      </c>
      <c r="I435" s="24">
        <v>244.16666666666666</v>
      </c>
      <c r="J435" s="24">
        <v>3.2083333333333335</v>
      </c>
      <c r="K435" s="24">
        <v>4.1666666666666664E-2</v>
      </c>
      <c r="L435" s="24">
        <v>8.78541666666667</v>
      </c>
      <c r="M435" s="10">
        <v>0.49526584147024072</v>
      </c>
      <c r="N435" s="25">
        <v>0.31393750000000015</v>
      </c>
      <c r="O435" s="25">
        <v>0.42687499999999984</v>
      </c>
      <c r="P435" s="25">
        <v>0.49285416666666654</v>
      </c>
      <c r="Q435" s="25">
        <v>0.50652083333333364</v>
      </c>
      <c r="R435" s="25">
        <v>0.49464583333333301</v>
      </c>
      <c r="S435" s="25">
        <v>0.4028958333333334</v>
      </c>
      <c r="T435" s="25">
        <v>0.39650000000000002</v>
      </c>
      <c r="U435" s="25">
        <v>0.34458333333333341</v>
      </c>
      <c r="V435" s="25">
        <v>-55.765208333333334</v>
      </c>
      <c r="W435" s="25">
        <v>-206.80833333333325</v>
      </c>
      <c r="X435" s="25">
        <v>-57.105416666666649</v>
      </c>
      <c r="Y435" s="25">
        <v>-50.186249999999994</v>
      </c>
      <c r="Z435" s="25">
        <v>-66.575416666666683</v>
      </c>
      <c r="AA435" s="25">
        <v>-47.662291666666668</v>
      </c>
      <c r="AB435" s="25">
        <v>-43.849999999999994</v>
      </c>
      <c r="AC435" s="25">
        <v>-67.161458333333357</v>
      </c>
      <c r="AD435" s="25">
        <v>-54.052083333333343</v>
      </c>
      <c r="AE435" s="25">
        <v>-35.060416666666661</v>
      </c>
      <c r="AF435" s="25">
        <v>-34.927083333333321</v>
      </c>
      <c r="AG435" s="25">
        <v>-32.541666666666664</v>
      </c>
      <c r="AH435" s="25">
        <v>-27.587499999999995</v>
      </c>
      <c r="AI435" s="25">
        <v>-69.545833333333334</v>
      </c>
      <c r="AJ435" s="25">
        <v>-57.045833333333327</v>
      </c>
      <c r="AK435" s="25">
        <v>-52.864583333333307</v>
      </c>
      <c r="AL435" s="25">
        <v>14.447916666666664</v>
      </c>
      <c r="AM435" s="25">
        <v>14.635416666666664</v>
      </c>
      <c r="AN435" s="25">
        <v>14.941666666666656</v>
      </c>
      <c r="AO435" s="25">
        <v>15.200000000000008</v>
      </c>
      <c r="AP435" s="25">
        <v>14.020833333333329</v>
      </c>
      <c r="AQ435" s="25">
        <v>14.245833333333328</v>
      </c>
      <c r="AR435" s="25">
        <v>14.26041666666667</v>
      </c>
      <c r="AS435" s="25">
        <v>14.285416666666661</v>
      </c>
      <c r="AT435" s="25">
        <v>0.39185416666666667</v>
      </c>
      <c r="AU435" s="25">
        <v>0.218</v>
      </c>
      <c r="AV435" s="25">
        <v>0.30481249999999999</v>
      </c>
      <c r="AW435" s="25">
        <v>-19.508750000000003</v>
      </c>
      <c r="AX435" s="25">
        <v>-43.191875000000003</v>
      </c>
      <c r="AY435" s="25">
        <v>-112.02972222222223</v>
      </c>
      <c r="AZ435" s="25"/>
      <c r="BA435" s="25">
        <v>-27.495833333333334</v>
      </c>
      <c r="BB435" s="25">
        <v>-99.647916666666632</v>
      </c>
      <c r="BC435" s="25"/>
      <c r="BD435" s="25">
        <v>14.677083333333334</v>
      </c>
      <c r="BE435" s="25">
        <v>15.320833333333331</v>
      </c>
    </row>
    <row r="436" spans="1:57" x14ac:dyDescent="0.25">
      <c r="A436" s="1">
        <v>20.3</v>
      </c>
      <c r="B436" s="1">
        <v>8.1999999999999993</v>
      </c>
      <c r="C436" s="22"/>
      <c r="D436" s="23">
        <v>44143</v>
      </c>
      <c r="E436" s="24">
        <v>130.4375</v>
      </c>
      <c r="F436" s="24">
        <v>74.847916666666649</v>
      </c>
      <c r="G436" s="24">
        <v>13.335416666666674</v>
      </c>
      <c r="H436" s="24">
        <v>0</v>
      </c>
      <c r="I436" s="24">
        <v>179.66666666666666</v>
      </c>
      <c r="J436" s="24">
        <v>2.0833333333333335</v>
      </c>
      <c r="K436" s="24">
        <v>2.0833333333333332E-2</v>
      </c>
      <c r="L436" s="24">
        <v>8.7395833333333339</v>
      </c>
      <c r="M436" s="10">
        <v>0.43988951388174308</v>
      </c>
      <c r="N436" s="25">
        <v>0.30877083333333327</v>
      </c>
      <c r="O436" s="25">
        <v>0.42270833333333319</v>
      </c>
      <c r="P436" s="25">
        <v>0.48760416666666656</v>
      </c>
      <c r="Q436" s="25">
        <v>0.50262500000000021</v>
      </c>
      <c r="R436" s="25">
        <v>0.4921458333333335</v>
      </c>
      <c r="S436" s="25">
        <v>0.3978750000000002</v>
      </c>
      <c r="T436" s="25">
        <v>0.39177083333333335</v>
      </c>
      <c r="U436" s="25">
        <v>0.34081249999999996</v>
      </c>
      <c r="V436" s="25">
        <v>-58.082083333333344</v>
      </c>
      <c r="W436" s="25">
        <v>-212.61041666666665</v>
      </c>
      <c r="X436" s="25">
        <v>-58.90604166666666</v>
      </c>
      <c r="Y436" s="25">
        <v>-51.779791666666675</v>
      </c>
      <c r="Z436" s="25">
        <v>-68.951458333333335</v>
      </c>
      <c r="AA436" s="25">
        <v>-49.552708333333328</v>
      </c>
      <c r="AB436" s="25">
        <v>-45.753958333333337</v>
      </c>
      <c r="AC436" s="25">
        <v>-69.939583333333317</v>
      </c>
      <c r="AD436" s="25">
        <v>-64.393749999999997</v>
      </c>
      <c r="AE436" s="25">
        <v>-44.214583333333337</v>
      </c>
      <c r="AF436" s="25">
        <v>-44.256250000000016</v>
      </c>
      <c r="AG436" s="25">
        <v>-39.149999999999984</v>
      </c>
      <c r="AH436" s="25">
        <v>-38.341666666666661</v>
      </c>
      <c r="AI436" s="25">
        <v>-77.062499999999972</v>
      </c>
      <c r="AJ436" s="25">
        <v>-65.235416666666666</v>
      </c>
      <c r="AK436" s="25">
        <v>-62.385416666666686</v>
      </c>
      <c r="AL436" s="25">
        <v>14.710416666666669</v>
      </c>
      <c r="AM436" s="25">
        <v>14.970833333333337</v>
      </c>
      <c r="AN436" s="25">
        <v>15.139583333333343</v>
      </c>
      <c r="AO436" s="25">
        <v>15.291666666666657</v>
      </c>
      <c r="AP436" s="25">
        <v>14.310416666666669</v>
      </c>
      <c r="AQ436" s="25">
        <v>14.635416666666659</v>
      </c>
      <c r="AR436" s="25">
        <v>14.602083333333335</v>
      </c>
      <c r="AS436" s="25">
        <v>14.57083333333334</v>
      </c>
      <c r="AT436" s="25">
        <v>0.38150000000000001</v>
      </c>
      <c r="AU436" s="25"/>
      <c r="AV436" s="25">
        <v>0.29489583333333325</v>
      </c>
      <c r="AW436" s="25">
        <v>-20.363125000000007</v>
      </c>
      <c r="AX436" s="25">
        <v>-53.364166666666648</v>
      </c>
      <c r="AY436" s="25">
        <v>-72.133333333333326</v>
      </c>
      <c r="AZ436" s="25"/>
      <c r="BA436" s="25">
        <v>-45.093749999999993</v>
      </c>
      <c r="BB436" s="25">
        <v>-130.57916666666665</v>
      </c>
      <c r="BC436" s="25"/>
      <c r="BD436" s="25">
        <v>14.422916666666666</v>
      </c>
      <c r="BE436" s="25">
        <v>15.404166666666667</v>
      </c>
    </row>
    <row r="437" spans="1:57" x14ac:dyDescent="0.25">
      <c r="A437" s="1">
        <v>23</v>
      </c>
      <c r="B437" s="1">
        <v>9.4</v>
      </c>
      <c r="C437" s="22"/>
      <c r="D437" s="23">
        <v>44144</v>
      </c>
      <c r="E437" s="24">
        <v>175.35416666666666</v>
      </c>
      <c r="F437" s="24">
        <v>53.45000000000001</v>
      </c>
      <c r="G437" s="24">
        <v>14.639583333333333</v>
      </c>
      <c r="H437" s="24">
        <v>0</v>
      </c>
      <c r="I437" s="24">
        <v>213.39583333333334</v>
      </c>
      <c r="J437" s="24">
        <v>3.3333333333333335</v>
      </c>
      <c r="K437" s="24">
        <v>6.25E-2</v>
      </c>
      <c r="L437" s="24">
        <v>4.3249999999999993</v>
      </c>
      <c r="M437" s="10">
        <v>0.88269616599950673</v>
      </c>
      <c r="N437" s="25">
        <v>0.30181250000000009</v>
      </c>
      <c r="O437" s="25">
        <v>0.41645833333333315</v>
      </c>
      <c r="P437" s="25">
        <v>0.47987500000000027</v>
      </c>
      <c r="Q437" s="25">
        <v>0.49781250000000005</v>
      </c>
      <c r="R437" s="25">
        <v>0.48662500000000003</v>
      </c>
      <c r="S437" s="25">
        <v>0.39006250000000015</v>
      </c>
      <c r="T437" s="25">
        <v>0.38508333333333317</v>
      </c>
      <c r="U437" s="25">
        <v>0.33600000000000013</v>
      </c>
      <c r="V437" s="25">
        <v>-60.914583333333347</v>
      </c>
      <c r="W437" s="25">
        <v>-219.92083333333332</v>
      </c>
      <c r="X437" s="25">
        <v>-61.549375000000005</v>
      </c>
      <c r="Y437" s="25">
        <v>-53.730000000000011</v>
      </c>
      <c r="Z437" s="25">
        <v>-70.951666666666654</v>
      </c>
      <c r="AA437" s="25">
        <v>-51.958124999999988</v>
      </c>
      <c r="AB437" s="25">
        <v>-48.386041666666678</v>
      </c>
      <c r="AC437" s="25">
        <v>-73.428333333333313</v>
      </c>
      <c r="AD437" s="25">
        <v>-80.99166666666666</v>
      </c>
      <c r="AE437" s="25">
        <v>-60.904166666666661</v>
      </c>
      <c r="AF437" s="25">
        <v>-62.429166666666653</v>
      </c>
      <c r="AG437" s="25">
        <v>-50.122916666666669</v>
      </c>
      <c r="AH437" s="25">
        <v>-57.014583333333341</v>
      </c>
      <c r="AI437" s="25">
        <v>-100.66458333333334</v>
      </c>
      <c r="AJ437" s="25">
        <v>-75.129166666666663</v>
      </c>
      <c r="AK437" s="25">
        <v>-76.11041666666668</v>
      </c>
      <c r="AL437" s="25">
        <v>14.866666666666669</v>
      </c>
      <c r="AM437" s="25">
        <v>15.012499999999996</v>
      </c>
      <c r="AN437" s="25">
        <v>15.20208333333334</v>
      </c>
      <c r="AO437" s="25">
        <v>15.397916666666653</v>
      </c>
      <c r="AP437" s="25">
        <v>14.42708333333333</v>
      </c>
      <c r="AQ437" s="25">
        <v>14.710416666666667</v>
      </c>
      <c r="AR437" s="25">
        <v>14.674999999999997</v>
      </c>
      <c r="AS437" s="25">
        <v>14.660416666666675</v>
      </c>
      <c r="AT437" s="25">
        <v>0.37067500000000003</v>
      </c>
      <c r="AU437" s="25"/>
      <c r="AV437" s="25">
        <v>0.28414583333333332</v>
      </c>
      <c r="AW437" s="25">
        <v>-26.325416666666669</v>
      </c>
      <c r="AX437" s="25">
        <v>-62.554166666666646</v>
      </c>
      <c r="AY437" s="25">
        <v>-75.588750000000005</v>
      </c>
      <c r="AZ437" s="25"/>
      <c r="BA437" s="25">
        <v>-90.108333333333334</v>
      </c>
      <c r="BB437" s="25">
        <v>-169.99791666666673</v>
      </c>
      <c r="BC437" s="25"/>
      <c r="BD437" s="25">
        <v>14.793750000000001</v>
      </c>
      <c r="BE437" s="25">
        <v>15.73958333333333</v>
      </c>
    </row>
    <row r="438" spans="1:57" x14ac:dyDescent="0.25">
      <c r="A438" s="1">
        <v>23.3</v>
      </c>
      <c r="B438" s="1">
        <v>6</v>
      </c>
      <c r="C438" s="22"/>
      <c r="D438" s="23">
        <v>44145</v>
      </c>
      <c r="E438" s="24">
        <v>188.83333333333334</v>
      </c>
      <c r="F438" s="24">
        <v>52.512499999999996</v>
      </c>
      <c r="G438" s="24">
        <v>14.235416666666666</v>
      </c>
      <c r="H438" s="24">
        <v>0</v>
      </c>
      <c r="I438" s="24">
        <v>196.9375</v>
      </c>
      <c r="J438" s="24">
        <v>3.0833333333333335</v>
      </c>
      <c r="K438" s="24">
        <v>0.125</v>
      </c>
      <c r="L438" s="24">
        <v>3.8000000000000003</v>
      </c>
      <c r="M438" s="10">
        <v>0.92180404086401158</v>
      </c>
      <c r="N438" s="25">
        <v>0.29224999999999984</v>
      </c>
      <c r="O438" s="25">
        <v>0.40633333333333338</v>
      </c>
      <c r="P438" s="25">
        <v>0.4685208333333335</v>
      </c>
      <c r="Q438" s="25">
        <v>0.49091666666666667</v>
      </c>
      <c r="R438" s="25">
        <v>0.47760416666666655</v>
      </c>
      <c r="S438" s="25">
        <v>0.37916666666666649</v>
      </c>
      <c r="T438" s="25">
        <v>0.37583333333333319</v>
      </c>
      <c r="U438" s="25">
        <v>0.32958333333333345</v>
      </c>
      <c r="V438" s="25">
        <v>-65.541458333333338</v>
      </c>
      <c r="W438" s="25">
        <v>-232.05416666666676</v>
      </c>
      <c r="X438" s="25">
        <v>-65.288124999999965</v>
      </c>
      <c r="Y438" s="25">
        <v>-56.114374999999967</v>
      </c>
      <c r="Z438" s="25">
        <v>-74.128333333333345</v>
      </c>
      <c r="AA438" s="25">
        <v>-55.312916666666673</v>
      </c>
      <c r="AB438" s="25">
        <v>-51.88645833333333</v>
      </c>
      <c r="AC438" s="25">
        <v>-77.377708333333331</v>
      </c>
      <c r="AD438" s="25">
        <v>-129.02916666666667</v>
      </c>
      <c r="AE438" s="25">
        <v>-95.225000000000009</v>
      </c>
      <c r="AF438" s="25">
        <v>-102.43541666666668</v>
      </c>
      <c r="AG438" s="25">
        <v>-72.668750000000003</v>
      </c>
      <c r="AH438" s="25">
        <v>-111.66875</v>
      </c>
      <c r="AI438" s="25">
        <v>-161.16249999999999</v>
      </c>
      <c r="AJ438" s="25">
        <v>-98.854166666666686</v>
      </c>
      <c r="AK438" s="25">
        <v>-112.80624999999998</v>
      </c>
      <c r="AL438" s="25">
        <v>14.877083333333331</v>
      </c>
      <c r="AM438" s="25">
        <v>15.09583333333333</v>
      </c>
      <c r="AN438" s="25">
        <v>15.26250000000001</v>
      </c>
      <c r="AO438" s="25">
        <v>15.431249999999991</v>
      </c>
      <c r="AP438" s="25">
        <v>14.129166666666668</v>
      </c>
      <c r="AQ438" s="25">
        <v>14.627083333333333</v>
      </c>
      <c r="AR438" s="25">
        <v>14.664583333333331</v>
      </c>
      <c r="AS438" s="25">
        <v>14.670833333333343</v>
      </c>
      <c r="AT438" s="25">
        <v>0.35358536585365852</v>
      </c>
      <c r="AU438" s="25">
        <v>0.1613333333333333</v>
      </c>
      <c r="AV438" s="25">
        <v>0.26737499999999986</v>
      </c>
      <c r="AW438" s="25">
        <v>-56.257708333333341</v>
      </c>
      <c r="AX438" s="25">
        <v>-72.327500000000001</v>
      </c>
      <c r="AY438" s="25">
        <v>-81.679583333333326</v>
      </c>
      <c r="AZ438" s="25"/>
      <c r="BA438" s="25">
        <v>-231.62083333333331</v>
      </c>
      <c r="BB438" s="25">
        <v>-242.66666666666671</v>
      </c>
      <c r="BC438" s="25"/>
      <c r="BD438" s="25">
        <v>14.258333333333333</v>
      </c>
      <c r="BE438" s="25">
        <v>15.649999999999999</v>
      </c>
    </row>
    <row r="439" spans="1:57" x14ac:dyDescent="0.25">
      <c r="A439" s="1">
        <v>24.7</v>
      </c>
      <c r="B439" s="1">
        <v>6.1</v>
      </c>
      <c r="C439" s="22"/>
      <c r="D439" s="23">
        <v>44146</v>
      </c>
      <c r="E439" s="24">
        <v>188.16666666666666</v>
      </c>
      <c r="F439" s="24">
        <v>54.120833333333316</v>
      </c>
      <c r="G439" s="24">
        <v>14.010416666666666</v>
      </c>
      <c r="H439" s="24">
        <v>0</v>
      </c>
      <c r="I439" s="24">
        <v>209.125</v>
      </c>
      <c r="J439" s="24">
        <v>2.3958333333333335</v>
      </c>
      <c r="K439" s="24">
        <v>0</v>
      </c>
      <c r="L439" s="24">
        <v>4.2250000000000014</v>
      </c>
      <c r="M439" s="10">
        <v>0.87638695739803463</v>
      </c>
      <c r="N439" s="25">
        <v>0.28337500000000004</v>
      </c>
      <c r="O439" s="25">
        <v>0.39602083333333332</v>
      </c>
      <c r="P439" s="25">
        <v>0.45893749999999955</v>
      </c>
      <c r="Q439" s="25">
        <v>0.48331250000000009</v>
      </c>
      <c r="R439" s="25">
        <v>0.46897916666666667</v>
      </c>
      <c r="S439" s="25">
        <v>0.3688958333333332</v>
      </c>
      <c r="T439" s="25">
        <v>0.36783333333333346</v>
      </c>
      <c r="U439" s="25">
        <v>0.32352083333333326</v>
      </c>
      <c r="V439" s="25">
        <v>-70.69479166666666</v>
      </c>
      <c r="W439" s="25">
        <v>-245.24583333333325</v>
      </c>
      <c r="X439" s="25">
        <v>-69.670416666666668</v>
      </c>
      <c r="Y439" s="25">
        <v>-58.821458333333318</v>
      </c>
      <c r="Z439" s="25">
        <v>-76.626041666666666</v>
      </c>
      <c r="AA439" s="25">
        <v>-59.134999999999998</v>
      </c>
      <c r="AB439" s="25">
        <v>-55.892916666666657</v>
      </c>
      <c r="AC439" s="25">
        <v>-81.543333333333351</v>
      </c>
      <c r="AD439" s="25">
        <v>-192.8770833333333</v>
      </c>
      <c r="AE439" s="25">
        <v>-149.91666666666666</v>
      </c>
      <c r="AF439" s="25">
        <v>-157.87499999999997</v>
      </c>
      <c r="AG439" s="25">
        <v>-106.45416666666665</v>
      </c>
      <c r="AH439" s="25">
        <v>-217.67499999999995</v>
      </c>
      <c r="AI439" s="25">
        <v>-246.22291666666669</v>
      </c>
      <c r="AJ439" s="25">
        <v>-137.80208333333331</v>
      </c>
      <c r="AK439" s="25">
        <v>-167.89166666666668</v>
      </c>
      <c r="AL439" s="25">
        <v>14.964583333333335</v>
      </c>
      <c r="AM439" s="25">
        <v>15.164583333333328</v>
      </c>
      <c r="AN439" s="25">
        <v>15.306250000000004</v>
      </c>
      <c r="AO439" s="25">
        <v>15.466666666666661</v>
      </c>
      <c r="AP439" s="25">
        <v>14.079166666666671</v>
      </c>
      <c r="AQ439" s="25">
        <v>14.589583333333335</v>
      </c>
      <c r="AR439" s="25">
        <v>14.635416666666666</v>
      </c>
      <c r="AS439" s="25">
        <v>14.656250000000009</v>
      </c>
      <c r="AT439" s="25">
        <v>0.33595454545454545</v>
      </c>
      <c r="AU439" s="25">
        <v>0.1529166666666667</v>
      </c>
      <c r="AV439" s="25">
        <v>0.25183333333333324</v>
      </c>
      <c r="AW439" s="25">
        <v>-98.439583333333317</v>
      </c>
      <c r="AX439" s="25">
        <v>-73.097708333333316</v>
      </c>
      <c r="AY439" s="25">
        <v>-87.533333333333289</v>
      </c>
      <c r="AZ439" s="25"/>
      <c r="BA439" s="25">
        <v>-541.23333333333301</v>
      </c>
      <c r="BB439" s="25">
        <v>-326.40625000000006</v>
      </c>
      <c r="BC439" s="25"/>
      <c r="BD439" s="25">
        <v>14.014583333333334</v>
      </c>
      <c r="BE439" s="25">
        <v>15.791666666666666</v>
      </c>
    </row>
    <row r="440" spans="1:57" x14ac:dyDescent="0.25">
      <c r="A440" s="1">
        <v>25.1</v>
      </c>
      <c r="B440" s="1">
        <v>6.9</v>
      </c>
      <c r="C440" s="22"/>
      <c r="D440" s="23">
        <v>44147</v>
      </c>
      <c r="E440" s="24">
        <v>173.72916666666666</v>
      </c>
      <c r="F440" s="24">
        <v>59.677083333333336</v>
      </c>
      <c r="G440" s="24">
        <v>14.272916666666665</v>
      </c>
      <c r="H440" s="24">
        <v>0</v>
      </c>
      <c r="I440" s="24">
        <v>204.9375</v>
      </c>
      <c r="J440" s="24">
        <v>1.1041666666666667</v>
      </c>
      <c r="K440" s="24">
        <v>0</v>
      </c>
      <c r="L440" s="24">
        <v>5.9375</v>
      </c>
      <c r="M440" s="10">
        <v>0.79878502173037358</v>
      </c>
      <c r="N440" s="25">
        <v>0.27672916666666669</v>
      </c>
      <c r="O440" s="25">
        <v>0.38714583333333347</v>
      </c>
      <c r="P440" s="25">
        <v>0.45145833333333335</v>
      </c>
      <c r="Q440" s="25">
        <v>0.47633333333333305</v>
      </c>
      <c r="R440" s="25">
        <v>0.46133333333333332</v>
      </c>
      <c r="S440" s="25">
        <v>0.36068750000000005</v>
      </c>
      <c r="T440" s="25">
        <v>0.36181249999999993</v>
      </c>
      <c r="U440" s="25">
        <v>0.31837500000000024</v>
      </c>
      <c r="V440" s="25">
        <v>-76.200208333333336</v>
      </c>
      <c r="W440" s="25">
        <v>-257.75208333333336</v>
      </c>
      <c r="X440" s="25">
        <v>-74.050416666666663</v>
      </c>
      <c r="Y440" s="25">
        <v>-61.528124999999989</v>
      </c>
      <c r="Z440" s="25">
        <v>-80.007291666666646</v>
      </c>
      <c r="AA440" s="25">
        <v>-63.320624999999986</v>
      </c>
      <c r="AB440" s="25">
        <v>-59.929583333333319</v>
      </c>
      <c r="AC440" s="25">
        <v>-85.212500000000006</v>
      </c>
      <c r="AD440" s="25">
        <v>-272.70833333333331</v>
      </c>
      <c r="AE440" s="25">
        <v>-217.06666666666672</v>
      </c>
      <c r="AF440" s="25">
        <v>-215.97916666666666</v>
      </c>
      <c r="AG440" s="25">
        <v>-144.63333333333335</v>
      </c>
      <c r="AH440" s="25">
        <v>-344.96458333333334</v>
      </c>
      <c r="AI440" s="25">
        <v>-345.00208333333336</v>
      </c>
      <c r="AJ440" s="25">
        <v>-187.48750000000004</v>
      </c>
      <c r="AK440" s="25">
        <v>-231.52291666666667</v>
      </c>
      <c r="AL440" s="25">
        <v>15.141666666666666</v>
      </c>
      <c r="AM440" s="25">
        <v>15.245833333333337</v>
      </c>
      <c r="AN440" s="25">
        <v>15.35833333333332</v>
      </c>
      <c r="AO440" s="25">
        <v>15.5</v>
      </c>
      <c r="AP440" s="25">
        <v>14.302083333333336</v>
      </c>
      <c r="AQ440" s="25">
        <v>14.668750000000003</v>
      </c>
      <c r="AR440" s="25">
        <v>14.654166666666663</v>
      </c>
      <c r="AS440" s="25">
        <v>14.677083333333341</v>
      </c>
      <c r="AT440" s="25">
        <v>0.31957446808510637</v>
      </c>
      <c r="AU440" s="25">
        <v>0.14368749999999997</v>
      </c>
      <c r="AV440" s="25">
        <v>0.23931250000000004</v>
      </c>
      <c r="AW440" s="25">
        <v>-134.10416666666669</v>
      </c>
      <c r="AX440" s="25">
        <v>-82.890625</v>
      </c>
      <c r="AY440" s="25">
        <v>-94.127083333333346</v>
      </c>
      <c r="AZ440" s="25"/>
      <c r="BA440" s="25">
        <v>-873.51874999999984</v>
      </c>
      <c r="BB440" s="25">
        <v>-398.01250000000005</v>
      </c>
      <c r="BC440" s="25"/>
      <c r="BD440" s="25">
        <v>14.172916666666667</v>
      </c>
      <c r="BE440" s="25">
        <v>15.964583333333332</v>
      </c>
    </row>
    <row r="441" spans="1:57" x14ac:dyDescent="0.25">
      <c r="A441" s="1">
        <v>24.9</v>
      </c>
      <c r="B441" s="1">
        <v>8</v>
      </c>
      <c r="C441" s="22"/>
      <c r="D441" s="23">
        <v>44148</v>
      </c>
      <c r="E441" s="24">
        <v>174.83333333333334</v>
      </c>
      <c r="F441" s="24">
        <v>57.379166666666691</v>
      </c>
      <c r="G441" s="24">
        <v>14.974999999999996</v>
      </c>
      <c r="H441" s="24">
        <v>0</v>
      </c>
      <c r="I441" s="24">
        <v>214.52083333333334</v>
      </c>
      <c r="J441" s="24">
        <v>2.5416666666666665</v>
      </c>
      <c r="K441" s="24">
        <v>8.3333333333333329E-2</v>
      </c>
      <c r="L441" s="24">
        <v>5.9437499999999988</v>
      </c>
      <c r="M441" s="10">
        <v>0.86757433512385307</v>
      </c>
      <c r="N441" s="25">
        <v>0.27127083333333324</v>
      </c>
      <c r="O441" s="25">
        <v>0.3792916666666668</v>
      </c>
      <c r="P441" s="25">
        <v>0.44477083333333328</v>
      </c>
      <c r="Q441" s="25">
        <v>0.46968749999999987</v>
      </c>
      <c r="R441" s="25">
        <v>0.4548541666666665</v>
      </c>
      <c r="S441" s="25">
        <v>0.3538124999999997</v>
      </c>
      <c r="T441" s="25">
        <v>0.35627083333333309</v>
      </c>
      <c r="U441" s="25">
        <v>0.31360416666666674</v>
      </c>
      <c r="V441" s="25">
        <v>-81.619166666666658</v>
      </c>
      <c r="W441" s="25">
        <v>-269.9874999999999</v>
      </c>
      <c r="X441" s="25">
        <v>-77.796250000000001</v>
      </c>
      <c r="Y441" s="25">
        <v>-64.01437500000003</v>
      </c>
      <c r="Z441" s="25">
        <v>-83.770208333333372</v>
      </c>
      <c r="AA441" s="25">
        <v>-67.682500000000005</v>
      </c>
      <c r="AB441" s="25">
        <v>-63.710000000000043</v>
      </c>
      <c r="AC441" s="25">
        <v>-87.922916666666666</v>
      </c>
      <c r="AD441" s="25">
        <v>-371.52708333333339</v>
      </c>
      <c r="AE441" s="25">
        <v>-312.94166666666661</v>
      </c>
      <c r="AF441" s="25">
        <v>-289.5708333333335</v>
      </c>
      <c r="AG441" s="25">
        <v>-189.88124999999999</v>
      </c>
      <c r="AH441" s="25">
        <v>-454.69791666666652</v>
      </c>
      <c r="AI441" s="25">
        <v>-459.93125000000003</v>
      </c>
      <c r="AJ441" s="25">
        <v>-265.42291666666671</v>
      </c>
      <c r="AK441" s="25">
        <v>-320.23541666666665</v>
      </c>
      <c r="AL441" s="25">
        <v>15.437499999999998</v>
      </c>
      <c r="AM441" s="25">
        <v>15.397916666666669</v>
      </c>
      <c r="AN441" s="25">
        <v>15.445833333333324</v>
      </c>
      <c r="AO441" s="25">
        <v>15.570833333333345</v>
      </c>
      <c r="AP441" s="25">
        <v>14.699999999999998</v>
      </c>
      <c r="AQ441" s="25">
        <v>14.899999999999997</v>
      </c>
      <c r="AR441" s="25">
        <v>14.82083333333334</v>
      </c>
      <c r="AS441" s="25">
        <v>14.8125</v>
      </c>
      <c r="AT441" s="25">
        <v>0.30268181818181805</v>
      </c>
      <c r="AU441" s="25">
        <v>0.13760714285714279</v>
      </c>
      <c r="AV441" s="25">
        <v>0.22868750000000007</v>
      </c>
      <c r="AW441" s="25">
        <v>-166.18125000000001</v>
      </c>
      <c r="AX441" s="25">
        <v>-94.402083333333351</v>
      </c>
      <c r="AY441" s="25">
        <v>-103.00416666666668</v>
      </c>
      <c r="AZ441" s="25"/>
      <c r="BA441" s="25">
        <v>-1228.5625</v>
      </c>
      <c r="BB441" s="25">
        <v>-460.39999999999981</v>
      </c>
      <c r="BC441" s="25"/>
      <c r="BD441" s="25">
        <v>14.550000000000002</v>
      </c>
      <c r="BE441" s="25">
        <v>16.189583333333335</v>
      </c>
    </row>
    <row r="442" spans="1:57" x14ac:dyDescent="0.25">
      <c r="A442" s="1">
        <v>24.1</v>
      </c>
      <c r="B442" s="1">
        <v>7.1</v>
      </c>
      <c r="C442" s="22"/>
      <c r="D442" s="23">
        <v>44149</v>
      </c>
      <c r="E442" s="24">
        <v>180.33333333333334</v>
      </c>
      <c r="F442" s="24">
        <v>55.758333333333326</v>
      </c>
      <c r="G442" s="24">
        <v>14.16666666666667</v>
      </c>
      <c r="H442" s="24">
        <v>0</v>
      </c>
      <c r="I442" s="24">
        <v>204.54166666666666</v>
      </c>
      <c r="J442" s="24">
        <v>3.4166666666666665</v>
      </c>
      <c r="K442" s="24">
        <v>2.0833333333333332E-2</v>
      </c>
      <c r="L442" s="24">
        <v>5.0145833333333343</v>
      </c>
      <c r="M442" s="10">
        <v>0.82272313491469917</v>
      </c>
      <c r="N442" s="25">
        <v>0.26616666666666672</v>
      </c>
      <c r="O442" s="25">
        <v>0.37116666666666648</v>
      </c>
      <c r="P442" s="25">
        <v>0.43835416666666638</v>
      </c>
      <c r="Q442" s="25">
        <v>0.46327083333333335</v>
      </c>
      <c r="R442" s="25">
        <v>0.44791666666666657</v>
      </c>
      <c r="S442" s="25">
        <v>0.34770833333333334</v>
      </c>
      <c r="T442" s="25">
        <v>0.35129166666666656</v>
      </c>
      <c r="U442" s="25">
        <v>0.30922916666666661</v>
      </c>
      <c r="V442" s="25">
        <v>-87.36666666666666</v>
      </c>
      <c r="W442" s="25">
        <v>-283.19375000000002</v>
      </c>
      <c r="X442" s="25">
        <v>-81.986875000000026</v>
      </c>
      <c r="Y442" s="25">
        <v>-66.324583333333337</v>
      </c>
      <c r="Z442" s="25">
        <v>-89.191666666666663</v>
      </c>
      <c r="AA442" s="25">
        <v>-72.412708333333342</v>
      </c>
      <c r="AB442" s="25">
        <v>-67.233541666666682</v>
      </c>
      <c r="AC442" s="25">
        <v>-91.324999999999989</v>
      </c>
      <c r="AD442" s="25">
        <v>-486.84375</v>
      </c>
      <c r="AE442" s="25">
        <v>-423.35625000000005</v>
      </c>
      <c r="AF442" s="25">
        <v>-382.97708333333327</v>
      </c>
      <c r="AG442" s="25">
        <v>-236.91250000000005</v>
      </c>
      <c r="AH442" s="25">
        <v>-527.75416666666661</v>
      </c>
      <c r="AI442" s="25">
        <v>-556.02499999999998</v>
      </c>
      <c r="AJ442" s="25">
        <v>-376.00833333333321</v>
      </c>
      <c r="AK442" s="25">
        <v>-442.63124999999991</v>
      </c>
      <c r="AL442" s="25">
        <v>15.508333333333338</v>
      </c>
      <c r="AM442" s="25">
        <v>15.533333333333326</v>
      </c>
      <c r="AN442" s="25">
        <v>15.552083333333337</v>
      </c>
      <c r="AO442" s="25">
        <v>15.637500000000003</v>
      </c>
      <c r="AP442" s="25">
        <v>14.712499999999999</v>
      </c>
      <c r="AQ442" s="25">
        <v>15.039583333333333</v>
      </c>
      <c r="AR442" s="25">
        <v>14.99375</v>
      </c>
      <c r="AS442" s="25">
        <v>14.974999999999994</v>
      </c>
      <c r="AT442" s="25">
        <v>0.28482222222222214</v>
      </c>
      <c r="AU442" s="25">
        <v>0.13144444444444447</v>
      </c>
      <c r="AV442" s="25">
        <v>0.21939583333333332</v>
      </c>
      <c r="AW442" s="25">
        <v>-200.22083333333342</v>
      </c>
      <c r="AX442" s="25">
        <v>-105.44791666666664</v>
      </c>
      <c r="AY442" s="25">
        <v>-115.84791666666662</v>
      </c>
      <c r="AZ442" s="25"/>
      <c r="BA442" s="25">
        <v>-1696.6666666666667</v>
      </c>
      <c r="BB442" s="25">
        <v>-517.43958333333319</v>
      </c>
      <c r="BC442" s="25"/>
      <c r="BD442" s="25">
        <v>14.293750000000001</v>
      </c>
      <c r="BE442" s="25">
        <v>16.208333333333339</v>
      </c>
    </row>
    <row r="443" spans="1:57" x14ac:dyDescent="0.25">
      <c r="A443" s="1">
        <v>23.5</v>
      </c>
      <c r="B443" s="1">
        <v>6.7</v>
      </c>
      <c r="C443" s="22"/>
      <c r="D443" s="23">
        <v>44150</v>
      </c>
      <c r="E443" s="24">
        <v>179.0625</v>
      </c>
      <c r="F443" s="24">
        <v>66.466666666666683</v>
      </c>
      <c r="G443" s="24">
        <v>14.339583333333332</v>
      </c>
      <c r="H443" s="24">
        <v>0</v>
      </c>
      <c r="I443" s="24">
        <v>229.9375</v>
      </c>
      <c r="J443" s="24">
        <v>5.875</v>
      </c>
      <c r="K443" s="24">
        <v>0.58333333333333337</v>
      </c>
      <c r="L443" s="24">
        <v>7.5583333333333336</v>
      </c>
      <c r="M443" s="10">
        <v>0.6816385243377111</v>
      </c>
      <c r="N443" s="25">
        <v>0.26225000000000009</v>
      </c>
      <c r="O443" s="25">
        <v>0.36399999999999993</v>
      </c>
      <c r="P443" s="25">
        <v>0.43264583333333323</v>
      </c>
      <c r="Q443" s="25">
        <v>0.45729166666666615</v>
      </c>
      <c r="R443" s="25">
        <v>0.442</v>
      </c>
      <c r="S443" s="25">
        <v>0.34314583333333332</v>
      </c>
      <c r="T443" s="25">
        <v>0.34766666666666679</v>
      </c>
      <c r="U443" s="25">
        <v>0.30554166666666677</v>
      </c>
      <c r="V443" s="25">
        <v>-94.36875000000002</v>
      </c>
      <c r="W443" s="25">
        <v>-295.76250000000005</v>
      </c>
      <c r="X443" s="25">
        <v>-86.737499999999997</v>
      </c>
      <c r="Y443" s="25">
        <v>-68.323333333333338</v>
      </c>
      <c r="Z443" s="25">
        <v>-94.504166666666663</v>
      </c>
      <c r="AA443" s="25">
        <v>-76.978958333333352</v>
      </c>
      <c r="AB443" s="25">
        <v>-70.523541666666674</v>
      </c>
      <c r="AC443" s="25">
        <v>-95.208333333333314</v>
      </c>
      <c r="AD443" s="25">
        <v>-574.05000000000007</v>
      </c>
      <c r="AE443" s="25">
        <v>-507.91666666666669</v>
      </c>
      <c r="AF443" s="25">
        <v>-467.71249999999992</v>
      </c>
      <c r="AG443" s="25">
        <v>-272.62708333333336</v>
      </c>
      <c r="AH443" s="25">
        <v>-587.55416666666656</v>
      </c>
      <c r="AI443" s="25">
        <v>-613.24583333333339</v>
      </c>
      <c r="AJ443" s="25">
        <v>-486.72291666666655</v>
      </c>
      <c r="AK443" s="25">
        <v>-566.11041666666654</v>
      </c>
      <c r="AL443" s="25">
        <v>15.712500000000006</v>
      </c>
      <c r="AM443" s="25">
        <v>15.593749999999998</v>
      </c>
      <c r="AN443" s="25">
        <v>15.595833333333344</v>
      </c>
      <c r="AO443" s="25">
        <v>15.70000000000001</v>
      </c>
      <c r="AP443" s="25">
        <v>15.033333333333333</v>
      </c>
      <c r="AQ443" s="25">
        <v>15.149999999999999</v>
      </c>
      <c r="AR443" s="25">
        <v>15.066666666666663</v>
      </c>
      <c r="AS443" s="25">
        <v>15.060416666666667</v>
      </c>
      <c r="AT443" s="25">
        <v>0.26734090909090891</v>
      </c>
      <c r="AU443" s="25">
        <v>0.12699999999999995</v>
      </c>
      <c r="AV443" s="25">
        <v>0.2136458333333334</v>
      </c>
      <c r="AW443" s="25">
        <v>-230.78750000000005</v>
      </c>
      <c r="AX443" s="25">
        <v>-114.3875</v>
      </c>
      <c r="AY443" s="25">
        <v>-131.29999999999998</v>
      </c>
      <c r="AZ443" s="25"/>
      <c r="BA443" s="25">
        <v>-2059.1875</v>
      </c>
      <c r="BB443" s="25">
        <v>-578.7583333333331</v>
      </c>
      <c r="BC443" s="25"/>
      <c r="BD443" s="25">
        <v>14.724999999999996</v>
      </c>
      <c r="BE443" s="25">
        <v>16.372916666666665</v>
      </c>
    </row>
    <row r="444" spans="1:57" x14ac:dyDescent="0.25">
      <c r="A444" s="1">
        <v>24.2</v>
      </c>
      <c r="B444" s="1">
        <v>10.7</v>
      </c>
      <c r="C444" s="22"/>
      <c r="D444" s="23">
        <v>44151</v>
      </c>
      <c r="E444" s="24">
        <v>139.35416666666666</v>
      </c>
      <c r="F444" s="24">
        <v>81.239583333333314</v>
      </c>
      <c r="G444" s="24">
        <v>16.431250000000002</v>
      </c>
      <c r="H444" s="24">
        <v>0</v>
      </c>
      <c r="I444" s="24">
        <v>199.54166666666666</v>
      </c>
      <c r="J444" s="24">
        <v>12</v>
      </c>
      <c r="K444" s="24">
        <v>2.2083333333333335</v>
      </c>
      <c r="L444" s="24">
        <v>13.00416666666667</v>
      </c>
      <c r="M444" s="10">
        <v>0.41735204329428055</v>
      </c>
      <c r="N444" s="25">
        <v>0.26106250000000003</v>
      </c>
      <c r="O444" s="25">
        <v>0.35970833333333346</v>
      </c>
      <c r="P444" s="25">
        <v>0.42999999999999988</v>
      </c>
      <c r="Q444" s="25">
        <v>0.45258333333333334</v>
      </c>
      <c r="R444" s="25">
        <v>0.44006250000000002</v>
      </c>
      <c r="S444" s="25">
        <v>0.34114583333333309</v>
      </c>
      <c r="T444" s="25">
        <v>0.34537500000000004</v>
      </c>
      <c r="U444" s="25">
        <v>0.30281249999999993</v>
      </c>
      <c r="V444" s="25">
        <v>-101.68541666666665</v>
      </c>
      <c r="W444" s="25">
        <v>-305.18749999999994</v>
      </c>
      <c r="X444" s="25">
        <v>-90.3020833333333</v>
      </c>
      <c r="Y444" s="25">
        <v>-69.696041666666687</v>
      </c>
      <c r="Z444" s="25">
        <v>-98.637499999999989</v>
      </c>
      <c r="AA444" s="25">
        <v>-80.157499999999985</v>
      </c>
      <c r="AB444" s="25">
        <v>-72.717708333333334</v>
      </c>
      <c r="AC444" s="25">
        <v>-98.358333333333306</v>
      </c>
      <c r="AD444" s="25">
        <v>-630.51666666666677</v>
      </c>
      <c r="AE444" s="25">
        <v>-557.87708333333319</v>
      </c>
      <c r="AF444" s="25">
        <v>-494.41041666666661</v>
      </c>
      <c r="AG444" s="25">
        <v>-294.63541666666657</v>
      </c>
      <c r="AH444" s="25">
        <v>-736.70208333333346</v>
      </c>
      <c r="AI444" s="25">
        <v>-633.93750000000011</v>
      </c>
      <c r="AJ444" s="25">
        <v>-557.57083333333344</v>
      </c>
      <c r="AK444" s="25">
        <v>-659.50625000000002</v>
      </c>
      <c r="AL444" s="25">
        <v>16.593750000000004</v>
      </c>
      <c r="AM444" s="25">
        <v>16.031250000000004</v>
      </c>
      <c r="AN444" s="25">
        <v>15.804166666666662</v>
      </c>
      <c r="AO444" s="25">
        <v>15.79791666666666</v>
      </c>
      <c r="AP444" s="25">
        <v>16.349999999999998</v>
      </c>
      <c r="AQ444" s="25">
        <v>15.912499999999994</v>
      </c>
      <c r="AR444" s="25">
        <v>15.597916666666665</v>
      </c>
      <c r="AS444" s="25">
        <v>15.493749999999993</v>
      </c>
      <c r="AT444" s="25">
        <v>0.25234285714285704</v>
      </c>
      <c r="AU444" s="25">
        <v>0.125</v>
      </c>
      <c r="AV444" s="25">
        <v>0.21104166666666682</v>
      </c>
      <c r="AW444" s="25">
        <v>-253.08958333333337</v>
      </c>
      <c r="AX444" s="25">
        <v>-120.68541666666668</v>
      </c>
      <c r="AY444" s="25">
        <v>-151.53333333333333</v>
      </c>
      <c r="AZ444" s="25"/>
      <c r="BA444" s="25">
        <v>-2253.2708333333335</v>
      </c>
      <c r="BB444" s="25">
        <v>-619.50416666666672</v>
      </c>
      <c r="BC444" s="25"/>
      <c r="BD444" s="25">
        <v>16.308333333333334</v>
      </c>
      <c r="BE444" s="25">
        <v>17.195833333333333</v>
      </c>
    </row>
    <row r="445" spans="1:57" x14ac:dyDescent="0.25">
      <c r="A445" s="1">
        <v>24.3</v>
      </c>
      <c r="B445" s="1">
        <v>16.100000000000001</v>
      </c>
      <c r="C445" s="22"/>
      <c r="D445" s="23">
        <v>44152</v>
      </c>
      <c r="E445" s="24">
        <v>151.14583333333334</v>
      </c>
      <c r="F445" s="24">
        <v>80.02291666666666</v>
      </c>
      <c r="G445" s="24">
        <v>18.65208333333333</v>
      </c>
      <c r="H445" s="24">
        <v>0</v>
      </c>
      <c r="I445" s="24">
        <v>228.5625</v>
      </c>
      <c r="J445" s="24">
        <v>22.020833333333332</v>
      </c>
      <c r="K445" s="24">
        <v>4.5625</v>
      </c>
      <c r="L445" s="24">
        <v>14.966666666666663</v>
      </c>
      <c r="M445" s="10">
        <v>0.47676088726843452</v>
      </c>
      <c r="N445" s="25">
        <v>0.26072916666666662</v>
      </c>
      <c r="O445" s="25">
        <v>0.35760416666666645</v>
      </c>
      <c r="P445" s="25">
        <v>0.43010416666666668</v>
      </c>
      <c r="Q445" s="25">
        <v>0.45010416666666697</v>
      </c>
      <c r="R445" s="25">
        <v>0.44029166666666675</v>
      </c>
      <c r="S445" s="25">
        <v>0.34054166666666669</v>
      </c>
      <c r="T445" s="25">
        <v>0.34445833333333314</v>
      </c>
      <c r="U445" s="25">
        <v>0.30075000000000024</v>
      </c>
      <c r="V445" s="25">
        <v>-111.63541666666669</v>
      </c>
      <c r="W445" s="25">
        <v>-312.18750000000006</v>
      </c>
      <c r="X445" s="25">
        <v>-93.022916666666674</v>
      </c>
      <c r="Y445" s="25">
        <v>-71.123958333333363</v>
      </c>
      <c r="Z445" s="25">
        <v>-104.15625000000004</v>
      </c>
      <c r="AA445" s="25">
        <v>-82.441666666666663</v>
      </c>
      <c r="AB445" s="25">
        <v>-73.858750000000001</v>
      </c>
      <c r="AC445" s="25">
        <v>-100.97083333333335</v>
      </c>
      <c r="AD445" s="25">
        <v>-652.8645833333336</v>
      </c>
      <c r="AE445" s="25">
        <v>-587.29166666666663</v>
      </c>
      <c r="AF445" s="25">
        <v>-506.37499999999994</v>
      </c>
      <c r="AG445" s="25">
        <v>-311.91874999999999</v>
      </c>
      <c r="AH445" s="25">
        <v>-845.00625000000002</v>
      </c>
      <c r="AI445" s="25">
        <v>-632.51041666666686</v>
      </c>
      <c r="AJ445" s="25">
        <v>-604.37500000000011</v>
      </c>
      <c r="AK445" s="25">
        <v>-714.31250000000011</v>
      </c>
      <c r="AL445" s="25">
        <v>17.624999999999996</v>
      </c>
      <c r="AM445" s="25">
        <v>16.716666666666669</v>
      </c>
      <c r="AN445" s="25">
        <v>16.202083333333324</v>
      </c>
      <c r="AO445" s="25">
        <v>16.085416666666685</v>
      </c>
      <c r="AP445" s="25">
        <v>17.889583333333338</v>
      </c>
      <c r="AQ445" s="25">
        <v>16.99583333333333</v>
      </c>
      <c r="AR445" s="25">
        <v>16.431250000000002</v>
      </c>
      <c r="AS445" s="25">
        <v>16.189583333333342</v>
      </c>
      <c r="AT445" s="25">
        <v>0.24010526315789466</v>
      </c>
      <c r="AU445" s="25">
        <v>0.12483333333333335</v>
      </c>
      <c r="AV445" s="25">
        <v>0.2101875</v>
      </c>
      <c r="AW445" s="25">
        <v>-276.30624999999998</v>
      </c>
      <c r="AX445" s="25">
        <v>-116.45916666666669</v>
      </c>
      <c r="AY445" s="25">
        <v>-188.88333333333335</v>
      </c>
      <c r="AZ445" s="25"/>
      <c r="BA445" s="25">
        <v>-2304.3125</v>
      </c>
      <c r="BB445" s="25">
        <v>-637.39166666666654</v>
      </c>
      <c r="BC445" s="25"/>
      <c r="BD445" s="25">
        <v>17.56666666666667</v>
      </c>
      <c r="BE445" s="25">
        <v>18.185416666666665</v>
      </c>
    </row>
    <row r="446" spans="1:57" x14ac:dyDescent="0.25">
      <c r="A446" s="1">
        <v>26.3</v>
      </c>
      <c r="B446" s="1">
        <v>14.5</v>
      </c>
      <c r="C446" s="22"/>
      <c r="D446" s="23">
        <v>44153</v>
      </c>
      <c r="E446" s="24">
        <v>176.47916666666666</v>
      </c>
      <c r="F446" s="24">
        <v>65.008333333333326</v>
      </c>
      <c r="G446" s="24">
        <v>19.402083333333334</v>
      </c>
      <c r="H446" s="24">
        <v>0</v>
      </c>
      <c r="I446" s="24">
        <v>240.5625</v>
      </c>
      <c r="J446" s="24">
        <v>17.333333333333332</v>
      </c>
      <c r="K446" s="24">
        <v>3.2291666666666665</v>
      </c>
      <c r="L446" s="24">
        <v>12.014583333333336</v>
      </c>
      <c r="M446" s="10">
        <v>0.89085677598249413</v>
      </c>
      <c r="N446" s="25">
        <v>0.25856249999999986</v>
      </c>
      <c r="O446" s="25">
        <v>0.35493749999999974</v>
      </c>
      <c r="P446" s="25">
        <v>0.42943749999999997</v>
      </c>
      <c r="Q446" s="25">
        <v>0.44770833333333365</v>
      </c>
      <c r="R446" s="25">
        <v>0.43849999999999995</v>
      </c>
      <c r="S446" s="25">
        <v>0.33945833333333325</v>
      </c>
      <c r="T446" s="25">
        <v>0.34316666666666684</v>
      </c>
      <c r="U446" s="25">
        <v>0.29937499999999989</v>
      </c>
      <c r="V446" s="25">
        <v>-131.51041666666671</v>
      </c>
      <c r="W446" s="25">
        <v>-319.79166666666669</v>
      </c>
      <c r="X446" s="25">
        <v>-96.214583333333323</v>
      </c>
      <c r="Y446" s="25">
        <v>-72.505208333333329</v>
      </c>
      <c r="Z446" s="25">
        <v>-114.02708333333334</v>
      </c>
      <c r="AA446" s="25">
        <v>-86.437499999999986</v>
      </c>
      <c r="AB446" s="25">
        <v>-76.132500000000022</v>
      </c>
      <c r="AC446" s="25">
        <v>-103.39999999999999</v>
      </c>
      <c r="AD446" s="25">
        <v>-692.97708333333333</v>
      </c>
      <c r="AE446" s="25">
        <v>-625.78124999999989</v>
      </c>
      <c r="AF446" s="25">
        <v>-543.91875000000005</v>
      </c>
      <c r="AG446" s="25">
        <v>-333.25208333333325</v>
      </c>
      <c r="AH446" s="25">
        <v>-869.27499999999998</v>
      </c>
      <c r="AI446" s="25">
        <v>-658.5854166666669</v>
      </c>
      <c r="AJ446" s="25">
        <v>-658.65208333333317</v>
      </c>
      <c r="AK446" s="25">
        <v>-788.05833333333339</v>
      </c>
      <c r="AL446" s="25">
        <v>18.039583333333336</v>
      </c>
      <c r="AM446" s="25">
        <v>17.250000000000007</v>
      </c>
      <c r="AN446" s="25">
        <v>16.662499999999998</v>
      </c>
      <c r="AO446" s="25">
        <v>16.460416666666671</v>
      </c>
      <c r="AP446" s="25">
        <v>18.339583333333334</v>
      </c>
      <c r="AQ446" s="25">
        <v>17.654166666666665</v>
      </c>
      <c r="AR446" s="25">
        <v>17.127083333333331</v>
      </c>
      <c r="AS446" s="25">
        <v>16.893750000000001</v>
      </c>
      <c r="AT446" s="25">
        <v>0.22532432432432431</v>
      </c>
      <c r="AU446" s="25">
        <v>0.12119230769230772</v>
      </c>
      <c r="AV446" s="25">
        <v>0.2073541666666667</v>
      </c>
      <c r="AW446" s="25">
        <v>-302.29166666666669</v>
      </c>
      <c r="AX446" s="25">
        <v>-63.653958333333343</v>
      </c>
      <c r="AY446" s="25">
        <v>-246.39375000000004</v>
      </c>
      <c r="AZ446" s="25"/>
      <c r="BA446" s="25">
        <v>-2574.0833333333335</v>
      </c>
      <c r="BB446" s="25">
        <v>-649.23749999999995</v>
      </c>
      <c r="BC446" s="25"/>
      <c r="BD446" s="25">
        <v>17.581250000000001</v>
      </c>
      <c r="BE446" s="25">
        <v>18.570833333333333</v>
      </c>
    </row>
    <row r="447" spans="1:57" x14ac:dyDescent="0.25">
      <c r="A447" s="1">
        <v>25.2</v>
      </c>
      <c r="B447" s="1">
        <v>10.5</v>
      </c>
      <c r="C447" s="22"/>
      <c r="D447" s="23">
        <v>44154</v>
      </c>
      <c r="E447" s="24">
        <v>155.04166666666666</v>
      </c>
      <c r="F447" s="24">
        <v>64.445833333333326</v>
      </c>
      <c r="G447" s="24">
        <v>17.341666666666665</v>
      </c>
      <c r="H447" s="24">
        <v>0</v>
      </c>
      <c r="I447" s="24">
        <v>235.89583333333334</v>
      </c>
      <c r="J447" s="24">
        <v>5.729166666666667</v>
      </c>
      <c r="K447" s="24">
        <v>0.41666666666666669</v>
      </c>
      <c r="L447" s="24">
        <v>10.022916666666667</v>
      </c>
      <c r="M447" s="10">
        <v>0.80519459540803207</v>
      </c>
      <c r="N447" s="25">
        <v>0.25502083333333342</v>
      </c>
      <c r="O447" s="25">
        <v>0.35047916666666673</v>
      </c>
      <c r="P447" s="25">
        <v>0.42695833333333316</v>
      </c>
      <c r="Q447" s="25">
        <v>0.44429166666666681</v>
      </c>
      <c r="R447" s="25">
        <v>0.43449999999999994</v>
      </c>
      <c r="S447" s="25">
        <v>0.33697916666666683</v>
      </c>
      <c r="T447" s="25">
        <v>0.34124999999999983</v>
      </c>
      <c r="U447" s="25">
        <v>0.29745833333333349</v>
      </c>
      <c r="V447" s="25">
        <v>-162.38541666666666</v>
      </c>
      <c r="W447" s="25">
        <v>-324.63958333333363</v>
      </c>
      <c r="X447" s="25">
        <v>-100.61250000000001</v>
      </c>
      <c r="Y447" s="25">
        <v>-74.198541666666642</v>
      </c>
      <c r="Z447" s="25">
        <v>-127.47916666666667</v>
      </c>
      <c r="AA447" s="25">
        <v>-91.441666666666677</v>
      </c>
      <c r="AB447" s="25">
        <v>-78.897708333333341</v>
      </c>
      <c r="AC447" s="25">
        <v>-106.36041666666667</v>
      </c>
      <c r="AD447" s="25">
        <v>-742.9083333333333</v>
      </c>
      <c r="AE447" s="25">
        <v>-686.71875000000011</v>
      </c>
      <c r="AF447" s="25">
        <v>-653.9395833333333</v>
      </c>
      <c r="AG447" s="25">
        <v>-357.94583333333338</v>
      </c>
      <c r="AH447" s="25">
        <v>-902.95833333333337</v>
      </c>
      <c r="AI447" s="25">
        <v>-708.52916666666658</v>
      </c>
      <c r="AJ447" s="25">
        <v>-742.30625000000009</v>
      </c>
      <c r="AK447" s="25">
        <v>-911.8125</v>
      </c>
      <c r="AL447" s="25">
        <v>18.083333333333339</v>
      </c>
      <c r="AM447" s="25">
        <v>17.506249999999994</v>
      </c>
      <c r="AN447" s="25">
        <v>16.993750000000002</v>
      </c>
      <c r="AO447" s="25">
        <v>16.781249999999989</v>
      </c>
      <c r="AP447" s="25">
        <v>18.204166666666666</v>
      </c>
      <c r="AQ447" s="25">
        <v>17.829166666666662</v>
      </c>
      <c r="AR447" s="25">
        <v>17.45</v>
      </c>
      <c r="AS447" s="25">
        <v>17.297916666666669</v>
      </c>
      <c r="AT447" s="25">
        <v>0.20907142857142855</v>
      </c>
      <c r="AU447" s="25">
        <v>0.12466666666666662</v>
      </c>
      <c r="AV447" s="25">
        <v>0.20285416666666675</v>
      </c>
      <c r="AW447" s="25">
        <v>-316.75625000000002</v>
      </c>
      <c r="AX447" s="25">
        <v>-95.441666666666677</v>
      </c>
      <c r="AY447" s="25">
        <v>-294.36041666666665</v>
      </c>
      <c r="AZ447" s="25"/>
      <c r="BA447" s="25">
        <v>-3150.4791666666665</v>
      </c>
      <c r="BB447" s="25">
        <v>-677.63541666666663</v>
      </c>
      <c r="BC447" s="25"/>
      <c r="BD447" s="25">
        <v>16.804166666666664</v>
      </c>
      <c r="BE447" s="25">
        <v>18.181250000000002</v>
      </c>
    </row>
    <row r="448" spans="1:57" x14ac:dyDescent="0.25">
      <c r="A448" s="1">
        <v>23.9</v>
      </c>
      <c r="B448" s="1">
        <v>12.4</v>
      </c>
      <c r="C448" s="22"/>
      <c r="D448" s="23">
        <v>44155</v>
      </c>
      <c r="E448" s="24">
        <v>170.75</v>
      </c>
      <c r="F448" s="24">
        <v>69.408333333333346</v>
      </c>
      <c r="G448" s="24">
        <v>17.895833333333332</v>
      </c>
      <c r="H448" s="24">
        <v>0</v>
      </c>
      <c r="I448" s="24">
        <v>225.54166666666666</v>
      </c>
      <c r="J448" s="24">
        <v>12.145833333333334</v>
      </c>
      <c r="K448" s="24">
        <v>2.9791666666666665</v>
      </c>
      <c r="L448" s="24">
        <v>11.889583333333334</v>
      </c>
      <c r="M448" s="10">
        <v>0.69878500409608346</v>
      </c>
      <c r="N448" s="25">
        <v>0.25270833333333331</v>
      </c>
      <c r="O448" s="25">
        <v>0.34714583333333326</v>
      </c>
      <c r="P448" s="25">
        <v>0.42452083333333318</v>
      </c>
      <c r="Q448" s="25">
        <v>0.44014583333333307</v>
      </c>
      <c r="R448" s="25">
        <v>0.43152083333333319</v>
      </c>
      <c r="S448" s="25">
        <v>0.33493750000000017</v>
      </c>
      <c r="T448" s="25">
        <v>0.33920833333333311</v>
      </c>
      <c r="U448" s="25">
        <v>0.29545833333333343</v>
      </c>
      <c r="V448" s="25">
        <v>-205.04791666666665</v>
      </c>
      <c r="W448" s="25">
        <v>-320.68333333333334</v>
      </c>
      <c r="X448" s="25">
        <v>-105.92708333333337</v>
      </c>
      <c r="Y448" s="25">
        <v>-76.378333333333316</v>
      </c>
      <c r="Z448" s="25">
        <v>-143.32291666666671</v>
      </c>
      <c r="AA448" s="25">
        <v>-97.047916666666694</v>
      </c>
      <c r="AB448" s="25">
        <v>-82.137500000000003</v>
      </c>
      <c r="AC448" s="25">
        <v>-110.4395833333333</v>
      </c>
      <c r="AD448" s="25">
        <v>-795.5645833333333</v>
      </c>
      <c r="AE448" s="25">
        <v>-736.64166666666642</v>
      </c>
      <c r="AF448" s="25">
        <v>-753.39374999999984</v>
      </c>
      <c r="AG448" s="25">
        <v>-377.15416666666664</v>
      </c>
      <c r="AH448" s="25">
        <v>-949.125</v>
      </c>
      <c r="AI448" s="25">
        <v>-743.54583333333346</v>
      </c>
      <c r="AJ448" s="25">
        <v>-813.96875</v>
      </c>
      <c r="AK448" s="25">
        <v>-1041.8958333333333</v>
      </c>
      <c r="AL448" s="25">
        <v>18.243749999999995</v>
      </c>
      <c r="AM448" s="25">
        <v>17.660416666666659</v>
      </c>
      <c r="AN448" s="25">
        <v>17.170833333333338</v>
      </c>
      <c r="AO448" s="25">
        <v>16.983333333333334</v>
      </c>
      <c r="AP448" s="25">
        <v>18.522916666666667</v>
      </c>
      <c r="AQ448" s="25">
        <v>18.045833333333331</v>
      </c>
      <c r="AR448" s="25">
        <v>17.641666666666666</v>
      </c>
      <c r="AS448" s="25">
        <v>17.506249999999991</v>
      </c>
      <c r="AT448" s="25">
        <v>0.19865853658536584</v>
      </c>
      <c r="AU448" s="25">
        <v>0.11512500000000003</v>
      </c>
      <c r="AV448" s="25">
        <v>0.20024999999999996</v>
      </c>
      <c r="AW448" s="25">
        <v>-323.31875000000002</v>
      </c>
      <c r="AX448" s="25">
        <v>-116.66458333333331</v>
      </c>
      <c r="AY448" s="25">
        <v>-289.34374999999994</v>
      </c>
      <c r="AZ448" s="25"/>
      <c r="BA448" s="25">
        <v>-3241.5833333333335</v>
      </c>
      <c r="BB448" s="25">
        <v>-690.87083333333305</v>
      </c>
      <c r="BC448" s="25"/>
      <c r="BD448" s="25">
        <v>17.12083333333333</v>
      </c>
      <c r="BE448" s="25">
        <v>18.418749999999999</v>
      </c>
    </row>
    <row r="449" spans="1:57" x14ac:dyDescent="0.25">
      <c r="A449" s="1">
        <v>24.8</v>
      </c>
      <c r="B449" s="1">
        <v>12.2</v>
      </c>
      <c r="C449" s="22"/>
      <c r="D449" s="23">
        <v>44156</v>
      </c>
      <c r="E449" s="24">
        <v>163.60416666666666</v>
      </c>
      <c r="F449" s="24">
        <v>74.150000000000006</v>
      </c>
      <c r="G449" s="24">
        <v>17.427083333333336</v>
      </c>
      <c r="H449" s="24">
        <v>0</v>
      </c>
      <c r="I449" s="24">
        <v>239.875</v>
      </c>
      <c r="J449" s="24">
        <v>9.0208333333333339</v>
      </c>
      <c r="K449" s="24">
        <v>0.75</v>
      </c>
      <c r="L449" s="24">
        <v>12.347916666666663</v>
      </c>
      <c r="M449" s="10">
        <v>0.61157296291943175</v>
      </c>
      <c r="N449" s="25">
        <v>0.25122916666666673</v>
      </c>
      <c r="O449" s="25">
        <v>0.34441666666666659</v>
      </c>
      <c r="P449" s="25">
        <v>0.42306249999999984</v>
      </c>
      <c r="Q449" s="25">
        <v>0.43685416666666638</v>
      </c>
      <c r="R449" s="25">
        <v>0.43029166666666674</v>
      </c>
      <c r="S449" s="25">
        <v>0.33397916666666688</v>
      </c>
      <c r="T449" s="25">
        <v>0.33772916666666658</v>
      </c>
      <c r="U449" s="25">
        <v>0.29370833333333307</v>
      </c>
      <c r="V449" s="25">
        <v>-257.09166666666664</v>
      </c>
      <c r="W449" s="25">
        <v>-299.79583333333323</v>
      </c>
      <c r="X449" s="25">
        <v>-111.56875000000002</v>
      </c>
      <c r="Y449" s="25">
        <v>-78.561666666666667</v>
      </c>
      <c r="Z449" s="25">
        <v>-161.54583333333335</v>
      </c>
      <c r="AA449" s="25">
        <v>-103.00833333333333</v>
      </c>
      <c r="AB449" s="25">
        <v>-85.510416666666671</v>
      </c>
      <c r="AC449" s="25">
        <v>-114.48958333333331</v>
      </c>
      <c r="AD449" s="25">
        <v>-821.16875000000016</v>
      </c>
      <c r="AE449" s="25">
        <v>-770.46041666666667</v>
      </c>
      <c r="AF449" s="25">
        <v>-785.23541666666677</v>
      </c>
      <c r="AG449" s="25">
        <v>-392.55208333333343</v>
      </c>
      <c r="AH449" s="25">
        <v>-959.5</v>
      </c>
      <c r="AI449" s="25">
        <v>-768.89999999999975</v>
      </c>
      <c r="AJ449" s="25">
        <v>-882.27083333333337</v>
      </c>
      <c r="AK449" s="25">
        <v>-1147.0416666666667</v>
      </c>
      <c r="AL449" s="25">
        <v>18.716666666666672</v>
      </c>
      <c r="AM449" s="25">
        <v>17.966666666666665</v>
      </c>
      <c r="AN449" s="25">
        <v>17.408333333333321</v>
      </c>
      <c r="AO449" s="25">
        <v>17.189583333333335</v>
      </c>
      <c r="AP449" s="25">
        <v>19.068749999999998</v>
      </c>
      <c r="AQ449" s="25">
        <v>18.460416666666664</v>
      </c>
      <c r="AR449" s="25">
        <v>18</v>
      </c>
      <c r="AS449" s="25">
        <v>17.843750000000007</v>
      </c>
      <c r="AT449" s="25">
        <v>0.19061904761904758</v>
      </c>
      <c r="AU449" s="25">
        <v>0.11425</v>
      </c>
      <c r="AV449" s="25">
        <v>0.19839583333333322</v>
      </c>
      <c r="AW449" s="25">
        <v>-321.6375000000001</v>
      </c>
      <c r="AX449" s="25">
        <v>-134.69999999999999</v>
      </c>
      <c r="AY449" s="25">
        <v>-291.20416666666659</v>
      </c>
      <c r="AZ449" s="25"/>
      <c r="BA449" s="25">
        <v>-3286.9166666666665</v>
      </c>
      <c r="BB449" s="25">
        <v>-693.65208333333328</v>
      </c>
      <c r="BC449" s="25"/>
      <c r="BD449" s="25">
        <v>17.468750000000004</v>
      </c>
      <c r="BE449" s="25">
        <v>18.791666666666668</v>
      </c>
    </row>
    <row r="450" spans="1:57" x14ac:dyDescent="0.25">
      <c r="A450" s="1">
        <v>12.1</v>
      </c>
      <c r="B450" s="1">
        <v>7.2</v>
      </c>
      <c r="C450" s="22"/>
      <c r="D450" s="23">
        <v>44157</v>
      </c>
      <c r="E450" s="24">
        <v>29.1875</v>
      </c>
      <c r="F450" s="24">
        <v>88.212499999999991</v>
      </c>
      <c r="G450" s="24">
        <v>10.077083333333329</v>
      </c>
      <c r="H450" s="24">
        <v>0</v>
      </c>
      <c r="I450" s="24">
        <v>227.1875</v>
      </c>
      <c r="J450" s="24">
        <v>6.375</v>
      </c>
      <c r="K450" s="24">
        <v>4.1666666666666664E-2</v>
      </c>
      <c r="L450" s="24">
        <v>8.2020833333333325</v>
      </c>
      <c r="M450" s="10">
        <v>0.148551482444329</v>
      </c>
      <c r="N450" s="25">
        <v>0.24635416666666668</v>
      </c>
      <c r="O450" s="25">
        <v>0.34127083333333319</v>
      </c>
      <c r="P450" s="25">
        <v>0.42143750000000019</v>
      </c>
      <c r="Q450" s="25">
        <v>0.43475000000000014</v>
      </c>
      <c r="R450" s="25">
        <v>0.42458333333333337</v>
      </c>
      <c r="S450" s="25">
        <v>0.33227083333333329</v>
      </c>
      <c r="T450" s="25">
        <v>0.33670833333333339</v>
      </c>
      <c r="U450" s="25">
        <v>0.29272916666666654</v>
      </c>
      <c r="V450" s="25">
        <v>-306.98333333333329</v>
      </c>
      <c r="W450" s="25">
        <v>-242.20833333333337</v>
      </c>
      <c r="X450" s="25">
        <v>-118.36250000000001</v>
      </c>
      <c r="Y450" s="25">
        <v>-80.914166666666674</v>
      </c>
      <c r="Z450" s="25">
        <v>-191.75000000000003</v>
      </c>
      <c r="AA450" s="25">
        <v>-111.27500000000002</v>
      </c>
      <c r="AB450" s="25">
        <v>-89.466666666666683</v>
      </c>
      <c r="AC450" s="25">
        <v>-118.93124999999999</v>
      </c>
      <c r="AD450" s="25">
        <v>-925.625</v>
      </c>
      <c r="AE450" s="25">
        <v>-790.41875000000016</v>
      </c>
      <c r="AF450" s="25">
        <v>-804.67291666666677</v>
      </c>
      <c r="AG450" s="25">
        <v>-398.71250000000003</v>
      </c>
      <c r="AH450" s="25">
        <v>-869.24166666666667</v>
      </c>
      <c r="AI450" s="25">
        <v>-823.15</v>
      </c>
      <c r="AJ450" s="25">
        <v>-948.77083333333337</v>
      </c>
      <c r="AK450" s="25">
        <v>-1233.75</v>
      </c>
      <c r="AL450" s="25">
        <v>17.512499999999999</v>
      </c>
      <c r="AM450" s="25">
        <v>17.866666666666671</v>
      </c>
      <c r="AN450" s="25">
        <v>17.585416666666664</v>
      </c>
      <c r="AO450" s="25">
        <v>17.383333333333319</v>
      </c>
      <c r="AP450" s="25">
        <v>17.004166666666666</v>
      </c>
      <c r="AQ450" s="25">
        <v>17.931249999999999</v>
      </c>
      <c r="AR450" s="25">
        <v>17.933333333333334</v>
      </c>
      <c r="AS450" s="25">
        <v>17.9375</v>
      </c>
      <c r="AT450" s="25">
        <v>0.18341666666666667</v>
      </c>
      <c r="AU450" s="25">
        <v>0.11051612903225806</v>
      </c>
      <c r="AV450" s="25">
        <v>0.1939374999999999</v>
      </c>
      <c r="AW450" s="25">
        <v>-322.5958333333333</v>
      </c>
      <c r="AX450" s="25">
        <v>-149.72500000000005</v>
      </c>
      <c r="AY450" s="25">
        <v>-298.12500000000006</v>
      </c>
      <c r="AZ450" s="25"/>
      <c r="BA450" s="25">
        <v>-4485.145833333333</v>
      </c>
      <c r="BB450" s="25">
        <v>-735.70625000000007</v>
      </c>
      <c r="BC450" s="25"/>
      <c r="BD450" s="25">
        <v>14.952083333333333</v>
      </c>
      <c r="BE450" s="25">
        <v>16.706250000000001</v>
      </c>
    </row>
    <row r="451" spans="1:57" x14ac:dyDescent="0.25">
      <c r="A451" s="1">
        <v>7.3</v>
      </c>
      <c r="B451" s="1">
        <v>4.5999999999999996</v>
      </c>
      <c r="C451" s="22"/>
      <c r="D451" s="23">
        <v>44158</v>
      </c>
      <c r="E451" s="24">
        <v>28.625</v>
      </c>
      <c r="F451" s="24">
        <v>95.15625</v>
      </c>
      <c r="G451" s="24">
        <v>5.654166666666665</v>
      </c>
      <c r="H451" s="24">
        <v>0.60000000000000009</v>
      </c>
      <c r="I451" s="24">
        <v>254.64583333333334</v>
      </c>
      <c r="J451" s="24">
        <v>4.104166666666667</v>
      </c>
      <c r="K451" s="24">
        <v>0</v>
      </c>
      <c r="L451" s="24">
        <v>4.9437499999999988</v>
      </c>
      <c r="M451" s="10">
        <v>4.4628717651223053E-2</v>
      </c>
      <c r="N451" s="25">
        <v>0.23968750000000005</v>
      </c>
      <c r="O451" s="25">
        <v>0.33385416666666673</v>
      </c>
      <c r="P451" s="25">
        <v>0.41239583333333329</v>
      </c>
      <c r="Q451" s="25">
        <v>0.43062499999999976</v>
      </c>
      <c r="R451" s="25">
        <v>0.41429166666666695</v>
      </c>
      <c r="S451" s="25">
        <v>0.32700000000000001</v>
      </c>
      <c r="T451" s="25">
        <v>0.33385416666666673</v>
      </c>
      <c r="U451" s="25">
        <v>0.2909374999999999</v>
      </c>
      <c r="V451" s="25">
        <v>-324.68333333333345</v>
      </c>
      <c r="W451" s="25"/>
      <c r="X451" s="25">
        <v>-132.1958333333333</v>
      </c>
      <c r="Y451" s="25">
        <v>-86.302083333333329</v>
      </c>
      <c r="Z451" s="25">
        <v>-220.64791666666667</v>
      </c>
      <c r="AA451" s="25">
        <v>-123.16250000000004</v>
      </c>
      <c r="AB451" s="25">
        <v>-96.9583333333333</v>
      </c>
      <c r="AC451" s="25">
        <v>-128.33958333333328</v>
      </c>
      <c r="AD451" s="25">
        <v>-1099.4583333333333</v>
      </c>
      <c r="AE451" s="25">
        <v>-852.10416666666663</v>
      </c>
      <c r="AF451" s="25">
        <v>-828.625</v>
      </c>
      <c r="AG451" s="25">
        <v>-398.21458333333334</v>
      </c>
      <c r="AH451" s="25">
        <v>-577.99374999999998</v>
      </c>
      <c r="AI451" s="25">
        <v>-934.95833333333337</v>
      </c>
      <c r="AJ451" s="25">
        <v>-1096.75</v>
      </c>
      <c r="AK451" s="25">
        <v>-1455.7708333333333</v>
      </c>
      <c r="AL451" s="25">
        <v>15.231250000000001</v>
      </c>
      <c r="AM451" s="25">
        <v>16.491666666666671</v>
      </c>
      <c r="AN451" s="25">
        <v>16.943750000000005</v>
      </c>
      <c r="AO451" s="25">
        <v>17.079166666666662</v>
      </c>
      <c r="AP451" s="25">
        <v>13.924999999999999</v>
      </c>
      <c r="AQ451" s="25">
        <v>15.737499999999997</v>
      </c>
      <c r="AR451" s="25">
        <v>16.327083333333331</v>
      </c>
      <c r="AS451" s="25">
        <v>16.658333333333335</v>
      </c>
      <c r="AT451" s="25">
        <v>0.18016666666666659</v>
      </c>
      <c r="AU451" s="25">
        <v>0.108</v>
      </c>
      <c r="AV451" s="25">
        <v>0.1909583333333332</v>
      </c>
      <c r="AW451" s="25">
        <v>-324.59583333333359</v>
      </c>
      <c r="AX451" s="25">
        <v>-162.06458333333333</v>
      </c>
      <c r="AY451" s="25">
        <v>-293.40000000000003</v>
      </c>
      <c r="AZ451" s="25"/>
      <c r="BA451" s="25">
        <v>-5597.104166666667</v>
      </c>
      <c r="BB451" s="25">
        <v>-761.4270833333336</v>
      </c>
      <c r="BC451" s="25"/>
      <c r="BD451" s="25">
        <v>12.789583333333331</v>
      </c>
      <c r="BE451" s="25">
        <v>14.80625</v>
      </c>
    </row>
    <row r="452" spans="1:57" x14ac:dyDescent="0.25">
      <c r="A452" s="1">
        <v>15.1</v>
      </c>
      <c r="B452" s="1">
        <v>5.2</v>
      </c>
      <c r="C452" s="22"/>
      <c r="D452" s="23">
        <v>44159</v>
      </c>
      <c r="E452" s="24">
        <v>48.375</v>
      </c>
      <c r="F452" s="24">
        <v>93.877083333333346</v>
      </c>
      <c r="G452" s="24">
        <v>9.9645833333333336</v>
      </c>
      <c r="H452" s="24">
        <v>0.4</v>
      </c>
      <c r="I452" s="24">
        <v>211.45833333333334</v>
      </c>
      <c r="J452" s="24">
        <v>3.25</v>
      </c>
      <c r="K452" s="24">
        <v>4.1666666666666664E-2</v>
      </c>
      <c r="L452" s="24">
        <v>8.9895833333333304</v>
      </c>
      <c r="M452" s="10">
        <v>8.7797014697346132E-2</v>
      </c>
      <c r="N452" s="25">
        <v>0.23762500000000017</v>
      </c>
      <c r="O452" s="25">
        <v>0.32874999999999982</v>
      </c>
      <c r="P452" s="25">
        <v>0.40685416666666668</v>
      </c>
      <c r="Q452" s="25">
        <v>0.42566666666666647</v>
      </c>
      <c r="R452" s="25">
        <v>0.40906250000000005</v>
      </c>
      <c r="S452" s="25">
        <v>0.32295833333333324</v>
      </c>
      <c r="T452" s="25">
        <v>0.3303958333333335</v>
      </c>
      <c r="U452" s="25">
        <v>0.2883333333333335</v>
      </c>
      <c r="V452" s="25">
        <v>-324.03750000000025</v>
      </c>
      <c r="W452" s="25"/>
      <c r="X452" s="25">
        <v>-146.31041666666664</v>
      </c>
      <c r="Y452" s="25">
        <v>-92.74583333333328</v>
      </c>
      <c r="Z452" s="25">
        <v>-233.94374999999994</v>
      </c>
      <c r="AA452" s="25">
        <v>-133.92291666666668</v>
      </c>
      <c r="AB452" s="25">
        <v>-104.5</v>
      </c>
      <c r="AC452" s="25">
        <v>-138.31041666666667</v>
      </c>
      <c r="AD452" s="25">
        <v>-1202.2708333333333</v>
      </c>
      <c r="AE452" s="25">
        <v>-898.97916666666663</v>
      </c>
      <c r="AF452" s="25">
        <v>-880.89583333333337</v>
      </c>
      <c r="AG452" s="25">
        <v>-400.41666666666657</v>
      </c>
      <c r="AH452" s="25">
        <v>-622.25833333333344</v>
      </c>
      <c r="AI452" s="25">
        <v>-1004.3125</v>
      </c>
      <c r="AJ452" s="25">
        <v>-1246.5</v>
      </c>
      <c r="AK452" s="25">
        <v>-1695.625</v>
      </c>
      <c r="AL452" s="25">
        <v>14.343749999999995</v>
      </c>
      <c r="AM452" s="25">
        <v>15.408333333333326</v>
      </c>
      <c r="AN452" s="25">
        <v>16.120833333333326</v>
      </c>
      <c r="AO452" s="25">
        <v>16.452083333333331</v>
      </c>
      <c r="AP452" s="25">
        <v>13.285416666666663</v>
      </c>
      <c r="AQ452" s="25">
        <v>14.545833333333333</v>
      </c>
      <c r="AR452" s="25">
        <v>15.112499999999997</v>
      </c>
      <c r="AS452" s="25">
        <v>15.477083333333335</v>
      </c>
      <c r="AT452" s="25">
        <v>0.18027659574468086</v>
      </c>
      <c r="AU452" s="25">
        <v>0.10875000000000011</v>
      </c>
      <c r="AV452" s="25">
        <v>0.19124999999999989</v>
      </c>
      <c r="AW452" s="25">
        <v>-324.69999999999987</v>
      </c>
      <c r="AX452" s="25">
        <v>-172.7479166666667</v>
      </c>
      <c r="AY452" s="25">
        <v>-299.16666666666674</v>
      </c>
      <c r="AZ452" s="25"/>
      <c r="BA452" s="25">
        <v>-5045.958333333333</v>
      </c>
      <c r="BB452" s="25">
        <v>-751.69375000000036</v>
      </c>
      <c r="BC452" s="25"/>
      <c r="BD452" s="25">
        <v>13.368750000000004</v>
      </c>
      <c r="BE452" s="25">
        <v>14.512500000000005</v>
      </c>
    </row>
    <row r="453" spans="1:57" x14ac:dyDescent="0.25">
      <c r="A453" s="1">
        <v>13.9</v>
      </c>
      <c r="B453" s="1">
        <v>5.9</v>
      </c>
      <c r="C453" s="22"/>
      <c r="D453" s="23">
        <v>44160</v>
      </c>
      <c r="E453" s="24">
        <v>42.083333333333336</v>
      </c>
      <c r="F453" s="24">
        <v>89.506250000000009</v>
      </c>
      <c r="G453" s="24">
        <v>8.8958333333333339</v>
      </c>
      <c r="H453" s="24">
        <v>0</v>
      </c>
      <c r="I453" s="24">
        <v>255.4375</v>
      </c>
      <c r="J453" s="24">
        <v>6.125</v>
      </c>
      <c r="K453" s="24">
        <v>6.25E-2</v>
      </c>
      <c r="L453" s="24">
        <v>7.2479166666666659</v>
      </c>
      <c r="M453" s="10">
        <v>0.12361646927421766</v>
      </c>
      <c r="N453" s="25">
        <v>0.23829166666666649</v>
      </c>
      <c r="O453" s="25">
        <v>0.32841666666666641</v>
      </c>
      <c r="P453" s="25">
        <v>0.40599999999999997</v>
      </c>
      <c r="Q453" s="25">
        <v>0.42241666666666683</v>
      </c>
      <c r="R453" s="25">
        <v>0.40939583333333379</v>
      </c>
      <c r="S453" s="25">
        <v>0.32300000000000023</v>
      </c>
      <c r="T453" s="25">
        <v>0.32900000000000024</v>
      </c>
      <c r="U453" s="25">
        <v>0.28697916666666695</v>
      </c>
      <c r="V453" s="25">
        <v>-324.27083333333331</v>
      </c>
      <c r="W453" s="25"/>
      <c r="X453" s="25">
        <v>-154.79374999999996</v>
      </c>
      <c r="Y453" s="25">
        <v>-97.37708333333336</v>
      </c>
      <c r="Z453" s="25">
        <v>-237.9375</v>
      </c>
      <c r="AA453" s="25">
        <v>-141.06250000000006</v>
      </c>
      <c r="AB453" s="25">
        <v>-109.64583333333331</v>
      </c>
      <c r="AC453" s="25">
        <v>-144.44374999999999</v>
      </c>
      <c r="AD453" s="25">
        <v>-1174.8333333333333</v>
      </c>
      <c r="AE453" s="25">
        <v>-913.64583333333337</v>
      </c>
      <c r="AF453" s="25">
        <v>-915.5</v>
      </c>
      <c r="AG453" s="25">
        <v>-406.80208333333331</v>
      </c>
      <c r="AH453" s="25">
        <v>-797.95833333333337</v>
      </c>
      <c r="AI453" s="25">
        <v>-978.70833333333337</v>
      </c>
      <c r="AJ453" s="25">
        <v>-1289.0833333333333</v>
      </c>
      <c r="AK453" s="25">
        <v>-1773.4166666666667</v>
      </c>
      <c r="AL453" s="25">
        <v>14.600000000000003</v>
      </c>
      <c r="AM453" s="25">
        <v>15.312500000000009</v>
      </c>
      <c r="AN453" s="25">
        <v>15.764583333333354</v>
      </c>
      <c r="AO453" s="25">
        <v>16.054166666666671</v>
      </c>
      <c r="AP453" s="25">
        <v>13.874999999999998</v>
      </c>
      <c r="AQ453" s="25">
        <v>14.839583333333342</v>
      </c>
      <c r="AR453" s="25">
        <v>15.110416666666666</v>
      </c>
      <c r="AS453" s="25">
        <v>15.275000000000015</v>
      </c>
      <c r="AT453" s="25">
        <v>0.17997916666666672</v>
      </c>
      <c r="AU453" s="25">
        <v>0.10906249999999994</v>
      </c>
      <c r="AV453" s="25">
        <v>0.1920416666666668</v>
      </c>
      <c r="AW453" s="25">
        <v>-325.0395833333335</v>
      </c>
      <c r="AX453" s="25">
        <v>-185.48125000000002</v>
      </c>
      <c r="AY453" s="25">
        <v>-313.90625</v>
      </c>
      <c r="AZ453" s="25"/>
      <c r="BA453" s="25">
        <v>-4959.5</v>
      </c>
      <c r="BB453" s="25">
        <v>-779.86458333333303</v>
      </c>
      <c r="BC453" s="25"/>
      <c r="BD453" s="25">
        <v>13.485416666666666</v>
      </c>
      <c r="BE453" s="25">
        <v>14.547916666666664</v>
      </c>
    </row>
    <row r="454" spans="1:57" x14ac:dyDescent="0.25">
      <c r="A454" s="1">
        <v>8</v>
      </c>
      <c r="B454" s="1">
        <v>5.3</v>
      </c>
      <c r="C454" s="22"/>
      <c r="D454" s="23">
        <v>44161</v>
      </c>
      <c r="E454" s="24">
        <v>25.125</v>
      </c>
      <c r="F454" s="24">
        <v>90.793750000000031</v>
      </c>
      <c r="G454" s="24">
        <v>6.081249999999998</v>
      </c>
      <c r="H454" s="24">
        <v>0.2</v>
      </c>
      <c r="I454" s="24">
        <v>159.60416666666666</v>
      </c>
      <c r="J454" s="24">
        <v>3.8541666666666665</v>
      </c>
      <c r="K454" s="24">
        <v>0</v>
      </c>
      <c r="L454" s="24">
        <v>4.6687500000000011</v>
      </c>
      <c r="M454" s="10">
        <v>8.8436976400247003E-2</v>
      </c>
      <c r="N454" s="25">
        <v>0.23537499999999992</v>
      </c>
      <c r="O454" s="25">
        <v>0.32489583333333327</v>
      </c>
      <c r="P454" s="25">
        <v>0.40331250000000018</v>
      </c>
      <c r="Q454" s="25">
        <v>0.41987500000000005</v>
      </c>
      <c r="R454" s="25">
        <v>0.40495833333333309</v>
      </c>
      <c r="S454" s="25">
        <v>0.32068750000000013</v>
      </c>
      <c r="T454" s="25">
        <v>0.32764583333333336</v>
      </c>
      <c r="U454" s="25">
        <v>0.28566666666666657</v>
      </c>
      <c r="V454" s="25">
        <v>-320.92291666666659</v>
      </c>
      <c r="W454" s="25"/>
      <c r="X454" s="25">
        <v>-165.72708333333333</v>
      </c>
      <c r="Y454" s="25">
        <v>-102.70833333333333</v>
      </c>
      <c r="Z454" s="25">
        <v>-248.96666666666678</v>
      </c>
      <c r="AA454" s="25">
        <v>-150.38541666666663</v>
      </c>
      <c r="AB454" s="25">
        <v>-115.87916666666662</v>
      </c>
      <c r="AC454" s="25">
        <v>-151.18958333333336</v>
      </c>
      <c r="AD454" s="25">
        <v>-1261.0208333333333</v>
      </c>
      <c r="AE454" s="25">
        <v>-943.25</v>
      </c>
      <c r="AF454" s="25">
        <v>-951.39583333333337</v>
      </c>
      <c r="AG454" s="25">
        <v>-413.3458333333333</v>
      </c>
      <c r="AH454" s="25">
        <v>-625.19374999999991</v>
      </c>
      <c r="AI454" s="25">
        <v>-1050.2708333333333</v>
      </c>
      <c r="AJ454" s="25">
        <v>-1346.0625</v>
      </c>
      <c r="AK454" s="25">
        <v>-1895.6041666666667</v>
      </c>
      <c r="AL454" s="25">
        <v>13.42500000000001</v>
      </c>
      <c r="AM454" s="25">
        <v>14.716666666666669</v>
      </c>
      <c r="AN454" s="25">
        <v>15.410416666666665</v>
      </c>
      <c r="AO454" s="25">
        <v>15.764583333333347</v>
      </c>
      <c r="AP454" s="25">
        <v>12.28541666666667</v>
      </c>
      <c r="AQ454" s="25">
        <v>13.868750000000004</v>
      </c>
      <c r="AR454" s="25">
        <v>14.468750000000007</v>
      </c>
      <c r="AS454" s="25">
        <v>14.775</v>
      </c>
      <c r="AT454" s="25">
        <v>0.17724999999999982</v>
      </c>
      <c r="AU454" s="25">
        <v>0.10760465116279079</v>
      </c>
      <c r="AV454" s="25">
        <v>0.18977083333333344</v>
      </c>
      <c r="AW454" s="25">
        <v>-324.25208333333325</v>
      </c>
      <c r="AX454" s="25">
        <v>-197.54583333333338</v>
      </c>
      <c r="AY454" s="25">
        <v>-312.64791666666673</v>
      </c>
      <c r="AZ454" s="25"/>
      <c r="BA454" s="25">
        <v>-6221.416666666667</v>
      </c>
      <c r="BB454" s="25">
        <v>-795.44791666666663</v>
      </c>
      <c r="BC454" s="25"/>
      <c r="BD454" s="25">
        <v>11.989583333333337</v>
      </c>
      <c r="BE454" s="25">
        <v>13.225</v>
      </c>
    </row>
    <row r="455" spans="1:57" x14ac:dyDescent="0.25">
      <c r="A455" s="1">
        <v>8.1999999999999993</v>
      </c>
      <c r="B455" s="1">
        <v>5.0999999999999996</v>
      </c>
      <c r="C455" s="22"/>
      <c r="D455" s="23">
        <v>44162</v>
      </c>
      <c r="E455" s="24">
        <v>32.375</v>
      </c>
      <c r="F455" s="24">
        <v>90.666666666666671</v>
      </c>
      <c r="G455" s="24">
        <v>6.0770833333333343</v>
      </c>
      <c r="H455" s="24">
        <v>0.2</v>
      </c>
      <c r="I455" s="24">
        <v>195.375</v>
      </c>
      <c r="J455" s="24">
        <v>2.75</v>
      </c>
      <c r="K455" s="24">
        <v>2.0833333333333332E-2</v>
      </c>
      <c r="L455" s="24">
        <v>4.645833333333333</v>
      </c>
      <c r="M455" s="10">
        <v>9.1064318500785724E-2</v>
      </c>
      <c r="N455" s="25">
        <v>0.23383333333333334</v>
      </c>
      <c r="O455" s="25">
        <v>0.32177083333333317</v>
      </c>
      <c r="P455" s="25">
        <v>0.39983333333333371</v>
      </c>
      <c r="Q455" s="25">
        <v>0.41658333333333325</v>
      </c>
      <c r="R455" s="25">
        <v>0.40210416666666643</v>
      </c>
      <c r="S455" s="25">
        <v>0.3185416666666665</v>
      </c>
      <c r="T455" s="25">
        <v>0.32547916666666626</v>
      </c>
      <c r="U455" s="25">
        <v>0.28410416666666688</v>
      </c>
      <c r="V455" s="25">
        <v>-320.88333333333321</v>
      </c>
      <c r="W455" s="25"/>
      <c r="X455" s="25">
        <v>-177.95000000000002</v>
      </c>
      <c r="Y455" s="25">
        <v>-109.13958333333336</v>
      </c>
      <c r="Z455" s="25">
        <v>-254.30833333333331</v>
      </c>
      <c r="AA455" s="25">
        <v>-159.38750000000005</v>
      </c>
      <c r="AB455" s="25">
        <v>-122.91875</v>
      </c>
      <c r="AC455" s="25">
        <v>-158.84999999999994</v>
      </c>
      <c r="AD455" s="25">
        <v>-1303.9791666666667</v>
      </c>
      <c r="AE455" s="25">
        <v>-959.8125</v>
      </c>
      <c r="AF455" s="25">
        <v>-987.4375</v>
      </c>
      <c r="AG455" s="25">
        <v>-418.65000000000009</v>
      </c>
      <c r="AH455" s="25">
        <v>-612.52499999999975</v>
      </c>
      <c r="AI455" s="25">
        <v>-1077.8125</v>
      </c>
      <c r="AJ455" s="25">
        <v>-1466.2916666666667</v>
      </c>
      <c r="AK455" s="25">
        <v>-2128.4166666666665</v>
      </c>
      <c r="AL455" s="25">
        <v>12.758333333333342</v>
      </c>
      <c r="AM455" s="25">
        <v>14.095833333333331</v>
      </c>
      <c r="AN455" s="25">
        <v>14.916666666666663</v>
      </c>
      <c r="AO455" s="25">
        <v>15.362500000000004</v>
      </c>
      <c r="AP455" s="25">
        <v>11.633333333333338</v>
      </c>
      <c r="AQ455" s="25">
        <v>13.095833333333331</v>
      </c>
      <c r="AR455" s="25">
        <v>13.737500000000006</v>
      </c>
      <c r="AS455" s="25">
        <v>14.104166666666664</v>
      </c>
      <c r="AT455" s="25">
        <v>0.17674358974358975</v>
      </c>
      <c r="AU455" s="25">
        <v>0.10700000000000011</v>
      </c>
      <c r="AV455" s="25">
        <v>0.18852083333333339</v>
      </c>
      <c r="AW455" s="25">
        <v>-323.54166666666669</v>
      </c>
      <c r="AX455" s="25">
        <v>-208.04375000000002</v>
      </c>
      <c r="AY455" s="25">
        <v>-312.02916666666675</v>
      </c>
      <c r="AZ455" s="25"/>
      <c r="BA455" s="25">
        <v>-6484.083333333333</v>
      </c>
      <c r="BB455" s="25">
        <v>-803.31874999999991</v>
      </c>
      <c r="BC455" s="25"/>
      <c r="BD455" s="25">
        <v>11.716666666666669</v>
      </c>
      <c r="BE455" s="25">
        <v>12.708333333333329</v>
      </c>
    </row>
    <row r="456" spans="1:57" x14ac:dyDescent="0.25">
      <c r="A456" s="1">
        <v>8.1</v>
      </c>
      <c r="B456" s="1">
        <v>3.8</v>
      </c>
      <c r="C456" s="22"/>
      <c r="D456" s="23">
        <v>44163</v>
      </c>
      <c r="E456" s="24">
        <v>37.604166666666664</v>
      </c>
      <c r="F456" s="24">
        <v>87.204166666666666</v>
      </c>
      <c r="G456" s="24">
        <v>5.6291666666666664</v>
      </c>
      <c r="H456" s="24">
        <v>0.2</v>
      </c>
      <c r="I456" s="24">
        <v>218.25</v>
      </c>
      <c r="J456" s="24">
        <v>3.8541666666666665</v>
      </c>
      <c r="K456" s="24">
        <v>0</v>
      </c>
      <c r="L456" s="24">
        <v>3.6145833333333335</v>
      </c>
      <c r="M456" s="10">
        <v>0.12315103689994218</v>
      </c>
      <c r="N456" s="25">
        <v>0.23297916666666674</v>
      </c>
      <c r="O456" s="25">
        <v>0.31935416666666705</v>
      </c>
      <c r="P456" s="25">
        <v>0.39727083333333352</v>
      </c>
      <c r="Q456" s="25">
        <v>0.41372916666666654</v>
      </c>
      <c r="R456" s="25">
        <v>0.39966666666666706</v>
      </c>
      <c r="S456" s="25">
        <v>0.31704166666666694</v>
      </c>
      <c r="T456" s="25">
        <v>0.32406249999999998</v>
      </c>
      <c r="U456" s="25">
        <v>0.28277083333333336</v>
      </c>
      <c r="V456" s="25">
        <v>-319.625</v>
      </c>
      <c r="W456" s="25"/>
      <c r="X456" s="25">
        <v>-189.3416666666667</v>
      </c>
      <c r="Y456" s="25">
        <v>-115.40416666666671</v>
      </c>
      <c r="Z456" s="25">
        <v>-258.88541666666674</v>
      </c>
      <c r="AA456" s="25">
        <v>-167.92500000000007</v>
      </c>
      <c r="AB456" s="25">
        <v>-129.60624999999996</v>
      </c>
      <c r="AC456" s="25">
        <v>-165.51875000000001</v>
      </c>
      <c r="AD456" s="25">
        <v>-1339.9583333333333</v>
      </c>
      <c r="AE456" s="25">
        <v>-981.5625</v>
      </c>
      <c r="AF456" s="25">
        <v>-1022</v>
      </c>
      <c r="AG456" s="25">
        <v>-423.2895833333335</v>
      </c>
      <c r="AH456" s="25">
        <v>-613.95416666666631</v>
      </c>
      <c r="AI456" s="25">
        <v>-1115.4166666666667</v>
      </c>
      <c r="AJ456" s="25">
        <v>-1536.3541666666667</v>
      </c>
      <c r="AK456" s="25">
        <v>-2284.4166666666665</v>
      </c>
      <c r="AL456" s="25">
        <v>12.25625000000001</v>
      </c>
      <c r="AM456" s="25">
        <v>13.564583333333324</v>
      </c>
      <c r="AN456" s="25">
        <v>14.506249999999989</v>
      </c>
      <c r="AO456" s="25">
        <v>14.985416666666653</v>
      </c>
      <c r="AP456" s="25">
        <v>11.120833333333335</v>
      </c>
      <c r="AQ456" s="25">
        <v>12.593749999999995</v>
      </c>
      <c r="AR456" s="25">
        <v>13.210416666666672</v>
      </c>
      <c r="AS456" s="25">
        <v>13.581249999999995</v>
      </c>
      <c r="AT456" s="25">
        <v>0.17581395348837212</v>
      </c>
      <c r="AU456" s="25">
        <v>0.10616666666666662</v>
      </c>
      <c r="AV456" s="25">
        <v>0.18747916666666653</v>
      </c>
      <c r="AW456" s="25">
        <v>-321.95957446808501</v>
      </c>
      <c r="AX456" s="25">
        <v>-217.75416666666672</v>
      </c>
      <c r="AY456" s="25">
        <v>-312.60208333333344</v>
      </c>
      <c r="AZ456" s="25"/>
      <c r="BA456" s="25">
        <v>-6797.666666666667</v>
      </c>
      <c r="BB456" s="25">
        <v>-802.84375</v>
      </c>
      <c r="BC456" s="25"/>
      <c r="BD456" s="25">
        <v>11.293750000000001</v>
      </c>
      <c r="BE456" s="25">
        <v>12.200000000000003</v>
      </c>
    </row>
    <row r="457" spans="1:57" x14ac:dyDescent="0.25">
      <c r="A457" s="1">
        <v>10.199999999999999</v>
      </c>
      <c r="B457" s="1">
        <v>5.0999999999999996</v>
      </c>
      <c r="C457" s="22"/>
      <c r="D457" s="23">
        <v>44164</v>
      </c>
      <c r="E457" s="24">
        <v>38.0625</v>
      </c>
      <c r="F457" s="24">
        <v>84.681250000000006</v>
      </c>
      <c r="G457" s="24">
        <v>6.9395833333333306</v>
      </c>
      <c r="H457" s="24">
        <v>0</v>
      </c>
      <c r="I457" s="24">
        <v>228.5625</v>
      </c>
      <c r="J457" s="24">
        <v>3.5</v>
      </c>
      <c r="K457" s="24">
        <v>2.0833333333333332E-2</v>
      </c>
      <c r="L457" s="24">
        <v>4.5062500000000005</v>
      </c>
      <c r="M457" s="10">
        <v>0.15959322968504611</v>
      </c>
      <c r="N457" s="25">
        <v>0.2324791666666669</v>
      </c>
      <c r="O457" s="25">
        <v>0.31752083333333336</v>
      </c>
      <c r="P457" s="25">
        <v>0.39527083333333307</v>
      </c>
      <c r="Q457" s="25">
        <v>0.41110416666666655</v>
      </c>
      <c r="R457" s="25">
        <v>0.39860416666666687</v>
      </c>
      <c r="S457" s="25">
        <v>0.31552083333333319</v>
      </c>
      <c r="T457" s="25">
        <v>0.32245833333333301</v>
      </c>
      <c r="U457" s="25">
        <v>0.28120833333333328</v>
      </c>
      <c r="V457" s="25">
        <v>-321.61041666666659</v>
      </c>
      <c r="W457" s="25"/>
      <c r="X457" s="25">
        <v>-199.16875000000005</v>
      </c>
      <c r="Y457" s="25">
        <v>-121.29375000000005</v>
      </c>
      <c r="Z457" s="25">
        <v>-258.86458333333337</v>
      </c>
      <c r="AA457" s="25">
        <v>-175.11875000000001</v>
      </c>
      <c r="AB457" s="25">
        <v>-135.61458333333334</v>
      </c>
      <c r="AC457" s="25">
        <v>-171.93958333333333</v>
      </c>
      <c r="AD457" s="25">
        <v>-1345.9375</v>
      </c>
      <c r="AE457" s="25">
        <v>-1009.0208333333334</v>
      </c>
      <c r="AF457" s="25">
        <v>-1075.0208333333333</v>
      </c>
      <c r="AG457" s="25">
        <v>-431.56874999999997</v>
      </c>
      <c r="AH457" s="25">
        <v>-651.15416666666658</v>
      </c>
      <c r="AI457" s="25">
        <v>-1147.0833333333333</v>
      </c>
      <c r="AJ457" s="25">
        <v>-1616.6875</v>
      </c>
      <c r="AK457" s="25">
        <v>-2506.4583333333335</v>
      </c>
      <c r="AL457" s="25">
        <v>12.06041666666667</v>
      </c>
      <c r="AM457" s="25">
        <v>13.212500000000013</v>
      </c>
      <c r="AN457" s="25">
        <v>14.150000000000004</v>
      </c>
      <c r="AO457" s="25">
        <v>14.652083333333337</v>
      </c>
      <c r="AP457" s="25">
        <v>11.074999999999996</v>
      </c>
      <c r="AQ457" s="25">
        <v>12.316666666666663</v>
      </c>
      <c r="AR457" s="25">
        <v>12.856249999999996</v>
      </c>
      <c r="AS457" s="25">
        <v>13.156250000000007</v>
      </c>
      <c r="AT457" s="25">
        <v>0.17444680851063826</v>
      </c>
      <c r="AU457" s="25">
        <v>0.10597916666666661</v>
      </c>
      <c r="AV457" s="25">
        <v>0.18695833333333331</v>
      </c>
      <c r="AW457" s="25">
        <v>-321.08958333333322</v>
      </c>
      <c r="AX457" s="25">
        <v>-226.0625</v>
      </c>
      <c r="AY457" s="25">
        <v>-314.70625000000001</v>
      </c>
      <c r="AZ457" s="25"/>
      <c r="BA457" s="25">
        <v>-6821.8125</v>
      </c>
      <c r="BB457" s="25">
        <v>-826.08333333333337</v>
      </c>
      <c r="BC457" s="25"/>
      <c r="BD457" s="25">
        <v>11.514583333333333</v>
      </c>
      <c r="BE457" s="25">
        <v>11.989583333333334</v>
      </c>
    </row>
    <row r="458" spans="1:57" x14ac:dyDescent="0.25">
      <c r="A458" s="1">
        <v>10.7</v>
      </c>
      <c r="B458" s="1">
        <v>3.9</v>
      </c>
      <c r="C458" s="22"/>
      <c r="D458" s="23">
        <v>44165</v>
      </c>
      <c r="E458" s="24">
        <v>50.6875</v>
      </c>
      <c r="F458" s="24">
        <v>84.17916666666666</v>
      </c>
      <c r="G458" s="24">
        <v>6.8604166666666657</v>
      </c>
      <c r="H458" s="24">
        <v>0.2</v>
      </c>
      <c r="I458" s="24">
        <v>242.29166666666666</v>
      </c>
      <c r="J458" s="24">
        <v>5.125</v>
      </c>
      <c r="K458" s="24">
        <v>8.3333333333333329E-2</v>
      </c>
      <c r="L458" s="24">
        <v>4.3125</v>
      </c>
      <c r="M458" s="10">
        <v>0.16817606623296277</v>
      </c>
      <c r="N458" s="25">
        <v>0.23229166666666681</v>
      </c>
      <c r="O458" s="25">
        <v>0.31635416666666699</v>
      </c>
      <c r="P458" s="25">
        <v>0.39412500000000006</v>
      </c>
      <c r="Q458" s="25">
        <v>0.40902083333333378</v>
      </c>
      <c r="R458" s="25">
        <v>0.39831250000000007</v>
      </c>
      <c r="S458" s="25">
        <v>0.31497916666666664</v>
      </c>
      <c r="T458" s="25">
        <v>0.3214999999999999</v>
      </c>
      <c r="U458" s="25">
        <v>0.2799791666666665</v>
      </c>
      <c r="V458" s="25">
        <v>-322.17499999999995</v>
      </c>
      <c r="W458" s="25"/>
      <c r="X458" s="25">
        <v>-207.09375000000009</v>
      </c>
      <c r="Y458" s="25">
        <v>-127.0604166666667</v>
      </c>
      <c r="Z458" s="25">
        <v>-259.18541666666675</v>
      </c>
      <c r="AA458" s="25">
        <v>-181.6895833333333</v>
      </c>
      <c r="AB458" s="25">
        <v>-141.49375000000001</v>
      </c>
      <c r="AC458" s="25">
        <v>-177.38541666666666</v>
      </c>
      <c r="AD458" s="25">
        <v>-1376.9375</v>
      </c>
      <c r="AE458" s="25">
        <v>-1025.25</v>
      </c>
      <c r="AF458" s="25">
        <v>-1117.3958333333333</v>
      </c>
      <c r="AG458" s="25">
        <v>-439.57916666666648</v>
      </c>
      <c r="AH458" s="25">
        <v>-688.65208333333328</v>
      </c>
      <c r="AI458" s="25">
        <v>-1152.5833333333333</v>
      </c>
      <c r="AJ458" s="25">
        <v>-1690.5416666666667</v>
      </c>
      <c r="AK458" s="25">
        <v>-2663.5625</v>
      </c>
      <c r="AL458" s="25">
        <v>12.002083333333339</v>
      </c>
      <c r="AM458" s="25">
        <v>13.049999999999997</v>
      </c>
      <c r="AN458" s="25">
        <v>13.920833333333315</v>
      </c>
      <c r="AO458" s="25">
        <v>14.410416666666649</v>
      </c>
      <c r="AP458" s="25">
        <v>11.139583333333334</v>
      </c>
      <c r="AQ458" s="25">
        <v>12.260416666666671</v>
      </c>
      <c r="AR458" s="25">
        <v>12.706250000000013</v>
      </c>
      <c r="AS458" s="25">
        <v>12.970833333333323</v>
      </c>
      <c r="AT458" s="25">
        <v>0.17322727272727281</v>
      </c>
      <c r="AU458" s="25">
        <v>0.10543333333333331</v>
      </c>
      <c r="AV458" s="25">
        <v>0.18664583333333337</v>
      </c>
      <c r="AW458" s="25">
        <v>-317.82916666666671</v>
      </c>
      <c r="AX458" s="25">
        <v>-236.5083333333333</v>
      </c>
      <c r="AY458" s="25">
        <v>-318.9791666666668</v>
      </c>
      <c r="AZ458" s="25"/>
      <c r="BA458" s="25">
        <v>-6920.416666666667</v>
      </c>
      <c r="BB458" s="25">
        <v>-854.375</v>
      </c>
      <c r="BC458" s="25"/>
      <c r="BD458" s="25">
        <v>11.549999999999999</v>
      </c>
      <c r="BE458" s="25">
        <v>11.899999999999999</v>
      </c>
    </row>
    <row r="459" spans="1:57" x14ac:dyDescent="0.25">
      <c r="A459" s="1">
        <v>6.3</v>
      </c>
      <c r="B459" s="1">
        <v>4.3</v>
      </c>
      <c r="C459" s="22"/>
      <c r="D459" s="23">
        <v>44166</v>
      </c>
      <c r="E459" s="24">
        <v>21.375</v>
      </c>
      <c r="F459" s="24">
        <v>93.862500000000011</v>
      </c>
      <c r="G459" s="24">
        <v>4.9979166666666659</v>
      </c>
      <c r="H459" s="24">
        <v>3.3000000000000012</v>
      </c>
      <c r="I459" s="24">
        <v>223.45833333333334</v>
      </c>
      <c r="J459" s="24">
        <v>4.833333333333333</v>
      </c>
      <c r="K459" s="24">
        <v>0.14583333333333334</v>
      </c>
      <c r="L459" s="24">
        <v>4.0916666666666677</v>
      </c>
      <c r="M459" s="10">
        <v>5.3689175891326095E-2</v>
      </c>
      <c r="N459" s="25">
        <v>0.23160416666666669</v>
      </c>
      <c r="O459" s="25">
        <v>0.31535416666666649</v>
      </c>
      <c r="P459" s="25">
        <v>0.39268749999999991</v>
      </c>
      <c r="Q459" s="25">
        <v>0.4076041666666666</v>
      </c>
      <c r="R459" s="25">
        <v>0.39668750000000047</v>
      </c>
      <c r="S459" s="25">
        <v>0.31410416666666668</v>
      </c>
      <c r="T459" s="25">
        <v>0.32079166666666664</v>
      </c>
      <c r="U459" s="25">
        <v>0.27833333333333354</v>
      </c>
      <c r="V459" s="25">
        <v>-321</v>
      </c>
      <c r="W459" s="25"/>
      <c r="X459" s="25">
        <v>-213.58124999999998</v>
      </c>
      <c r="Y459" s="25">
        <v>-132.7729166666667</v>
      </c>
      <c r="Z459" s="25">
        <v>-260.79166666666669</v>
      </c>
      <c r="AA459" s="25">
        <v>-187.95833333333337</v>
      </c>
      <c r="AB459" s="25">
        <v>-147.00416666666666</v>
      </c>
      <c r="AC459" s="25">
        <v>-181.98749999999998</v>
      </c>
      <c r="AD459" s="25">
        <v>-1400.6458333333333</v>
      </c>
      <c r="AE459" s="25">
        <v>-1026.875</v>
      </c>
      <c r="AF459" s="25">
        <v>-1126.0208333333333</v>
      </c>
      <c r="AG459" s="25">
        <v>-442.08749999999992</v>
      </c>
      <c r="AH459" s="25">
        <v>-673.56874999999957</v>
      </c>
      <c r="AI459" s="25">
        <v>-1161.2916666666667</v>
      </c>
      <c r="AJ459" s="25">
        <v>-1743.2916666666667</v>
      </c>
      <c r="AK459" s="25">
        <v>-2752.4583333333335</v>
      </c>
      <c r="AL459" s="25">
        <v>11.78125</v>
      </c>
      <c r="AM459" s="25">
        <v>12.893749999999997</v>
      </c>
      <c r="AN459" s="25">
        <v>13.700000000000001</v>
      </c>
      <c r="AO459" s="25">
        <v>14.229166666666673</v>
      </c>
      <c r="AP459" s="25">
        <v>10.793749999999998</v>
      </c>
      <c r="AQ459" s="25">
        <v>12.11458333333333</v>
      </c>
      <c r="AR459" s="25">
        <v>12.570833333333331</v>
      </c>
      <c r="AS459" s="25">
        <v>12.812500000000009</v>
      </c>
      <c r="AT459" s="25">
        <v>0.17479166666666671</v>
      </c>
      <c r="AU459" s="25">
        <v>0.11131249999999994</v>
      </c>
      <c r="AV459" s="25">
        <v>0.20879166666666679</v>
      </c>
      <c r="AW459" s="25">
        <v>-309.90208333333334</v>
      </c>
      <c r="AX459" s="25">
        <v>-248.92500000000004</v>
      </c>
      <c r="AY459" s="25">
        <v>-322.08125000000024</v>
      </c>
      <c r="AZ459" s="25"/>
      <c r="BA459" s="25">
        <v>-7046.229166666667</v>
      </c>
      <c r="BB459" s="25">
        <v>-863.35416666666663</v>
      </c>
      <c r="BC459" s="25"/>
      <c r="BD459" s="25">
        <v>10.897916666666667</v>
      </c>
      <c r="BE459" s="25">
        <v>11.447916666666664</v>
      </c>
    </row>
    <row r="460" spans="1:57" x14ac:dyDescent="0.25">
      <c r="A460" s="1">
        <v>5.0999999999999996</v>
      </c>
      <c r="B460" s="1">
        <v>3.7</v>
      </c>
      <c r="C460" s="22"/>
      <c r="D460" s="23">
        <v>44167</v>
      </c>
      <c r="E460" s="24">
        <v>16.875</v>
      </c>
      <c r="F460" s="24">
        <v>94.05625000000002</v>
      </c>
      <c r="G460" s="24">
        <v>4.4249999999999998</v>
      </c>
      <c r="H460" s="24">
        <v>1.7</v>
      </c>
      <c r="I460" s="24">
        <v>198.52083333333334</v>
      </c>
      <c r="J460" s="24">
        <v>3.1458333333333335</v>
      </c>
      <c r="K460" s="24">
        <v>0</v>
      </c>
      <c r="L460" s="24">
        <v>3.5437500000000006</v>
      </c>
      <c r="M460" s="10">
        <v>4.9462761851259064E-2</v>
      </c>
      <c r="N460" s="25">
        <v>0.23095833333333327</v>
      </c>
      <c r="O460" s="25">
        <v>0.31347916666666686</v>
      </c>
      <c r="P460" s="25">
        <v>0.39066666666666688</v>
      </c>
      <c r="Q460" s="25">
        <v>0.40583333333333355</v>
      </c>
      <c r="R460" s="25">
        <v>0.39497916666666621</v>
      </c>
      <c r="S460" s="25">
        <v>0.31297916666666686</v>
      </c>
      <c r="T460" s="25">
        <v>0.31956250000000042</v>
      </c>
      <c r="U460" s="25">
        <v>0.27716666666666645</v>
      </c>
      <c r="V460" s="25">
        <v>-316.84375000000006</v>
      </c>
      <c r="W460" s="25"/>
      <c r="X460" s="25">
        <v>-222.03958333333324</v>
      </c>
      <c r="Y460" s="25">
        <v>-139.52708333333328</v>
      </c>
      <c r="Z460" s="25">
        <v>-262.64791666666667</v>
      </c>
      <c r="AA460" s="25">
        <v>-195.07916666666662</v>
      </c>
      <c r="AB460" s="25">
        <v>-153.31041666666667</v>
      </c>
      <c r="AC460" s="25">
        <v>-187.96458333333331</v>
      </c>
      <c r="AD460" s="25">
        <v>-1443.8333333333333</v>
      </c>
      <c r="AE460" s="25">
        <v>-1044.1666666666667</v>
      </c>
      <c r="AF460" s="25">
        <v>-1128.3958333333333</v>
      </c>
      <c r="AG460" s="25">
        <v>-442.86041666666659</v>
      </c>
      <c r="AH460" s="25">
        <v>-610.80833333333328</v>
      </c>
      <c r="AI460" s="25">
        <v>-1192.125</v>
      </c>
      <c r="AJ460" s="25">
        <v>-1809.6458333333333</v>
      </c>
      <c r="AK460" s="25">
        <v>-3010.7291666666665</v>
      </c>
      <c r="AL460" s="25">
        <v>11.183333333333342</v>
      </c>
      <c r="AM460" s="25">
        <v>12.493749999999986</v>
      </c>
      <c r="AN460" s="25">
        <v>13.416666666666655</v>
      </c>
      <c r="AO460" s="25">
        <v>13.99791666666666</v>
      </c>
      <c r="AP460" s="25">
        <v>10.018749999999999</v>
      </c>
      <c r="AQ460" s="25">
        <v>11.53958333333332</v>
      </c>
      <c r="AR460" s="25">
        <v>12.120833333333332</v>
      </c>
      <c r="AS460" s="25">
        <v>12.41041666666667</v>
      </c>
      <c r="AT460" s="25">
        <v>0.18139130434782599</v>
      </c>
      <c r="AU460" s="25">
        <v>0.12060416666666673</v>
      </c>
      <c r="AV460" s="25">
        <v>0.21712500000000012</v>
      </c>
      <c r="AW460" s="25">
        <v>-305.13541666666686</v>
      </c>
      <c r="AX460" s="25">
        <v>-248.38125000000002</v>
      </c>
      <c r="AY460" s="25">
        <v>-320.42291666666665</v>
      </c>
      <c r="AZ460" s="25"/>
      <c r="BA460" s="25">
        <v>-6654.395833333333</v>
      </c>
      <c r="BB460" s="25">
        <v>-844.6875</v>
      </c>
      <c r="BC460" s="25"/>
      <c r="BD460" s="25">
        <v>10.28333333333333</v>
      </c>
      <c r="BE460" s="25">
        <v>10.947916666666664</v>
      </c>
    </row>
    <row r="461" spans="1:57" x14ac:dyDescent="0.25">
      <c r="A461" s="1">
        <v>5.3</v>
      </c>
      <c r="B461" s="1">
        <v>2.2999999999999998</v>
      </c>
      <c r="C461" s="22"/>
      <c r="D461" s="23">
        <v>44168</v>
      </c>
      <c r="E461" s="24">
        <v>33.270833333333336</v>
      </c>
      <c r="F461" s="24">
        <v>88.816666666666663</v>
      </c>
      <c r="G461" s="24">
        <v>3.5666666666666678</v>
      </c>
      <c r="H461" s="24">
        <v>0</v>
      </c>
      <c r="I461" s="24">
        <v>194.16666666666666</v>
      </c>
      <c r="J461" s="24">
        <v>4.645833333333333</v>
      </c>
      <c r="K461" s="24">
        <v>6.25E-2</v>
      </c>
      <c r="L461" s="24">
        <v>1.8833333333333326</v>
      </c>
      <c r="M461" s="10">
        <v>8.9225015428366292E-2</v>
      </c>
      <c r="N461" s="25">
        <v>0.22981250000000017</v>
      </c>
      <c r="O461" s="25">
        <v>0.3111458333333334</v>
      </c>
      <c r="P461" s="25">
        <v>0.38827083333333351</v>
      </c>
      <c r="Q461" s="25">
        <v>0.40352083333333327</v>
      </c>
      <c r="R461" s="25">
        <v>0.39320833333333366</v>
      </c>
      <c r="S461" s="25">
        <v>0.31193749999999987</v>
      </c>
      <c r="T461" s="25">
        <v>0.31870833333333337</v>
      </c>
      <c r="U461" s="25">
        <v>0.27697916666666644</v>
      </c>
      <c r="V461" s="25">
        <v>-314.3</v>
      </c>
      <c r="W461" s="25"/>
      <c r="X461" s="25">
        <v>-230.7833333333333</v>
      </c>
      <c r="Y461" s="25">
        <v>-146.80208333333334</v>
      </c>
      <c r="Z461" s="25">
        <v>-262.41458333333338</v>
      </c>
      <c r="AA461" s="25">
        <v>-201.35833333333323</v>
      </c>
      <c r="AB461" s="25">
        <v>-159.91875000000002</v>
      </c>
      <c r="AC461" s="25">
        <v>-193.58958333333328</v>
      </c>
      <c r="AD461" s="25">
        <v>-1468.6875</v>
      </c>
      <c r="AE461" s="25">
        <v>-1060.5833333333333</v>
      </c>
      <c r="AF461" s="25">
        <v>-1153.75</v>
      </c>
      <c r="AG461" s="25">
        <v>-444.52499999999986</v>
      </c>
      <c r="AH461" s="25">
        <v>-576.35624999999993</v>
      </c>
      <c r="AI461" s="25">
        <v>-1229.6875</v>
      </c>
      <c r="AJ461" s="25">
        <v>-1945.7291666666667</v>
      </c>
      <c r="AK461" s="25">
        <v>-3325.6041666666665</v>
      </c>
      <c r="AL461" s="25">
        <v>10.670833333333334</v>
      </c>
      <c r="AM461" s="25">
        <v>12.072916666666664</v>
      </c>
      <c r="AN461" s="25">
        <v>13.05833333333333</v>
      </c>
      <c r="AO461" s="25">
        <v>13.639583333333336</v>
      </c>
      <c r="AP461" s="25">
        <v>9.3770833333333332</v>
      </c>
      <c r="AQ461" s="25">
        <v>11.006249999999989</v>
      </c>
      <c r="AR461" s="25">
        <v>11.643750000000002</v>
      </c>
      <c r="AS461" s="25">
        <v>11.964583333333325</v>
      </c>
      <c r="AT461" s="25">
        <v>0.18299999999999991</v>
      </c>
      <c r="AU461" s="25">
        <v>0.11970212765957451</v>
      </c>
      <c r="AV461" s="25">
        <v>0.21418750000000006</v>
      </c>
      <c r="AW461" s="25">
        <v>-302.37916666666678</v>
      </c>
      <c r="AX461" s="25">
        <v>-241.18125000000001</v>
      </c>
      <c r="AY461" s="25">
        <v>-317.79791666666659</v>
      </c>
      <c r="AZ461" s="25"/>
      <c r="BA461" s="25">
        <v>-5917.916666666667</v>
      </c>
      <c r="BB461" s="25">
        <v>-784.03750000000002</v>
      </c>
      <c r="BC461" s="25"/>
      <c r="BD461" s="25">
        <v>9.7979166666666622</v>
      </c>
      <c r="BE461" s="25">
        <v>10.391666666666666</v>
      </c>
    </row>
    <row r="462" spans="1:57" x14ac:dyDescent="0.25">
      <c r="A462" s="1">
        <v>4.4000000000000004</v>
      </c>
      <c r="B462" s="1">
        <v>1</v>
      </c>
      <c r="C462" s="22"/>
      <c r="D462" s="23">
        <v>44169</v>
      </c>
      <c r="E462" s="24">
        <v>40.854166666666664</v>
      </c>
      <c r="F462" s="24">
        <v>85.8020833333333</v>
      </c>
      <c r="G462" s="24">
        <v>2.4270833333333335</v>
      </c>
      <c r="H462" s="24">
        <v>0</v>
      </c>
      <c r="I462" s="24">
        <v>230.35416666666666</v>
      </c>
      <c r="J462" s="24">
        <v>5.041666666666667</v>
      </c>
      <c r="K462" s="24">
        <v>2.0833333333333332E-2</v>
      </c>
      <c r="L462" s="24">
        <v>0.27083333333333331</v>
      </c>
      <c r="M462" s="10">
        <v>0.10576716621289545</v>
      </c>
      <c r="N462" s="25">
        <v>0.22885416666666644</v>
      </c>
      <c r="O462" s="25">
        <v>0.30939583333333298</v>
      </c>
      <c r="P462" s="25">
        <v>0.38597916666666671</v>
      </c>
      <c r="Q462" s="25">
        <v>0.40122916666666636</v>
      </c>
      <c r="R462" s="25">
        <v>0.39139583333333317</v>
      </c>
      <c r="S462" s="25">
        <v>0.3104583333333335</v>
      </c>
      <c r="T462" s="25">
        <v>0.31756249999999997</v>
      </c>
      <c r="U462" s="25">
        <v>0.27618749999999992</v>
      </c>
      <c r="V462" s="25">
        <v>-314.32916666666682</v>
      </c>
      <c r="W462" s="25"/>
      <c r="X462" s="25">
        <v>-237.65000000000006</v>
      </c>
      <c r="Y462" s="25">
        <v>-153.90208333333337</v>
      </c>
      <c r="Z462" s="25">
        <v>-260.72499999999997</v>
      </c>
      <c r="AA462" s="25">
        <v>-205.85624999999996</v>
      </c>
      <c r="AB462" s="25">
        <v>-165.60833333333329</v>
      </c>
      <c r="AC462" s="25">
        <v>-198.1458333333334</v>
      </c>
      <c r="AD462" s="25">
        <v>-1492.4583333333333</v>
      </c>
      <c r="AE462" s="25">
        <v>-1069.5833333333333</v>
      </c>
      <c r="AF462" s="25">
        <v>-1189.5625</v>
      </c>
      <c r="AG462" s="25">
        <v>-447.41666666666674</v>
      </c>
      <c r="AH462" s="25">
        <v>-553.53750000000002</v>
      </c>
      <c r="AI462" s="25">
        <v>-1283.1875</v>
      </c>
      <c r="AJ462" s="25">
        <v>-2074.8541666666665</v>
      </c>
      <c r="AK462" s="25">
        <v>-3585.6666666666665</v>
      </c>
      <c r="AL462" s="25">
        <v>10.129166666666666</v>
      </c>
      <c r="AM462" s="25">
        <v>11.656250000000005</v>
      </c>
      <c r="AN462" s="25">
        <v>12.718750000000007</v>
      </c>
      <c r="AO462" s="25">
        <v>13.327083333333343</v>
      </c>
      <c r="AP462" s="25">
        <v>8.7937499999999993</v>
      </c>
      <c r="AQ462" s="25">
        <v>10.52499999999999</v>
      </c>
      <c r="AR462" s="25">
        <v>11.218750000000009</v>
      </c>
      <c r="AS462" s="25">
        <v>11.556249999999991</v>
      </c>
      <c r="AT462" s="25">
        <v>0.18218181818181819</v>
      </c>
      <c r="AU462" s="25">
        <v>0.11655555555555559</v>
      </c>
      <c r="AV462" s="25">
        <v>0.20906250000000001</v>
      </c>
      <c r="AW462" s="25">
        <v>-300.48541666666682</v>
      </c>
      <c r="AX462" s="25">
        <v>-233.58749999999995</v>
      </c>
      <c r="AY462" s="25">
        <v>-313.74375000000003</v>
      </c>
      <c r="AZ462" s="25"/>
      <c r="BA462" s="25">
        <v>-5639.0625</v>
      </c>
      <c r="BB462" s="25">
        <v>-727.05416666666667</v>
      </c>
      <c r="BC462" s="25"/>
      <c r="BD462" s="25">
        <v>9.2229166666666647</v>
      </c>
      <c r="BE462" s="25">
        <v>9.7312499999999975</v>
      </c>
    </row>
    <row r="463" spans="1:57" x14ac:dyDescent="0.25">
      <c r="A463" s="1">
        <v>10</v>
      </c>
      <c r="B463" s="1">
        <v>0.8</v>
      </c>
      <c r="C463" s="22"/>
      <c r="D463" s="23">
        <v>44170</v>
      </c>
      <c r="E463" s="24">
        <v>63.020833333333336</v>
      </c>
      <c r="F463" s="24">
        <v>84.556249999999991</v>
      </c>
      <c r="G463" s="24">
        <v>4.147916666666668</v>
      </c>
      <c r="H463" s="24">
        <v>0</v>
      </c>
      <c r="I463" s="24">
        <v>234.5</v>
      </c>
      <c r="J463" s="24">
        <v>5.1875</v>
      </c>
      <c r="K463" s="24">
        <v>0.125</v>
      </c>
      <c r="L463" s="24">
        <v>1.6854166666666666</v>
      </c>
      <c r="M463" s="10">
        <v>0.14162671274732402</v>
      </c>
      <c r="N463" s="25">
        <v>0.2284166666666666</v>
      </c>
      <c r="O463" s="25">
        <v>0.30756250000000013</v>
      </c>
      <c r="P463" s="25">
        <v>0.38443750000000015</v>
      </c>
      <c r="Q463" s="25">
        <v>0.39897916666666688</v>
      </c>
      <c r="R463" s="25">
        <v>0.3906666666666665</v>
      </c>
      <c r="S463" s="25">
        <v>0.30974999999999991</v>
      </c>
      <c r="T463" s="25">
        <v>0.31645833333333367</v>
      </c>
      <c r="U463" s="25">
        <v>0.27502083333333355</v>
      </c>
      <c r="V463" s="25">
        <v>-318.7270833333335</v>
      </c>
      <c r="W463" s="25"/>
      <c r="X463" s="25">
        <v>-244.05833333333337</v>
      </c>
      <c r="Y463" s="25">
        <v>-160.47499999999999</v>
      </c>
      <c r="Z463" s="25">
        <v>-256.24999999999994</v>
      </c>
      <c r="AA463" s="25">
        <v>-209.69166666666669</v>
      </c>
      <c r="AB463" s="25">
        <v>-170.89375000000004</v>
      </c>
      <c r="AC463" s="25">
        <v>-202.70000000000002</v>
      </c>
      <c r="AD463" s="25">
        <v>-1489.2708333333333</v>
      </c>
      <c r="AE463" s="25">
        <v>-1079.6666666666667</v>
      </c>
      <c r="AF463" s="25">
        <v>-1243.3333333333333</v>
      </c>
      <c r="AG463" s="25">
        <v>-451.39791666666662</v>
      </c>
      <c r="AH463" s="25">
        <v>-561.88541666666663</v>
      </c>
      <c r="AI463" s="25">
        <v>-1305.75</v>
      </c>
      <c r="AJ463" s="25">
        <v>-2140.4166666666665</v>
      </c>
      <c r="AK463" s="25">
        <v>-4008.4583333333335</v>
      </c>
      <c r="AL463" s="25">
        <v>9.918749999999994</v>
      </c>
      <c r="AM463" s="25">
        <v>11.3125</v>
      </c>
      <c r="AN463" s="25">
        <v>12.381249999999996</v>
      </c>
      <c r="AO463" s="25">
        <v>13.002083333333324</v>
      </c>
      <c r="AP463" s="25">
        <v>8.7937499999999993</v>
      </c>
      <c r="AQ463" s="25">
        <v>10.195833333333329</v>
      </c>
      <c r="AR463" s="25">
        <v>10.837499999999999</v>
      </c>
      <c r="AS463" s="25">
        <v>11.162500000000007</v>
      </c>
      <c r="AT463" s="25">
        <v>0.18172093023255825</v>
      </c>
      <c r="AU463" s="25">
        <v>0.11411111111111108</v>
      </c>
      <c r="AV463" s="25">
        <v>0.20556250000000001</v>
      </c>
      <c r="AW463" s="25">
        <v>-304.52708333333334</v>
      </c>
      <c r="AX463" s="25">
        <v>-226.36458333333346</v>
      </c>
      <c r="AY463" s="25">
        <v>-309.95833333333326</v>
      </c>
      <c r="AZ463" s="25"/>
      <c r="BA463" s="25">
        <v>-5458.25</v>
      </c>
      <c r="BB463" s="25">
        <v>-722.11250000000007</v>
      </c>
      <c r="BC463" s="25"/>
      <c r="BD463" s="25">
        <v>9.5437500000000011</v>
      </c>
      <c r="BE463" s="25">
        <v>9.7916666666666643</v>
      </c>
    </row>
    <row r="464" spans="1:57" x14ac:dyDescent="0.25">
      <c r="A464" s="1">
        <v>6.5</v>
      </c>
      <c r="B464" s="1">
        <v>3.2</v>
      </c>
      <c r="C464" s="22"/>
      <c r="D464" s="23">
        <v>44171</v>
      </c>
      <c r="E464" s="24">
        <v>19</v>
      </c>
      <c r="F464" s="24">
        <v>95.495833333333294</v>
      </c>
      <c r="G464" s="24">
        <v>4.8937499999999989</v>
      </c>
      <c r="H464" s="24">
        <v>1.5999999999999999</v>
      </c>
      <c r="I464" s="24">
        <v>209.04166666666666</v>
      </c>
      <c r="J464" s="24">
        <v>4.25</v>
      </c>
      <c r="K464" s="24">
        <v>0.125</v>
      </c>
      <c r="L464" s="24">
        <v>4.2354166666666675</v>
      </c>
      <c r="M464" s="10">
        <v>3.9172739305235654E-2</v>
      </c>
      <c r="N464" s="25">
        <v>0.22968750000000024</v>
      </c>
      <c r="O464" s="25">
        <v>0.30799999999999988</v>
      </c>
      <c r="P464" s="25">
        <v>0.38412500000000022</v>
      </c>
      <c r="Q464" s="25">
        <v>0.39799999999999985</v>
      </c>
      <c r="R464" s="25">
        <v>0.39193749999999977</v>
      </c>
      <c r="S464" s="25">
        <v>0.30931249999999977</v>
      </c>
      <c r="T464" s="25">
        <v>0.31600000000000028</v>
      </c>
      <c r="U464" s="25">
        <v>0.27358333333333329</v>
      </c>
      <c r="V464" s="25">
        <v>-322.83125000000013</v>
      </c>
      <c r="W464" s="25"/>
      <c r="X464" s="25">
        <v>-247.19166666666661</v>
      </c>
      <c r="Y464" s="25">
        <v>-167.4</v>
      </c>
      <c r="Z464" s="25">
        <v>-250.21458333333337</v>
      </c>
      <c r="AA464" s="25">
        <v>-211.36041666666677</v>
      </c>
      <c r="AB464" s="25">
        <v>-174.63958333333332</v>
      </c>
      <c r="AC464" s="25">
        <v>-204.6479166666667</v>
      </c>
      <c r="AD464" s="25">
        <v>-1468.7916666666667</v>
      </c>
      <c r="AE464" s="25">
        <v>-1078.1875</v>
      </c>
      <c r="AF464" s="25">
        <v>-1257.25</v>
      </c>
      <c r="AG464" s="25">
        <v>-455.5187499999999</v>
      </c>
      <c r="AH464" s="25">
        <v>-619.87291666666681</v>
      </c>
      <c r="AI464" s="25">
        <v>-1271.3125</v>
      </c>
      <c r="AJ464" s="25">
        <v>-2166.3958333333335</v>
      </c>
      <c r="AK464" s="25">
        <v>-4102.5625</v>
      </c>
      <c r="AL464" s="25">
        <v>10.295833333333325</v>
      </c>
      <c r="AM464" s="25">
        <v>11.366666666666667</v>
      </c>
      <c r="AN464" s="25">
        <v>12.235416666666667</v>
      </c>
      <c r="AO464" s="25">
        <v>12.797916666666667</v>
      </c>
      <c r="AP464" s="25">
        <v>9.2895833333333311</v>
      </c>
      <c r="AQ464" s="25">
        <v>10.522916666666672</v>
      </c>
      <c r="AR464" s="25">
        <v>10.947916666666659</v>
      </c>
      <c r="AS464" s="25">
        <v>11.197916666666663</v>
      </c>
      <c r="AT464" s="25">
        <v>0.18262499999999984</v>
      </c>
      <c r="AU464" s="25">
        <v>0.11309756097560979</v>
      </c>
      <c r="AV464" s="25">
        <v>0.20395833333333335</v>
      </c>
      <c r="AW464" s="25">
        <v>-307.28333333333336</v>
      </c>
      <c r="AX464" s="25">
        <v>-226.76666666666665</v>
      </c>
      <c r="AY464" s="25">
        <v>-314.42291666666688</v>
      </c>
      <c r="AZ464" s="25"/>
      <c r="BA464" s="25">
        <v>-5201</v>
      </c>
      <c r="BB464" s="25">
        <v>-788.33750000000009</v>
      </c>
      <c r="BC464" s="25"/>
      <c r="BD464" s="25">
        <v>9.9854166666666675</v>
      </c>
      <c r="BE464" s="25">
        <v>10.058333333333332</v>
      </c>
    </row>
    <row r="465" spans="1:57" x14ac:dyDescent="0.25">
      <c r="A465" s="1">
        <v>4.8</v>
      </c>
      <c r="B465" s="1">
        <v>2.9</v>
      </c>
      <c r="C465" s="22"/>
      <c r="D465" s="23">
        <v>44172</v>
      </c>
      <c r="E465" s="24">
        <v>16.041666666666668</v>
      </c>
      <c r="F465" s="24">
        <v>93.541666666666671</v>
      </c>
      <c r="G465" s="24">
        <v>3.7520833333333328</v>
      </c>
      <c r="H465" s="24">
        <v>0.4</v>
      </c>
      <c r="I465" s="24">
        <v>175.58333333333334</v>
      </c>
      <c r="J465" s="24">
        <v>2.1666666666666665</v>
      </c>
      <c r="K465" s="24">
        <v>0</v>
      </c>
      <c r="L465" s="24">
        <v>2.8020833333333344</v>
      </c>
      <c r="M465" s="10">
        <v>5.2330993928497133E-2</v>
      </c>
      <c r="N465" s="25">
        <v>0.22912499999999983</v>
      </c>
      <c r="O465" s="25">
        <v>0.30697916666666675</v>
      </c>
      <c r="P465" s="25">
        <v>0.38349999999999967</v>
      </c>
      <c r="Q465" s="25">
        <v>0.39697916666666683</v>
      </c>
      <c r="R465" s="25">
        <v>0.39106249999999987</v>
      </c>
      <c r="S465" s="25">
        <v>0.30902083333333302</v>
      </c>
      <c r="T465" s="25">
        <v>0.31577083333333344</v>
      </c>
      <c r="U465" s="25">
        <v>0.27333333333333326</v>
      </c>
      <c r="V465" s="25">
        <v>-319.35208333333333</v>
      </c>
      <c r="W465" s="25"/>
      <c r="X465" s="25">
        <v>-251.22499999999999</v>
      </c>
      <c r="Y465" s="25">
        <v>-174.65625</v>
      </c>
      <c r="Z465" s="25">
        <v>-250.9354166666667</v>
      </c>
      <c r="AA465" s="25">
        <v>-213.69791666666674</v>
      </c>
      <c r="AB465" s="25">
        <v>-178.66874999999996</v>
      </c>
      <c r="AC465" s="25">
        <v>-207.78541666666661</v>
      </c>
      <c r="AD465" s="25">
        <v>-1479.6666666666667</v>
      </c>
      <c r="AE465" s="25">
        <v>-1078.1666666666667</v>
      </c>
      <c r="AF465" s="25">
        <v>-1261.5833333333333</v>
      </c>
      <c r="AG465" s="25">
        <v>-457.80208333333343</v>
      </c>
      <c r="AH465" s="25">
        <v>-565.70624999999995</v>
      </c>
      <c r="AI465" s="25">
        <v>-1291.6875</v>
      </c>
      <c r="AJ465" s="25">
        <v>-2225.7916666666665</v>
      </c>
      <c r="AK465" s="25">
        <v>-4333.270833333333</v>
      </c>
      <c r="AL465" s="25">
        <v>9.9145833333333293</v>
      </c>
      <c r="AM465" s="25">
        <v>11.206250000000004</v>
      </c>
      <c r="AN465" s="25">
        <v>12.120833333333339</v>
      </c>
      <c r="AO465" s="25">
        <v>12.670833333333334</v>
      </c>
      <c r="AP465" s="25">
        <v>8.7895833333333275</v>
      </c>
      <c r="AQ465" s="25">
        <v>10.266666666666664</v>
      </c>
      <c r="AR465" s="25">
        <v>10.789583333333331</v>
      </c>
      <c r="AS465" s="25">
        <v>11.027083333333325</v>
      </c>
      <c r="AT465" s="25">
        <v>0.18447916666666656</v>
      </c>
      <c r="AU465" s="25">
        <v>0.11583333333333339</v>
      </c>
      <c r="AV465" s="25">
        <v>0.20445833333333349</v>
      </c>
      <c r="AW465" s="25">
        <v>-302.39374999999995</v>
      </c>
      <c r="AX465" s="25">
        <v>-226.21249999999995</v>
      </c>
      <c r="AY465" s="25">
        <v>-314.24166666666662</v>
      </c>
      <c r="AZ465" s="25"/>
      <c r="BA465" s="25">
        <v>-5357.041666666667</v>
      </c>
      <c r="BB465" s="25">
        <v>-792.99999999999989</v>
      </c>
      <c r="BC465" s="25"/>
      <c r="BD465" s="25">
        <v>9.3000000000000007</v>
      </c>
      <c r="BE465" s="25">
        <v>9.6458333333333339</v>
      </c>
    </row>
    <row r="466" spans="1:57" x14ac:dyDescent="0.25">
      <c r="A466" s="1">
        <v>8.5</v>
      </c>
      <c r="B466" s="1">
        <v>2.2000000000000002</v>
      </c>
      <c r="C466" s="22"/>
      <c r="D466" s="23">
        <v>44173</v>
      </c>
      <c r="E466" s="24">
        <v>57.666666666666664</v>
      </c>
      <c r="F466" s="24">
        <v>88.177083333333329</v>
      </c>
      <c r="G466" s="24">
        <v>5.1854166666666677</v>
      </c>
      <c r="H466" s="24">
        <v>0</v>
      </c>
      <c r="I466" s="24">
        <v>254.83333333333334</v>
      </c>
      <c r="J466" s="24">
        <v>4.416666666666667</v>
      </c>
      <c r="K466" s="24">
        <v>2.0833333333333332E-2</v>
      </c>
      <c r="L466" s="24">
        <v>3.337499999999999</v>
      </c>
      <c r="M466" s="10">
        <v>0.11148891545583965</v>
      </c>
      <c r="N466" s="25">
        <v>0.22929166666666681</v>
      </c>
      <c r="O466" s="25">
        <v>0.30566666666666636</v>
      </c>
      <c r="P466" s="25">
        <v>0.38204166666666667</v>
      </c>
      <c r="Q466" s="25">
        <v>0.39547916666666644</v>
      </c>
      <c r="R466" s="25">
        <v>0.39077083333333323</v>
      </c>
      <c r="S466" s="25">
        <v>0.3085833333333331</v>
      </c>
      <c r="T466" s="25">
        <v>0.31499999999999989</v>
      </c>
      <c r="U466" s="25">
        <v>0.2729791666666665</v>
      </c>
      <c r="V466" s="25">
        <v>-321.39791666666673</v>
      </c>
      <c r="W466" s="25"/>
      <c r="X466" s="25">
        <v>-255.04375000000002</v>
      </c>
      <c r="Y466" s="25">
        <v>-181.89791666666667</v>
      </c>
      <c r="Z466" s="25">
        <v>-246.57291666666654</v>
      </c>
      <c r="AA466" s="25">
        <v>-215.08125000000007</v>
      </c>
      <c r="AB466" s="25">
        <v>-182.20416666666674</v>
      </c>
      <c r="AC466" s="25">
        <v>-210.57291666666663</v>
      </c>
      <c r="AD466" s="25">
        <v>-1469.875</v>
      </c>
      <c r="AE466" s="25">
        <v>-1083.0416666666667</v>
      </c>
      <c r="AF466" s="25">
        <v>-1274.3958333333333</v>
      </c>
      <c r="AG466" s="25">
        <v>-461.0625</v>
      </c>
      <c r="AH466" s="25">
        <v>-557.82499999999993</v>
      </c>
      <c r="AI466" s="25">
        <v>-1303.8125</v>
      </c>
      <c r="AJ466" s="25">
        <v>-2314.8541666666665</v>
      </c>
      <c r="AK466" s="25">
        <v>-4640.4375</v>
      </c>
      <c r="AL466" s="25">
        <v>9.8437499999999964</v>
      </c>
      <c r="AM466" s="25">
        <v>11.004166666666663</v>
      </c>
      <c r="AN466" s="25">
        <v>11.937499999999988</v>
      </c>
      <c r="AO466" s="25">
        <v>12.49166666666666</v>
      </c>
      <c r="AP466" s="25">
        <v>8.8562499999999993</v>
      </c>
      <c r="AQ466" s="25">
        <v>10.027083333333335</v>
      </c>
      <c r="AR466" s="25">
        <v>10.54166666666667</v>
      </c>
      <c r="AS466" s="25">
        <v>10.783333333333333</v>
      </c>
      <c r="AT466" s="25">
        <v>0.18452083333333325</v>
      </c>
      <c r="AU466" s="25">
        <v>0.11491666666666676</v>
      </c>
      <c r="AV466" s="25">
        <v>0.2038541666666667</v>
      </c>
      <c r="AW466" s="25">
        <v>-305.62500000000011</v>
      </c>
      <c r="AX466" s="25">
        <v>-222.40208333333337</v>
      </c>
      <c r="AY466" s="25">
        <v>-313.19791666666674</v>
      </c>
      <c r="AZ466" s="25"/>
      <c r="BA466" s="25">
        <v>-5044.625</v>
      </c>
      <c r="BB466" s="25">
        <v>-787.12083333333294</v>
      </c>
      <c r="BC466" s="25"/>
      <c r="BD466" s="25">
        <v>9.783333333333335</v>
      </c>
      <c r="BE466" s="25">
        <v>9.7708333333333304</v>
      </c>
    </row>
    <row r="467" spans="1:57" x14ac:dyDescent="0.25">
      <c r="A467" s="1">
        <v>8.1</v>
      </c>
      <c r="B467" s="1">
        <v>4</v>
      </c>
      <c r="C467" s="22"/>
      <c r="D467" s="23">
        <v>44174</v>
      </c>
      <c r="E467" s="24">
        <v>13.625</v>
      </c>
      <c r="F467" s="24">
        <v>96.233333333333348</v>
      </c>
      <c r="G467" s="24">
        <v>6.4041666666666694</v>
      </c>
      <c r="H467" s="24">
        <v>3.0000000000000004</v>
      </c>
      <c r="I467" s="24">
        <v>224.41666666666666</v>
      </c>
      <c r="J467" s="24">
        <v>3.2916666666666665</v>
      </c>
      <c r="K467" s="24">
        <v>2.0833333333333332E-2</v>
      </c>
      <c r="L467" s="24">
        <v>5.8333333333333357</v>
      </c>
      <c r="M467" s="10">
        <v>3.6257540217340851E-2</v>
      </c>
      <c r="N467" s="25">
        <v>0.23043750000000005</v>
      </c>
      <c r="O467" s="25">
        <v>0.30629166666666668</v>
      </c>
      <c r="P467" s="25">
        <v>0.38243749999999982</v>
      </c>
      <c r="Q467" s="25">
        <v>0.39499999999999974</v>
      </c>
      <c r="R467" s="25">
        <v>0.39235416666666684</v>
      </c>
      <c r="S467" s="25">
        <v>0.30810416666666657</v>
      </c>
      <c r="T467" s="25">
        <v>0.31499999999999989</v>
      </c>
      <c r="U467" s="25">
        <v>0.27175000000000032</v>
      </c>
      <c r="V467" s="25">
        <v>-324.66666666666686</v>
      </c>
      <c r="W467" s="25"/>
      <c r="X467" s="25">
        <v>-255.71249999999998</v>
      </c>
      <c r="Y467" s="25">
        <v>-187.53333333333342</v>
      </c>
      <c r="Z467" s="25">
        <v>-239.53958333333341</v>
      </c>
      <c r="AA467" s="25">
        <v>-213.91250000000011</v>
      </c>
      <c r="AB467" s="25">
        <v>-184.12916666666675</v>
      </c>
      <c r="AC467" s="25">
        <v>-211.25416666666669</v>
      </c>
      <c r="AD467" s="25">
        <v>-1438.5625</v>
      </c>
      <c r="AE467" s="25">
        <v>-1076.7083333333333</v>
      </c>
      <c r="AF467" s="25">
        <v>-1276.1875</v>
      </c>
      <c r="AG467" s="25">
        <v>-462.87916666666655</v>
      </c>
      <c r="AH467" s="25">
        <v>-602.79791666666642</v>
      </c>
      <c r="AI467" s="25">
        <v>-1263.1666666666667</v>
      </c>
      <c r="AJ467" s="25">
        <v>-2354.7708333333335</v>
      </c>
      <c r="AK467" s="25">
        <v>-4623.604166666667</v>
      </c>
      <c r="AL467" s="25">
        <v>10.289583333333326</v>
      </c>
      <c r="AM467" s="25">
        <v>11.127083333333337</v>
      </c>
      <c r="AN467" s="25">
        <v>11.89999999999999</v>
      </c>
      <c r="AO467" s="25">
        <v>12.39999999999999</v>
      </c>
      <c r="AP467" s="25">
        <v>9.4291666666666689</v>
      </c>
      <c r="AQ467" s="25">
        <v>10.370833333333332</v>
      </c>
      <c r="AR467" s="25">
        <v>10.712499999999997</v>
      </c>
      <c r="AS467" s="25">
        <v>10.829166666666666</v>
      </c>
      <c r="AT467" s="25">
        <v>0.18906249999999994</v>
      </c>
      <c r="AU467" s="25">
        <v>0.11872916666666671</v>
      </c>
      <c r="AV467" s="25">
        <v>0.20629166666666662</v>
      </c>
      <c r="AW467" s="25">
        <v>-307.87291666666664</v>
      </c>
      <c r="AX467" s="25">
        <v>-223.52291666666667</v>
      </c>
      <c r="AY467" s="25">
        <v>-316.10416666666669</v>
      </c>
      <c r="AZ467" s="25"/>
      <c r="BA467" s="25">
        <v>-4793.229166666667</v>
      </c>
      <c r="BB467" s="25">
        <v>-794.88333333333321</v>
      </c>
      <c r="BC467" s="25"/>
      <c r="BD467" s="25">
        <v>10.28125</v>
      </c>
      <c r="BE467" s="25">
        <v>10.170833333333329</v>
      </c>
    </row>
    <row r="468" spans="1:57" x14ac:dyDescent="0.25">
      <c r="A468" s="1">
        <v>5.8</v>
      </c>
      <c r="B468" s="1">
        <v>3.6</v>
      </c>
      <c r="C468" s="22"/>
      <c r="D468" s="23">
        <v>44175</v>
      </c>
      <c r="E468" s="24">
        <v>21.333333333333332</v>
      </c>
      <c r="F468" s="24">
        <v>93.8125</v>
      </c>
      <c r="G468" s="24">
        <v>4.5479166666666684</v>
      </c>
      <c r="H468" s="24">
        <v>1</v>
      </c>
      <c r="I468" s="24">
        <v>180.125</v>
      </c>
      <c r="J468" s="24">
        <v>1.8958333333333333</v>
      </c>
      <c r="K468" s="24">
        <v>2.0833333333333332E-2</v>
      </c>
      <c r="L468" s="24">
        <v>3.6250000000000004</v>
      </c>
      <c r="M468" s="10">
        <v>5.3346311561002648E-2</v>
      </c>
      <c r="N468" s="25">
        <v>0.23018750000000024</v>
      </c>
      <c r="O468" s="25">
        <v>0.3061249999999997</v>
      </c>
      <c r="P468" s="25">
        <v>0.38227083333333334</v>
      </c>
      <c r="Q468" s="25">
        <v>0.39464583333333292</v>
      </c>
      <c r="R468" s="25">
        <v>0.39214583333333314</v>
      </c>
      <c r="S468" s="25">
        <v>0.30877083333333316</v>
      </c>
      <c r="T468" s="25">
        <v>0.31495833333333323</v>
      </c>
      <c r="U468" s="25">
        <v>0.27166666666666694</v>
      </c>
      <c r="V468" s="25">
        <v>-323.1458333333336</v>
      </c>
      <c r="W468" s="25"/>
      <c r="X468" s="25">
        <v>-257.68124999999998</v>
      </c>
      <c r="Y468" s="25">
        <v>-193.63124999999999</v>
      </c>
      <c r="Z468" s="25">
        <v>-238.99375000000006</v>
      </c>
      <c r="AA468" s="25">
        <v>-214.78750000000002</v>
      </c>
      <c r="AB468" s="25">
        <v>-186.12916666666669</v>
      </c>
      <c r="AC468" s="25">
        <v>-212.46041666666667</v>
      </c>
      <c r="AD468" s="25">
        <v>-1438.4791666666667</v>
      </c>
      <c r="AE468" s="25">
        <v>-1072.6666666666667</v>
      </c>
      <c r="AF468" s="25">
        <v>-1271.6666666666667</v>
      </c>
      <c r="AG468" s="25">
        <v>-463.01458333333341</v>
      </c>
      <c r="AH468" s="25">
        <v>-547.27708333333339</v>
      </c>
      <c r="AI468" s="25">
        <v>-1265.9166666666667</v>
      </c>
      <c r="AJ468" s="25">
        <v>-2408.3958333333335</v>
      </c>
      <c r="AK468" s="25">
        <v>-4665.625</v>
      </c>
      <c r="AL468" s="25">
        <v>10.006249999999996</v>
      </c>
      <c r="AM468" s="25">
        <v>11.083333333333334</v>
      </c>
      <c r="AN468" s="25">
        <v>11.860416666666664</v>
      </c>
      <c r="AO468" s="25">
        <v>12.356249999999996</v>
      </c>
      <c r="AP468" s="25">
        <v>9.0312500000000071</v>
      </c>
      <c r="AQ468" s="25">
        <v>10.281249999999995</v>
      </c>
      <c r="AR468" s="25">
        <v>10.677083333333343</v>
      </c>
      <c r="AS468" s="25">
        <v>10.839583333333339</v>
      </c>
      <c r="AT468" s="25">
        <v>0.20318749999999999</v>
      </c>
      <c r="AU468" s="25">
        <v>0.13222916666666659</v>
      </c>
      <c r="AV468" s="25">
        <v>0.22356250000000019</v>
      </c>
      <c r="AW468" s="25">
        <v>-301.36250000000001</v>
      </c>
      <c r="AX468" s="25">
        <v>-224.11250000000004</v>
      </c>
      <c r="AY468" s="25">
        <v>-316.51666666666671</v>
      </c>
      <c r="AZ468" s="25"/>
      <c r="BA468" s="25">
        <v>-4632.270833333333</v>
      </c>
      <c r="BB468" s="25">
        <v>-773.19583333333321</v>
      </c>
      <c r="BC468" s="25"/>
      <c r="BD468" s="25">
        <v>9.5041666666666647</v>
      </c>
      <c r="BE468" s="25">
        <v>9.6812500000000021</v>
      </c>
    </row>
    <row r="469" spans="1:57" x14ac:dyDescent="0.25">
      <c r="A469" s="1">
        <v>5.8</v>
      </c>
      <c r="B469" s="1">
        <v>4.5999999999999996</v>
      </c>
      <c r="C469" s="22"/>
      <c r="D469" s="23">
        <v>44176</v>
      </c>
      <c r="E469" s="24">
        <v>17.5</v>
      </c>
      <c r="F469" s="24">
        <v>96.514583333333306</v>
      </c>
      <c r="G469" s="24">
        <v>5.1187499999999995</v>
      </c>
      <c r="H469" s="24">
        <v>2.1999999999999997</v>
      </c>
      <c r="I469" s="24">
        <v>213.91666666666666</v>
      </c>
      <c r="J469" s="24">
        <v>1.3333333333333333</v>
      </c>
      <c r="K469" s="24">
        <v>0</v>
      </c>
      <c r="L469" s="24">
        <v>4.6083333333333334</v>
      </c>
      <c r="M469" s="10">
        <v>3.0713582662449876E-2</v>
      </c>
      <c r="N469" s="25">
        <v>0.23002083333333359</v>
      </c>
      <c r="O469" s="25">
        <v>0.30527083333333316</v>
      </c>
      <c r="P469" s="25">
        <v>0.38112500000000016</v>
      </c>
      <c r="Q469" s="25">
        <v>0.39391666666666664</v>
      </c>
      <c r="R469" s="25">
        <v>0.3920208333333331</v>
      </c>
      <c r="S469" s="25">
        <v>0.30750000000000005</v>
      </c>
      <c r="T469" s="25">
        <v>0.3143541666666666</v>
      </c>
      <c r="U469" s="25">
        <v>0.2710000000000003</v>
      </c>
      <c r="V469" s="25">
        <v>-324.46874999999983</v>
      </c>
      <c r="W469" s="25"/>
      <c r="X469" s="25">
        <v>-259.35208333333327</v>
      </c>
      <c r="Y469" s="25">
        <v>-199.26250000000005</v>
      </c>
      <c r="Z469" s="25">
        <v>-232.73750000000007</v>
      </c>
      <c r="AA469" s="25">
        <v>-214.40416666666667</v>
      </c>
      <c r="AB469" s="25">
        <v>-188.05208333333337</v>
      </c>
      <c r="AC469" s="25">
        <v>-213.08749999999998</v>
      </c>
      <c r="AD469" s="25">
        <v>-1425.625</v>
      </c>
      <c r="AE469" s="25">
        <v>-1074.4166666666667</v>
      </c>
      <c r="AF469" s="25">
        <v>-1276.5625</v>
      </c>
      <c r="AG469" s="25">
        <v>-464.32708333333329</v>
      </c>
      <c r="AH469" s="25">
        <v>-505.39791666666679</v>
      </c>
      <c r="AI469" s="25">
        <v>-1280.2708333333333</v>
      </c>
      <c r="AJ469" s="25">
        <v>-2490.0208333333335</v>
      </c>
      <c r="AK469" s="25">
        <v>-4768.895833333333</v>
      </c>
      <c r="AL469" s="25">
        <v>9.8791666666666593</v>
      </c>
      <c r="AM469" s="25">
        <v>10.937499999999991</v>
      </c>
      <c r="AN469" s="25">
        <v>11.737499999999999</v>
      </c>
      <c r="AO469" s="25">
        <v>12.241666666666669</v>
      </c>
      <c r="AP469" s="25">
        <v>8.9645833333333389</v>
      </c>
      <c r="AQ469" s="25">
        <v>10.064583333333339</v>
      </c>
      <c r="AR469" s="25">
        <v>10.512500000000001</v>
      </c>
      <c r="AS469" s="25">
        <v>10.662500000000005</v>
      </c>
      <c r="AT469" s="25">
        <v>0.21152083333333338</v>
      </c>
      <c r="AU469" s="25">
        <v>0.14377083333333332</v>
      </c>
      <c r="AV469" s="25">
        <v>0.2311458333333333</v>
      </c>
      <c r="AW469" s="25">
        <v>-302.79166666666646</v>
      </c>
      <c r="AX469" s="25">
        <v>-219.58958333333342</v>
      </c>
      <c r="AY469" s="25">
        <v>-314.41666666666663</v>
      </c>
      <c r="AZ469" s="25"/>
      <c r="BA469" s="25">
        <v>-3776.875</v>
      </c>
      <c r="BB469" s="25">
        <v>-702.13541666666663</v>
      </c>
      <c r="BC469" s="25"/>
      <c r="BD469" s="25">
        <v>9.61666666666666</v>
      </c>
      <c r="BE469" s="25">
        <v>9.6749999999999989</v>
      </c>
    </row>
    <row r="470" spans="1:57" x14ac:dyDescent="0.25">
      <c r="A470" s="1">
        <v>6.3</v>
      </c>
      <c r="B470" s="1">
        <v>4.0999999999999996</v>
      </c>
      <c r="C470" s="22"/>
      <c r="D470" s="23">
        <v>44177</v>
      </c>
      <c r="E470" s="24">
        <v>18.979166666666668</v>
      </c>
      <c r="F470" s="24">
        <v>96.085416666666674</v>
      </c>
      <c r="G470" s="24">
        <v>5.2229166666666655</v>
      </c>
      <c r="H470" s="24">
        <v>1.5999999999999999</v>
      </c>
      <c r="I470" s="24">
        <v>185.0625</v>
      </c>
      <c r="J470" s="24">
        <v>1.375</v>
      </c>
      <c r="K470" s="24">
        <v>0</v>
      </c>
      <c r="L470" s="24">
        <v>4.6437500000000016</v>
      </c>
      <c r="M470" s="10">
        <v>3.4840588850235381E-2</v>
      </c>
      <c r="N470" s="25">
        <v>0.23020833333333349</v>
      </c>
      <c r="O470" s="25">
        <v>0.30499999999999983</v>
      </c>
      <c r="P470" s="25">
        <v>0.38060416666666685</v>
      </c>
      <c r="Q470" s="25">
        <v>0.39308333333333367</v>
      </c>
      <c r="R470" s="25">
        <v>0.39208333333333317</v>
      </c>
      <c r="S470" s="25">
        <v>0.3075208333333333</v>
      </c>
      <c r="T470" s="25">
        <v>0.31408333333333338</v>
      </c>
      <c r="U470" s="25">
        <v>0.2708958333333335</v>
      </c>
      <c r="V470" s="25">
        <v>-324.8062500000002</v>
      </c>
      <c r="W470" s="25"/>
      <c r="X470" s="25">
        <v>-261.8770833333333</v>
      </c>
      <c r="Y470" s="25">
        <v>-205.52083333333329</v>
      </c>
      <c r="Z470" s="25">
        <v>-225.41458333333341</v>
      </c>
      <c r="AA470" s="25">
        <v>-215.00416666666675</v>
      </c>
      <c r="AB470" s="25">
        <v>-190.38333333333341</v>
      </c>
      <c r="AC470" s="25">
        <v>-215.23333333333338</v>
      </c>
      <c r="AD470" s="25">
        <v>-1388.8958333333333</v>
      </c>
      <c r="AE470" s="25">
        <v>-1072.2083333333333</v>
      </c>
      <c r="AF470" s="25">
        <v>-1281.4791666666667</v>
      </c>
      <c r="AG470" s="25">
        <v>-466.14583333333326</v>
      </c>
      <c r="AH470" s="25">
        <v>-404.67083333333352</v>
      </c>
      <c r="AI470" s="25">
        <v>-1284.3958333333333</v>
      </c>
      <c r="AJ470" s="25">
        <v>-2518.2083333333335</v>
      </c>
      <c r="AK470" s="25">
        <v>-4833.625</v>
      </c>
      <c r="AL470" s="25">
        <v>9.7479166666666632</v>
      </c>
      <c r="AM470" s="25">
        <v>10.833333333333341</v>
      </c>
      <c r="AN470" s="25">
        <v>11.633333333333345</v>
      </c>
      <c r="AO470" s="25">
        <v>12.129166666666677</v>
      </c>
      <c r="AP470" s="25">
        <v>8.8208333333333311</v>
      </c>
      <c r="AQ470" s="25">
        <v>9.9145833333333311</v>
      </c>
      <c r="AR470" s="25">
        <v>10.370833333333339</v>
      </c>
      <c r="AS470" s="25">
        <v>10.547916666666666</v>
      </c>
      <c r="AT470" s="25">
        <v>0.21916666666666665</v>
      </c>
      <c r="AU470" s="25">
        <v>0.15935416666666671</v>
      </c>
      <c r="AV470" s="25">
        <v>0.23858333333333315</v>
      </c>
      <c r="AW470" s="25">
        <v>-301.39166666666659</v>
      </c>
      <c r="AX470" s="25">
        <v>-214.84791666666675</v>
      </c>
      <c r="AY470" s="25">
        <v>-312.08749999999998</v>
      </c>
      <c r="AZ470" s="25"/>
      <c r="BA470" s="25">
        <v>-2749.0208333333335</v>
      </c>
      <c r="BB470" s="25">
        <v>-637.78750000000002</v>
      </c>
      <c r="BC470" s="25"/>
      <c r="BD470" s="25">
        <v>9.5583333333333282</v>
      </c>
      <c r="BE470" s="25">
        <v>9.5479166666666675</v>
      </c>
    </row>
    <row r="471" spans="1:57" x14ac:dyDescent="0.25">
      <c r="A471" s="1">
        <v>6.1</v>
      </c>
      <c r="B471" s="1">
        <v>4.3</v>
      </c>
      <c r="C471" s="22"/>
      <c r="D471" s="23">
        <v>44178</v>
      </c>
      <c r="E471" s="24">
        <v>20.395833333333332</v>
      </c>
      <c r="F471" s="24">
        <v>95.822916666666686</v>
      </c>
      <c r="G471" s="24">
        <v>5.0750000000000002</v>
      </c>
      <c r="H471" s="24">
        <v>1.9999999999999998</v>
      </c>
      <c r="I471" s="24">
        <v>145.60416666666666</v>
      </c>
      <c r="J471" s="24">
        <v>2.2916666666666665</v>
      </c>
      <c r="K471" s="24">
        <v>0</v>
      </c>
      <c r="L471" s="24">
        <v>4.4562500000000016</v>
      </c>
      <c r="M471" s="10">
        <v>3.6739609797924025E-2</v>
      </c>
      <c r="N471" s="25">
        <v>0.2309999999999999</v>
      </c>
      <c r="O471" s="25">
        <v>0.30499999999999983</v>
      </c>
      <c r="P471" s="25">
        <v>0.38018750000000029</v>
      </c>
      <c r="Q471" s="25">
        <v>0.39237499999999986</v>
      </c>
      <c r="R471" s="25">
        <v>0.39272916666666696</v>
      </c>
      <c r="S471" s="25">
        <v>0.3073333333333334</v>
      </c>
      <c r="T471" s="25">
        <v>0.314</v>
      </c>
      <c r="U471" s="25">
        <v>0.27056249999999998</v>
      </c>
      <c r="V471" s="25">
        <v>-325.09999999999991</v>
      </c>
      <c r="W471" s="25"/>
      <c r="X471" s="25">
        <v>-262.82291666666669</v>
      </c>
      <c r="Y471" s="25">
        <v>-210.44583333333324</v>
      </c>
      <c r="Z471" s="25">
        <v>-213.1145833333334</v>
      </c>
      <c r="AA471" s="25">
        <v>-214.29166666666666</v>
      </c>
      <c r="AB471" s="25">
        <v>-191.42083333333343</v>
      </c>
      <c r="AC471" s="25">
        <v>-215.80625000000006</v>
      </c>
      <c r="AD471" s="25">
        <v>-1358.5416666666667</v>
      </c>
      <c r="AE471" s="25">
        <v>-1073.4375</v>
      </c>
      <c r="AF471" s="25">
        <v>-1283.125</v>
      </c>
      <c r="AG471" s="25">
        <v>-466.95833333333326</v>
      </c>
      <c r="AH471" s="25">
        <v>-96.768749999999997</v>
      </c>
      <c r="AI471" s="25">
        <v>-1266.375</v>
      </c>
      <c r="AJ471" s="25">
        <v>-2547.9166666666665</v>
      </c>
      <c r="AK471" s="25">
        <v>-4869.645833333333</v>
      </c>
      <c r="AL471" s="25">
        <v>9.7833333333333332</v>
      </c>
      <c r="AM471" s="25">
        <v>10.800000000000006</v>
      </c>
      <c r="AN471" s="25">
        <v>11.543749999999998</v>
      </c>
      <c r="AO471" s="25">
        <v>12.018749999999999</v>
      </c>
      <c r="AP471" s="25">
        <v>8.9104166666666682</v>
      </c>
      <c r="AQ471" s="25">
        <v>9.9291666666666583</v>
      </c>
      <c r="AR471" s="25">
        <v>10.341666666666674</v>
      </c>
      <c r="AS471" s="25">
        <v>10.5</v>
      </c>
      <c r="AT471" s="25">
        <v>0.22952083333333329</v>
      </c>
      <c r="AU471" s="25">
        <v>0.17685416666666656</v>
      </c>
      <c r="AV471" s="25">
        <v>0.24349999999999997</v>
      </c>
      <c r="AW471" s="25">
        <v>-304.20625000000001</v>
      </c>
      <c r="AX471" s="25">
        <v>-207.56874999999994</v>
      </c>
      <c r="AY471" s="25">
        <v>-308.78749999999985</v>
      </c>
      <c r="AZ471" s="25"/>
      <c r="BA471" s="25">
        <v>-1214.2291666666665</v>
      </c>
      <c r="BB471" s="25">
        <v>-547.18124999999998</v>
      </c>
      <c r="BC471" s="25"/>
      <c r="BD471" s="25">
        <v>9.5833333333333339</v>
      </c>
      <c r="BE471" s="25">
        <v>9.5895833333333353</v>
      </c>
    </row>
    <row r="472" spans="1:57" x14ac:dyDescent="0.25">
      <c r="A472" s="1">
        <v>4.0999999999999996</v>
      </c>
      <c r="B472" s="1">
        <v>0.8</v>
      </c>
      <c r="C472" s="22"/>
      <c r="D472" s="23">
        <v>44179</v>
      </c>
      <c r="E472" s="24">
        <v>27.229166666666668</v>
      </c>
      <c r="F472" s="24">
        <v>93.839583333333351</v>
      </c>
      <c r="G472" s="24">
        <v>2.160416666666666</v>
      </c>
      <c r="H472" s="24">
        <v>1.2</v>
      </c>
      <c r="I472" s="24">
        <v>212.52083333333334</v>
      </c>
      <c r="J472" s="24">
        <v>4.354166666666667</v>
      </c>
      <c r="K472" s="24">
        <v>0</v>
      </c>
      <c r="L472" s="24">
        <v>1.26875</v>
      </c>
      <c r="M472" s="10">
        <v>4.4001778672470404E-2</v>
      </c>
      <c r="N472" s="25">
        <v>0.23027083333333356</v>
      </c>
      <c r="O472" s="25">
        <v>0.30412500000000026</v>
      </c>
      <c r="P472" s="25">
        <v>0.37958333333333344</v>
      </c>
      <c r="Q472" s="25">
        <v>0.39185416666666634</v>
      </c>
      <c r="R472" s="25">
        <v>0.39300000000000029</v>
      </c>
      <c r="S472" s="25">
        <v>0.30700000000000022</v>
      </c>
      <c r="T472" s="25">
        <v>0.314</v>
      </c>
      <c r="U472" s="25">
        <v>0.2703958333333335</v>
      </c>
      <c r="V472" s="25">
        <v>-325.10625000000016</v>
      </c>
      <c r="W472" s="25"/>
      <c r="X472" s="25">
        <v>-265.19791666666657</v>
      </c>
      <c r="Y472" s="25">
        <v>-216.02083333333334</v>
      </c>
      <c r="Z472" s="25">
        <v>-204.58125000000007</v>
      </c>
      <c r="AA472" s="25">
        <v>-215.05000000000004</v>
      </c>
      <c r="AB472" s="25">
        <v>-193.94999999999996</v>
      </c>
      <c r="AC472" s="25">
        <v>-217.42291666666665</v>
      </c>
      <c r="AD472" s="25">
        <v>-1353.0625</v>
      </c>
      <c r="AE472" s="25">
        <v>-1077.4583333333333</v>
      </c>
      <c r="AF472" s="25">
        <v>-1302.5208333333333</v>
      </c>
      <c r="AG472" s="25">
        <v>-468.33541666666656</v>
      </c>
      <c r="AH472" s="25">
        <v>-20.327083333333331</v>
      </c>
      <c r="AI472" s="25">
        <v>-1288.1041666666667</v>
      </c>
      <c r="AJ472" s="25">
        <v>-2570.4583333333335</v>
      </c>
      <c r="AK472" s="25">
        <v>-5029.1875</v>
      </c>
      <c r="AL472" s="25">
        <v>9.3187499999999996</v>
      </c>
      <c r="AM472" s="25">
        <v>10.602083333333331</v>
      </c>
      <c r="AN472" s="25">
        <v>11.43124999999999</v>
      </c>
      <c r="AO472" s="25">
        <v>11.939583333333323</v>
      </c>
      <c r="AP472" s="25">
        <v>8.2312499999999975</v>
      </c>
      <c r="AQ472" s="25">
        <v>9.6104166666666622</v>
      </c>
      <c r="AR472" s="25">
        <v>10.112499999999994</v>
      </c>
      <c r="AS472" s="25">
        <v>10.347916666666668</v>
      </c>
      <c r="AT472" s="25">
        <v>0.24300000000000002</v>
      </c>
      <c r="AU472" s="25">
        <v>0.20847916666666669</v>
      </c>
      <c r="AV472" s="25">
        <v>0.26093749999999993</v>
      </c>
      <c r="AW472" s="25">
        <v>-299.01041666666657</v>
      </c>
      <c r="AX472" s="25">
        <v>-104.27458333333333</v>
      </c>
      <c r="AY472" s="25">
        <v>-297.50833333333327</v>
      </c>
      <c r="AZ472" s="25"/>
      <c r="BA472" s="25">
        <v>-165.00208333333336</v>
      </c>
      <c r="BB472" s="25">
        <v>-120.72291666666668</v>
      </c>
      <c r="BC472" s="25"/>
      <c r="BD472" s="25">
        <v>8.6624999999999996</v>
      </c>
      <c r="BE472" s="25">
        <v>8.9875000000000007</v>
      </c>
    </row>
    <row r="473" spans="1:57" x14ac:dyDescent="0.25">
      <c r="A473" s="1">
        <v>1.6</v>
      </c>
      <c r="B473" s="1">
        <v>-0.9</v>
      </c>
      <c r="C473" s="22"/>
      <c r="D473" s="23">
        <v>44180</v>
      </c>
      <c r="E473" s="24">
        <v>27.520833333333332</v>
      </c>
      <c r="F473" s="24">
        <v>92.941666666666677</v>
      </c>
      <c r="G473" s="24">
        <v>-0.13541666666666663</v>
      </c>
      <c r="H473" s="24">
        <v>0.4</v>
      </c>
      <c r="I473" s="24">
        <v>212.5</v>
      </c>
      <c r="J473" s="24">
        <v>3.1041666666666665</v>
      </c>
      <c r="K473" s="24">
        <v>2.0833333333333332E-2</v>
      </c>
      <c r="L473" s="24">
        <v>-1.1479166666666665</v>
      </c>
      <c r="M473" s="10">
        <v>4.3312034491937233E-2</v>
      </c>
      <c r="N473" s="25">
        <v>0.2285208333333332</v>
      </c>
      <c r="O473" s="25">
        <v>0.30177083333333327</v>
      </c>
      <c r="P473" s="25">
        <v>0.37722916666666695</v>
      </c>
      <c r="Q473" s="25">
        <v>0.39047916666666677</v>
      </c>
      <c r="R473" s="25">
        <v>0.39149999999999974</v>
      </c>
      <c r="S473" s="25">
        <v>0.30549999999999988</v>
      </c>
      <c r="T473" s="25">
        <v>0.31287499999999996</v>
      </c>
      <c r="U473" s="25">
        <v>0.26987499999999981</v>
      </c>
      <c r="V473" s="25">
        <v>-324.29166666666663</v>
      </c>
      <c r="W473" s="25"/>
      <c r="X473" s="25">
        <v>-270.29791666666665</v>
      </c>
      <c r="Y473" s="25">
        <v>-222.03958333333324</v>
      </c>
      <c r="Z473" s="25">
        <v>-194.66666666666666</v>
      </c>
      <c r="AA473" s="25">
        <v>-217.11041666666677</v>
      </c>
      <c r="AB473" s="25">
        <v>-197.07916666666662</v>
      </c>
      <c r="AC473" s="25">
        <v>-220.54375000000002</v>
      </c>
      <c r="AD473" s="25">
        <v>-1361.6041666666667</v>
      </c>
      <c r="AE473" s="25">
        <v>-1094.8333333333333</v>
      </c>
      <c r="AF473" s="25">
        <v>-1330.4583333333333</v>
      </c>
      <c r="AG473" s="25">
        <v>-469.90416666666664</v>
      </c>
      <c r="AH473" s="25">
        <v>-18.099999999999998</v>
      </c>
      <c r="AI473" s="25">
        <v>-1339.2916666666667</v>
      </c>
      <c r="AJ473" s="25">
        <v>-2675.4375</v>
      </c>
      <c r="AK473" s="25">
        <v>-5883.625</v>
      </c>
      <c r="AL473" s="25">
        <v>8.4312500000000039</v>
      </c>
      <c r="AM473" s="25">
        <v>10.047916666666662</v>
      </c>
      <c r="AN473" s="25">
        <v>11.133333333333333</v>
      </c>
      <c r="AO473" s="25">
        <v>11.712500000000006</v>
      </c>
      <c r="AP473" s="25">
        <v>6.9333333333333362</v>
      </c>
      <c r="AQ473" s="25">
        <v>8.7979166666666728</v>
      </c>
      <c r="AR473" s="25">
        <v>9.4874999999999972</v>
      </c>
      <c r="AS473" s="25">
        <v>9.8270833333333378</v>
      </c>
      <c r="AT473" s="25">
        <v>0.23831249999999993</v>
      </c>
      <c r="AU473" s="25">
        <v>0.19819230769230767</v>
      </c>
      <c r="AV473" s="25">
        <v>0.25777083333333334</v>
      </c>
      <c r="AW473" s="25">
        <v>-294.16666666666663</v>
      </c>
      <c r="AX473" s="25">
        <v>-51.451666666666675</v>
      </c>
      <c r="AY473" s="25">
        <v>-256.21875</v>
      </c>
      <c r="AZ473" s="25"/>
      <c r="BA473" s="25">
        <v>-49.668749999999996</v>
      </c>
      <c r="BB473" s="25">
        <v>-24.852083333333336</v>
      </c>
      <c r="BC473" s="25"/>
      <c r="BD473" s="25">
        <v>7.6437499999999998</v>
      </c>
      <c r="BE473" s="25">
        <v>8.0875000000000004</v>
      </c>
    </row>
    <row r="474" spans="1:57" x14ac:dyDescent="0.25">
      <c r="A474" s="1">
        <v>2.8</v>
      </c>
      <c r="B474" s="1">
        <v>-0.7</v>
      </c>
      <c r="C474" s="22"/>
      <c r="D474" s="23">
        <v>44181</v>
      </c>
      <c r="E474" s="24">
        <v>29.6875</v>
      </c>
      <c r="F474" s="24">
        <v>89.818750000000009</v>
      </c>
      <c r="G474" s="24">
        <v>0.51666666666666672</v>
      </c>
      <c r="H474" s="24">
        <v>0</v>
      </c>
      <c r="I474" s="24">
        <v>219.20833333333334</v>
      </c>
      <c r="J474" s="24">
        <v>3.0833333333333335</v>
      </c>
      <c r="K474" s="24">
        <v>2.0833333333333332E-2</v>
      </c>
      <c r="L474" s="24">
        <v>-0.97291666666666654</v>
      </c>
      <c r="M474" s="10">
        <v>6.690368200667593E-2</v>
      </c>
      <c r="N474" s="25">
        <v>0.22793749999999993</v>
      </c>
      <c r="O474" s="25">
        <v>0.29958333333333309</v>
      </c>
      <c r="P474" s="25">
        <v>0.3746666666666667</v>
      </c>
      <c r="Q474" s="25">
        <v>0.38841666666666685</v>
      </c>
      <c r="R474" s="25">
        <v>0.39022916666666685</v>
      </c>
      <c r="S474" s="25">
        <v>0.30435416666666681</v>
      </c>
      <c r="T474" s="25">
        <v>0.31152083333333336</v>
      </c>
      <c r="U474" s="25">
        <v>0.26902083333333343</v>
      </c>
      <c r="V474" s="25">
        <v>-324.73541666666671</v>
      </c>
      <c r="W474" s="25"/>
      <c r="X474" s="25">
        <v>-276.94583333333327</v>
      </c>
      <c r="Y474" s="25">
        <v>-229.87916666666663</v>
      </c>
      <c r="Z474" s="25">
        <v>-181.35208333333333</v>
      </c>
      <c r="AA474" s="25">
        <v>-219.79999999999987</v>
      </c>
      <c r="AB474" s="25">
        <v>-201.2916666666666</v>
      </c>
      <c r="AC474" s="25">
        <v>-225.15625000000003</v>
      </c>
      <c r="AD474" s="25">
        <v>-1325.6875</v>
      </c>
      <c r="AE474" s="25">
        <v>-1123.1041666666667</v>
      </c>
      <c r="AF474" s="25">
        <v>-1401.1041666666667</v>
      </c>
      <c r="AG474" s="25">
        <v>-472.76875000000013</v>
      </c>
      <c r="AH474" s="25">
        <v>-17.220833333333342</v>
      </c>
      <c r="AI474" s="25">
        <v>-1397.0625</v>
      </c>
      <c r="AJ474" s="25">
        <v>-2979.2708333333335</v>
      </c>
      <c r="AK474" s="25">
        <v>-6810.166666666667</v>
      </c>
      <c r="AL474" s="25">
        <v>7.8562499999999931</v>
      </c>
      <c r="AM474" s="25">
        <v>9.4520833333333343</v>
      </c>
      <c r="AN474" s="25">
        <v>10.712500000000006</v>
      </c>
      <c r="AO474" s="25">
        <v>11.368750000000004</v>
      </c>
      <c r="AP474" s="25">
        <v>6.3604166666666631</v>
      </c>
      <c r="AQ474" s="25">
        <v>8.1458333333333393</v>
      </c>
      <c r="AR474" s="25">
        <v>8.8687499999999986</v>
      </c>
      <c r="AS474" s="25">
        <v>9.2541666666666753</v>
      </c>
      <c r="AT474" s="25">
        <v>0.23497916666666671</v>
      </c>
      <c r="AU474" s="25">
        <v>0.18942500000000004</v>
      </c>
      <c r="AV474" s="25">
        <v>0.2551458333333334</v>
      </c>
      <c r="AW474" s="25">
        <v>-296.94375000000002</v>
      </c>
      <c r="AX474" s="25">
        <v>-49.804166666666667</v>
      </c>
      <c r="AY474" s="25">
        <v>-215.62916666666661</v>
      </c>
      <c r="AZ474" s="25"/>
      <c r="BA474" s="25">
        <v>-33.118749999999999</v>
      </c>
      <c r="BB474" s="25">
        <v>-20.185416666666669</v>
      </c>
      <c r="BC474" s="25"/>
      <c r="BD474" s="25">
        <v>7.46875</v>
      </c>
      <c r="BE474" s="25">
        <v>7.6104166666666666</v>
      </c>
    </row>
    <row r="475" spans="1:57" x14ac:dyDescent="0.25">
      <c r="A475" s="1">
        <v>1.8</v>
      </c>
      <c r="B475" s="1">
        <v>-1.9</v>
      </c>
      <c r="C475" s="22"/>
      <c r="D475" s="23">
        <v>44182</v>
      </c>
      <c r="E475" s="24">
        <v>31.958333333333332</v>
      </c>
      <c r="F475" s="24">
        <v>91.164583333333326</v>
      </c>
      <c r="G475" s="24">
        <v>-0.37083333333333329</v>
      </c>
      <c r="H475" s="24">
        <v>0.2</v>
      </c>
      <c r="I475" s="24">
        <v>226.75</v>
      </c>
      <c r="J475" s="24">
        <v>3.375</v>
      </c>
      <c r="K475" s="24">
        <v>0</v>
      </c>
      <c r="L475" s="24">
        <v>-1.6583333333333334</v>
      </c>
      <c r="M475" s="10">
        <v>5.4211959950310022E-2</v>
      </c>
      <c r="N475" s="25">
        <v>0.22810416666666655</v>
      </c>
      <c r="O475" s="25">
        <v>0.29837500000000006</v>
      </c>
      <c r="P475" s="25">
        <v>0.3730624999999998</v>
      </c>
      <c r="Q475" s="25">
        <v>0.38649999999999979</v>
      </c>
      <c r="R475" s="25">
        <v>0.38927083333333301</v>
      </c>
      <c r="S475" s="25">
        <v>0.30345833333333372</v>
      </c>
      <c r="T475" s="25">
        <v>0.31041666666666684</v>
      </c>
      <c r="U475" s="25">
        <v>0.26825000000000015</v>
      </c>
      <c r="V475" s="25">
        <v>-324.18125000000003</v>
      </c>
      <c r="W475" s="25"/>
      <c r="X475" s="25">
        <v>-280.72291666666666</v>
      </c>
      <c r="Y475" s="25">
        <v>-235.84791666666675</v>
      </c>
      <c r="Z475" s="25">
        <v>-169.23749999999998</v>
      </c>
      <c r="AA475" s="25">
        <v>-220.52499999999998</v>
      </c>
      <c r="AB475" s="25">
        <v>-204.00625000000005</v>
      </c>
      <c r="AC475" s="25">
        <v>-227.82499999999996</v>
      </c>
      <c r="AD475" s="25">
        <v>-1294.875</v>
      </c>
      <c r="AE475" s="25">
        <v>-1137.3333333333333</v>
      </c>
      <c r="AF475" s="25">
        <v>-1438.2083333333333</v>
      </c>
      <c r="AG475" s="25">
        <v>-478.45833333333326</v>
      </c>
      <c r="AH475" s="25">
        <v>-16.787500000000019</v>
      </c>
      <c r="AI475" s="25">
        <v>-1405.75</v>
      </c>
      <c r="AJ475" s="25">
        <v>-3128.5</v>
      </c>
      <c r="AK475" s="25">
        <v>-7354.304347826087</v>
      </c>
      <c r="AL475" s="25">
        <v>7.4541666666666657</v>
      </c>
      <c r="AM475" s="25">
        <v>9.1124999999999972</v>
      </c>
      <c r="AN475" s="25">
        <v>10.372916666666667</v>
      </c>
      <c r="AO475" s="25">
        <v>11.060416666666663</v>
      </c>
      <c r="AP475" s="25">
        <v>6.0124999999999984</v>
      </c>
      <c r="AQ475" s="25">
        <v>7.7958333333333334</v>
      </c>
      <c r="AR475" s="25">
        <v>8.5312499999999911</v>
      </c>
      <c r="AS475" s="25">
        <v>8.8770833333333332</v>
      </c>
      <c r="AT475" s="25">
        <v>0.23222499999999999</v>
      </c>
      <c r="AU475" s="25"/>
      <c r="AV475" s="25">
        <v>0.25289583333333343</v>
      </c>
      <c r="AW475" s="25">
        <v>-298.41874999999999</v>
      </c>
      <c r="AX475" s="25">
        <v>-51.621875000000024</v>
      </c>
      <c r="AY475" s="25">
        <v>-181.93541666666667</v>
      </c>
      <c r="AZ475" s="25"/>
      <c r="BA475" s="25">
        <v>-25.810416666666665</v>
      </c>
      <c r="BB475" s="25">
        <v>-18.337499999999999</v>
      </c>
      <c r="BC475" s="25"/>
      <c r="BD475" s="25">
        <v>7.1041666666666679</v>
      </c>
      <c r="BE475" s="25">
        <v>7.147916666666668</v>
      </c>
    </row>
    <row r="476" spans="1:57" x14ac:dyDescent="0.25">
      <c r="A476" s="1">
        <v>4.5</v>
      </c>
      <c r="B476" s="1">
        <v>-0.7</v>
      </c>
      <c r="C476" s="22"/>
      <c r="D476" s="23">
        <v>44183</v>
      </c>
      <c r="E476" s="24">
        <v>51.041666666666664</v>
      </c>
      <c r="F476" s="24">
        <v>86.110416666666694</v>
      </c>
      <c r="G476" s="24">
        <v>0.85416666666666652</v>
      </c>
      <c r="H476" s="24">
        <v>0</v>
      </c>
      <c r="I476" s="24">
        <v>236.22916666666666</v>
      </c>
      <c r="J476" s="24">
        <v>4.479166666666667</v>
      </c>
      <c r="K476" s="24">
        <v>8.3333333333333329E-2</v>
      </c>
      <c r="L476" s="24">
        <v>-1.2583333333333326</v>
      </c>
      <c r="M476" s="10">
        <v>9.5774588902808586E-2</v>
      </c>
      <c r="N476" s="25">
        <v>0.22843749999999977</v>
      </c>
      <c r="O476" s="25">
        <v>0.29743750000000008</v>
      </c>
      <c r="P476" s="25">
        <v>0.37193749999999998</v>
      </c>
      <c r="Q476" s="25">
        <v>0.38506250000000009</v>
      </c>
      <c r="R476" s="25">
        <v>0.38943749999999994</v>
      </c>
      <c r="S476" s="25">
        <v>0.30272916666666683</v>
      </c>
      <c r="T476" s="25">
        <v>0.31000000000000011</v>
      </c>
      <c r="U476" s="25">
        <v>0.26727083333333318</v>
      </c>
      <c r="V476" s="25">
        <v>-319.82083333333338</v>
      </c>
      <c r="W476" s="25"/>
      <c r="X476" s="25">
        <v>-283.82916666666665</v>
      </c>
      <c r="Y476" s="25">
        <v>-241.52499999999998</v>
      </c>
      <c r="Z476" s="25">
        <v>-158.47083333333336</v>
      </c>
      <c r="AA476" s="25">
        <v>-221.02708333333331</v>
      </c>
      <c r="AB476" s="25">
        <v>-206.07291666666663</v>
      </c>
      <c r="AC476" s="25">
        <v>-228.64375000000007</v>
      </c>
      <c r="AD476" s="25">
        <v>-1261.375</v>
      </c>
      <c r="AE476" s="25">
        <v>-1141.8958333333333</v>
      </c>
      <c r="AF476" s="25">
        <v>-1469.7083333333333</v>
      </c>
      <c r="AG476" s="25">
        <v>-483.46250000000009</v>
      </c>
      <c r="AH476" s="25">
        <v>-16.620833333333351</v>
      </c>
      <c r="AI476" s="25">
        <v>-1391.1458333333333</v>
      </c>
      <c r="AJ476" s="25">
        <v>-3215.6041666666665</v>
      </c>
      <c r="AK476" s="25">
        <v>-7421.8918918918916</v>
      </c>
      <c r="AL476" s="25">
        <v>7.3395833333333371</v>
      </c>
      <c r="AM476" s="25">
        <v>8.8375000000000075</v>
      </c>
      <c r="AN476" s="25">
        <v>10.039583333333328</v>
      </c>
      <c r="AO476" s="25">
        <v>10.78125</v>
      </c>
      <c r="AP476" s="25">
        <v>6.0583333333333309</v>
      </c>
      <c r="AQ476" s="25">
        <v>7.5729166666666714</v>
      </c>
      <c r="AR476" s="25">
        <v>8.2749999999999986</v>
      </c>
      <c r="AS476" s="25">
        <v>8.5937500000000018</v>
      </c>
      <c r="AT476" s="25">
        <v>0.23070370370370374</v>
      </c>
      <c r="AU476" s="25">
        <v>0.17833333333333337</v>
      </c>
      <c r="AV476" s="25">
        <v>0.25250000000000006</v>
      </c>
      <c r="AW476" s="25">
        <v>-307.96250000000003</v>
      </c>
      <c r="AX476" s="25">
        <v>-53.086666666666666</v>
      </c>
      <c r="AY476" s="25">
        <v>-172.1958333333333</v>
      </c>
      <c r="AZ476" s="25"/>
      <c r="BA476" s="25">
        <v>-23.427083333333329</v>
      </c>
      <c r="BB476" s="25">
        <v>-17.660416666666663</v>
      </c>
      <c r="BC476" s="25"/>
      <c r="BD476" s="25">
        <v>7.3437500000000009</v>
      </c>
      <c r="BE476" s="25">
        <v>7.2625000000000002</v>
      </c>
    </row>
    <row r="477" spans="1:57" x14ac:dyDescent="0.25">
      <c r="A477" s="1">
        <v>2.5</v>
      </c>
      <c r="B477" s="1">
        <v>-1.2</v>
      </c>
      <c r="C477" s="22"/>
      <c r="D477" s="23">
        <v>44184</v>
      </c>
      <c r="E477" s="24">
        <v>34.645833333333336</v>
      </c>
      <c r="F477" s="24">
        <v>83.656250000000028</v>
      </c>
      <c r="G477" s="24">
        <v>0.12291666666666677</v>
      </c>
      <c r="H477" s="24">
        <v>0</v>
      </c>
      <c r="I477" s="24">
        <v>204.54166666666666</v>
      </c>
      <c r="J477" s="24">
        <v>4.6875</v>
      </c>
      <c r="K477" s="24">
        <v>0</v>
      </c>
      <c r="L477" s="24">
        <v>-2.3374999999999995</v>
      </c>
      <c r="M477" s="10">
        <v>0.1027343529573549</v>
      </c>
      <c r="N477" s="25">
        <v>0.22870833333333307</v>
      </c>
      <c r="O477" s="25">
        <v>0.29712500000000019</v>
      </c>
      <c r="P477" s="25">
        <v>0.37135416666666671</v>
      </c>
      <c r="Q477" s="25">
        <v>0.38452083333333337</v>
      </c>
      <c r="R477" s="25">
        <v>0.38945833333333324</v>
      </c>
      <c r="S477" s="25">
        <v>0.30285416666666681</v>
      </c>
      <c r="T477" s="25">
        <v>0.30966666666666648</v>
      </c>
      <c r="U477" s="25">
        <v>0.26689583333333328</v>
      </c>
      <c r="V477" s="25">
        <v>-316.57708333333341</v>
      </c>
      <c r="W477" s="25"/>
      <c r="X477" s="25">
        <v>-285.32916666666671</v>
      </c>
      <c r="Y477" s="25">
        <v>-246.53125</v>
      </c>
      <c r="Z477" s="25">
        <v>-151.74166666666665</v>
      </c>
      <c r="AA477" s="25">
        <v>-220.79583333333326</v>
      </c>
      <c r="AB477" s="25">
        <v>-207.41874999999993</v>
      </c>
      <c r="AC477" s="25">
        <v>-230.85624999999996</v>
      </c>
      <c r="AD477" s="25">
        <v>-1196.2083333333333</v>
      </c>
      <c r="AE477" s="25">
        <v>-1143.5416666666667</v>
      </c>
      <c r="AF477" s="25">
        <v>-1479.6041666666667</v>
      </c>
      <c r="AG477" s="25">
        <v>-488.8875000000001</v>
      </c>
      <c r="AH477" s="25">
        <v>-16.820833333333329</v>
      </c>
      <c r="AI477" s="25">
        <v>-1371.9791666666667</v>
      </c>
      <c r="AJ477" s="25">
        <v>-3267.7083333333335</v>
      </c>
      <c r="AK477" s="25">
        <v>-7537.5</v>
      </c>
      <c r="AL477" s="25">
        <v>7.2104166666666636</v>
      </c>
      <c r="AM477" s="25">
        <v>8.7041666666666728</v>
      </c>
      <c r="AN477" s="25">
        <v>9.8333333333333357</v>
      </c>
      <c r="AO477" s="25">
        <v>10.566666666666668</v>
      </c>
      <c r="AP477" s="25">
        <v>5.8145833333333323</v>
      </c>
      <c r="AQ477" s="25">
        <v>7.4541666666666648</v>
      </c>
      <c r="AR477" s="25">
        <v>8.1437499999999972</v>
      </c>
      <c r="AS477" s="25">
        <v>8.4562499999999989</v>
      </c>
      <c r="AT477" s="25">
        <v>0.22808510638297874</v>
      </c>
      <c r="AU477" s="25">
        <v>0.17375675675675667</v>
      </c>
      <c r="AV477" s="25">
        <v>0.25129166666666669</v>
      </c>
      <c r="AW477" s="25">
        <v>-311.77083333333326</v>
      </c>
      <c r="AX477" s="25">
        <v>-55.086041666666667</v>
      </c>
      <c r="AY477" s="25">
        <v>-168.03125</v>
      </c>
      <c r="AZ477" s="25"/>
      <c r="BA477" s="25">
        <v>-23.560416666666669</v>
      </c>
      <c r="BB477" s="25">
        <v>-18.029166666666661</v>
      </c>
      <c r="BC477" s="25"/>
      <c r="BD477" s="25">
        <v>6.8708333333333336</v>
      </c>
      <c r="BE477" s="25">
        <v>6.9854166666666684</v>
      </c>
    </row>
    <row r="478" spans="1:57" x14ac:dyDescent="0.25">
      <c r="A478" s="1">
        <v>5.6</v>
      </c>
      <c r="B478" s="1">
        <v>-0.3</v>
      </c>
      <c r="C478" s="22"/>
      <c r="D478" s="23">
        <v>44185</v>
      </c>
      <c r="E478" s="24"/>
      <c r="F478" s="24"/>
      <c r="G478" s="24"/>
      <c r="H478" s="24"/>
      <c r="I478" s="24"/>
      <c r="J478" s="24"/>
      <c r="K478" s="24"/>
      <c r="L478" s="24"/>
      <c r="M478" s="10">
        <v>0.14848026759848687</v>
      </c>
      <c r="N478" s="25">
        <v>0.22854166666666662</v>
      </c>
      <c r="O478" s="25">
        <v>0.29658333333333348</v>
      </c>
      <c r="P478" s="25">
        <v>0.37004166666666644</v>
      </c>
      <c r="Q478" s="25">
        <v>0.38381250000000011</v>
      </c>
      <c r="R478" s="25">
        <v>0.39002083333333326</v>
      </c>
      <c r="S478" s="25">
        <v>0.30241666666666678</v>
      </c>
      <c r="T478" s="25">
        <v>0.30899999999999972</v>
      </c>
      <c r="U478" s="25">
        <v>0.26624999999999999</v>
      </c>
      <c r="V478" s="25">
        <v>-308.25416666666672</v>
      </c>
      <c r="W478" s="25"/>
      <c r="X478" s="25">
        <v>-287.53749999999997</v>
      </c>
      <c r="Y478" s="25">
        <v>-250.62291666666673</v>
      </c>
      <c r="Z478" s="25">
        <v>-144.78958333333335</v>
      </c>
      <c r="AA478" s="25">
        <v>-220.18750000000011</v>
      </c>
      <c r="AB478" s="25">
        <v>-208.68541666666658</v>
      </c>
      <c r="AC478" s="25">
        <v>-231.96250000000006</v>
      </c>
      <c r="AD478" s="25">
        <v>-1157.875</v>
      </c>
      <c r="AE478" s="25">
        <v>-1136.3333333333333</v>
      </c>
      <c r="AF478" s="25">
        <v>-1491.6666666666667</v>
      </c>
      <c r="AG478" s="25">
        <v>-490.80000000000013</v>
      </c>
      <c r="AH478" s="25">
        <v>-17.177083333333336</v>
      </c>
      <c r="AI478" s="25">
        <v>-1376.8541666666667</v>
      </c>
      <c r="AJ478" s="25">
        <v>-3316.3333333333335</v>
      </c>
      <c r="AK478" s="25">
        <v>-7807.083333333333</v>
      </c>
      <c r="AL478" s="25">
        <v>7.1791666666666734</v>
      </c>
      <c r="AM478" s="25">
        <v>8.5229166666666689</v>
      </c>
      <c r="AN478" s="25">
        <v>9.6145833333333375</v>
      </c>
      <c r="AO478" s="25">
        <v>10.375000000000004</v>
      </c>
      <c r="AP478" s="25">
        <v>5.9708333333333341</v>
      </c>
      <c r="AQ478" s="25">
        <v>7.2749999999999995</v>
      </c>
      <c r="AR478" s="25">
        <v>7.9291666666666671</v>
      </c>
      <c r="AS478" s="25">
        <v>8.2270833333333293</v>
      </c>
      <c r="AT478" s="25">
        <v>0.22644680851063848</v>
      </c>
      <c r="AU478" s="25">
        <v>0.16949999999999993</v>
      </c>
      <c r="AV478" s="25">
        <v>0.25074999999999997</v>
      </c>
      <c r="AW478" s="25">
        <v>-317.72291666666666</v>
      </c>
      <c r="AX478" s="25">
        <v>-56.097500000000004</v>
      </c>
      <c r="AY478" s="25">
        <v>-151.52916666666667</v>
      </c>
      <c r="AZ478" s="25"/>
      <c r="BA478" s="25">
        <v>-24.71041666666666</v>
      </c>
      <c r="BB478" s="25">
        <v>-19.052083333333332</v>
      </c>
      <c r="BC478" s="25"/>
      <c r="BD478" s="25">
        <v>7.3541666666666643</v>
      </c>
      <c r="BE478" s="25">
        <v>7.1833333333333327</v>
      </c>
    </row>
    <row r="479" spans="1:57" x14ac:dyDescent="0.25">
      <c r="A479" s="1"/>
      <c r="B479" s="1"/>
      <c r="C479" s="22"/>
      <c r="D479" s="23">
        <v>44186</v>
      </c>
      <c r="E479" s="24"/>
      <c r="F479" s="24"/>
      <c r="G479" s="24"/>
      <c r="H479" s="24"/>
      <c r="I479" s="24"/>
      <c r="J479" s="24"/>
      <c r="K479" s="24"/>
      <c r="L479" s="24"/>
      <c r="M479" s="10"/>
      <c r="N479" s="25">
        <v>0.23072916666666674</v>
      </c>
      <c r="O479" s="25">
        <v>0.29777083333333337</v>
      </c>
      <c r="P479" s="25">
        <v>0.37081249999999999</v>
      </c>
      <c r="Q479" s="25">
        <v>0.38383333333333347</v>
      </c>
      <c r="R479" s="25">
        <v>0.39483333333333331</v>
      </c>
      <c r="S479" s="25">
        <v>0.30320833333333325</v>
      </c>
      <c r="T479" s="25">
        <v>0.30922916666666667</v>
      </c>
      <c r="U479" s="25">
        <v>0.26602083333333337</v>
      </c>
      <c r="V479" s="25">
        <v>-284.05416666666667</v>
      </c>
      <c r="W479" s="25"/>
      <c r="X479" s="25">
        <v>-286.11874999999998</v>
      </c>
      <c r="Y479" s="25">
        <v>-252.78125000000003</v>
      </c>
      <c r="Z479" s="25">
        <v>-133.49375000000003</v>
      </c>
      <c r="AA479" s="25">
        <v>-216.61875000000006</v>
      </c>
      <c r="AB479" s="25">
        <v>-207.22500000000002</v>
      </c>
      <c r="AC479" s="25">
        <v>-230.38541666666666</v>
      </c>
      <c r="AD479" s="25">
        <v>-1046.1458333333333</v>
      </c>
      <c r="AE479" s="25">
        <v>-1120.1875</v>
      </c>
      <c r="AF479" s="25">
        <v>-1472.625</v>
      </c>
      <c r="AG479" s="25">
        <v>-486.79375000000005</v>
      </c>
      <c r="AH479" s="25">
        <v>-18.066666666666666</v>
      </c>
      <c r="AI479" s="25">
        <v>-1300.125</v>
      </c>
      <c r="AJ479" s="25">
        <v>-3262.625</v>
      </c>
      <c r="AK479" s="25">
        <v>-7189.666666666667</v>
      </c>
      <c r="AL479" s="25">
        <v>8.0645833333333332</v>
      </c>
      <c r="AM479" s="25">
        <v>8.7208333333333332</v>
      </c>
      <c r="AN479" s="25">
        <v>9.5770833333333325</v>
      </c>
      <c r="AO479" s="25">
        <v>10.266666666666667</v>
      </c>
      <c r="AP479" s="25">
        <v>7.6416666666666657</v>
      </c>
      <c r="AQ479" s="25">
        <v>7.9583333333333357</v>
      </c>
      <c r="AR479" s="25">
        <v>8.2187499999999982</v>
      </c>
      <c r="AS479" s="25">
        <v>8.3687500000000039</v>
      </c>
      <c r="AT479" s="25">
        <v>0.22476595744680852</v>
      </c>
      <c r="AU479" s="25">
        <v>0.16302500000000003</v>
      </c>
      <c r="AV479" s="25">
        <v>0.25262500000000004</v>
      </c>
      <c r="AW479" s="25">
        <v>-321.05416666666662</v>
      </c>
      <c r="AX479" s="25">
        <v>-57.868749999999984</v>
      </c>
      <c r="AY479" s="25">
        <v>-153.10434782608695</v>
      </c>
      <c r="AZ479" s="25"/>
      <c r="BA479" s="25">
        <v>-31.310416666666665</v>
      </c>
      <c r="BB479" s="25">
        <v>-23.295833333333338</v>
      </c>
      <c r="BC479" s="25"/>
      <c r="BD479" s="25">
        <v>8.3187499999999996</v>
      </c>
      <c r="BE479" s="25">
        <v>8.5333333333333332</v>
      </c>
    </row>
    <row r="480" spans="1:57" x14ac:dyDescent="0.25">
      <c r="A480" s="1"/>
      <c r="B480" s="1"/>
      <c r="C480" s="22"/>
      <c r="D480" s="23">
        <v>44187</v>
      </c>
      <c r="E480" s="24"/>
      <c r="F480" s="24"/>
      <c r="G480" s="24"/>
      <c r="H480" s="24"/>
      <c r="I480" s="24"/>
      <c r="J480" s="24"/>
      <c r="K480" s="24"/>
      <c r="L480" s="24"/>
      <c r="M480" s="10"/>
      <c r="N480" s="25">
        <v>0.23250000000000007</v>
      </c>
      <c r="O480" s="25">
        <v>0.3010000000000001</v>
      </c>
      <c r="P480" s="25">
        <v>0.3739791666666667</v>
      </c>
      <c r="Q480" s="25">
        <v>0.38516666666666649</v>
      </c>
      <c r="R480" s="25">
        <v>0.39912500000000034</v>
      </c>
      <c r="S480" s="25">
        <v>0.30545833333333317</v>
      </c>
      <c r="T480" s="25">
        <v>0.3108541666666666</v>
      </c>
      <c r="U480" s="25">
        <v>0.26687499999999986</v>
      </c>
      <c r="V480" s="25">
        <v>-272.89999999999992</v>
      </c>
      <c r="W480" s="25"/>
      <c r="X480" s="25">
        <v>-278.8145833333333</v>
      </c>
      <c r="Y480" s="25">
        <v>-250.60416666666663</v>
      </c>
      <c r="Z480" s="25">
        <v>-128.41666666666666</v>
      </c>
      <c r="AA480" s="25">
        <v>-213.73750000000004</v>
      </c>
      <c r="AB480" s="25">
        <v>-203.42916666666665</v>
      </c>
      <c r="AC480" s="25">
        <v>-224.7062500000001</v>
      </c>
      <c r="AD480" s="25">
        <v>-939.22916666666663</v>
      </c>
      <c r="AE480" s="25">
        <v>-1061.0208333333333</v>
      </c>
      <c r="AF480" s="25">
        <v>-1316.125</v>
      </c>
      <c r="AG480" s="25">
        <v>-468.19791666666652</v>
      </c>
      <c r="AH480" s="25">
        <v>-20.216666666666669</v>
      </c>
      <c r="AI480" s="25">
        <v>-1173.6875</v>
      </c>
      <c r="AJ480" s="25">
        <v>-3052.1458333333335</v>
      </c>
      <c r="AK480" s="25">
        <v>-6080.958333333333</v>
      </c>
      <c r="AL480" s="25">
        <v>8.6708333333333378</v>
      </c>
      <c r="AM480" s="25">
        <v>9.3958333333333304</v>
      </c>
      <c r="AN480" s="25">
        <v>9.9520833333333343</v>
      </c>
      <c r="AO480" s="25">
        <v>10.439583333333333</v>
      </c>
      <c r="AP480" s="25">
        <v>8.2437500000000039</v>
      </c>
      <c r="AQ480" s="25">
        <v>9.0020833333333332</v>
      </c>
      <c r="AR480" s="25">
        <v>9.1041666666666696</v>
      </c>
      <c r="AS480" s="25">
        <v>9.0729166666666732</v>
      </c>
      <c r="AT480" s="25">
        <v>0.21606249999999996</v>
      </c>
      <c r="AU480" s="25">
        <v>0.15621428571428572</v>
      </c>
      <c r="AV480" s="25">
        <v>0.25068749999999984</v>
      </c>
      <c r="AW480" s="25">
        <v>-324.80833333333356</v>
      </c>
      <c r="AX480" s="25">
        <v>-62.146041666666683</v>
      </c>
      <c r="AY480" s="25">
        <v>-145.31041666666664</v>
      </c>
      <c r="AZ480" s="25"/>
      <c r="BA480" s="25">
        <v>-45.9375</v>
      </c>
      <c r="BB480" s="25">
        <v>-30.05</v>
      </c>
      <c r="BC480" s="25"/>
      <c r="BD480" s="25">
        <v>8.6645833333333346</v>
      </c>
      <c r="BE480" s="25">
        <v>8.4020833333333353</v>
      </c>
    </row>
    <row r="481" spans="1:57" x14ac:dyDescent="0.25">
      <c r="A481" s="1"/>
      <c r="B481" s="1"/>
      <c r="C481" s="22"/>
      <c r="D481" s="23">
        <v>44188</v>
      </c>
      <c r="E481" s="24"/>
      <c r="F481" s="24"/>
      <c r="G481" s="24"/>
      <c r="H481" s="24"/>
      <c r="I481" s="24"/>
      <c r="J481" s="24"/>
      <c r="K481" s="24"/>
      <c r="L481" s="24"/>
      <c r="M481" s="10"/>
      <c r="N481" s="25">
        <v>0.23233333333333347</v>
      </c>
      <c r="O481" s="25">
        <v>0.3010000000000001</v>
      </c>
      <c r="P481" s="25">
        <v>0.37410416666666668</v>
      </c>
      <c r="Q481" s="25">
        <v>0.38597916666666632</v>
      </c>
      <c r="R481" s="25">
        <v>0.39925000000000027</v>
      </c>
      <c r="S481" s="25">
        <v>0.30583333333333301</v>
      </c>
      <c r="T481" s="25">
        <v>0.311</v>
      </c>
      <c r="U481" s="25">
        <v>0.26699999999999985</v>
      </c>
      <c r="V481" s="25">
        <v>-271.94166666666661</v>
      </c>
      <c r="W481" s="25"/>
      <c r="X481" s="25">
        <v>-276.51666666666671</v>
      </c>
      <c r="Y481" s="25">
        <v>-249.27916666666667</v>
      </c>
      <c r="Z481" s="25">
        <v>-125.53541666666671</v>
      </c>
      <c r="AA481" s="25">
        <v>-212.45000000000005</v>
      </c>
      <c r="AB481" s="25">
        <v>-202.01249999999996</v>
      </c>
      <c r="AC481" s="25">
        <v>-222.38541666666677</v>
      </c>
      <c r="AD481" s="25">
        <v>-895.52083333333337</v>
      </c>
      <c r="AE481" s="25">
        <v>-1056.0833333333333</v>
      </c>
      <c r="AF481" s="25">
        <v>-1326.5625</v>
      </c>
      <c r="AG481" s="25">
        <v>-471.62916666666655</v>
      </c>
      <c r="AH481" s="25">
        <v>-23.672916666666666</v>
      </c>
      <c r="AI481" s="25">
        <v>-1174.875</v>
      </c>
      <c r="AJ481" s="25">
        <v>-3003.75</v>
      </c>
      <c r="AK481" s="25">
        <v>-6562.229166666667</v>
      </c>
      <c r="AL481" s="25">
        <v>8.6562500000000018</v>
      </c>
      <c r="AM481" s="25">
        <v>9.4479166666666625</v>
      </c>
      <c r="AN481" s="25">
        <v>10.100000000000005</v>
      </c>
      <c r="AO481" s="25">
        <v>10.579166666666676</v>
      </c>
      <c r="AP481" s="25">
        <v>8.1124999999999989</v>
      </c>
      <c r="AQ481" s="25">
        <v>8.8916666666666657</v>
      </c>
      <c r="AR481" s="25">
        <v>9.1000000000000068</v>
      </c>
      <c r="AS481" s="25">
        <v>9.1666666666666679</v>
      </c>
      <c r="AT481" s="25">
        <v>0.21347916666666666</v>
      </c>
      <c r="AU481" s="25">
        <v>0.15035483870967734</v>
      </c>
      <c r="AV481" s="25">
        <v>0.24931249999999991</v>
      </c>
      <c r="AW481" s="25">
        <v>-324.91666666666669</v>
      </c>
      <c r="AX481" s="25">
        <v>-65.149791666666687</v>
      </c>
      <c r="AY481" s="25">
        <v>-141.01249999999996</v>
      </c>
      <c r="AZ481" s="25"/>
      <c r="BA481" s="25">
        <v>-60.29375000000001</v>
      </c>
      <c r="BB481" s="25">
        <v>-32.502083333333331</v>
      </c>
      <c r="BC481" s="25"/>
      <c r="BD481" s="25">
        <v>8.7916666666666679</v>
      </c>
      <c r="BE481" s="25">
        <v>8.4854166666666675</v>
      </c>
    </row>
    <row r="482" spans="1:57" x14ac:dyDescent="0.25">
      <c r="A482" s="1"/>
      <c r="B482" s="1"/>
      <c r="C482" s="22"/>
      <c r="D482" s="23">
        <v>44189</v>
      </c>
      <c r="E482" s="24"/>
      <c r="F482" s="24"/>
      <c r="G482" s="24"/>
      <c r="H482" s="24"/>
      <c r="I482" s="24"/>
      <c r="J482" s="24"/>
      <c r="K482" s="24"/>
      <c r="L482" s="24"/>
      <c r="M482" s="10"/>
      <c r="N482" s="25">
        <v>0.23225000000000021</v>
      </c>
      <c r="O482" s="25">
        <v>0.30070833333333347</v>
      </c>
      <c r="P482" s="25">
        <v>0.3742708333333335</v>
      </c>
      <c r="Q482" s="25">
        <v>0.38599999999999962</v>
      </c>
      <c r="R482" s="25">
        <v>0.3994166666666667</v>
      </c>
      <c r="S482" s="25">
        <v>0.3058749999999999</v>
      </c>
      <c r="T482" s="25">
        <v>0.311</v>
      </c>
      <c r="U482" s="25">
        <v>0.26699999999999985</v>
      </c>
      <c r="V482" s="25">
        <v>-275.04791666666671</v>
      </c>
      <c r="W482" s="25"/>
      <c r="X482" s="25">
        <v>-277.01249999999999</v>
      </c>
      <c r="Y482" s="25">
        <v>-249.71666666666661</v>
      </c>
      <c r="Z482" s="25">
        <v>-122.96875000000001</v>
      </c>
      <c r="AA482" s="25">
        <v>-211.68124999999995</v>
      </c>
      <c r="AB482" s="25">
        <v>-201.85625000000005</v>
      </c>
      <c r="AC482" s="25">
        <v>-221.3354166666667</v>
      </c>
      <c r="AD482" s="25">
        <v>-867.66666666666663</v>
      </c>
      <c r="AE482" s="25">
        <v>-1052.1666666666667</v>
      </c>
      <c r="AF482" s="25">
        <v>-1343.8125</v>
      </c>
      <c r="AG482" s="25">
        <v>-475.48958333333326</v>
      </c>
      <c r="AH482" s="25">
        <v>-27.789583333333336</v>
      </c>
      <c r="AI482" s="25">
        <v>-1175.8333333333333</v>
      </c>
      <c r="AJ482" s="25">
        <v>-3025.3333333333335</v>
      </c>
      <c r="AK482" s="25">
        <v>-6721</v>
      </c>
      <c r="AL482" s="25">
        <v>8.6250000000000053</v>
      </c>
      <c r="AM482" s="25">
        <v>9.4229166666666675</v>
      </c>
      <c r="AN482" s="25">
        <v>10.156250000000005</v>
      </c>
      <c r="AO482" s="25">
        <v>10.60000000000001</v>
      </c>
      <c r="AP482" s="25">
        <v>8.0833333333333339</v>
      </c>
      <c r="AQ482" s="25">
        <v>8.8145833333333332</v>
      </c>
      <c r="AR482" s="25">
        <v>9.0562500000000021</v>
      </c>
      <c r="AS482" s="25">
        <v>9.1479166666666707</v>
      </c>
      <c r="AT482" s="25">
        <v>0.21142553191489363</v>
      </c>
      <c r="AU482" s="25">
        <v>0.14610869565217383</v>
      </c>
      <c r="AV482" s="25">
        <v>0.24783333333333324</v>
      </c>
      <c r="AW482" s="25">
        <v>-324.80833333333368</v>
      </c>
      <c r="AX482" s="25">
        <v>-67.491875000000022</v>
      </c>
      <c r="AY482" s="25">
        <v>-138.03541666666666</v>
      </c>
      <c r="AZ482" s="25"/>
      <c r="BA482" s="25">
        <v>-79.389583333333348</v>
      </c>
      <c r="BB482" s="25">
        <v>-37.231250000000003</v>
      </c>
      <c r="BC482" s="25"/>
      <c r="BD482" s="25">
        <v>8.8979166666666654</v>
      </c>
      <c r="BE482" s="25">
        <v>8.5395833333333311</v>
      </c>
    </row>
    <row r="483" spans="1:57" x14ac:dyDescent="0.25">
      <c r="A483" s="1"/>
      <c r="B483" s="1"/>
      <c r="C483" s="22"/>
      <c r="D483" s="23">
        <v>44190</v>
      </c>
      <c r="E483" s="24"/>
      <c r="F483" s="24"/>
      <c r="G483" s="24"/>
      <c r="H483" s="24"/>
      <c r="I483" s="24"/>
      <c r="J483" s="24"/>
      <c r="K483" s="24"/>
      <c r="L483" s="24"/>
      <c r="M483" s="10"/>
      <c r="N483" s="25">
        <v>0.23256250000000023</v>
      </c>
      <c r="O483" s="25">
        <v>0.3010000000000001</v>
      </c>
      <c r="P483" s="25">
        <v>0.3746458333333334</v>
      </c>
      <c r="Q483" s="25">
        <v>0.38599999999999962</v>
      </c>
      <c r="R483" s="25">
        <v>0.3998541666666669</v>
      </c>
      <c r="S483" s="25">
        <v>0.30570833333333297</v>
      </c>
      <c r="T483" s="25">
        <v>0.3113749999999999</v>
      </c>
      <c r="U483" s="25">
        <v>0.26681249999999984</v>
      </c>
      <c r="V483" s="25">
        <v>-278.36874999999998</v>
      </c>
      <c r="W483" s="25"/>
      <c r="X483" s="25">
        <v>-276.0604166666667</v>
      </c>
      <c r="Y483" s="25">
        <v>-249.96041666666659</v>
      </c>
      <c r="Z483" s="25">
        <v>-120.46458333333332</v>
      </c>
      <c r="AA483" s="25">
        <v>-210.10624999999993</v>
      </c>
      <c r="AB483" s="25">
        <v>-200.7833333333333</v>
      </c>
      <c r="AC483" s="25">
        <v>-221.54583333333338</v>
      </c>
      <c r="AD483" s="25">
        <v>-828.27083333333337</v>
      </c>
      <c r="AE483" s="25">
        <v>-1041.3125</v>
      </c>
      <c r="AF483" s="25">
        <v>-1357.1458333333333</v>
      </c>
      <c r="AG483" s="25">
        <v>-478.32499999999999</v>
      </c>
      <c r="AH483" s="25">
        <v>-33.337499999999999</v>
      </c>
      <c r="AI483" s="25">
        <v>-1163.375</v>
      </c>
      <c r="AJ483" s="25">
        <v>-3006.1458333333335</v>
      </c>
      <c r="AK483" s="25">
        <v>-6709</v>
      </c>
      <c r="AL483" s="25">
        <v>8.6937499999999996</v>
      </c>
      <c r="AM483" s="25">
        <v>9.493749999999995</v>
      </c>
      <c r="AN483" s="25">
        <v>10.199999999999992</v>
      </c>
      <c r="AO483" s="25">
        <v>10.60000000000001</v>
      </c>
      <c r="AP483" s="25">
        <v>8.0833333333333304</v>
      </c>
      <c r="AQ483" s="25">
        <v>8.8937500000000007</v>
      </c>
      <c r="AR483" s="25">
        <v>9.13333333333334</v>
      </c>
      <c r="AS483" s="25">
        <v>9.2124999999999932</v>
      </c>
      <c r="AT483" s="25">
        <v>0.20966666666666681</v>
      </c>
      <c r="AU483" s="25">
        <v>0.14209677419354833</v>
      </c>
      <c r="AV483" s="25">
        <v>0.24614583333333348</v>
      </c>
      <c r="AW483" s="25">
        <v>-324.86041666666694</v>
      </c>
      <c r="AX483" s="25">
        <v>-70.674166666666693</v>
      </c>
      <c r="AY483" s="25">
        <v>-135.57291666666666</v>
      </c>
      <c r="AZ483" s="25"/>
      <c r="BA483" s="25">
        <v>-115.26666666666667</v>
      </c>
      <c r="BB483" s="25">
        <v>-42.4375</v>
      </c>
      <c r="BC483" s="25"/>
      <c r="BD483" s="25">
        <v>8.9104166666666647</v>
      </c>
      <c r="BE483" s="25">
        <v>8.6020833333333311</v>
      </c>
    </row>
    <row r="484" spans="1:57" x14ac:dyDescent="0.25">
      <c r="A484" s="1"/>
      <c r="B484" s="1"/>
      <c r="C484" s="22"/>
      <c r="D484" s="23">
        <v>44191</v>
      </c>
      <c r="E484" s="24"/>
      <c r="F484" s="24"/>
      <c r="G484" s="24"/>
      <c r="H484" s="24"/>
      <c r="I484" s="24"/>
      <c r="J484" s="24"/>
      <c r="K484" s="24"/>
      <c r="L484" s="24"/>
      <c r="M484" s="10"/>
      <c r="N484" s="25">
        <v>0.23297916666666671</v>
      </c>
      <c r="O484" s="25">
        <v>0.3010000000000001</v>
      </c>
      <c r="P484" s="25">
        <v>0.37493749999999998</v>
      </c>
      <c r="Q484" s="25">
        <v>0.38599999999999962</v>
      </c>
      <c r="R484" s="25">
        <v>0.40027083333333335</v>
      </c>
      <c r="S484" s="25">
        <v>0.3053958333333332</v>
      </c>
      <c r="T484" s="25">
        <v>0.31149999999999983</v>
      </c>
      <c r="U484" s="25">
        <v>0.26614583333333336</v>
      </c>
      <c r="V484" s="25">
        <v>-285.31458333333336</v>
      </c>
      <c r="W484" s="25"/>
      <c r="X484" s="25">
        <v>-275.82083333333327</v>
      </c>
      <c r="Y484" s="25">
        <v>-250.24374999999995</v>
      </c>
      <c r="Z484" s="25">
        <v>-118.65416666666665</v>
      </c>
      <c r="AA484" s="25">
        <v>-208.8354166666667</v>
      </c>
      <c r="AB484" s="25">
        <v>-200.33958333333331</v>
      </c>
      <c r="AC484" s="25">
        <v>-221.59375</v>
      </c>
      <c r="AD484" s="25">
        <v>-806.89166666666642</v>
      </c>
      <c r="AE484" s="25">
        <v>-1037.4583333333333</v>
      </c>
      <c r="AF484" s="25">
        <v>-1366.9166666666667</v>
      </c>
      <c r="AG484" s="25">
        <v>-478.88333333333338</v>
      </c>
      <c r="AH484" s="25">
        <v>-39.502083333333324</v>
      </c>
      <c r="AI484" s="25">
        <v>-1156.125</v>
      </c>
      <c r="AJ484" s="25">
        <v>-2993.1041666666665</v>
      </c>
      <c r="AK484" s="25">
        <v>-6582.416666666667</v>
      </c>
      <c r="AL484" s="25">
        <v>8.7104166666666725</v>
      </c>
      <c r="AM484" s="25">
        <v>9.5479166666666639</v>
      </c>
      <c r="AN484" s="25">
        <v>10.199999999999992</v>
      </c>
      <c r="AO484" s="25">
        <v>10.60000000000001</v>
      </c>
      <c r="AP484" s="25">
        <v>8.0000000000000018</v>
      </c>
      <c r="AQ484" s="25">
        <v>8.9020833333333389</v>
      </c>
      <c r="AR484" s="25">
        <v>9.1604166666666718</v>
      </c>
      <c r="AS484" s="25">
        <v>9.2437500000000004</v>
      </c>
      <c r="AT484" s="25">
        <v>0.20887804878048771</v>
      </c>
      <c r="AU484" s="25">
        <v>0.1408958333333333</v>
      </c>
      <c r="AV484" s="25">
        <v>0.24516666666666651</v>
      </c>
      <c r="AW484" s="25">
        <v>-325</v>
      </c>
      <c r="AX484" s="25">
        <v>-73.823958333333323</v>
      </c>
      <c r="AY484" s="25">
        <v>-133.49166666666667</v>
      </c>
      <c r="AZ484" s="25"/>
      <c r="BA484" s="25">
        <v>-138.10208333333335</v>
      </c>
      <c r="BB484" s="25">
        <v>-46.158333333333353</v>
      </c>
      <c r="BC484" s="25"/>
      <c r="BD484" s="25">
        <v>8.7354166666666639</v>
      </c>
      <c r="BE484" s="25">
        <v>8.6083333333333325</v>
      </c>
    </row>
    <row r="485" spans="1:57" x14ac:dyDescent="0.25">
      <c r="A485" s="1"/>
      <c r="B485" s="1"/>
      <c r="C485" s="22"/>
      <c r="D485" s="23">
        <v>44192</v>
      </c>
      <c r="E485" s="24"/>
      <c r="F485" s="24"/>
      <c r="G485" s="24"/>
      <c r="H485" s="24"/>
      <c r="I485" s="24"/>
      <c r="J485" s="24"/>
      <c r="K485" s="24"/>
      <c r="L485" s="24"/>
      <c r="M485" s="10"/>
      <c r="N485" s="25">
        <v>0.23266666666666672</v>
      </c>
      <c r="O485" s="25">
        <v>0.3005208333333334</v>
      </c>
      <c r="P485" s="25">
        <v>0.3742708333333335</v>
      </c>
      <c r="Q485" s="25">
        <v>0.38599999999999962</v>
      </c>
      <c r="R485" s="25">
        <v>0.40008333333333357</v>
      </c>
      <c r="S485" s="25">
        <v>0.30545833333333311</v>
      </c>
      <c r="T485" s="25">
        <v>0.31154166666666661</v>
      </c>
      <c r="U485" s="25">
        <v>0.26637499999999992</v>
      </c>
      <c r="V485" s="25">
        <v>-287.8354166666665</v>
      </c>
      <c r="W485" s="25"/>
      <c r="X485" s="25">
        <v>-276.19374999999997</v>
      </c>
      <c r="Y485" s="25">
        <v>-250.67916666666665</v>
      </c>
      <c r="Z485" s="25">
        <v>-116.21250000000008</v>
      </c>
      <c r="AA485" s="25">
        <v>-207.88541666666663</v>
      </c>
      <c r="AB485" s="25">
        <v>-200.5291666666667</v>
      </c>
      <c r="AC485" s="25">
        <v>-221.28125000000003</v>
      </c>
      <c r="AD485" s="25">
        <v>-785.69583333333355</v>
      </c>
      <c r="AE485" s="25">
        <v>-1037.75</v>
      </c>
      <c r="AF485" s="25">
        <v>-1379.3541666666667</v>
      </c>
      <c r="AG485" s="25">
        <v>-480.41666666666657</v>
      </c>
      <c r="AH485" s="25">
        <v>-41.477083333333333</v>
      </c>
      <c r="AI485" s="25">
        <v>-1159.9166666666667</v>
      </c>
      <c r="AJ485" s="25">
        <v>-3035.3958333333335</v>
      </c>
      <c r="AK485" s="25">
        <v>-6737.8125</v>
      </c>
      <c r="AL485" s="25">
        <v>8.6854166666666703</v>
      </c>
      <c r="AM485" s="25">
        <v>9.4145833333333382</v>
      </c>
      <c r="AN485" s="25">
        <v>10.139583333333341</v>
      </c>
      <c r="AO485" s="25">
        <v>10.60000000000001</v>
      </c>
      <c r="AP485" s="25">
        <v>8.1125000000000007</v>
      </c>
      <c r="AQ485" s="25">
        <v>8.7499999999999982</v>
      </c>
      <c r="AR485" s="25">
        <v>9.0062499999999996</v>
      </c>
      <c r="AS485" s="25">
        <v>9.1354166666666732</v>
      </c>
      <c r="AT485" s="25">
        <v>0.20847916666666655</v>
      </c>
      <c r="AU485" s="25">
        <v>0.14026086956521747</v>
      </c>
      <c r="AV485" s="25">
        <v>0.24502083333333347</v>
      </c>
      <c r="AW485" s="25">
        <v>-324.78541666666678</v>
      </c>
      <c r="AX485" s="25">
        <v>-74.694583333333313</v>
      </c>
      <c r="AY485" s="25">
        <v>-129.97083333333327</v>
      </c>
      <c r="AZ485" s="25"/>
      <c r="BA485" s="25">
        <v>-145.92291666666668</v>
      </c>
      <c r="BB485" s="25">
        <v>-48.864583333333336</v>
      </c>
      <c r="BC485" s="25"/>
      <c r="BD485" s="25">
        <v>9.1666666666666679</v>
      </c>
      <c r="BE485" s="25">
        <v>8.7562499999999961</v>
      </c>
    </row>
    <row r="486" spans="1:57" x14ac:dyDescent="0.25">
      <c r="A486" s="1"/>
      <c r="B486" s="1"/>
      <c r="C486" s="22"/>
      <c r="D486" s="23">
        <v>44193</v>
      </c>
      <c r="E486" s="24"/>
      <c r="F486" s="24"/>
      <c r="G486" s="24"/>
      <c r="H486" s="24"/>
      <c r="I486" s="24"/>
      <c r="J486" s="24"/>
      <c r="K486" s="24"/>
      <c r="L486" s="24"/>
      <c r="M486" s="10"/>
      <c r="N486" s="25">
        <v>0.23572916666666663</v>
      </c>
      <c r="O486" s="25">
        <v>0.30258333333333332</v>
      </c>
      <c r="P486" s="25">
        <v>0.37618750000000006</v>
      </c>
      <c r="Q486" s="25">
        <v>0.38664583333333363</v>
      </c>
      <c r="R486" s="25">
        <v>0.40475</v>
      </c>
      <c r="S486" s="25">
        <v>0.30710416666666673</v>
      </c>
      <c r="T486" s="25">
        <v>0.31222916666666684</v>
      </c>
      <c r="U486" s="25">
        <v>0.26645833333333319</v>
      </c>
      <c r="V486" s="25">
        <v>-275.13958333333329</v>
      </c>
      <c r="W486" s="25"/>
      <c r="X486" s="25">
        <v>-271.71250000000003</v>
      </c>
      <c r="Y486" s="25">
        <v>-248.93541666666667</v>
      </c>
      <c r="Z486" s="25">
        <v>-107.64583333333331</v>
      </c>
      <c r="AA486" s="25">
        <v>-202.59583333333333</v>
      </c>
      <c r="AB486" s="25">
        <v>-197.2895833333333</v>
      </c>
      <c r="AC486" s="25">
        <v>-218.59583333333333</v>
      </c>
      <c r="AD486" s="25">
        <v>-700.76458333333323</v>
      </c>
      <c r="AE486" s="25">
        <v>-996.16666666666663</v>
      </c>
      <c r="AF486" s="25">
        <v>-1356.625</v>
      </c>
      <c r="AG486" s="25">
        <v>-479.98541666666659</v>
      </c>
      <c r="AH486" s="25">
        <v>-45.752083333333339</v>
      </c>
      <c r="AI486" s="25">
        <v>-1061.4583333333333</v>
      </c>
      <c r="AJ486" s="25">
        <v>-2802.3125</v>
      </c>
      <c r="AK486" s="25">
        <v>-6247.479166666667</v>
      </c>
      <c r="AL486" s="25">
        <v>10.050000000000001</v>
      </c>
      <c r="AM486" s="25">
        <v>9.9145833333333311</v>
      </c>
      <c r="AN486" s="25">
        <v>10.279166666666667</v>
      </c>
      <c r="AO486" s="25">
        <v>10.622916666666669</v>
      </c>
      <c r="AP486" s="25">
        <v>10.085416666666667</v>
      </c>
      <c r="AQ486" s="25">
        <v>9.6791666666666689</v>
      </c>
      <c r="AR486" s="25">
        <v>9.5041666666666682</v>
      </c>
      <c r="AS486" s="25">
        <v>9.4395833333333332</v>
      </c>
      <c r="AT486" s="25">
        <v>0.20964444444444447</v>
      </c>
      <c r="AU486" s="25">
        <v>0.13823809523809524</v>
      </c>
      <c r="AV486" s="25">
        <v>0.24672916666666678</v>
      </c>
      <c r="AW486" s="25">
        <v>-323.10833333333335</v>
      </c>
      <c r="AX486" s="25">
        <v>-78.337083333333354</v>
      </c>
      <c r="AY486" s="25">
        <v>-127.77500000000001</v>
      </c>
      <c r="AZ486" s="25"/>
      <c r="BA486" s="25">
        <v>-203.08541666666665</v>
      </c>
      <c r="BB486" s="25">
        <v>-58.133333333333354</v>
      </c>
      <c r="BC486" s="25"/>
      <c r="BD486" s="25">
        <v>10.866666666666669</v>
      </c>
      <c r="BE486" s="25">
        <v>10.039583333333335</v>
      </c>
    </row>
    <row r="487" spans="1:57" x14ac:dyDescent="0.25">
      <c r="A487" s="1"/>
      <c r="B487" s="1"/>
      <c r="C487" s="22"/>
      <c r="D487" s="23">
        <v>44194</v>
      </c>
      <c r="E487" s="24"/>
      <c r="F487" s="24"/>
      <c r="G487" s="24"/>
      <c r="H487" s="24"/>
      <c r="I487" s="24"/>
      <c r="J487" s="24"/>
      <c r="K487" s="24"/>
      <c r="L487" s="24"/>
      <c r="M487" s="10"/>
      <c r="N487" s="25">
        <v>0.23541666666666669</v>
      </c>
      <c r="O487" s="25">
        <v>0.30431250000000015</v>
      </c>
      <c r="P487" s="25">
        <v>0.37883333333333319</v>
      </c>
      <c r="Q487" s="25">
        <v>0.38868749999999963</v>
      </c>
      <c r="R487" s="25">
        <v>0.40564583333333304</v>
      </c>
      <c r="S487" s="25">
        <v>0.31016666666666676</v>
      </c>
      <c r="T487" s="25">
        <v>0.31375000000000008</v>
      </c>
      <c r="U487" s="25">
        <v>0.26779166666666682</v>
      </c>
      <c r="V487" s="25">
        <v>-290.8416666666667</v>
      </c>
      <c r="W487" s="25"/>
      <c r="X487" s="25">
        <v>-265.67708333333326</v>
      </c>
      <c r="Y487" s="25">
        <v>-245.07916666666668</v>
      </c>
      <c r="Z487" s="25">
        <v>-110.48541666666667</v>
      </c>
      <c r="AA487" s="25">
        <v>-200.65624999999991</v>
      </c>
      <c r="AB487" s="25">
        <v>-193.95208333333332</v>
      </c>
      <c r="AC487" s="25">
        <v>-214.71875000000009</v>
      </c>
      <c r="AD487" s="25">
        <v>-678.04166666666652</v>
      </c>
      <c r="AE487" s="25">
        <v>-958.04166666666663</v>
      </c>
      <c r="AF487" s="25">
        <v>-1311.9791666666667</v>
      </c>
      <c r="AG487" s="25">
        <v>-475.37708333333336</v>
      </c>
      <c r="AH487" s="25">
        <v>-49.477083333333333</v>
      </c>
      <c r="AI487" s="25">
        <v>-1021.75</v>
      </c>
      <c r="AJ487" s="25">
        <v>-2627.3958333333335</v>
      </c>
      <c r="AK487" s="25">
        <v>-5174.916666666667</v>
      </c>
      <c r="AL487" s="25">
        <v>9.8583333333333343</v>
      </c>
      <c r="AM487" s="25">
        <v>10.452083333333333</v>
      </c>
      <c r="AN487" s="25">
        <v>10.664583333333324</v>
      </c>
      <c r="AO487" s="25">
        <v>10.860416666666657</v>
      </c>
      <c r="AP487" s="25">
        <v>9.2583333333333346</v>
      </c>
      <c r="AQ487" s="25">
        <v>10.11458333333333</v>
      </c>
      <c r="AR487" s="25">
        <v>10.129166666666663</v>
      </c>
      <c r="AS487" s="25">
        <v>10.058333333333332</v>
      </c>
      <c r="AT487" s="25">
        <v>0.20539583333333333</v>
      </c>
      <c r="AU487" s="25">
        <v>0.1344166666666666</v>
      </c>
      <c r="AV487" s="25">
        <v>0.24389583333333334</v>
      </c>
      <c r="AW487" s="25">
        <v>-324.89791666666679</v>
      </c>
      <c r="AX487" s="25">
        <v>-88.997916666666683</v>
      </c>
      <c r="AY487" s="25">
        <v>-311.14999999999998</v>
      </c>
      <c r="AZ487" s="25"/>
      <c r="BA487" s="25">
        <v>-389.89791666666673</v>
      </c>
      <c r="BB487" s="25">
        <v>-75.231250000000003</v>
      </c>
      <c r="BC487" s="25"/>
      <c r="BD487" s="25">
        <v>9.1666666666666679</v>
      </c>
      <c r="BE487" s="25">
        <v>9.3812499999999961</v>
      </c>
    </row>
    <row r="488" spans="1:57" x14ac:dyDescent="0.25">
      <c r="A488" s="1"/>
      <c r="B488" s="1"/>
      <c r="C488" s="22"/>
      <c r="D488" s="23">
        <v>44195</v>
      </c>
      <c r="E488" s="24"/>
      <c r="F488" s="24"/>
      <c r="G488" s="24"/>
      <c r="H488" s="24"/>
      <c r="I488" s="24"/>
      <c r="J488" s="24"/>
      <c r="K488" s="24"/>
      <c r="L488" s="24"/>
      <c r="M488" s="10"/>
      <c r="N488" s="25">
        <v>0.23183333333333334</v>
      </c>
      <c r="O488" s="25">
        <v>0.30145833333333344</v>
      </c>
      <c r="P488" s="25">
        <v>0.37618749999999984</v>
      </c>
      <c r="Q488" s="25">
        <v>0.38810416666666675</v>
      </c>
      <c r="R488" s="25">
        <v>0.40027083333333358</v>
      </c>
      <c r="S488" s="25">
        <v>0.30822916666666672</v>
      </c>
      <c r="T488" s="25">
        <v>0.31277083333333316</v>
      </c>
      <c r="U488" s="25">
        <v>0.26797916666666682</v>
      </c>
      <c r="V488" s="25">
        <v>-307.51458333333318</v>
      </c>
      <c r="W488" s="25"/>
      <c r="X488" s="25">
        <v>-269.8770833333333</v>
      </c>
      <c r="Y488" s="25">
        <v>-245.55833333333337</v>
      </c>
      <c r="Z488" s="25">
        <v>-117.26666666666667</v>
      </c>
      <c r="AA488" s="25">
        <v>-204.52708333333337</v>
      </c>
      <c r="AB488" s="25">
        <v>-196.70833333333334</v>
      </c>
      <c r="AC488" s="25">
        <v>-215.97291666666672</v>
      </c>
      <c r="AD488" s="25">
        <v>-729.30416666666679</v>
      </c>
      <c r="AE488" s="25">
        <v>-995.70833333333337</v>
      </c>
      <c r="AF488" s="25">
        <v>-1320.7291666666667</v>
      </c>
      <c r="AG488" s="25">
        <v>-475.35624999999999</v>
      </c>
      <c r="AH488" s="25">
        <v>-48.675000000000004</v>
      </c>
      <c r="AI488" s="25">
        <v>-1113.9375</v>
      </c>
      <c r="AJ488" s="25">
        <v>-2785.5625</v>
      </c>
      <c r="AK488" s="25">
        <v>-5896.291666666667</v>
      </c>
      <c r="AL488" s="25">
        <v>8.3583333333333307</v>
      </c>
      <c r="AM488" s="25">
        <v>9.7479166666666668</v>
      </c>
      <c r="AN488" s="25">
        <v>10.518749999999994</v>
      </c>
      <c r="AO488" s="25">
        <v>10.872916666666667</v>
      </c>
      <c r="AP488" s="25">
        <v>7.1187500000000012</v>
      </c>
      <c r="AQ488" s="25">
        <v>8.8458333333333332</v>
      </c>
      <c r="AR488" s="25">
        <v>9.37916666666667</v>
      </c>
      <c r="AS488" s="25">
        <v>9.58958333333333</v>
      </c>
      <c r="AT488" s="25">
        <v>0.20087499999999983</v>
      </c>
      <c r="AU488" s="25">
        <v>0.13077083333333336</v>
      </c>
      <c r="AV488" s="25">
        <v>0.23954166666666679</v>
      </c>
      <c r="AW488" s="25">
        <v>-321.88749999999987</v>
      </c>
      <c r="AX488" s="25">
        <v>-91.28541666666662</v>
      </c>
      <c r="AY488" s="25"/>
      <c r="AZ488" s="25"/>
      <c r="BA488" s="25">
        <v>-527.25625000000014</v>
      </c>
      <c r="BB488" s="25">
        <v>-84.162500000000009</v>
      </c>
      <c r="BC488" s="25"/>
      <c r="BD488" s="25">
        <v>7.616666666666668</v>
      </c>
      <c r="BE488" s="25">
        <v>8.0874999999999968</v>
      </c>
    </row>
    <row r="489" spans="1:57" x14ac:dyDescent="0.25">
      <c r="A489" s="1"/>
      <c r="B489" s="1"/>
      <c r="C489" s="22"/>
      <c r="D489" s="23">
        <v>44196</v>
      </c>
      <c r="E489" s="24"/>
      <c r="F489" s="24"/>
      <c r="G489" s="24"/>
      <c r="H489" s="24"/>
      <c r="I489" s="24"/>
      <c r="J489" s="24"/>
      <c r="K489" s="24"/>
      <c r="L489" s="24"/>
      <c r="M489" s="10"/>
      <c r="N489" s="25">
        <v>0.23004166666666684</v>
      </c>
      <c r="O489" s="25">
        <v>0.29866666666666675</v>
      </c>
      <c r="P489" s="25">
        <v>0.37293749999999987</v>
      </c>
      <c r="Q489" s="25">
        <v>0.38608333333333328</v>
      </c>
      <c r="R489" s="25">
        <v>0.39631250000000035</v>
      </c>
      <c r="S489" s="25">
        <v>0.30564583333333323</v>
      </c>
      <c r="T489" s="25">
        <v>0.31104166666666672</v>
      </c>
      <c r="U489" s="25">
        <v>0.2669999999999999</v>
      </c>
      <c r="V489" s="25">
        <v>-313.81666666666672</v>
      </c>
      <c r="W489" s="25"/>
      <c r="X489" s="25">
        <v>-276.79374999999987</v>
      </c>
      <c r="Y489" s="25">
        <v>-249.9291666666667</v>
      </c>
      <c r="Z489" s="25">
        <v>-119.89791666666669</v>
      </c>
      <c r="AA489" s="25">
        <v>-207.98124999999996</v>
      </c>
      <c r="AB489" s="25">
        <v>-201.42083333333332</v>
      </c>
      <c r="AC489" s="25">
        <v>-220.04166666666666</v>
      </c>
      <c r="AD489" s="25">
        <v>-744.56875000000002</v>
      </c>
      <c r="AE489" s="25">
        <v>-1040.4791666666667</v>
      </c>
      <c r="AF489" s="25">
        <v>-1399.7708333333333</v>
      </c>
      <c r="AG489" s="25">
        <v>-481.18541666666687</v>
      </c>
      <c r="AH489" s="25">
        <v>-49.099999999999994</v>
      </c>
      <c r="AI489" s="25">
        <v>-1186.0833333333333</v>
      </c>
      <c r="AJ489" s="25">
        <v>-3071</v>
      </c>
      <c r="AK489" s="25">
        <v>-6884.104166666667</v>
      </c>
      <c r="AL489" s="25">
        <v>7.3666666666666645</v>
      </c>
      <c r="AM489" s="25">
        <v>9.02708333333333</v>
      </c>
      <c r="AN489" s="25">
        <v>10.054166666666662</v>
      </c>
      <c r="AO489" s="25">
        <v>10.604166666666668</v>
      </c>
      <c r="AP489" s="25">
        <v>6.0708333333333329</v>
      </c>
      <c r="AQ489" s="25">
        <v>7.9291666666666707</v>
      </c>
      <c r="AR489" s="25">
        <v>8.6104166666666568</v>
      </c>
      <c r="AS489" s="25">
        <v>8.9291666666666654</v>
      </c>
      <c r="AT489" s="25">
        <v>0.19762500000000005</v>
      </c>
      <c r="AU489" s="25">
        <v>0.12809090909090909</v>
      </c>
      <c r="AV489" s="25">
        <v>0.23647916666666671</v>
      </c>
      <c r="AW489" s="25">
        <v>-318.27708333333328</v>
      </c>
      <c r="AX489" s="25">
        <v>-88.918750000000031</v>
      </c>
      <c r="AY489" s="25"/>
      <c r="AZ489" s="25"/>
      <c r="BA489" s="25">
        <v>-614.74791666666658</v>
      </c>
      <c r="BB489" s="25">
        <v>-88.975000000000009</v>
      </c>
      <c r="BC489" s="25"/>
      <c r="BD489" s="25">
        <v>6.9187500000000002</v>
      </c>
      <c r="BE489" s="25">
        <v>7.1562499999999991</v>
      </c>
    </row>
    <row r="490" spans="1:57" x14ac:dyDescent="0.25">
      <c r="A490" s="1"/>
      <c r="B490" s="1"/>
      <c r="C490" s="22"/>
      <c r="D490" s="23">
        <v>44197</v>
      </c>
      <c r="E490" s="24"/>
      <c r="F490" s="24"/>
      <c r="G490" s="24"/>
      <c r="H490" s="24"/>
      <c r="I490" s="24"/>
      <c r="J490" s="24"/>
      <c r="K490" s="24"/>
      <c r="L490" s="24"/>
      <c r="M490" s="10"/>
      <c r="N490" s="25">
        <v>0.22958333333333336</v>
      </c>
      <c r="O490" s="25">
        <v>0.29702083333333351</v>
      </c>
      <c r="P490" s="25">
        <v>0.37077083333333299</v>
      </c>
      <c r="Q490" s="25">
        <v>0.38460416666666669</v>
      </c>
      <c r="R490" s="25">
        <v>0.39466666666666694</v>
      </c>
      <c r="S490" s="25">
        <v>0.30437500000000012</v>
      </c>
      <c r="T490" s="25">
        <v>0.30995833333333339</v>
      </c>
      <c r="U490" s="25">
        <v>0.26602083333333332</v>
      </c>
      <c r="V490" s="25">
        <v>-312.3104166666667</v>
      </c>
      <c r="W490" s="25"/>
      <c r="X490" s="25">
        <v>-282.58541666666662</v>
      </c>
      <c r="Y490" s="25">
        <v>-255.01041666666666</v>
      </c>
      <c r="Z490" s="25">
        <v>-118.41874999999999</v>
      </c>
      <c r="AA490" s="25">
        <v>-210.07083333333321</v>
      </c>
      <c r="AB490" s="25">
        <v>-205.17916666666676</v>
      </c>
      <c r="AC490" s="25">
        <v>-223.85416666666666</v>
      </c>
      <c r="AD490" s="25">
        <v>-742.7708333333336</v>
      </c>
      <c r="AE490" s="25">
        <v>-1061.125</v>
      </c>
      <c r="AF490" s="25">
        <v>-1460.6041666666667</v>
      </c>
      <c r="AG490" s="25">
        <v>-487.05625000000009</v>
      </c>
      <c r="AH490" s="25">
        <v>-52.389583333333341</v>
      </c>
      <c r="AI490" s="25">
        <v>-1215.8958333333333</v>
      </c>
      <c r="AJ490" s="25">
        <v>-3253.5</v>
      </c>
      <c r="AK490" s="25">
        <v>-7375.2051282051279</v>
      </c>
      <c r="AL490" s="25">
        <v>7.154166666666665</v>
      </c>
      <c r="AM490" s="25">
        <v>8.5687499999999996</v>
      </c>
      <c r="AN490" s="25">
        <v>9.6062499999999975</v>
      </c>
      <c r="AO490" s="25">
        <v>10.268750000000002</v>
      </c>
      <c r="AP490" s="25">
        <v>6.1499999999999977</v>
      </c>
      <c r="AQ490" s="25">
        <v>7.4604166666666609</v>
      </c>
      <c r="AR490" s="25">
        <v>8.1333333333333346</v>
      </c>
      <c r="AS490" s="25">
        <v>8.4500000000000011</v>
      </c>
      <c r="AT490" s="25">
        <v>0.19589583333333327</v>
      </c>
      <c r="AU490" s="25">
        <v>0.12622222222222215</v>
      </c>
      <c r="AV490" s="25">
        <v>0.23512500000000003</v>
      </c>
      <c r="AW490" s="25">
        <v>-319.2083333333332</v>
      </c>
      <c r="AX490" s="25">
        <v>-86.004166666666663</v>
      </c>
      <c r="AY490" s="25"/>
      <c r="AZ490" s="25"/>
      <c r="BA490" s="25">
        <v>-727.17916666666667</v>
      </c>
      <c r="BB490" s="25">
        <v>-97.30625000000002</v>
      </c>
      <c r="BC490" s="25"/>
      <c r="BD490" s="25">
        <v>7.1791666666666671</v>
      </c>
      <c r="BE490" s="25">
        <v>7.2479166666666659</v>
      </c>
    </row>
    <row r="491" spans="1:57" x14ac:dyDescent="0.25">
      <c r="A491" s="1"/>
      <c r="B491" s="1"/>
      <c r="C491" s="22"/>
      <c r="D491" s="23">
        <v>44198</v>
      </c>
      <c r="E491" s="24"/>
      <c r="F491" s="24"/>
      <c r="G491" s="24"/>
      <c r="H491" s="24"/>
      <c r="I491" s="24"/>
      <c r="J491" s="24"/>
      <c r="K491" s="24"/>
      <c r="L491" s="24"/>
      <c r="M491" s="10"/>
      <c r="N491" s="25">
        <v>0.23093749999999993</v>
      </c>
      <c r="O491" s="25">
        <v>0.29722916666666682</v>
      </c>
      <c r="P491" s="25">
        <v>0.37100000000000016</v>
      </c>
      <c r="Q491" s="25">
        <v>0.38400000000000017</v>
      </c>
      <c r="R491" s="25">
        <v>0.39614583333333359</v>
      </c>
      <c r="S491" s="25">
        <v>0.30443750000000008</v>
      </c>
      <c r="T491" s="25">
        <v>0.31000000000000011</v>
      </c>
      <c r="U491" s="25">
        <v>0.2652916666666667</v>
      </c>
      <c r="V491" s="25">
        <v>-312.22916666666674</v>
      </c>
      <c r="W491" s="25"/>
      <c r="X491" s="25">
        <v>-283.29583333333329</v>
      </c>
      <c r="Y491" s="25">
        <v>-257.86458333333331</v>
      </c>
      <c r="Z491" s="25">
        <v>-115.2520833333333</v>
      </c>
      <c r="AA491" s="25">
        <v>-208.09374999999997</v>
      </c>
      <c r="AB491" s="25">
        <v>-205.16458333333335</v>
      </c>
      <c r="AC491" s="25">
        <v>-224.6354166666666</v>
      </c>
      <c r="AD491" s="25">
        <v>-712.68125000000009</v>
      </c>
      <c r="AE491" s="25">
        <v>-1050.2291666666667</v>
      </c>
      <c r="AF491" s="25">
        <v>-1468.75</v>
      </c>
      <c r="AG491" s="25">
        <v>-491.23541666666648</v>
      </c>
      <c r="AH491" s="25">
        <v>-60.093750000000007</v>
      </c>
      <c r="AI491" s="25">
        <v>-1183.1041666666667</v>
      </c>
      <c r="AJ491" s="25">
        <v>-3285.3958333333335</v>
      </c>
      <c r="AK491" s="25">
        <v>-7455.886363636364</v>
      </c>
      <c r="AL491" s="25">
        <v>7.5916666666666712</v>
      </c>
      <c r="AM491" s="25">
        <v>8.6624999999999996</v>
      </c>
      <c r="AN491" s="25">
        <v>9.4770833333333275</v>
      </c>
      <c r="AO491" s="25">
        <v>10.004166666666666</v>
      </c>
      <c r="AP491" s="25">
        <v>6.727083333333332</v>
      </c>
      <c r="AQ491" s="25">
        <v>7.8687499999999995</v>
      </c>
      <c r="AR491" s="25">
        <v>8.2770833333333353</v>
      </c>
      <c r="AS491" s="25">
        <v>8.46041666666666</v>
      </c>
      <c r="AT491" s="25">
        <v>0.19462500000000008</v>
      </c>
      <c r="AU491" s="25"/>
      <c r="AV491" s="25">
        <v>0.23397916666666671</v>
      </c>
      <c r="AW491" s="25">
        <v>-320.51041666666669</v>
      </c>
      <c r="AX491" s="25">
        <v>-87.40625</v>
      </c>
      <c r="AY491" s="25"/>
      <c r="AZ491" s="25"/>
      <c r="BA491" s="25">
        <v>-879</v>
      </c>
      <c r="BB491" s="25">
        <v>-116.12708333333332</v>
      </c>
      <c r="BC491" s="25"/>
      <c r="BD491" s="25">
        <v>7.7125000000000012</v>
      </c>
      <c r="BE491" s="25">
        <v>7.4833333333333334</v>
      </c>
    </row>
    <row r="492" spans="1:57" x14ac:dyDescent="0.25">
      <c r="A492" s="1"/>
      <c r="B492" s="1"/>
      <c r="C492" s="22"/>
      <c r="D492" s="23">
        <v>44199</v>
      </c>
      <c r="E492" s="24"/>
      <c r="F492" s="24"/>
      <c r="G492" s="24"/>
      <c r="H492" s="24"/>
      <c r="I492" s="24"/>
      <c r="J492" s="24"/>
      <c r="K492" s="24"/>
      <c r="L492" s="24"/>
      <c r="M492" s="10"/>
      <c r="N492" s="25">
        <v>0.2309999999999999</v>
      </c>
      <c r="O492" s="25">
        <v>0.2972916666666669</v>
      </c>
      <c r="P492" s="25">
        <v>0.37075000000000019</v>
      </c>
      <c r="Q492" s="25">
        <v>0.38395833333333346</v>
      </c>
      <c r="R492" s="25">
        <v>0.39543749999999983</v>
      </c>
      <c r="S492" s="25">
        <v>0.30387500000000017</v>
      </c>
      <c r="T492" s="25">
        <v>0.3097499999999998</v>
      </c>
      <c r="U492" s="25">
        <v>0.26445833333333346</v>
      </c>
      <c r="V492" s="25">
        <v>-318.18125000000015</v>
      </c>
      <c r="W492" s="25"/>
      <c r="X492" s="25">
        <v>-283.26458333333323</v>
      </c>
      <c r="Y492" s="25">
        <v>-259.16041666666678</v>
      </c>
      <c r="Z492" s="25">
        <v>-115.98541666666667</v>
      </c>
      <c r="AA492" s="25">
        <v>-207.72499999999982</v>
      </c>
      <c r="AB492" s="25">
        <v>-204.86458333333346</v>
      </c>
      <c r="AC492" s="25">
        <v>-223.83125000000015</v>
      </c>
      <c r="AD492" s="25">
        <v>-712.45624999999984</v>
      </c>
      <c r="AE492" s="25">
        <v>-1038.8958333333333</v>
      </c>
      <c r="AF492" s="25">
        <v>-1459.6875</v>
      </c>
      <c r="AG492" s="25">
        <v>-491.59791666666678</v>
      </c>
      <c r="AH492" s="25">
        <v>-63.866666666666653</v>
      </c>
      <c r="AI492" s="25">
        <v>-1197.6458333333333</v>
      </c>
      <c r="AJ492" s="25">
        <v>-3315.125</v>
      </c>
      <c r="AK492" s="25">
        <v>-7452.75</v>
      </c>
      <c r="AL492" s="25">
        <v>7.383333333333332</v>
      </c>
      <c r="AM492" s="25">
        <v>8.5937499999999982</v>
      </c>
      <c r="AN492" s="25">
        <v>9.3958333333333286</v>
      </c>
      <c r="AO492" s="25">
        <v>9.9395833333333226</v>
      </c>
      <c r="AP492" s="25">
        <v>6.4562499999999972</v>
      </c>
      <c r="AQ492" s="25">
        <v>7.7354166666666684</v>
      </c>
      <c r="AR492" s="25">
        <v>8.2104166666666725</v>
      </c>
      <c r="AS492" s="25">
        <v>8.4249999999999989</v>
      </c>
      <c r="AT492" s="25">
        <v>0.19422916666666679</v>
      </c>
      <c r="AU492" s="25"/>
      <c r="AV492" s="25">
        <v>0.23593750000000005</v>
      </c>
      <c r="AW492" s="25">
        <v>-318.02708333333345</v>
      </c>
      <c r="AX492" s="25">
        <v>-91.399999999999991</v>
      </c>
      <c r="AY492" s="25"/>
      <c r="AZ492" s="25"/>
      <c r="BA492" s="25">
        <v>-944.70833333333337</v>
      </c>
      <c r="BB492" s="25">
        <v>-130.14166666666662</v>
      </c>
      <c r="BC492" s="25"/>
      <c r="BD492" s="25">
        <v>7.1562499999999991</v>
      </c>
      <c r="BE492" s="25">
        <v>7.2708333333333357</v>
      </c>
    </row>
    <row r="493" spans="1:57" x14ac:dyDescent="0.25">
      <c r="A493" s="1"/>
      <c r="B493" s="1"/>
      <c r="C493" s="22"/>
      <c r="D493" s="23">
        <v>44200</v>
      </c>
      <c r="E493" s="24"/>
      <c r="F493" s="24"/>
      <c r="G493" s="24"/>
      <c r="H493" s="24"/>
      <c r="I493" s="24"/>
      <c r="J493" s="24"/>
      <c r="K493" s="24"/>
      <c r="L493" s="24"/>
      <c r="M493" s="10"/>
      <c r="N493" s="25">
        <v>0.23070833333333332</v>
      </c>
      <c r="O493" s="25">
        <v>0.29700000000000021</v>
      </c>
      <c r="P493" s="25">
        <v>0.3700833333333331</v>
      </c>
      <c r="Q493" s="25">
        <v>0.38306249999999958</v>
      </c>
      <c r="R493" s="25">
        <v>0.39454166666666657</v>
      </c>
      <c r="S493" s="25">
        <v>0.30241666666666661</v>
      </c>
      <c r="T493" s="25">
        <v>0.3092916666666663</v>
      </c>
      <c r="U493" s="25">
        <v>0.26377083333333334</v>
      </c>
      <c r="V493" s="25">
        <v>-320.74999999999994</v>
      </c>
      <c r="W493" s="25"/>
      <c r="X493" s="25">
        <v>-285.70208333333335</v>
      </c>
      <c r="Y493" s="25">
        <v>-261.19166666666678</v>
      </c>
      <c r="Z493" s="25">
        <v>-116.82291666666669</v>
      </c>
      <c r="AA493" s="25">
        <v>-208.20416666666657</v>
      </c>
      <c r="AB493" s="25">
        <v>-206.56666666666663</v>
      </c>
      <c r="AC493" s="25">
        <v>-225.13958333333335</v>
      </c>
      <c r="AD493" s="25">
        <v>-718.37291666666681</v>
      </c>
      <c r="AE493" s="25">
        <v>-1051.6458333333333</v>
      </c>
      <c r="AF493" s="25">
        <v>-1474.8125</v>
      </c>
      <c r="AG493" s="25">
        <v>-493.96666666666664</v>
      </c>
      <c r="AH493" s="25">
        <v>-58.612500000000004</v>
      </c>
      <c r="AI493" s="25">
        <v>-1232.3333333333333</v>
      </c>
      <c r="AJ493" s="25">
        <v>-3388.9166666666665</v>
      </c>
      <c r="AK493" s="25">
        <v>-7471.3928571428569</v>
      </c>
      <c r="AL493" s="25">
        <v>7.127083333333335</v>
      </c>
      <c r="AM493" s="25">
        <v>8.3916666666666675</v>
      </c>
      <c r="AN493" s="25">
        <v>9.2541666666666647</v>
      </c>
      <c r="AO493" s="25">
        <v>9.8083333333333353</v>
      </c>
      <c r="AP493" s="25">
        <v>6.2229166666666673</v>
      </c>
      <c r="AQ493" s="25">
        <v>7.4375000000000009</v>
      </c>
      <c r="AR493" s="25">
        <v>7.9979166666666615</v>
      </c>
      <c r="AS493" s="25">
        <v>8.2395833333333268</v>
      </c>
      <c r="AT493" s="25">
        <v>0.1965744680851064</v>
      </c>
      <c r="AU493" s="25"/>
      <c r="AV493" s="25">
        <v>0.23860416666666662</v>
      </c>
      <c r="AW493" s="25">
        <v>-313.47291666666655</v>
      </c>
      <c r="AX493" s="25">
        <v>-90.11666666666666</v>
      </c>
      <c r="AY493" s="25"/>
      <c r="AZ493" s="25"/>
      <c r="BA493" s="25">
        <v>-888.5625</v>
      </c>
      <c r="BB493" s="25">
        <v>-138.32291666666666</v>
      </c>
      <c r="BC493" s="25"/>
      <c r="BD493" s="25">
        <v>7.2104166666666698</v>
      </c>
      <c r="BE493" s="25">
        <v>7.0854166666666698</v>
      </c>
    </row>
    <row r="494" spans="1:57" x14ac:dyDescent="0.25">
      <c r="A494" s="1"/>
      <c r="B494" s="1"/>
      <c r="C494" s="22"/>
      <c r="D494" s="23">
        <v>44201</v>
      </c>
      <c r="E494" s="24"/>
      <c r="F494" s="24"/>
      <c r="G494" s="24"/>
      <c r="H494" s="24"/>
      <c r="I494" s="24"/>
      <c r="J494" s="24"/>
      <c r="K494" s="24"/>
      <c r="L494" s="24"/>
      <c r="M494" s="10"/>
      <c r="N494" s="25">
        <v>0.23112499999999989</v>
      </c>
      <c r="O494" s="25">
        <v>0.29700000000000021</v>
      </c>
      <c r="P494" s="25">
        <v>0.36999999999999972</v>
      </c>
      <c r="Q494" s="25">
        <v>0.38299999999999951</v>
      </c>
      <c r="R494" s="25">
        <v>0.39504166666666646</v>
      </c>
      <c r="S494" s="25">
        <v>0.30291666666666689</v>
      </c>
      <c r="T494" s="25">
        <v>0.30899999999999972</v>
      </c>
      <c r="U494" s="25">
        <v>0.26362499999999983</v>
      </c>
      <c r="V494" s="25">
        <v>-320.63124999999997</v>
      </c>
      <c r="W494" s="25"/>
      <c r="X494" s="25">
        <v>-286.58749999999992</v>
      </c>
      <c r="Y494" s="25">
        <v>-262.94791666666663</v>
      </c>
      <c r="Z494" s="25">
        <v>-115.71666666666665</v>
      </c>
      <c r="AA494" s="25">
        <v>-207.67083333333326</v>
      </c>
      <c r="AB494" s="25">
        <v>-207.06041666666658</v>
      </c>
      <c r="AC494" s="25">
        <v>-225.54999999999998</v>
      </c>
      <c r="AD494" s="25">
        <v>-701.43750000000011</v>
      </c>
      <c r="AE494" s="25">
        <v>-1043.3958333333333</v>
      </c>
      <c r="AF494" s="25">
        <v>-1482.0833333333333</v>
      </c>
      <c r="AG494" s="25">
        <v>-494.68333333333334</v>
      </c>
      <c r="AH494" s="25">
        <v>-19.860416666666666</v>
      </c>
      <c r="AI494" s="25">
        <v>-1219.3541666666667</v>
      </c>
      <c r="AJ494" s="25">
        <v>-3400.625</v>
      </c>
      <c r="AK494" s="25">
        <v>-7504.375</v>
      </c>
      <c r="AL494" s="25">
        <v>7.2520833333333314</v>
      </c>
      <c r="AM494" s="25">
        <v>8.372916666666665</v>
      </c>
      <c r="AN494" s="25">
        <v>9.1604166666666718</v>
      </c>
      <c r="AO494" s="25">
        <v>9.6812499999999986</v>
      </c>
      <c r="AP494" s="25">
        <v>6.4604166666666663</v>
      </c>
      <c r="AQ494" s="25">
        <v>7.5125000000000073</v>
      </c>
      <c r="AR494" s="25">
        <v>7.9979166666666659</v>
      </c>
      <c r="AS494" s="25">
        <v>8.1645833333333364</v>
      </c>
      <c r="AT494" s="25">
        <v>0.22562222222222231</v>
      </c>
      <c r="AU494" s="25">
        <v>0.18483783783783783</v>
      </c>
      <c r="AV494" s="25">
        <v>0.25616666666666643</v>
      </c>
      <c r="AW494" s="25">
        <v>-318.02083333333331</v>
      </c>
      <c r="AX494" s="25">
        <v>-85.49166666666666</v>
      </c>
      <c r="AY494" s="25"/>
      <c r="AZ494" s="25"/>
      <c r="BA494" s="25">
        <v>-663.05833333333328</v>
      </c>
      <c r="BB494" s="25">
        <v>-142.0083333333333</v>
      </c>
      <c r="BC494" s="25"/>
      <c r="BD494" s="25">
        <v>7.2937499999999993</v>
      </c>
      <c r="BE494" s="25">
        <v>7.2062500000000034</v>
      </c>
    </row>
    <row r="495" spans="1:57" x14ac:dyDescent="0.25">
      <c r="A495" s="1">
        <v>1.6</v>
      </c>
      <c r="B495" s="1">
        <v>0.1</v>
      </c>
      <c r="C495" s="22"/>
      <c r="D495" s="23">
        <v>44202</v>
      </c>
      <c r="E495" s="24">
        <v>28.076923076923077</v>
      </c>
      <c r="F495" s="24">
        <v>94.402564102564099</v>
      </c>
      <c r="G495" s="24">
        <v>0.75128205128205117</v>
      </c>
      <c r="H495" s="24">
        <v>0.60000000000000009</v>
      </c>
      <c r="I495" s="24">
        <v>217.02564102564102</v>
      </c>
      <c r="J495" s="24">
        <v>3.4358974358974357</v>
      </c>
      <c r="K495" s="24">
        <v>0.12820512820512819</v>
      </c>
      <c r="L495" s="24">
        <v>-4.3589743589743608E-2</v>
      </c>
      <c r="M495" s="10">
        <v>3.6279950429882565E-2</v>
      </c>
      <c r="N495" s="25">
        <v>0.2309999999999999</v>
      </c>
      <c r="O495" s="25">
        <v>0.29662499999999997</v>
      </c>
      <c r="P495" s="25">
        <v>0.36937499999999995</v>
      </c>
      <c r="Q495" s="25">
        <v>0.38250000000000006</v>
      </c>
      <c r="R495" s="25">
        <v>0.39418749999999986</v>
      </c>
      <c r="S495" s="25">
        <v>0.30233333333333318</v>
      </c>
      <c r="T495" s="25">
        <v>0.30891666666666645</v>
      </c>
      <c r="U495" s="25">
        <v>0.26333333333333325</v>
      </c>
      <c r="V495" s="25">
        <v>-321.05624999999998</v>
      </c>
      <c r="W495" s="25"/>
      <c r="X495" s="25">
        <v>-286.35833333333346</v>
      </c>
      <c r="Y495" s="25">
        <v>-263.30416666666662</v>
      </c>
      <c r="Z495" s="25">
        <v>-116.60416666666663</v>
      </c>
      <c r="AA495" s="25">
        <v>-207.2270833333333</v>
      </c>
      <c r="AB495" s="25">
        <v>-206.56041666666658</v>
      </c>
      <c r="AC495" s="25">
        <v>-225.04166666666674</v>
      </c>
      <c r="AD495" s="25">
        <v>-702.86458333333337</v>
      </c>
      <c r="AE495" s="25">
        <v>-1045.8333333333333</v>
      </c>
      <c r="AF495" s="25">
        <v>-1481.4583333333333</v>
      </c>
      <c r="AG495" s="25">
        <v>-495.24374999999992</v>
      </c>
      <c r="AH495" s="25">
        <v>-15.916666666666664</v>
      </c>
      <c r="AI495" s="25">
        <v>-1242.5</v>
      </c>
      <c r="AJ495" s="25">
        <v>-3436.8958333333335</v>
      </c>
      <c r="AK495" s="25"/>
      <c r="AL495" s="25">
        <v>6.9270833333333348</v>
      </c>
      <c r="AM495" s="25">
        <v>8.2499999999999947</v>
      </c>
      <c r="AN495" s="25">
        <v>9.0666666666666664</v>
      </c>
      <c r="AO495" s="25">
        <v>9.5875000000000057</v>
      </c>
      <c r="AP495" s="25">
        <v>5.9666666666666659</v>
      </c>
      <c r="AQ495" s="25">
        <v>7.3125</v>
      </c>
      <c r="AR495" s="25">
        <v>7.8708333333333407</v>
      </c>
      <c r="AS495" s="25">
        <v>8.0666666666666647</v>
      </c>
      <c r="AT495" s="25">
        <v>0.22634210526315793</v>
      </c>
      <c r="AU495" s="25">
        <v>0.18681250000000008</v>
      </c>
      <c r="AV495" s="25">
        <v>0.26191666666666674</v>
      </c>
      <c r="AW495" s="25">
        <v>-316.30624999999998</v>
      </c>
      <c r="AX495" s="25">
        <v>-73.79895833333336</v>
      </c>
      <c r="AY495" s="25"/>
      <c r="AZ495" s="25"/>
      <c r="BA495" s="25">
        <v>-313.81458333333342</v>
      </c>
      <c r="BB495" s="25">
        <v>-119.83541666666667</v>
      </c>
      <c r="BC495" s="25"/>
      <c r="BD495" s="25">
        <v>6.7645833333333307</v>
      </c>
      <c r="BE495" s="25">
        <v>6.7166666666666659</v>
      </c>
    </row>
    <row r="496" spans="1:57" x14ac:dyDescent="0.25">
      <c r="A496" s="1">
        <v>-0.1</v>
      </c>
      <c r="B496" s="1">
        <v>-3.3</v>
      </c>
      <c r="C496" s="22"/>
      <c r="D496" s="23">
        <v>44203</v>
      </c>
      <c r="E496" s="24">
        <v>19.5</v>
      </c>
      <c r="F496" s="24">
        <v>93.293749999999989</v>
      </c>
      <c r="G496" s="24">
        <v>-1.3791666666666667</v>
      </c>
      <c r="H496" s="24">
        <v>0.2</v>
      </c>
      <c r="I496" s="24">
        <v>227.27083333333334</v>
      </c>
      <c r="J496" s="24">
        <v>4.916666666666667</v>
      </c>
      <c r="K496" s="24">
        <v>0.10416666666666667</v>
      </c>
      <c r="L496" s="24">
        <v>-2.3291666666666666</v>
      </c>
      <c r="M496" s="10">
        <v>3.7003657403551764E-2</v>
      </c>
      <c r="N496" s="25">
        <v>0.23018750000000018</v>
      </c>
      <c r="O496" s="25">
        <v>0.29525000000000001</v>
      </c>
      <c r="P496" s="25">
        <v>0.36847916666666664</v>
      </c>
      <c r="Q496" s="25">
        <v>0.3816666666666666</v>
      </c>
      <c r="R496" s="25">
        <v>0.39231249999999962</v>
      </c>
      <c r="S496" s="25">
        <v>0.30179166666666651</v>
      </c>
      <c r="T496" s="25">
        <v>0.30806249999999991</v>
      </c>
      <c r="U496" s="25">
        <v>0.26299999999999996</v>
      </c>
      <c r="V496" s="25">
        <v>-322.58750000000003</v>
      </c>
      <c r="W496" s="25"/>
      <c r="X496" s="25">
        <v>-289.96249999999992</v>
      </c>
      <c r="Y496" s="25">
        <v>-266.39166666666659</v>
      </c>
      <c r="Z496" s="25">
        <v>-118.57291666666669</v>
      </c>
      <c r="AA496" s="25">
        <v>-209.47708333333333</v>
      </c>
      <c r="AB496" s="25">
        <v>-208.6895833333333</v>
      </c>
      <c r="AC496" s="25">
        <v>-227.04999999999995</v>
      </c>
      <c r="AD496" s="25">
        <v>-704.39791666666667</v>
      </c>
      <c r="AE496" s="25">
        <v>-1057.2708333333333</v>
      </c>
      <c r="AF496" s="25">
        <v>-1497.375</v>
      </c>
      <c r="AG496" s="25">
        <v>-496.18333333333356</v>
      </c>
      <c r="AH496" s="25">
        <v>-14.12291666666667</v>
      </c>
      <c r="AI496" s="25">
        <v>-1298.4166666666667</v>
      </c>
      <c r="AJ496" s="25">
        <v>-3585.8958333333335</v>
      </c>
      <c r="AK496" s="25"/>
      <c r="AL496" s="25">
        <v>6.2666666666666622</v>
      </c>
      <c r="AM496" s="25">
        <v>7.8916666666666702</v>
      </c>
      <c r="AN496" s="25">
        <v>8.8812500000000032</v>
      </c>
      <c r="AO496" s="25">
        <v>9.447916666666659</v>
      </c>
      <c r="AP496" s="25">
        <v>5.039583333333332</v>
      </c>
      <c r="AQ496" s="25">
        <v>6.8125000000000009</v>
      </c>
      <c r="AR496" s="25">
        <v>7.4541666666666684</v>
      </c>
      <c r="AS496" s="25">
        <v>7.7833333333333421</v>
      </c>
      <c r="AT496" s="25">
        <v>0.22543749999999987</v>
      </c>
      <c r="AU496" s="25">
        <v>0.18734042553191493</v>
      </c>
      <c r="AV496" s="25">
        <v>0.26352083333333309</v>
      </c>
      <c r="AW496" s="25">
        <v>-313.27916666666664</v>
      </c>
      <c r="AX496" s="25">
        <v>-64.098124999999996</v>
      </c>
      <c r="AY496" s="25"/>
      <c r="AZ496" s="25"/>
      <c r="BA496" s="25">
        <v>-163.77708333333337</v>
      </c>
      <c r="BB496" s="25">
        <v>-91.749999999999986</v>
      </c>
      <c r="BC496" s="25"/>
      <c r="BD496" s="25">
        <v>5.8791666666666655</v>
      </c>
      <c r="BE496" s="25">
        <v>5.9854166666666684</v>
      </c>
    </row>
    <row r="497" spans="1:57" x14ac:dyDescent="0.25">
      <c r="A497" s="1">
        <v>-1.8</v>
      </c>
      <c r="B497" s="1">
        <v>-4.0999999999999996</v>
      </c>
      <c r="C497" s="22"/>
      <c r="D497" s="23">
        <v>44204</v>
      </c>
      <c r="E497" s="24">
        <v>23.916666666666668</v>
      </c>
      <c r="F497" s="24">
        <v>90.470833333333346</v>
      </c>
      <c r="G497" s="24">
        <v>-2.9520833333333347</v>
      </c>
      <c r="H497" s="24">
        <v>0</v>
      </c>
      <c r="I497" s="24">
        <v>219.04166666666666</v>
      </c>
      <c r="J497" s="24">
        <v>4.604166666666667</v>
      </c>
      <c r="K497" s="24">
        <v>6.25E-2</v>
      </c>
      <c r="L497" s="24">
        <v>-4.3000000000000007</v>
      </c>
      <c r="M497" s="10">
        <v>4.7151724524248657E-2</v>
      </c>
      <c r="N497" s="25">
        <v>0.22860416666666647</v>
      </c>
      <c r="O497" s="25">
        <v>0.29304166666666653</v>
      </c>
      <c r="P497" s="25">
        <v>0.36597916666666652</v>
      </c>
      <c r="Q497" s="25">
        <v>0.38000000000000034</v>
      </c>
      <c r="R497" s="25">
        <v>0.38949999999999968</v>
      </c>
      <c r="S497" s="25">
        <v>0.30064583333333367</v>
      </c>
      <c r="T497" s="25">
        <v>0.30672916666666655</v>
      </c>
      <c r="U497" s="25">
        <v>0.26299999999999996</v>
      </c>
      <c r="V497" s="25">
        <v>-323.43333333333334</v>
      </c>
      <c r="W497" s="25"/>
      <c r="X497" s="25">
        <v>-294.99999999999983</v>
      </c>
      <c r="Y497" s="25">
        <v>-270.56666666666666</v>
      </c>
      <c r="Z497" s="25">
        <v>-120.66458333333338</v>
      </c>
      <c r="AA497" s="25">
        <v>-212.69583333333347</v>
      </c>
      <c r="AB497" s="25">
        <v>-212.3000000000001</v>
      </c>
      <c r="AC497" s="25">
        <v>-230.00833333333347</v>
      </c>
      <c r="AD497" s="25">
        <v>-703.34375</v>
      </c>
      <c r="AE497" s="25">
        <v>-1073.2916666666667</v>
      </c>
      <c r="AF497" s="25">
        <v>-1549.125</v>
      </c>
      <c r="AG497" s="25">
        <v>-498.20208333333335</v>
      </c>
      <c r="AH497" s="25">
        <v>-12.893749999999999</v>
      </c>
      <c r="AI497" s="25">
        <v>-1347.5416666666667</v>
      </c>
      <c r="AJ497" s="25">
        <v>-4005.5</v>
      </c>
      <c r="AK497" s="25"/>
      <c r="AL497" s="25">
        <v>5.335416666666668</v>
      </c>
      <c r="AM497" s="25">
        <v>7.2666666666666702</v>
      </c>
      <c r="AN497" s="25">
        <v>8.5354166666666611</v>
      </c>
      <c r="AO497" s="25">
        <v>9.1875000000000018</v>
      </c>
      <c r="AP497" s="25">
        <v>3.90625</v>
      </c>
      <c r="AQ497" s="25">
        <v>5.993750000000003</v>
      </c>
      <c r="AR497" s="25">
        <v>6.8458333333333377</v>
      </c>
      <c r="AS497" s="25">
        <v>7.2375000000000007</v>
      </c>
      <c r="AT497" s="25">
        <v>0.22233333333333338</v>
      </c>
      <c r="AU497" s="25">
        <v>0.18381250000000005</v>
      </c>
      <c r="AV497" s="25">
        <v>0.26374999999999982</v>
      </c>
      <c r="AW497" s="25">
        <v>-310.24999999999994</v>
      </c>
      <c r="AX497" s="25">
        <v>-51.368958333333318</v>
      </c>
      <c r="AY497" s="25"/>
      <c r="AZ497" s="25"/>
      <c r="BA497" s="25">
        <v>-101.5</v>
      </c>
      <c r="BB497" s="25">
        <v>-65.07916666666668</v>
      </c>
      <c r="BC497" s="25"/>
      <c r="BD497" s="25">
        <v>4.9812500000000011</v>
      </c>
      <c r="BE497" s="25">
        <v>5.0791666666666666</v>
      </c>
    </row>
    <row r="498" spans="1:57" x14ac:dyDescent="0.25">
      <c r="A498" s="1">
        <v>1.1000000000000001</v>
      </c>
      <c r="B498" s="1">
        <v>-3.4</v>
      </c>
      <c r="C498" s="22"/>
      <c r="D498" s="23">
        <v>44205</v>
      </c>
      <c r="E498" s="24">
        <v>54.25</v>
      </c>
      <c r="F498" s="24">
        <v>78.566666666666663</v>
      </c>
      <c r="G498" s="24">
        <v>-1.5770833333333336</v>
      </c>
      <c r="H498" s="24">
        <v>0.2</v>
      </c>
      <c r="I498" s="24">
        <v>233.75</v>
      </c>
      <c r="J498" s="24">
        <v>3.9583333333333335</v>
      </c>
      <c r="K498" s="24">
        <v>2.0833333333333332E-2</v>
      </c>
      <c r="L498" s="24">
        <v>-4.9291666666666663</v>
      </c>
      <c r="M498" s="10">
        <v>0.12209767764246758</v>
      </c>
      <c r="N498" s="25">
        <v>0.22852083333333309</v>
      </c>
      <c r="O498" s="25">
        <v>0.29175000000000001</v>
      </c>
      <c r="P498" s="25">
        <v>0.36420833333333374</v>
      </c>
      <c r="Q498" s="25">
        <v>0.37829166666666664</v>
      </c>
      <c r="R498" s="25">
        <v>0.38887500000000008</v>
      </c>
      <c r="S498" s="25">
        <v>0.29960416666666673</v>
      </c>
      <c r="T498" s="25">
        <v>0.30535416666666648</v>
      </c>
      <c r="U498" s="25">
        <v>0.26210416666666697</v>
      </c>
      <c r="V498" s="25">
        <v>-319.44375000000002</v>
      </c>
      <c r="W498" s="25"/>
      <c r="X498" s="25">
        <v>-299.20208333333318</v>
      </c>
      <c r="Y498" s="25">
        <v>-275.10625000000005</v>
      </c>
      <c r="Z498" s="25">
        <v>-117.64791666666663</v>
      </c>
      <c r="AA498" s="25">
        <v>-214.37291666666681</v>
      </c>
      <c r="AB498" s="25">
        <v>-215.74375000000012</v>
      </c>
      <c r="AC498" s="25">
        <v>-234.03749999999999</v>
      </c>
      <c r="AD498" s="25">
        <v>-672.39791666666667</v>
      </c>
      <c r="AE498" s="25">
        <v>-1083.1458333333333</v>
      </c>
      <c r="AF498" s="25">
        <v>-1626.1875</v>
      </c>
      <c r="AG498" s="25">
        <v>-501.22291666666678</v>
      </c>
      <c r="AH498" s="25">
        <v>-12.443749999999994</v>
      </c>
      <c r="AI498" s="25">
        <v>-1356.4791666666667</v>
      </c>
      <c r="AJ498" s="25">
        <v>-4289.041666666667</v>
      </c>
      <c r="AK498" s="25"/>
      <c r="AL498" s="25">
        <v>5.1770833333333348</v>
      </c>
      <c r="AM498" s="25">
        <v>6.8625000000000016</v>
      </c>
      <c r="AN498" s="25">
        <v>8.1583333333333332</v>
      </c>
      <c r="AO498" s="25">
        <v>8.860416666666671</v>
      </c>
      <c r="AP498" s="25">
        <v>3.9875000000000003</v>
      </c>
      <c r="AQ498" s="25">
        <v>5.595833333333335</v>
      </c>
      <c r="AR498" s="25">
        <v>6.4125000000000005</v>
      </c>
      <c r="AS498" s="25">
        <v>6.7958333333333307</v>
      </c>
      <c r="AT498" s="25">
        <v>0.22090000000000015</v>
      </c>
      <c r="AU498" s="25">
        <v>0.1806521739130435</v>
      </c>
      <c r="AV498" s="25">
        <v>0.26464583333333341</v>
      </c>
      <c r="AW498" s="25">
        <v>-316.01489361702119</v>
      </c>
      <c r="AX498" s="25">
        <v>-41.070833333333333</v>
      </c>
      <c r="AY498" s="25"/>
      <c r="AZ498" s="25"/>
      <c r="BA498" s="25">
        <v>-73.597916666666649</v>
      </c>
      <c r="BB498" s="25">
        <v>-50.404166666666669</v>
      </c>
      <c r="BC498" s="25"/>
      <c r="BD498" s="25">
        <v>5.2458333333333327</v>
      </c>
      <c r="BE498" s="25">
        <v>5.0333333333333332</v>
      </c>
    </row>
    <row r="499" spans="1:57" x14ac:dyDescent="0.25">
      <c r="A499" s="1">
        <v>1.3</v>
      </c>
      <c r="B499" s="1">
        <v>-2.2999999999999998</v>
      </c>
      <c r="C499" s="22"/>
      <c r="D499" s="23">
        <v>44206</v>
      </c>
      <c r="E499" s="24">
        <v>33.604166666666664</v>
      </c>
      <c r="F499" s="24">
        <v>75.177083333333329</v>
      </c>
      <c r="G499" s="24">
        <v>-1.1937499999999996</v>
      </c>
      <c r="H499" s="24">
        <v>0</v>
      </c>
      <c r="I499" s="24">
        <v>199.4375</v>
      </c>
      <c r="J499" s="24">
        <v>4.020833333333333</v>
      </c>
      <c r="K499" s="24">
        <v>0</v>
      </c>
      <c r="L499" s="24">
        <v>-5.0687500000000005</v>
      </c>
      <c r="M499" s="10">
        <v>0.14028227452256437</v>
      </c>
      <c r="N499" s="25">
        <v>0.2288958333333331</v>
      </c>
      <c r="O499" s="25">
        <v>0.29125000000000023</v>
      </c>
      <c r="P499" s="25">
        <v>0.36347916666666641</v>
      </c>
      <c r="Q499" s="25">
        <v>0.37702083333333342</v>
      </c>
      <c r="R499" s="25">
        <v>0.38899999999999985</v>
      </c>
      <c r="S499" s="25">
        <v>0.29960416666666673</v>
      </c>
      <c r="T499" s="25">
        <v>0.30499999999999983</v>
      </c>
      <c r="U499" s="25">
        <v>0.26139583333333311</v>
      </c>
      <c r="V499" s="25">
        <v>-315.67708333333343</v>
      </c>
      <c r="W499" s="25"/>
      <c r="X499" s="25">
        <v>-300.70208333333346</v>
      </c>
      <c r="Y499" s="25">
        <v>-277.63958333333329</v>
      </c>
      <c r="Z499" s="25">
        <v>-114.76875000000003</v>
      </c>
      <c r="AA499" s="25">
        <v>-214.13750000000007</v>
      </c>
      <c r="AB499" s="25">
        <v>-216.39375000000007</v>
      </c>
      <c r="AC499" s="25">
        <v>-235.88541666666674</v>
      </c>
      <c r="AD499" s="25">
        <v>-650.06250000000011</v>
      </c>
      <c r="AE499" s="25">
        <v>-1081.6458333333333</v>
      </c>
      <c r="AF499" s="25">
        <v>-1654.3333333333333</v>
      </c>
      <c r="AG499" s="25">
        <v>-503.55</v>
      </c>
      <c r="AH499" s="25">
        <v>-12.36666666666666</v>
      </c>
      <c r="AI499" s="25">
        <v>-1335.4166666666667</v>
      </c>
      <c r="AJ499" s="25">
        <v>-4398.3125</v>
      </c>
      <c r="AK499" s="25"/>
      <c r="AL499" s="25">
        <v>5.1083333333333343</v>
      </c>
      <c r="AM499" s="25">
        <v>6.7354166666666595</v>
      </c>
      <c r="AN499" s="25">
        <v>7.9541666666666595</v>
      </c>
      <c r="AO499" s="25">
        <v>8.6375000000000046</v>
      </c>
      <c r="AP499" s="25">
        <v>3.9062500000000004</v>
      </c>
      <c r="AQ499" s="25">
        <v>5.552083333333333</v>
      </c>
      <c r="AR499" s="25">
        <v>6.302083333333333</v>
      </c>
      <c r="AS499" s="25">
        <v>6.6312500000000005</v>
      </c>
      <c r="AT499" s="25">
        <v>0.21875000000000003</v>
      </c>
      <c r="AU499" s="25">
        <v>0.17587179487179494</v>
      </c>
      <c r="AV499" s="25">
        <v>0.26472916666666674</v>
      </c>
      <c r="AW499" s="25">
        <v>-319.57499999999999</v>
      </c>
      <c r="AX499" s="25">
        <v>-45.24083333333332</v>
      </c>
      <c r="AY499" s="25"/>
      <c r="AZ499" s="25"/>
      <c r="BA499" s="25">
        <v>-65.789583333333297</v>
      </c>
      <c r="BB499" s="25">
        <v>-44.856249999999996</v>
      </c>
      <c r="BC499" s="25"/>
      <c r="BD499" s="25">
        <v>5.1333333333333337</v>
      </c>
      <c r="BE499" s="25">
        <v>5.0145833333333334</v>
      </c>
    </row>
    <row r="500" spans="1:57" x14ac:dyDescent="0.25">
      <c r="A500" s="1">
        <v>1.2</v>
      </c>
      <c r="B500" s="1">
        <v>-2.6</v>
      </c>
      <c r="C500" s="22"/>
      <c r="D500" s="23">
        <v>44207</v>
      </c>
      <c r="E500" s="24">
        <v>35.25</v>
      </c>
      <c r="F500" s="24">
        <v>80.558333333333323</v>
      </c>
      <c r="G500" s="24">
        <v>-1.252083333333333</v>
      </c>
      <c r="H500" s="24">
        <v>0.4</v>
      </c>
      <c r="I500" s="24">
        <v>202.27083333333334</v>
      </c>
      <c r="J500" s="24">
        <v>4.479166666666667</v>
      </c>
      <c r="K500" s="24">
        <v>0</v>
      </c>
      <c r="L500" s="24">
        <v>-4.2250000000000005</v>
      </c>
      <c r="M500" s="10">
        <v>0.11102442650166555</v>
      </c>
      <c r="N500" s="25">
        <v>0.22858333333333311</v>
      </c>
      <c r="O500" s="25">
        <v>0.29041666666666638</v>
      </c>
      <c r="P500" s="25">
        <v>0.36270833333333313</v>
      </c>
      <c r="Q500" s="25">
        <v>0.37610416666666663</v>
      </c>
      <c r="R500" s="25">
        <v>0.3885416666666664</v>
      </c>
      <c r="S500" s="25">
        <v>0.29881249999999998</v>
      </c>
      <c r="T500" s="25">
        <v>0.3046875</v>
      </c>
      <c r="U500" s="25">
        <v>0.26099999999999979</v>
      </c>
      <c r="V500" s="25">
        <v>-312.32291666666669</v>
      </c>
      <c r="W500" s="25"/>
      <c r="X500" s="25">
        <v>-302.11874999999992</v>
      </c>
      <c r="Y500" s="25">
        <v>-280.31458333333325</v>
      </c>
      <c r="Z500" s="25">
        <v>-112.58333333333336</v>
      </c>
      <c r="AA500" s="25">
        <v>-214.94791666666666</v>
      </c>
      <c r="AB500" s="25">
        <v>-218.03750000000002</v>
      </c>
      <c r="AC500" s="25">
        <v>-236.51249999999996</v>
      </c>
      <c r="AD500" s="25">
        <v>-630.1166666666669</v>
      </c>
      <c r="AE500" s="25">
        <v>-1084.6041666666667</v>
      </c>
      <c r="AF500" s="25">
        <v>-1686.9166666666667</v>
      </c>
      <c r="AG500" s="25">
        <v>-505.18124999999992</v>
      </c>
      <c r="AH500" s="25">
        <v>-12.299999999999999</v>
      </c>
      <c r="AI500" s="25">
        <v>-1339.2708333333333</v>
      </c>
      <c r="AJ500" s="25">
        <v>-4481.083333333333</v>
      </c>
      <c r="AK500" s="25"/>
      <c r="AL500" s="25">
        <v>4.8812499999999996</v>
      </c>
      <c r="AM500" s="25">
        <v>6.5250000000000012</v>
      </c>
      <c r="AN500" s="25">
        <v>7.7354166666666737</v>
      </c>
      <c r="AO500" s="25">
        <v>8.449999999999994</v>
      </c>
      <c r="AP500" s="25">
        <v>3.65</v>
      </c>
      <c r="AQ500" s="25">
        <v>5.3145833333333332</v>
      </c>
      <c r="AR500" s="25">
        <v>6.0770833333333343</v>
      </c>
      <c r="AS500" s="25">
        <v>6.4166666666666714</v>
      </c>
      <c r="AT500" s="25">
        <v>0.21714634146341455</v>
      </c>
      <c r="AU500" s="25">
        <v>0.17256666666666665</v>
      </c>
      <c r="AV500" s="25">
        <v>0.2642500000000001</v>
      </c>
      <c r="AW500" s="25">
        <v>-318.11041666666648</v>
      </c>
      <c r="AX500" s="25">
        <v>-49.531041666666681</v>
      </c>
      <c r="AY500" s="25"/>
      <c r="AZ500" s="25"/>
      <c r="BA500" s="25">
        <v>-62.058333333333344</v>
      </c>
      <c r="BB500" s="25">
        <v>-41.456249999999997</v>
      </c>
      <c r="BC500" s="25"/>
      <c r="BD500" s="25">
        <v>4.945833333333332</v>
      </c>
      <c r="BE500" s="25">
        <v>4.8770833333333323</v>
      </c>
    </row>
    <row r="501" spans="1:57" x14ac:dyDescent="0.25">
      <c r="A501" s="1">
        <v>9.6</v>
      </c>
      <c r="B501" s="1">
        <v>-1.9</v>
      </c>
      <c r="C501" s="22"/>
      <c r="D501" s="23">
        <v>44208</v>
      </c>
      <c r="E501" s="24">
        <v>129.02083333333334</v>
      </c>
      <c r="F501" s="24">
        <v>52.79583333333332</v>
      </c>
      <c r="G501" s="24">
        <v>3.2166666666666672</v>
      </c>
      <c r="H501" s="24">
        <v>0</v>
      </c>
      <c r="I501" s="24">
        <v>162.33333333333334</v>
      </c>
      <c r="J501" s="24">
        <v>6.1875</v>
      </c>
      <c r="K501" s="24">
        <v>0.70833333333333337</v>
      </c>
      <c r="L501" s="24">
        <v>-6.887500000000002</v>
      </c>
      <c r="M501" s="10">
        <v>0.42675090022809731</v>
      </c>
      <c r="N501" s="25">
        <v>0.23006250000000014</v>
      </c>
      <c r="O501" s="25">
        <v>0.2907708333333332</v>
      </c>
      <c r="P501" s="25">
        <v>0.36237500000000006</v>
      </c>
      <c r="Q501" s="25">
        <v>0.37520833333333331</v>
      </c>
      <c r="R501" s="25">
        <v>0.39122916666666691</v>
      </c>
      <c r="S501" s="25">
        <v>0.29879166666666673</v>
      </c>
      <c r="T501" s="25">
        <v>0.30414583333333345</v>
      </c>
      <c r="U501" s="25">
        <v>0.26099999999999979</v>
      </c>
      <c r="V501" s="25">
        <v>-294.43333333333322</v>
      </c>
      <c r="W501" s="25"/>
      <c r="X501" s="25">
        <v>-303.40208333333322</v>
      </c>
      <c r="Y501" s="25">
        <v>-283.05833333333334</v>
      </c>
      <c r="Z501" s="25">
        <v>-104.31666666666668</v>
      </c>
      <c r="AA501" s="25">
        <v>-213.23124999999993</v>
      </c>
      <c r="AB501" s="25">
        <v>-218.3354166666667</v>
      </c>
      <c r="AC501" s="25">
        <v>-237.11458333333334</v>
      </c>
      <c r="AD501" s="25">
        <v>-592.19166666666661</v>
      </c>
      <c r="AE501" s="25">
        <v>-1078.6458333333333</v>
      </c>
      <c r="AF501" s="25">
        <v>-1707.4583333333333</v>
      </c>
      <c r="AG501" s="25">
        <v>-508.35000000000014</v>
      </c>
      <c r="AH501" s="25">
        <v>-12.43125</v>
      </c>
      <c r="AI501" s="25">
        <v>-1304.875</v>
      </c>
      <c r="AJ501" s="25">
        <v>-4499.8125</v>
      </c>
      <c r="AK501" s="25"/>
      <c r="AL501" s="25">
        <v>5.6416666666666657</v>
      </c>
      <c r="AM501" s="25">
        <v>6.5187500000000034</v>
      </c>
      <c r="AN501" s="25">
        <v>7.5479166666666684</v>
      </c>
      <c r="AO501" s="25">
        <v>8.2604166666666661</v>
      </c>
      <c r="AP501" s="25">
        <v>4.9395833333333332</v>
      </c>
      <c r="AQ501" s="25">
        <v>5.5854166666666645</v>
      </c>
      <c r="AR501" s="25">
        <v>6.0229166666666707</v>
      </c>
      <c r="AS501" s="25">
        <v>6.2937499999999957</v>
      </c>
      <c r="AT501" s="25">
        <v>0.21740425531914889</v>
      </c>
      <c r="AU501" s="25">
        <v>0.16718518518518521</v>
      </c>
      <c r="AV501" s="25">
        <v>0.26652083333333343</v>
      </c>
      <c r="AW501" s="25">
        <v>-322.60416666666669</v>
      </c>
      <c r="AX501" s="25">
        <v>-52.043333333333329</v>
      </c>
      <c r="AY501" s="25">
        <v>-112.02428571428572</v>
      </c>
      <c r="AZ501" s="25"/>
      <c r="BA501" s="25">
        <v>-63.537500000000023</v>
      </c>
      <c r="BB501" s="25">
        <v>-40.25416666666667</v>
      </c>
      <c r="BC501" s="25"/>
      <c r="BD501" s="25">
        <v>6.2208333333333323</v>
      </c>
      <c r="BE501" s="25">
        <v>6.03125</v>
      </c>
    </row>
    <row r="502" spans="1:57" x14ac:dyDescent="0.25">
      <c r="A502" s="1">
        <v>16.3</v>
      </c>
      <c r="B502" s="1">
        <v>-0.7</v>
      </c>
      <c r="C502" s="22"/>
      <c r="D502" s="23">
        <v>44209</v>
      </c>
      <c r="E502" s="24">
        <v>146.375</v>
      </c>
      <c r="F502" s="24">
        <v>50.60416666666665</v>
      </c>
      <c r="G502" s="24">
        <v>6.560416666666665</v>
      </c>
      <c r="H502" s="24">
        <v>0</v>
      </c>
      <c r="I502" s="24">
        <v>181.52083333333334</v>
      </c>
      <c r="J502" s="24">
        <v>3.9583333333333335</v>
      </c>
      <c r="K502" s="24">
        <v>8.3333333333333329E-2</v>
      </c>
      <c r="L502" s="24">
        <v>-3.2791666666666686</v>
      </c>
      <c r="M502" s="10">
        <v>0.54395172872547282</v>
      </c>
      <c r="N502" s="25">
        <v>0.23324999999999999</v>
      </c>
      <c r="O502" s="25">
        <v>0.29414583333333338</v>
      </c>
      <c r="P502" s="25">
        <v>0.36543750000000008</v>
      </c>
      <c r="Q502" s="25">
        <v>0.37595833333333317</v>
      </c>
      <c r="R502" s="25">
        <v>0.39789583333333328</v>
      </c>
      <c r="S502" s="25">
        <v>0.30141666666666672</v>
      </c>
      <c r="T502" s="25">
        <v>0.30518749999999978</v>
      </c>
      <c r="U502" s="25">
        <v>0.26102083333333315</v>
      </c>
      <c r="V502" s="25">
        <v>-270.56250000000011</v>
      </c>
      <c r="W502" s="25"/>
      <c r="X502" s="25">
        <v>-297.58124999999995</v>
      </c>
      <c r="Y502" s="25">
        <v>-281.45416666666665</v>
      </c>
      <c r="Z502" s="25">
        <v>-94.652083333333323</v>
      </c>
      <c r="AA502" s="25">
        <v>-205.67916666666665</v>
      </c>
      <c r="AB502" s="25">
        <v>-213.2895833333333</v>
      </c>
      <c r="AC502" s="25">
        <v>-233.12916666666672</v>
      </c>
      <c r="AD502" s="25">
        <v>-520.39583333333337</v>
      </c>
      <c r="AE502" s="25">
        <v>-1024.7291666666667</v>
      </c>
      <c r="AF502" s="25">
        <v>-1645.6041666666667</v>
      </c>
      <c r="AG502" s="25">
        <v>-506.45416666666671</v>
      </c>
      <c r="AH502" s="25">
        <v>-12.862499999999995</v>
      </c>
      <c r="AI502" s="25">
        <v>-1164.6458333333333</v>
      </c>
      <c r="AJ502" s="25">
        <v>-4221.3125</v>
      </c>
      <c r="AK502" s="25">
        <v>-7571.2777777777774</v>
      </c>
      <c r="AL502" s="25">
        <v>7.2520833333333323</v>
      </c>
      <c r="AM502" s="25">
        <v>7.2541666666666655</v>
      </c>
      <c r="AN502" s="25">
        <v>7.8583333333333307</v>
      </c>
      <c r="AO502" s="25">
        <v>8.3479166666666611</v>
      </c>
      <c r="AP502" s="25">
        <v>7.1333333333333329</v>
      </c>
      <c r="AQ502" s="25">
        <v>6.9062499999999991</v>
      </c>
      <c r="AR502" s="25">
        <v>6.8520833333333302</v>
      </c>
      <c r="AS502" s="25">
        <v>6.8229166666666652</v>
      </c>
      <c r="AT502" s="25">
        <v>0.21545652173913044</v>
      </c>
      <c r="AU502" s="25">
        <v>0.1594883720930233</v>
      </c>
      <c r="AV502" s="25">
        <v>0.26739583333333344</v>
      </c>
      <c r="AW502" s="25">
        <v>-321.46249999999998</v>
      </c>
      <c r="AX502" s="25">
        <v>-56.677291666666669</v>
      </c>
      <c r="AY502" s="25">
        <v>-155.17880000000002</v>
      </c>
      <c r="AZ502" s="25"/>
      <c r="BA502" s="25">
        <v>-91.779166666666683</v>
      </c>
      <c r="BB502" s="25">
        <v>-44.322916666666679</v>
      </c>
      <c r="BC502" s="25"/>
      <c r="BD502" s="25">
        <v>7.072916666666667</v>
      </c>
      <c r="BE502" s="25">
        <v>7.4416666666666664</v>
      </c>
    </row>
    <row r="503" spans="1:57" x14ac:dyDescent="0.25">
      <c r="A503" s="1">
        <v>17.399999999999999</v>
      </c>
      <c r="B503" s="1">
        <v>0.1</v>
      </c>
      <c r="C503" s="22"/>
      <c r="D503" s="23">
        <v>44210</v>
      </c>
      <c r="E503" s="24">
        <v>146.375</v>
      </c>
      <c r="F503" s="24">
        <v>56.26874999999999</v>
      </c>
      <c r="G503" s="24">
        <v>7.770833333333333</v>
      </c>
      <c r="H503" s="24">
        <v>0</v>
      </c>
      <c r="I503" s="24">
        <v>142.8125</v>
      </c>
      <c r="J503" s="24">
        <v>2.75</v>
      </c>
      <c r="K503" s="24">
        <v>2.0833333333333332E-2</v>
      </c>
      <c r="L503" s="24">
        <v>-0.82500000000000029</v>
      </c>
      <c r="M503" s="10">
        <v>0.54148254646061955</v>
      </c>
      <c r="N503" s="25">
        <v>0.23645833333333333</v>
      </c>
      <c r="O503" s="25">
        <v>0.29812500000000008</v>
      </c>
      <c r="P503" s="25">
        <v>0.36949999999999988</v>
      </c>
      <c r="Q503" s="25">
        <v>0.37839583333333332</v>
      </c>
      <c r="R503" s="25">
        <v>0.40514583333333337</v>
      </c>
      <c r="S503" s="25">
        <v>0.30549999999999988</v>
      </c>
      <c r="T503" s="25">
        <v>0.30795833333333317</v>
      </c>
      <c r="U503" s="25">
        <v>0.26235416666666678</v>
      </c>
      <c r="V503" s="25">
        <v>-254.68749999999989</v>
      </c>
      <c r="W503" s="25"/>
      <c r="X503" s="25">
        <v>-287.83333333333337</v>
      </c>
      <c r="Y503" s="25">
        <v>-276.68958333333319</v>
      </c>
      <c r="Z503" s="25">
        <v>-87.48833333333333</v>
      </c>
      <c r="AA503" s="25">
        <v>-197.84791666666663</v>
      </c>
      <c r="AB503" s="25">
        <v>-205.47916666666666</v>
      </c>
      <c r="AC503" s="25">
        <v>-225.85416666666671</v>
      </c>
      <c r="AD503" s="25">
        <v>-466.17916666666684</v>
      </c>
      <c r="AE503" s="25">
        <v>-947.6875</v>
      </c>
      <c r="AF503" s="25">
        <v>-1521.2916666666667</v>
      </c>
      <c r="AG503" s="25">
        <v>-501.55000000000024</v>
      </c>
      <c r="AH503" s="25">
        <v>-13.60208333333334</v>
      </c>
      <c r="AI503" s="25">
        <v>-1035.3333333333333</v>
      </c>
      <c r="AJ503" s="25">
        <v>-3501.5416666666665</v>
      </c>
      <c r="AK503" s="25">
        <v>-6803.3125</v>
      </c>
      <c r="AL503" s="25">
        <v>8.8916666666666657</v>
      </c>
      <c r="AM503" s="25">
        <v>8.3812499999999996</v>
      </c>
      <c r="AN503" s="25">
        <v>8.4375000000000018</v>
      </c>
      <c r="AO503" s="25">
        <v>8.7041666666666657</v>
      </c>
      <c r="AP503" s="25">
        <v>9.0250000000000039</v>
      </c>
      <c r="AQ503" s="25">
        <v>8.4020833333333318</v>
      </c>
      <c r="AR503" s="25">
        <v>8.0166666666666675</v>
      </c>
      <c r="AS503" s="25">
        <v>7.7770833333333336</v>
      </c>
      <c r="AT503" s="25">
        <v>0.21068888888888895</v>
      </c>
      <c r="AU503" s="25">
        <v>0.15118604651162795</v>
      </c>
      <c r="AV503" s="25">
        <v>0.26633333333333342</v>
      </c>
      <c r="AW503" s="25">
        <v>-321.92083333333329</v>
      </c>
      <c r="AX503" s="25">
        <v>-63.183541666666684</v>
      </c>
      <c r="AY503" s="25">
        <v>-119.27147058823527</v>
      </c>
      <c r="AZ503" s="25"/>
      <c r="BA503" s="25">
        <v>-200.00833333333335</v>
      </c>
      <c r="BB503" s="25">
        <v>-51.872916666666669</v>
      </c>
      <c r="BC503" s="25"/>
      <c r="BD503" s="25">
        <v>7.8666666666666645</v>
      </c>
      <c r="BE503" s="25">
        <v>8.5708333333333346</v>
      </c>
    </row>
    <row r="504" spans="1:57" x14ac:dyDescent="0.25">
      <c r="A504" s="1">
        <v>19.600000000000001</v>
      </c>
      <c r="B504" s="1">
        <v>2.7</v>
      </c>
      <c r="C504" s="22"/>
      <c r="D504" s="23">
        <v>44211</v>
      </c>
      <c r="E504" s="24">
        <v>143.04166666666666</v>
      </c>
      <c r="F504" s="24">
        <v>61.687499999999979</v>
      </c>
      <c r="G504" s="24">
        <v>10.316666666666672</v>
      </c>
      <c r="H504" s="24">
        <v>0</v>
      </c>
      <c r="I504" s="24">
        <v>190.91666666666666</v>
      </c>
      <c r="J504" s="24">
        <v>3.7083333333333335</v>
      </c>
      <c r="K504" s="24">
        <v>0.3125</v>
      </c>
      <c r="L504" s="24">
        <v>2.9354166666666672</v>
      </c>
      <c r="M504" s="10">
        <v>0.56394200842651609</v>
      </c>
      <c r="N504" s="25">
        <v>0.23883333333333337</v>
      </c>
      <c r="O504" s="25">
        <v>0.30166666666666681</v>
      </c>
      <c r="P504" s="25">
        <v>0.37377083333333316</v>
      </c>
      <c r="Q504" s="25">
        <v>0.38110416666666685</v>
      </c>
      <c r="R504" s="25">
        <v>0.41079166666666689</v>
      </c>
      <c r="S504" s="25">
        <v>0.30883333333333324</v>
      </c>
      <c r="T504" s="25">
        <v>0.3101458333333334</v>
      </c>
      <c r="U504" s="25">
        <v>0.26352083333333315</v>
      </c>
      <c r="V504" s="25">
        <v>-252.71666666666658</v>
      </c>
      <c r="W504" s="25"/>
      <c r="X504" s="25">
        <v>-277.51875000000001</v>
      </c>
      <c r="Y504" s="25">
        <v>-269.66666666666674</v>
      </c>
      <c r="Z504" s="25">
        <v>-83.013541666666654</v>
      </c>
      <c r="AA504" s="25">
        <v>-192.29166666666666</v>
      </c>
      <c r="AB504" s="25">
        <v>-198.48541666666662</v>
      </c>
      <c r="AC504" s="25">
        <v>-218.79999999999995</v>
      </c>
      <c r="AD504" s="25">
        <v>-429.24166666666662</v>
      </c>
      <c r="AE504" s="25">
        <v>-896.70833333333337</v>
      </c>
      <c r="AF504" s="25">
        <v>-1431.9583333333333</v>
      </c>
      <c r="AG504" s="25">
        <v>-496.78750000000008</v>
      </c>
      <c r="AH504" s="25">
        <v>-14.710416666666665</v>
      </c>
      <c r="AI504" s="25">
        <v>-945.83333333333337</v>
      </c>
      <c r="AJ504" s="25">
        <v>-3204.1041666666665</v>
      </c>
      <c r="AK504" s="25">
        <v>-5283.520833333333</v>
      </c>
      <c r="AL504" s="25">
        <v>10.193749999999998</v>
      </c>
      <c r="AM504" s="25">
        <v>9.3270833333333325</v>
      </c>
      <c r="AN504" s="25">
        <v>9.0812500000000007</v>
      </c>
      <c r="AO504" s="25">
        <v>9.1958333333333311</v>
      </c>
      <c r="AP504" s="25">
        <v>10.508333333333333</v>
      </c>
      <c r="AQ504" s="25">
        <v>9.5562499999999986</v>
      </c>
      <c r="AR504" s="25">
        <v>8.96875</v>
      </c>
      <c r="AS504" s="25">
        <v>8.6104166666666639</v>
      </c>
      <c r="AT504" s="25">
        <v>0.20478048780487806</v>
      </c>
      <c r="AU504" s="25">
        <v>0.14390697674418609</v>
      </c>
      <c r="AV504" s="25">
        <v>0.2642916666666667</v>
      </c>
      <c r="AW504" s="25">
        <v>-323.13958333333341</v>
      </c>
      <c r="AX504" s="25">
        <v>-70.981875000000002</v>
      </c>
      <c r="AY504" s="25">
        <v>-97.321351351351339</v>
      </c>
      <c r="AZ504" s="25"/>
      <c r="BA504" s="25">
        <v>-461.12708333333336</v>
      </c>
      <c r="BB504" s="25">
        <v>-65.785416666666649</v>
      </c>
      <c r="BC504" s="25"/>
      <c r="BD504" s="25">
        <v>8.9874999999999989</v>
      </c>
      <c r="BE504" s="25">
        <v>9.5791666666666657</v>
      </c>
    </row>
    <row r="505" spans="1:57" x14ac:dyDescent="0.25">
      <c r="A505" s="1">
        <v>9.9</v>
      </c>
      <c r="B505" s="1">
        <v>2.9</v>
      </c>
      <c r="C505" s="22"/>
      <c r="D505" s="23">
        <v>44212</v>
      </c>
      <c r="E505" s="24">
        <v>7.916666666666667</v>
      </c>
      <c r="F505" s="24">
        <v>86.16249999999998</v>
      </c>
      <c r="G505" s="24">
        <v>6.3562499999999984</v>
      </c>
      <c r="H505" s="24">
        <v>4.0000000000000009</v>
      </c>
      <c r="I505" s="24">
        <v>187.83333333333334</v>
      </c>
      <c r="J505" s="24">
        <v>5.020833333333333</v>
      </c>
      <c r="K505" s="24">
        <v>0.16666666666666666</v>
      </c>
      <c r="L505" s="24">
        <v>4.0750000000000002</v>
      </c>
      <c r="M505" s="10">
        <v>0.14896417084695762</v>
      </c>
      <c r="N505" s="25">
        <v>0.23910416666666659</v>
      </c>
      <c r="O505" s="25">
        <v>0.3046666666666667</v>
      </c>
      <c r="P505" s="25">
        <v>0.37756250000000008</v>
      </c>
      <c r="Q505" s="25">
        <v>0.38433333333333358</v>
      </c>
      <c r="R505" s="25">
        <v>0.41262500000000019</v>
      </c>
      <c r="S505" s="25">
        <v>0.31100000000000022</v>
      </c>
      <c r="T505" s="25">
        <v>0.31275000000000019</v>
      </c>
      <c r="U505" s="25">
        <v>0.26460416666666675</v>
      </c>
      <c r="V505" s="25">
        <v>-282.0625</v>
      </c>
      <c r="W505" s="25"/>
      <c r="X505" s="25">
        <v>-267.53541666666655</v>
      </c>
      <c r="Y505" s="25">
        <v>-261.18958333333336</v>
      </c>
      <c r="Z505" s="25">
        <v>-84.878333333333345</v>
      </c>
      <c r="AA505" s="25">
        <v>-189.7770833333332</v>
      </c>
      <c r="AB505" s="25">
        <v>-192.24583333333331</v>
      </c>
      <c r="AC505" s="25">
        <v>-212.1854166666667</v>
      </c>
      <c r="AD505" s="25">
        <v>-426.98958333333309</v>
      </c>
      <c r="AE505" s="25">
        <v>-857.29166666666663</v>
      </c>
      <c r="AF505" s="25">
        <v>-1316.1875</v>
      </c>
      <c r="AG505" s="25">
        <v>-487.5020833333333</v>
      </c>
      <c r="AH505" s="25">
        <v>-16.752083333333335</v>
      </c>
      <c r="AI505" s="25">
        <v>-890</v>
      </c>
      <c r="AJ505" s="25">
        <v>-2833.9791666666665</v>
      </c>
      <c r="AK505" s="25">
        <v>-5993.4375</v>
      </c>
      <c r="AL505" s="25">
        <v>10.385416666666666</v>
      </c>
      <c r="AM505" s="25">
        <v>10.210416666666669</v>
      </c>
      <c r="AN505" s="25">
        <v>9.7937499999999904</v>
      </c>
      <c r="AO505" s="25">
        <v>9.7666666666666604</v>
      </c>
      <c r="AP505" s="25">
        <v>10.072916666666666</v>
      </c>
      <c r="AQ505" s="25">
        <v>10.279166666666667</v>
      </c>
      <c r="AR505" s="25">
        <v>9.8229166666666696</v>
      </c>
      <c r="AS505" s="25">
        <v>9.4458333333333311</v>
      </c>
      <c r="AT505" s="25">
        <v>0.19935416666666669</v>
      </c>
      <c r="AU505" s="25">
        <v>0.14497916666666658</v>
      </c>
      <c r="AV505" s="25">
        <v>0.26018749999999985</v>
      </c>
      <c r="AW505" s="25">
        <v>-323.91458333333338</v>
      </c>
      <c r="AX505" s="25">
        <v>-83.053958333333327</v>
      </c>
      <c r="AY505" s="25">
        <v>-112.90526315789472</v>
      </c>
      <c r="AZ505" s="25"/>
      <c r="BA505" s="25">
        <v>-816.44999999999993</v>
      </c>
      <c r="BB505" s="25">
        <v>-87.691666666666649</v>
      </c>
      <c r="BC505" s="25"/>
      <c r="BD505" s="25">
        <v>8.6500000000000039</v>
      </c>
      <c r="BE505" s="25">
        <v>9.0374999999999979</v>
      </c>
    </row>
    <row r="506" spans="1:57" x14ac:dyDescent="0.25">
      <c r="A506" s="1">
        <v>2.9</v>
      </c>
      <c r="B506" s="1">
        <v>-0.3</v>
      </c>
      <c r="C506" s="22"/>
      <c r="D506" s="23">
        <v>44213</v>
      </c>
      <c r="E506" s="24">
        <v>32.916666666666664</v>
      </c>
      <c r="F506" s="24">
        <v>89.00624999999998</v>
      </c>
      <c r="G506" s="24">
        <v>1.0416666666666665</v>
      </c>
      <c r="H506" s="24">
        <v>1.9</v>
      </c>
      <c r="I506" s="24">
        <v>210.08333333333334</v>
      </c>
      <c r="J506" s="24">
        <v>5</v>
      </c>
      <c r="K506" s="24">
        <v>8.3333333333333329E-2</v>
      </c>
      <c r="L506" s="24">
        <v>-0.58125000000000004</v>
      </c>
      <c r="M506" s="10">
        <v>7.2752870018791452E-2</v>
      </c>
      <c r="N506" s="25">
        <v>0.2347708333333334</v>
      </c>
      <c r="O506" s="25">
        <v>0.30133333333333351</v>
      </c>
      <c r="P506" s="25">
        <v>0.37452083333333341</v>
      </c>
      <c r="Q506" s="25">
        <v>0.38477083333333328</v>
      </c>
      <c r="R506" s="25">
        <v>0.40541666666666637</v>
      </c>
      <c r="S506" s="25">
        <v>0.30847916666666664</v>
      </c>
      <c r="T506" s="25">
        <v>0.31206249999999991</v>
      </c>
      <c r="U506" s="25">
        <v>0.26504166666666679</v>
      </c>
      <c r="V506" s="25">
        <v>-318.35416666666669</v>
      </c>
      <c r="W506" s="25"/>
      <c r="X506" s="25">
        <v>-271.07083333333327</v>
      </c>
      <c r="Y506" s="25">
        <v>-258.86874999999998</v>
      </c>
      <c r="Z506" s="25">
        <v>-92.21041666666666</v>
      </c>
      <c r="AA506" s="25">
        <v>-196.27499999999995</v>
      </c>
      <c r="AB506" s="25">
        <v>-195.46041666666659</v>
      </c>
      <c r="AC506" s="25">
        <v>-213.29583333333335</v>
      </c>
      <c r="AD506" s="25">
        <v>-463.37083333333339</v>
      </c>
      <c r="AE506" s="25">
        <v>-903.70833333333337</v>
      </c>
      <c r="AF506" s="25">
        <v>-1310.2291666666667</v>
      </c>
      <c r="AG506" s="25">
        <v>-480.24583333333339</v>
      </c>
      <c r="AH506" s="25">
        <v>-15.841666666666661</v>
      </c>
      <c r="AI506" s="25">
        <v>-988.64583333333337</v>
      </c>
      <c r="AJ506" s="25">
        <v>-3177.7916666666665</v>
      </c>
      <c r="AK506" s="25">
        <v>-7026.1875</v>
      </c>
      <c r="AL506" s="25">
        <v>8.3104166666666686</v>
      </c>
      <c r="AM506" s="25">
        <v>9.3791666666666682</v>
      </c>
      <c r="AN506" s="25">
        <v>9.7645833333333378</v>
      </c>
      <c r="AO506" s="25">
        <v>9.9666666666666597</v>
      </c>
      <c r="AP506" s="25">
        <v>7.1791666666666663</v>
      </c>
      <c r="AQ506" s="25">
        <v>8.6</v>
      </c>
      <c r="AR506" s="25">
        <v>8.9354166666666686</v>
      </c>
      <c r="AS506" s="25">
        <v>9.0041666666666647</v>
      </c>
      <c r="AT506" s="25">
        <v>0.19935416666666664</v>
      </c>
      <c r="AU506" s="25">
        <v>0.17156250000000006</v>
      </c>
      <c r="AV506" s="25">
        <v>0.26404166666666673</v>
      </c>
      <c r="AW506" s="25">
        <v>-313.82553191489359</v>
      </c>
      <c r="AX506" s="25">
        <v>-83.465208333333308</v>
      </c>
      <c r="AY506" s="25">
        <v>-247.51399999999998</v>
      </c>
      <c r="AZ506" s="25"/>
      <c r="BA506" s="25">
        <v>-756.52708333333339</v>
      </c>
      <c r="BB506" s="25">
        <v>-86.641666666666708</v>
      </c>
      <c r="BC506" s="25"/>
      <c r="BD506" s="25">
        <v>6.6604166666666691</v>
      </c>
      <c r="BE506" s="25">
        <v>7.4104166666666655</v>
      </c>
    </row>
    <row r="507" spans="1:57" x14ac:dyDescent="0.25">
      <c r="A507" s="1">
        <v>16.899999999999999</v>
      </c>
      <c r="B507" s="1">
        <v>-2.2000000000000002</v>
      </c>
      <c r="C507" s="22"/>
      <c r="D507" s="23">
        <v>44214</v>
      </c>
      <c r="E507" s="24">
        <v>162.72916666666666</v>
      </c>
      <c r="F507" s="24">
        <v>68.591666666666669</v>
      </c>
      <c r="G507" s="24">
        <v>5.6625000000000005</v>
      </c>
      <c r="H507" s="24">
        <v>0</v>
      </c>
      <c r="I507" s="24">
        <v>231.04166666666666</v>
      </c>
      <c r="J507" s="24">
        <v>3.6875</v>
      </c>
      <c r="K507" s="24">
        <v>0.125</v>
      </c>
      <c r="L507" s="24">
        <v>-0.51875000000000004</v>
      </c>
      <c r="M507" s="10">
        <v>0.40229180154050431</v>
      </c>
      <c r="N507" s="25">
        <v>0.23452083333333351</v>
      </c>
      <c r="O507" s="25">
        <v>0.29929166666666662</v>
      </c>
      <c r="P507" s="25">
        <v>0.37141666666666656</v>
      </c>
      <c r="Q507" s="25">
        <v>0.38308333333333305</v>
      </c>
      <c r="R507" s="25">
        <v>0.40466666666666673</v>
      </c>
      <c r="S507" s="25">
        <v>0.30645833333333333</v>
      </c>
      <c r="T507" s="25">
        <v>0.3103125000000001</v>
      </c>
      <c r="U507" s="25">
        <v>0.26464583333333341</v>
      </c>
      <c r="V507" s="25">
        <v>-313.07708333333329</v>
      </c>
      <c r="W507" s="25"/>
      <c r="X507" s="25">
        <v>-277.60833333333329</v>
      </c>
      <c r="Y507" s="25">
        <v>-261.7999999999999</v>
      </c>
      <c r="Z507" s="25">
        <v>-89.09291666666671</v>
      </c>
      <c r="AA507" s="25">
        <v>-198.51041666666666</v>
      </c>
      <c r="AB507" s="25">
        <v>-200.57083333333333</v>
      </c>
      <c r="AC507" s="25">
        <v>-219.30208333333337</v>
      </c>
      <c r="AD507" s="25">
        <v>-454.0604166666667</v>
      </c>
      <c r="AE507" s="25">
        <v>-944.875</v>
      </c>
      <c r="AF507" s="25">
        <v>-1405.7708333333333</v>
      </c>
      <c r="AG507" s="25">
        <v>-486.56250000000006</v>
      </c>
      <c r="AH507" s="25">
        <v>-14.71875</v>
      </c>
      <c r="AI507" s="25">
        <v>-1024.7291666666667</v>
      </c>
      <c r="AJ507" s="25">
        <v>-3305.6666666666665</v>
      </c>
      <c r="AK507" s="25">
        <v>-6230.1875</v>
      </c>
      <c r="AL507" s="25">
        <v>8.3041666666666671</v>
      </c>
      <c r="AM507" s="25">
        <v>8.7062500000000007</v>
      </c>
      <c r="AN507" s="25">
        <v>9.2854166666666718</v>
      </c>
      <c r="AO507" s="25">
        <v>9.6645833333333346</v>
      </c>
      <c r="AP507" s="25">
        <v>7.8479166666666655</v>
      </c>
      <c r="AQ507" s="25">
        <v>7.9479166666666652</v>
      </c>
      <c r="AR507" s="25">
        <v>8.1854166666666668</v>
      </c>
      <c r="AS507" s="25">
        <v>8.3270833333333361</v>
      </c>
      <c r="AT507" s="25">
        <v>0.20389583333333336</v>
      </c>
      <c r="AU507" s="25">
        <v>0.18128888888888892</v>
      </c>
      <c r="AV507" s="25">
        <v>0.2710833333333334</v>
      </c>
      <c r="AW507" s="25">
        <v>-313.0104166666668</v>
      </c>
      <c r="AX507" s="25">
        <v>-70.191458333333358</v>
      </c>
      <c r="AY507" s="25">
        <v>-269.49032258064511</v>
      </c>
      <c r="AZ507" s="25"/>
      <c r="BA507" s="25">
        <v>-477.61666666666673</v>
      </c>
      <c r="BB507" s="25">
        <v>-84.995833333333337</v>
      </c>
      <c r="BC507" s="25"/>
      <c r="BD507" s="25">
        <v>7.491666666666668</v>
      </c>
      <c r="BE507" s="25">
        <v>8.4749999999999996</v>
      </c>
    </row>
    <row r="508" spans="1:57" x14ac:dyDescent="0.25">
      <c r="A508" s="1">
        <v>15.4</v>
      </c>
      <c r="B508" s="1">
        <v>2.6</v>
      </c>
      <c r="C508" s="22"/>
      <c r="D508" s="23">
        <v>44215</v>
      </c>
      <c r="E508" s="24">
        <v>153.47916666666666</v>
      </c>
      <c r="F508" s="24">
        <v>64.795833333333306</v>
      </c>
      <c r="G508" s="24">
        <v>8.5395833333333346</v>
      </c>
      <c r="H508" s="24">
        <v>0</v>
      </c>
      <c r="I508" s="24">
        <v>230.27083333333334</v>
      </c>
      <c r="J508" s="24">
        <v>12.083333333333334</v>
      </c>
      <c r="K508" s="24">
        <v>1.7083333333333333</v>
      </c>
      <c r="L508" s="24">
        <v>2.1750000000000007</v>
      </c>
      <c r="M508" s="10">
        <v>0.41976472859392172</v>
      </c>
      <c r="N508" s="25">
        <v>0.23783333333333331</v>
      </c>
      <c r="O508" s="25">
        <v>0.30235416666666665</v>
      </c>
      <c r="P508" s="25">
        <v>0.37481249999999999</v>
      </c>
      <c r="Q508" s="25">
        <v>0.38379166666666692</v>
      </c>
      <c r="R508" s="25">
        <v>0.41041666666666665</v>
      </c>
      <c r="S508" s="25">
        <v>0.3093749999999999</v>
      </c>
      <c r="T508" s="25">
        <v>0.31118749999999989</v>
      </c>
      <c r="U508" s="25">
        <v>0.26506250000000009</v>
      </c>
      <c r="V508" s="25">
        <v>-309.80833333333345</v>
      </c>
      <c r="W508" s="25"/>
      <c r="X508" s="25">
        <v>-271.33541666666662</v>
      </c>
      <c r="Y508" s="25">
        <v>-259.23541666666671</v>
      </c>
      <c r="Z508" s="25">
        <v>-83.64791666666666</v>
      </c>
      <c r="AA508" s="25">
        <v>-192.24791666666661</v>
      </c>
      <c r="AB508" s="25">
        <v>-196.54374999999996</v>
      </c>
      <c r="AC508" s="25">
        <v>-216.40208333333331</v>
      </c>
      <c r="AD508" s="25">
        <v>-409.62916666666666</v>
      </c>
      <c r="AE508" s="25">
        <v>-880.3125</v>
      </c>
      <c r="AF508" s="25">
        <v>-1362.4375</v>
      </c>
      <c r="AG508" s="25">
        <v>-487.56875000000008</v>
      </c>
      <c r="AH508" s="25">
        <v>-15.318749999999994</v>
      </c>
      <c r="AI508" s="25">
        <v>-897.5625</v>
      </c>
      <c r="AJ508" s="25">
        <v>-3051.5833333333335</v>
      </c>
      <c r="AK508" s="25">
        <v>-5006.854166666667</v>
      </c>
      <c r="AL508" s="25">
        <v>9.8354166666666654</v>
      </c>
      <c r="AM508" s="25">
        <v>9.4458333333333346</v>
      </c>
      <c r="AN508" s="25">
        <v>9.4791666666666696</v>
      </c>
      <c r="AO508" s="25">
        <v>9.6687499999999922</v>
      </c>
      <c r="AP508" s="25">
        <v>9.7000000000000028</v>
      </c>
      <c r="AQ508" s="25">
        <v>9.3249999999999975</v>
      </c>
      <c r="AR508" s="25">
        <v>9.0250000000000004</v>
      </c>
      <c r="AS508" s="25">
        <v>8.8750000000000036</v>
      </c>
      <c r="AT508" s="25">
        <v>0.20329166666666673</v>
      </c>
      <c r="AU508" s="25">
        <v>0.17397777777777779</v>
      </c>
      <c r="AV508" s="25">
        <v>0.27106250000000004</v>
      </c>
      <c r="AW508" s="25">
        <v>-316.38125000000008</v>
      </c>
      <c r="AX508" s="25">
        <v>-68.668958333333336</v>
      </c>
      <c r="AY508" s="25">
        <v>-94.727777777777746</v>
      </c>
      <c r="AZ508" s="25"/>
      <c r="BA508" s="25">
        <v>-490.14583333333331</v>
      </c>
      <c r="BB508" s="25">
        <v>-106.51874999999997</v>
      </c>
      <c r="BC508" s="25"/>
      <c r="BD508" s="25">
        <v>8.6770833333333339</v>
      </c>
      <c r="BE508" s="25">
        <v>9.5583333333333336</v>
      </c>
    </row>
    <row r="509" spans="1:57" x14ac:dyDescent="0.25">
      <c r="A509" s="1">
        <v>10.4</v>
      </c>
      <c r="B509" s="1">
        <v>5</v>
      </c>
      <c r="C509" s="22"/>
      <c r="D509" s="23">
        <v>44216</v>
      </c>
      <c r="E509" s="24">
        <v>38.625</v>
      </c>
      <c r="F509" s="24">
        <v>80.15000000000002</v>
      </c>
      <c r="G509" s="24">
        <v>7.1645833333333329</v>
      </c>
      <c r="H509" s="24">
        <v>0.7</v>
      </c>
      <c r="I509" s="24">
        <v>230.1875</v>
      </c>
      <c r="J509" s="24">
        <v>4.625</v>
      </c>
      <c r="K509" s="24">
        <v>0.10416666666666667</v>
      </c>
      <c r="L509" s="24">
        <v>3.9395833333333328</v>
      </c>
      <c r="M509" s="10">
        <v>0.20679379691587149</v>
      </c>
      <c r="N509" s="25">
        <v>0.23837499999999975</v>
      </c>
      <c r="O509" s="25">
        <v>0.30450000000000005</v>
      </c>
      <c r="P509" s="25">
        <v>0.37758333333333344</v>
      </c>
      <c r="Q509" s="25">
        <v>0.38549999999999957</v>
      </c>
      <c r="R509" s="25">
        <v>0.41160416666666677</v>
      </c>
      <c r="S509" s="25">
        <v>0.31143750000000003</v>
      </c>
      <c r="T509" s="25">
        <v>0.31293750000000026</v>
      </c>
      <c r="U509" s="25">
        <v>0.26600000000000001</v>
      </c>
      <c r="V509" s="25">
        <v>-320.71875000000006</v>
      </c>
      <c r="W509" s="25"/>
      <c r="X509" s="25">
        <v>-263.09166666666653</v>
      </c>
      <c r="Y509" s="25">
        <v>-253.49791666666667</v>
      </c>
      <c r="Z509" s="25">
        <v>-84.647916666666674</v>
      </c>
      <c r="AA509" s="25">
        <v>-189.18958333333339</v>
      </c>
      <c r="AB509" s="25">
        <v>-191.81874999999994</v>
      </c>
      <c r="AC509" s="25">
        <v>-210.95624999999998</v>
      </c>
      <c r="AD509" s="25">
        <v>-410.08124999999995</v>
      </c>
      <c r="AE509" s="25">
        <v>-857.04166666666663</v>
      </c>
      <c r="AF509" s="25">
        <v>-1296.7916666666667</v>
      </c>
      <c r="AG509" s="25">
        <v>-479.12708333333336</v>
      </c>
      <c r="AH509" s="25">
        <v>-16.214583333333334</v>
      </c>
      <c r="AI509" s="25">
        <v>-844.0625</v>
      </c>
      <c r="AJ509" s="25">
        <v>-2669.1666666666665</v>
      </c>
      <c r="AK509" s="25">
        <v>-5111.729166666667</v>
      </c>
      <c r="AL509" s="25">
        <v>10.031249999999998</v>
      </c>
      <c r="AM509" s="25">
        <v>10.035416666666656</v>
      </c>
      <c r="AN509" s="25">
        <v>9.9312500000000004</v>
      </c>
      <c r="AO509" s="25">
        <v>9.9875000000000096</v>
      </c>
      <c r="AP509" s="25">
        <v>9.608333333333329</v>
      </c>
      <c r="AQ509" s="25">
        <v>9.8812500000000032</v>
      </c>
      <c r="AR509" s="25">
        <v>9.6374999999999993</v>
      </c>
      <c r="AS509" s="25">
        <v>9.445833333333324</v>
      </c>
      <c r="AT509" s="25">
        <v>0.19939583333333324</v>
      </c>
      <c r="AU509" s="25">
        <v>0.16570833333333335</v>
      </c>
      <c r="AV509" s="25">
        <v>0.2669583333333333</v>
      </c>
      <c r="AW509" s="25">
        <v>-312.43749999999994</v>
      </c>
      <c r="AX509" s="25">
        <v>-74.316874999999982</v>
      </c>
      <c r="AY509" s="25">
        <v>-88.570000000000022</v>
      </c>
      <c r="AZ509" s="25"/>
      <c r="BA509" s="25">
        <v>-618.98958333333348</v>
      </c>
      <c r="BB509" s="25">
        <v>-127.575</v>
      </c>
      <c r="BC509" s="25"/>
      <c r="BD509" s="25">
        <v>8.689583333333335</v>
      </c>
      <c r="BE509" s="25">
        <v>9.0166666666666639</v>
      </c>
    </row>
    <row r="510" spans="1:57" x14ac:dyDescent="0.25">
      <c r="A510" s="1">
        <v>7</v>
      </c>
      <c r="B510" s="1">
        <v>3.2</v>
      </c>
      <c r="C510" s="22"/>
      <c r="D510" s="23">
        <v>44217</v>
      </c>
      <c r="E510" s="24">
        <v>31.958333333333332</v>
      </c>
      <c r="F510" s="24">
        <v>88.299999999999969</v>
      </c>
      <c r="G510" s="24">
        <v>4.8937499999999998</v>
      </c>
      <c r="H510" s="24">
        <v>4.3000000000000007</v>
      </c>
      <c r="I510" s="24">
        <v>205.72916666666666</v>
      </c>
      <c r="J510" s="24">
        <v>1.9583333333333333</v>
      </c>
      <c r="K510" s="24">
        <v>0</v>
      </c>
      <c r="L510" s="24">
        <v>3.0874999999999999</v>
      </c>
      <c r="M510" s="10">
        <v>0.10547891798516379</v>
      </c>
      <c r="N510" s="25">
        <v>0.23760416666666659</v>
      </c>
      <c r="O510" s="25">
        <v>0.30345833333333372</v>
      </c>
      <c r="P510" s="25">
        <v>0.37647916666666653</v>
      </c>
      <c r="Q510" s="25">
        <v>0.38599999999999962</v>
      </c>
      <c r="R510" s="25">
        <v>0.40850000000000003</v>
      </c>
      <c r="S510" s="25">
        <v>0.30991666666666678</v>
      </c>
      <c r="T510" s="25">
        <v>0.31277083333333328</v>
      </c>
      <c r="U510" s="25">
        <v>0.26575000000000004</v>
      </c>
      <c r="V510" s="25">
        <v>-324.63958333333335</v>
      </c>
      <c r="W510" s="25"/>
      <c r="X510" s="25">
        <v>-263.23750000000001</v>
      </c>
      <c r="Y510" s="25">
        <v>-251.73541666666668</v>
      </c>
      <c r="Z510" s="25">
        <v>-87.7604166666667</v>
      </c>
      <c r="AA510" s="25">
        <v>-191.32708333333343</v>
      </c>
      <c r="AB510" s="25">
        <v>-193.1354166666666</v>
      </c>
      <c r="AC510" s="25">
        <v>-211.33541666666656</v>
      </c>
      <c r="AD510" s="25">
        <v>-426.42083333333341</v>
      </c>
      <c r="AE510" s="25">
        <v>-872.04166666666663</v>
      </c>
      <c r="AF510" s="25">
        <v>-1287.0208333333333</v>
      </c>
      <c r="AG510" s="25">
        <v>-474.32083333333338</v>
      </c>
      <c r="AH510" s="25">
        <v>-15.495833333333339</v>
      </c>
      <c r="AI510" s="25">
        <v>-857.45833333333337</v>
      </c>
      <c r="AJ510" s="25">
        <v>-2700.5625</v>
      </c>
      <c r="AK510" s="25">
        <v>-5244.270833333333</v>
      </c>
      <c r="AL510" s="25">
        <v>9.2000000000000011</v>
      </c>
      <c r="AM510" s="25">
        <v>9.7166666666666774</v>
      </c>
      <c r="AN510" s="25">
        <v>9.9520833333333218</v>
      </c>
      <c r="AO510" s="25">
        <v>10.181249999999999</v>
      </c>
      <c r="AP510" s="25">
        <v>8.6041666666666661</v>
      </c>
      <c r="AQ510" s="25">
        <v>9.2312500000000064</v>
      </c>
      <c r="AR510" s="25">
        <v>9.3270833333333307</v>
      </c>
      <c r="AS510" s="25">
        <v>9.3083333333333318</v>
      </c>
      <c r="AT510" s="25">
        <v>0.21072340425531919</v>
      </c>
      <c r="AU510" s="25">
        <v>0.19995833333333335</v>
      </c>
      <c r="AV510" s="25">
        <v>0.28156250000000027</v>
      </c>
      <c r="AW510" s="25">
        <v>-306.57916666666659</v>
      </c>
      <c r="AX510" s="25">
        <v>-72.244166666666686</v>
      </c>
      <c r="AY510" s="25"/>
      <c r="AZ510" s="25"/>
      <c r="BA510" s="25">
        <v>-466.47708333333321</v>
      </c>
      <c r="BB510" s="25">
        <v>-128.55416666666665</v>
      </c>
      <c r="BC510" s="25"/>
      <c r="BD510" s="25">
        <v>8.1895833333333332</v>
      </c>
      <c r="BE510" s="25">
        <v>8.4999999999999982</v>
      </c>
    </row>
    <row r="511" spans="1:57" x14ac:dyDescent="0.25">
      <c r="A511" s="1">
        <v>17.600000000000001</v>
      </c>
      <c r="B511" s="1">
        <v>3.6</v>
      </c>
      <c r="C511" s="22"/>
      <c r="D511" s="23">
        <v>44218</v>
      </c>
      <c r="E511" s="24">
        <v>143.125</v>
      </c>
      <c r="F511" s="24">
        <v>75.687500000000014</v>
      </c>
      <c r="G511" s="24">
        <v>8.1604166666666664</v>
      </c>
      <c r="H511" s="24">
        <v>0.2</v>
      </c>
      <c r="I511" s="24">
        <v>242.14583333333334</v>
      </c>
      <c r="J511" s="24">
        <v>2.75</v>
      </c>
      <c r="K511" s="24">
        <v>6.25E-2</v>
      </c>
      <c r="L511" s="24">
        <v>3.504166666666666</v>
      </c>
      <c r="M511" s="10">
        <v>0.34714304898663301</v>
      </c>
      <c r="N511" s="25">
        <v>0.23941666666666669</v>
      </c>
      <c r="O511" s="25">
        <v>0.30362499999999987</v>
      </c>
      <c r="P511" s="25">
        <v>0.37606250000000013</v>
      </c>
      <c r="Q511" s="25">
        <v>0.38558333333333311</v>
      </c>
      <c r="R511" s="25">
        <v>0.41079166666666667</v>
      </c>
      <c r="S511" s="25">
        <v>0.3096666666666667</v>
      </c>
      <c r="T511" s="25">
        <v>0.31245833333333323</v>
      </c>
      <c r="U511" s="25">
        <v>0.26585416666666667</v>
      </c>
      <c r="V511" s="25">
        <v>-317.51041666666669</v>
      </c>
      <c r="W511" s="25"/>
      <c r="X511" s="25">
        <v>-263.14166666666671</v>
      </c>
      <c r="Y511" s="25">
        <v>-251.72083333333327</v>
      </c>
      <c r="Z511" s="25">
        <v>-83.609583333333319</v>
      </c>
      <c r="AA511" s="25">
        <v>-190.30208333333329</v>
      </c>
      <c r="AB511" s="25">
        <v>-194.0958333333333</v>
      </c>
      <c r="AC511" s="25">
        <v>-212.53541666666663</v>
      </c>
      <c r="AD511" s="25">
        <v>-411.44583333333344</v>
      </c>
      <c r="AE511" s="25">
        <v>-872.75</v>
      </c>
      <c r="AF511" s="25">
        <v>-1301.25</v>
      </c>
      <c r="AG511" s="25">
        <v>-477.19374999999997</v>
      </c>
      <c r="AH511" s="25">
        <v>-15.031250000000012</v>
      </c>
      <c r="AI511" s="25">
        <v>-788.9479166666664</v>
      </c>
      <c r="AJ511" s="25">
        <v>-2685.375</v>
      </c>
      <c r="AK511" s="25">
        <v>-4565.791666666667</v>
      </c>
      <c r="AL511" s="25">
        <v>9.9124999999999996</v>
      </c>
      <c r="AM511" s="25">
        <v>9.6041666666666661</v>
      </c>
      <c r="AN511" s="25">
        <v>9.7958333333333325</v>
      </c>
      <c r="AO511" s="25">
        <v>10.029166666666667</v>
      </c>
      <c r="AP511" s="25">
        <v>9.9500000000000046</v>
      </c>
      <c r="AQ511" s="25">
        <v>9.3562499999999975</v>
      </c>
      <c r="AR511" s="25">
        <v>9.1729166666666639</v>
      </c>
      <c r="AS511" s="25">
        <v>9.1458333333333339</v>
      </c>
      <c r="AT511" s="25">
        <v>0.21456249999999999</v>
      </c>
      <c r="AU511" s="25">
        <v>0.19844680851063837</v>
      </c>
      <c r="AV511" s="25">
        <v>0.28854166666666675</v>
      </c>
      <c r="AW511" s="25">
        <v>-309.19166666666678</v>
      </c>
      <c r="AX511" s="25">
        <v>-62.050416666666671</v>
      </c>
      <c r="AY511" s="25">
        <v>-131.47388888888887</v>
      </c>
      <c r="AZ511" s="25"/>
      <c r="BA511" s="25">
        <v>-181.24375000000006</v>
      </c>
      <c r="BB511" s="25">
        <v>-132.08958333333331</v>
      </c>
      <c r="BC511" s="25"/>
      <c r="BD511" s="25">
        <v>9.3041666666666636</v>
      </c>
      <c r="BE511" s="25">
        <v>9.8145833333333314</v>
      </c>
    </row>
    <row r="512" spans="1:57" x14ac:dyDescent="0.25">
      <c r="A512" s="1">
        <v>16.399999999999999</v>
      </c>
      <c r="B512" s="1">
        <v>3.1</v>
      </c>
      <c r="C512" s="22"/>
      <c r="D512" s="23">
        <v>44219</v>
      </c>
      <c r="E512" s="24">
        <v>91.291666666666671</v>
      </c>
      <c r="F512" s="24">
        <v>82.506250000000009</v>
      </c>
      <c r="G512" s="24">
        <v>8.7979166666666675</v>
      </c>
      <c r="H512" s="24">
        <v>0.2</v>
      </c>
      <c r="I512" s="24">
        <v>231.75</v>
      </c>
      <c r="J512" s="24">
        <v>10.645833333333334</v>
      </c>
      <c r="K512" s="24">
        <v>2.1041666666666665</v>
      </c>
      <c r="L512" s="24">
        <v>5.7937499999999993</v>
      </c>
      <c r="M512" s="10">
        <v>0.24242231199481232</v>
      </c>
      <c r="N512" s="25">
        <v>0.24125000000000008</v>
      </c>
      <c r="O512" s="25">
        <v>0.30635416666666654</v>
      </c>
      <c r="P512" s="25">
        <v>0.37947916666666637</v>
      </c>
      <c r="Q512" s="25">
        <v>0.38722916666666701</v>
      </c>
      <c r="R512" s="25">
        <v>0.41412500000000024</v>
      </c>
      <c r="S512" s="25">
        <v>0.3126666666666667</v>
      </c>
      <c r="T512" s="25">
        <v>0.314</v>
      </c>
      <c r="U512" s="25">
        <v>0.26622916666666657</v>
      </c>
      <c r="V512" s="25">
        <v>-320.13333333333338</v>
      </c>
      <c r="W512" s="25"/>
      <c r="X512" s="25">
        <v>-254.62500000000009</v>
      </c>
      <c r="Y512" s="25">
        <v>-246.4770833333333</v>
      </c>
      <c r="Z512" s="25">
        <v>-82.466458333333335</v>
      </c>
      <c r="AA512" s="25">
        <v>-185.39583333333329</v>
      </c>
      <c r="AB512" s="25">
        <v>-189.25624999999999</v>
      </c>
      <c r="AC512" s="25">
        <v>-208.09791666666663</v>
      </c>
      <c r="AD512" s="25">
        <v>-392.88958333333341</v>
      </c>
      <c r="AE512" s="25">
        <v>-841.08333333333337</v>
      </c>
      <c r="AF512" s="25">
        <v>-1278.25</v>
      </c>
      <c r="AG512" s="25">
        <v>-473.56874999999985</v>
      </c>
      <c r="AH512" s="25">
        <v>-15.462499999999997</v>
      </c>
      <c r="AI512" s="25">
        <v>-698.0875000000002</v>
      </c>
      <c r="AJ512" s="25">
        <v>-2445.5625</v>
      </c>
      <c r="AK512" s="25">
        <v>-3962.8333333333335</v>
      </c>
      <c r="AL512" s="25">
        <v>10.73958333333333</v>
      </c>
      <c r="AM512" s="25">
        <v>10.402083333333332</v>
      </c>
      <c r="AN512" s="25">
        <v>10.216666666666669</v>
      </c>
      <c r="AO512" s="25">
        <v>10.270833333333334</v>
      </c>
      <c r="AP512" s="25">
        <v>10.541666666666668</v>
      </c>
      <c r="AQ512" s="25">
        <v>10.349999999999998</v>
      </c>
      <c r="AR512" s="25">
        <v>10.024999999999999</v>
      </c>
      <c r="AS512" s="25">
        <v>9.810416666666665</v>
      </c>
      <c r="AT512" s="25">
        <v>0.2106666666666667</v>
      </c>
      <c r="AU512" s="25">
        <v>0.18816666666666659</v>
      </c>
      <c r="AV512" s="25">
        <v>0.2845208333333335</v>
      </c>
      <c r="AW512" s="25">
        <v>-305.91666666666663</v>
      </c>
      <c r="AX512" s="25">
        <v>-63.468541666666681</v>
      </c>
      <c r="AY512" s="25">
        <v>-51.800000000000004</v>
      </c>
      <c r="AZ512" s="25"/>
      <c r="BA512" s="25">
        <v>-158.12083333333331</v>
      </c>
      <c r="BB512" s="25">
        <v>-150.97499999999994</v>
      </c>
      <c r="BC512" s="25"/>
      <c r="BD512" s="25">
        <v>9.5937499999999982</v>
      </c>
      <c r="BE512" s="25">
        <v>9.7291666666666661</v>
      </c>
    </row>
    <row r="513" spans="1:57" x14ac:dyDescent="0.25">
      <c r="A513" s="1">
        <v>15.9</v>
      </c>
      <c r="B513" s="1">
        <v>10.3</v>
      </c>
      <c r="C513" s="22"/>
      <c r="D513" s="23">
        <v>44220</v>
      </c>
      <c r="E513" s="24">
        <v>60.354166666666664</v>
      </c>
      <c r="F513" s="24">
        <v>80.424999999999983</v>
      </c>
      <c r="G513" s="24">
        <v>12.741666666666667</v>
      </c>
      <c r="H513" s="24">
        <v>0</v>
      </c>
      <c r="I513" s="24">
        <v>230.1875</v>
      </c>
      <c r="J513" s="24">
        <v>17.645833333333332</v>
      </c>
      <c r="K513" s="24">
        <v>4.541666666666667</v>
      </c>
      <c r="L513" s="24">
        <v>9.3812499999999996</v>
      </c>
      <c r="M513" s="10">
        <v>0.303253786478141</v>
      </c>
      <c r="N513" s="25">
        <v>0.24287499999999992</v>
      </c>
      <c r="O513" s="25">
        <v>0.30847916666666653</v>
      </c>
      <c r="P513" s="25">
        <v>0.38177083333333317</v>
      </c>
      <c r="Q513" s="25">
        <v>0.3888749999999998</v>
      </c>
      <c r="R513" s="25">
        <v>0.41660416666666644</v>
      </c>
      <c r="S513" s="25">
        <v>0.31395833333333339</v>
      </c>
      <c r="T513" s="25">
        <v>0.3149583333333334</v>
      </c>
      <c r="U513" s="25">
        <v>0.26725000000000015</v>
      </c>
      <c r="V513" s="25">
        <v>-321.10624999999987</v>
      </c>
      <c r="W513" s="25"/>
      <c r="X513" s="25">
        <v>-247.54791666666665</v>
      </c>
      <c r="Y513" s="25">
        <v>-241.56874999999999</v>
      </c>
      <c r="Z513" s="25">
        <v>-81</v>
      </c>
      <c r="AA513" s="25">
        <v>-182.13541666666666</v>
      </c>
      <c r="AB513" s="25">
        <v>-185.7416666666667</v>
      </c>
      <c r="AC513" s="25">
        <v>-204.20000000000005</v>
      </c>
      <c r="AD513" s="25">
        <v>-382.47708333333327</v>
      </c>
      <c r="AE513" s="25">
        <v>-818.10624999999993</v>
      </c>
      <c r="AF513" s="25">
        <v>-1241.625</v>
      </c>
      <c r="AG513" s="25">
        <v>-470.27499999999986</v>
      </c>
      <c r="AH513" s="25">
        <v>-16.160416666666666</v>
      </c>
      <c r="AI513" s="25">
        <v>-668.24583333333328</v>
      </c>
      <c r="AJ513" s="25">
        <v>-2192.0625</v>
      </c>
      <c r="AK513" s="25">
        <v>-3567.7083333333335</v>
      </c>
      <c r="AL513" s="25">
        <v>11.452083333333333</v>
      </c>
      <c r="AM513" s="25">
        <v>10.854166666666671</v>
      </c>
      <c r="AN513" s="25">
        <v>10.543750000000008</v>
      </c>
      <c r="AO513" s="25">
        <v>10.531250000000009</v>
      </c>
      <c r="AP513" s="25">
        <v>11.60208333333334</v>
      </c>
      <c r="AQ513" s="25">
        <v>11.004166666666668</v>
      </c>
      <c r="AR513" s="25">
        <v>10.54166666666667</v>
      </c>
      <c r="AS513" s="25">
        <v>10.279166666666669</v>
      </c>
      <c r="AT513" s="25">
        <v>0.20918749999999994</v>
      </c>
      <c r="AU513" s="25">
        <v>0.18014893617021274</v>
      </c>
      <c r="AV513" s="25">
        <v>0.28256249999999999</v>
      </c>
      <c r="AW513" s="25">
        <v>-312.28750000000002</v>
      </c>
      <c r="AX513" s="25">
        <v>-69.452291666666667</v>
      </c>
      <c r="AY513" s="25">
        <v>-120.38857142857144</v>
      </c>
      <c r="AZ513" s="25"/>
      <c r="BA513" s="25">
        <v>-188.43333333333328</v>
      </c>
      <c r="BB513" s="25">
        <v>-164.79375000000002</v>
      </c>
      <c r="BC513" s="25"/>
      <c r="BD513" s="25">
        <v>11.002083333333331</v>
      </c>
      <c r="BE513" s="25">
        <v>10.649999999999997</v>
      </c>
    </row>
    <row r="514" spans="1:57" x14ac:dyDescent="0.25">
      <c r="A514" s="1">
        <v>13.1</v>
      </c>
      <c r="B514" s="1">
        <v>6.4</v>
      </c>
      <c r="C514" s="22"/>
      <c r="D514" s="23">
        <v>44221</v>
      </c>
      <c r="E514" s="24">
        <v>49.520833333333336</v>
      </c>
      <c r="F514" s="24">
        <v>76.66458333333334</v>
      </c>
      <c r="G514" s="24">
        <v>8.6854166666666668</v>
      </c>
      <c r="H514" s="24">
        <v>0</v>
      </c>
      <c r="I514" s="24">
        <v>203.27083333333334</v>
      </c>
      <c r="J514" s="24">
        <v>6.104166666666667</v>
      </c>
      <c r="K514" s="24">
        <v>0.10416666666666667</v>
      </c>
      <c r="L514" s="24">
        <v>4.7270833333333337</v>
      </c>
      <c r="M514" s="10">
        <v>0.27113086464863428</v>
      </c>
      <c r="N514" s="25">
        <v>0.24247916666666688</v>
      </c>
      <c r="O514" s="25">
        <v>0.30964583333333301</v>
      </c>
      <c r="P514" s="25">
        <v>0.38333333333333292</v>
      </c>
      <c r="Q514" s="25">
        <v>0.39066666666666644</v>
      </c>
      <c r="R514" s="25">
        <v>0.41658333333333347</v>
      </c>
      <c r="S514" s="25">
        <v>0.31518749999999984</v>
      </c>
      <c r="T514" s="25">
        <v>0.31597916666666698</v>
      </c>
      <c r="U514" s="25">
        <v>0.26820833333333338</v>
      </c>
      <c r="V514" s="25">
        <v>-324.76041666666686</v>
      </c>
      <c r="W514" s="25"/>
      <c r="X514" s="25">
        <v>-242.00208333333333</v>
      </c>
      <c r="Y514" s="25">
        <v>-236.7270833333333</v>
      </c>
      <c r="Z514" s="25">
        <v>-83.379166666666677</v>
      </c>
      <c r="AA514" s="25">
        <v>-181.58750000000001</v>
      </c>
      <c r="AB514" s="25">
        <v>-183.52916666666661</v>
      </c>
      <c r="AC514" s="25">
        <v>-201.5958333333333</v>
      </c>
      <c r="AD514" s="25">
        <v>-393.15000000000009</v>
      </c>
      <c r="AE514" s="25">
        <v>-805.16250000000002</v>
      </c>
      <c r="AF514" s="25">
        <v>-1189.6458333333333</v>
      </c>
      <c r="AG514" s="25">
        <v>-466.88750000000027</v>
      </c>
      <c r="AH514" s="25">
        <v>-17.216666666666672</v>
      </c>
      <c r="AI514" s="25">
        <v>-662.63333333333333</v>
      </c>
      <c r="AJ514" s="25">
        <v>-2103.6041666666665</v>
      </c>
      <c r="AK514" s="25">
        <v>-3621.2083333333335</v>
      </c>
      <c r="AL514" s="25">
        <v>11.28125</v>
      </c>
      <c r="AM514" s="25">
        <v>11.1</v>
      </c>
      <c r="AN514" s="25">
        <v>10.858333333333325</v>
      </c>
      <c r="AO514" s="25">
        <v>10.810416666666663</v>
      </c>
      <c r="AP514" s="25">
        <v>11.164583333333333</v>
      </c>
      <c r="AQ514" s="25">
        <v>11.168749999999998</v>
      </c>
      <c r="AR514" s="25">
        <v>10.862500000000002</v>
      </c>
      <c r="AS514" s="25">
        <v>10.63958333333334</v>
      </c>
      <c r="AT514" s="25">
        <v>0.2054791666666668</v>
      </c>
      <c r="AU514" s="25">
        <v>0.17104166666666668</v>
      </c>
      <c r="AV514" s="25">
        <v>0.27685416666666662</v>
      </c>
      <c r="AW514" s="25">
        <v>-310.93958333333336</v>
      </c>
      <c r="AX514" s="25">
        <v>-79.797291666666695</v>
      </c>
      <c r="AY514" s="25">
        <v>-105.07307692307694</v>
      </c>
      <c r="AZ514" s="25"/>
      <c r="BA514" s="25">
        <v>-274.75624999999991</v>
      </c>
      <c r="BB514" s="25">
        <v>-178.97291666666669</v>
      </c>
      <c r="BC514" s="25"/>
      <c r="BD514" s="25">
        <v>10.175000000000001</v>
      </c>
      <c r="BE514" s="25">
        <v>10.422916666666667</v>
      </c>
    </row>
    <row r="515" spans="1:57" x14ac:dyDescent="0.25">
      <c r="A515" s="1">
        <v>7.1</v>
      </c>
      <c r="B515" s="1">
        <v>4.7</v>
      </c>
      <c r="C515" s="22"/>
      <c r="D515" s="23">
        <v>44222</v>
      </c>
      <c r="E515" s="24">
        <v>18.354166666666668</v>
      </c>
      <c r="F515" s="24">
        <v>90.40000000000002</v>
      </c>
      <c r="G515" s="24">
        <v>5.7687500000000016</v>
      </c>
      <c r="H515" s="24">
        <v>1</v>
      </c>
      <c r="I515" s="24">
        <v>223.97916666666666</v>
      </c>
      <c r="J515" s="24">
        <v>3.9583333333333335</v>
      </c>
      <c r="K515" s="24">
        <v>0</v>
      </c>
      <c r="L515" s="24">
        <v>4.3145833333333314</v>
      </c>
      <c r="M515" s="10">
        <v>8.8718215347846519E-2</v>
      </c>
      <c r="N515" s="25">
        <v>0.24000000000000021</v>
      </c>
      <c r="O515" s="25">
        <v>0.3081875</v>
      </c>
      <c r="P515" s="25">
        <v>0.38212499999999999</v>
      </c>
      <c r="Q515" s="25">
        <v>0.39099999999999974</v>
      </c>
      <c r="R515" s="25">
        <v>0.41300000000000009</v>
      </c>
      <c r="S515" s="25">
        <v>0.31395833333333345</v>
      </c>
      <c r="T515" s="25">
        <v>0.31595833333333356</v>
      </c>
      <c r="U515" s="25">
        <v>0.26858333333333351</v>
      </c>
      <c r="V515" s="25">
        <v>-321.90416666666647</v>
      </c>
      <c r="W515" s="25"/>
      <c r="X515" s="25">
        <v>-242.19166666666669</v>
      </c>
      <c r="Y515" s="25">
        <v>-234.39166666666674</v>
      </c>
      <c r="Z515" s="25">
        <v>-87.637500000000003</v>
      </c>
      <c r="AA515" s="25">
        <v>-183.86041666666665</v>
      </c>
      <c r="AB515" s="25">
        <v>-184.77291666666667</v>
      </c>
      <c r="AC515" s="25">
        <v>-201.38125000000002</v>
      </c>
      <c r="AD515" s="25">
        <v>-424.84166666666664</v>
      </c>
      <c r="AE515" s="25">
        <v>-832.85833333333323</v>
      </c>
      <c r="AF515" s="25">
        <v>-1179</v>
      </c>
      <c r="AG515" s="25">
        <v>-463.9708333333333</v>
      </c>
      <c r="AH515" s="25">
        <v>-18.166666666666671</v>
      </c>
      <c r="AI515" s="25">
        <v>-694.94375000000002</v>
      </c>
      <c r="AJ515" s="25">
        <v>-2119.1875</v>
      </c>
      <c r="AK515" s="25">
        <v>-3896.2708333333335</v>
      </c>
      <c r="AL515" s="25">
        <v>10.262500000000001</v>
      </c>
      <c r="AM515" s="25">
        <v>10.75208333333334</v>
      </c>
      <c r="AN515" s="25">
        <v>10.833333333333337</v>
      </c>
      <c r="AO515" s="25">
        <v>10.897916666666658</v>
      </c>
      <c r="AP515" s="25">
        <v>9.6229166666666703</v>
      </c>
      <c r="AQ515" s="25">
        <v>10.387500000000001</v>
      </c>
      <c r="AR515" s="25">
        <v>10.46458333333333</v>
      </c>
      <c r="AS515" s="25">
        <v>10.437499999999998</v>
      </c>
      <c r="AT515" s="25">
        <v>0.20131249999999992</v>
      </c>
      <c r="AU515" s="25">
        <v>0.1647708333333332</v>
      </c>
      <c r="AV515" s="25">
        <v>0.27143750000000028</v>
      </c>
      <c r="AW515" s="25">
        <v>-305.29583333333335</v>
      </c>
      <c r="AX515" s="25">
        <v>-81.904166666666626</v>
      </c>
      <c r="AY515" s="25">
        <v>-96.043181818181793</v>
      </c>
      <c r="AZ515" s="25"/>
      <c r="BA515" s="25">
        <v>-310.66041666666661</v>
      </c>
      <c r="BB515" s="25">
        <v>-176.92499999999998</v>
      </c>
      <c r="BC515" s="25"/>
      <c r="BD515" s="25">
        <v>9.1020833333333346</v>
      </c>
      <c r="BE515" s="25">
        <v>9.3687499999999968</v>
      </c>
    </row>
    <row r="516" spans="1:57" x14ac:dyDescent="0.25">
      <c r="A516" s="1">
        <v>5.8</v>
      </c>
      <c r="B516" s="1">
        <v>3.2</v>
      </c>
      <c r="C516" s="22"/>
      <c r="D516" s="23">
        <v>44223</v>
      </c>
      <c r="E516" s="24">
        <v>25.9375</v>
      </c>
      <c r="F516" s="24">
        <v>94.512499999999989</v>
      </c>
      <c r="G516" s="24">
        <v>4.1499999999999977</v>
      </c>
      <c r="H516" s="24">
        <v>1.9999999999999998</v>
      </c>
      <c r="I516" s="24">
        <v>191.47916666666666</v>
      </c>
      <c r="J516" s="24">
        <v>3.9583333333333335</v>
      </c>
      <c r="K516" s="24">
        <v>4.1666666666666664E-2</v>
      </c>
      <c r="L516" s="24">
        <v>3.3437500000000004</v>
      </c>
      <c r="M516" s="10">
        <v>4.5107190898813036E-2</v>
      </c>
      <c r="N516" s="25">
        <v>0.23889583333333339</v>
      </c>
      <c r="O516" s="25">
        <v>0.30641666666666634</v>
      </c>
      <c r="P516" s="25">
        <v>0.38020833333333376</v>
      </c>
      <c r="Q516" s="25">
        <v>0.39020833333333355</v>
      </c>
      <c r="R516" s="25">
        <v>0.40999999999999992</v>
      </c>
      <c r="S516" s="25">
        <v>0.31124999999999992</v>
      </c>
      <c r="T516" s="25">
        <v>0.31497916666666653</v>
      </c>
      <c r="U516" s="25">
        <v>0.26725000000000004</v>
      </c>
      <c r="V516" s="25">
        <v>-316.53749999999997</v>
      </c>
      <c r="W516" s="25"/>
      <c r="X516" s="25">
        <v>-245.76250000000002</v>
      </c>
      <c r="Y516" s="25">
        <v>-235.75000000000011</v>
      </c>
      <c r="Z516" s="25">
        <v>-90.256249999999966</v>
      </c>
      <c r="AA516" s="25">
        <v>-186.6583333333333</v>
      </c>
      <c r="AB516" s="25">
        <v>-187.79583333333335</v>
      </c>
      <c r="AC516" s="25">
        <v>-204.02291666666676</v>
      </c>
      <c r="AD516" s="25">
        <v>-435.06666666666678</v>
      </c>
      <c r="AE516" s="25">
        <v>-852.04166666666663</v>
      </c>
      <c r="AF516" s="25">
        <v>-1210.6041666666667</v>
      </c>
      <c r="AG516" s="25">
        <v>-464.24583333333334</v>
      </c>
      <c r="AH516" s="25">
        <v>-19.031249999999996</v>
      </c>
      <c r="AI516" s="25">
        <v>-725.13541666666652</v>
      </c>
      <c r="AJ516" s="25">
        <v>-2141.4166666666665</v>
      </c>
      <c r="AK516" s="25">
        <v>-4255.583333333333</v>
      </c>
      <c r="AL516" s="25">
        <v>9.4500000000000011</v>
      </c>
      <c r="AM516" s="25">
        <v>10.239583333333337</v>
      </c>
      <c r="AN516" s="25">
        <v>10.577083333333333</v>
      </c>
      <c r="AO516" s="25">
        <v>10.760416666666666</v>
      </c>
      <c r="AP516" s="25">
        <v>8.6958333333333329</v>
      </c>
      <c r="AQ516" s="25">
        <v>9.6145833333333286</v>
      </c>
      <c r="AR516" s="25">
        <v>9.8604166666666675</v>
      </c>
      <c r="AS516" s="25">
        <v>9.9833333333333307</v>
      </c>
      <c r="AT516" s="25">
        <v>0.20535416666666675</v>
      </c>
      <c r="AU516" s="25">
        <v>0.17041666666666658</v>
      </c>
      <c r="AV516" s="25">
        <v>0.27543749999999978</v>
      </c>
      <c r="AW516" s="25">
        <v>-302.95500000000004</v>
      </c>
      <c r="AX516" s="25">
        <v>-80.35104166666666</v>
      </c>
      <c r="AY516" s="25">
        <v>-92.910416666666677</v>
      </c>
      <c r="AZ516" s="25"/>
      <c r="BA516" s="25">
        <v>-250.49375000000001</v>
      </c>
      <c r="BB516" s="25">
        <v>-165.95416666666665</v>
      </c>
      <c r="BC516" s="25"/>
      <c r="BD516" s="25">
        <v>8.4854166666666693</v>
      </c>
      <c r="BE516" s="25">
        <v>8.8687499999999968</v>
      </c>
    </row>
    <row r="517" spans="1:57" x14ac:dyDescent="0.25">
      <c r="A517" s="1">
        <v>7.7</v>
      </c>
      <c r="B517" s="1">
        <v>3.2</v>
      </c>
      <c r="C517" s="22"/>
      <c r="D517" s="23">
        <v>44224</v>
      </c>
      <c r="E517" s="24">
        <v>44.5625</v>
      </c>
      <c r="F517" s="24">
        <v>79.791666666666671</v>
      </c>
      <c r="G517" s="24">
        <v>4.8874999999999993</v>
      </c>
      <c r="H517" s="24">
        <v>0</v>
      </c>
      <c r="I517" s="24">
        <v>220.70833333333334</v>
      </c>
      <c r="J517" s="24">
        <v>2.5625</v>
      </c>
      <c r="K517" s="24">
        <v>0</v>
      </c>
      <c r="L517" s="24">
        <v>1.6624999999999999</v>
      </c>
      <c r="M517" s="10">
        <v>0.17910505790136741</v>
      </c>
      <c r="N517" s="25">
        <v>0.23752083333333321</v>
      </c>
      <c r="O517" s="25">
        <v>0.30483333333333323</v>
      </c>
      <c r="P517" s="25">
        <v>0.37822916666666678</v>
      </c>
      <c r="Q517" s="25">
        <v>0.38900000000000001</v>
      </c>
      <c r="R517" s="25">
        <v>0.40729166666666689</v>
      </c>
      <c r="S517" s="25">
        <v>0.31060416666666674</v>
      </c>
      <c r="T517" s="25">
        <v>0.31402083333333336</v>
      </c>
      <c r="U517" s="25">
        <v>0.26704166666666657</v>
      </c>
      <c r="V517" s="25">
        <v>-315.98541666666659</v>
      </c>
      <c r="W517" s="25"/>
      <c r="X517" s="25">
        <v>-249.44791666666671</v>
      </c>
      <c r="Y517" s="25">
        <v>-237.40416666666661</v>
      </c>
      <c r="Z517" s="25">
        <v>-91.704166666666652</v>
      </c>
      <c r="AA517" s="25">
        <v>-188.58541666666676</v>
      </c>
      <c r="AB517" s="25">
        <v>-190.84583333333339</v>
      </c>
      <c r="AC517" s="25">
        <v>-206.47708333333333</v>
      </c>
      <c r="AD517" s="25">
        <v>-444.83958333333339</v>
      </c>
      <c r="AE517" s="25">
        <v>-863.85416666666663</v>
      </c>
      <c r="AF517" s="25">
        <v>-1253.6041666666667</v>
      </c>
      <c r="AG517" s="25">
        <v>-466.60208333333321</v>
      </c>
      <c r="AH517" s="25">
        <v>-18.035416666666674</v>
      </c>
      <c r="AI517" s="25">
        <v>-745.14375000000007</v>
      </c>
      <c r="AJ517" s="25">
        <v>-2176.25</v>
      </c>
      <c r="AK517" s="25">
        <v>-4469.645833333333</v>
      </c>
      <c r="AL517" s="25">
        <v>8.8208333333333346</v>
      </c>
      <c r="AM517" s="25">
        <v>9.6687500000000028</v>
      </c>
      <c r="AN517" s="25">
        <v>10.243750000000004</v>
      </c>
      <c r="AO517" s="25">
        <v>10.533333333333326</v>
      </c>
      <c r="AP517" s="25">
        <v>8.0437500000000011</v>
      </c>
      <c r="AQ517" s="25">
        <v>8.985416666666671</v>
      </c>
      <c r="AR517" s="25">
        <v>9.3208333333333311</v>
      </c>
      <c r="AS517" s="25">
        <v>9.4916666666666636</v>
      </c>
      <c r="AT517" s="25">
        <v>0.20693750000000011</v>
      </c>
      <c r="AU517" s="25">
        <v>0.17247916666666666</v>
      </c>
      <c r="AV517" s="25">
        <v>0.27608333333333318</v>
      </c>
      <c r="AW517" s="25">
        <v>-305.05416666666662</v>
      </c>
      <c r="AX517" s="25">
        <v>-75.051458333333329</v>
      </c>
      <c r="AY517" s="25">
        <v>-89.470833333333317</v>
      </c>
      <c r="AZ517" s="25"/>
      <c r="BA517" s="25">
        <v>-179.46041666666665</v>
      </c>
      <c r="BB517" s="25">
        <v>-154.47499999999999</v>
      </c>
      <c r="BC517" s="25"/>
      <c r="BD517" s="25">
        <v>8.2249999999999979</v>
      </c>
      <c r="BE517" s="25">
        <v>8.5083333333333311</v>
      </c>
    </row>
    <row r="518" spans="1:57" x14ac:dyDescent="0.25">
      <c r="A518" s="1">
        <v>6.2</v>
      </c>
      <c r="B518" s="1">
        <v>3.6</v>
      </c>
      <c r="C518" s="22"/>
      <c r="D518" s="23">
        <v>44225</v>
      </c>
      <c r="E518" s="24">
        <v>19.25</v>
      </c>
      <c r="F518" s="24">
        <v>90.24375000000002</v>
      </c>
      <c r="G518" s="24">
        <v>4.9479166666666652</v>
      </c>
      <c r="H518" s="24">
        <v>2.2999999999999998</v>
      </c>
      <c r="I518" s="24">
        <v>214.0625</v>
      </c>
      <c r="J518" s="24">
        <v>5.395833333333333</v>
      </c>
      <c r="K518" s="24">
        <v>0.25</v>
      </c>
      <c r="L518" s="24">
        <v>3.4562500000000003</v>
      </c>
      <c r="M518" s="10">
        <v>8.531526783443065E-2</v>
      </c>
      <c r="N518" s="25">
        <v>0.23791666666666653</v>
      </c>
      <c r="O518" s="25">
        <v>0.30437500000000012</v>
      </c>
      <c r="P518" s="25">
        <v>0.37747916666666681</v>
      </c>
      <c r="Q518" s="25">
        <v>0.38800000000000018</v>
      </c>
      <c r="R518" s="25">
        <v>0.40645833333333337</v>
      </c>
      <c r="S518" s="25">
        <v>0.30991666666666656</v>
      </c>
      <c r="T518" s="25">
        <v>0.3137916666666668</v>
      </c>
      <c r="U518" s="25">
        <v>0.26639583333333328</v>
      </c>
      <c r="V518" s="25">
        <v>-320.39791666666673</v>
      </c>
      <c r="W518" s="25"/>
      <c r="X518" s="25">
        <v>-250.70625000000007</v>
      </c>
      <c r="Y518" s="25">
        <v>-238.53333333333327</v>
      </c>
      <c r="Z518" s="25">
        <v>-91.837499999999977</v>
      </c>
      <c r="AA518" s="25">
        <v>-188.45833333333334</v>
      </c>
      <c r="AB518" s="25">
        <v>-192.12500000000003</v>
      </c>
      <c r="AC518" s="25">
        <v>-207.73541666666668</v>
      </c>
      <c r="AD518" s="25">
        <v>-444.07291666666669</v>
      </c>
      <c r="AE518" s="25">
        <v>-864.41666666666663</v>
      </c>
      <c r="AF518" s="25">
        <v>-1264.9791666666667</v>
      </c>
      <c r="AG518" s="25">
        <v>-468.71041666666679</v>
      </c>
      <c r="AH518" s="25">
        <v>-17.139583333333334</v>
      </c>
      <c r="AI518" s="25">
        <v>-740.46666666666658</v>
      </c>
      <c r="AJ518" s="25">
        <v>-2179.3333333333335</v>
      </c>
      <c r="AK518" s="25">
        <v>-4509.3125</v>
      </c>
      <c r="AL518" s="25">
        <v>8.6937499999999961</v>
      </c>
      <c r="AM518" s="25">
        <v>9.4708333333333226</v>
      </c>
      <c r="AN518" s="25">
        <v>9.9562499999999901</v>
      </c>
      <c r="AO518" s="25">
        <v>10.335416666666672</v>
      </c>
      <c r="AP518" s="25">
        <v>8.0104166666666696</v>
      </c>
      <c r="AQ518" s="25">
        <v>8.8541666666666732</v>
      </c>
      <c r="AR518" s="25">
        <v>9.143750000000006</v>
      </c>
      <c r="AS518" s="25">
        <v>9.2812499999999982</v>
      </c>
      <c r="AT518" s="25">
        <v>0.20706249999999995</v>
      </c>
      <c r="AU518" s="25">
        <v>0.17102083333333337</v>
      </c>
      <c r="AV518" s="25">
        <v>0.27454166666666679</v>
      </c>
      <c r="AW518" s="25">
        <v>-310.54583333333329</v>
      </c>
      <c r="AX518" s="25">
        <v>-71.95354166666668</v>
      </c>
      <c r="AY518" s="25">
        <v>-86.762500000000003</v>
      </c>
      <c r="AZ518" s="25"/>
      <c r="BA518" s="25">
        <v>-162.24375000000003</v>
      </c>
      <c r="BB518" s="25">
        <v>-155.45416666666668</v>
      </c>
      <c r="BC518" s="25"/>
      <c r="BD518" s="25">
        <v>8.2687499999999989</v>
      </c>
      <c r="BE518" s="25">
        <v>8.3145833333333226</v>
      </c>
    </row>
    <row r="519" spans="1:57" x14ac:dyDescent="0.25">
      <c r="A519" s="1">
        <v>6.4</v>
      </c>
      <c r="B519" s="1">
        <v>3.1</v>
      </c>
      <c r="C519" s="22"/>
      <c r="D519" s="23">
        <v>44226</v>
      </c>
      <c r="E519" s="24">
        <v>34.5625</v>
      </c>
      <c r="F519" s="24">
        <v>91.820833333333326</v>
      </c>
      <c r="G519" s="24">
        <v>4.831249999999998</v>
      </c>
      <c r="H519" s="24">
        <v>1.7999999999999998</v>
      </c>
      <c r="I519" s="24">
        <v>213.375</v>
      </c>
      <c r="J519" s="24">
        <v>3.0208333333333335</v>
      </c>
      <c r="K519" s="24">
        <v>0</v>
      </c>
      <c r="L519" s="24">
        <v>3.5916666666666663</v>
      </c>
      <c r="M519" s="10">
        <v>7.2566828771776795E-2</v>
      </c>
      <c r="N519" s="25">
        <v>0.2384166666666668</v>
      </c>
      <c r="O519" s="25">
        <v>0.30402083333333346</v>
      </c>
      <c r="P519" s="25">
        <v>0.37689583333333326</v>
      </c>
      <c r="Q519" s="25">
        <v>0.38750000000000018</v>
      </c>
      <c r="R519" s="25">
        <v>0.41627083333333342</v>
      </c>
      <c r="S519" s="25">
        <v>0.3094583333333335</v>
      </c>
      <c r="T519" s="25">
        <v>0.31308333333333355</v>
      </c>
      <c r="U519" s="25">
        <v>0.26600000000000001</v>
      </c>
      <c r="V519" s="25">
        <v>-322.6854166666667</v>
      </c>
      <c r="W519" s="25"/>
      <c r="X519" s="25">
        <v>-251.23333333333338</v>
      </c>
      <c r="Y519" s="25">
        <v>-239.74166666666667</v>
      </c>
      <c r="Z519" s="25">
        <v>-91.218750000000014</v>
      </c>
      <c r="AA519" s="25">
        <v>-188.15625000000009</v>
      </c>
      <c r="AB519" s="25">
        <v>-192.78333333333327</v>
      </c>
      <c r="AC519" s="25">
        <v>-208.29375000000005</v>
      </c>
      <c r="AD519" s="25">
        <v>-435.26041666666657</v>
      </c>
      <c r="AE519" s="25">
        <v>-864.8125</v>
      </c>
      <c r="AF519" s="25">
        <v>-1270.1041666666667</v>
      </c>
      <c r="AG519" s="25">
        <v>-469.23958333333331</v>
      </c>
      <c r="AH519" s="25">
        <v>-12.80000000000001</v>
      </c>
      <c r="AI519" s="25">
        <v>-714.55624999999998</v>
      </c>
      <c r="AJ519" s="25">
        <v>-2165.6875</v>
      </c>
      <c r="AK519" s="25">
        <v>-4512.333333333333</v>
      </c>
      <c r="AL519" s="25">
        <v>8.6375000000000011</v>
      </c>
      <c r="AM519" s="25">
        <v>9.2937500000000028</v>
      </c>
      <c r="AN519" s="25">
        <v>9.7854166666666664</v>
      </c>
      <c r="AO519" s="25">
        <v>10.168750000000003</v>
      </c>
      <c r="AP519" s="25">
        <v>8.0812499999999989</v>
      </c>
      <c r="AQ519" s="25">
        <v>8.7666666666666604</v>
      </c>
      <c r="AR519" s="25">
        <v>8.9916666666666618</v>
      </c>
      <c r="AS519" s="25">
        <v>9.1333333333333417</v>
      </c>
      <c r="AT519" s="25">
        <v>0.22997916666666682</v>
      </c>
      <c r="AU519" s="25">
        <v>0.21025000000000005</v>
      </c>
      <c r="AV519" s="25">
        <v>0.30181249999999976</v>
      </c>
      <c r="AW519" s="25">
        <v>-314.32708333333346</v>
      </c>
      <c r="AX519" s="25">
        <v>-68.870833333333337</v>
      </c>
      <c r="AY519" s="25">
        <v>-83.852083333333312</v>
      </c>
      <c r="AZ519" s="25"/>
      <c r="BA519" s="25">
        <v>-40.958333333333336</v>
      </c>
      <c r="BB519" s="25">
        <v>-151.93958333333327</v>
      </c>
      <c r="BC519" s="25"/>
      <c r="BD519" s="25">
        <v>8.35</v>
      </c>
      <c r="BE519" s="25">
        <v>8.3062500000000004</v>
      </c>
    </row>
    <row r="520" spans="1:57" x14ac:dyDescent="0.25">
      <c r="A520" s="1">
        <v>5.4</v>
      </c>
      <c r="B520" s="1">
        <v>4.3</v>
      </c>
      <c r="C520" s="22"/>
      <c r="D520" s="23">
        <v>44227</v>
      </c>
      <c r="E520" s="24">
        <v>15.708333333333334</v>
      </c>
      <c r="F520" s="24">
        <v>96.424999999999997</v>
      </c>
      <c r="G520" s="24">
        <v>5.025000000000003</v>
      </c>
      <c r="H520" s="24">
        <v>3.4000000000000008</v>
      </c>
      <c r="I520" s="24">
        <v>241.54166666666666</v>
      </c>
      <c r="J520" s="24">
        <v>1.7916666666666667</v>
      </c>
      <c r="K520" s="24">
        <v>0</v>
      </c>
      <c r="L520" s="24">
        <v>4.4937500000000012</v>
      </c>
      <c r="M520" s="10">
        <v>3.1224922734034894E-2</v>
      </c>
      <c r="N520" s="25">
        <v>0.23906250000000015</v>
      </c>
      <c r="O520" s="25">
        <v>0.30408333333333343</v>
      </c>
      <c r="P520" s="25">
        <v>0.3768333333333333</v>
      </c>
      <c r="Q520" s="25">
        <v>0.38718750000000024</v>
      </c>
      <c r="R520" s="25">
        <v>0.42479166666666651</v>
      </c>
      <c r="S520" s="25">
        <v>0.30906249999999974</v>
      </c>
      <c r="T520" s="25">
        <v>0.31300000000000022</v>
      </c>
      <c r="U520" s="25">
        <v>0.26560416666666681</v>
      </c>
      <c r="V520" s="25">
        <v>-324.58541666666673</v>
      </c>
      <c r="W520" s="25"/>
      <c r="X520" s="25">
        <v>-250.20624999999995</v>
      </c>
      <c r="Y520" s="25">
        <v>-239.93541666666678</v>
      </c>
      <c r="Z520" s="25">
        <v>-89.031250000000014</v>
      </c>
      <c r="AA520" s="25">
        <v>-187.40208333333337</v>
      </c>
      <c r="AB520" s="25">
        <v>-192.48124999999993</v>
      </c>
      <c r="AC520" s="25">
        <v>-207.65833333333339</v>
      </c>
      <c r="AD520" s="25">
        <v>-427.56250000000023</v>
      </c>
      <c r="AE520" s="25">
        <v>-861.45833333333337</v>
      </c>
      <c r="AF520" s="25">
        <v>-1271.3333333333333</v>
      </c>
      <c r="AG520" s="25">
        <v>-469.62916666666661</v>
      </c>
      <c r="AH520" s="25">
        <v>-12.314583333333346</v>
      </c>
      <c r="AI520" s="25">
        <v>-558.77083333333337</v>
      </c>
      <c r="AJ520" s="25">
        <v>-2134.5208333333335</v>
      </c>
      <c r="AK520" s="25">
        <v>-4409.208333333333</v>
      </c>
      <c r="AL520" s="25">
        <v>8.572916666666675</v>
      </c>
      <c r="AM520" s="25">
        <v>9.2333333333333254</v>
      </c>
      <c r="AN520" s="25">
        <v>9.6854166666666632</v>
      </c>
      <c r="AO520" s="25">
        <v>10.010416666666666</v>
      </c>
      <c r="AP520" s="25">
        <v>8.0416666666666696</v>
      </c>
      <c r="AQ520" s="25">
        <v>8.729166666666659</v>
      </c>
      <c r="AR520" s="25">
        <v>8.947916666666659</v>
      </c>
      <c r="AS520" s="25">
        <v>9.0541666666666654</v>
      </c>
      <c r="AT520" s="25">
        <v>0.24306249999999996</v>
      </c>
      <c r="AU520" s="25">
        <v>0.22377083333333339</v>
      </c>
      <c r="AV520" s="25">
        <v>0.3306041666666667</v>
      </c>
      <c r="AW520" s="25">
        <v>-317.50652173913056</v>
      </c>
      <c r="AX520" s="25">
        <v>-54.295833333333341</v>
      </c>
      <c r="AY520" s="25">
        <v>-78.760625000000019</v>
      </c>
      <c r="AZ520" s="25"/>
      <c r="BA520" s="25">
        <v>-16.714583333333337</v>
      </c>
      <c r="BB520" s="25">
        <v>-142.95833333333331</v>
      </c>
      <c r="BC520" s="25"/>
      <c r="BD520" s="25">
        <v>8.3249999999999993</v>
      </c>
      <c r="BE520" s="25">
        <v>8.2395833333333339</v>
      </c>
    </row>
    <row r="521" spans="1:57" x14ac:dyDescent="0.25">
      <c r="A521" s="1">
        <v>10.8</v>
      </c>
      <c r="B521" s="1">
        <v>3.9</v>
      </c>
      <c r="C521" s="22"/>
      <c r="D521" s="23">
        <v>44228</v>
      </c>
      <c r="E521" s="24">
        <v>54.458333333333336</v>
      </c>
      <c r="F521" s="24">
        <v>90.733333333333334</v>
      </c>
      <c r="G521" s="24">
        <v>7.2041666666666657</v>
      </c>
      <c r="H521" s="24">
        <v>1</v>
      </c>
      <c r="I521" s="24">
        <v>215.52083333333334</v>
      </c>
      <c r="J521" s="24">
        <v>3.1041666666666665</v>
      </c>
      <c r="K521" s="24">
        <v>2.0833333333333332E-2</v>
      </c>
      <c r="L521" s="24">
        <v>5.7291666666666652</v>
      </c>
      <c r="M521" s="10">
        <v>0.10597389224419247</v>
      </c>
      <c r="N521" s="25">
        <v>0.24116666666666675</v>
      </c>
      <c r="O521" s="25">
        <v>0.30433333333333329</v>
      </c>
      <c r="P521" s="25">
        <v>0.37681249999999994</v>
      </c>
      <c r="Q521" s="25">
        <v>0.38700000000000029</v>
      </c>
      <c r="R521" s="25">
        <v>0.43802083333333358</v>
      </c>
      <c r="S521" s="25">
        <v>0.31195833333333339</v>
      </c>
      <c r="T521" s="25">
        <v>0.31300000000000022</v>
      </c>
      <c r="U521" s="25">
        <v>0.26554166666666673</v>
      </c>
      <c r="V521" s="25">
        <v>-323.38958333333329</v>
      </c>
      <c r="W521" s="25"/>
      <c r="X521" s="25">
        <v>-249.16666666666671</v>
      </c>
      <c r="Y521" s="25">
        <v>-240.88958333333332</v>
      </c>
      <c r="Z521" s="25">
        <v>-71.629166666666649</v>
      </c>
      <c r="AA521" s="25">
        <v>-186.84166666666673</v>
      </c>
      <c r="AB521" s="25">
        <v>-192.62083333333337</v>
      </c>
      <c r="AC521" s="25">
        <v>-207.68750000000003</v>
      </c>
      <c r="AD521" s="25">
        <v>-405.43541666666664</v>
      </c>
      <c r="AE521" s="25">
        <v>-857.20833333333337</v>
      </c>
      <c r="AF521" s="25">
        <v>-1275.7916666666667</v>
      </c>
      <c r="AG521" s="25">
        <v>-469.52916666666675</v>
      </c>
      <c r="AH521" s="25">
        <v>-12.225000000000003</v>
      </c>
      <c r="AI521" s="25">
        <v>-496.94375000000008</v>
      </c>
      <c r="AJ521" s="25">
        <v>-2103.5416666666665</v>
      </c>
      <c r="AK521" s="25">
        <v>-3780.9166666666665</v>
      </c>
      <c r="AL521" s="25">
        <v>8.8187499999999996</v>
      </c>
      <c r="AM521" s="25">
        <v>9.1937499999999996</v>
      </c>
      <c r="AN521" s="25">
        <v>9.6000000000000085</v>
      </c>
      <c r="AO521" s="25">
        <v>9.9395833333333226</v>
      </c>
      <c r="AP521" s="25">
        <v>8.5854166666666654</v>
      </c>
      <c r="AQ521" s="25">
        <v>8.8104166666666668</v>
      </c>
      <c r="AR521" s="25">
        <v>8.9145833333333364</v>
      </c>
      <c r="AS521" s="25">
        <v>8.9874999999999989</v>
      </c>
      <c r="AT521" s="25">
        <v>0.26643750000000005</v>
      </c>
      <c r="AU521" s="25">
        <v>0.22933333333333339</v>
      </c>
      <c r="AV521" s="25">
        <v>0.3780624999999998</v>
      </c>
      <c r="AW521" s="25">
        <v>-117.24808510638293</v>
      </c>
      <c r="AX521" s="25">
        <v>-18.153958333333332</v>
      </c>
      <c r="AY521" s="25">
        <v>-21.834374999999998</v>
      </c>
      <c r="AZ521" s="25"/>
      <c r="BA521" s="25">
        <v>-10.800000000000006</v>
      </c>
      <c r="BB521" s="25">
        <v>-96.625000000000043</v>
      </c>
      <c r="BC521" s="25"/>
      <c r="BD521" s="25">
        <v>9.0041666666666682</v>
      </c>
      <c r="BE521" s="25">
        <v>8.6583333333333297</v>
      </c>
    </row>
    <row r="522" spans="1:57" x14ac:dyDescent="0.25">
      <c r="A522" s="1">
        <v>8.6999999999999993</v>
      </c>
      <c r="B522" s="1">
        <v>6.4</v>
      </c>
      <c r="C522" s="22"/>
      <c r="D522" s="23">
        <v>44229</v>
      </c>
      <c r="E522" s="24">
        <v>25.875</v>
      </c>
      <c r="F522" s="24">
        <v>95.956250000000054</v>
      </c>
      <c r="G522" s="24">
        <v>7.3645833333333321</v>
      </c>
      <c r="H522" s="24">
        <v>1.8999999999999997</v>
      </c>
      <c r="I522" s="24">
        <v>228.95833333333334</v>
      </c>
      <c r="J522" s="24">
        <v>3.3333333333333335</v>
      </c>
      <c r="K522" s="24">
        <v>0</v>
      </c>
      <c r="L522" s="24">
        <v>6.7520833333333314</v>
      </c>
      <c r="M522" s="10">
        <v>4.1983082023375168E-2</v>
      </c>
      <c r="N522" s="25">
        <v>0.24543750000000006</v>
      </c>
      <c r="O522" s="25">
        <v>0.30624999999999997</v>
      </c>
      <c r="P522" s="25">
        <v>0.37879166666666647</v>
      </c>
      <c r="Q522" s="25">
        <v>0.38770833333333354</v>
      </c>
      <c r="R522" s="25">
        <v>0.44220833333333354</v>
      </c>
      <c r="S522" s="25">
        <v>0.31612499999999999</v>
      </c>
      <c r="T522" s="25">
        <v>0.31379166666666669</v>
      </c>
      <c r="U522" s="25">
        <v>0.26556249999999998</v>
      </c>
      <c r="V522" s="25">
        <v>-317.86041666666671</v>
      </c>
      <c r="W522" s="25"/>
      <c r="X522" s="25">
        <v>-244.19166666666663</v>
      </c>
      <c r="Y522" s="25">
        <v>-238.82499999999996</v>
      </c>
      <c r="Z522" s="25">
        <v>-34.964166666666657</v>
      </c>
      <c r="AA522" s="25">
        <v>-183.19375000000011</v>
      </c>
      <c r="AB522" s="25">
        <v>-189.96249999999998</v>
      </c>
      <c r="AC522" s="25">
        <v>-205.40833333333327</v>
      </c>
      <c r="AD522" s="25">
        <v>-356.76041666666657</v>
      </c>
      <c r="AE522" s="25">
        <v>-828.9375</v>
      </c>
      <c r="AF522" s="25">
        <v>-1245.7291666666667</v>
      </c>
      <c r="AG522" s="25">
        <v>-468.72708333333327</v>
      </c>
      <c r="AH522" s="25">
        <v>-12.091666666666676</v>
      </c>
      <c r="AI522" s="25">
        <v>-430.44374999999991</v>
      </c>
      <c r="AJ522" s="25">
        <v>-1954.4375</v>
      </c>
      <c r="AK522" s="25">
        <v>-3338.4375</v>
      </c>
      <c r="AL522" s="25">
        <v>9.4375000000000071</v>
      </c>
      <c r="AM522" s="25">
        <v>9.5583333333333389</v>
      </c>
      <c r="AN522" s="25">
        <v>9.7416666666666689</v>
      </c>
      <c r="AO522" s="25">
        <v>9.9749999999999996</v>
      </c>
      <c r="AP522" s="25">
        <v>9.2854166666666647</v>
      </c>
      <c r="AQ522" s="25">
        <v>9.4125000000000032</v>
      </c>
      <c r="AR522" s="25">
        <v>9.3312499999999989</v>
      </c>
      <c r="AS522" s="25">
        <v>9.2854166666666682</v>
      </c>
      <c r="AT522" s="25">
        <v>0.30450000000000005</v>
      </c>
      <c r="AU522" s="25">
        <v>0.22420833333333334</v>
      </c>
      <c r="AV522" s="25">
        <v>0.39024999999999976</v>
      </c>
      <c r="AW522" s="25">
        <v>-23.697083333333342</v>
      </c>
      <c r="AX522" s="25">
        <v>-17.344999999999999</v>
      </c>
      <c r="AY522" s="25">
        <v>-15.784583333333336</v>
      </c>
      <c r="AZ522" s="25"/>
      <c r="BA522" s="25">
        <v>-10.685416666666663</v>
      </c>
      <c r="BB522" s="25">
        <v>-43.916666666666657</v>
      </c>
      <c r="BC522" s="25"/>
      <c r="BD522" s="25">
        <v>9.3624999999999972</v>
      </c>
      <c r="BE522" s="25">
        <v>9.1374999999999975</v>
      </c>
    </row>
    <row r="523" spans="1:57" x14ac:dyDescent="0.25">
      <c r="A523" s="1">
        <v>10.8</v>
      </c>
      <c r="B523" s="1">
        <v>6</v>
      </c>
      <c r="C523" s="22"/>
      <c r="D523" s="23">
        <v>44230</v>
      </c>
      <c r="E523" s="24">
        <v>30.020833333333332</v>
      </c>
      <c r="F523" s="24">
        <v>95.877083333333303</v>
      </c>
      <c r="G523" s="24">
        <v>8.1375000000000011</v>
      </c>
      <c r="H523" s="24">
        <v>0.60000000000000009</v>
      </c>
      <c r="I523" s="24">
        <v>145.5</v>
      </c>
      <c r="J523" s="24">
        <v>1.0416666666666667</v>
      </c>
      <c r="K523" s="24">
        <v>0</v>
      </c>
      <c r="L523" s="24">
        <v>7.5187499999999998</v>
      </c>
      <c r="M523" s="10">
        <v>4.6407078105184074E-2</v>
      </c>
      <c r="N523" s="25">
        <v>0.25439583333333321</v>
      </c>
      <c r="O523" s="25">
        <v>0.30706250000000013</v>
      </c>
      <c r="P523" s="25">
        <v>0.37943749999999987</v>
      </c>
      <c r="Q523" s="25">
        <v>0.38889583333333305</v>
      </c>
      <c r="R523" s="25">
        <v>0.44554166666666695</v>
      </c>
      <c r="S523" s="25">
        <v>0.32004166666666656</v>
      </c>
      <c r="T523" s="25">
        <v>0.314</v>
      </c>
      <c r="U523" s="25">
        <v>0.26593749999999999</v>
      </c>
      <c r="V523" s="25">
        <v>-309.71250000000003</v>
      </c>
      <c r="W523" s="25">
        <v>-174.30625000000001</v>
      </c>
      <c r="X523" s="25">
        <v>-240.66041666666663</v>
      </c>
      <c r="Y523" s="25">
        <v>-235.44374999999999</v>
      </c>
      <c r="Z523" s="25">
        <v>-14.892291666666678</v>
      </c>
      <c r="AA523" s="25">
        <v>-180.97083333333333</v>
      </c>
      <c r="AB523" s="25">
        <v>-188.21250000000001</v>
      </c>
      <c r="AC523" s="25">
        <v>-202.82500000000002</v>
      </c>
      <c r="AD523" s="25">
        <v>-326.91875000000005</v>
      </c>
      <c r="AE523" s="25">
        <v>-813.25208333333342</v>
      </c>
      <c r="AF523" s="25">
        <v>-1222.4375</v>
      </c>
      <c r="AG523" s="25">
        <v>-466.65833333333336</v>
      </c>
      <c r="AH523" s="25">
        <v>-12</v>
      </c>
      <c r="AI523" s="25">
        <v>-373.50208333333325</v>
      </c>
      <c r="AJ523" s="25">
        <v>-1824.3125</v>
      </c>
      <c r="AK523" s="25">
        <v>-2776.7083333333335</v>
      </c>
      <c r="AL523" s="25">
        <v>9.4999999999999929</v>
      </c>
      <c r="AM523" s="25">
        <v>9.6812500000000004</v>
      </c>
      <c r="AN523" s="25">
        <v>9.8999999999999915</v>
      </c>
      <c r="AO523" s="25">
        <v>10.133333333333328</v>
      </c>
      <c r="AP523" s="25">
        <v>9.3562499999999975</v>
      </c>
      <c r="AQ523" s="25">
        <v>9.4791666666666696</v>
      </c>
      <c r="AR523" s="25">
        <v>9.4666666666666632</v>
      </c>
      <c r="AS523" s="25">
        <v>9.4124999999999961</v>
      </c>
      <c r="AT523" s="25">
        <v>0.34614583333333343</v>
      </c>
      <c r="AU523" s="25">
        <v>0.22779166666666673</v>
      </c>
      <c r="AV523" s="25">
        <v>0.39945833333333319</v>
      </c>
      <c r="AW523" s="25">
        <v>-22.728541666666672</v>
      </c>
      <c r="AX523" s="25">
        <v>-17.115625000000005</v>
      </c>
      <c r="AY523" s="25">
        <v>-15.645833333333323</v>
      </c>
      <c r="AZ523" s="25"/>
      <c r="BA523" s="25">
        <v>-10.518749999999999</v>
      </c>
      <c r="BB523" s="25">
        <v>-23.970833333333331</v>
      </c>
      <c r="BC523" s="25"/>
      <c r="BD523" s="25">
        <v>9.4979166666666668</v>
      </c>
      <c r="BE523" s="25">
        <v>9.2416666666666671</v>
      </c>
    </row>
    <row r="524" spans="1:57" x14ac:dyDescent="0.25">
      <c r="A524" s="1">
        <v>17.8</v>
      </c>
      <c r="B524" s="1">
        <v>7.3</v>
      </c>
      <c r="C524" s="22"/>
      <c r="D524" s="23">
        <v>44231</v>
      </c>
      <c r="E524" s="24">
        <v>58.833333333333336</v>
      </c>
      <c r="F524" s="24">
        <v>87.69583333333334</v>
      </c>
      <c r="G524" s="24">
        <v>11.745833333333332</v>
      </c>
      <c r="H524" s="24">
        <v>0.2</v>
      </c>
      <c r="I524" s="24">
        <v>236.70833333333334</v>
      </c>
      <c r="J524" s="24">
        <v>9.0833333333333339</v>
      </c>
      <c r="K524" s="24">
        <v>1.8125</v>
      </c>
      <c r="L524" s="24">
        <v>9.6458333333333321</v>
      </c>
      <c r="M524" s="10">
        <v>0.20244115610112365</v>
      </c>
      <c r="N524" s="25">
        <v>0.26589583333333339</v>
      </c>
      <c r="O524" s="25">
        <v>0.30891666666666662</v>
      </c>
      <c r="P524" s="25">
        <v>0.38127083333333339</v>
      </c>
      <c r="Q524" s="25">
        <v>0.38945833333333352</v>
      </c>
      <c r="R524" s="25">
        <v>0.4468750000000003</v>
      </c>
      <c r="S524" s="25">
        <v>0.32320833333333338</v>
      </c>
      <c r="T524" s="25">
        <v>0.31502083333333336</v>
      </c>
      <c r="U524" s="25">
        <v>0.26622916666666657</v>
      </c>
      <c r="V524" s="25">
        <v>-288.76666666666659</v>
      </c>
      <c r="W524" s="25">
        <v>-233.95625000000004</v>
      </c>
      <c r="X524" s="25">
        <v>-235.59583333333333</v>
      </c>
      <c r="Y524" s="25">
        <v>-232.82916666666665</v>
      </c>
      <c r="Z524" s="25">
        <v>-14.036041666666668</v>
      </c>
      <c r="AA524" s="25">
        <v>-177.40208333333337</v>
      </c>
      <c r="AB524" s="25">
        <v>-185.69791666666666</v>
      </c>
      <c r="AC524" s="25">
        <v>-200.12499999999997</v>
      </c>
      <c r="AD524" s="25">
        <v>-286.48333333333329</v>
      </c>
      <c r="AE524" s="25">
        <v>-789.7520833333333</v>
      </c>
      <c r="AF524" s="25">
        <v>-1194.8541666666667</v>
      </c>
      <c r="AG524" s="25">
        <v>-465.44583333333327</v>
      </c>
      <c r="AH524" s="25">
        <v>-12.037500000000009</v>
      </c>
      <c r="AI524" s="25">
        <v>-297.66249999999997</v>
      </c>
      <c r="AJ524" s="25">
        <v>-1754.5625</v>
      </c>
      <c r="AK524" s="25">
        <v>-2198.9166666666665</v>
      </c>
      <c r="AL524" s="25">
        <v>10.333333333333334</v>
      </c>
      <c r="AM524" s="25">
        <v>10.027083333333334</v>
      </c>
      <c r="AN524" s="25">
        <v>10.045833333333336</v>
      </c>
      <c r="AO524" s="25">
        <v>10.245833333333335</v>
      </c>
      <c r="AP524" s="25">
        <v>10.564583333333331</v>
      </c>
      <c r="AQ524" s="25">
        <v>10.079166666666667</v>
      </c>
      <c r="AR524" s="25">
        <v>9.7979166666666622</v>
      </c>
      <c r="AS524" s="25">
        <v>9.6812499999999932</v>
      </c>
      <c r="AT524" s="25">
        <v>0.3514374999999999</v>
      </c>
      <c r="AU524" s="25">
        <v>0.22097826086956526</v>
      </c>
      <c r="AV524" s="25">
        <v>0.39904166666666674</v>
      </c>
      <c r="AW524" s="25">
        <v>-22.044166666666669</v>
      </c>
      <c r="AX524" s="25">
        <v>-16.928958333333334</v>
      </c>
      <c r="AY524" s="25">
        <v>-15.56138888888889</v>
      </c>
      <c r="AZ524" s="25"/>
      <c r="BA524" s="25">
        <v>-10.520833333333337</v>
      </c>
      <c r="BB524" s="25">
        <v>-16.945833333333336</v>
      </c>
      <c r="BC524" s="25"/>
      <c r="BD524" s="25">
        <v>10.695833333333335</v>
      </c>
      <c r="BE524" s="25">
        <v>10.185416666666669</v>
      </c>
    </row>
    <row r="525" spans="1:57" x14ac:dyDescent="0.25">
      <c r="A525" s="1">
        <v>13.7</v>
      </c>
      <c r="B525" s="1">
        <v>6.4</v>
      </c>
      <c r="C525" s="22"/>
      <c r="D525" s="23">
        <v>44232</v>
      </c>
      <c r="E525" s="24">
        <v>55.666666666666664</v>
      </c>
      <c r="F525" s="24">
        <v>79.041666666666657</v>
      </c>
      <c r="G525" s="24">
        <v>9.3312499999999989</v>
      </c>
      <c r="H525" s="24">
        <v>0</v>
      </c>
      <c r="I525" s="24">
        <v>212.85416666666666</v>
      </c>
      <c r="J525" s="24">
        <v>4.479166666666667</v>
      </c>
      <c r="K525" s="24">
        <v>0</v>
      </c>
      <c r="L525" s="24">
        <v>5.7854166666666664</v>
      </c>
      <c r="M525" s="10">
        <v>0.25775183001847479</v>
      </c>
      <c r="N525" s="25">
        <v>0.27158333333333329</v>
      </c>
      <c r="O525" s="25">
        <v>0.31160416666666652</v>
      </c>
      <c r="P525" s="25">
        <v>0.38410416666666708</v>
      </c>
      <c r="Q525" s="25">
        <v>0.39135416666666645</v>
      </c>
      <c r="R525" s="25">
        <v>0.4478541666666665</v>
      </c>
      <c r="S525" s="25">
        <v>0.32604166666666662</v>
      </c>
      <c r="T525" s="25">
        <v>0.31670833333333342</v>
      </c>
      <c r="U525" s="25">
        <v>0.26741666666666691</v>
      </c>
      <c r="V525" s="25">
        <v>-270.4979166666667</v>
      </c>
      <c r="W525" s="25">
        <v>-260.37916666666655</v>
      </c>
      <c r="X525" s="25">
        <v>-228.84999999999994</v>
      </c>
      <c r="Y525" s="25">
        <v>-228.29583333333335</v>
      </c>
      <c r="Z525" s="25">
        <v>-14.356666666666669</v>
      </c>
      <c r="AA525" s="25">
        <v>-173.74374999999998</v>
      </c>
      <c r="AB525" s="25">
        <v>-182.14999999999998</v>
      </c>
      <c r="AC525" s="25">
        <v>-195.7395833333334</v>
      </c>
      <c r="AD525" s="25">
        <v>-254.85000000000005</v>
      </c>
      <c r="AE525" s="25">
        <v>-766.16458333333333</v>
      </c>
      <c r="AF525" s="25">
        <v>-1140.3333333333333</v>
      </c>
      <c r="AG525" s="25">
        <v>-458.47291666666655</v>
      </c>
      <c r="AH525" s="25">
        <v>-12.08125000000001</v>
      </c>
      <c r="AI525" s="25">
        <v>-266.85833333333329</v>
      </c>
      <c r="AJ525" s="25">
        <v>-1583.25</v>
      </c>
      <c r="AK525" s="25">
        <v>-1889.1458333333333</v>
      </c>
      <c r="AL525" s="25">
        <v>10.881250000000003</v>
      </c>
      <c r="AM525" s="25">
        <v>10.608333333333336</v>
      </c>
      <c r="AN525" s="25">
        <v>10.439583333333335</v>
      </c>
      <c r="AO525" s="25">
        <v>10.48333333333334</v>
      </c>
      <c r="AP525" s="25">
        <v>10.972916666666668</v>
      </c>
      <c r="AQ525" s="25">
        <v>10.787500000000003</v>
      </c>
      <c r="AR525" s="25">
        <v>10.462499999999997</v>
      </c>
      <c r="AS525" s="25">
        <v>10.26458333333334</v>
      </c>
      <c r="AT525" s="25">
        <v>0.35047916666666651</v>
      </c>
      <c r="AU525" s="25">
        <v>0.21241176470588233</v>
      </c>
      <c r="AV525" s="25">
        <v>0.39135416666666673</v>
      </c>
      <c r="AW525" s="25">
        <v>-22.008750000000003</v>
      </c>
      <c r="AX525" s="25">
        <v>-17.469791666666666</v>
      </c>
      <c r="AY525" s="25">
        <v>-34.949062500000011</v>
      </c>
      <c r="AZ525" s="25"/>
      <c r="BA525" s="25">
        <v>-10.60000000000001</v>
      </c>
      <c r="BB525" s="25">
        <v>-15.602083333333326</v>
      </c>
      <c r="BC525" s="25"/>
      <c r="BD525" s="25">
        <v>10.439583333333333</v>
      </c>
      <c r="BE525" s="25">
        <v>10.445833333333331</v>
      </c>
    </row>
    <row r="526" spans="1:57" x14ac:dyDescent="0.25">
      <c r="A526" s="1">
        <v>18.399999999999999</v>
      </c>
      <c r="B526" s="1">
        <v>7.1</v>
      </c>
      <c r="C526" s="22"/>
      <c r="D526" s="23">
        <v>44233</v>
      </c>
      <c r="E526" s="24">
        <v>80.416666666666671</v>
      </c>
      <c r="F526" s="24">
        <v>85.681249999999991</v>
      </c>
      <c r="G526" s="24">
        <v>11.300000000000002</v>
      </c>
      <c r="H526" s="24">
        <v>0.2</v>
      </c>
      <c r="I526" s="24">
        <v>220.625</v>
      </c>
      <c r="J526" s="24">
        <v>7.145833333333333</v>
      </c>
      <c r="K526" s="24">
        <v>0.6875</v>
      </c>
      <c r="L526" s="24">
        <v>8.8062500000000039</v>
      </c>
      <c r="M526" s="10">
        <v>0.23909507768666494</v>
      </c>
      <c r="N526" s="25">
        <v>0.27408333333333318</v>
      </c>
      <c r="O526" s="25">
        <v>0.31237500000000001</v>
      </c>
      <c r="P526" s="25">
        <v>0.38510416666666653</v>
      </c>
      <c r="Q526" s="25">
        <v>0.39218749999999991</v>
      </c>
      <c r="R526" s="25">
        <v>0.44699999999999984</v>
      </c>
      <c r="S526" s="25">
        <v>0.32631249999999978</v>
      </c>
      <c r="T526" s="25">
        <v>0.31745833333333323</v>
      </c>
      <c r="U526" s="25">
        <v>0.26802083333333349</v>
      </c>
      <c r="V526" s="25">
        <v>-250.66666666666671</v>
      </c>
      <c r="W526" s="25">
        <v>-288.48333333333329</v>
      </c>
      <c r="X526" s="25">
        <v>-225.18958333333339</v>
      </c>
      <c r="Y526" s="25">
        <v>-224.5541666666667</v>
      </c>
      <c r="Z526" s="25">
        <v>-14.986666666666665</v>
      </c>
      <c r="AA526" s="25">
        <v>-172.3729166666667</v>
      </c>
      <c r="AB526" s="25">
        <v>-180.34999999999994</v>
      </c>
      <c r="AC526" s="25">
        <v>-192.8416666666667</v>
      </c>
      <c r="AD526" s="25">
        <v>-235.875</v>
      </c>
      <c r="AE526" s="25">
        <v>-757.96458333333351</v>
      </c>
      <c r="AF526" s="25">
        <v>-1118.5416666666667</v>
      </c>
      <c r="AG526" s="25">
        <v>-453.90208333333317</v>
      </c>
      <c r="AH526" s="25">
        <v>-12.199999999999996</v>
      </c>
      <c r="AI526" s="25">
        <v>-254.76041666666671</v>
      </c>
      <c r="AJ526" s="25">
        <v>-1509.2291666666667</v>
      </c>
      <c r="AK526" s="25">
        <v>-1601.3958333333333</v>
      </c>
      <c r="AL526" s="25">
        <v>11.087499999999999</v>
      </c>
      <c r="AM526" s="25">
        <v>10.718750000000002</v>
      </c>
      <c r="AN526" s="25">
        <v>10.610416666666673</v>
      </c>
      <c r="AO526" s="25">
        <v>10.672916666666659</v>
      </c>
      <c r="AP526" s="25">
        <v>11.235416666666664</v>
      </c>
      <c r="AQ526" s="25">
        <v>10.816666666666665</v>
      </c>
      <c r="AR526" s="25">
        <v>10.545833333333327</v>
      </c>
      <c r="AS526" s="25">
        <v>10.404166666666663</v>
      </c>
      <c r="AT526" s="25">
        <v>0.34948837209302297</v>
      </c>
      <c r="AU526" s="25">
        <v>0.20521276595744692</v>
      </c>
      <c r="AV526" s="25">
        <v>0.38397916666666648</v>
      </c>
      <c r="AW526" s="25">
        <v>-22.044583333333335</v>
      </c>
      <c r="AX526" s="25">
        <v>-20.169999999999998</v>
      </c>
      <c r="AY526" s="25">
        <v>-142.86794117647057</v>
      </c>
      <c r="AZ526" s="25"/>
      <c r="BA526" s="25">
        <v>-10.625000000000002</v>
      </c>
      <c r="BB526" s="25">
        <v>-15.162500000000001</v>
      </c>
      <c r="BC526" s="25"/>
      <c r="BD526" s="25">
        <v>11.137499999999998</v>
      </c>
      <c r="BE526" s="25">
        <v>10.685416666666667</v>
      </c>
    </row>
    <row r="527" spans="1:57" x14ac:dyDescent="0.25">
      <c r="A527" s="1">
        <v>14.1</v>
      </c>
      <c r="B527" s="1">
        <v>7.6</v>
      </c>
      <c r="C527" s="22"/>
      <c r="D527" s="23">
        <v>44234</v>
      </c>
      <c r="E527" s="24">
        <v>15.520833333333334</v>
      </c>
      <c r="F527" s="24">
        <v>90.010416666666671</v>
      </c>
      <c r="G527" s="24">
        <v>9.8458333333333332</v>
      </c>
      <c r="H527" s="24">
        <v>3.1000000000000005</v>
      </c>
      <c r="I527" s="24">
        <v>218.58333333333334</v>
      </c>
      <c r="J527" s="24">
        <v>6.125</v>
      </c>
      <c r="K527" s="24">
        <v>0.25</v>
      </c>
      <c r="L527" s="24">
        <v>8.25</v>
      </c>
      <c r="M527" s="10">
        <v>0.12958365931203833</v>
      </c>
      <c r="N527" s="25">
        <v>0.27620833333333333</v>
      </c>
      <c r="O527" s="25">
        <v>0.31454166666666666</v>
      </c>
      <c r="P527" s="25">
        <v>0.38760416666666692</v>
      </c>
      <c r="Q527" s="25">
        <v>0.39410416666666653</v>
      </c>
      <c r="R527" s="25">
        <v>0.44825000000000004</v>
      </c>
      <c r="S527" s="25">
        <v>0.32837499999999986</v>
      </c>
      <c r="T527" s="25">
        <v>0.31885416666666705</v>
      </c>
      <c r="U527" s="25">
        <v>0.26879166666666687</v>
      </c>
      <c r="V527" s="25">
        <v>-230.12499999999989</v>
      </c>
      <c r="W527" s="25">
        <v>-285.09999999999997</v>
      </c>
      <c r="X527" s="25">
        <v>-218.78541666666672</v>
      </c>
      <c r="Y527" s="25">
        <v>-219.8416666666667</v>
      </c>
      <c r="Z527" s="25">
        <v>-16.354999999999997</v>
      </c>
      <c r="AA527" s="25">
        <v>-168.6020833333333</v>
      </c>
      <c r="AB527" s="25">
        <v>-176.73541666666668</v>
      </c>
      <c r="AC527" s="25">
        <v>-188.7166666666667</v>
      </c>
      <c r="AD527" s="25">
        <v>-217.97916666666666</v>
      </c>
      <c r="AE527" s="25">
        <v>-717.50416666666661</v>
      </c>
      <c r="AF527" s="25">
        <v>-1077.125</v>
      </c>
      <c r="AG527" s="25">
        <v>-447.96249999999992</v>
      </c>
      <c r="AH527" s="25">
        <v>-12.231250000000012</v>
      </c>
      <c r="AI527" s="25">
        <v>-235.30208333333337</v>
      </c>
      <c r="AJ527" s="25">
        <v>-1377.4166666666667</v>
      </c>
      <c r="AK527" s="25">
        <v>-1536.6041666666667</v>
      </c>
      <c r="AL527" s="25">
        <v>11.602083333333338</v>
      </c>
      <c r="AM527" s="25">
        <v>11.275000000000007</v>
      </c>
      <c r="AN527" s="25">
        <v>10.933333333333335</v>
      </c>
      <c r="AO527" s="25">
        <v>10.89583333333333</v>
      </c>
      <c r="AP527" s="25">
        <v>11.522916666666667</v>
      </c>
      <c r="AQ527" s="25">
        <v>11.45833333333333</v>
      </c>
      <c r="AR527" s="25">
        <v>11.114583333333337</v>
      </c>
      <c r="AS527" s="25">
        <v>10.85624999999999</v>
      </c>
      <c r="AT527" s="25">
        <v>0.35027083333333331</v>
      </c>
      <c r="AU527" s="25">
        <v>0.20258333333333334</v>
      </c>
      <c r="AV527" s="25">
        <v>0.37908333333333338</v>
      </c>
      <c r="AW527" s="25">
        <v>-22.016041666666666</v>
      </c>
      <c r="AX527" s="25">
        <v>-24.542083333333327</v>
      </c>
      <c r="AY527" s="25"/>
      <c r="AZ527" s="25"/>
      <c r="BA527" s="25">
        <v>-10.70833333333333</v>
      </c>
      <c r="BB527" s="25">
        <v>-15.408333333333324</v>
      </c>
      <c r="BC527" s="25"/>
      <c r="BD527" s="25">
        <v>10.802083333333337</v>
      </c>
      <c r="BE527" s="25">
        <v>10.941666666666663</v>
      </c>
    </row>
    <row r="528" spans="1:57" x14ac:dyDescent="0.25">
      <c r="A528" s="1">
        <v>8.6999999999999993</v>
      </c>
      <c r="B528" s="1">
        <v>6.1</v>
      </c>
      <c r="C528" s="22"/>
      <c r="D528" s="23">
        <v>44235</v>
      </c>
      <c r="E528" s="24">
        <v>32.1875</v>
      </c>
      <c r="F528" s="24">
        <v>90.652083333333323</v>
      </c>
      <c r="G528" s="24">
        <v>7.1812500000000012</v>
      </c>
      <c r="H528" s="24">
        <v>3.3000000000000007</v>
      </c>
      <c r="I528" s="24">
        <v>229.33333333333334</v>
      </c>
      <c r="J528" s="24">
        <v>2.875</v>
      </c>
      <c r="K528" s="24">
        <v>8.3333333333333329E-2</v>
      </c>
      <c r="L528" s="24">
        <v>5.7458333333333336</v>
      </c>
      <c r="M528" s="10">
        <v>9.5673019860401262E-2</v>
      </c>
      <c r="N528" s="25">
        <v>0.31262499999999999</v>
      </c>
      <c r="O528" s="25">
        <v>0.31495833333333345</v>
      </c>
      <c r="P528" s="25">
        <v>0.38658333333333306</v>
      </c>
      <c r="Q528" s="25">
        <v>0.39491666666666631</v>
      </c>
      <c r="R528" s="25">
        <v>0.44766666666666638</v>
      </c>
      <c r="S528" s="25">
        <v>0.32679166666666676</v>
      </c>
      <c r="T528" s="25">
        <v>0.31900000000000039</v>
      </c>
      <c r="U528" s="25">
        <v>0.26895833333333347</v>
      </c>
      <c r="V528" s="25">
        <v>-146.68770833333326</v>
      </c>
      <c r="W528" s="25">
        <v>-302.41874999999999</v>
      </c>
      <c r="X528" s="25">
        <v>-218.66666666666671</v>
      </c>
      <c r="Y528" s="25">
        <v>-217.90625000000003</v>
      </c>
      <c r="Z528" s="25">
        <v>-18.052083333333332</v>
      </c>
      <c r="AA528" s="25">
        <v>-170.52083333333334</v>
      </c>
      <c r="AB528" s="25">
        <v>-177.12708333333333</v>
      </c>
      <c r="AC528" s="25">
        <v>-186.80208333333337</v>
      </c>
      <c r="AD528" s="25">
        <v>-210.33958333333337</v>
      </c>
      <c r="AE528" s="25">
        <v>-721.46458333333328</v>
      </c>
      <c r="AF528" s="25">
        <v>-1048.5</v>
      </c>
      <c r="AG528" s="25">
        <v>-445.19791666666646</v>
      </c>
      <c r="AH528" s="25">
        <v>-11.639583333333343</v>
      </c>
      <c r="AI528" s="25">
        <v>-233.48333333333335</v>
      </c>
      <c r="AJ528" s="25">
        <v>-1307.0625</v>
      </c>
      <c r="AK528" s="25">
        <v>-1116.6145833333333</v>
      </c>
      <c r="AL528" s="25">
        <v>10.610416666666667</v>
      </c>
      <c r="AM528" s="25">
        <v>10.947916666666666</v>
      </c>
      <c r="AN528" s="25">
        <v>10.977083333333326</v>
      </c>
      <c r="AO528" s="25">
        <v>11.029166666666667</v>
      </c>
      <c r="AP528" s="25">
        <v>10.181249999999999</v>
      </c>
      <c r="AQ528" s="25">
        <v>10.70208333333334</v>
      </c>
      <c r="AR528" s="25">
        <v>10.72083333333334</v>
      </c>
      <c r="AS528" s="25">
        <v>10.69583333333334</v>
      </c>
      <c r="AT528" s="25">
        <v>0.36212500000000003</v>
      </c>
      <c r="AU528" s="25">
        <v>0.23672916666666668</v>
      </c>
      <c r="AV528" s="25">
        <v>0.40425</v>
      </c>
      <c r="AW528" s="25">
        <v>-22.328749999999996</v>
      </c>
      <c r="AX528" s="25">
        <v>-18.543749999999999</v>
      </c>
      <c r="AY528" s="25">
        <v>-17.143437500000001</v>
      </c>
      <c r="AZ528" s="25"/>
      <c r="BA528" s="25">
        <v>-10.293749999999996</v>
      </c>
      <c r="BB528" s="25">
        <v>-15.189583333333333</v>
      </c>
      <c r="BC528" s="25"/>
      <c r="BD528" s="25">
        <v>9.8249999999999993</v>
      </c>
      <c r="BE528" s="25">
        <v>10.0375</v>
      </c>
    </row>
    <row r="529" spans="1:57" x14ac:dyDescent="0.25">
      <c r="A529" s="1">
        <v>8.6999999999999993</v>
      </c>
      <c r="B529" s="1">
        <v>5.7</v>
      </c>
      <c r="C529" s="22"/>
      <c r="D529" s="23">
        <v>44236</v>
      </c>
      <c r="E529" s="24">
        <v>35.333333333333336</v>
      </c>
      <c r="F529" s="24">
        <v>93.854166666666671</v>
      </c>
      <c r="G529" s="24">
        <v>6.7250000000000014</v>
      </c>
      <c r="H529" s="24">
        <v>7.0000000000000009</v>
      </c>
      <c r="I529" s="24">
        <v>102.9375</v>
      </c>
      <c r="J529" s="24">
        <v>1.0208333333333333</v>
      </c>
      <c r="K529" s="24">
        <v>0</v>
      </c>
      <c r="L529" s="24">
        <v>5.7979166666666657</v>
      </c>
      <c r="M529" s="10">
        <v>6.171955070228783E-2</v>
      </c>
      <c r="N529" s="25">
        <v>0.40691666666666676</v>
      </c>
      <c r="O529" s="25">
        <v>0.33133333333333337</v>
      </c>
      <c r="P529" s="25">
        <v>0.3935833333333334</v>
      </c>
      <c r="Q529" s="25">
        <v>0.39485416666666645</v>
      </c>
      <c r="R529" s="25">
        <v>0.45618750000000019</v>
      </c>
      <c r="S529" s="25">
        <v>0.3291458333333333</v>
      </c>
      <c r="T529" s="25">
        <v>0.31881250000000017</v>
      </c>
      <c r="U529" s="25">
        <v>0.2686041666666667</v>
      </c>
      <c r="V529" s="25">
        <v>-15.621874999999996</v>
      </c>
      <c r="W529" s="25">
        <v>-175.11249999999995</v>
      </c>
      <c r="X529" s="25">
        <v>-219.14791666666676</v>
      </c>
      <c r="Y529" s="25">
        <v>-216.99791666666678</v>
      </c>
      <c r="Z529" s="25">
        <v>-15.117291666666667</v>
      </c>
      <c r="AA529" s="25">
        <v>-170.91458333333333</v>
      </c>
      <c r="AB529" s="25">
        <v>-178.08333333333329</v>
      </c>
      <c r="AC529" s="25">
        <v>-187.17708333333337</v>
      </c>
      <c r="AD529" s="25">
        <v>-190.01458333333335</v>
      </c>
      <c r="AE529" s="25">
        <v>-724.18333333333305</v>
      </c>
      <c r="AF529" s="25">
        <v>-1076.8541666666667</v>
      </c>
      <c r="AG529" s="25">
        <v>-444.58749999999981</v>
      </c>
      <c r="AH529" s="25">
        <v>-11.516666666666666</v>
      </c>
      <c r="AI529" s="25">
        <v>-88.300000000000026</v>
      </c>
      <c r="AJ529" s="25">
        <v>-986.65625</v>
      </c>
      <c r="AK529" s="25">
        <v>-246.24583333333337</v>
      </c>
      <c r="AL529" s="25">
        <v>10.154166666666667</v>
      </c>
      <c r="AM529" s="25">
        <v>10.597916666666665</v>
      </c>
      <c r="AN529" s="25">
        <v>10.802083333333336</v>
      </c>
      <c r="AO529" s="25">
        <v>10.952083333333322</v>
      </c>
      <c r="AP529" s="25">
        <v>9.6645833333333311</v>
      </c>
      <c r="AQ529" s="25">
        <v>10.220833333333333</v>
      </c>
      <c r="AR529" s="25">
        <v>10.329166666666666</v>
      </c>
      <c r="AS529" s="25">
        <v>10.379166666666672</v>
      </c>
      <c r="AT529" s="25">
        <v>0.37287500000000001</v>
      </c>
      <c r="AU529" s="25">
        <v>0.24612500000000012</v>
      </c>
      <c r="AV529" s="25">
        <v>0.42918749999999983</v>
      </c>
      <c r="AW529" s="25">
        <v>-23.059583333333332</v>
      </c>
      <c r="AX529" s="25">
        <v>-16.905208333333338</v>
      </c>
      <c r="AY529" s="25">
        <v>-16.903541666666666</v>
      </c>
      <c r="AZ529" s="25"/>
      <c r="BA529" s="25">
        <v>-10.118750000000009</v>
      </c>
      <c r="BB529" s="25">
        <v>-12.960416666666665</v>
      </c>
      <c r="BC529" s="25"/>
      <c r="BD529" s="25">
        <v>9.5624999999999982</v>
      </c>
      <c r="BE529" s="25">
        <v>9.6770833333333304</v>
      </c>
    </row>
    <row r="530" spans="1:57" x14ac:dyDescent="0.25">
      <c r="A530" s="1">
        <v>14.1</v>
      </c>
      <c r="B530" s="1">
        <v>5.2</v>
      </c>
      <c r="C530" s="22"/>
      <c r="D530" s="23">
        <v>44237</v>
      </c>
      <c r="E530" s="24">
        <v>120.16666666666667</v>
      </c>
      <c r="F530" s="24">
        <v>83.783333333333317</v>
      </c>
      <c r="G530" s="24">
        <v>8.4437499999999996</v>
      </c>
      <c r="H530" s="24">
        <v>0.89999999999999991</v>
      </c>
      <c r="I530" s="24">
        <v>177.9375</v>
      </c>
      <c r="J530" s="24">
        <v>3.625</v>
      </c>
      <c r="K530" s="24">
        <v>0.10416666666666667</v>
      </c>
      <c r="L530" s="24">
        <v>5.6562499999999991</v>
      </c>
      <c r="M530" s="10">
        <v>0.21000384111512935</v>
      </c>
      <c r="N530" s="25">
        <v>0.40443749999999973</v>
      </c>
      <c r="O530" s="25">
        <v>0.35052083333333317</v>
      </c>
      <c r="P530" s="25">
        <v>0.41510416666666655</v>
      </c>
      <c r="Q530" s="25">
        <v>0.39504166666666646</v>
      </c>
      <c r="R530" s="25">
        <v>0.46004166666666674</v>
      </c>
      <c r="S530" s="25">
        <v>0.33741666666666664</v>
      </c>
      <c r="T530" s="25">
        <v>0.3186250000000001</v>
      </c>
      <c r="U530" s="25">
        <v>0.26879166666666671</v>
      </c>
      <c r="V530" s="25">
        <v>-15.56083333333333</v>
      </c>
      <c r="W530" s="25">
        <v>-82.041041666666686</v>
      </c>
      <c r="X530" s="25">
        <v>-216.76874999999998</v>
      </c>
      <c r="Y530" s="25">
        <v>-214.875</v>
      </c>
      <c r="Z530" s="25">
        <v>-13.452083333333329</v>
      </c>
      <c r="AA530" s="25">
        <v>-169.27083333333334</v>
      </c>
      <c r="AB530" s="25">
        <v>-178.06041666666667</v>
      </c>
      <c r="AC530" s="25">
        <v>-186.46666666666667</v>
      </c>
      <c r="AD530" s="25">
        <v>-91.002083333333303</v>
      </c>
      <c r="AE530" s="25">
        <v>-714.87499999999989</v>
      </c>
      <c r="AF530" s="25">
        <v>-1072.7083333333333</v>
      </c>
      <c r="AG530" s="25">
        <v>-445.59999999999985</v>
      </c>
      <c r="AH530" s="25">
        <v>-11.504166666666677</v>
      </c>
      <c r="AI530" s="25">
        <v>-11.125000000000012</v>
      </c>
      <c r="AJ530" s="25">
        <v>-124.06041666666668</v>
      </c>
      <c r="AK530" s="25">
        <v>-133.39791666666667</v>
      </c>
      <c r="AL530" s="25">
        <v>10.414583333333333</v>
      </c>
      <c r="AM530" s="25">
        <v>10.504166666666665</v>
      </c>
      <c r="AN530" s="25">
        <v>10.662500000000005</v>
      </c>
      <c r="AO530" s="25">
        <v>10.833333333333341</v>
      </c>
      <c r="AP530" s="25">
        <v>10.441666666666666</v>
      </c>
      <c r="AQ530" s="25">
        <v>10.30625</v>
      </c>
      <c r="AR530" s="25">
        <v>10.243749999999999</v>
      </c>
      <c r="AS530" s="25">
        <v>10.245833333333328</v>
      </c>
      <c r="AT530" s="25">
        <v>0.37102173913043479</v>
      </c>
      <c r="AU530" s="25">
        <v>0.23680000000000001</v>
      </c>
      <c r="AV530" s="25">
        <v>0.43072916666666655</v>
      </c>
      <c r="AW530" s="25">
        <v>-23.596458333333327</v>
      </c>
      <c r="AX530" s="25">
        <v>-16.796458333333337</v>
      </c>
      <c r="AY530" s="25">
        <v>-18.718124999999997</v>
      </c>
      <c r="AZ530" s="25"/>
      <c r="BA530" s="25">
        <v>-10.100000000000009</v>
      </c>
      <c r="BB530" s="25">
        <v>-12.406249999999991</v>
      </c>
      <c r="BC530" s="25"/>
      <c r="BD530" s="25">
        <v>10.124999999999996</v>
      </c>
      <c r="BE530" s="25">
        <v>10.408333333333333</v>
      </c>
    </row>
    <row r="531" spans="1:57" x14ac:dyDescent="0.25">
      <c r="A531" s="1">
        <v>10.199999999999999</v>
      </c>
      <c r="B531" s="1">
        <v>4.5</v>
      </c>
      <c r="C531" s="22"/>
      <c r="D531" s="23">
        <v>44238</v>
      </c>
      <c r="E531" s="24">
        <v>47.375</v>
      </c>
      <c r="F531" s="24">
        <v>87.191666666666677</v>
      </c>
      <c r="G531" s="24">
        <v>6.9958333333333309</v>
      </c>
      <c r="H531" s="24">
        <v>0</v>
      </c>
      <c r="I531" s="24">
        <v>219.41666666666666</v>
      </c>
      <c r="J531" s="24">
        <v>2.5</v>
      </c>
      <c r="K531" s="24">
        <v>2.0833333333333332E-2</v>
      </c>
      <c r="L531" s="24">
        <v>4.96875</v>
      </c>
      <c r="M531" s="10">
        <v>0.13606592220369837</v>
      </c>
      <c r="N531" s="25">
        <v>0.38989583333333339</v>
      </c>
      <c r="O531" s="25">
        <v>0.35443749999999968</v>
      </c>
      <c r="P531" s="25">
        <v>0.42474999999999996</v>
      </c>
      <c r="Q531" s="25">
        <v>0.39639583333333323</v>
      </c>
      <c r="R531" s="25">
        <v>0.45804166666666651</v>
      </c>
      <c r="S531" s="25">
        <v>0.34124999999999978</v>
      </c>
      <c r="T531" s="25">
        <v>0.31900000000000039</v>
      </c>
      <c r="U531" s="25">
        <v>0.26900000000000007</v>
      </c>
      <c r="V531" s="25">
        <v>-15.626875</v>
      </c>
      <c r="W531" s="25">
        <v>-78.00041666666668</v>
      </c>
      <c r="X531" s="25">
        <v>-209.60208333333324</v>
      </c>
      <c r="Y531" s="25">
        <v>-209.64791666666656</v>
      </c>
      <c r="Z531" s="25">
        <v>-13.707500000000003</v>
      </c>
      <c r="AA531" s="25">
        <v>-166.81041666666667</v>
      </c>
      <c r="AB531" s="25">
        <v>-176.36041666666668</v>
      </c>
      <c r="AC531" s="25">
        <v>-181.84583333333333</v>
      </c>
      <c r="AD531" s="25">
        <v>-53.585416666666667</v>
      </c>
      <c r="AE531" s="25">
        <v>-695.50416666666661</v>
      </c>
      <c r="AF531" s="25">
        <v>-1053.8541666666667</v>
      </c>
      <c r="AG531" s="25">
        <v>-443.96458333333317</v>
      </c>
      <c r="AH531" s="25">
        <v>-11.593750000000009</v>
      </c>
      <c r="AI531" s="25">
        <v>-10.60000000000001</v>
      </c>
      <c r="AJ531" s="25">
        <v>-82.133333333333354</v>
      </c>
      <c r="AK531" s="25">
        <v>-92.199999999999974</v>
      </c>
      <c r="AL531" s="25">
        <v>10.368749999999999</v>
      </c>
      <c r="AM531" s="25">
        <v>10.675000000000006</v>
      </c>
      <c r="AN531" s="25">
        <v>10.758333333333335</v>
      </c>
      <c r="AO531" s="25">
        <v>10.879166666666656</v>
      </c>
      <c r="AP531" s="25">
        <v>10.039583333333335</v>
      </c>
      <c r="AQ531" s="25">
        <v>10.525</v>
      </c>
      <c r="AR531" s="25">
        <v>10.502083333333324</v>
      </c>
      <c r="AS531" s="25">
        <v>10.454166666666655</v>
      </c>
      <c r="AT531" s="25">
        <v>0.36497916666666685</v>
      </c>
      <c r="AU531" s="25">
        <v>0.22927083333333323</v>
      </c>
      <c r="AV531" s="25">
        <v>0.41729166666666667</v>
      </c>
      <c r="AW531" s="25">
        <v>-24.212916666666672</v>
      </c>
      <c r="AX531" s="25">
        <v>-16.876874999999998</v>
      </c>
      <c r="AY531" s="25">
        <v>-30.124375000000001</v>
      </c>
      <c r="AZ531" s="25"/>
      <c r="BA531" s="25">
        <v>-10.100000000000009</v>
      </c>
      <c r="BB531" s="25">
        <v>-12.316666666666672</v>
      </c>
      <c r="BC531" s="25"/>
      <c r="BD531" s="25">
        <v>9.5770833333333343</v>
      </c>
      <c r="BE531" s="25">
        <v>9.8291666666666675</v>
      </c>
    </row>
    <row r="532" spans="1:57" x14ac:dyDescent="0.25">
      <c r="A532" s="1">
        <v>14.1</v>
      </c>
      <c r="B532" s="1">
        <v>6</v>
      </c>
      <c r="C532" s="22"/>
      <c r="D532" s="23">
        <v>44239</v>
      </c>
      <c r="E532" s="24">
        <v>69.541666666666671</v>
      </c>
      <c r="F532" s="24">
        <v>83.716666666666683</v>
      </c>
      <c r="G532" s="24">
        <v>9.1312499999999996</v>
      </c>
      <c r="H532" s="24">
        <v>0</v>
      </c>
      <c r="I532" s="24">
        <v>200.66666666666666</v>
      </c>
      <c r="J532" s="24">
        <v>2.6041666666666665</v>
      </c>
      <c r="K532" s="24">
        <v>6.25E-2</v>
      </c>
      <c r="L532" s="24">
        <v>6.4312499999999986</v>
      </c>
      <c r="M532" s="10">
        <v>0.20623062718647958</v>
      </c>
      <c r="N532" s="25">
        <v>0.38443750000000015</v>
      </c>
      <c r="O532" s="25">
        <v>0.35500000000000004</v>
      </c>
      <c r="P532" s="25">
        <v>0.42685416666666659</v>
      </c>
      <c r="Q532" s="25">
        <v>0.39699999999999996</v>
      </c>
      <c r="R532" s="25">
        <v>0.45716666666666655</v>
      </c>
      <c r="S532" s="25">
        <v>0.34097916666666667</v>
      </c>
      <c r="T532" s="25">
        <v>0.31912500000000033</v>
      </c>
      <c r="U532" s="25">
        <v>0.26906250000000004</v>
      </c>
      <c r="V532" s="25">
        <v>-15.647916666666658</v>
      </c>
      <c r="W532" s="25">
        <v>-82.82854166666668</v>
      </c>
      <c r="X532" s="25">
        <v>-203.88750000000007</v>
      </c>
      <c r="Y532" s="25">
        <v>-204.7291666666666</v>
      </c>
      <c r="Z532" s="25">
        <v>-13.77375</v>
      </c>
      <c r="AA532" s="25">
        <v>-165.38124999999999</v>
      </c>
      <c r="AB532" s="25">
        <v>-175.9979166666667</v>
      </c>
      <c r="AC532" s="25">
        <v>-178.3145833333333</v>
      </c>
      <c r="AD532" s="25">
        <v>-42.966666666666676</v>
      </c>
      <c r="AE532" s="25">
        <v>-676.07499999999993</v>
      </c>
      <c r="AF532" s="25">
        <v>-1045.2083333333333</v>
      </c>
      <c r="AG532" s="25">
        <v>-442.92291666666637</v>
      </c>
      <c r="AH532" s="25">
        <v>-11.625</v>
      </c>
      <c r="AI532" s="25">
        <v>-10.662499999999993</v>
      </c>
      <c r="AJ532" s="25">
        <v>-94.56041666666664</v>
      </c>
      <c r="AK532" s="25">
        <v>-75.333333333333329</v>
      </c>
      <c r="AL532" s="25">
        <v>10.472916666666666</v>
      </c>
      <c r="AM532" s="25">
        <v>10.581250000000001</v>
      </c>
      <c r="AN532" s="25">
        <v>10.699999999999994</v>
      </c>
      <c r="AO532" s="25">
        <v>10.86875</v>
      </c>
      <c r="AP532" s="25">
        <v>10.364583333333334</v>
      </c>
      <c r="AQ532" s="25">
        <v>10.449999999999998</v>
      </c>
      <c r="AR532" s="25">
        <v>10.383333333333338</v>
      </c>
      <c r="AS532" s="25">
        <v>10.362500000000002</v>
      </c>
      <c r="AT532" s="25">
        <v>0.36341666666666655</v>
      </c>
      <c r="AU532" s="25">
        <v>0.22668085106382987</v>
      </c>
      <c r="AV532" s="25">
        <v>0.40987499999999999</v>
      </c>
      <c r="AW532" s="25">
        <v>-24.182708333333327</v>
      </c>
      <c r="AX532" s="25">
        <v>-16.784583333333334</v>
      </c>
      <c r="AY532" s="25">
        <v>-39.069999999999993</v>
      </c>
      <c r="AZ532" s="25"/>
      <c r="BA532" s="25">
        <v>-10.129166666666665</v>
      </c>
      <c r="BB532" s="25">
        <v>-12.204166666666666</v>
      </c>
      <c r="BC532" s="25"/>
      <c r="BD532" s="25">
        <v>10.185416666666669</v>
      </c>
      <c r="BE532" s="25">
        <v>10.168750000000001</v>
      </c>
    </row>
    <row r="533" spans="1:57" x14ac:dyDescent="0.25">
      <c r="A533" s="1">
        <v>11.7</v>
      </c>
      <c r="B533" s="1">
        <v>8.6</v>
      </c>
      <c r="C533" s="22"/>
      <c r="D533" s="23">
        <v>44240</v>
      </c>
      <c r="E533" s="24">
        <v>24.375</v>
      </c>
      <c r="F533" s="24">
        <v>88.866666666666674</v>
      </c>
      <c r="G533" s="24">
        <v>9.7208333333333332</v>
      </c>
      <c r="H533" s="24">
        <v>0</v>
      </c>
      <c r="I533" s="24">
        <v>230.39583333333334</v>
      </c>
      <c r="J533" s="24">
        <v>4.291666666666667</v>
      </c>
      <c r="K533" s="24">
        <v>6.25E-2</v>
      </c>
      <c r="L533" s="24">
        <v>7.970833333333335</v>
      </c>
      <c r="M533" s="10">
        <v>0.13570926991924623</v>
      </c>
      <c r="N533" s="25">
        <v>0.38168750000000012</v>
      </c>
      <c r="O533" s="25">
        <v>0.35627083333333309</v>
      </c>
      <c r="P533" s="25">
        <v>0.42862499999999987</v>
      </c>
      <c r="Q533" s="25">
        <v>0.39814583333333337</v>
      </c>
      <c r="R533" s="25">
        <v>0.45752083333333315</v>
      </c>
      <c r="S533" s="25">
        <v>0.34162499999999985</v>
      </c>
      <c r="T533" s="25">
        <v>0.32014583333333341</v>
      </c>
      <c r="U533" s="25">
        <v>0.26979166666666643</v>
      </c>
      <c r="V533" s="25">
        <v>-15.638333333333321</v>
      </c>
      <c r="W533" s="25">
        <v>-87.395833333333357</v>
      </c>
      <c r="X533" s="25">
        <v>-195.10208333333333</v>
      </c>
      <c r="Y533" s="25">
        <v>-197.89166666666662</v>
      </c>
      <c r="Z533" s="25">
        <v>-13.829374999999999</v>
      </c>
      <c r="AA533" s="25">
        <v>-162.32708333333332</v>
      </c>
      <c r="AB533" s="25">
        <v>-174.11041666666665</v>
      </c>
      <c r="AC533" s="25">
        <v>-172.83541666666676</v>
      </c>
      <c r="AD533" s="25">
        <v>-40.979166666666657</v>
      </c>
      <c r="AE533" s="25">
        <v>-648.29374999999993</v>
      </c>
      <c r="AF533" s="25">
        <v>-1012.4166666666666</v>
      </c>
      <c r="AG533" s="25">
        <v>-440.24583333333322</v>
      </c>
      <c r="AH533" s="25">
        <v>-11.645833333333334</v>
      </c>
      <c r="AI533" s="25">
        <v>-10.81875</v>
      </c>
      <c r="AJ533" s="25">
        <v>-100.99583333333334</v>
      </c>
      <c r="AK533" s="25">
        <v>-69.831250000000011</v>
      </c>
      <c r="AL533" s="25">
        <v>10.729166666666663</v>
      </c>
      <c r="AM533" s="25">
        <v>10.777083333333335</v>
      </c>
      <c r="AN533" s="25">
        <v>10.793750000000008</v>
      </c>
      <c r="AO533" s="25">
        <v>10.895833333333323</v>
      </c>
      <c r="AP533" s="25">
        <v>10.612500000000002</v>
      </c>
      <c r="AQ533" s="25">
        <v>10.718750000000002</v>
      </c>
      <c r="AR533" s="25">
        <v>10.614583333333341</v>
      </c>
      <c r="AS533" s="25">
        <v>10.525</v>
      </c>
      <c r="AT533" s="25">
        <v>0.3621041666666665</v>
      </c>
      <c r="AU533" s="25">
        <v>0.22499999999999978</v>
      </c>
      <c r="AV533" s="25">
        <v>0.40306250000000016</v>
      </c>
      <c r="AW533" s="25">
        <v>-24.141249999999999</v>
      </c>
      <c r="AX533" s="25">
        <v>-16.742708333333333</v>
      </c>
      <c r="AY533" s="25"/>
      <c r="AZ533" s="25"/>
      <c r="BA533" s="25">
        <v>-10.120833333333342</v>
      </c>
      <c r="BB533" s="25">
        <v>-12.197916666666666</v>
      </c>
      <c r="BC533" s="25"/>
      <c r="BD533" s="25">
        <v>10.393750000000001</v>
      </c>
      <c r="BE533" s="25">
        <v>10.318749999999998</v>
      </c>
    </row>
    <row r="534" spans="1:57" x14ac:dyDescent="0.25">
      <c r="A534" s="1">
        <v>19.100000000000001</v>
      </c>
      <c r="B534" s="1">
        <v>6.3</v>
      </c>
      <c r="C534" s="22"/>
      <c r="D534" s="23">
        <v>44241</v>
      </c>
      <c r="E534" s="24">
        <v>167.97916666666666</v>
      </c>
      <c r="F534" s="24">
        <v>78.887499999999989</v>
      </c>
      <c r="G534" s="24">
        <v>12.041666666666663</v>
      </c>
      <c r="H534" s="24">
        <v>0</v>
      </c>
      <c r="I534" s="24">
        <v>134.1875</v>
      </c>
      <c r="J534" s="24">
        <v>6.4375</v>
      </c>
      <c r="K534" s="24">
        <v>0.79166666666666663</v>
      </c>
      <c r="L534" s="24">
        <v>8.2104166666666671</v>
      </c>
      <c r="M534" s="10">
        <v>0.3597565922240154</v>
      </c>
      <c r="N534" s="25">
        <v>0.38106250000000014</v>
      </c>
      <c r="O534" s="25">
        <v>0.35797916666666657</v>
      </c>
      <c r="P534" s="25">
        <v>0.43014583333333317</v>
      </c>
      <c r="Q534" s="25">
        <v>0.39910416666666698</v>
      </c>
      <c r="R534" s="25">
        <v>0.4597291666666668</v>
      </c>
      <c r="S534" s="25">
        <v>0.34199999999999992</v>
      </c>
      <c r="T534" s="25">
        <v>0.32110416666666641</v>
      </c>
      <c r="U534" s="25">
        <v>0.27008333333333318</v>
      </c>
      <c r="V534" s="25">
        <v>-15.428958333333336</v>
      </c>
      <c r="W534" s="25">
        <v>-89.522916666666674</v>
      </c>
      <c r="X534" s="25">
        <v>-186.78333333333333</v>
      </c>
      <c r="Y534" s="25">
        <v>-191.33958333333337</v>
      </c>
      <c r="Z534" s="25">
        <v>-14.026458333333338</v>
      </c>
      <c r="AA534" s="25">
        <v>-158.68750000000006</v>
      </c>
      <c r="AB534" s="25">
        <v>-172.19166666666669</v>
      </c>
      <c r="AC534" s="25">
        <v>-167.76041666666671</v>
      </c>
      <c r="AD534" s="25">
        <v>-41.227083333333333</v>
      </c>
      <c r="AE534" s="25">
        <v>-617.42500000000007</v>
      </c>
      <c r="AF534" s="25">
        <v>-994.875</v>
      </c>
      <c r="AG534" s="25">
        <v>-437.27916666666675</v>
      </c>
      <c r="AH534" s="25">
        <v>-11.825000000000005</v>
      </c>
      <c r="AI534" s="25">
        <v>-11.070833333333335</v>
      </c>
      <c r="AJ534" s="25">
        <v>-100.32083333333333</v>
      </c>
      <c r="AK534" s="25">
        <v>-66.90416666666664</v>
      </c>
      <c r="AL534" s="25">
        <v>11.514583333333334</v>
      </c>
      <c r="AM534" s="25">
        <v>10.93125</v>
      </c>
      <c r="AN534" s="25">
        <v>10.860416666666666</v>
      </c>
      <c r="AO534" s="25">
        <v>10.96875</v>
      </c>
      <c r="AP534" s="25">
        <v>12.058333333333332</v>
      </c>
      <c r="AQ534" s="25">
        <v>11.129166666666663</v>
      </c>
      <c r="AR534" s="25">
        <v>10.768749999999997</v>
      </c>
      <c r="AS534" s="25">
        <v>10.635416666666666</v>
      </c>
      <c r="AT534" s="25">
        <v>0.36215217391304361</v>
      </c>
      <c r="AU534" s="25">
        <v>0.22284090909090917</v>
      </c>
      <c r="AV534" s="25">
        <v>0.39995833333333314</v>
      </c>
      <c r="AW534" s="25">
        <v>-23.679583333333337</v>
      </c>
      <c r="AX534" s="25">
        <v>-16.606874999999999</v>
      </c>
      <c r="AY534" s="25">
        <v>-33.391176470588235</v>
      </c>
      <c r="AZ534" s="25"/>
      <c r="BA534" s="25">
        <v>-10.127083333333333</v>
      </c>
      <c r="BB534" s="25">
        <v>-12.160416666666677</v>
      </c>
      <c r="BC534" s="25"/>
      <c r="BD534" s="25">
        <v>11.543750000000003</v>
      </c>
      <c r="BE534" s="25">
        <v>11.633333333333331</v>
      </c>
    </row>
    <row r="535" spans="1:57" x14ac:dyDescent="0.25">
      <c r="A535" s="1">
        <v>19.899999999999999</v>
      </c>
      <c r="B535" s="1">
        <v>8.1999999999999993</v>
      </c>
      <c r="C535" s="22"/>
      <c r="D535" s="23">
        <v>44242</v>
      </c>
      <c r="E535" s="24">
        <v>75.354166666666671</v>
      </c>
      <c r="F535" s="24">
        <v>80.991666666666646</v>
      </c>
      <c r="G535" s="24">
        <v>12.797916666666664</v>
      </c>
      <c r="H535" s="24">
        <v>0</v>
      </c>
      <c r="I535" s="24">
        <v>224.875</v>
      </c>
      <c r="J535" s="24">
        <v>8.0208333333333339</v>
      </c>
      <c r="K535" s="24">
        <v>0.97916666666666663</v>
      </c>
      <c r="L535" s="24">
        <v>9.5166666666666693</v>
      </c>
      <c r="M535" s="10">
        <v>0.30421276294998428</v>
      </c>
      <c r="N535" s="25">
        <v>0.3811041666666668</v>
      </c>
      <c r="O535" s="25">
        <v>0.36243750000000013</v>
      </c>
      <c r="P535" s="25">
        <v>0.43433333333333302</v>
      </c>
      <c r="Q535" s="25">
        <v>0.4018958333333329</v>
      </c>
      <c r="R535" s="25">
        <v>0.46402083333333355</v>
      </c>
      <c r="S535" s="25">
        <v>0.34504166666666664</v>
      </c>
      <c r="T535" s="25">
        <v>0.32352083333333331</v>
      </c>
      <c r="U535" s="25">
        <v>0.2712291666666668</v>
      </c>
      <c r="V535" s="25">
        <v>-15.485833333333332</v>
      </c>
      <c r="W535" s="25">
        <v>-97.183333333333323</v>
      </c>
      <c r="X535" s="25">
        <v>-173.46875</v>
      </c>
      <c r="Y535" s="25">
        <v>-182.26666666666665</v>
      </c>
      <c r="Z535" s="25">
        <v>-14.590208333333335</v>
      </c>
      <c r="AA535" s="25">
        <v>-151.98541666666665</v>
      </c>
      <c r="AB535" s="25">
        <v>-166.55208333333334</v>
      </c>
      <c r="AC535" s="25">
        <v>-159.45000000000002</v>
      </c>
      <c r="AD535" s="25">
        <v>-44.320833333333326</v>
      </c>
      <c r="AE535" s="25">
        <v>-568.70208333333346</v>
      </c>
      <c r="AF535" s="25">
        <v>-934.5625</v>
      </c>
      <c r="AG535" s="25">
        <v>-428.10208333333338</v>
      </c>
      <c r="AH535" s="25">
        <v>-12.070833333333338</v>
      </c>
      <c r="AI535" s="25">
        <v>-11.629166666666668</v>
      </c>
      <c r="AJ535" s="25">
        <v>-96.943750000000009</v>
      </c>
      <c r="AK535" s="25">
        <v>-66</v>
      </c>
      <c r="AL535" s="25">
        <v>12.747916666666667</v>
      </c>
      <c r="AM535" s="25">
        <v>11.879166666666675</v>
      </c>
      <c r="AN535" s="25">
        <v>11.358333333333333</v>
      </c>
      <c r="AO535" s="25">
        <v>11.252083333333326</v>
      </c>
      <c r="AP535" s="25">
        <v>13.235416666666667</v>
      </c>
      <c r="AQ535" s="25">
        <v>12.4</v>
      </c>
      <c r="AR535" s="25">
        <v>11.795833333333334</v>
      </c>
      <c r="AS535" s="25">
        <v>11.458333333333337</v>
      </c>
      <c r="AT535" s="25">
        <v>0.36010638297872349</v>
      </c>
      <c r="AU535" s="25">
        <v>0.21799999999999997</v>
      </c>
      <c r="AV535" s="25">
        <v>0.39375000000000004</v>
      </c>
      <c r="AW535" s="25">
        <v>-23.519166666666667</v>
      </c>
      <c r="AX535" s="25">
        <v>-16.486666666666661</v>
      </c>
      <c r="AY535" s="25">
        <v>-46.0502380952381</v>
      </c>
      <c r="AZ535" s="25"/>
      <c r="BA535" s="25">
        <v>-10.216666666666663</v>
      </c>
      <c r="BB535" s="25">
        <v>-12.189583333333333</v>
      </c>
      <c r="BC535" s="25"/>
      <c r="BD535" s="25">
        <v>12.04166666666667</v>
      </c>
      <c r="BE535" s="25">
        <v>12.283333333333333</v>
      </c>
    </row>
    <row r="536" spans="1:57" x14ac:dyDescent="0.25">
      <c r="A536" s="1">
        <v>13.5</v>
      </c>
      <c r="B536" s="1">
        <v>6.4</v>
      </c>
      <c r="C536" s="22"/>
      <c r="D536" s="23">
        <v>44243</v>
      </c>
      <c r="E536" s="24">
        <v>69.416666666666671</v>
      </c>
      <c r="F536" s="24">
        <v>80.77500000000002</v>
      </c>
      <c r="G536" s="24">
        <v>8.3249999999999993</v>
      </c>
      <c r="H536" s="24">
        <v>2.9000000000000004</v>
      </c>
      <c r="I536" s="24">
        <v>211.5</v>
      </c>
      <c r="J536" s="24">
        <v>5</v>
      </c>
      <c r="K536" s="24">
        <v>0</v>
      </c>
      <c r="L536" s="24">
        <v>5.0770833333333352</v>
      </c>
      <c r="M536" s="10">
        <v>0.22755224734315302</v>
      </c>
      <c r="N536" s="25">
        <v>0.37560416666666674</v>
      </c>
      <c r="O536" s="25">
        <v>0.3628958333333332</v>
      </c>
      <c r="P536" s="25">
        <v>0.43527083333333327</v>
      </c>
      <c r="Q536" s="25">
        <v>0.40472916666666664</v>
      </c>
      <c r="R536" s="25">
        <v>0.46162499999999995</v>
      </c>
      <c r="S536" s="25">
        <v>0.34499999999999992</v>
      </c>
      <c r="T536" s="25">
        <v>0.32485416666666639</v>
      </c>
      <c r="U536" s="25">
        <v>0.27197916666666672</v>
      </c>
      <c r="V536" s="25">
        <v>-16.549166666666665</v>
      </c>
      <c r="W536" s="25">
        <v>-105.7</v>
      </c>
      <c r="X536" s="25">
        <v>-166.07083333333335</v>
      </c>
      <c r="Y536" s="25">
        <v>-175.00833333333333</v>
      </c>
      <c r="Z536" s="25">
        <v>-15.786458333333337</v>
      </c>
      <c r="AA536" s="25">
        <v>-151.31875000000002</v>
      </c>
      <c r="AB536" s="25">
        <v>-164.21666666666667</v>
      </c>
      <c r="AC536" s="25">
        <v>-153.53333333333333</v>
      </c>
      <c r="AD536" s="25">
        <v>-45.604166666666679</v>
      </c>
      <c r="AE536" s="25">
        <v>-559.05416666666667</v>
      </c>
      <c r="AF536" s="25">
        <v>-887.64583333333337</v>
      </c>
      <c r="AG536" s="25">
        <v>-420.7687499999999</v>
      </c>
      <c r="AH536" s="25">
        <v>-11.795833333333333</v>
      </c>
      <c r="AI536" s="25">
        <v>-12.447916666666663</v>
      </c>
      <c r="AJ536" s="25">
        <v>-93.514583333333306</v>
      </c>
      <c r="AK536" s="25">
        <v>-66.983333333333334</v>
      </c>
      <c r="AL536" s="25">
        <v>12.068750000000001</v>
      </c>
      <c r="AM536" s="25">
        <v>11.99583333333333</v>
      </c>
      <c r="AN536" s="25">
        <v>11.691666666666663</v>
      </c>
      <c r="AO536" s="25">
        <v>11.577083333333343</v>
      </c>
      <c r="AP536" s="25">
        <v>11.86875</v>
      </c>
      <c r="AQ536" s="25">
        <v>12.099999999999996</v>
      </c>
      <c r="AR536" s="25">
        <v>11.885416666666673</v>
      </c>
      <c r="AS536" s="25">
        <v>11.722916666666675</v>
      </c>
      <c r="AT536" s="25">
        <v>0.36347916666666658</v>
      </c>
      <c r="AU536" s="25">
        <v>0.23180952380952377</v>
      </c>
      <c r="AV536" s="25">
        <v>0.39362499999999995</v>
      </c>
      <c r="AW536" s="25">
        <v>-44.108124999999994</v>
      </c>
      <c r="AX536" s="25">
        <v>-16.63291666666667</v>
      </c>
      <c r="AY536" s="25">
        <v>-42.5411111111111</v>
      </c>
      <c r="AZ536" s="25"/>
      <c r="BA536" s="25">
        <v>-10.025</v>
      </c>
      <c r="BB536" s="25">
        <v>-12.189583333333337</v>
      </c>
      <c r="BC536" s="25"/>
      <c r="BD536" s="25">
        <v>10.775000000000004</v>
      </c>
      <c r="BE536" s="25">
        <v>11.370833333333337</v>
      </c>
    </row>
    <row r="537" spans="1:57" x14ac:dyDescent="0.25">
      <c r="A537" s="1">
        <v>15.2</v>
      </c>
      <c r="B537" s="1">
        <v>5.4</v>
      </c>
      <c r="C537" s="22"/>
      <c r="D537" s="23">
        <v>44244</v>
      </c>
      <c r="E537" s="24">
        <v>117.375</v>
      </c>
      <c r="F537" s="24">
        <v>68.912499999999994</v>
      </c>
      <c r="G537" s="24">
        <v>9.3125</v>
      </c>
      <c r="H537" s="24">
        <v>0</v>
      </c>
      <c r="I537" s="24">
        <v>248.41666666666666</v>
      </c>
      <c r="J537" s="24">
        <v>3.2083333333333335</v>
      </c>
      <c r="K537" s="24">
        <v>0.10416666666666667</v>
      </c>
      <c r="L537" s="24">
        <v>3.5583333333333331</v>
      </c>
      <c r="M537" s="10">
        <v>0.40571714665711106</v>
      </c>
      <c r="N537" s="25">
        <v>0.37220833333333325</v>
      </c>
      <c r="O537" s="25">
        <v>0.36193750000000019</v>
      </c>
      <c r="P537" s="25">
        <v>0.43399999999999994</v>
      </c>
      <c r="Q537" s="25">
        <v>0.40500000000000003</v>
      </c>
      <c r="R537" s="25">
        <v>0.4596875000000003</v>
      </c>
      <c r="S537" s="25">
        <v>0.3435416666666668</v>
      </c>
      <c r="T537" s="25">
        <v>0.32456249999999986</v>
      </c>
      <c r="U537" s="25">
        <v>0.27285416666666656</v>
      </c>
      <c r="V537" s="25">
        <v>-18.113333333333333</v>
      </c>
      <c r="W537" s="25">
        <v>-112.45000000000003</v>
      </c>
      <c r="X537" s="25">
        <v>-162.99374999999998</v>
      </c>
      <c r="Y537" s="25">
        <v>-170.89166666666668</v>
      </c>
      <c r="Z537" s="25">
        <v>-16.814166666666662</v>
      </c>
      <c r="AA537" s="25">
        <v>-151.55208333333334</v>
      </c>
      <c r="AB537" s="25">
        <v>-164.6</v>
      </c>
      <c r="AC537" s="25">
        <v>-151.31041666666661</v>
      </c>
      <c r="AD537" s="25">
        <v>-46.222916666666663</v>
      </c>
      <c r="AE537" s="25">
        <v>-556.26041666666652</v>
      </c>
      <c r="AF537" s="25">
        <v>-887.97916666666663</v>
      </c>
      <c r="AG537" s="25">
        <v>-419.21041666666662</v>
      </c>
      <c r="AH537" s="25">
        <v>-11.833333333333334</v>
      </c>
      <c r="AI537" s="25">
        <v>-13.389583333333327</v>
      </c>
      <c r="AJ537" s="25">
        <v>-92.414583333333326</v>
      </c>
      <c r="AK537" s="25">
        <v>-67.46250000000002</v>
      </c>
      <c r="AL537" s="25">
        <v>11.758333333333333</v>
      </c>
      <c r="AM537" s="25">
        <v>11.666666666666659</v>
      </c>
      <c r="AN537" s="25">
        <v>11.608333333333336</v>
      </c>
      <c r="AO537" s="25">
        <v>11.600000000000009</v>
      </c>
      <c r="AP537" s="25">
        <v>11.712499999999999</v>
      </c>
      <c r="AQ537" s="25">
        <v>11.597916666666672</v>
      </c>
      <c r="AR537" s="25">
        <v>11.464583333333335</v>
      </c>
      <c r="AS537" s="25">
        <v>11.410416666666665</v>
      </c>
      <c r="AT537" s="25">
        <v>0.36000000000000004</v>
      </c>
      <c r="AU537" s="25">
        <v>0.22133333333333338</v>
      </c>
      <c r="AV537" s="25">
        <v>0.38927083333333329</v>
      </c>
      <c r="AW537" s="25">
        <v>-23.851250000000011</v>
      </c>
      <c r="AX537" s="25">
        <v>-16.664999999999996</v>
      </c>
      <c r="AY537" s="25">
        <v>-184.6</v>
      </c>
      <c r="AZ537" s="25"/>
      <c r="BA537" s="25">
        <v>-10.041666666666677</v>
      </c>
      <c r="BB537" s="25">
        <v>-12.185416666666669</v>
      </c>
      <c r="BC537" s="25"/>
      <c r="BD537" s="25">
        <v>10.872916666666667</v>
      </c>
      <c r="BE537" s="25">
        <v>11.262500000000001</v>
      </c>
    </row>
    <row r="538" spans="1:57" x14ac:dyDescent="0.25">
      <c r="A538" s="1">
        <v>10.6</v>
      </c>
      <c r="B538" s="1">
        <v>7.3</v>
      </c>
      <c r="C538" s="22"/>
      <c r="D538" s="23">
        <v>44245</v>
      </c>
      <c r="E538" s="24">
        <v>42.104166666666664</v>
      </c>
      <c r="F538" s="24">
        <v>64.987499999999997</v>
      </c>
      <c r="G538" s="24">
        <v>8.6416666666666675</v>
      </c>
      <c r="H538" s="24">
        <v>0</v>
      </c>
      <c r="I538" s="24">
        <v>231.02083333333334</v>
      </c>
      <c r="J538" s="24">
        <v>4.416666666666667</v>
      </c>
      <c r="K538" s="24">
        <v>0.1875</v>
      </c>
      <c r="L538" s="24">
        <v>2.3916666666666662</v>
      </c>
      <c r="M538" s="10">
        <v>0.39552663906202629</v>
      </c>
      <c r="N538" s="25">
        <v>0.37020833333333325</v>
      </c>
      <c r="O538" s="25">
        <v>0.36254166666666648</v>
      </c>
      <c r="P538" s="25">
        <v>0.43462500000000021</v>
      </c>
      <c r="Q538" s="25">
        <v>0.40581249999999996</v>
      </c>
      <c r="R538" s="25">
        <v>0.45868749999999986</v>
      </c>
      <c r="S538" s="25">
        <v>0.34379166666666672</v>
      </c>
      <c r="T538" s="25">
        <v>0.32499999999999968</v>
      </c>
      <c r="U538" s="25">
        <v>0.27306249999999993</v>
      </c>
      <c r="V538" s="25">
        <v>-20.439791666666657</v>
      </c>
      <c r="W538" s="25">
        <v>-121.25833333333333</v>
      </c>
      <c r="X538" s="25">
        <v>-156.95416666666668</v>
      </c>
      <c r="Y538" s="25">
        <v>-165.96250000000003</v>
      </c>
      <c r="Z538" s="25">
        <v>-18.328541666666663</v>
      </c>
      <c r="AA538" s="25">
        <v>-149.31458333333325</v>
      </c>
      <c r="AB538" s="25">
        <v>-163.08541666666665</v>
      </c>
      <c r="AC538" s="25">
        <v>-147.91249999999999</v>
      </c>
      <c r="AD538" s="25">
        <v>-47.616666666666674</v>
      </c>
      <c r="AE538" s="25">
        <v>-538.54583333333323</v>
      </c>
      <c r="AF538" s="25">
        <v>-876.75</v>
      </c>
      <c r="AG538" s="25">
        <v>-415.25625000000014</v>
      </c>
      <c r="AH538" s="25">
        <v>-11.879166666666663</v>
      </c>
      <c r="AI538" s="25">
        <v>-14.760416666666671</v>
      </c>
      <c r="AJ538" s="25">
        <v>-89.237499999999969</v>
      </c>
      <c r="AK538" s="25">
        <v>-67.997916666666654</v>
      </c>
      <c r="AL538" s="25">
        <v>11.643749999999992</v>
      </c>
      <c r="AM538" s="25">
        <v>11.779166666666674</v>
      </c>
      <c r="AN538" s="25">
        <v>11.652083333333335</v>
      </c>
      <c r="AO538" s="25">
        <v>11.652083333333328</v>
      </c>
      <c r="AP538" s="25">
        <v>11.264583333333327</v>
      </c>
      <c r="AQ538" s="25">
        <v>11.693749999999996</v>
      </c>
      <c r="AR538" s="25">
        <v>11.599999999999994</v>
      </c>
      <c r="AS538" s="25">
        <v>11.512499999999994</v>
      </c>
      <c r="AT538" s="25">
        <v>0.3556875000000001</v>
      </c>
      <c r="AU538" s="25">
        <v>0.21362500000000015</v>
      </c>
      <c r="AV538" s="25">
        <v>0.38064583333333341</v>
      </c>
      <c r="AW538" s="25">
        <v>-24.093958333333337</v>
      </c>
      <c r="AX538" s="25">
        <v>-16.741666666666671</v>
      </c>
      <c r="AY538" s="25">
        <v>-116.65666666666665</v>
      </c>
      <c r="AZ538" s="25"/>
      <c r="BA538" s="25">
        <v>-10.158333333333326</v>
      </c>
      <c r="BB538" s="25">
        <v>-12.199999999999994</v>
      </c>
      <c r="BC538" s="25"/>
      <c r="BD538" s="25">
        <v>10.339583333333334</v>
      </c>
      <c r="BE538" s="25">
        <v>10.735294117647058</v>
      </c>
    </row>
    <row r="539" spans="1:57" x14ac:dyDescent="0.25">
      <c r="A539" s="1">
        <v>13.4</v>
      </c>
      <c r="B539" s="1">
        <v>6.3</v>
      </c>
      <c r="C539" s="22"/>
      <c r="D539" s="23">
        <v>44246</v>
      </c>
      <c r="E539" s="24">
        <v>69.541666666666671</v>
      </c>
      <c r="F539" s="24">
        <v>75.4375</v>
      </c>
      <c r="G539" s="24">
        <v>8.9312499999999986</v>
      </c>
      <c r="H539" s="24">
        <v>0</v>
      </c>
      <c r="I539" s="24">
        <v>192.60416666666666</v>
      </c>
      <c r="J539" s="24">
        <v>2.5625</v>
      </c>
      <c r="K539" s="24">
        <v>0</v>
      </c>
      <c r="L539" s="24">
        <v>4.760416666666667</v>
      </c>
      <c r="M539" s="10">
        <v>0.29362964691311816</v>
      </c>
      <c r="N539" s="25">
        <v>0.36741666666666667</v>
      </c>
      <c r="O539" s="25">
        <v>0.36125000000000013</v>
      </c>
      <c r="P539" s="25">
        <v>0.43358333333333338</v>
      </c>
      <c r="Q539" s="25">
        <v>0.40599999999999997</v>
      </c>
      <c r="R539" s="25">
        <v>0.45570833333333355</v>
      </c>
      <c r="S539" s="25">
        <v>0.34231250000000019</v>
      </c>
      <c r="T539" s="25">
        <v>0.32479166666666648</v>
      </c>
      <c r="U539" s="25">
        <v>0.27302083333333316</v>
      </c>
      <c r="V539" s="25">
        <v>-23.917708333333334</v>
      </c>
      <c r="W539" s="25">
        <v>-125.76250000000005</v>
      </c>
      <c r="X539" s="25">
        <v>-154.96874999999997</v>
      </c>
      <c r="Y539" s="25">
        <v>-163.43749999999997</v>
      </c>
      <c r="Z539" s="25">
        <v>-20.187916666666663</v>
      </c>
      <c r="AA539" s="25">
        <v>-149.98333333333338</v>
      </c>
      <c r="AB539" s="25">
        <v>-164.09166666666661</v>
      </c>
      <c r="AC539" s="25">
        <v>-147.42499999999998</v>
      </c>
      <c r="AD539" s="25">
        <v>-47.658333333333324</v>
      </c>
      <c r="AE539" s="25">
        <v>-537.91666666666663</v>
      </c>
      <c r="AF539" s="25">
        <v>-869.14583333333337</v>
      </c>
      <c r="AG539" s="25">
        <v>-410.5</v>
      </c>
      <c r="AH539" s="25">
        <v>-11.9375</v>
      </c>
      <c r="AI539" s="25">
        <v>-16.747916666666665</v>
      </c>
      <c r="AJ539" s="25">
        <v>-87.197916666666671</v>
      </c>
      <c r="AK539" s="25">
        <v>-68.004166666666649</v>
      </c>
      <c r="AL539" s="25">
        <v>11.0875</v>
      </c>
      <c r="AM539" s="25">
        <v>11.362499999999999</v>
      </c>
      <c r="AN539" s="25">
        <v>11.48749999999999</v>
      </c>
      <c r="AO539" s="25">
        <v>11.568750000000003</v>
      </c>
      <c r="AP539" s="25">
        <v>10.804166666666667</v>
      </c>
      <c r="AQ539" s="25">
        <v>11.133333333333328</v>
      </c>
      <c r="AR539" s="25">
        <v>11.16041666666667</v>
      </c>
      <c r="AS539" s="25">
        <v>11.195833333333342</v>
      </c>
      <c r="AT539" s="25">
        <v>0.35306382978723394</v>
      </c>
      <c r="AU539" s="25">
        <v>0.20839583333333325</v>
      </c>
      <c r="AV539" s="25">
        <v>0.37324999999999986</v>
      </c>
      <c r="AW539" s="25">
        <v>-24.21166666666667</v>
      </c>
      <c r="AX539" s="25">
        <v>-16.791458333333328</v>
      </c>
      <c r="AY539" s="25">
        <v>-29.971666666666668</v>
      </c>
      <c r="AZ539" s="25"/>
      <c r="BA539" s="25">
        <v>-10.306249999999997</v>
      </c>
      <c r="BB539" s="25"/>
      <c r="BC539" s="25"/>
      <c r="BD539" s="25">
        <v>10.410416666666666</v>
      </c>
      <c r="BE539" s="25"/>
    </row>
    <row r="540" spans="1:57" x14ac:dyDescent="0.25">
      <c r="A540" s="1">
        <v>16.5</v>
      </c>
      <c r="B540" s="1">
        <v>8</v>
      </c>
      <c r="C540" s="22"/>
      <c r="D540" s="23">
        <v>44247</v>
      </c>
      <c r="E540" s="24">
        <v>67.541666666666671</v>
      </c>
      <c r="F540" s="24">
        <v>83.84375</v>
      </c>
      <c r="G540" s="24">
        <v>10.266666666666664</v>
      </c>
      <c r="H540" s="24">
        <v>0</v>
      </c>
      <c r="I540" s="24">
        <v>254.5</v>
      </c>
      <c r="J540" s="24">
        <v>1.5625</v>
      </c>
      <c r="K540" s="24">
        <v>0</v>
      </c>
      <c r="L540" s="24">
        <v>7.6083333333333334</v>
      </c>
      <c r="M540" s="10">
        <v>0.21378057512719131</v>
      </c>
      <c r="N540" s="25">
        <v>0.36647916666666652</v>
      </c>
      <c r="O540" s="25">
        <v>0.36193750000000002</v>
      </c>
      <c r="P540" s="25">
        <v>0.43395833333333328</v>
      </c>
      <c r="Q540" s="25">
        <v>0.40608333333333335</v>
      </c>
      <c r="R540" s="25">
        <v>0.45606249999999965</v>
      </c>
      <c r="S540" s="25">
        <v>0.34231250000000019</v>
      </c>
      <c r="T540" s="25">
        <v>0.32497916666666637</v>
      </c>
      <c r="U540" s="25">
        <v>0.27304166666666657</v>
      </c>
      <c r="V540" s="25">
        <v>-26.551458333333326</v>
      </c>
      <c r="W540" s="25">
        <v>-126.97291666666666</v>
      </c>
      <c r="X540" s="25">
        <v>-150.59166666666664</v>
      </c>
      <c r="Y540" s="25">
        <v>-160.04166666666671</v>
      </c>
      <c r="Z540" s="25">
        <v>-22.098541666666662</v>
      </c>
      <c r="AA540" s="25">
        <v>-147.82499999999996</v>
      </c>
      <c r="AB540" s="25">
        <v>-163.31666666666663</v>
      </c>
      <c r="AC540" s="25">
        <v>-145.55624999999998</v>
      </c>
      <c r="AD540" s="25">
        <v>-48.591666666666669</v>
      </c>
      <c r="AE540" s="25">
        <v>-524.85</v>
      </c>
      <c r="AF540" s="25">
        <v>-853.29166666666663</v>
      </c>
      <c r="AG540" s="25">
        <v>-406.40000000000003</v>
      </c>
      <c r="AH540" s="25">
        <v>-12.068750000000003</v>
      </c>
      <c r="AI540" s="25">
        <v>-18.860416666666669</v>
      </c>
      <c r="AJ540" s="25">
        <v>-83.745833333333323</v>
      </c>
      <c r="AK540" s="25">
        <v>-67.706249999999969</v>
      </c>
      <c r="AL540" s="25">
        <v>11.358333333333336</v>
      </c>
      <c r="AM540" s="25">
        <v>11.352083333333335</v>
      </c>
      <c r="AN540" s="25">
        <v>11.399999999999991</v>
      </c>
      <c r="AO540" s="25">
        <v>11.5</v>
      </c>
      <c r="AP540" s="25">
        <v>11.31875</v>
      </c>
      <c r="AQ540" s="25">
        <v>11.264583333333333</v>
      </c>
      <c r="AR540" s="25">
        <v>11.172916666666671</v>
      </c>
      <c r="AS540" s="25">
        <v>11.152083333333342</v>
      </c>
      <c r="AT540" s="25">
        <v>0.35210416666666666</v>
      </c>
      <c r="AU540" s="25">
        <v>0.20523404255319161</v>
      </c>
      <c r="AV540" s="25">
        <v>0.36927083333333316</v>
      </c>
      <c r="AW540" s="25">
        <v>-25.831875</v>
      </c>
      <c r="AX540" s="25">
        <v>-16.725416666666664</v>
      </c>
      <c r="AY540" s="25">
        <v>-29.551875000000003</v>
      </c>
      <c r="AZ540" s="25"/>
      <c r="BA540" s="25">
        <v>-10.520833333333334</v>
      </c>
      <c r="BB540" s="25"/>
      <c r="BC540" s="25"/>
      <c r="BD540" s="25">
        <v>11.029166666666663</v>
      </c>
      <c r="BE540" s="25"/>
    </row>
    <row r="541" spans="1:57" x14ac:dyDescent="0.25">
      <c r="A541" s="1">
        <v>18.5</v>
      </c>
      <c r="B541" s="1">
        <v>10.199999999999999</v>
      </c>
      <c r="C541" s="22"/>
      <c r="D541" s="23">
        <v>44248</v>
      </c>
      <c r="E541" s="24">
        <v>72.104166666666671</v>
      </c>
      <c r="F541" s="24">
        <v>83.50833333333334</v>
      </c>
      <c r="G541" s="24">
        <v>12.79166666666667</v>
      </c>
      <c r="H541" s="24">
        <v>0.2</v>
      </c>
      <c r="I541" s="24">
        <v>244.77083333333334</v>
      </c>
      <c r="J541" s="24">
        <v>4.395833333333333</v>
      </c>
      <c r="K541" s="24">
        <v>0.10416666666666667</v>
      </c>
      <c r="L541" s="24">
        <v>9.9770833333333311</v>
      </c>
      <c r="M541" s="10">
        <v>0.26393009674502033</v>
      </c>
      <c r="N541" s="25">
        <v>0.3665000000000001</v>
      </c>
      <c r="O541" s="25">
        <v>0.36431250000000021</v>
      </c>
      <c r="P541" s="25">
        <v>0.43566666666666681</v>
      </c>
      <c r="Q541" s="25">
        <v>0.40741666666666676</v>
      </c>
      <c r="R541" s="25">
        <v>0.4581458333333337</v>
      </c>
      <c r="S541" s="25">
        <v>0.34352083333333333</v>
      </c>
      <c r="T541" s="25">
        <v>0.32589583333333344</v>
      </c>
      <c r="U541" s="25">
        <v>0.27397916666666705</v>
      </c>
      <c r="V541" s="25">
        <v>-28.486666666666679</v>
      </c>
      <c r="W541" s="25">
        <v>-127.65208333333334</v>
      </c>
      <c r="X541" s="25">
        <v>-144.26458333333343</v>
      </c>
      <c r="Y541" s="25">
        <v>-155.78541666666669</v>
      </c>
      <c r="Z541" s="25">
        <v>-23.988541666666666</v>
      </c>
      <c r="AA541" s="25">
        <v>-143.91666666666677</v>
      </c>
      <c r="AB541" s="25">
        <v>-161.12083333333334</v>
      </c>
      <c r="AC541" s="25">
        <v>-142.6458333333334</v>
      </c>
      <c r="AD541" s="25">
        <v>-50.291666666666664</v>
      </c>
      <c r="AE541" s="25">
        <v>-501.39583333333331</v>
      </c>
      <c r="AF541" s="25">
        <v>-827.375</v>
      </c>
      <c r="AG541" s="25">
        <v>-402.18124999999992</v>
      </c>
      <c r="AH541" s="25">
        <v>-12.360416666666671</v>
      </c>
      <c r="AI541" s="25">
        <v>-20.645833333333332</v>
      </c>
      <c r="AJ541" s="25">
        <v>-80.322916666666657</v>
      </c>
      <c r="AK541" s="25">
        <v>-67.749999999999986</v>
      </c>
      <c r="AL541" s="25">
        <v>12.108333333333329</v>
      </c>
      <c r="AM541" s="25">
        <v>11.679166666666667</v>
      </c>
      <c r="AN541" s="25">
        <v>11.502083333333339</v>
      </c>
      <c r="AO541" s="25">
        <v>11.537500000000009</v>
      </c>
      <c r="AP541" s="25">
        <v>12.385416666666666</v>
      </c>
      <c r="AQ541" s="25">
        <v>11.879166666666663</v>
      </c>
      <c r="AR541" s="25">
        <v>11.558333333333335</v>
      </c>
      <c r="AS541" s="25">
        <v>11.406249999999995</v>
      </c>
      <c r="AT541" s="25">
        <v>0.3536382978723403</v>
      </c>
      <c r="AU541" s="25">
        <v>0.21518181818181806</v>
      </c>
      <c r="AV541" s="25">
        <v>0.3670208333333333</v>
      </c>
      <c r="AW541" s="25">
        <v>-22.964166666666667</v>
      </c>
      <c r="AX541" s="25">
        <v>-16.603749999999998</v>
      </c>
      <c r="AY541" s="25">
        <v>-68.947499999999991</v>
      </c>
      <c r="AZ541" s="25"/>
      <c r="BA541" s="25">
        <v>-10.989583333333334</v>
      </c>
      <c r="BB541" s="25"/>
      <c r="BC541" s="25"/>
      <c r="BD541" s="25">
        <v>11.872916666666663</v>
      </c>
      <c r="BE541" s="25"/>
    </row>
    <row r="542" spans="1:57" x14ac:dyDescent="0.25">
      <c r="A542" s="1">
        <v>22.6</v>
      </c>
      <c r="B542" s="1">
        <v>8.1</v>
      </c>
      <c r="C542" s="22"/>
      <c r="D542" s="23">
        <v>44249</v>
      </c>
      <c r="E542" s="24">
        <v>143.72916666666666</v>
      </c>
      <c r="F542" s="24">
        <v>83.50833333333334</v>
      </c>
      <c r="G542" s="24">
        <v>13.110416666666667</v>
      </c>
      <c r="H542" s="24">
        <v>0</v>
      </c>
      <c r="I542" s="24">
        <v>216.91666666666666</v>
      </c>
      <c r="J542" s="24">
        <v>3.9583333333333335</v>
      </c>
      <c r="K542" s="24">
        <v>0.35416666666666669</v>
      </c>
      <c r="L542" s="24">
        <v>10.033333333333331</v>
      </c>
      <c r="M542" s="10">
        <v>0.34093455084318713</v>
      </c>
      <c r="N542" s="25">
        <v>0.36564583333333323</v>
      </c>
      <c r="O542" s="25">
        <v>0.3665416666666666</v>
      </c>
      <c r="P542" s="25">
        <v>0.43781249999999988</v>
      </c>
      <c r="Q542" s="25">
        <v>0.40870833333333323</v>
      </c>
      <c r="R542" s="25">
        <v>0.46083333333333326</v>
      </c>
      <c r="S542" s="25">
        <v>0.34504166666666669</v>
      </c>
      <c r="T542" s="25">
        <v>0.32727083333333323</v>
      </c>
      <c r="U542" s="25">
        <v>0.27427083333333352</v>
      </c>
      <c r="V542" s="25">
        <v>-29.840833333333332</v>
      </c>
      <c r="W542" s="25">
        <v>-125.55833333333338</v>
      </c>
      <c r="X542" s="25">
        <v>-137.94791666666666</v>
      </c>
      <c r="Y542" s="25">
        <v>-150.93958333333333</v>
      </c>
      <c r="Z542" s="25">
        <v>-25.651458333333327</v>
      </c>
      <c r="AA542" s="25">
        <v>-140.15625</v>
      </c>
      <c r="AB542" s="25">
        <v>-157.78750000000002</v>
      </c>
      <c r="AC542" s="25">
        <v>-139.1270833333333</v>
      </c>
      <c r="AD542" s="25">
        <v>-52.489583333333336</v>
      </c>
      <c r="AE542" s="25">
        <v>-483.25208333333347</v>
      </c>
      <c r="AF542" s="25">
        <v>-799.35833333333358</v>
      </c>
      <c r="AG542" s="25">
        <v>-399.40208333333317</v>
      </c>
      <c r="AH542" s="25">
        <v>-12.781250000000007</v>
      </c>
      <c r="AI542" s="25">
        <v>-22.281250000000004</v>
      </c>
      <c r="AJ542" s="25">
        <v>-78.785416666666649</v>
      </c>
      <c r="AK542" s="25">
        <v>-67.697916666666671</v>
      </c>
      <c r="AL542" s="25">
        <v>13.010416666666671</v>
      </c>
      <c r="AM542" s="25">
        <v>12.089583333333328</v>
      </c>
      <c r="AN542" s="25">
        <v>11.754166666666665</v>
      </c>
      <c r="AO542" s="25">
        <v>11.69999999999999</v>
      </c>
      <c r="AP542" s="25">
        <v>13.454166666666666</v>
      </c>
      <c r="AQ542" s="25">
        <v>12.466666666666669</v>
      </c>
      <c r="AR542" s="25">
        <v>11.985416666666671</v>
      </c>
      <c r="AS542" s="25">
        <v>11.774999999999999</v>
      </c>
      <c r="AT542" s="25">
        <v>0.35261702127659561</v>
      </c>
      <c r="AU542" s="25">
        <v>0.19775609756097562</v>
      </c>
      <c r="AV542" s="25">
        <v>0.36343749999999986</v>
      </c>
      <c r="AW542" s="25">
        <v>-22.38625</v>
      </c>
      <c r="AX542" s="25">
        <v>-16.566041666666667</v>
      </c>
      <c r="AY542" s="25">
        <v>-100.85733333333333</v>
      </c>
      <c r="AZ542" s="25"/>
      <c r="BA542" s="25">
        <v>-12.633333333333333</v>
      </c>
      <c r="BB542" s="25"/>
      <c r="BC542" s="25"/>
      <c r="BD542" s="25">
        <v>12.527083333333332</v>
      </c>
      <c r="BE542" s="25"/>
    </row>
    <row r="543" spans="1:57" x14ac:dyDescent="0.25">
      <c r="A543" s="1">
        <v>21.8</v>
      </c>
      <c r="B543" s="1">
        <v>12.4</v>
      </c>
      <c r="C543" s="22"/>
      <c r="D543" s="23">
        <v>44250</v>
      </c>
      <c r="E543" s="24">
        <v>140.83333333333334</v>
      </c>
      <c r="F543" s="24">
        <v>77.256250000000023</v>
      </c>
      <c r="G543" s="24">
        <v>15.685416666666669</v>
      </c>
      <c r="H543" s="24">
        <v>0</v>
      </c>
      <c r="I543" s="24">
        <v>226.54166666666666</v>
      </c>
      <c r="J543" s="24">
        <v>9.8958333333333339</v>
      </c>
      <c r="K543" s="24">
        <v>1.3958333333333333</v>
      </c>
      <c r="L543" s="24">
        <v>11.454166666666666</v>
      </c>
      <c r="M543" s="10">
        <v>0.45911084527420026</v>
      </c>
      <c r="N543" s="25">
        <v>0.36562500000000009</v>
      </c>
      <c r="O543" s="25">
        <v>0.3705416666666666</v>
      </c>
      <c r="P543" s="25">
        <v>0.4419583333333334</v>
      </c>
      <c r="Q543" s="25">
        <v>0.4108124999999998</v>
      </c>
      <c r="R543" s="25">
        <v>0.46599999999999969</v>
      </c>
      <c r="S543" s="25">
        <v>0.34841666666666654</v>
      </c>
      <c r="T543" s="25">
        <v>0.32949999999999996</v>
      </c>
      <c r="U543" s="25">
        <v>0.27593749999999978</v>
      </c>
      <c r="V543" s="25">
        <v>-29.53458333333333</v>
      </c>
      <c r="W543" s="25">
        <v>-126.25833333333334</v>
      </c>
      <c r="X543" s="25">
        <v>-129.44999999999996</v>
      </c>
      <c r="Y543" s="25">
        <v>-144.78124999999997</v>
      </c>
      <c r="Z543" s="25">
        <v>-27.177291666666662</v>
      </c>
      <c r="AA543" s="25">
        <v>-134.28541666666669</v>
      </c>
      <c r="AB543" s="25">
        <v>-152.40624999999997</v>
      </c>
      <c r="AC543" s="25">
        <v>-134.11458333333331</v>
      </c>
      <c r="AD543" s="25">
        <v>-56.454166666666659</v>
      </c>
      <c r="AE543" s="25">
        <v>-455.81666666666678</v>
      </c>
      <c r="AF543" s="25">
        <v>-746.26666666666642</v>
      </c>
      <c r="AG543" s="25">
        <v>-395.1020833333335</v>
      </c>
      <c r="AH543" s="25">
        <v>-13.5</v>
      </c>
      <c r="AI543" s="25">
        <v>-24.289583333333329</v>
      </c>
      <c r="AJ543" s="25">
        <v>-78.039583333333297</v>
      </c>
      <c r="AK543" s="25">
        <v>-68.264583333333334</v>
      </c>
      <c r="AL543" s="25">
        <v>14.568750000000003</v>
      </c>
      <c r="AM543" s="25">
        <v>13.085416666666665</v>
      </c>
      <c r="AN543" s="25">
        <v>12.289583333333331</v>
      </c>
      <c r="AO543" s="25">
        <v>12.058333333333339</v>
      </c>
      <c r="AP543" s="25">
        <v>15.122916666666667</v>
      </c>
      <c r="AQ543" s="25">
        <v>13.768749999999995</v>
      </c>
      <c r="AR543" s="25">
        <v>12.96666666666667</v>
      </c>
      <c r="AS543" s="25">
        <v>12.543749999999998</v>
      </c>
      <c r="AT543" s="25">
        <v>0.35136170212765944</v>
      </c>
      <c r="AU543" s="25">
        <v>0.19210526315789472</v>
      </c>
      <c r="AV543" s="25">
        <v>0.35972916666666671</v>
      </c>
      <c r="AW543" s="25">
        <v>-22.732499999999998</v>
      </c>
      <c r="AX543" s="25">
        <v>-16.467708333333334</v>
      </c>
      <c r="AY543" s="25">
        <v>-76.301388888888894</v>
      </c>
      <c r="AZ543" s="25"/>
      <c r="BA543" s="25">
        <v>-17.777083333333334</v>
      </c>
      <c r="BB543" s="25"/>
      <c r="BC543" s="25"/>
      <c r="BD543" s="25">
        <v>13.71458333333333</v>
      </c>
      <c r="BE543" s="25"/>
    </row>
    <row r="544" spans="1:57" x14ac:dyDescent="0.25">
      <c r="A544" s="1">
        <v>22.3</v>
      </c>
      <c r="B544" s="1">
        <v>13.7</v>
      </c>
      <c r="C544" s="22"/>
      <c r="D544" s="23">
        <v>44251</v>
      </c>
      <c r="E544" s="24">
        <v>142.45833333333334</v>
      </c>
      <c r="F544" s="24">
        <v>73.752083333333317</v>
      </c>
      <c r="G544" s="24">
        <v>16.991666666666664</v>
      </c>
      <c r="H544" s="24">
        <v>0</v>
      </c>
      <c r="I544" s="24">
        <v>233.10416666666666</v>
      </c>
      <c r="J544" s="24">
        <v>14.645833333333334</v>
      </c>
      <c r="K544" s="24">
        <v>3.375</v>
      </c>
      <c r="L544" s="24">
        <v>12.0875</v>
      </c>
      <c r="M544" s="10">
        <v>0.5528110845120161</v>
      </c>
      <c r="N544" s="25">
        <v>0.36293750000000008</v>
      </c>
      <c r="O544" s="25">
        <v>0.37293749999999998</v>
      </c>
      <c r="P544" s="25">
        <v>0.44537500000000024</v>
      </c>
      <c r="Q544" s="25">
        <v>0.41387499999999977</v>
      </c>
      <c r="R544" s="25">
        <v>0.46833333333333332</v>
      </c>
      <c r="S544" s="25">
        <v>0.35043749999999996</v>
      </c>
      <c r="T544" s="25">
        <v>0.3320625000000002</v>
      </c>
      <c r="U544" s="25">
        <v>0.27743750000000028</v>
      </c>
      <c r="V544" s="25">
        <v>-30.631875000000004</v>
      </c>
      <c r="W544" s="25">
        <v>-127.73333333333335</v>
      </c>
      <c r="X544" s="25">
        <v>-122.37708333333336</v>
      </c>
      <c r="Y544" s="25">
        <v>-138.44999999999996</v>
      </c>
      <c r="Z544" s="25">
        <v>-29.308749999999993</v>
      </c>
      <c r="AA544" s="25">
        <v>-131.17916666666665</v>
      </c>
      <c r="AB544" s="25">
        <v>-147.79791666666668</v>
      </c>
      <c r="AC544" s="25">
        <v>-128.99375000000001</v>
      </c>
      <c r="AD544" s="25">
        <v>-60.23125000000001</v>
      </c>
      <c r="AE544" s="25">
        <v>-447.46875</v>
      </c>
      <c r="AF544" s="25">
        <v>-703.43333333333328</v>
      </c>
      <c r="AG544" s="25">
        <v>-387.82499999999999</v>
      </c>
      <c r="AH544" s="25">
        <v>-14.679166666666669</v>
      </c>
      <c r="AI544" s="25">
        <v>-27.412499999999998</v>
      </c>
      <c r="AJ544" s="25">
        <v>-77.714583333333323</v>
      </c>
      <c r="AK544" s="25">
        <v>-68.904166666666669</v>
      </c>
      <c r="AL544" s="25">
        <v>15.358333333333333</v>
      </c>
      <c r="AM544" s="25">
        <v>13.908333333333331</v>
      </c>
      <c r="AN544" s="25">
        <v>12.906250000000002</v>
      </c>
      <c r="AO544" s="25">
        <v>12.560416666666674</v>
      </c>
      <c r="AP544" s="25">
        <v>15.985416666666667</v>
      </c>
      <c r="AQ544" s="25">
        <v>14.643750000000002</v>
      </c>
      <c r="AR544" s="25">
        <v>13.770833333333336</v>
      </c>
      <c r="AS544" s="25">
        <v>13.312500000000005</v>
      </c>
      <c r="AT544" s="25">
        <v>0.34787234042553178</v>
      </c>
      <c r="AU544" s="25">
        <v>0.1862</v>
      </c>
      <c r="AV544" s="25">
        <v>0.35185416666666663</v>
      </c>
      <c r="AW544" s="25">
        <v>-21.905416666666671</v>
      </c>
      <c r="AX544" s="25">
        <v>-17.295833333333338</v>
      </c>
      <c r="AY544" s="25">
        <v>-86.257857142857134</v>
      </c>
      <c r="AZ544" s="25"/>
      <c r="BA544" s="25">
        <v>-23.808333333333326</v>
      </c>
      <c r="BB544" s="25"/>
      <c r="BC544" s="25"/>
      <c r="BD544" s="25">
        <v>14.220833333333331</v>
      </c>
      <c r="BE544" s="25"/>
    </row>
    <row r="545" spans="1:57" x14ac:dyDescent="0.25">
      <c r="A545" s="1">
        <v>24.4</v>
      </c>
      <c r="B545" s="1">
        <v>13.7</v>
      </c>
      <c r="C545" s="22"/>
      <c r="D545" s="23">
        <v>44252</v>
      </c>
      <c r="E545" s="24">
        <v>128.02083333333334</v>
      </c>
      <c r="F545" s="24">
        <v>74.814583333333346</v>
      </c>
      <c r="G545" s="24">
        <v>16.829166666666666</v>
      </c>
      <c r="H545" s="24">
        <v>0</v>
      </c>
      <c r="I545" s="24">
        <v>230.52083333333334</v>
      </c>
      <c r="J545" s="24">
        <v>8.8333333333333339</v>
      </c>
      <c r="K545" s="24">
        <v>0.79166666666666663</v>
      </c>
      <c r="L545" s="24">
        <v>12.083333333333334</v>
      </c>
      <c r="M545" s="10">
        <v>0.53857039427237252</v>
      </c>
      <c r="N545" s="25">
        <v>0.35981250000000015</v>
      </c>
      <c r="O545" s="25">
        <v>0.37485416666666693</v>
      </c>
      <c r="P545" s="25">
        <v>0.44804166666666684</v>
      </c>
      <c r="Q545" s="25">
        <v>0.4167083333333334</v>
      </c>
      <c r="R545" s="25">
        <v>0.47016666666666657</v>
      </c>
      <c r="S545" s="25">
        <v>0.35241666666666643</v>
      </c>
      <c r="T545" s="25">
        <v>0.33427083333333346</v>
      </c>
      <c r="U545" s="25">
        <v>0.27922916666666642</v>
      </c>
      <c r="V545" s="25">
        <v>-32.772708333333341</v>
      </c>
      <c r="W545" s="25">
        <v>-56.46645833333335</v>
      </c>
      <c r="X545" s="25">
        <v>-116.36041666666665</v>
      </c>
      <c r="Y545" s="25">
        <v>-132.9604166666667</v>
      </c>
      <c r="Z545" s="25">
        <v>-31.628125000000008</v>
      </c>
      <c r="AA545" s="25">
        <v>-129.47708333333335</v>
      </c>
      <c r="AB545" s="25">
        <v>-144.27916666666667</v>
      </c>
      <c r="AC545" s="25">
        <v>-124.89791666666667</v>
      </c>
      <c r="AD545" s="25">
        <v>-64.241666666666674</v>
      </c>
      <c r="AE545" s="25">
        <v>-441.71875</v>
      </c>
      <c r="AF545" s="25">
        <v>-671.14583333333337</v>
      </c>
      <c r="AG545" s="25">
        <v>-381.09999999999997</v>
      </c>
      <c r="AH545" s="25">
        <v>-16.914583333333333</v>
      </c>
      <c r="AI545" s="25">
        <v>-31.622916666666654</v>
      </c>
      <c r="AJ545" s="25">
        <v>-77.72708333333334</v>
      </c>
      <c r="AK545" s="25">
        <v>-67.372916666666669</v>
      </c>
      <c r="AL545" s="25">
        <v>16.037499999999998</v>
      </c>
      <c r="AM545" s="25">
        <v>14.556249999999993</v>
      </c>
      <c r="AN545" s="25">
        <v>13.460416666666674</v>
      </c>
      <c r="AO545" s="25">
        <v>13.035416666666682</v>
      </c>
      <c r="AP545" s="25">
        <v>16.689583333333328</v>
      </c>
      <c r="AQ545" s="25">
        <v>15.341666666666667</v>
      </c>
      <c r="AR545" s="25">
        <v>14.479166666666666</v>
      </c>
      <c r="AS545" s="25">
        <v>14.004166666666665</v>
      </c>
      <c r="AT545" s="25">
        <v>0.34356249999999999</v>
      </c>
      <c r="AU545" s="25">
        <v>0.17399999999999996</v>
      </c>
      <c r="AV545" s="25">
        <v>0.34122916666666675</v>
      </c>
      <c r="AW545" s="25">
        <v>-22.618749999999995</v>
      </c>
      <c r="AX545" s="25">
        <v>-21.312083333333337</v>
      </c>
      <c r="AY545" s="25">
        <v>-56.917368421052608</v>
      </c>
      <c r="AZ545" s="25"/>
      <c r="BA545" s="25">
        <v>-32.654166666666676</v>
      </c>
      <c r="BB545" s="25"/>
      <c r="BC545" s="25"/>
      <c r="BD545" s="25">
        <v>14.645833333333334</v>
      </c>
      <c r="BE545" s="25"/>
    </row>
    <row r="546" spans="1:57" x14ac:dyDescent="0.25">
      <c r="A546" s="1">
        <v>13.8</v>
      </c>
      <c r="B546" s="1">
        <v>7.6</v>
      </c>
      <c r="C546" s="22"/>
      <c r="D546" s="23">
        <v>44253</v>
      </c>
      <c r="E546" s="24">
        <v>44.666666666666664</v>
      </c>
      <c r="F546" s="24">
        <v>87.831249999999997</v>
      </c>
      <c r="G546" s="24">
        <v>9.3166666666666682</v>
      </c>
      <c r="H546" s="24">
        <v>13.799999999999997</v>
      </c>
      <c r="I546" s="24">
        <v>223.60416666666666</v>
      </c>
      <c r="J546" s="24">
        <v>6.583333333333333</v>
      </c>
      <c r="K546" s="24">
        <v>0.14583333333333334</v>
      </c>
      <c r="L546" s="24">
        <v>7.3770833333333323</v>
      </c>
      <c r="M546" s="10">
        <v>0.14539350252634348</v>
      </c>
      <c r="N546" s="25">
        <v>0.38587499999999997</v>
      </c>
      <c r="O546" s="25">
        <v>0.40024999999999999</v>
      </c>
      <c r="P546" s="25">
        <v>0.45835416666666712</v>
      </c>
      <c r="Q546" s="25">
        <v>0.42106250000000034</v>
      </c>
      <c r="R546" s="25">
        <v>0.4765833333333333</v>
      </c>
      <c r="S546" s="25">
        <v>0.36854166666666655</v>
      </c>
      <c r="T546" s="25">
        <v>0.33860416666666687</v>
      </c>
      <c r="U546" s="25">
        <v>0.27985416666666652</v>
      </c>
      <c r="V546" s="25">
        <v>-17.444374999999997</v>
      </c>
      <c r="W546" s="25">
        <v>-45.957916666666669</v>
      </c>
      <c r="X546" s="25">
        <v>-86.199583333333337</v>
      </c>
      <c r="Y546" s="25">
        <v>-128.03333333333339</v>
      </c>
      <c r="Z546" s="25">
        <v>-15.677708333333335</v>
      </c>
      <c r="AA546" s="25">
        <v>-130.19166666666669</v>
      </c>
      <c r="AB546" s="25">
        <v>-142.59375</v>
      </c>
      <c r="AC546" s="25">
        <v>-122.02916666666663</v>
      </c>
      <c r="AD546" s="25">
        <v>-66.764583333333334</v>
      </c>
      <c r="AE546" s="25">
        <v>-413.18958333333359</v>
      </c>
      <c r="AF546" s="25">
        <v>-630.75208333333353</v>
      </c>
      <c r="AG546" s="25">
        <v>-369.40833333333336</v>
      </c>
      <c r="AH546" s="25">
        <v>-13.262500000000001</v>
      </c>
      <c r="AI546" s="25">
        <v>-12.977083333333345</v>
      </c>
      <c r="AJ546" s="25">
        <v>-53.756249999999994</v>
      </c>
      <c r="AK546" s="25">
        <v>-61.397916666666653</v>
      </c>
      <c r="AL546" s="25">
        <v>14.914583333333328</v>
      </c>
      <c r="AM546" s="25">
        <v>14.681249999999999</v>
      </c>
      <c r="AN546" s="25">
        <v>13.920833333333325</v>
      </c>
      <c r="AO546" s="25">
        <v>13.454166666666667</v>
      </c>
      <c r="AP546" s="25">
        <v>14.493750000000004</v>
      </c>
      <c r="AQ546" s="25">
        <v>14.897916666666667</v>
      </c>
      <c r="AR546" s="25">
        <v>14.568750000000009</v>
      </c>
      <c r="AS546" s="25">
        <v>14.289583333333331</v>
      </c>
      <c r="AT546" s="25">
        <v>0.3876458333333333</v>
      </c>
      <c r="AU546" s="25">
        <v>0.17125000000000001</v>
      </c>
      <c r="AV546" s="25">
        <v>0.40933333333333333</v>
      </c>
      <c r="AW546" s="25">
        <v>-22.11791666666667</v>
      </c>
      <c r="AX546" s="25">
        <v>-17.836666666666662</v>
      </c>
      <c r="AY546" s="25"/>
      <c r="AZ546" s="25"/>
      <c r="BA546" s="25">
        <v>-14.335416666666655</v>
      </c>
      <c r="BB546" s="25"/>
      <c r="BC546" s="25"/>
      <c r="BD546" s="25">
        <v>12.389583333333334</v>
      </c>
      <c r="BE546" s="25"/>
    </row>
    <row r="547" spans="1:57" x14ac:dyDescent="0.25">
      <c r="A547" s="1">
        <v>8.3000000000000007</v>
      </c>
      <c r="B547" s="1">
        <v>5.3</v>
      </c>
      <c r="C547" s="22"/>
      <c r="D547" s="23">
        <v>44254</v>
      </c>
      <c r="E547" s="24">
        <v>26.75</v>
      </c>
      <c r="F547" s="24">
        <v>92.63124999999998</v>
      </c>
      <c r="G547" s="24">
        <v>6.8166666666666655</v>
      </c>
      <c r="H547" s="24">
        <v>0</v>
      </c>
      <c r="I547" s="24">
        <v>224.52083333333334</v>
      </c>
      <c r="J547" s="24">
        <v>6.729166666666667</v>
      </c>
      <c r="K547" s="24">
        <v>0.41666666666666669</v>
      </c>
      <c r="L547" s="24">
        <v>5.7020833333333334</v>
      </c>
      <c r="M547" s="10">
        <v>7.3214762137856007E-2</v>
      </c>
      <c r="N547" s="25">
        <v>0.38262499999999999</v>
      </c>
      <c r="O547" s="25">
        <v>0.3977083333333335</v>
      </c>
      <c r="P547" s="25">
        <v>0.45818750000000019</v>
      </c>
      <c r="Q547" s="25">
        <v>0.42143749999999969</v>
      </c>
      <c r="R547" s="25">
        <v>0.46729166666666666</v>
      </c>
      <c r="S547" s="25">
        <v>0.36422916666666655</v>
      </c>
      <c r="T547" s="25">
        <v>0.33816666666666645</v>
      </c>
      <c r="U547" s="25">
        <v>0.28008333333333318</v>
      </c>
      <c r="V547" s="25">
        <v>-15.68958333333333</v>
      </c>
      <c r="W547" s="25">
        <v>-49.789999999999992</v>
      </c>
      <c r="X547" s="25">
        <v>-76.573749999999976</v>
      </c>
      <c r="Y547" s="25">
        <v>-127.93124999999999</v>
      </c>
      <c r="Z547" s="25">
        <v>-13.841666666666667</v>
      </c>
      <c r="AA547" s="25">
        <v>-131.93958333333336</v>
      </c>
      <c r="AB547" s="25">
        <v>-146.15624999999997</v>
      </c>
      <c r="AC547" s="25">
        <v>-123.5958333333333</v>
      </c>
      <c r="AD547" s="25">
        <v>-63.829166666666687</v>
      </c>
      <c r="AE547" s="25">
        <v>-404.07291666666657</v>
      </c>
      <c r="AF547" s="25">
        <v>-597.13333333333333</v>
      </c>
      <c r="AG547" s="25">
        <v>-357.78958333333327</v>
      </c>
      <c r="AH547" s="25">
        <v>-12.589583333333342</v>
      </c>
      <c r="AI547" s="25">
        <v>-10.772916666666674</v>
      </c>
      <c r="AJ547" s="25">
        <v>-29.84375</v>
      </c>
      <c r="AK547" s="25">
        <v>-56.904166666666669</v>
      </c>
      <c r="AL547" s="25">
        <v>12.845833333333339</v>
      </c>
      <c r="AM547" s="25">
        <v>13.512500000000003</v>
      </c>
      <c r="AN547" s="25">
        <v>13.462500000000006</v>
      </c>
      <c r="AO547" s="25">
        <v>13.370833333333339</v>
      </c>
      <c r="AP547" s="25">
        <v>12.060416666666669</v>
      </c>
      <c r="AQ547" s="25">
        <v>13.075000000000003</v>
      </c>
      <c r="AR547" s="25">
        <v>13.281249999999991</v>
      </c>
      <c r="AS547" s="25">
        <v>13.358333333333329</v>
      </c>
      <c r="AT547" s="25">
        <v>0.38122916666666701</v>
      </c>
      <c r="AU547" s="25">
        <v>0.23393750000000005</v>
      </c>
      <c r="AV547" s="25">
        <v>0.4041458333333332</v>
      </c>
      <c r="AW547" s="25">
        <v>-27.455208333333331</v>
      </c>
      <c r="AX547" s="25">
        <v>-16.809583333333336</v>
      </c>
      <c r="AY547" s="25"/>
      <c r="AZ547" s="25"/>
      <c r="BA547" s="25">
        <v>-10.887499999999996</v>
      </c>
      <c r="BB547" s="25"/>
      <c r="BC547" s="25"/>
      <c r="BD547" s="25">
        <v>11.133333333333335</v>
      </c>
      <c r="BE547" s="25"/>
    </row>
    <row r="548" spans="1:57" x14ac:dyDescent="0.25">
      <c r="A548" s="1">
        <v>20.399999999999999</v>
      </c>
      <c r="B548" s="1">
        <v>7.6</v>
      </c>
      <c r="C548" s="22"/>
      <c r="D548" s="23">
        <v>44255</v>
      </c>
      <c r="E548" s="24">
        <v>123</v>
      </c>
      <c r="F548" s="24">
        <v>85.4375</v>
      </c>
      <c r="G548" s="24">
        <v>12.656250000000002</v>
      </c>
      <c r="H548" s="24">
        <v>0.4</v>
      </c>
      <c r="I548" s="24">
        <v>235.14583333333334</v>
      </c>
      <c r="J548" s="24">
        <v>13.958333333333334</v>
      </c>
      <c r="K548" s="24">
        <v>2.7916666666666665</v>
      </c>
      <c r="L548" s="24">
        <v>10.006250000000003</v>
      </c>
      <c r="M548" s="10">
        <v>0.28178455943168346</v>
      </c>
      <c r="N548" s="25">
        <v>0.38089583333333327</v>
      </c>
      <c r="O548" s="25">
        <v>0.39460416666666681</v>
      </c>
      <c r="P548" s="25">
        <v>0.45637499999999975</v>
      </c>
      <c r="Q548" s="25">
        <v>0.42025000000000029</v>
      </c>
      <c r="R548" s="25">
        <v>0.46529166666666627</v>
      </c>
      <c r="S548" s="25">
        <v>0.36095833333333327</v>
      </c>
      <c r="T548" s="25">
        <v>0.33625000000000016</v>
      </c>
      <c r="U548" s="25">
        <v>0.27974999999999978</v>
      </c>
      <c r="V548" s="25">
        <v>-16.700000000000006</v>
      </c>
      <c r="W548" s="25">
        <v>-54.610833333333318</v>
      </c>
      <c r="X548" s="25">
        <v>-73.761458333333323</v>
      </c>
      <c r="Y548" s="25">
        <v>-128.32708333333332</v>
      </c>
      <c r="Z548" s="25">
        <v>-14.522291666666669</v>
      </c>
      <c r="AA548" s="25">
        <v>-130.17499999999998</v>
      </c>
      <c r="AB548" s="25">
        <v>-148.55833333333331</v>
      </c>
      <c r="AC548" s="25">
        <v>-125.425</v>
      </c>
      <c r="AD548" s="25">
        <v>-61.439583333333331</v>
      </c>
      <c r="AE548" s="25">
        <v>-387.59374999999983</v>
      </c>
      <c r="AF548" s="25">
        <v>-582.63125000000002</v>
      </c>
      <c r="AG548" s="25">
        <v>-352.28333333333325</v>
      </c>
      <c r="AH548" s="25">
        <v>-12.637499999999994</v>
      </c>
      <c r="AI548" s="25">
        <v>-10.818750000000001</v>
      </c>
      <c r="AJ548" s="25">
        <v>-26.964583333333337</v>
      </c>
      <c r="AK548" s="25">
        <v>-52.906249999999979</v>
      </c>
      <c r="AL548" s="25">
        <v>12.991666666666667</v>
      </c>
      <c r="AM548" s="25">
        <v>12.818750000000007</v>
      </c>
      <c r="AN548" s="25">
        <v>12.902083333333325</v>
      </c>
      <c r="AO548" s="25">
        <v>12.954166666666653</v>
      </c>
      <c r="AP548" s="25">
        <v>12.868749999999999</v>
      </c>
      <c r="AQ548" s="25">
        <v>12.589583333333335</v>
      </c>
      <c r="AR548" s="25">
        <v>12.572916666666659</v>
      </c>
      <c r="AS548" s="25">
        <v>12.637500000000001</v>
      </c>
      <c r="AT548" s="25">
        <v>0.38006382978723402</v>
      </c>
      <c r="AU548" s="25">
        <v>0.23310714285714279</v>
      </c>
      <c r="AV548" s="25">
        <v>0.39797916666666672</v>
      </c>
      <c r="AW548" s="25">
        <v>-24.251041666666662</v>
      </c>
      <c r="AX548" s="25">
        <v>-16.587499999999999</v>
      </c>
      <c r="AY548" s="25">
        <v>-65.746153846153845</v>
      </c>
      <c r="AZ548" s="25"/>
      <c r="BA548" s="25">
        <v>-10.797916666666673</v>
      </c>
      <c r="BB548" s="25"/>
      <c r="BC548" s="25"/>
      <c r="BD548" s="25">
        <v>12.747916666666669</v>
      </c>
      <c r="BE548" s="25"/>
    </row>
    <row r="549" spans="1:57" x14ac:dyDescent="0.25">
      <c r="A549" s="1">
        <v>10.9</v>
      </c>
      <c r="B549" s="1">
        <v>4.8</v>
      </c>
      <c r="C549" s="22"/>
      <c r="D549" s="23">
        <v>44256</v>
      </c>
      <c r="E549" s="24">
        <v>58.416666666666664</v>
      </c>
      <c r="F549" s="24">
        <v>74.599999999999994</v>
      </c>
      <c r="G549" s="24">
        <v>7.7395833333333321</v>
      </c>
      <c r="H549" s="24">
        <v>0</v>
      </c>
      <c r="I549" s="24">
        <v>220.91666666666666</v>
      </c>
      <c r="J549" s="24">
        <v>7.041666666666667</v>
      </c>
      <c r="K549" s="24">
        <v>4.1666666666666664E-2</v>
      </c>
      <c r="L549" s="24">
        <v>3.4333333333333336</v>
      </c>
      <c r="M549" s="10">
        <v>0.27355106393402112</v>
      </c>
      <c r="N549" s="25">
        <v>0.37931250000000011</v>
      </c>
      <c r="O549" s="25">
        <v>0.39566666666666644</v>
      </c>
      <c r="P549" s="25">
        <v>0.45877083333333285</v>
      </c>
      <c r="Q549" s="25">
        <v>0.42143750000000013</v>
      </c>
      <c r="R549" s="25">
        <v>0.46581249999999996</v>
      </c>
      <c r="S549" s="25">
        <v>0.3612499999999999</v>
      </c>
      <c r="T549" s="25">
        <v>0.3368124999999999</v>
      </c>
      <c r="U549" s="25">
        <v>0.27999999999999986</v>
      </c>
      <c r="V549" s="25">
        <v>-18.88625</v>
      </c>
      <c r="W549" s="25">
        <v>-63.956666666666678</v>
      </c>
      <c r="X549" s="25">
        <v>-69.737708333333345</v>
      </c>
      <c r="Y549" s="25">
        <v>-125.51458333333333</v>
      </c>
      <c r="Z549" s="25">
        <v>-16.001458333333336</v>
      </c>
      <c r="AA549" s="25">
        <v>-125.50208333333335</v>
      </c>
      <c r="AB549" s="25">
        <v>-145.69999999999996</v>
      </c>
      <c r="AC549" s="25">
        <v>-123.44374999999997</v>
      </c>
      <c r="AD549" s="25">
        <v>-61.247916666666676</v>
      </c>
      <c r="AE549" s="25">
        <v>-357.15416666666664</v>
      </c>
      <c r="AF549" s="25">
        <v>-560.39374999999984</v>
      </c>
      <c r="AG549" s="25">
        <v>-346.32916666666665</v>
      </c>
      <c r="AH549" s="25">
        <v>-12.60833333333334</v>
      </c>
      <c r="AI549" s="25">
        <v>-10.981250000000008</v>
      </c>
      <c r="AJ549" s="25">
        <v>-27.058333333333348</v>
      </c>
      <c r="AK549" s="25">
        <v>-50.718750000000007</v>
      </c>
      <c r="AL549" s="25">
        <v>13.154166666666663</v>
      </c>
      <c r="AM549" s="25">
        <v>13.18125</v>
      </c>
      <c r="AN549" s="25">
        <v>12.947916666666663</v>
      </c>
      <c r="AO549" s="25">
        <v>12.881249999999987</v>
      </c>
      <c r="AP549" s="25">
        <v>12.591666666666669</v>
      </c>
      <c r="AQ549" s="25">
        <v>13.120833333333335</v>
      </c>
      <c r="AR549" s="25">
        <v>13.010416666666659</v>
      </c>
      <c r="AS549" s="25">
        <v>12.931249999999991</v>
      </c>
      <c r="AT549" s="25">
        <v>0.37389583333333326</v>
      </c>
      <c r="AU549" s="25">
        <v>0.22553333333333339</v>
      </c>
      <c r="AV549" s="25">
        <v>0.38758333333333334</v>
      </c>
      <c r="AW549" s="25">
        <v>-66.355416666666642</v>
      </c>
      <c r="AX549" s="25">
        <v>-16.660833333333336</v>
      </c>
      <c r="AY549" s="25">
        <v>-32.577441860465093</v>
      </c>
      <c r="AZ549" s="25"/>
      <c r="BA549" s="25">
        <v>-10.800000000000006</v>
      </c>
      <c r="BB549" s="25"/>
      <c r="BC549" s="25"/>
      <c r="BD549" s="25">
        <v>11.399999999999997</v>
      </c>
      <c r="BE549" s="25"/>
    </row>
    <row r="550" spans="1:57" x14ac:dyDescent="0.25">
      <c r="A550" s="1">
        <v>9.1</v>
      </c>
      <c r="B550" s="1">
        <v>4.0999999999999996</v>
      </c>
      <c r="C550" s="22"/>
      <c r="D550" s="23">
        <v>44257</v>
      </c>
      <c r="E550" s="24">
        <v>60.729166666666664</v>
      </c>
      <c r="F550" s="24">
        <v>74.533333333333346</v>
      </c>
      <c r="G550" s="24">
        <v>6.1999999999999984</v>
      </c>
      <c r="H550" s="24">
        <v>0</v>
      </c>
      <c r="I550" s="24">
        <v>228.27083333333334</v>
      </c>
      <c r="J550" s="24">
        <v>5.3125</v>
      </c>
      <c r="K550" s="24">
        <v>0.14583333333333334</v>
      </c>
      <c r="L550" s="24">
        <v>1.9937500000000001</v>
      </c>
      <c r="M550" s="10">
        <v>0.24581333934932834</v>
      </c>
      <c r="N550" s="25">
        <v>0.37283333333333329</v>
      </c>
      <c r="O550" s="25">
        <v>0.39127083333333362</v>
      </c>
      <c r="P550" s="25">
        <v>0.4560833333333329</v>
      </c>
      <c r="Q550" s="25">
        <v>0.42118750000000005</v>
      </c>
      <c r="R550" s="25">
        <v>0.45929166666666643</v>
      </c>
      <c r="S550" s="25">
        <v>0.35785416666666631</v>
      </c>
      <c r="T550" s="25">
        <v>0.33577083333333374</v>
      </c>
      <c r="U550" s="25">
        <v>0.27999999999999986</v>
      </c>
      <c r="V550" s="25">
        <v>-23.146041666666672</v>
      </c>
      <c r="W550" s="25">
        <v>-72.304374999999993</v>
      </c>
      <c r="X550" s="25">
        <v>-69.130625000000009</v>
      </c>
      <c r="Y550" s="25">
        <v>-125.12291666666671</v>
      </c>
      <c r="Z550" s="25">
        <v>-18.338958333333334</v>
      </c>
      <c r="AA550" s="25">
        <v>-126.47500000000001</v>
      </c>
      <c r="AB550" s="25">
        <v>-147.23124999999996</v>
      </c>
      <c r="AC550" s="25">
        <v>-123.28541666666671</v>
      </c>
      <c r="AD550" s="25">
        <v>-59.245833333333316</v>
      </c>
      <c r="AE550" s="25">
        <v>-355.8125</v>
      </c>
      <c r="AF550" s="25">
        <v>-556.53124999999989</v>
      </c>
      <c r="AG550" s="25">
        <v>-341.53333333333347</v>
      </c>
      <c r="AH550" s="25">
        <v>-12.504166666666672</v>
      </c>
      <c r="AI550" s="25">
        <v>-11.277083333333328</v>
      </c>
      <c r="AJ550" s="25">
        <v>-27.195833333333354</v>
      </c>
      <c r="AK550" s="25">
        <v>-49.5625</v>
      </c>
      <c r="AL550" s="25">
        <v>11.687500000000002</v>
      </c>
      <c r="AM550" s="25">
        <v>12.43125</v>
      </c>
      <c r="AN550" s="25">
        <v>12.652083333333335</v>
      </c>
      <c r="AO550" s="25">
        <v>12.74791666666667</v>
      </c>
      <c r="AP550" s="25">
        <v>10.927083333333334</v>
      </c>
      <c r="AQ550" s="25">
        <v>11.922916666666664</v>
      </c>
      <c r="AR550" s="25">
        <v>12.208333333333329</v>
      </c>
      <c r="AS550" s="25">
        <v>12.366666666666669</v>
      </c>
      <c r="AT550" s="25">
        <v>0.36656249999999996</v>
      </c>
      <c r="AU550" s="25">
        <v>0.22</v>
      </c>
      <c r="AV550" s="25">
        <v>0.37508333333333344</v>
      </c>
      <c r="AW550" s="25">
        <v>-40.806666666666665</v>
      </c>
      <c r="AX550" s="25">
        <v>-16.875624999999996</v>
      </c>
      <c r="AY550" s="25">
        <v>-18.340208333333333</v>
      </c>
      <c r="AZ550" s="25"/>
      <c r="BA550" s="25">
        <v>-10.800000000000006</v>
      </c>
      <c r="BB550" s="25"/>
      <c r="BC550" s="25"/>
      <c r="BD550" s="25">
        <v>10.385416666666663</v>
      </c>
      <c r="BE550" s="25"/>
    </row>
    <row r="551" spans="1:57" x14ac:dyDescent="0.25">
      <c r="A551" s="1">
        <v>9</v>
      </c>
      <c r="B551" s="1">
        <v>3.4</v>
      </c>
      <c r="C551" s="22"/>
      <c r="D551" s="23">
        <v>44258</v>
      </c>
      <c r="E551" s="24">
        <v>45.645833333333336</v>
      </c>
      <c r="F551" s="24">
        <v>87.060416666666683</v>
      </c>
      <c r="G551" s="24">
        <v>5.7874999999999979</v>
      </c>
      <c r="H551" s="24">
        <v>0.8</v>
      </c>
      <c r="I551" s="24">
        <v>147.83333333333334</v>
      </c>
      <c r="J551" s="24">
        <v>2.5625</v>
      </c>
      <c r="K551" s="24">
        <v>2.0833333333333332E-2</v>
      </c>
      <c r="L551" s="24">
        <v>3.725000000000001</v>
      </c>
      <c r="M551" s="10">
        <v>0.12899836024429354</v>
      </c>
      <c r="N551" s="25">
        <v>0.36970833333333325</v>
      </c>
      <c r="O551" s="25">
        <v>0.38860416666666692</v>
      </c>
      <c r="P551" s="25">
        <v>0.45333333333333309</v>
      </c>
      <c r="Q551" s="25">
        <v>0.42016666666666697</v>
      </c>
      <c r="R551" s="25">
        <v>0.45612499999999984</v>
      </c>
      <c r="S551" s="25">
        <v>0.35575000000000018</v>
      </c>
      <c r="T551" s="25">
        <v>0.33485416666666695</v>
      </c>
      <c r="U551" s="25">
        <v>0.27916666666666662</v>
      </c>
      <c r="V551" s="25">
        <v>-27.48</v>
      </c>
      <c r="W551" s="25">
        <v>-78.126666666666651</v>
      </c>
      <c r="X551" s="25">
        <v>-68.49395833333331</v>
      </c>
      <c r="Y551" s="25">
        <v>-125.39375000000003</v>
      </c>
      <c r="Z551" s="25">
        <v>-21.092916666666664</v>
      </c>
      <c r="AA551" s="25">
        <v>-126.03749999999997</v>
      </c>
      <c r="AB551" s="25">
        <v>-148.61458333333329</v>
      </c>
      <c r="AC551" s="25">
        <v>-123.98333333333335</v>
      </c>
      <c r="AD551" s="25">
        <v>-57.712500000000034</v>
      </c>
      <c r="AE551" s="25">
        <v>-348.21875</v>
      </c>
      <c r="AF551" s="25">
        <v>-556.72291666666649</v>
      </c>
      <c r="AG551" s="25">
        <v>-336.28958333333338</v>
      </c>
      <c r="AH551" s="25">
        <v>-12.543750000000008</v>
      </c>
      <c r="AI551" s="25">
        <v>-11.64791666666666</v>
      </c>
      <c r="AJ551" s="25">
        <v>-26.956250000000008</v>
      </c>
      <c r="AK551" s="25">
        <v>-48.054166666666674</v>
      </c>
      <c r="AL551" s="25">
        <v>11.075000000000003</v>
      </c>
      <c r="AM551" s="25">
        <v>11.85416666666667</v>
      </c>
      <c r="AN551" s="25">
        <v>12.220833333333339</v>
      </c>
      <c r="AO551" s="25">
        <v>12.420833333333325</v>
      </c>
      <c r="AP551" s="25">
        <v>10.339583333333332</v>
      </c>
      <c r="AQ551" s="25">
        <v>11.314583333333339</v>
      </c>
      <c r="AR551" s="25">
        <v>11.622916666666663</v>
      </c>
      <c r="AS551" s="25">
        <v>11.804166666666672</v>
      </c>
      <c r="AT551" s="25">
        <v>0.36427083333333349</v>
      </c>
      <c r="AU551" s="25">
        <v>0.21571739130434792</v>
      </c>
      <c r="AV551" s="25">
        <v>0.36679166666666685</v>
      </c>
      <c r="AW551" s="25">
        <v>-28.342916666666682</v>
      </c>
      <c r="AX551" s="25">
        <v>-16.942291666666666</v>
      </c>
      <c r="AY551" s="25">
        <v>-18.694999999999997</v>
      </c>
      <c r="AZ551" s="25"/>
      <c r="BA551" s="25">
        <v>-10.797916666666673</v>
      </c>
      <c r="BB551" s="25"/>
      <c r="BC551" s="25"/>
      <c r="BD551" s="25">
        <v>10.079166666666664</v>
      </c>
      <c r="BE551" s="25"/>
    </row>
    <row r="552" spans="1:57" x14ac:dyDescent="0.25">
      <c r="A552" s="1">
        <v>10.3</v>
      </c>
      <c r="B552" s="1">
        <v>5.6</v>
      </c>
      <c r="C552" s="22"/>
      <c r="D552" s="23">
        <v>44259</v>
      </c>
      <c r="E552" s="24">
        <v>35.4375</v>
      </c>
      <c r="F552" s="24">
        <v>94.210416666666717</v>
      </c>
      <c r="G552" s="24">
        <v>7.2458333333333327</v>
      </c>
      <c r="H552" s="24">
        <v>1.4</v>
      </c>
      <c r="I552" s="24">
        <v>235.04166666666666</v>
      </c>
      <c r="J552" s="24">
        <v>2.4166666666666665</v>
      </c>
      <c r="K552" s="24">
        <v>4.1666666666666664E-2</v>
      </c>
      <c r="L552" s="24">
        <v>6.3666666666666671</v>
      </c>
      <c r="M552" s="10">
        <v>6.1866130048236816E-2</v>
      </c>
      <c r="N552" s="25">
        <v>0.36864583333333334</v>
      </c>
      <c r="O552" s="25">
        <v>0.3875000000000004</v>
      </c>
      <c r="P552" s="25">
        <v>0.45195833333333374</v>
      </c>
      <c r="Q552" s="25">
        <v>0.41987500000000028</v>
      </c>
      <c r="R552" s="25">
        <v>0.45454166666666634</v>
      </c>
      <c r="S552" s="25">
        <v>0.35422916666666632</v>
      </c>
      <c r="T552" s="25">
        <v>0.33402083333333304</v>
      </c>
      <c r="U552" s="25">
        <v>0.27883333333333338</v>
      </c>
      <c r="V552" s="25">
        <v>-31.628958333333333</v>
      </c>
      <c r="W552" s="25">
        <v>-81.216041666666655</v>
      </c>
      <c r="X552" s="25">
        <v>-67.40229166666667</v>
      </c>
      <c r="Y552" s="25">
        <v>-124.87500000000004</v>
      </c>
      <c r="Z552" s="25">
        <v>-23.860416666666676</v>
      </c>
      <c r="AA552" s="25">
        <v>-124.63125000000002</v>
      </c>
      <c r="AB552" s="25">
        <v>-148.64375000000004</v>
      </c>
      <c r="AC552" s="25">
        <v>-123.66250000000002</v>
      </c>
      <c r="AD552" s="25">
        <v>-56.808333333333358</v>
      </c>
      <c r="AE552" s="25">
        <v>-335.90416666666664</v>
      </c>
      <c r="AF552" s="25">
        <v>-550.23958333333326</v>
      </c>
      <c r="AG552" s="25">
        <v>-331.57499999999999</v>
      </c>
      <c r="AH552" s="25">
        <v>-12.63958333333334</v>
      </c>
      <c r="AI552" s="25">
        <v>-11.950000000000003</v>
      </c>
      <c r="AJ552" s="25">
        <v>-26.575000000000017</v>
      </c>
      <c r="AK552" s="25">
        <v>-46.435416666666669</v>
      </c>
      <c r="AL552" s="25">
        <v>10.866666666666669</v>
      </c>
      <c r="AM552" s="25">
        <v>11.474999999999987</v>
      </c>
      <c r="AN552" s="25">
        <v>11.879166666666668</v>
      </c>
      <c r="AO552" s="25">
        <v>12.106250000000003</v>
      </c>
      <c r="AP552" s="25">
        <v>10.333333333333332</v>
      </c>
      <c r="AQ552" s="25">
        <v>11.043750000000001</v>
      </c>
      <c r="AR552" s="25">
        <v>11.285416666666663</v>
      </c>
      <c r="AS552" s="25">
        <v>11.437499999999995</v>
      </c>
      <c r="AT552" s="25">
        <v>0.36360000000000003</v>
      </c>
      <c r="AU552" s="25">
        <v>0.21583333333333332</v>
      </c>
      <c r="AV552" s="25">
        <v>0.36156250000000029</v>
      </c>
      <c r="AW552" s="25">
        <v>-25.270833333333329</v>
      </c>
      <c r="AX552" s="25">
        <v>-16.901666666666667</v>
      </c>
      <c r="AY552" s="25">
        <v>-20.207499999999996</v>
      </c>
      <c r="AZ552" s="25"/>
      <c r="BA552" s="25">
        <v>-10.785416666666672</v>
      </c>
      <c r="BB552" s="25"/>
      <c r="BC552" s="25"/>
      <c r="BD552" s="25">
        <v>10.37291666666667</v>
      </c>
      <c r="BE552" s="25"/>
    </row>
    <row r="553" spans="1:57" x14ac:dyDescent="0.25">
      <c r="A553" s="1">
        <v>13.8</v>
      </c>
      <c r="B553" s="1">
        <v>7.6</v>
      </c>
      <c r="C553" s="22"/>
      <c r="D553" s="23">
        <v>44260</v>
      </c>
      <c r="E553" s="24">
        <v>73.583333333333329</v>
      </c>
      <c r="F553" s="24">
        <v>89.952083333333334</v>
      </c>
      <c r="G553" s="24">
        <v>9.2104166666666689</v>
      </c>
      <c r="H553" s="24">
        <v>0.2</v>
      </c>
      <c r="I553" s="24">
        <v>219.85416666666666</v>
      </c>
      <c r="J553" s="24">
        <v>4.291666666666667</v>
      </c>
      <c r="K553" s="24">
        <v>2.0833333333333332E-2</v>
      </c>
      <c r="L553" s="24">
        <v>7.5833333333333348</v>
      </c>
      <c r="M553" s="10">
        <v>0.1267206010757059</v>
      </c>
      <c r="N553" s="25">
        <v>0.36920833333333336</v>
      </c>
      <c r="O553" s="25">
        <v>0.38814583333333325</v>
      </c>
      <c r="P553" s="25">
        <v>0.45237499999999992</v>
      </c>
      <c r="Q553" s="25">
        <v>0.42000000000000032</v>
      </c>
      <c r="R553" s="25">
        <v>0.45597916666666632</v>
      </c>
      <c r="S553" s="25">
        <v>0.35416666666666652</v>
      </c>
      <c r="T553" s="25">
        <v>0.3339999999999998</v>
      </c>
      <c r="U553" s="25">
        <v>0.27841666666666676</v>
      </c>
      <c r="V553" s="25">
        <v>-34.482291666666669</v>
      </c>
      <c r="W553" s="25">
        <v>-83.120833333333323</v>
      </c>
      <c r="X553" s="25">
        <v>-65.643333333333331</v>
      </c>
      <c r="Y553" s="25">
        <v>-123.49583333333335</v>
      </c>
      <c r="Z553" s="25">
        <v>-26.157083333333333</v>
      </c>
      <c r="AA553" s="25">
        <v>-121.72083333333336</v>
      </c>
      <c r="AB553" s="25">
        <v>-147.42291666666668</v>
      </c>
      <c r="AC553" s="25">
        <v>-122.46041666666672</v>
      </c>
      <c r="AD553" s="25">
        <v>-56.949999999999989</v>
      </c>
      <c r="AE553" s="25">
        <v>-318.67291666666659</v>
      </c>
      <c r="AF553" s="25">
        <v>-533.71041666666667</v>
      </c>
      <c r="AG553" s="25">
        <v>-329.51458333333329</v>
      </c>
      <c r="AH553" s="25">
        <v>-12.737499999999992</v>
      </c>
      <c r="AI553" s="25">
        <v>-12.179166666666655</v>
      </c>
      <c r="AJ553" s="25">
        <v>-26.245833333333362</v>
      </c>
      <c r="AK553" s="25">
        <v>-45.087500000000027</v>
      </c>
      <c r="AL553" s="25">
        <v>11.310416666666667</v>
      </c>
      <c r="AM553" s="25">
        <v>11.458333333333336</v>
      </c>
      <c r="AN553" s="25">
        <v>11.699999999999998</v>
      </c>
      <c r="AO553" s="25">
        <v>11.922916666666657</v>
      </c>
      <c r="AP553" s="25">
        <v>11.243750000000004</v>
      </c>
      <c r="AQ553" s="25">
        <v>11.308333333333332</v>
      </c>
      <c r="AR553" s="25">
        <v>11.316666666666665</v>
      </c>
      <c r="AS553" s="25">
        <v>11.362500000000002</v>
      </c>
      <c r="AT553" s="25">
        <v>0.36814583333333334</v>
      </c>
      <c r="AU553" s="25">
        <v>0.22131428571428571</v>
      </c>
      <c r="AV553" s="25">
        <v>0.36085416666666675</v>
      </c>
      <c r="AW553" s="25">
        <v>-30.330624999999998</v>
      </c>
      <c r="AX553" s="25">
        <v>-16.760625000000005</v>
      </c>
      <c r="AY553" s="25">
        <v>-22.523541666666659</v>
      </c>
      <c r="AZ553" s="25"/>
      <c r="BA553" s="25">
        <v>-10.699999999999994</v>
      </c>
      <c r="BB553" s="25"/>
      <c r="BC553" s="25"/>
      <c r="BD553" s="25">
        <v>11.145833333333334</v>
      </c>
      <c r="BE553" s="25"/>
    </row>
    <row r="554" spans="1:57" x14ac:dyDescent="0.25">
      <c r="A554" s="1">
        <v>16.399999999999999</v>
      </c>
      <c r="B554" s="1">
        <v>7.6</v>
      </c>
      <c r="C554" s="22"/>
      <c r="D554" s="23">
        <v>44261</v>
      </c>
      <c r="E554" s="24">
        <v>97.833333333333329</v>
      </c>
      <c r="F554" s="24">
        <v>76.99166666666666</v>
      </c>
      <c r="G554" s="24">
        <v>10.45833333333333</v>
      </c>
      <c r="H554" s="24">
        <v>0</v>
      </c>
      <c r="I554" s="24">
        <v>217.91666666666666</v>
      </c>
      <c r="J554" s="24">
        <v>4.395833333333333</v>
      </c>
      <c r="K554" s="24">
        <v>6.25E-2</v>
      </c>
      <c r="L554" s="24">
        <v>6.4395833333333341</v>
      </c>
      <c r="M554" s="10">
        <v>0.31722784226238493</v>
      </c>
      <c r="N554" s="25">
        <v>0.36893749999999992</v>
      </c>
      <c r="O554" s="25">
        <v>0.38987499999999969</v>
      </c>
      <c r="P554" s="25">
        <v>0.4548124999999999</v>
      </c>
      <c r="Q554" s="25">
        <v>0.42091666666666638</v>
      </c>
      <c r="R554" s="25">
        <v>0.45770833333333344</v>
      </c>
      <c r="S554" s="25">
        <v>0.35491666666666671</v>
      </c>
      <c r="T554" s="25">
        <v>0.33485416666666695</v>
      </c>
      <c r="U554" s="25">
        <v>0.27902083333333327</v>
      </c>
      <c r="V554" s="25">
        <v>-36.454791666666672</v>
      </c>
      <c r="W554" s="25">
        <v>-86.527083333333323</v>
      </c>
      <c r="X554" s="25">
        <v>-63.323333333333331</v>
      </c>
      <c r="Y554" s="25">
        <v>-121.06875000000001</v>
      </c>
      <c r="Z554" s="25">
        <v>-28.404166666666669</v>
      </c>
      <c r="AA554" s="25">
        <v>-118.31458333333332</v>
      </c>
      <c r="AB554" s="25">
        <v>-144.8208333333333</v>
      </c>
      <c r="AC554" s="25">
        <v>-119.87916666666665</v>
      </c>
      <c r="AD554" s="25">
        <v>-57.941666666666684</v>
      </c>
      <c r="AE554" s="25">
        <v>-305.71458333333328</v>
      </c>
      <c r="AF554" s="25">
        <v>-522.06874999999991</v>
      </c>
      <c r="AG554" s="25">
        <v>-327.01874999999995</v>
      </c>
      <c r="AH554" s="25">
        <v>-12.779166666666656</v>
      </c>
      <c r="AI554" s="25">
        <v>-12.460416666666674</v>
      </c>
      <c r="AJ554" s="25">
        <v>-26.295833333333338</v>
      </c>
      <c r="AK554" s="25">
        <v>-44.299999999999983</v>
      </c>
      <c r="AL554" s="25">
        <v>11.804166666666665</v>
      </c>
      <c r="AM554" s="25">
        <v>11.725000000000001</v>
      </c>
      <c r="AN554" s="25">
        <v>11.789583333333335</v>
      </c>
      <c r="AO554" s="25">
        <v>11.89999999999999</v>
      </c>
      <c r="AP554" s="25">
        <v>11.970833333333333</v>
      </c>
      <c r="AQ554" s="25">
        <v>11.808333333333332</v>
      </c>
      <c r="AR554" s="25">
        <v>11.65</v>
      </c>
      <c r="AS554" s="25">
        <v>11.6</v>
      </c>
      <c r="AT554" s="25">
        <v>0.36552083333333352</v>
      </c>
      <c r="AU554" s="25">
        <v>0.21616666666666673</v>
      </c>
      <c r="AV554" s="25">
        <v>0.35627083333333331</v>
      </c>
      <c r="AW554" s="25">
        <v>-22.60604166666667</v>
      </c>
      <c r="AX554" s="25">
        <v>-16.702708333333334</v>
      </c>
      <c r="AY554" s="25">
        <v>-24.918043478260859</v>
      </c>
      <c r="AZ554" s="25"/>
      <c r="BA554" s="25">
        <v>-10.774999999999991</v>
      </c>
      <c r="BB554" s="25"/>
      <c r="BC554" s="25"/>
      <c r="BD554" s="25">
        <v>11.487500000000002</v>
      </c>
      <c r="BE554" s="25"/>
    </row>
    <row r="555" spans="1:57" x14ac:dyDescent="0.25">
      <c r="A555" s="1">
        <v>9.6</v>
      </c>
      <c r="B555" s="1">
        <v>7.6</v>
      </c>
      <c r="C555" s="22"/>
      <c r="D555" s="23">
        <v>44262</v>
      </c>
      <c r="E555" s="24">
        <v>31.770833333333332</v>
      </c>
      <c r="F555" s="24">
        <v>87.479166666666686</v>
      </c>
      <c r="G555" s="24">
        <v>8.5749999999999993</v>
      </c>
      <c r="H555" s="24">
        <v>0.8</v>
      </c>
      <c r="I555" s="24">
        <v>228.02083333333334</v>
      </c>
      <c r="J555" s="24">
        <v>5.395833333333333</v>
      </c>
      <c r="K555" s="24">
        <v>0.27083333333333331</v>
      </c>
      <c r="L555" s="24">
        <v>6.604166666666667</v>
      </c>
      <c r="M555" s="10">
        <v>0.14032844882007564</v>
      </c>
      <c r="N555" s="25">
        <v>0.36681249999999982</v>
      </c>
      <c r="O555" s="25">
        <v>0.39045833333333363</v>
      </c>
      <c r="P555" s="25">
        <v>0.45604166666666623</v>
      </c>
      <c r="Q555" s="25">
        <v>0.42212500000000003</v>
      </c>
      <c r="R555" s="25">
        <v>0.45729166666666693</v>
      </c>
      <c r="S555" s="25">
        <v>0.35541666666666688</v>
      </c>
      <c r="T555" s="25">
        <v>0.33500000000000041</v>
      </c>
      <c r="U555" s="25">
        <v>0.27983333333333321</v>
      </c>
      <c r="V555" s="25">
        <v>-39.217708333333334</v>
      </c>
      <c r="W555" s="25">
        <v>-91.052083333333314</v>
      </c>
      <c r="X555" s="25">
        <v>-61.228541666666651</v>
      </c>
      <c r="Y555" s="25">
        <v>-118.42083333333335</v>
      </c>
      <c r="Z555" s="25">
        <v>-30.971249999999994</v>
      </c>
      <c r="AA555" s="25">
        <v>-115.97291666666668</v>
      </c>
      <c r="AB555" s="25">
        <v>-142.28333333333339</v>
      </c>
      <c r="AC555" s="25">
        <v>-117.10625000000003</v>
      </c>
      <c r="AD555" s="25">
        <v>-58.941666666666684</v>
      </c>
      <c r="AE555" s="25">
        <v>-299.15625</v>
      </c>
      <c r="AF555" s="25">
        <v>-507.32083333333327</v>
      </c>
      <c r="AG555" s="25">
        <v>-318.92291666666671</v>
      </c>
      <c r="AH555" s="25">
        <v>-12.804166666666665</v>
      </c>
      <c r="AI555" s="25">
        <v>-12.887500000000001</v>
      </c>
      <c r="AJ555" s="25">
        <v>-26.470833333333349</v>
      </c>
      <c r="AK555" s="25">
        <v>-43.833333333333321</v>
      </c>
      <c r="AL555" s="25">
        <v>11.777083333333337</v>
      </c>
      <c r="AM555" s="25">
        <v>11.943749999999987</v>
      </c>
      <c r="AN555" s="25">
        <v>11.931249999999993</v>
      </c>
      <c r="AO555" s="25">
        <v>11.991666666666667</v>
      </c>
      <c r="AP555" s="25">
        <v>11.554166666666665</v>
      </c>
      <c r="AQ555" s="25">
        <v>11.939583333333333</v>
      </c>
      <c r="AR555" s="25">
        <v>11.891666666666666</v>
      </c>
      <c r="AS555" s="25">
        <v>11.841666666666669</v>
      </c>
      <c r="AT555" s="25">
        <v>0.3622083333333333</v>
      </c>
      <c r="AU555" s="25"/>
      <c r="AV555" s="25">
        <v>0.34831250000000002</v>
      </c>
      <c r="AW555" s="25">
        <v>-49.410625000000003</v>
      </c>
      <c r="AX555" s="25">
        <v>-16.792499999999993</v>
      </c>
      <c r="AY555" s="25">
        <v>-39.22625</v>
      </c>
      <c r="AZ555" s="25"/>
      <c r="BA555" s="25">
        <v>-10.947916666666666</v>
      </c>
      <c r="BB555" s="25"/>
      <c r="BC555" s="25"/>
      <c r="BD555" s="25">
        <v>10.997916666666663</v>
      </c>
      <c r="BE555" s="25"/>
    </row>
    <row r="556" spans="1:57" x14ac:dyDescent="0.25">
      <c r="A556" s="1">
        <v>11.9</v>
      </c>
      <c r="B556" s="1">
        <v>7.4</v>
      </c>
      <c r="C556" s="22"/>
      <c r="D556" s="23">
        <v>44263</v>
      </c>
      <c r="E556" s="24">
        <v>29.395833333333332</v>
      </c>
      <c r="F556" s="24">
        <v>96.785416666666663</v>
      </c>
      <c r="G556" s="24">
        <v>8.9541666666666639</v>
      </c>
      <c r="H556" s="24">
        <v>1.2</v>
      </c>
      <c r="I556" s="24">
        <v>217.47916666666666</v>
      </c>
      <c r="J556" s="24">
        <v>3.75</v>
      </c>
      <c r="K556" s="24">
        <v>0.20833333333333334</v>
      </c>
      <c r="L556" s="24">
        <v>8.4791666666666679</v>
      </c>
      <c r="M556" s="10">
        <v>3.6914809599831684E-2</v>
      </c>
      <c r="N556" s="25">
        <v>0.3651875</v>
      </c>
      <c r="O556" s="25">
        <v>0.3896041666666667</v>
      </c>
      <c r="P556" s="25">
        <v>0.45499999999999963</v>
      </c>
      <c r="Q556" s="25">
        <v>0.4229999999999996</v>
      </c>
      <c r="R556" s="25">
        <v>0.45591666666666669</v>
      </c>
      <c r="S556" s="25">
        <v>0.35427083333333304</v>
      </c>
      <c r="T556" s="25">
        <v>0.33500000000000041</v>
      </c>
      <c r="U556" s="25">
        <v>0.27947916666666639</v>
      </c>
      <c r="V556" s="25">
        <v>-42.023333333333326</v>
      </c>
      <c r="W556" s="25">
        <v>-94.710416666666674</v>
      </c>
      <c r="X556" s="25">
        <v>-60.392083333333339</v>
      </c>
      <c r="Y556" s="25">
        <v>-117.22291666666666</v>
      </c>
      <c r="Z556" s="25">
        <v>-32.957916666666662</v>
      </c>
      <c r="AA556" s="25">
        <v>-115.26666666666665</v>
      </c>
      <c r="AB556" s="25">
        <v>-141.80208333333334</v>
      </c>
      <c r="AC556" s="25">
        <v>-115.94583333333334</v>
      </c>
      <c r="AD556" s="25">
        <v>-59.008333333333333</v>
      </c>
      <c r="AE556" s="25">
        <v>-297.51041666666663</v>
      </c>
      <c r="AF556" s="25">
        <v>-491.625</v>
      </c>
      <c r="AG556" s="25">
        <v>-313.55625000000003</v>
      </c>
      <c r="AH556" s="25">
        <v>-12.799999999999997</v>
      </c>
      <c r="AI556" s="25">
        <v>-13.289583333333328</v>
      </c>
      <c r="AJ556" s="25">
        <v>-26.322916666666657</v>
      </c>
      <c r="AK556" s="25">
        <v>-43.206249999999976</v>
      </c>
      <c r="AL556" s="25">
        <v>11.56666666666667</v>
      </c>
      <c r="AM556" s="25">
        <v>11.762499999999994</v>
      </c>
      <c r="AN556" s="25">
        <v>11.872916666666661</v>
      </c>
      <c r="AO556" s="25">
        <v>12</v>
      </c>
      <c r="AP556" s="25">
        <v>11.379166666666663</v>
      </c>
      <c r="AQ556" s="25">
        <v>11.652083333333332</v>
      </c>
      <c r="AR556" s="25">
        <v>11.66250000000001</v>
      </c>
      <c r="AS556" s="25">
        <v>11.647916666666676</v>
      </c>
      <c r="AT556" s="25">
        <v>0.36954166666666671</v>
      </c>
      <c r="AU556" s="25"/>
      <c r="AV556" s="25">
        <v>0.34887499999999988</v>
      </c>
      <c r="AW556" s="25">
        <v>-22.522500000000004</v>
      </c>
      <c r="AX556" s="25">
        <v>-16.749166666666667</v>
      </c>
      <c r="AY556" s="25">
        <v>-52.335000000000001</v>
      </c>
      <c r="AZ556" s="25"/>
      <c r="BA556" s="25">
        <v>-10.924999999999992</v>
      </c>
      <c r="BB556" s="25"/>
      <c r="BC556" s="25"/>
      <c r="BD556" s="25">
        <v>11.120833333333328</v>
      </c>
      <c r="BE556" s="25"/>
    </row>
    <row r="557" spans="1:57" x14ac:dyDescent="0.25">
      <c r="A557" s="1">
        <v>8.3000000000000007</v>
      </c>
      <c r="B557" s="1">
        <v>6.7</v>
      </c>
      <c r="C557" s="22"/>
      <c r="D557" s="23">
        <v>44264</v>
      </c>
      <c r="E557" s="24">
        <v>23.8125</v>
      </c>
      <c r="F557" s="24">
        <v>97.064583333333317</v>
      </c>
      <c r="G557" s="24">
        <v>7.3645833333333348</v>
      </c>
      <c r="H557" s="24">
        <v>1.2</v>
      </c>
      <c r="I557" s="24">
        <v>217.64583333333334</v>
      </c>
      <c r="J557" s="24">
        <v>4.5625</v>
      </c>
      <c r="K557" s="24">
        <v>6.25E-2</v>
      </c>
      <c r="L557" s="24">
        <v>6.9250000000000007</v>
      </c>
      <c r="M557" s="10">
        <v>3.0349994917071309E-2</v>
      </c>
      <c r="N557" s="25">
        <v>0.36345833333333305</v>
      </c>
      <c r="O557" s="25">
        <v>0.38943749999999971</v>
      </c>
      <c r="P557" s="25">
        <v>0.45489583333333306</v>
      </c>
      <c r="Q557" s="25">
        <v>0.4239374999999998</v>
      </c>
      <c r="R557" s="25">
        <v>0.45510416666666637</v>
      </c>
      <c r="S557" s="25">
        <v>0.35364583333333321</v>
      </c>
      <c r="T557" s="25">
        <v>0.33500000000000041</v>
      </c>
      <c r="U557" s="25">
        <v>0.27977083333333314</v>
      </c>
      <c r="V557" s="25">
        <v>-45.270208333333329</v>
      </c>
      <c r="W557" s="25">
        <v>-98.364583333333329</v>
      </c>
      <c r="X557" s="25">
        <v>-59.38416666666668</v>
      </c>
      <c r="Y557" s="25">
        <v>-115.85625000000005</v>
      </c>
      <c r="Z557" s="25">
        <v>-34.796666666666681</v>
      </c>
      <c r="AA557" s="25">
        <v>-114.40208333333335</v>
      </c>
      <c r="AB557" s="25">
        <v>-141.06041666666661</v>
      </c>
      <c r="AC557" s="25">
        <v>-114.76666666666665</v>
      </c>
      <c r="AD557" s="25">
        <v>-58.868750000000041</v>
      </c>
      <c r="AE557" s="25">
        <v>-290.27291666666667</v>
      </c>
      <c r="AF557" s="25">
        <v>-481.10624999999999</v>
      </c>
      <c r="AG557" s="25">
        <v>-306.41250000000008</v>
      </c>
      <c r="AH557" s="25">
        <v>-12.535416666666658</v>
      </c>
      <c r="AI557" s="25">
        <v>-13.608333333333347</v>
      </c>
      <c r="AJ557" s="25">
        <v>-26.147916666666671</v>
      </c>
      <c r="AK557" s="25">
        <v>-42.768750000000004</v>
      </c>
      <c r="AL557" s="25">
        <v>11.312500000000002</v>
      </c>
      <c r="AM557" s="25">
        <v>11.677083333333341</v>
      </c>
      <c r="AN557" s="25">
        <v>11.835416666666669</v>
      </c>
      <c r="AO557" s="25">
        <v>11.964583333333325</v>
      </c>
      <c r="AP557" s="25">
        <v>10.883333333333333</v>
      </c>
      <c r="AQ557" s="25">
        <v>11.456249999999992</v>
      </c>
      <c r="AR557" s="25">
        <v>11.535416666666658</v>
      </c>
      <c r="AS557" s="25">
        <v>11.568750000000001</v>
      </c>
      <c r="AT557" s="25">
        <v>0.37060416666666668</v>
      </c>
      <c r="AU557" s="25"/>
      <c r="AV557" s="25">
        <v>0.34843750000000018</v>
      </c>
      <c r="AW557" s="25">
        <v>-36.431666666666672</v>
      </c>
      <c r="AX557" s="25">
        <v>-16.731666666666666</v>
      </c>
      <c r="AY557" s="25"/>
      <c r="AZ557" s="25"/>
      <c r="BA557" s="25">
        <v>-10.662500000000009</v>
      </c>
      <c r="BB557" s="25"/>
      <c r="BC557" s="25"/>
      <c r="BD557" s="25">
        <v>10.639583333333329</v>
      </c>
      <c r="BE557" s="25"/>
    </row>
    <row r="558" spans="1:57" x14ac:dyDescent="0.25">
      <c r="A558" s="1">
        <v>9.4</v>
      </c>
      <c r="B558" s="1">
        <v>6.2</v>
      </c>
      <c r="C558" s="22"/>
      <c r="D558" s="23">
        <v>44265</v>
      </c>
      <c r="E558" s="24">
        <v>28.083333333333332</v>
      </c>
      <c r="F558" s="24">
        <v>97.325000000000003</v>
      </c>
      <c r="G558" s="24">
        <v>7.5687500000000014</v>
      </c>
      <c r="H558" s="24">
        <v>0.60000000000000009</v>
      </c>
      <c r="I558" s="24">
        <v>219.25</v>
      </c>
      <c r="J558" s="24">
        <v>3.3125</v>
      </c>
      <c r="K558" s="24">
        <v>0</v>
      </c>
      <c r="L558" s="24">
        <v>7.1645833333333337</v>
      </c>
      <c r="M558" s="10">
        <v>2.8301242683134012E-2</v>
      </c>
      <c r="N558" s="25">
        <v>0.3614791666666668</v>
      </c>
      <c r="O558" s="25">
        <v>0.38854166666666656</v>
      </c>
      <c r="P558" s="25">
        <v>0.45347916666666627</v>
      </c>
      <c r="Q558" s="25">
        <v>0.42399999999999977</v>
      </c>
      <c r="R558" s="25">
        <v>0.45312499999999978</v>
      </c>
      <c r="S558" s="25">
        <v>0.35275000000000006</v>
      </c>
      <c r="T558" s="25">
        <v>0.33500000000000041</v>
      </c>
      <c r="U558" s="25">
        <v>0.2799791666666665</v>
      </c>
      <c r="V558" s="25">
        <v>-48.000000000000021</v>
      </c>
      <c r="W558" s="25">
        <v>-99.27500000000002</v>
      </c>
      <c r="X558" s="25">
        <v>-58.823958333333344</v>
      </c>
      <c r="Y558" s="25">
        <v>-114.97083333333335</v>
      </c>
      <c r="Z558" s="25">
        <v>-35.836458333333333</v>
      </c>
      <c r="AA558" s="25">
        <v>-113.95416666666665</v>
      </c>
      <c r="AB558" s="25">
        <v>-140.77916666666667</v>
      </c>
      <c r="AC558" s="25">
        <v>-114.18749999999999</v>
      </c>
      <c r="AD558" s="25">
        <v>-58.49791666666669</v>
      </c>
      <c r="AE558" s="25">
        <v>-288.08958333333334</v>
      </c>
      <c r="AF558" s="25">
        <v>-473.40208333333334</v>
      </c>
      <c r="AG558" s="25">
        <v>-303.14583333333326</v>
      </c>
      <c r="AH558" s="25">
        <v>-12.129166666666677</v>
      </c>
      <c r="AI558" s="25">
        <v>-13.856249999999989</v>
      </c>
      <c r="AJ558" s="25">
        <v>-25.841666666666665</v>
      </c>
      <c r="AK558" s="25">
        <v>-42.312500000000014</v>
      </c>
      <c r="AL558" s="25">
        <v>10.989583333333337</v>
      </c>
      <c r="AM558" s="25">
        <v>11.424999999999995</v>
      </c>
      <c r="AN558" s="25">
        <v>11.666666666666671</v>
      </c>
      <c r="AO558" s="25">
        <v>11.852083333333333</v>
      </c>
      <c r="AP558" s="25">
        <v>10.560416666666663</v>
      </c>
      <c r="AQ558" s="25">
        <v>11.110416666666667</v>
      </c>
      <c r="AR558" s="25">
        <v>11.252083333333333</v>
      </c>
      <c r="AS558" s="25">
        <v>11.293750000000003</v>
      </c>
      <c r="AT558" s="25">
        <v>0.37347619047619057</v>
      </c>
      <c r="AU558" s="25"/>
      <c r="AV558" s="25">
        <v>0.34652083333333317</v>
      </c>
      <c r="AW558" s="25">
        <v>-44.824791666666648</v>
      </c>
      <c r="AX558" s="25">
        <v>-16.79</v>
      </c>
      <c r="AY558" s="25"/>
      <c r="AZ558" s="25"/>
      <c r="BA558" s="25">
        <v>-10.5</v>
      </c>
      <c r="BB558" s="25"/>
      <c r="BC558" s="25"/>
      <c r="BD558" s="25">
        <v>10.54166666666667</v>
      </c>
      <c r="BE558" s="25"/>
    </row>
    <row r="559" spans="1:57" x14ac:dyDescent="0.25">
      <c r="A559" s="1">
        <v>14.2</v>
      </c>
      <c r="B559" s="1">
        <v>7.3</v>
      </c>
      <c r="C559" s="22"/>
      <c r="D559" s="23">
        <v>44266</v>
      </c>
      <c r="E559" s="24">
        <v>66.854166666666671</v>
      </c>
      <c r="F559" s="24">
        <v>88.268750000000011</v>
      </c>
      <c r="G559" s="24">
        <v>10.170833333333334</v>
      </c>
      <c r="H559" s="24">
        <v>0.2</v>
      </c>
      <c r="I559" s="24">
        <v>240.125</v>
      </c>
      <c r="J559" s="24">
        <v>3.5625</v>
      </c>
      <c r="K559" s="24">
        <v>0.1875</v>
      </c>
      <c r="L559" s="24">
        <v>8.2458333333333318</v>
      </c>
      <c r="M559" s="10">
        <v>0.16333861940123917</v>
      </c>
      <c r="N559" s="25">
        <v>0.36149999999999993</v>
      </c>
      <c r="O559" s="25">
        <v>0.38897916666666665</v>
      </c>
      <c r="P559" s="25">
        <v>0.45370833333333277</v>
      </c>
      <c r="Q559" s="25">
        <v>0.42399999999999977</v>
      </c>
      <c r="R559" s="25">
        <v>0.45412499999999983</v>
      </c>
      <c r="S559" s="25">
        <v>0.35264583333333338</v>
      </c>
      <c r="T559" s="25">
        <v>0.33500000000000041</v>
      </c>
      <c r="U559" s="25">
        <v>0.27999999999999986</v>
      </c>
      <c r="V559" s="25">
        <v>-48.61020833333334</v>
      </c>
      <c r="W559" s="25">
        <v>-97.670833333333306</v>
      </c>
      <c r="X559" s="25">
        <v>-57.826250000000009</v>
      </c>
      <c r="Y559" s="25">
        <v>-113.73541666666665</v>
      </c>
      <c r="Z559" s="25">
        <v>-35.963124999999998</v>
      </c>
      <c r="AA559" s="25">
        <v>-112.44791666666669</v>
      </c>
      <c r="AB559" s="25">
        <v>-139.9916666666667</v>
      </c>
      <c r="AC559" s="25">
        <v>-113.18958333333336</v>
      </c>
      <c r="AD559" s="25">
        <v>-58.460416666666681</v>
      </c>
      <c r="AE559" s="25">
        <v>-281.19791666666669</v>
      </c>
      <c r="AF559" s="25">
        <v>-466.00208333333336</v>
      </c>
      <c r="AG559" s="25">
        <v>-301.29374999999999</v>
      </c>
      <c r="AH559" s="25">
        <v>-12.039583333333342</v>
      </c>
      <c r="AI559" s="25">
        <v>-14.03333333333334</v>
      </c>
      <c r="AJ559" s="25">
        <v>-25.558333333333326</v>
      </c>
      <c r="AK559" s="25">
        <v>-41.785416666666627</v>
      </c>
      <c r="AL559" s="25">
        <v>11.235416666666667</v>
      </c>
      <c r="AM559" s="25">
        <v>11.370833333333337</v>
      </c>
      <c r="AN559" s="25">
        <v>11.560416666666667</v>
      </c>
      <c r="AO559" s="25">
        <v>11.739583333333334</v>
      </c>
      <c r="AP559" s="25">
        <v>11.241666666666667</v>
      </c>
      <c r="AQ559" s="25">
        <v>11.235416666666664</v>
      </c>
      <c r="AR559" s="25">
        <v>11.206250000000002</v>
      </c>
      <c r="AS559" s="25">
        <v>11.21666666666666</v>
      </c>
      <c r="AT559" s="25">
        <v>0.37595652173913052</v>
      </c>
      <c r="AU559" s="25">
        <v>0.22809090909090915</v>
      </c>
      <c r="AV559" s="25">
        <v>0.34566666666666657</v>
      </c>
      <c r="AW559" s="25">
        <v>-49.270833333333343</v>
      </c>
      <c r="AX559" s="25">
        <v>-16.686666666666664</v>
      </c>
      <c r="AY559" s="25"/>
      <c r="AZ559" s="25"/>
      <c r="BA559" s="25">
        <v>-10.412499999999993</v>
      </c>
      <c r="BB559" s="25"/>
      <c r="BC559" s="25"/>
      <c r="BD559" s="25">
        <v>11.256250000000001</v>
      </c>
      <c r="BE559" s="25"/>
    </row>
    <row r="560" spans="1:57" x14ac:dyDescent="0.25">
      <c r="A560" s="1">
        <v>15.2</v>
      </c>
      <c r="B560" s="1">
        <v>9.1999999999999993</v>
      </c>
      <c r="C560" s="22"/>
      <c r="D560" s="23">
        <v>44267</v>
      </c>
      <c r="E560" s="24">
        <v>59.666666666666664</v>
      </c>
      <c r="F560" s="24">
        <v>92.177083333333314</v>
      </c>
      <c r="G560" s="24">
        <v>11.425000000000006</v>
      </c>
      <c r="H560" s="24">
        <v>0.8</v>
      </c>
      <c r="I560" s="24">
        <v>229.60416666666666</v>
      </c>
      <c r="J560" s="24">
        <v>3.6458333333333335</v>
      </c>
      <c r="K560" s="24">
        <v>0.14583333333333334</v>
      </c>
      <c r="L560" s="24">
        <v>10.1625</v>
      </c>
      <c r="M560" s="10">
        <v>0.11614381905858663</v>
      </c>
      <c r="N560" s="25">
        <v>0.36235416666666659</v>
      </c>
      <c r="O560" s="25">
        <v>0.39133333333333331</v>
      </c>
      <c r="P560" s="25">
        <v>0.45614583333333325</v>
      </c>
      <c r="Q560" s="25">
        <v>0.42560416666666634</v>
      </c>
      <c r="R560" s="25">
        <v>0.45697916666666655</v>
      </c>
      <c r="S560" s="25">
        <v>0.35395833333333332</v>
      </c>
      <c r="T560" s="25">
        <v>0.33575000000000021</v>
      </c>
      <c r="U560" s="25">
        <v>0.28004166666666658</v>
      </c>
      <c r="V560" s="25">
        <v>-47.903124999999996</v>
      </c>
      <c r="W560" s="25">
        <v>-95.37291666666664</v>
      </c>
      <c r="X560" s="25">
        <v>-55.872083333333315</v>
      </c>
      <c r="Y560" s="25">
        <v>-111.34583333333336</v>
      </c>
      <c r="Z560" s="25">
        <v>-35.997916666666669</v>
      </c>
      <c r="AA560" s="25">
        <v>-109.58125</v>
      </c>
      <c r="AB560" s="25">
        <v>-137.56666666666663</v>
      </c>
      <c r="AC560" s="25">
        <v>-111.02500000000002</v>
      </c>
      <c r="AD560" s="25">
        <v>-59.1875</v>
      </c>
      <c r="AE560" s="25">
        <v>-273.13125000000002</v>
      </c>
      <c r="AF560" s="25">
        <v>-449.9041666666667</v>
      </c>
      <c r="AG560" s="25">
        <v>-296.43124999999992</v>
      </c>
      <c r="AH560" s="25">
        <v>-11.964583333333332</v>
      </c>
      <c r="AI560" s="25">
        <v>-14.22708333333332</v>
      </c>
      <c r="AJ560" s="25">
        <v>-25.577083333333338</v>
      </c>
      <c r="AK560" s="25">
        <v>-41.26874999999999</v>
      </c>
      <c r="AL560" s="25">
        <v>11.885416666666663</v>
      </c>
      <c r="AM560" s="25">
        <v>11.693749999999996</v>
      </c>
      <c r="AN560" s="25">
        <v>11.670833333333327</v>
      </c>
      <c r="AO560" s="25">
        <v>11.768750000000002</v>
      </c>
      <c r="AP560" s="25">
        <v>12.183333333333335</v>
      </c>
      <c r="AQ560" s="25">
        <v>11.870833333333325</v>
      </c>
      <c r="AR560" s="25">
        <v>11.645833333333336</v>
      </c>
      <c r="AS560" s="25">
        <v>11.516666666666673</v>
      </c>
      <c r="AT560" s="25">
        <v>0.37854166666666683</v>
      </c>
      <c r="AU560" s="25">
        <v>0.22900000000000004</v>
      </c>
      <c r="AV560" s="25">
        <v>0.34441666666666687</v>
      </c>
      <c r="AW560" s="25">
        <v>-21.976041666666671</v>
      </c>
      <c r="AX560" s="25">
        <v>-16.577916666666678</v>
      </c>
      <c r="AY560" s="25"/>
      <c r="AZ560" s="25"/>
      <c r="BA560" s="25">
        <v>-10.393749999999992</v>
      </c>
      <c r="BB560" s="25"/>
      <c r="BC560" s="25"/>
      <c r="BD560" s="25">
        <v>11.910416666666668</v>
      </c>
      <c r="BE560" s="25"/>
    </row>
    <row r="561" spans="1:57" x14ac:dyDescent="0.25">
      <c r="A561" s="1">
        <v>20.100000000000001</v>
      </c>
      <c r="B561" s="1">
        <v>11.1</v>
      </c>
      <c r="C561" s="22"/>
      <c r="D561" s="23">
        <v>44268</v>
      </c>
      <c r="E561" s="24">
        <v>89.3125</v>
      </c>
      <c r="F561" s="24">
        <v>87.402083333333337</v>
      </c>
      <c r="G561" s="24">
        <v>14.029166666666669</v>
      </c>
      <c r="H561" s="24">
        <v>0.4</v>
      </c>
      <c r="I561" s="24">
        <v>229.79166666666666</v>
      </c>
      <c r="J561" s="24">
        <v>3.3333333333333335</v>
      </c>
      <c r="K561" s="24">
        <v>6.25E-2</v>
      </c>
      <c r="L561" s="24">
        <v>11.812499999999995</v>
      </c>
      <c r="M561" s="10">
        <v>0.23681439600186496</v>
      </c>
      <c r="N561" s="25">
        <v>0.36333333333333323</v>
      </c>
      <c r="O561" s="25">
        <v>0.39377083333333346</v>
      </c>
      <c r="P561" s="25">
        <v>0.45862500000000006</v>
      </c>
      <c r="Q561" s="25">
        <v>0.42745833333333355</v>
      </c>
      <c r="R561" s="25">
        <v>0.46014583333333348</v>
      </c>
      <c r="S561" s="25">
        <v>0.35541666666666677</v>
      </c>
      <c r="T561" s="25">
        <v>0.33697916666666644</v>
      </c>
      <c r="U561" s="25">
        <v>0.2806875000000002</v>
      </c>
      <c r="V561" s="25">
        <v>-46.399791666666651</v>
      </c>
      <c r="W561" s="25">
        <v>-92.460416666666674</v>
      </c>
      <c r="X561" s="25">
        <v>-53.855416666666656</v>
      </c>
      <c r="Y561" s="25">
        <v>-108.44166666666668</v>
      </c>
      <c r="Z561" s="25">
        <v>-35.937916666666659</v>
      </c>
      <c r="AA561" s="25">
        <v>-106.52708333333335</v>
      </c>
      <c r="AB561" s="25">
        <v>-134.78124999999994</v>
      </c>
      <c r="AC561" s="25">
        <v>-108.42499999999997</v>
      </c>
      <c r="AD561" s="25">
        <v>-59.937500000000021</v>
      </c>
      <c r="AE561" s="25">
        <v>-266.17500000000001</v>
      </c>
      <c r="AF561" s="25">
        <v>-435.76666666666665</v>
      </c>
      <c r="AG561" s="25">
        <v>-293.7</v>
      </c>
      <c r="AH561" s="25">
        <v>-12.025000000000004</v>
      </c>
      <c r="AI561" s="25">
        <v>-14.500000000000009</v>
      </c>
      <c r="AJ561" s="25">
        <v>-25.752083333333356</v>
      </c>
      <c r="AK561" s="25">
        <v>-41.056249999999991</v>
      </c>
      <c r="AL561" s="25">
        <v>12.685416666666667</v>
      </c>
      <c r="AM561" s="25">
        <v>12.129166666666672</v>
      </c>
      <c r="AN561" s="25">
        <v>11.912499999999996</v>
      </c>
      <c r="AO561" s="25">
        <v>11.929166666666665</v>
      </c>
      <c r="AP561" s="25">
        <v>13.393750000000004</v>
      </c>
      <c r="AQ561" s="25">
        <v>12.5625</v>
      </c>
      <c r="AR561" s="25">
        <v>12.147916666666674</v>
      </c>
      <c r="AS561" s="25">
        <v>11.933333333333332</v>
      </c>
      <c r="AT561" s="25">
        <v>0.37949999999999995</v>
      </c>
      <c r="AU561" s="25">
        <v>0.22925925925925941</v>
      </c>
      <c r="AV561" s="25">
        <v>0.3437291666666667</v>
      </c>
      <c r="AW561" s="25">
        <v>-21.730208333333334</v>
      </c>
      <c r="AX561" s="25">
        <v>-16.427500000000006</v>
      </c>
      <c r="AY561" s="25"/>
      <c r="AZ561" s="25"/>
      <c r="BA561" s="25">
        <v>-10.358333333333329</v>
      </c>
      <c r="BB561" s="25"/>
      <c r="BC561" s="25"/>
      <c r="BD561" s="25">
        <v>12.970833333333337</v>
      </c>
      <c r="BE561" s="25"/>
    </row>
    <row r="562" spans="1:57" x14ac:dyDescent="0.25">
      <c r="A562" s="1">
        <v>22.4</v>
      </c>
      <c r="B562" s="1">
        <v>13.2</v>
      </c>
      <c r="C562" s="22"/>
      <c r="D562" s="23">
        <v>44269</v>
      </c>
      <c r="E562" s="24">
        <v>149.39583333333334</v>
      </c>
      <c r="F562" s="24">
        <v>82.860416666666666</v>
      </c>
      <c r="G562" s="24">
        <v>16.62083333333333</v>
      </c>
      <c r="H562" s="24">
        <v>0.4</v>
      </c>
      <c r="I562" s="24">
        <v>230.70833333333334</v>
      </c>
      <c r="J562" s="24">
        <v>17</v>
      </c>
      <c r="K562" s="24">
        <v>3.625</v>
      </c>
      <c r="L562" s="24">
        <v>13.497916666666669</v>
      </c>
      <c r="M562" s="10">
        <v>0.37454488342155962</v>
      </c>
      <c r="N562" s="25">
        <v>0.36460416666666667</v>
      </c>
      <c r="O562" s="25">
        <v>0.39731250000000001</v>
      </c>
      <c r="P562" s="25">
        <v>0.46220833333333328</v>
      </c>
      <c r="Q562" s="25">
        <v>0.43012500000000004</v>
      </c>
      <c r="R562" s="25">
        <v>0.46481250000000007</v>
      </c>
      <c r="S562" s="25">
        <v>0.35768749999999988</v>
      </c>
      <c r="T562" s="25">
        <v>0.33893750000000017</v>
      </c>
      <c r="U562" s="25">
        <v>0.28220833333333317</v>
      </c>
      <c r="V562" s="25">
        <v>-43.499999999999993</v>
      </c>
      <c r="W562" s="25">
        <v>-89.987499999999997</v>
      </c>
      <c r="X562" s="25">
        <v>-51.404791666666654</v>
      </c>
      <c r="Y562" s="25">
        <v>-104.82291666666669</v>
      </c>
      <c r="Z562" s="25">
        <v>-35.799999999999997</v>
      </c>
      <c r="AA562" s="25">
        <v>-103.10208333333333</v>
      </c>
      <c r="AB562" s="25">
        <v>-130.96875</v>
      </c>
      <c r="AC562" s="25">
        <v>-105.24999999999996</v>
      </c>
      <c r="AD562" s="25">
        <v>-61.44166666666667</v>
      </c>
      <c r="AE562" s="25">
        <v>-261.38541666666669</v>
      </c>
      <c r="AF562" s="25">
        <v>-420.42499999999995</v>
      </c>
      <c r="AG562" s="25">
        <v>-292.46458333333334</v>
      </c>
      <c r="AH562" s="25">
        <v>-12.275000000000004</v>
      </c>
      <c r="AI562" s="25">
        <v>-14.997916666666663</v>
      </c>
      <c r="AJ562" s="25">
        <v>-26.191666666666674</v>
      </c>
      <c r="AK562" s="25">
        <v>-41.239583333333321</v>
      </c>
      <c r="AL562" s="25">
        <v>14.006249999999994</v>
      </c>
      <c r="AM562" s="25">
        <v>12.866666666666662</v>
      </c>
      <c r="AN562" s="25">
        <v>12.329166666666664</v>
      </c>
      <c r="AO562" s="25">
        <v>12.222916666666663</v>
      </c>
      <c r="AP562" s="25">
        <v>15.083333333333334</v>
      </c>
      <c r="AQ562" s="25">
        <v>13.68125</v>
      </c>
      <c r="AR562" s="25">
        <v>12.952083333333336</v>
      </c>
      <c r="AS562" s="25">
        <v>12.604166666666671</v>
      </c>
      <c r="AT562" s="25">
        <v>0.37941666666666668</v>
      </c>
      <c r="AU562" s="25">
        <v>0.2205</v>
      </c>
      <c r="AV562" s="25">
        <v>0.3411249999999999</v>
      </c>
      <c r="AW562" s="25">
        <v>-21.620208333333334</v>
      </c>
      <c r="AX562" s="25">
        <v>-16.253958333333337</v>
      </c>
      <c r="AY562" s="25">
        <v>-257.2</v>
      </c>
      <c r="AZ562" s="25"/>
      <c r="BA562" s="25">
        <v>-10.497916666666665</v>
      </c>
      <c r="BB562" s="25"/>
      <c r="BC562" s="25"/>
      <c r="BD562" s="25">
        <v>14.37291666666667</v>
      </c>
      <c r="BE562" s="25"/>
    </row>
    <row r="563" spans="1:57" x14ac:dyDescent="0.25">
      <c r="A563" s="1">
        <v>28</v>
      </c>
      <c r="B563" s="1">
        <v>14.2</v>
      </c>
      <c r="C563" s="22"/>
      <c r="D563" s="23">
        <v>44270</v>
      </c>
      <c r="E563" s="24">
        <v>193.85416666666666</v>
      </c>
      <c r="F563" s="24">
        <v>71.341666666666669</v>
      </c>
      <c r="G563" s="24">
        <v>19.283333333333335</v>
      </c>
      <c r="H563" s="24">
        <v>0</v>
      </c>
      <c r="I563" s="24">
        <v>234.22916666666666</v>
      </c>
      <c r="J563" s="24">
        <v>9.3125</v>
      </c>
      <c r="K563" s="24">
        <v>1.4166666666666667</v>
      </c>
      <c r="L563" s="24">
        <v>13.477083333333335</v>
      </c>
      <c r="M563" s="10">
        <v>0.7559690671996645</v>
      </c>
      <c r="N563" s="25">
        <v>0.36547916666666658</v>
      </c>
      <c r="O563" s="25">
        <v>0.40083333333333332</v>
      </c>
      <c r="P563" s="25">
        <v>0.46714583333333332</v>
      </c>
      <c r="Q563" s="25">
        <v>0.43352083333333291</v>
      </c>
      <c r="R563" s="25">
        <v>0.47095833333333331</v>
      </c>
      <c r="S563" s="25">
        <v>0.36037500000000006</v>
      </c>
      <c r="T563" s="25">
        <v>0.3415000000000003</v>
      </c>
      <c r="U563" s="25">
        <v>0.28404166666666675</v>
      </c>
      <c r="V563" s="25">
        <v>-40.405416666666667</v>
      </c>
      <c r="W563" s="25">
        <v>-90.264583333333306</v>
      </c>
      <c r="X563" s="25">
        <v>-48.92895833333332</v>
      </c>
      <c r="Y563" s="25">
        <v>-100.35625</v>
      </c>
      <c r="Z563" s="25">
        <v>-36.157916666666658</v>
      </c>
      <c r="AA563" s="25">
        <v>-99.352083333333326</v>
      </c>
      <c r="AB563" s="25">
        <v>-126.19374999999998</v>
      </c>
      <c r="AC563" s="25">
        <v>-101.34791666666666</v>
      </c>
      <c r="AD563" s="25">
        <v>-64.160416666666649</v>
      </c>
      <c r="AE563" s="25">
        <v>-258.67291666666665</v>
      </c>
      <c r="AF563" s="25">
        <v>-402.87083333333322</v>
      </c>
      <c r="AG563" s="25">
        <v>-292.21249999999998</v>
      </c>
      <c r="AH563" s="25">
        <v>-12.783333333333326</v>
      </c>
      <c r="AI563" s="25">
        <v>-16.254166666666666</v>
      </c>
      <c r="AJ563" s="25">
        <v>-27.010416666666661</v>
      </c>
      <c r="AK563" s="25">
        <v>-41.695833333333354</v>
      </c>
      <c r="AL563" s="25">
        <v>15.702083333333336</v>
      </c>
      <c r="AM563" s="25">
        <v>13.981250000000001</v>
      </c>
      <c r="AN563" s="25">
        <v>12.99791666666667</v>
      </c>
      <c r="AO563" s="25">
        <v>12.70833333333333</v>
      </c>
      <c r="AP563" s="25">
        <v>17.106250000000003</v>
      </c>
      <c r="AQ563" s="25">
        <v>15.129166666666663</v>
      </c>
      <c r="AR563" s="25">
        <v>14.124999999999995</v>
      </c>
      <c r="AS563" s="25">
        <v>13.562500000000005</v>
      </c>
      <c r="AT563" s="25">
        <v>0.37616666666666654</v>
      </c>
      <c r="AU563" s="25">
        <v>0.21783333333333335</v>
      </c>
      <c r="AV563" s="25">
        <v>0.3322500000000001</v>
      </c>
      <c r="AW563" s="25">
        <v>-38.992291666666667</v>
      </c>
      <c r="AX563" s="25">
        <v>-16.108124999999998</v>
      </c>
      <c r="AY563" s="25">
        <v>-98.84666666666665</v>
      </c>
      <c r="AZ563" s="25"/>
      <c r="BA563" s="25">
        <v>-11.404166666666663</v>
      </c>
      <c r="BB563" s="25"/>
      <c r="BC563" s="25"/>
      <c r="BD563" s="25">
        <v>15.462499999999999</v>
      </c>
      <c r="BE563" s="25"/>
    </row>
    <row r="564" spans="1:57" x14ac:dyDescent="0.25">
      <c r="A564" s="1">
        <v>24.8</v>
      </c>
      <c r="B564" s="1">
        <v>15.2</v>
      </c>
      <c r="C564" s="22"/>
      <c r="D564" s="23">
        <v>44271</v>
      </c>
      <c r="E564" s="24">
        <v>173.41666666666666</v>
      </c>
      <c r="F564" s="24">
        <v>76.772916666666688</v>
      </c>
      <c r="G564" s="24">
        <v>19.112500000000004</v>
      </c>
      <c r="H564" s="24">
        <v>0</v>
      </c>
      <c r="I564" s="24">
        <v>232.83333333333334</v>
      </c>
      <c r="J564" s="24">
        <v>11.458333333333334</v>
      </c>
      <c r="K564" s="24">
        <v>1.9791666666666667</v>
      </c>
      <c r="L564" s="24">
        <v>14.681250000000004</v>
      </c>
      <c r="M564" s="10">
        <v>0.57917474797373059</v>
      </c>
      <c r="N564" s="25">
        <v>0.36437499999999989</v>
      </c>
      <c r="O564" s="25">
        <v>0.40385416666666701</v>
      </c>
      <c r="P564" s="25">
        <v>0.47125000000000011</v>
      </c>
      <c r="Q564" s="25">
        <v>0.43760416666666685</v>
      </c>
      <c r="R564" s="25">
        <v>0.47435416666666669</v>
      </c>
      <c r="S564" s="25">
        <v>0.36262500000000003</v>
      </c>
      <c r="T564" s="25">
        <v>0.34399999999999992</v>
      </c>
      <c r="U564" s="25">
        <v>0.28606250000000011</v>
      </c>
      <c r="V564" s="25">
        <v>-39.759374999999999</v>
      </c>
      <c r="W564" s="25">
        <v>-92.891666666666694</v>
      </c>
      <c r="X564" s="25">
        <v>-46.841458333333328</v>
      </c>
      <c r="Y564" s="25">
        <v>-95.835416666666632</v>
      </c>
      <c r="Z564" s="25">
        <v>-37.879791666666669</v>
      </c>
      <c r="AA564" s="25">
        <v>-97.899999999999977</v>
      </c>
      <c r="AB564" s="25">
        <v>-121.58541666666669</v>
      </c>
      <c r="AC564" s="25">
        <v>-97.337499999999963</v>
      </c>
      <c r="AD564" s="25">
        <v>-67.502083333333346</v>
      </c>
      <c r="AE564" s="25">
        <v>-261.08958333333334</v>
      </c>
      <c r="AF564" s="25">
        <v>-382.75833333333344</v>
      </c>
      <c r="AG564" s="25">
        <v>-289.47499999999997</v>
      </c>
      <c r="AH564" s="25">
        <v>-13.502083333333331</v>
      </c>
      <c r="AI564" s="25">
        <v>-18.764583333333334</v>
      </c>
      <c r="AJ564" s="25">
        <v>-28.139583333333331</v>
      </c>
      <c r="AK564" s="25">
        <v>-42.506250000000016</v>
      </c>
      <c r="AL564" s="25">
        <v>16.783333333333335</v>
      </c>
      <c r="AM564" s="25">
        <v>15.085416666666665</v>
      </c>
      <c r="AN564" s="25">
        <v>13.881250000000001</v>
      </c>
      <c r="AO564" s="25">
        <v>13.372916666666669</v>
      </c>
      <c r="AP564" s="25">
        <v>17.993749999999999</v>
      </c>
      <c r="AQ564" s="25">
        <v>16.258333333333333</v>
      </c>
      <c r="AR564" s="25">
        <v>15.214583333333337</v>
      </c>
      <c r="AS564" s="25">
        <v>14.62708333333334</v>
      </c>
      <c r="AT564" s="25">
        <v>0.36935714285714288</v>
      </c>
      <c r="AU564" s="25">
        <v>0.19474999999999998</v>
      </c>
      <c r="AV564" s="25">
        <v>0.3171041666666668</v>
      </c>
      <c r="AW564" s="25">
        <v>-50.793541666666677</v>
      </c>
      <c r="AX564" s="25">
        <v>-16.170833333333331</v>
      </c>
      <c r="AY564" s="25">
        <v>-63.356250000000003</v>
      </c>
      <c r="AZ564" s="25"/>
      <c r="BA564" s="25">
        <v>-17.702083333333338</v>
      </c>
      <c r="BB564" s="25"/>
      <c r="BC564" s="25"/>
      <c r="BD564" s="25">
        <v>15.856250000000005</v>
      </c>
      <c r="BE564" s="25"/>
    </row>
    <row r="565" spans="1:57" x14ac:dyDescent="0.25">
      <c r="A565" s="1">
        <v>27.4</v>
      </c>
      <c r="B565" s="1">
        <v>15.8</v>
      </c>
      <c r="C565" s="22"/>
      <c r="D565" s="23">
        <v>44272</v>
      </c>
      <c r="E565" s="24">
        <v>213.52083333333334</v>
      </c>
      <c r="F565" s="24">
        <v>71.218749999999986</v>
      </c>
      <c r="G565" s="24">
        <v>20.668749999999999</v>
      </c>
      <c r="H565" s="24">
        <v>0</v>
      </c>
      <c r="I565" s="24">
        <v>234.79166666666666</v>
      </c>
      <c r="J565" s="24">
        <v>15.895833333333334</v>
      </c>
      <c r="K565" s="24">
        <v>3.4791666666666665</v>
      </c>
      <c r="L565" s="24">
        <v>14.797916666666667</v>
      </c>
      <c r="M565" s="10">
        <v>0.81254563463007956</v>
      </c>
      <c r="N565" s="25">
        <v>0.36154166666666665</v>
      </c>
      <c r="O565" s="25">
        <v>0.40520833333333311</v>
      </c>
      <c r="P565" s="25">
        <v>0.4741666666666669</v>
      </c>
      <c r="Q565" s="25">
        <v>0.44108333333333366</v>
      </c>
      <c r="R565" s="25">
        <v>0.47539583333333368</v>
      </c>
      <c r="S565" s="25">
        <v>0.36256250000000007</v>
      </c>
      <c r="T565" s="25">
        <v>0.34597916666666673</v>
      </c>
      <c r="U565" s="25">
        <v>0.28754166666666675</v>
      </c>
      <c r="V565" s="25">
        <v>-41.83958333333333</v>
      </c>
      <c r="W565" s="25">
        <v>-97.956249999999997</v>
      </c>
      <c r="X565" s="25">
        <v>-45.685833333333356</v>
      </c>
      <c r="Y565" s="25">
        <v>-92.175000000000026</v>
      </c>
      <c r="Z565" s="25">
        <v>-39.820208333333333</v>
      </c>
      <c r="AA565" s="25">
        <v>-98.420833333333334</v>
      </c>
      <c r="AB565" s="25">
        <v>-119.06041666666671</v>
      </c>
      <c r="AC565" s="25">
        <v>-94.725000000000023</v>
      </c>
      <c r="AD565" s="25">
        <v>-71.68125000000002</v>
      </c>
      <c r="AE565" s="25">
        <v>-268.44791666666657</v>
      </c>
      <c r="AF565" s="25">
        <v>-377.83541666666679</v>
      </c>
      <c r="AG565" s="25">
        <v>-289.58958333333334</v>
      </c>
      <c r="AH565" s="25">
        <v>-14.731249999999998</v>
      </c>
      <c r="AI565" s="25">
        <v>-22.141666666666666</v>
      </c>
      <c r="AJ565" s="25">
        <v>-29.420833333333345</v>
      </c>
      <c r="AK565" s="25">
        <v>-44.041666666666679</v>
      </c>
      <c r="AL565" s="25">
        <v>17.556249999999995</v>
      </c>
      <c r="AM565" s="25">
        <v>15.814583333333337</v>
      </c>
      <c r="AN565" s="25">
        <v>14.566666666666677</v>
      </c>
      <c r="AO565" s="25">
        <v>14.035416666666677</v>
      </c>
      <c r="AP565" s="25">
        <v>18.791666666666668</v>
      </c>
      <c r="AQ565" s="25">
        <v>16.977083333333326</v>
      </c>
      <c r="AR565" s="25">
        <v>15.920833333333329</v>
      </c>
      <c r="AS565" s="25">
        <v>15.337500000000006</v>
      </c>
      <c r="AT565" s="25">
        <v>0.36287499999999989</v>
      </c>
      <c r="AU565" s="25">
        <v>0.19091428571428573</v>
      </c>
      <c r="AV565" s="25">
        <v>0.29943750000000008</v>
      </c>
      <c r="AW565" s="25">
        <v>-43.69979166666667</v>
      </c>
      <c r="AX565" s="25">
        <v>-16.554166666666667</v>
      </c>
      <c r="AY565" s="25">
        <v>-78.247142857142862</v>
      </c>
      <c r="AZ565" s="25"/>
      <c r="BA565" s="25">
        <v>-28.295833333333334</v>
      </c>
      <c r="BB565" s="25"/>
      <c r="BC565" s="25"/>
      <c r="BD565" s="25">
        <v>16.552083333333332</v>
      </c>
      <c r="BE565" s="25"/>
    </row>
    <row r="566" spans="1:57" x14ac:dyDescent="0.25">
      <c r="A566" s="1">
        <v>28.4</v>
      </c>
      <c r="B566" s="1">
        <v>14.9</v>
      </c>
      <c r="C566" s="22"/>
      <c r="D566" s="23">
        <v>44273</v>
      </c>
      <c r="E566" s="24">
        <v>218.1875</v>
      </c>
      <c r="F566" s="24">
        <v>64.377083333333346</v>
      </c>
      <c r="G566" s="24">
        <v>21.5625</v>
      </c>
      <c r="H566" s="24">
        <v>0</v>
      </c>
      <c r="I566" s="24">
        <v>232.5625</v>
      </c>
      <c r="J566" s="24">
        <v>15.5</v>
      </c>
      <c r="K566" s="24">
        <v>3.8541666666666665</v>
      </c>
      <c r="L566" s="24">
        <v>13.589583333333332</v>
      </c>
      <c r="M566" s="10">
        <v>1.0894872885038709</v>
      </c>
      <c r="N566" s="25">
        <v>0.35583333333333339</v>
      </c>
      <c r="O566" s="25">
        <v>0.40450000000000008</v>
      </c>
      <c r="P566" s="25">
        <v>0.47535416666666669</v>
      </c>
      <c r="Q566" s="25">
        <v>0.44466666666666682</v>
      </c>
      <c r="R566" s="25">
        <v>0.47343750000000001</v>
      </c>
      <c r="S566" s="25">
        <v>0.36022916666666688</v>
      </c>
      <c r="T566" s="25">
        <v>0.3469999999999997</v>
      </c>
      <c r="U566" s="25">
        <v>0.28906249999999972</v>
      </c>
      <c r="V566" s="25">
        <v>-45.189375000000005</v>
      </c>
      <c r="W566" s="25">
        <v>-105.10625</v>
      </c>
      <c r="X566" s="25">
        <v>-45.051458333333336</v>
      </c>
      <c r="Y566" s="25">
        <v>-89.077083333333363</v>
      </c>
      <c r="Z566" s="25">
        <v>-42.499374999999993</v>
      </c>
      <c r="AA566" s="25">
        <v>-99.904166666666654</v>
      </c>
      <c r="AB566" s="25">
        <v>-117.27291666666662</v>
      </c>
      <c r="AC566" s="25">
        <v>-92.960416666666688</v>
      </c>
      <c r="AD566" s="25">
        <v>-83.170833333333306</v>
      </c>
      <c r="AE566" s="25">
        <v>-278.68124999999998</v>
      </c>
      <c r="AF566" s="25">
        <v>-387.31458333333336</v>
      </c>
      <c r="AG566" s="25">
        <v>-292.72083333333325</v>
      </c>
      <c r="AH566" s="25">
        <v>-17.822916666666668</v>
      </c>
      <c r="AI566" s="25">
        <v>-26.589583333333337</v>
      </c>
      <c r="AJ566" s="25">
        <v>-31.564583333333321</v>
      </c>
      <c r="AK566" s="25">
        <v>-47.464583333333337</v>
      </c>
      <c r="AL566" s="25">
        <v>18.022916666666671</v>
      </c>
      <c r="AM566" s="25">
        <v>16.422916666666662</v>
      </c>
      <c r="AN566" s="25">
        <v>15.154166666666663</v>
      </c>
      <c r="AO566" s="25">
        <v>14.587500000000006</v>
      </c>
      <c r="AP566" s="25">
        <v>18.977083333333336</v>
      </c>
      <c r="AQ566" s="25">
        <v>17.450000000000003</v>
      </c>
      <c r="AR566" s="25">
        <v>16.483333333333327</v>
      </c>
      <c r="AS566" s="25">
        <v>15.939583333333331</v>
      </c>
      <c r="AT566" s="25">
        <v>0.35208695652173916</v>
      </c>
      <c r="AU566" s="25">
        <v>0.17213157894736839</v>
      </c>
      <c r="AV566" s="25">
        <v>0.2765833333333334</v>
      </c>
      <c r="AW566" s="25">
        <v>-68.71041666666666</v>
      </c>
      <c r="AX566" s="25">
        <v>-20.304166666666667</v>
      </c>
      <c r="AY566" s="25">
        <v>-88.607692307692332</v>
      </c>
      <c r="AZ566" s="25"/>
      <c r="BA566" s="25">
        <v>-54.387499999999996</v>
      </c>
      <c r="BB566" s="25"/>
      <c r="BC566" s="25"/>
      <c r="BD566" s="25">
        <v>16.760416666666661</v>
      </c>
      <c r="BE566" s="25"/>
    </row>
    <row r="567" spans="1:57" x14ac:dyDescent="0.25">
      <c r="A567" s="1">
        <v>28.8</v>
      </c>
      <c r="B567" s="1">
        <v>14.3</v>
      </c>
      <c r="C567" s="22"/>
      <c r="D567" s="23">
        <v>44274</v>
      </c>
      <c r="E567" s="24">
        <v>218.625</v>
      </c>
      <c r="F567" s="24">
        <v>65.500000000000014</v>
      </c>
      <c r="G567" s="24">
        <v>21.112500000000001</v>
      </c>
      <c r="H567" s="24">
        <v>0</v>
      </c>
      <c r="I567" s="24">
        <v>225.14583333333334</v>
      </c>
      <c r="J567" s="24">
        <v>11.375</v>
      </c>
      <c r="K567" s="24">
        <v>1.9375</v>
      </c>
      <c r="L567" s="24">
        <v>13.816666666666668</v>
      </c>
      <c r="M567" s="10">
        <v>1.0033001460892483</v>
      </c>
      <c r="N567" s="25">
        <v>0.34745833333333348</v>
      </c>
      <c r="O567" s="25">
        <v>0.4017916666666666</v>
      </c>
      <c r="P567" s="25">
        <v>0.47445833333333326</v>
      </c>
      <c r="Q567" s="25">
        <v>0.4462916666666667</v>
      </c>
      <c r="R567" s="25">
        <v>0.46850000000000014</v>
      </c>
      <c r="S567" s="25">
        <v>0.35629166666666645</v>
      </c>
      <c r="T567" s="25">
        <v>0.34666666666666651</v>
      </c>
      <c r="U567" s="25">
        <v>0.289833333333333</v>
      </c>
      <c r="V567" s="25">
        <v>-49.725833333333334</v>
      </c>
      <c r="W567" s="25">
        <v>-114.99791666666664</v>
      </c>
      <c r="X567" s="25">
        <v>-45.113333333333337</v>
      </c>
      <c r="Y567" s="25">
        <v>-86.752083333333303</v>
      </c>
      <c r="Z567" s="25">
        <v>-45.64083333333334</v>
      </c>
      <c r="AA567" s="25">
        <v>-102.325</v>
      </c>
      <c r="AB567" s="25">
        <v>-112.96250000000003</v>
      </c>
      <c r="AC567" s="25">
        <v>-92.485416666666637</v>
      </c>
      <c r="AD567" s="25">
        <v>-116.88749999999997</v>
      </c>
      <c r="AE567" s="25">
        <v>-296.72291666666661</v>
      </c>
      <c r="AF567" s="25">
        <v>-410.14166666666659</v>
      </c>
      <c r="AG567" s="25">
        <v>-300.36666666666673</v>
      </c>
      <c r="AH567" s="25">
        <v>-27.725000000000009</v>
      </c>
      <c r="AI567" s="25">
        <v>-34.979166666666664</v>
      </c>
      <c r="AJ567" s="25">
        <v>-36.349999999999994</v>
      </c>
      <c r="AK567" s="25">
        <v>-50.806249999999984</v>
      </c>
      <c r="AL567" s="25">
        <v>18.279166666666665</v>
      </c>
      <c r="AM567" s="25">
        <v>16.806250000000009</v>
      </c>
      <c r="AN567" s="25">
        <v>15.581250000000017</v>
      </c>
      <c r="AO567" s="25">
        <v>15.025000000000015</v>
      </c>
      <c r="AP567" s="25">
        <v>19.152083333333334</v>
      </c>
      <c r="AQ567" s="25">
        <v>17.724999999999998</v>
      </c>
      <c r="AR567" s="25">
        <v>16.812500000000007</v>
      </c>
      <c r="AS567" s="25">
        <v>16.324999999999999</v>
      </c>
      <c r="AT567" s="25">
        <v>0.33887500000000004</v>
      </c>
      <c r="AU567" s="25">
        <v>0.16162499999999996</v>
      </c>
      <c r="AV567" s="25">
        <v>0.25481249999999994</v>
      </c>
      <c r="AW567" s="25">
        <v>-110.41187499999999</v>
      </c>
      <c r="AX567" s="25">
        <v>-34.265625</v>
      </c>
      <c r="AY567" s="25">
        <v>-96.214634146341439</v>
      </c>
      <c r="AZ567" s="25"/>
      <c r="BA567" s="25">
        <v>-148.47916666666666</v>
      </c>
      <c r="BB567" s="25"/>
      <c r="BC567" s="25"/>
      <c r="BD567" s="25">
        <v>16.929166666666667</v>
      </c>
      <c r="BE567" s="25"/>
    </row>
    <row r="568" spans="1:57" x14ac:dyDescent="0.25">
      <c r="A568" s="1">
        <v>16.100000000000001</v>
      </c>
      <c r="B568" s="1">
        <v>7.4</v>
      </c>
      <c r="C568" s="22"/>
      <c r="D568" s="23">
        <v>44275</v>
      </c>
      <c r="E568" s="24">
        <v>46.1875</v>
      </c>
      <c r="F568" s="24">
        <v>83.30625000000002</v>
      </c>
      <c r="G568" s="24">
        <v>12.566666666666672</v>
      </c>
      <c r="H568" s="24">
        <v>0</v>
      </c>
      <c r="I568" s="24">
        <v>209.16666666666666</v>
      </c>
      <c r="J568" s="24">
        <v>6.291666666666667</v>
      </c>
      <c r="K568" s="24">
        <v>0.16666666666666666</v>
      </c>
      <c r="L568" s="24">
        <v>9.7833333333333332</v>
      </c>
      <c r="M568" s="10">
        <v>0.24797426534023737</v>
      </c>
      <c r="N568" s="25">
        <v>0.33710416666666682</v>
      </c>
      <c r="O568" s="25">
        <v>0.39806250000000015</v>
      </c>
      <c r="P568" s="25">
        <v>0.47264583333333338</v>
      </c>
      <c r="Q568" s="25">
        <v>0.44731249999999984</v>
      </c>
      <c r="R568" s="25">
        <v>0.4606458333333332</v>
      </c>
      <c r="S568" s="25">
        <v>0.35252083333333317</v>
      </c>
      <c r="T568" s="25">
        <v>0.3460625</v>
      </c>
      <c r="U568" s="25">
        <v>0.28999999999999965</v>
      </c>
      <c r="V568" s="25">
        <v>-58.80916666666667</v>
      </c>
      <c r="W568" s="25">
        <v>-133.55833333333331</v>
      </c>
      <c r="X568" s="25">
        <v>-45.932916666666664</v>
      </c>
      <c r="Y568" s="25">
        <v>-85.143749999999969</v>
      </c>
      <c r="Z568" s="25">
        <v>-51.127708333333338</v>
      </c>
      <c r="AA568" s="25">
        <v>-106.2520833333333</v>
      </c>
      <c r="AB568" s="25">
        <v>-113.96041666666669</v>
      </c>
      <c r="AC568" s="25">
        <v>-93.139583333333306</v>
      </c>
      <c r="AD568" s="25">
        <v>-156.31875000000002</v>
      </c>
      <c r="AE568" s="25">
        <v>-315.82708333333335</v>
      </c>
      <c r="AF568" s="25">
        <v>-417.16458333333321</v>
      </c>
      <c r="AG568" s="25">
        <v>-298.24375000000003</v>
      </c>
      <c r="AH568" s="25">
        <v>-43.464583333333337</v>
      </c>
      <c r="AI568" s="25">
        <v>-43.937500000000007</v>
      </c>
      <c r="AJ568" s="25">
        <v>-41.500000000000007</v>
      </c>
      <c r="AK568" s="25">
        <v>-52.804166666666653</v>
      </c>
      <c r="AL568" s="25">
        <v>17.456250000000001</v>
      </c>
      <c r="AM568" s="25">
        <v>16.887500000000003</v>
      </c>
      <c r="AN568" s="25">
        <v>15.87916666666665</v>
      </c>
      <c r="AO568" s="25">
        <v>15.354166666666655</v>
      </c>
      <c r="AP568" s="25">
        <v>17.297916666666669</v>
      </c>
      <c r="AQ568" s="25">
        <v>17.408333333333335</v>
      </c>
      <c r="AR568" s="25">
        <v>16.906250000000004</v>
      </c>
      <c r="AS568" s="25">
        <v>16.541666666666661</v>
      </c>
      <c r="AT568" s="25">
        <v>0.3232916666666667</v>
      </c>
      <c r="AU568" s="25">
        <v>0.14929032258064515</v>
      </c>
      <c r="AV568" s="25">
        <v>0.23935416666666667</v>
      </c>
      <c r="AW568" s="25">
        <v>-269.97500000000008</v>
      </c>
      <c r="AX568" s="25">
        <v>-49.140625000000007</v>
      </c>
      <c r="AY568" s="25">
        <v>-104.48124999999999</v>
      </c>
      <c r="AZ568" s="25"/>
      <c r="BA568" s="25">
        <v>-371.71458333333334</v>
      </c>
      <c r="BB568" s="25"/>
      <c r="BC568" s="25"/>
      <c r="BD568" s="25">
        <v>14.80625</v>
      </c>
      <c r="BE568" s="25"/>
    </row>
    <row r="569" spans="1:57" x14ac:dyDescent="0.25">
      <c r="A569" s="1">
        <v>7.3</v>
      </c>
      <c r="B569" s="1">
        <v>3.3</v>
      </c>
      <c r="C569" s="22"/>
      <c r="D569" s="23">
        <v>44276</v>
      </c>
      <c r="E569" s="24">
        <v>27.5</v>
      </c>
      <c r="F569" s="24">
        <v>83.668750000000003</v>
      </c>
      <c r="G569" s="24">
        <v>5.9020833333333345</v>
      </c>
      <c r="H569" s="24">
        <v>0.89999999999999991</v>
      </c>
      <c r="I569" s="24">
        <v>223.85416666666666</v>
      </c>
      <c r="J569" s="24">
        <v>6.9375</v>
      </c>
      <c r="K569" s="24">
        <v>6.25E-2</v>
      </c>
      <c r="L569" s="24">
        <v>3.3208333333333329</v>
      </c>
      <c r="M569" s="10">
        <v>0.15368136657518403</v>
      </c>
      <c r="N569" s="25">
        <v>0.32395833333333329</v>
      </c>
      <c r="O569" s="25">
        <v>0.38864583333333336</v>
      </c>
      <c r="P569" s="25">
        <v>0.46552083333333316</v>
      </c>
      <c r="Q569" s="25">
        <v>0.44560416666666641</v>
      </c>
      <c r="R569" s="25">
        <v>0.44716666666666666</v>
      </c>
      <c r="S569" s="25">
        <v>0.34658333333333341</v>
      </c>
      <c r="T569" s="25">
        <v>0.3437708333333333</v>
      </c>
      <c r="U569" s="25">
        <v>0.28993749999999968</v>
      </c>
      <c r="V569" s="25">
        <v>-71.39791666666666</v>
      </c>
      <c r="W569" s="25">
        <v>-152.89583333333337</v>
      </c>
      <c r="X569" s="25">
        <v>-49.287083333333335</v>
      </c>
      <c r="Y569" s="25">
        <v>-86.302083333333314</v>
      </c>
      <c r="Z569" s="25">
        <v>-57.453958333333361</v>
      </c>
      <c r="AA569" s="25">
        <v>-113.34166666666668</v>
      </c>
      <c r="AB569" s="25">
        <v>-119.38333333333334</v>
      </c>
      <c r="AC569" s="25">
        <v>-96.622916666666654</v>
      </c>
      <c r="AD569" s="25">
        <v>-181.33750000000001</v>
      </c>
      <c r="AE569" s="25">
        <v>-345.77291666666662</v>
      </c>
      <c r="AF569" s="25">
        <v>-435.70416666666688</v>
      </c>
      <c r="AG569" s="25">
        <v>-295.38541666666669</v>
      </c>
      <c r="AH569" s="25">
        <v>-51.954166666666659</v>
      </c>
      <c r="AI569" s="25">
        <v>-47.82916666666668</v>
      </c>
      <c r="AJ569" s="25">
        <v>-44.960416666666674</v>
      </c>
      <c r="AK569" s="25">
        <v>-55.881250000000001</v>
      </c>
      <c r="AL569" s="25">
        <v>14.8375</v>
      </c>
      <c r="AM569" s="25">
        <v>15.602083333333335</v>
      </c>
      <c r="AN569" s="25">
        <v>15.462500000000004</v>
      </c>
      <c r="AO569" s="25">
        <v>15.258333333333342</v>
      </c>
      <c r="AP569" s="25">
        <v>13.425000000000002</v>
      </c>
      <c r="AQ569" s="25">
        <v>15.072916666666666</v>
      </c>
      <c r="AR569" s="25">
        <v>15.410416666666668</v>
      </c>
      <c r="AS569" s="25">
        <v>15.516666666666667</v>
      </c>
      <c r="AT569" s="25">
        <v>0.31187499999999996</v>
      </c>
      <c r="AU569" s="25">
        <v>0.14599999999999999</v>
      </c>
      <c r="AV569" s="25">
        <v>0.23243749999999999</v>
      </c>
      <c r="AW569" s="25">
        <v>-177.84166666666658</v>
      </c>
      <c r="AX569" s="25">
        <v>-54.310416666666669</v>
      </c>
      <c r="AY569" s="25">
        <v>-112.57083333333337</v>
      </c>
      <c r="AZ569" s="25"/>
      <c r="BA569" s="25">
        <v>-478.20416666666659</v>
      </c>
      <c r="BB569" s="25"/>
      <c r="BC569" s="25"/>
      <c r="BD569" s="25">
        <v>11.916666666666663</v>
      </c>
      <c r="BE569" s="25"/>
    </row>
    <row r="570" spans="1:57" x14ac:dyDescent="0.25">
      <c r="A570" s="1">
        <v>8.1999999999999993</v>
      </c>
      <c r="B570" s="1">
        <v>3.1</v>
      </c>
      <c r="C570" s="22"/>
      <c r="D570" s="23">
        <v>44277</v>
      </c>
      <c r="E570" s="24">
        <v>52.708333333333336</v>
      </c>
      <c r="F570" s="24">
        <v>74.237499999999997</v>
      </c>
      <c r="G570" s="24">
        <v>5.3166666666666664</v>
      </c>
      <c r="H570" s="24">
        <v>0</v>
      </c>
      <c r="I570" s="24">
        <v>208.5</v>
      </c>
      <c r="J570" s="24">
        <v>2.7708333333333335</v>
      </c>
      <c r="K570" s="24">
        <v>0</v>
      </c>
      <c r="L570" s="24">
        <v>0.83958333333333313</v>
      </c>
      <c r="M570" s="10">
        <v>0.24622608272861604</v>
      </c>
      <c r="N570" s="25">
        <v>0.31562500000000004</v>
      </c>
      <c r="O570" s="25">
        <v>0.38002083333333331</v>
      </c>
      <c r="P570" s="25">
        <v>0.45712499999999978</v>
      </c>
      <c r="Q570" s="25">
        <v>0.4409583333333334</v>
      </c>
      <c r="R570" s="25">
        <v>0.43677083333333333</v>
      </c>
      <c r="S570" s="25">
        <v>0.34056250000000005</v>
      </c>
      <c r="T570" s="25">
        <v>0.34018750000000003</v>
      </c>
      <c r="U570" s="25">
        <v>0.28843750000000007</v>
      </c>
      <c r="V570" s="25">
        <v>-79.811041666666654</v>
      </c>
      <c r="W570" s="25">
        <v>-165.72708333333335</v>
      </c>
      <c r="X570" s="25">
        <v>-53.294374999999995</v>
      </c>
      <c r="Y570" s="25">
        <v>-89.18541666666664</v>
      </c>
      <c r="Z570" s="25">
        <v>-61.97520833333332</v>
      </c>
      <c r="AA570" s="25">
        <v>-119.27916666666668</v>
      </c>
      <c r="AB570" s="25">
        <v>-125.91666666666667</v>
      </c>
      <c r="AC570" s="25">
        <v>-104.05625000000002</v>
      </c>
      <c r="AD570" s="25">
        <v>-203.82916666666668</v>
      </c>
      <c r="AE570" s="25">
        <v>-370.89374999999995</v>
      </c>
      <c r="AF570" s="25">
        <v>-467.9270833333332</v>
      </c>
      <c r="AG570" s="25">
        <v>-301.17916666666662</v>
      </c>
      <c r="AH570" s="25">
        <v>-61.179166666666674</v>
      </c>
      <c r="AI570" s="25">
        <v>-50.556249999999999</v>
      </c>
      <c r="AJ570" s="25">
        <v>-50.000000000000007</v>
      </c>
      <c r="AK570" s="25">
        <v>-61.581249999999983</v>
      </c>
      <c r="AL570" s="25">
        <v>12.93958333333334</v>
      </c>
      <c r="AM570" s="25">
        <v>14.13958333333334</v>
      </c>
      <c r="AN570" s="25">
        <v>14.556250000000004</v>
      </c>
      <c r="AO570" s="25">
        <v>14.654166666666663</v>
      </c>
      <c r="AP570" s="25">
        <v>11.387500000000005</v>
      </c>
      <c r="AQ570" s="25">
        <v>13.093750000000002</v>
      </c>
      <c r="AR570" s="25">
        <v>13.756249999999993</v>
      </c>
      <c r="AS570" s="25">
        <v>14.108333333333341</v>
      </c>
      <c r="AT570" s="25">
        <v>0.30516666666666675</v>
      </c>
      <c r="AU570" s="25">
        <v>0.14346153846153833</v>
      </c>
      <c r="AV570" s="25">
        <v>0.22779166666666664</v>
      </c>
      <c r="AW570" s="25">
        <v>-139.26249999999996</v>
      </c>
      <c r="AX570" s="25">
        <v>-53.556249999999984</v>
      </c>
      <c r="AY570" s="25">
        <v>-120.8125</v>
      </c>
      <c r="AZ570" s="25"/>
      <c r="BA570" s="25">
        <v>-519.72708333333333</v>
      </c>
      <c r="BB570" s="25"/>
      <c r="BC570" s="25"/>
      <c r="BD570" s="25">
        <v>10.877083333333333</v>
      </c>
      <c r="BE570" s="25"/>
    </row>
    <row r="571" spans="1:57" x14ac:dyDescent="0.25">
      <c r="A571" s="1">
        <v>20.3</v>
      </c>
      <c r="B571" s="1">
        <v>5.4</v>
      </c>
      <c r="C571" s="22"/>
      <c r="D571" s="23">
        <v>44278</v>
      </c>
      <c r="E571" s="24">
        <v>194.1875</v>
      </c>
      <c r="F571" s="24">
        <v>61.227083333333333</v>
      </c>
      <c r="G571" s="24">
        <v>10.643750000000002</v>
      </c>
      <c r="H571" s="24">
        <v>0</v>
      </c>
      <c r="I571" s="24">
        <v>243.79166666666666</v>
      </c>
      <c r="J571" s="24">
        <v>4.916666666666667</v>
      </c>
      <c r="K571" s="24">
        <v>0.14583333333333334</v>
      </c>
      <c r="L571" s="24">
        <v>3.1750000000000003</v>
      </c>
      <c r="M571" s="10">
        <v>0.56917391843463805</v>
      </c>
      <c r="N571" s="25">
        <v>0.3116666666666667</v>
      </c>
      <c r="O571" s="25">
        <v>0.37460416666666663</v>
      </c>
      <c r="P571" s="25">
        <v>0.4509166666666668</v>
      </c>
      <c r="Q571" s="25">
        <v>0.43699999999999983</v>
      </c>
      <c r="R571" s="25">
        <v>0.43270833333333308</v>
      </c>
      <c r="S571" s="25">
        <v>0.3362083333333335</v>
      </c>
      <c r="T571" s="25">
        <v>0.33656250000000026</v>
      </c>
      <c r="U571" s="25">
        <v>0.28614583333333327</v>
      </c>
      <c r="V571" s="25">
        <v>-81.154791666666668</v>
      </c>
      <c r="W571" s="25">
        <v>-171.02291666666676</v>
      </c>
      <c r="X571" s="25">
        <v>-56.299375000000026</v>
      </c>
      <c r="Y571" s="25">
        <v>-91.206250000000026</v>
      </c>
      <c r="Z571" s="25">
        <v>-63.800833333333344</v>
      </c>
      <c r="AA571" s="25">
        <v>-121.76249999999997</v>
      </c>
      <c r="AB571" s="25">
        <v>-130.10624999999996</v>
      </c>
      <c r="AC571" s="25">
        <v>-108.75833333333334</v>
      </c>
      <c r="AD571" s="25">
        <v>-234.55000000000004</v>
      </c>
      <c r="AE571" s="25">
        <v>-388.93750000000006</v>
      </c>
      <c r="AF571" s="25">
        <v>-514.7520833333333</v>
      </c>
      <c r="AG571" s="25">
        <v>-317.5208333333332</v>
      </c>
      <c r="AH571" s="25">
        <v>-78.09375</v>
      </c>
      <c r="AI571" s="25">
        <v>-56.297916666666673</v>
      </c>
      <c r="AJ571" s="25">
        <v>-57.637499999999989</v>
      </c>
      <c r="AK571" s="25">
        <v>-67.393750000000011</v>
      </c>
      <c r="AL571" s="25">
        <v>12.80208333333333</v>
      </c>
      <c r="AM571" s="25">
        <v>13.293750000000003</v>
      </c>
      <c r="AN571" s="25">
        <v>13.743750000000004</v>
      </c>
      <c r="AO571" s="25">
        <v>13.991666666666667</v>
      </c>
      <c r="AP571" s="25">
        <v>12.481249999999998</v>
      </c>
      <c r="AQ571" s="25">
        <v>12.710416666666667</v>
      </c>
      <c r="AR571" s="25">
        <v>12.987499999999997</v>
      </c>
      <c r="AS571" s="25">
        <v>13.225000000000007</v>
      </c>
      <c r="AT571" s="25">
        <v>0.30093750000000014</v>
      </c>
      <c r="AU571" s="25">
        <v>0.14025000000000007</v>
      </c>
      <c r="AV571" s="25">
        <v>0.2239791666666667</v>
      </c>
      <c r="AW571" s="25">
        <v>-157.26458333333332</v>
      </c>
      <c r="AX571" s="25">
        <v>-56.887916666666634</v>
      </c>
      <c r="AY571" s="25">
        <v>-128.06071428571431</v>
      </c>
      <c r="AZ571" s="25"/>
      <c r="BA571" s="25">
        <v>-597.75208333333319</v>
      </c>
      <c r="BB571" s="25"/>
      <c r="BC571" s="25"/>
      <c r="BD571" s="25">
        <v>12.15625</v>
      </c>
      <c r="BE571" s="25"/>
    </row>
    <row r="572" spans="1:57" x14ac:dyDescent="0.25">
      <c r="A572" s="1">
        <v>20.5</v>
      </c>
      <c r="B572" s="1">
        <v>5.5</v>
      </c>
      <c r="C572" s="22"/>
      <c r="D572" s="23">
        <v>44279</v>
      </c>
      <c r="E572" s="24">
        <v>162.22916666666666</v>
      </c>
      <c r="F572" s="24">
        <v>72.327083333333306</v>
      </c>
      <c r="G572" s="24">
        <v>12.527083333333332</v>
      </c>
      <c r="H572" s="24">
        <v>0</v>
      </c>
      <c r="I572" s="24">
        <v>211.33333333333334</v>
      </c>
      <c r="J572" s="24">
        <v>6.791666666666667</v>
      </c>
      <c r="K572" s="24">
        <v>1.375</v>
      </c>
      <c r="L572" s="24">
        <v>7.5083333333333337</v>
      </c>
      <c r="M572" s="10">
        <v>0.46086957847253557</v>
      </c>
      <c r="N572" s="25">
        <v>0.30820833333333325</v>
      </c>
      <c r="O572" s="25">
        <v>0.37347916666666658</v>
      </c>
      <c r="P572" s="25">
        <v>0.45010416666666681</v>
      </c>
      <c r="Q572" s="25">
        <v>0.43579166666666641</v>
      </c>
      <c r="R572" s="25">
        <v>0.43274999999999997</v>
      </c>
      <c r="S572" s="25">
        <v>0.33487500000000009</v>
      </c>
      <c r="T572" s="25">
        <v>0.3352708333333338</v>
      </c>
      <c r="U572" s="25">
        <v>0.28454166666666697</v>
      </c>
      <c r="V572" s="25">
        <v>-83.684791666666683</v>
      </c>
      <c r="W572" s="25">
        <v>-177.55208333333334</v>
      </c>
      <c r="X572" s="25">
        <v>-57.319999999999986</v>
      </c>
      <c r="Y572" s="25">
        <v>-90.964583333333351</v>
      </c>
      <c r="Z572" s="25">
        <v>-65.999583333333348</v>
      </c>
      <c r="AA572" s="25">
        <v>-121.78333333333332</v>
      </c>
      <c r="AB572" s="25">
        <v>-131.0229166666667</v>
      </c>
      <c r="AC572" s="25">
        <v>-110.13750000000003</v>
      </c>
      <c r="AD572" s="25">
        <v>-279.59999999999997</v>
      </c>
      <c r="AE572" s="25">
        <v>-401.0729166666668</v>
      </c>
      <c r="AF572" s="25">
        <v>-543.87916666666672</v>
      </c>
      <c r="AG572" s="25">
        <v>-329.96875000000006</v>
      </c>
      <c r="AH572" s="25">
        <v>-126.74374999999998</v>
      </c>
      <c r="AI572" s="25">
        <v>-64.389583333333334</v>
      </c>
      <c r="AJ572" s="25">
        <v>-64.831250000000011</v>
      </c>
      <c r="AK572" s="25">
        <v>-71.129166666666691</v>
      </c>
      <c r="AL572" s="25">
        <v>13.66041666666667</v>
      </c>
      <c r="AM572" s="25">
        <v>13.579166666666664</v>
      </c>
      <c r="AN572" s="25">
        <v>13.597916666666679</v>
      </c>
      <c r="AO572" s="25">
        <v>13.67708333333333</v>
      </c>
      <c r="AP572" s="25">
        <v>13.918750000000001</v>
      </c>
      <c r="AQ572" s="25">
        <v>13.720833333333331</v>
      </c>
      <c r="AR572" s="25">
        <v>13.543749999999998</v>
      </c>
      <c r="AS572" s="25">
        <v>13.512499999999998</v>
      </c>
      <c r="AT572" s="25">
        <v>0.29291666666666666</v>
      </c>
      <c r="AU572" s="25">
        <v>0.14668965517241378</v>
      </c>
      <c r="AV572" s="25">
        <v>0.21933333333333327</v>
      </c>
      <c r="AW572" s="25">
        <v>-181.74374999999998</v>
      </c>
      <c r="AX572" s="25">
        <v>-67.575624999999988</v>
      </c>
      <c r="AY572" s="25">
        <v>-132.67083333333329</v>
      </c>
      <c r="AZ572" s="25"/>
      <c r="BA572" s="25">
        <v>-837.17708333333348</v>
      </c>
      <c r="BB572" s="25"/>
      <c r="BC572" s="25"/>
      <c r="BD572" s="25">
        <v>12.924999999999997</v>
      </c>
      <c r="BE572" s="25"/>
    </row>
    <row r="573" spans="1:57" x14ac:dyDescent="0.25">
      <c r="A573" s="1">
        <v>13.4</v>
      </c>
      <c r="B573" s="1">
        <v>10.9</v>
      </c>
      <c r="C573" s="22"/>
      <c r="D573" s="23">
        <v>44280</v>
      </c>
      <c r="E573" s="24">
        <v>18.375</v>
      </c>
      <c r="F573" s="24">
        <v>92.422916666666694</v>
      </c>
      <c r="G573" s="24">
        <v>12.072916666666664</v>
      </c>
      <c r="H573" s="24">
        <v>1.2</v>
      </c>
      <c r="I573" s="24">
        <v>224.375</v>
      </c>
      <c r="J573" s="24">
        <v>10.479166666666666</v>
      </c>
      <c r="K573" s="24">
        <v>1.9791666666666667</v>
      </c>
      <c r="L573" s="24">
        <v>10.862499999999999</v>
      </c>
      <c r="M573" s="10">
        <v>0.10805240260878725</v>
      </c>
      <c r="N573" s="25">
        <v>0.30477083333333355</v>
      </c>
      <c r="O573" s="25">
        <v>0.37218749999999995</v>
      </c>
      <c r="P573" s="25">
        <v>0.45008333333333339</v>
      </c>
      <c r="Q573" s="25">
        <v>0.436</v>
      </c>
      <c r="R573" s="25">
        <v>0.43279166666666641</v>
      </c>
      <c r="S573" s="25">
        <v>0.33458333333333345</v>
      </c>
      <c r="T573" s="25">
        <v>0.33500000000000041</v>
      </c>
      <c r="U573" s="25">
        <v>0.28397916666666684</v>
      </c>
      <c r="V573" s="25">
        <v>-88.375</v>
      </c>
      <c r="W573" s="25">
        <v>-185.26874999999998</v>
      </c>
      <c r="X573" s="25">
        <v>-58.569375000000001</v>
      </c>
      <c r="Y573" s="25">
        <v>-90.152083333333323</v>
      </c>
      <c r="Z573" s="25">
        <v>-69.786666666666676</v>
      </c>
      <c r="AA573" s="25">
        <v>-122.53958333333328</v>
      </c>
      <c r="AB573" s="25">
        <v>-131.2291666666666</v>
      </c>
      <c r="AC573" s="25">
        <v>-111.6229166666667</v>
      </c>
      <c r="AD573" s="25">
        <v>-319.84583333333336</v>
      </c>
      <c r="AE573" s="25">
        <v>-409.42916666666679</v>
      </c>
      <c r="AF573" s="25">
        <v>-544.8770833333333</v>
      </c>
      <c r="AG573" s="25">
        <v>-327.95416666666659</v>
      </c>
      <c r="AH573" s="25">
        <v>-200.84375000000003</v>
      </c>
      <c r="AI573" s="25">
        <v>-69.84999999999998</v>
      </c>
      <c r="AJ573" s="25">
        <v>-70.272916666666674</v>
      </c>
      <c r="AK573" s="25">
        <v>-76.435416666666683</v>
      </c>
      <c r="AL573" s="25">
        <v>14.087499999999993</v>
      </c>
      <c r="AM573" s="25">
        <v>14.016666666666664</v>
      </c>
      <c r="AN573" s="25">
        <v>13.772916666666658</v>
      </c>
      <c r="AO573" s="25">
        <v>13.737499999999988</v>
      </c>
      <c r="AP573" s="25">
        <v>14.112499999999985</v>
      </c>
      <c r="AQ573" s="25">
        <v>14.291666666666673</v>
      </c>
      <c r="AR573" s="25">
        <v>14.100000000000003</v>
      </c>
      <c r="AS573" s="25">
        <v>13.958333333333329</v>
      </c>
      <c r="AT573" s="25">
        <v>0.28610416666666655</v>
      </c>
      <c r="AU573" s="25">
        <v>0.13575000000000001</v>
      </c>
      <c r="AV573" s="25">
        <v>0.21656250000000007</v>
      </c>
      <c r="AW573" s="25">
        <v>-220.68936170212768</v>
      </c>
      <c r="AX573" s="25">
        <v>-80.471458333333317</v>
      </c>
      <c r="AY573" s="25">
        <v>-140.9826086956522</v>
      </c>
      <c r="AZ573" s="25"/>
      <c r="BA573" s="25">
        <v>-1081.7708333333333</v>
      </c>
      <c r="BB573" s="25"/>
      <c r="BC573" s="25"/>
      <c r="BD573" s="25">
        <v>13.039583333333338</v>
      </c>
      <c r="BE573" s="25"/>
    </row>
    <row r="574" spans="1:57" x14ac:dyDescent="0.25">
      <c r="A574" s="1">
        <v>24.7</v>
      </c>
      <c r="B574" s="1">
        <v>12.1</v>
      </c>
      <c r="C574" s="22"/>
      <c r="D574" s="23">
        <v>44281</v>
      </c>
      <c r="E574" s="24">
        <v>154.41666666666666</v>
      </c>
      <c r="F574" s="24">
        <v>81.15208333333328</v>
      </c>
      <c r="G574" s="24">
        <v>16.460416666666667</v>
      </c>
      <c r="H574" s="24">
        <v>0.2</v>
      </c>
      <c r="I574" s="24">
        <v>232.29166666666666</v>
      </c>
      <c r="J574" s="24">
        <v>10.020833333333334</v>
      </c>
      <c r="K574" s="24">
        <v>0.6875</v>
      </c>
      <c r="L574" s="24">
        <v>12.954166666666667</v>
      </c>
      <c r="M574" s="10">
        <v>0.42197697219465952</v>
      </c>
      <c r="N574" s="25">
        <v>0.30179166666666674</v>
      </c>
      <c r="O574" s="25">
        <v>0.36987499999999995</v>
      </c>
      <c r="P574" s="25">
        <v>0.44789583333333322</v>
      </c>
      <c r="Q574" s="25">
        <v>0.43572916666666645</v>
      </c>
      <c r="R574" s="25">
        <v>0.43302083333333313</v>
      </c>
      <c r="S574" s="25">
        <v>0.33262500000000006</v>
      </c>
      <c r="T574" s="25">
        <v>0.33460416666666665</v>
      </c>
      <c r="U574" s="25">
        <v>0.28368749999999981</v>
      </c>
      <c r="V574" s="25">
        <v>-91.245833333333337</v>
      </c>
      <c r="W574" s="25">
        <v>-191.28750000000002</v>
      </c>
      <c r="X574" s="25">
        <v>-60.837708333333346</v>
      </c>
      <c r="Y574" s="25">
        <v>-90.495833333333337</v>
      </c>
      <c r="Z574" s="25">
        <v>-71.683749999999989</v>
      </c>
      <c r="AA574" s="25">
        <v>-123.97500000000002</v>
      </c>
      <c r="AB574" s="25">
        <v>-132.87083333333334</v>
      </c>
      <c r="AC574" s="25">
        <v>-113.60416666666664</v>
      </c>
      <c r="AD574" s="25">
        <v>-340.94791666666669</v>
      </c>
      <c r="AE574" s="25">
        <v>-428.23541666666682</v>
      </c>
      <c r="AF574" s="25">
        <v>-559.76875000000018</v>
      </c>
      <c r="AG574" s="25">
        <v>-333.82499999999999</v>
      </c>
      <c r="AH574" s="25">
        <v>-263.27708333333334</v>
      </c>
      <c r="AI574" s="25">
        <v>-74.46041666666666</v>
      </c>
      <c r="AJ574" s="25">
        <v>-75.954166666666694</v>
      </c>
      <c r="AK574" s="25">
        <v>-96.104166666666643</v>
      </c>
      <c r="AL574" s="25">
        <v>14.495833333333332</v>
      </c>
      <c r="AM574" s="25">
        <v>14.01666666666666</v>
      </c>
      <c r="AN574" s="25">
        <v>13.770833333333323</v>
      </c>
      <c r="AO574" s="25">
        <v>13.766666666666664</v>
      </c>
      <c r="AP574" s="25">
        <v>15.266666666666666</v>
      </c>
      <c r="AQ574" s="25">
        <v>14.404166666666663</v>
      </c>
      <c r="AR574" s="25">
        <v>14.049999999999997</v>
      </c>
      <c r="AS574" s="25">
        <v>13.908333333333339</v>
      </c>
      <c r="AT574" s="25">
        <v>0.28387499999999999</v>
      </c>
      <c r="AU574" s="25">
        <v>0.1358421052631579</v>
      </c>
      <c r="AV574" s="25">
        <v>0.21804166666666669</v>
      </c>
      <c r="AW574" s="25">
        <v>-241.06565217391312</v>
      </c>
      <c r="AX574" s="25">
        <v>-86.49375000000002</v>
      </c>
      <c r="AY574" s="25">
        <v>-151.22666666666666</v>
      </c>
      <c r="AZ574" s="25"/>
      <c r="BA574" s="25">
        <v>-1048.2708333333333</v>
      </c>
      <c r="BB574" s="25"/>
      <c r="BC574" s="25"/>
      <c r="BD574" s="25">
        <v>14.675000000000004</v>
      </c>
      <c r="BE574" s="25"/>
    </row>
    <row r="575" spans="1:57" x14ac:dyDescent="0.25">
      <c r="A575" s="1">
        <v>24</v>
      </c>
      <c r="B575" s="1">
        <v>10.5</v>
      </c>
      <c r="C575" s="22"/>
      <c r="D575" s="23">
        <v>44282</v>
      </c>
      <c r="E575" s="24">
        <v>151.5625</v>
      </c>
      <c r="F575" s="24">
        <v>72.972916666666663</v>
      </c>
      <c r="G575" s="24">
        <v>15.385416666666671</v>
      </c>
      <c r="H575" s="24">
        <v>0</v>
      </c>
      <c r="I575" s="24">
        <v>182.41666666666666</v>
      </c>
      <c r="J575" s="24">
        <v>4.479166666666667</v>
      </c>
      <c r="K575" s="24">
        <v>0</v>
      </c>
      <c r="L575" s="24">
        <v>10.295833333333334</v>
      </c>
      <c r="M575" s="10">
        <v>0.5490539050526817</v>
      </c>
      <c r="N575" s="25">
        <v>0.294375</v>
      </c>
      <c r="O575" s="25">
        <v>0.36708333333333326</v>
      </c>
      <c r="P575" s="25">
        <v>0.4466666666666666</v>
      </c>
      <c r="Q575" s="25">
        <v>0.43595833333333328</v>
      </c>
      <c r="R575" s="25">
        <v>0.43245833333333322</v>
      </c>
      <c r="S575" s="25">
        <v>0.33191666666666669</v>
      </c>
      <c r="T575" s="25">
        <v>0.33406249999999998</v>
      </c>
      <c r="U575" s="25">
        <v>0.28354166666666641</v>
      </c>
      <c r="V575" s="25">
        <v>-98.550000000000011</v>
      </c>
      <c r="W575" s="25">
        <v>-199.71249999999995</v>
      </c>
      <c r="X575" s="25">
        <v>-61.993124999999992</v>
      </c>
      <c r="Y575" s="25">
        <v>-89.522916666666674</v>
      </c>
      <c r="Z575" s="25">
        <v>-73.6875</v>
      </c>
      <c r="AA575" s="25">
        <v>-124.62708333333337</v>
      </c>
      <c r="AB575" s="25">
        <v>-132.79375000000002</v>
      </c>
      <c r="AC575" s="25">
        <v>-114.11875000000002</v>
      </c>
      <c r="AD575" s="25">
        <v>-423.29583333333335</v>
      </c>
      <c r="AE575" s="25">
        <v>-457.75000000000006</v>
      </c>
      <c r="AF575" s="25">
        <v>-605.04583333333346</v>
      </c>
      <c r="AG575" s="25">
        <v>-350.31666666666666</v>
      </c>
      <c r="AH575" s="25">
        <v>-387.44791666666669</v>
      </c>
      <c r="AI575" s="25">
        <v>-95.139583333333334</v>
      </c>
      <c r="AJ575" s="25">
        <v>-92.054166666666688</v>
      </c>
      <c r="AK575" s="25">
        <v>-138.55000000000001</v>
      </c>
      <c r="AL575" s="25">
        <v>14.985416666666671</v>
      </c>
      <c r="AM575" s="25">
        <v>14.491666666666665</v>
      </c>
      <c r="AN575" s="25">
        <v>14.085416666666681</v>
      </c>
      <c r="AO575" s="25">
        <v>13.966666666666669</v>
      </c>
      <c r="AP575" s="25">
        <v>15.745833333333335</v>
      </c>
      <c r="AQ575" s="25">
        <v>15.137500000000001</v>
      </c>
      <c r="AR575" s="25">
        <v>14.689583333333337</v>
      </c>
      <c r="AS575" s="25">
        <v>14.449999999999994</v>
      </c>
      <c r="AT575" s="25">
        <v>0.27191666666666664</v>
      </c>
      <c r="AU575" s="25">
        <v>0.13357142857142854</v>
      </c>
      <c r="AV575" s="25">
        <v>0.21585416666666654</v>
      </c>
      <c r="AW575" s="25">
        <v>-232.8953488372093</v>
      </c>
      <c r="AX575" s="25">
        <v>-100.09791666666665</v>
      </c>
      <c r="AY575" s="25">
        <v>-167.62800000000004</v>
      </c>
      <c r="AZ575" s="25"/>
      <c r="BA575" s="25">
        <v>-1317.8541666666667</v>
      </c>
      <c r="BB575" s="25"/>
      <c r="BC575" s="25"/>
      <c r="BD575" s="25">
        <v>14.495833333333339</v>
      </c>
      <c r="BE575" s="25"/>
    </row>
    <row r="576" spans="1:57" x14ac:dyDescent="0.25">
      <c r="A576" s="1">
        <v>26.1</v>
      </c>
      <c r="B576" s="1">
        <v>13.5</v>
      </c>
      <c r="C576" s="22"/>
      <c r="D576" s="23">
        <v>44283</v>
      </c>
      <c r="E576" s="24">
        <v>211.58333333333334</v>
      </c>
      <c r="F576" s="24">
        <v>72.427083333333357</v>
      </c>
      <c r="G576" s="24">
        <v>18.5</v>
      </c>
      <c r="H576" s="24">
        <v>0</v>
      </c>
      <c r="I576" s="24">
        <v>252.58333333333334</v>
      </c>
      <c r="J576" s="24">
        <v>8.375</v>
      </c>
      <c r="K576" s="24">
        <v>1.2291666666666667</v>
      </c>
      <c r="L576" s="24">
        <v>13.268750000000002</v>
      </c>
      <c r="M576" s="10">
        <v>0.6565583811487169</v>
      </c>
      <c r="N576" s="25">
        <v>0.28633333333333355</v>
      </c>
      <c r="O576" s="25">
        <v>0.36231249999999987</v>
      </c>
      <c r="P576" s="25">
        <v>0.44279166666666686</v>
      </c>
      <c r="Q576" s="25">
        <v>0.43577083333333316</v>
      </c>
      <c r="R576" s="25">
        <v>0.43183333333333324</v>
      </c>
      <c r="S576" s="25">
        <v>0.32956250000000004</v>
      </c>
      <c r="T576" s="25">
        <v>0.3323958333333335</v>
      </c>
      <c r="U576" s="25">
        <v>0.28256250000000005</v>
      </c>
      <c r="V576" s="25">
        <v>-102.96458333333329</v>
      </c>
      <c r="W576" s="25">
        <v>-207.38958333333343</v>
      </c>
      <c r="X576" s="25">
        <v>-63.842916666666689</v>
      </c>
      <c r="Y576" s="25">
        <v>-89.174999999999997</v>
      </c>
      <c r="Z576" s="25">
        <v>-75.146041666666676</v>
      </c>
      <c r="AA576" s="25">
        <v>-126.44791666666664</v>
      </c>
      <c r="AB576" s="25">
        <v>-134.21458333333334</v>
      </c>
      <c r="AC576" s="25">
        <v>-115.49375000000002</v>
      </c>
      <c r="AD576" s="25">
        <v>-495.45416666666682</v>
      </c>
      <c r="AE576" s="25">
        <v>-500.91874999999999</v>
      </c>
      <c r="AF576" s="25">
        <v>-668.56041666666647</v>
      </c>
      <c r="AG576" s="25">
        <v>-367.75625000000008</v>
      </c>
      <c r="AH576" s="25">
        <v>-495.92083333333352</v>
      </c>
      <c r="AI576" s="25">
        <v>-142.87083333333337</v>
      </c>
      <c r="AJ576" s="25">
        <v>-122.77916666666671</v>
      </c>
      <c r="AK576" s="25">
        <v>-215.98958333333334</v>
      </c>
      <c r="AL576" s="25">
        <v>15.712500000000011</v>
      </c>
      <c r="AM576" s="25">
        <v>14.868750000000004</v>
      </c>
      <c r="AN576" s="25">
        <v>14.333333333333334</v>
      </c>
      <c r="AO576" s="25">
        <v>14.166666666666666</v>
      </c>
      <c r="AP576" s="25">
        <v>16.929166666666667</v>
      </c>
      <c r="AQ576" s="25">
        <v>15.747916666666669</v>
      </c>
      <c r="AR576" s="25">
        <v>15.127083333333333</v>
      </c>
      <c r="AS576" s="25">
        <v>14.818750000000001</v>
      </c>
      <c r="AT576" s="25">
        <v>0.25734042553191488</v>
      </c>
      <c r="AU576" s="25">
        <v>0.13120000000000001</v>
      </c>
      <c r="AV576" s="25">
        <v>0.21416666666666664</v>
      </c>
      <c r="AW576" s="25">
        <v>-257.74</v>
      </c>
      <c r="AX576" s="25">
        <v>-109.00208333333335</v>
      </c>
      <c r="AY576" s="25">
        <v>-187.76857142857142</v>
      </c>
      <c r="AZ576" s="25"/>
      <c r="BA576" s="25">
        <v>-1475.7708333333333</v>
      </c>
      <c r="BB576" s="25"/>
      <c r="BC576" s="25"/>
      <c r="BD576" s="25">
        <v>15.793749999999998</v>
      </c>
      <c r="BE576" s="25"/>
    </row>
    <row r="577" spans="1:57" x14ac:dyDescent="0.25">
      <c r="A577" s="1">
        <v>32.200000000000003</v>
      </c>
      <c r="B577" s="1">
        <v>14.4</v>
      </c>
      <c r="C577" s="22"/>
      <c r="D577" s="23">
        <v>44284</v>
      </c>
      <c r="E577" s="24">
        <v>233.16666666666666</v>
      </c>
      <c r="F577" s="24">
        <v>52.272916666666667</v>
      </c>
      <c r="G577" s="24">
        <v>23.722916666666674</v>
      </c>
      <c r="H577" s="24">
        <v>0</v>
      </c>
      <c r="I577" s="24">
        <v>228.95833333333334</v>
      </c>
      <c r="J577" s="24">
        <v>12.375</v>
      </c>
      <c r="K577" s="24">
        <v>1.625</v>
      </c>
      <c r="L577" s="24">
        <v>10.66666666666667</v>
      </c>
      <c r="M577" s="10">
        <v>1.7470368449587763</v>
      </c>
      <c r="N577" s="25">
        <v>0.27777083333333358</v>
      </c>
      <c r="O577" s="25">
        <v>0.35754166666666659</v>
      </c>
      <c r="P577" s="25">
        <v>0.43889583333333332</v>
      </c>
      <c r="Q577" s="25">
        <v>0.43577083333333305</v>
      </c>
      <c r="R577" s="25">
        <v>0.43191666666666628</v>
      </c>
      <c r="S577" s="25">
        <v>0.32779166666666676</v>
      </c>
      <c r="T577" s="25">
        <v>0.33116666666666661</v>
      </c>
      <c r="U577" s="25">
        <v>0.28172916666666686</v>
      </c>
      <c r="V577" s="25">
        <v>-110.75416666666666</v>
      </c>
      <c r="W577" s="25">
        <v>-219.89583333333329</v>
      </c>
      <c r="X577" s="25">
        <v>-65.629791666666691</v>
      </c>
      <c r="Y577" s="25">
        <v>-88.524999999999991</v>
      </c>
      <c r="Z577" s="25">
        <v>-77.144791666666663</v>
      </c>
      <c r="AA577" s="25">
        <v>-128.28958333333335</v>
      </c>
      <c r="AB577" s="25">
        <v>-135.18333333333328</v>
      </c>
      <c r="AC577" s="25">
        <v>-116.09583333333332</v>
      </c>
      <c r="AD577" s="25">
        <v>-565.47708333333344</v>
      </c>
      <c r="AE577" s="25">
        <v>-545.28958333333333</v>
      </c>
      <c r="AF577" s="25">
        <v>-746.00833333333333</v>
      </c>
      <c r="AG577" s="25">
        <v>-386.62083333333317</v>
      </c>
      <c r="AH577" s="25">
        <v>-587.23958333333326</v>
      </c>
      <c r="AI577" s="25">
        <v>-236.91041666666669</v>
      </c>
      <c r="AJ577" s="25">
        <v>-172.50833333333333</v>
      </c>
      <c r="AK577" s="25">
        <v>-441.96875</v>
      </c>
      <c r="AL577" s="25">
        <v>16.804166666666674</v>
      </c>
      <c r="AM577" s="25">
        <v>15.593750000000002</v>
      </c>
      <c r="AN577" s="25">
        <v>14.779166666666663</v>
      </c>
      <c r="AO577" s="25">
        <v>14.493750000000011</v>
      </c>
      <c r="AP577" s="25">
        <v>18.231250000000003</v>
      </c>
      <c r="AQ577" s="25">
        <v>16.714583333333326</v>
      </c>
      <c r="AR577" s="25">
        <v>15.885416666666666</v>
      </c>
      <c r="AS577" s="25">
        <v>15.445833333333328</v>
      </c>
      <c r="AT577" s="25">
        <v>0.23858333333333329</v>
      </c>
      <c r="AU577" s="25">
        <v>0.12699999999999997</v>
      </c>
      <c r="AV577" s="25">
        <v>0.21087500000000001</v>
      </c>
      <c r="AW577" s="25">
        <v>-274.37750000000005</v>
      </c>
      <c r="AX577" s="25">
        <v>-122.35625000000003</v>
      </c>
      <c r="AY577" s="25">
        <v>-241.39500000000004</v>
      </c>
      <c r="AZ577" s="25"/>
      <c r="BA577" s="25">
        <v>-1666.3958333333333</v>
      </c>
      <c r="BB577" s="25"/>
      <c r="BC577" s="25"/>
      <c r="BD577" s="25">
        <v>16.937499999999996</v>
      </c>
      <c r="BE577" s="25"/>
    </row>
    <row r="578" spans="1:57" x14ac:dyDescent="0.25">
      <c r="A578" s="1">
        <v>29</v>
      </c>
      <c r="B578" s="1">
        <v>17.5</v>
      </c>
      <c r="C578" s="22"/>
      <c r="D578" s="23">
        <v>44285</v>
      </c>
      <c r="E578" s="24">
        <v>210.83333333333334</v>
      </c>
      <c r="F578" s="24">
        <v>31.439583333333346</v>
      </c>
      <c r="G578" s="24">
        <v>24.310416666666669</v>
      </c>
      <c r="H578" s="24">
        <v>0</v>
      </c>
      <c r="I578" s="24">
        <v>224.58333333333334</v>
      </c>
      <c r="J578" s="24">
        <v>14.333333333333334</v>
      </c>
      <c r="K578" s="24">
        <v>2.5</v>
      </c>
      <c r="L578" s="24">
        <v>5.7104166666666663</v>
      </c>
      <c r="M578" s="10">
        <v>2.1346427040830127</v>
      </c>
      <c r="N578" s="25">
        <v>0.26637500000000003</v>
      </c>
      <c r="O578" s="25">
        <v>0.3487291666666667</v>
      </c>
      <c r="P578" s="25">
        <v>0.43266666666666631</v>
      </c>
      <c r="Q578" s="25">
        <v>0.43435416666666643</v>
      </c>
      <c r="R578" s="25">
        <v>0.42858333333333354</v>
      </c>
      <c r="S578" s="25">
        <v>0.32537499999999991</v>
      </c>
      <c r="T578" s="25">
        <v>0.32937500000000003</v>
      </c>
      <c r="U578" s="25">
        <v>0.28062499999999974</v>
      </c>
      <c r="V578" s="25">
        <v>-126.37083333333332</v>
      </c>
      <c r="W578" s="25">
        <v>-232.8520833333333</v>
      </c>
      <c r="X578" s="25">
        <v>-68.761666666666684</v>
      </c>
      <c r="Y578" s="25">
        <v>-88.687499999999986</v>
      </c>
      <c r="Z578" s="25">
        <v>-82.230208333333337</v>
      </c>
      <c r="AA578" s="25">
        <v>-133.09583333333333</v>
      </c>
      <c r="AB578" s="25">
        <v>-137.99166666666662</v>
      </c>
      <c r="AC578" s="25">
        <v>-117.37291666666668</v>
      </c>
      <c r="AD578" s="25">
        <v>-652.76041666666652</v>
      </c>
      <c r="AE578" s="25">
        <v>-622.70624999999984</v>
      </c>
      <c r="AF578" s="25">
        <v>-861.68124999999998</v>
      </c>
      <c r="AG578" s="25">
        <v>-412.53125</v>
      </c>
      <c r="AH578" s="25">
        <v>-697.60624999999993</v>
      </c>
      <c r="AI578" s="25">
        <v>-437.90833333333336</v>
      </c>
      <c r="AJ578" s="25">
        <v>-308.30833333333339</v>
      </c>
      <c r="AK578" s="25">
        <v>-782.02500000000009</v>
      </c>
      <c r="AL578" s="25">
        <v>17.283333333333328</v>
      </c>
      <c r="AM578" s="25">
        <v>16.202083333333338</v>
      </c>
      <c r="AN578" s="25">
        <v>15.289583333333331</v>
      </c>
      <c r="AO578" s="25">
        <v>14.920833333333334</v>
      </c>
      <c r="AP578" s="25">
        <v>18.306250000000002</v>
      </c>
      <c r="AQ578" s="25">
        <v>17.1875</v>
      </c>
      <c r="AR578" s="25">
        <v>16.458333333333332</v>
      </c>
      <c r="AS578" s="25">
        <v>16.050000000000008</v>
      </c>
      <c r="AT578" s="25">
        <v>0.21445652173913049</v>
      </c>
      <c r="AU578" s="25">
        <v>0.12296969696969702</v>
      </c>
      <c r="AV578" s="25">
        <v>0.20493749999999999</v>
      </c>
      <c r="AW578" s="25">
        <v>-311.71219512195131</v>
      </c>
      <c r="AX578" s="25">
        <v>-140.11250000000004</v>
      </c>
      <c r="AY578" s="25">
        <v>-314.05789473684212</v>
      </c>
      <c r="AZ578" s="25"/>
      <c r="BA578" s="25">
        <v>-2105.75</v>
      </c>
      <c r="BB578" s="25"/>
      <c r="BC578" s="25"/>
      <c r="BD578" s="25">
        <v>17.072916666666664</v>
      </c>
      <c r="BE578" s="25"/>
    </row>
    <row r="579" spans="1:57" x14ac:dyDescent="0.25">
      <c r="A579" s="1">
        <v>29.9</v>
      </c>
      <c r="B579" s="1">
        <v>19.7</v>
      </c>
      <c r="C579" s="22"/>
      <c r="D579" s="23">
        <v>44286</v>
      </c>
      <c r="E579" s="24">
        <v>209.25</v>
      </c>
      <c r="F579" s="24">
        <v>40.620833333333344</v>
      </c>
      <c r="G579" s="24">
        <v>24.004166666666666</v>
      </c>
      <c r="H579" s="24">
        <v>0</v>
      </c>
      <c r="I579" s="24">
        <v>240</v>
      </c>
      <c r="J579" s="24">
        <v>15.166666666666666</v>
      </c>
      <c r="K579" s="24">
        <v>2.9375</v>
      </c>
      <c r="L579" s="24">
        <v>9.5979166666666664</v>
      </c>
      <c r="M579" s="10">
        <v>1.8309253405017294</v>
      </c>
      <c r="N579" s="25">
        <v>0.25793750000000021</v>
      </c>
      <c r="O579" s="25">
        <v>0.33993749999999995</v>
      </c>
      <c r="P579" s="25">
        <v>0.42629166666666635</v>
      </c>
      <c r="Q579" s="25">
        <v>0.43058333333333348</v>
      </c>
      <c r="R579" s="25">
        <v>0.42466666666666647</v>
      </c>
      <c r="S579" s="25">
        <v>0.32283333333333303</v>
      </c>
      <c r="T579" s="25">
        <v>0.32731250000000023</v>
      </c>
      <c r="U579" s="25">
        <v>0.2795625000000001</v>
      </c>
      <c r="V579" s="25">
        <v>-151.72291666666675</v>
      </c>
      <c r="W579" s="25">
        <v>-247.22291666666669</v>
      </c>
      <c r="X579" s="25">
        <v>-73.499166666666639</v>
      </c>
      <c r="Y579" s="25">
        <v>-90.468749999999943</v>
      </c>
      <c r="Z579" s="25">
        <v>-88.314583333333346</v>
      </c>
      <c r="AA579" s="25">
        <v>-140.41666666666666</v>
      </c>
      <c r="AB579" s="25">
        <v>-143.28124999999997</v>
      </c>
      <c r="AC579" s="25">
        <v>-120.03124999999996</v>
      </c>
      <c r="AD579" s="25">
        <v>-725.98750000000018</v>
      </c>
      <c r="AE579" s="25">
        <v>-692.06041666666681</v>
      </c>
      <c r="AF579" s="25">
        <v>-980.97916666666663</v>
      </c>
      <c r="AG579" s="25">
        <v>-432.88958333333318</v>
      </c>
      <c r="AH579" s="25">
        <v>-820.39374999999984</v>
      </c>
      <c r="AI579" s="25">
        <v>-615.07708333333346</v>
      </c>
      <c r="AJ579" s="25">
        <v>-517.36666666666679</v>
      </c>
      <c r="AK579" s="25">
        <v>-1163.3333333333333</v>
      </c>
      <c r="AL579" s="25">
        <v>17.50416666666667</v>
      </c>
      <c r="AM579" s="25">
        <v>16.506249999999998</v>
      </c>
      <c r="AN579" s="25">
        <v>15.654166666666674</v>
      </c>
      <c r="AO579" s="25">
        <v>15.266666666666659</v>
      </c>
      <c r="AP579" s="25">
        <v>18.385416666666664</v>
      </c>
      <c r="AQ579" s="25">
        <v>17.331249999999997</v>
      </c>
      <c r="AR579" s="25">
        <v>16.662499999999998</v>
      </c>
      <c r="AS579" s="25">
        <v>16.3125</v>
      </c>
      <c r="AT579" s="25">
        <v>0.19583333333333341</v>
      </c>
      <c r="AU579" s="25">
        <v>0.12489285714285717</v>
      </c>
      <c r="AV579" s="25">
        <v>0.20029166666666662</v>
      </c>
      <c r="AW579" s="25">
        <v>-322.39142857142855</v>
      </c>
      <c r="AX579" s="25">
        <v>-162.40416666666673</v>
      </c>
      <c r="AY579" s="25">
        <v>-318.16000000000003</v>
      </c>
      <c r="AZ579" s="25"/>
      <c r="BA579" s="25">
        <v>-2564.625</v>
      </c>
      <c r="BB579" s="25"/>
      <c r="BC579" s="25"/>
      <c r="BD579" s="25">
        <v>17.324999999999999</v>
      </c>
      <c r="BE579" s="25"/>
    </row>
    <row r="580" spans="1:57" x14ac:dyDescent="0.25">
      <c r="A580" s="1">
        <v>31.4</v>
      </c>
      <c r="B580" s="1">
        <v>16.8</v>
      </c>
      <c r="C580" s="22"/>
      <c r="D580" s="23">
        <v>44287</v>
      </c>
      <c r="E580" s="24">
        <v>205.625</v>
      </c>
      <c r="F580" s="24">
        <v>46.377083333333331</v>
      </c>
      <c r="G580" s="24">
        <v>23.825000000000003</v>
      </c>
      <c r="H580" s="24">
        <v>0</v>
      </c>
      <c r="I580" s="24">
        <v>214.16666666666666</v>
      </c>
      <c r="J580" s="24">
        <v>8.4375</v>
      </c>
      <c r="K580" s="24">
        <v>0.9375</v>
      </c>
      <c r="L580" s="24">
        <v>10.78125</v>
      </c>
      <c r="M580" s="10">
        <v>1.7297397279708291</v>
      </c>
      <c r="N580" s="25">
        <v>0.25224999999999992</v>
      </c>
      <c r="O580" s="25">
        <v>0.33339583333333328</v>
      </c>
      <c r="P580" s="25">
        <v>0.42010416666666678</v>
      </c>
      <c r="Q580" s="25">
        <v>0.42549999999999971</v>
      </c>
      <c r="R580" s="25">
        <v>0.42208333333333337</v>
      </c>
      <c r="S580" s="25">
        <v>0.32112500000000016</v>
      </c>
      <c r="T580" s="25">
        <v>0.3251874999999998</v>
      </c>
      <c r="U580" s="25">
        <v>0.27831249999999991</v>
      </c>
      <c r="V580" s="25">
        <v>-196.01875000000004</v>
      </c>
      <c r="W580" s="25">
        <v>-263.24166666666667</v>
      </c>
      <c r="X580" s="25">
        <v>-78.004166666666677</v>
      </c>
      <c r="Y580" s="25">
        <v>-93.256250000000065</v>
      </c>
      <c r="Z580" s="25">
        <v>-95.212500000000048</v>
      </c>
      <c r="AA580" s="25">
        <v>-149.57916666666668</v>
      </c>
      <c r="AB580" s="25">
        <v>-149.6166666666667</v>
      </c>
      <c r="AC580" s="25">
        <v>-123.50624999999997</v>
      </c>
      <c r="AD580" s="25">
        <v>-788.82291666666663</v>
      </c>
      <c r="AE580" s="25">
        <v>-758.53750000000002</v>
      </c>
      <c r="AF580" s="25">
        <v>-1088.2708333333333</v>
      </c>
      <c r="AG580" s="25">
        <v>-451.48958333333343</v>
      </c>
      <c r="AH580" s="25">
        <v>-931.04166666666663</v>
      </c>
      <c r="AI580" s="25">
        <v>-741.97083333333342</v>
      </c>
      <c r="AJ580" s="25">
        <v>-738.03541666666661</v>
      </c>
      <c r="AK580" s="25">
        <v>-1489.625</v>
      </c>
      <c r="AL580" s="25">
        <v>17.885416666666668</v>
      </c>
      <c r="AM580" s="25">
        <v>16.824999999999999</v>
      </c>
      <c r="AN580" s="25">
        <v>15.945833333333333</v>
      </c>
      <c r="AO580" s="25">
        <v>15.54791666666668</v>
      </c>
      <c r="AP580" s="25">
        <v>18.862500000000001</v>
      </c>
      <c r="AQ580" s="25">
        <v>17.66458333333334</v>
      </c>
      <c r="AR580" s="25">
        <v>16.964583333333334</v>
      </c>
      <c r="AS580" s="25">
        <v>16.600000000000005</v>
      </c>
      <c r="AT580" s="25">
        <v>0.18389361702127657</v>
      </c>
      <c r="AU580" s="25">
        <v>0.11641666666666672</v>
      </c>
      <c r="AV580" s="25">
        <v>0.19677083333333348</v>
      </c>
      <c r="AW580" s="25">
        <v>-298.08536585365852</v>
      </c>
      <c r="AX580" s="25">
        <v>-195.07291666666666</v>
      </c>
      <c r="AY580" s="25">
        <v>-262.89285714285717</v>
      </c>
      <c r="AZ580" s="25"/>
      <c r="BA580" s="25">
        <v>-2966.5</v>
      </c>
      <c r="BB580" s="25"/>
      <c r="BC580" s="25"/>
      <c r="BD580" s="25">
        <v>17.677083333333336</v>
      </c>
      <c r="BE580" s="25"/>
    </row>
    <row r="581" spans="1:57" x14ac:dyDescent="0.25">
      <c r="A581" s="1">
        <v>31.5</v>
      </c>
      <c r="B581" s="1">
        <v>12.6</v>
      </c>
      <c r="C581" s="22"/>
      <c r="D581" s="23">
        <v>44288</v>
      </c>
      <c r="E581" s="24">
        <v>227.20833333333334</v>
      </c>
      <c r="F581" s="24">
        <v>67.081250000000011</v>
      </c>
      <c r="G581" s="24">
        <v>19.941666666666663</v>
      </c>
      <c r="H581" s="24">
        <v>0</v>
      </c>
      <c r="I581" s="24">
        <v>231.70833333333334</v>
      </c>
      <c r="J581" s="24">
        <v>7.395833333333333</v>
      </c>
      <c r="K581" s="24">
        <v>0.6875</v>
      </c>
      <c r="L581" s="24">
        <v>11.766666666666666</v>
      </c>
      <c r="M581" s="10">
        <v>1.0878531145582626</v>
      </c>
      <c r="N581" s="25">
        <v>0.24781250000000019</v>
      </c>
      <c r="O581" s="25">
        <v>0.32862500000000017</v>
      </c>
      <c r="P581" s="25">
        <v>0.41560416666666677</v>
      </c>
      <c r="Q581" s="25">
        <v>0.42125000000000012</v>
      </c>
      <c r="R581" s="25">
        <v>0.41985416666666692</v>
      </c>
      <c r="S581" s="25">
        <v>0.32018750000000012</v>
      </c>
      <c r="T581" s="25">
        <v>0.32358333333333339</v>
      </c>
      <c r="U581" s="25">
        <v>0.27745833333333314</v>
      </c>
      <c r="V581" s="25">
        <v>-264.06458333333336</v>
      </c>
      <c r="W581" s="25">
        <v>-283.25208333333336</v>
      </c>
      <c r="X581" s="25">
        <v>-83.072916666666657</v>
      </c>
      <c r="Y581" s="25">
        <v>-96.710416666666717</v>
      </c>
      <c r="Z581" s="25">
        <v>-105.4375</v>
      </c>
      <c r="AA581" s="25">
        <v>-160.75416666666666</v>
      </c>
      <c r="AB581" s="25">
        <v>-156.51250000000005</v>
      </c>
      <c r="AC581" s="25">
        <v>-127.35833333333333</v>
      </c>
      <c r="AD581" s="25">
        <v>-836.64166666666677</v>
      </c>
      <c r="AE581" s="25">
        <v>-798.46250000000009</v>
      </c>
      <c r="AF581" s="25">
        <v>-1171.3125</v>
      </c>
      <c r="AG581" s="25">
        <v>-462.46874999999994</v>
      </c>
      <c r="AH581" s="25">
        <v>-1011.7708333333334</v>
      </c>
      <c r="AI581" s="25">
        <v>-843.79166666666663</v>
      </c>
      <c r="AJ581" s="25">
        <v>-953.89583333333337</v>
      </c>
      <c r="AK581" s="25">
        <v>-1844.125</v>
      </c>
      <c r="AL581" s="25">
        <v>18.097916666666674</v>
      </c>
      <c r="AM581" s="25">
        <v>17.114583333333336</v>
      </c>
      <c r="AN581" s="25">
        <v>16.214583333333319</v>
      </c>
      <c r="AO581" s="25">
        <v>15.820833333333328</v>
      </c>
      <c r="AP581" s="25">
        <v>18.985416666666666</v>
      </c>
      <c r="AQ581" s="25">
        <v>17.929166666666664</v>
      </c>
      <c r="AR581" s="25">
        <v>17.250000000000004</v>
      </c>
      <c r="AS581" s="25">
        <v>16.887499999999992</v>
      </c>
      <c r="AT581" s="25">
        <v>0.17614893617021274</v>
      </c>
      <c r="AU581" s="25">
        <v>0.11438888888888897</v>
      </c>
      <c r="AV581" s="25">
        <v>0.19431249999999997</v>
      </c>
      <c r="AW581" s="25">
        <v>-248.41249999999985</v>
      </c>
      <c r="AX581" s="25">
        <v>-231.94999999999996</v>
      </c>
      <c r="AY581" s="25">
        <v>-231.46037037037041</v>
      </c>
      <c r="AZ581" s="25"/>
      <c r="BA581" s="25">
        <v>-3221.4375</v>
      </c>
      <c r="BB581" s="25"/>
      <c r="BC581" s="25"/>
      <c r="BD581" s="25">
        <v>17.710416666666671</v>
      </c>
      <c r="BE581" s="25"/>
    </row>
    <row r="582" spans="1:57" x14ac:dyDescent="0.25">
      <c r="A582" s="1">
        <v>18.3</v>
      </c>
      <c r="B582" s="1">
        <v>10.9</v>
      </c>
      <c r="C582" s="22"/>
      <c r="D582" s="23">
        <v>44289</v>
      </c>
      <c r="E582" s="24">
        <v>105.5625</v>
      </c>
      <c r="F582" s="24">
        <v>78.575000000000003</v>
      </c>
      <c r="G582" s="24">
        <v>13.749999999999998</v>
      </c>
      <c r="H582" s="24">
        <v>0</v>
      </c>
      <c r="I582" s="24">
        <v>208.33333333333334</v>
      </c>
      <c r="J582" s="24">
        <v>6.416666666666667</v>
      </c>
      <c r="K582" s="24">
        <v>0.10416666666666667</v>
      </c>
      <c r="L582" s="24">
        <v>9.9979166666666703</v>
      </c>
      <c r="M582" s="10">
        <v>0.35986127476869217</v>
      </c>
      <c r="N582" s="25">
        <v>0.24245833333333314</v>
      </c>
      <c r="O582" s="25">
        <v>0.32320833333333321</v>
      </c>
      <c r="P582" s="25">
        <v>0.41116666666666685</v>
      </c>
      <c r="Q582" s="25">
        <v>0.41789583333333319</v>
      </c>
      <c r="R582" s="25">
        <v>0.41450000000000004</v>
      </c>
      <c r="S582" s="25">
        <v>0.31866666666666654</v>
      </c>
      <c r="T582" s="25">
        <v>0.32170833333333332</v>
      </c>
      <c r="U582" s="25">
        <v>0.27658333333333335</v>
      </c>
      <c r="V582" s="25">
        <v>-316.60833333333329</v>
      </c>
      <c r="W582" s="25">
        <v>-306.06041666666664</v>
      </c>
      <c r="X582" s="25">
        <v>-90.154166666666654</v>
      </c>
      <c r="Y582" s="25">
        <v>-101.21249999999999</v>
      </c>
      <c r="Z582" s="25">
        <v>-124.49583333333335</v>
      </c>
      <c r="AA582" s="25">
        <v>-175.32916666666665</v>
      </c>
      <c r="AB582" s="25">
        <v>-164.92291666666665</v>
      </c>
      <c r="AC582" s="25">
        <v>-133.20833333333334</v>
      </c>
      <c r="AD582" s="25">
        <v>-955.35416666666663</v>
      </c>
      <c r="AE582" s="25">
        <v>-852.02083333333337</v>
      </c>
      <c r="AF582" s="25">
        <v>-1237.5625</v>
      </c>
      <c r="AG582" s="25">
        <v>-470.62083333333334</v>
      </c>
      <c r="AH582" s="25">
        <v>-1075.5625</v>
      </c>
      <c r="AI582" s="25">
        <v>-955.375</v>
      </c>
      <c r="AJ582" s="25">
        <v>-1165.6041666666667</v>
      </c>
      <c r="AK582" s="25">
        <v>-2127.75</v>
      </c>
      <c r="AL582" s="25">
        <v>17.195833333333329</v>
      </c>
      <c r="AM582" s="25">
        <v>16.952083333333345</v>
      </c>
      <c r="AN582" s="25">
        <v>16.339583333333326</v>
      </c>
      <c r="AO582" s="25">
        <v>15.989583333333334</v>
      </c>
      <c r="AP582" s="25">
        <v>17.102083333333333</v>
      </c>
      <c r="AQ582" s="25">
        <v>17.281249999999993</v>
      </c>
      <c r="AR582" s="25">
        <v>17.025000000000009</v>
      </c>
      <c r="AS582" s="25">
        <v>16.856250000000006</v>
      </c>
      <c r="AT582" s="25">
        <v>0.16927083333333323</v>
      </c>
      <c r="AU582" s="25">
        <v>0.11115000000000005</v>
      </c>
      <c r="AV582" s="25">
        <v>0.19087499999999982</v>
      </c>
      <c r="AW582" s="25">
        <v>-268.28181818181821</v>
      </c>
      <c r="AX582" s="25">
        <v>-248.01875000000004</v>
      </c>
      <c r="AY582" s="25">
        <v>-269.93124999999998</v>
      </c>
      <c r="AZ582" s="25"/>
      <c r="BA582" s="25">
        <v>-4307.25</v>
      </c>
      <c r="BB582" s="25"/>
      <c r="BC582" s="25"/>
      <c r="BD582" s="25">
        <v>15.766666666666671</v>
      </c>
      <c r="BE582" s="25"/>
    </row>
    <row r="583" spans="1:57" x14ac:dyDescent="0.25">
      <c r="A583" s="1">
        <v>11.2</v>
      </c>
      <c r="B583" s="1">
        <v>9.3000000000000007</v>
      </c>
      <c r="C583" s="22"/>
      <c r="D583" s="23">
        <v>44290</v>
      </c>
      <c r="E583" s="24">
        <v>38.875</v>
      </c>
      <c r="F583" s="24">
        <v>93.010416666666686</v>
      </c>
      <c r="G583" s="24">
        <v>10.314583333333333</v>
      </c>
      <c r="H583" s="24">
        <v>0.60000000000000009</v>
      </c>
      <c r="I583" s="24">
        <v>201.91666666666666</v>
      </c>
      <c r="J583" s="24">
        <v>3.9375</v>
      </c>
      <c r="K583" s="24">
        <v>0.10416666666666667</v>
      </c>
      <c r="L583" s="24">
        <v>9.2250000000000014</v>
      </c>
      <c r="M583" s="10">
        <v>8.8720133971836659E-2</v>
      </c>
      <c r="N583" s="25">
        <v>0.23856249999999993</v>
      </c>
      <c r="O583" s="25">
        <v>0.31829166666666669</v>
      </c>
      <c r="P583" s="25">
        <v>0.40633333333333338</v>
      </c>
      <c r="Q583" s="25">
        <v>0.41495833333333337</v>
      </c>
      <c r="R583" s="25">
        <v>0.4083124999999998</v>
      </c>
      <c r="S583" s="25">
        <v>0.31595833333333317</v>
      </c>
      <c r="T583" s="25">
        <v>0.31918750000000018</v>
      </c>
      <c r="U583" s="25">
        <v>0.27541666666666681</v>
      </c>
      <c r="V583" s="25">
        <v>-320.20000000000005</v>
      </c>
      <c r="W583" s="25">
        <v>-322.43750000000006</v>
      </c>
      <c r="X583" s="25">
        <v>-99.908333333333346</v>
      </c>
      <c r="Y583" s="25">
        <v>-107.64375000000003</v>
      </c>
      <c r="Z583" s="25">
        <v>-149.33958333333337</v>
      </c>
      <c r="AA583" s="25">
        <v>-190.15</v>
      </c>
      <c r="AB583" s="25">
        <v>-174.37499999999997</v>
      </c>
      <c r="AC583" s="25">
        <v>-142.1354166666666</v>
      </c>
      <c r="AD583" s="25">
        <v>-1068.7083333333333</v>
      </c>
      <c r="AE583" s="25">
        <v>-919.95833333333337</v>
      </c>
      <c r="AF583" s="25">
        <v>-1286.6875</v>
      </c>
      <c r="AG583" s="25">
        <v>-471.62291666666675</v>
      </c>
      <c r="AH583" s="25">
        <v>-1030.625</v>
      </c>
      <c r="AI583" s="25">
        <v>-1047.2291666666667</v>
      </c>
      <c r="AJ583" s="25">
        <v>-1335.4583333333333</v>
      </c>
      <c r="AK583" s="25">
        <v>-2301.9166666666665</v>
      </c>
      <c r="AL583" s="25">
        <v>15.954166666666671</v>
      </c>
      <c r="AM583" s="25">
        <v>16.243749999999995</v>
      </c>
      <c r="AN583" s="25">
        <v>16.031249999999993</v>
      </c>
      <c r="AO583" s="25">
        <v>15.854166666666663</v>
      </c>
      <c r="AP583" s="25">
        <v>15.331250000000002</v>
      </c>
      <c r="AQ583" s="25">
        <v>16.110416666666669</v>
      </c>
      <c r="AR583" s="25">
        <v>16.191666666666663</v>
      </c>
      <c r="AS583" s="25">
        <v>16.227083333333329</v>
      </c>
      <c r="AT583" s="25">
        <v>0.16627083333333351</v>
      </c>
      <c r="AU583" s="25">
        <v>0.11000000000000001</v>
      </c>
      <c r="AV583" s="25">
        <v>0.18885416666666668</v>
      </c>
      <c r="AW583" s="25">
        <v>-286.58541666666667</v>
      </c>
      <c r="AX583" s="25">
        <v>-253.1</v>
      </c>
      <c r="AY583" s="25">
        <v>-295.47708333333338</v>
      </c>
      <c r="AZ583" s="25"/>
      <c r="BA583" s="25">
        <v>-5064.1875</v>
      </c>
      <c r="BB583" s="25"/>
      <c r="BC583" s="25"/>
      <c r="BD583" s="25">
        <v>14.214583333333335</v>
      </c>
      <c r="BE583" s="25"/>
    </row>
    <row r="584" spans="1:57" x14ac:dyDescent="0.25">
      <c r="A584" s="1">
        <v>11.9</v>
      </c>
      <c r="B584" s="1">
        <v>10.199999999999999</v>
      </c>
      <c r="C584" s="22"/>
      <c r="D584" s="23">
        <v>44291</v>
      </c>
      <c r="E584" s="24">
        <v>31.4375</v>
      </c>
      <c r="F584" s="24">
        <v>97.21875</v>
      </c>
      <c r="G584" s="24">
        <v>11.120833333333332</v>
      </c>
      <c r="H584" s="24">
        <v>1.4</v>
      </c>
      <c r="I584" s="24">
        <v>228.66666666666666</v>
      </c>
      <c r="J584" s="24">
        <v>3.4166666666666665</v>
      </c>
      <c r="K584" s="24">
        <v>8.3333333333333329E-2</v>
      </c>
      <c r="L584" s="24">
        <v>10.695833333333338</v>
      </c>
      <c r="M584" s="10">
        <v>3.6800447319997175E-2</v>
      </c>
      <c r="N584" s="25">
        <v>0.23635416666666684</v>
      </c>
      <c r="O584" s="25">
        <v>0.31472916666666678</v>
      </c>
      <c r="P584" s="25">
        <v>0.40231249999999985</v>
      </c>
      <c r="Q584" s="25">
        <v>0.41256250000000011</v>
      </c>
      <c r="R584" s="25">
        <v>0.40350000000000025</v>
      </c>
      <c r="S584" s="25">
        <v>0.31285416666666654</v>
      </c>
      <c r="T584" s="25">
        <v>0.31704166666666694</v>
      </c>
      <c r="U584" s="25">
        <v>0.27420833333333355</v>
      </c>
      <c r="V584" s="25">
        <v>-308.59583333333336</v>
      </c>
      <c r="W584" s="25">
        <v>-317.26041666666657</v>
      </c>
      <c r="X584" s="25">
        <v>-110.52083333333333</v>
      </c>
      <c r="Y584" s="25">
        <v>-114.95208333333333</v>
      </c>
      <c r="Z584" s="25">
        <v>-176.43541666666661</v>
      </c>
      <c r="AA584" s="25">
        <v>-201.60625000000002</v>
      </c>
      <c r="AB584" s="25">
        <v>-182.99791666666667</v>
      </c>
      <c r="AC584" s="25">
        <v>-152.45833333333331</v>
      </c>
      <c r="AD584" s="25">
        <v>-1150.625</v>
      </c>
      <c r="AE584" s="25">
        <v>-961.20833333333337</v>
      </c>
      <c r="AF584" s="25">
        <v>-1329.7916666666667</v>
      </c>
      <c r="AG584" s="25">
        <v>-473.26041666666674</v>
      </c>
      <c r="AH584" s="25">
        <v>-954.1875</v>
      </c>
      <c r="AI584" s="25">
        <v>-1101.125</v>
      </c>
      <c r="AJ584" s="25">
        <v>-1493.2291666666667</v>
      </c>
      <c r="AK584" s="25">
        <v>-2432.0833333333335</v>
      </c>
      <c r="AL584" s="25">
        <v>15.068749999999996</v>
      </c>
      <c r="AM584" s="25">
        <v>15.47708333333332</v>
      </c>
      <c r="AN584" s="25">
        <v>15.524999999999991</v>
      </c>
      <c r="AO584" s="25">
        <v>15.510416666666657</v>
      </c>
      <c r="AP584" s="25">
        <v>14.452083333333322</v>
      </c>
      <c r="AQ584" s="25">
        <v>15.15416666666667</v>
      </c>
      <c r="AR584" s="25">
        <v>15.354166666666677</v>
      </c>
      <c r="AS584" s="25">
        <v>15.474999999999993</v>
      </c>
      <c r="AT584" s="25">
        <v>0.16579166666666681</v>
      </c>
      <c r="AU584" s="25">
        <v>0.11000000000000004</v>
      </c>
      <c r="AV584" s="25">
        <v>0.18799999999999997</v>
      </c>
      <c r="AW584" s="25">
        <v>-300.53750000000002</v>
      </c>
      <c r="AX584" s="25">
        <v>-260.28124999999994</v>
      </c>
      <c r="AY584" s="25">
        <v>-308.29166666666669</v>
      </c>
      <c r="AZ584" s="25"/>
      <c r="BA584" s="25">
        <v>-5090.208333333333</v>
      </c>
      <c r="BB584" s="25"/>
      <c r="BC584" s="25"/>
      <c r="BD584" s="25">
        <v>13.929166666666662</v>
      </c>
      <c r="BE584" s="25"/>
    </row>
    <row r="585" spans="1:57" x14ac:dyDescent="0.25">
      <c r="A585" s="1">
        <v>14.3</v>
      </c>
      <c r="B585" s="1">
        <v>11.6</v>
      </c>
      <c r="C585" s="22"/>
      <c r="D585" s="23">
        <v>44292</v>
      </c>
      <c r="E585" s="24">
        <v>38.125</v>
      </c>
      <c r="F585" s="24">
        <v>97.53958333333334</v>
      </c>
      <c r="G585" s="24">
        <v>12.814583333333331</v>
      </c>
      <c r="H585" s="24">
        <v>11.899999999999995</v>
      </c>
      <c r="I585" s="24">
        <v>236.39583333333334</v>
      </c>
      <c r="J585" s="24">
        <v>4.416666666666667</v>
      </c>
      <c r="K585" s="24">
        <v>0.10416666666666667</v>
      </c>
      <c r="L585" s="24">
        <v>12.433333333333337</v>
      </c>
      <c r="M585" s="10">
        <v>3.7114833440757715E-2</v>
      </c>
      <c r="N585" s="25">
        <v>0.23660416666666659</v>
      </c>
      <c r="O585" s="25">
        <v>0.31358333333333338</v>
      </c>
      <c r="P585" s="25">
        <v>0.40014583333333326</v>
      </c>
      <c r="Q585" s="25">
        <v>0.41108333333333341</v>
      </c>
      <c r="R585" s="25">
        <v>0.4025625000000001</v>
      </c>
      <c r="S585" s="25">
        <v>0.30993749999999987</v>
      </c>
      <c r="T585" s="25">
        <v>0.3153958333333331</v>
      </c>
      <c r="U585" s="25">
        <v>0.27204166666666701</v>
      </c>
      <c r="V585" s="25">
        <v>-308.14166666666671</v>
      </c>
      <c r="W585" s="25">
        <v>-283.59166666666664</v>
      </c>
      <c r="X585" s="25">
        <v>-120.63749999999999</v>
      </c>
      <c r="Y585" s="25">
        <v>-122.05625000000003</v>
      </c>
      <c r="Z585" s="25">
        <v>-181.75145833333332</v>
      </c>
      <c r="AA585" s="25">
        <v>-209.10625000000007</v>
      </c>
      <c r="AB585" s="25">
        <v>-189.9375</v>
      </c>
      <c r="AC585" s="25">
        <v>-161.93333333333328</v>
      </c>
      <c r="AD585" s="25">
        <v>-864.59375000000011</v>
      </c>
      <c r="AE585" s="25">
        <v>-569.47291666666649</v>
      </c>
      <c r="AF585" s="25">
        <v>-1364</v>
      </c>
      <c r="AG585" s="25">
        <v>-475.37083333333322</v>
      </c>
      <c r="AH585" s="25">
        <v>-511.87916666666644</v>
      </c>
      <c r="AI585" s="25">
        <v>-1135.2708333333333</v>
      </c>
      <c r="AJ585" s="25">
        <v>-1539.6666666666667</v>
      </c>
      <c r="AK585" s="25">
        <v>-2473.1458333333335</v>
      </c>
      <c r="AL585" s="25">
        <v>14.841666666666667</v>
      </c>
      <c r="AM585" s="25">
        <v>15.066666666666668</v>
      </c>
      <c r="AN585" s="25">
        <v>15.12916666666667</v>
      </c>
      <c r="AO585" s="25">
        <v>15.175000000000004</v>
      </c>
      <c r="AP585" s="25">
        <v>14.493749999999997</v>
      </c>
      <c r="AQ585" s="25">
        <v>14.87916666666667</v>
      </c>
      <c r="AR585" s="25">
        <v>14.962499999999986</v>
      </c>
      <c r="AS585" s="25">
        <v>15.058333333333335</v>
      </c>
      <c r="AT585" s="25">
        <v>0.19260416666666666</v>
      </c>
      <c r="AU585" s="25">
        <v>0.16360416666666669</v>
      </c>
      <c r="AV585" s="25">
        <v>0.23289583333333339</v>
      </c>
      <c r="AW585" s="25">
        <v>-301.72222222222223</v>
      </c>
      <c r="AX585" s="25">
        <v>-192.27937500000007</v>
      </c>
      <c r="AY585" s="25">
        <v>-302.32708333333329</v>
      </c>
      <c r="AZ585" s="25"/>
      <c r="BA585" s="25">
        <v>-4117.260416666667</v>
      </c>
      <c r="BB585" s="25"/>
      <c r="BC585" s="25"/>
      <c r="BD585" s="25">
        <v>14.30208333333333</v>
      </c>
      <c r="BE585" s="25"/>
    </row>
    <row r="586" spans="1:57" x14ac:dyDescent="0.25">
      <c r="A586" s="1">
        <v>20</v>
      </c>
      <c r="B586" s="1">
        <v>11</v>
      </c>
      <c r="C586" s="22"/>
      <c r="D586" s="23">
        <v>44293</v>
      </c>
      <c r="E586" s="24">
        <v>105.41666666666667</v>
      </c>
      <c r="F586" s="24">
        <v>88.818750000000009</v>
      </c>
      <c r="G586" s="24">
        <v>13.897916666666669</v>
      </c>
      <c r="H586" s="24">
        <v>4.5999999999999996</v>
      </c>
      <c r="I586" s="24">
        <v>223.4375</v>
      </c>
      <c r="J586" s="24">
        <v>4.8125</v>
      </c>
      <c r="K586" s="24">
        <v>0.14583333333333334</v>
      </c>
      <c r="L586" s="24">
        <v>11.966666666666669</v>
      </c>
      <c r="M586" s="10">
        <v>0.20209113095810791</v>
      </c>
      <c r="N586" s="25">
        <v>0.2383333333333334</v>
      </c>
      <c r="O586" s="25">
        <v>0.314</v>
      </c>
      <c r="P586" s="25">
        <v>0.39960416666666682</v>
      </c>
      <c r="Q586" s="25">
        <v>0.41072916666666659</v>
      </c>
      <c r="R586" s="25">
        <v>0.43154166666666643</v>
      </c>
      <c r="S586" s="25">
        <v>0.3103749999999999</v>
      </c>
      <c r="T586" s="25">
        <v>0.31475000000000003</v>
      </c>
      <c r="U586" s="25">
        <v>0.27137500000000014</v>
      </c>
      <c r="V586" s="25">
        <v>-322.61875000000003</v>
      </c>
      <c r="W586" s="25">
        <v>-230.07291666666666</v>
      </c>
      <c r="X586" s="25">
        <v>-129.62708333333333</v>
      </c>
      <c r="Y586" s="25">
        <v>-127.07708333333335</v>
      </c>
      <c r="Z586" s="25">
        <v>-13.158333333333333</v>
      </c>
      <c r="AA586" s="25">
        <v>-203.09375000000003</v>
      </c>
      <c r="AB586" s="25">
        <v>-190.76249999999996</v>
      </c>
      <c r="AC586" s="25">
        <v>-168.11666666666665</v>
      </c>
      <c r="AD586" s="25">
        <v>-10.264583333333334</v>
      </c>
      <c r="AE586" s="25">
        <v>-241.19375000000005</v>
      </c>
      <c r="AF586" s="25">
        <v>-1374.0208333333333</v>
      </c>
      <c r="AG586" s="25">
        <v>-478.1541666666667</v>
      </c>
      <c r="AH586" s="25">
        <v>-14.78125</v>
      </c>
      <c r="AI586" s="25">
        <v>-1106.8541666666667</v>
      </c>
      <c r="AJ586" s="25">
        <v>-1565.2708333333333</v>
      </c>
      <c r="AK586" s="25">
        <v>-2489.4166666666665</v>
      </c>
      <c r="AL586" s="25">
        <v>14.958333333333329</v>
      </c>
      <c r="AM586" s="25">
        <v>14.958333333333323</v>
      </c>
      <c r="AN586" s="25">
        <v>14.937499999999986</v>
      </c>
      <c r="AO586" s="25">
        <v>14.960416666666658</v>
      </c>
      <c r="AP586" s="25">
        <v>14.964583333333332</v>
      </c>
      <c r="AQ586" s="25">
        <v>15.016666666666657</v>
      </c>
      <c r="AR586" s="25">
        <v>14.941666666666661</v>
      </c>
      <c r="AS586" s="25">
        <v>14.93124999999999</v>
      </c>
      <c r="AT586" s="25">
        <v>0.2480416666666666</v>
      </c>
      <c r="AU586" s="25">
        <v>0.23046874999999997</v>
      </c>
      <c r="AV586" s="25">
        <v>0.30250000000000005</v>
      </c>
      <c r="AW586" s="25">
        <v>-229.5914893617022</v>
      </c>
      <c r="AX586" s="25">
        <v>-17.956250000000001</v>
      </c>
      <c r="AY586" s="25">
        <v>-299.66666666666669</v>
      </c>
      <c r="AZ586" s="25"/>
      <c r="BA586" s="25">
        <v>-36.483333333333327</v>
      </c>
      <c r="BB586" s="25"/>
      <c r="BC586" s="25"/>
      <c r="BD586" s="25">
        <v>14.816666666666665</v>
      </c>
      <c r="BE586" s="25"/>
    </row>
    <row r="587" spans="1:57" x14ac:dyDescent="0.25">
      <c r="A587" s="1">
        <v>14.2</v>
      </c>
      <c r="B587" s="1">
        <v>9.9</v>
      </c>
      <c r="C587" s="22"/>
      <c r="D587" s="23">
        <v>44294</v>
      </c>
      <c r="E587" s="24">
        <v>42.520833333333336</v>
      </c>
      <c r="F587" s="24">
        <v>90.262499999999989</v>
      </c>
      <c r="G587" s="24">
        <v>11.391666666666666</v>
      </c>
      <c r="H587" s="24">
        <v>0.4</v>
      </c>
      <c r="I587" s="24">
        <v>222.1875</v>
      </c>
      <c r="J587" s="24">
        <v>3.8958333333333335</v>
      </c>
      <c r="K587" s="24">
        <v>0.125</v>
      </c>
      <c r="L587" s="24">
        <v>9.8166666666666647</v>
      </c>
      <c r="M587" s="10">
        <v>0.13753133386132926</v>
      </c>
      <c r="N587" s="25">
        <v>0.23902083333333349</v>
      </c>
      <c r="O587" s="25">
        <v>0.31366666666666687</v>
      </c>
      <c r="P587" s="25">
        <v>0.39937500000000054</v>
      </c>
      <c r="Q587" s="25">
        <v>0.41054166666666658</v>
      </c>
      <c r="R587" s="25">
        <v>0.43316666666666664</v>
      </c>
      <c r="S587" s="25">
        <v>0.31072916666666667</v>
      </c>
      <c r="T587" s="25">
        <v>0.31443750000000009</v>
      </c>
      <c r="U587" s="25">
        <v>0.27129166666666682</v>
      </c>
      <c r="V587" s="25">
        <v>-317.79999999999995</v>
      </c>
      <c r="W587" s="25">
        <v>-153.29583333333329</v>
      </c>
      <c r="X587" s="25">
        <v>-138.64791666666665</v>
      </c>
      <c r="Y587" s="25">
        <v>-132.4291666666667</v>
      </c>
      <c r="Z587" s="25">
        <v>-13.274166666666668</v>
      </c>
      <c r="AA587" s="25">
        <v>-195.12500000000003</v>
      </c>
      <c r="AB587" s="25">
        <v>-188.57500000000002</v>
      </c>
      <c r="AC587" s="25">
        <v>-171.46875000000009</v>
      </c>
      <c r="AD587" s="25">
        <v>-15.170833333333334</v>
      </c>
      <c r="AE587" s="25">
        <v>-407.88958333333341</v>
      </c>
      <c r="AF587" s="25">
        <v>-1343</v>
      </c>
      <c r="AG587" s="25">
        <v>-477.86875000000009</v>
      </c>
      <c r="AH587" s="25">
        <v>-15.956250000000002</v>
      </c>
      <c r="AI587" s="25">
        <v>-1088.2083333333333</v>
      </c>
      <c r="AJ587" s="25">
        <v>-1584.125</v>
      </c>
      <c r="AK587" s="25">
        <v>-2623.2708333333335</v>
      </c>
      <c r="AL587" s="25">
        <v>14.685416666666674</v>
      </c>
      <c r="AM587" s="25">
        <v>14.902083333333323</v>
      </c>
      <c r="AN587" s="25">
        <v>14.864583333333316</v>
      </c>
      <c r="AO587" s="25">
        <v>14.879166666666649</v>
      </c>
      <c r="AP587" s="25">
        <v>14.331249999999999</v>
      </c>
      <c r="AQ587" s="25">
        <v>14.870833333333342</v>
      </c>
      <c r="AR587" s="25">
        <v>14.897916666666669</v>
      </c>
      <c r="AS587" s="25">
        <v>14.891666666666659</v>
      </c>
      <c r="AT587" s="25">
        <v>0.26012499999999994</v>
      </c>
      <c r="AU587" s="25">
        <v>0.22737500000000002</v>
      </c>
      <c r="AV587" s="25">
        <v>0.29516666666666663</v>
      </c>
      <c r="AW587" s="25">
        <v>-128.51874999999998</v>
      </c>
      <c r="AX587" s="25">
        <v>-18.186875000000004</v>
      </c>
      <c r="AY587" s="25">
        <v>-317.58958333333322</v>
      </c>
      <c r="AZ587" s="25"/>
      <c r="BA587" s="25">
        <v>-11.393750000000002</v>
      </c>
      <c r="BB587" s="25"/>
      <c r="BC587" s="25"/>
      <c r="BD587" s="25">
        <v>13.837499999999999</v>
      </c>
      <c r="BE587" s="25"/>
    </row>
    <row r="588" spans="1:57" x14ac:dyDescent="0.25">
      <c r="A588" s="1">
        <v>10.7</v>
      </c>
      <c r="B588" s="1">
        <v>8.4</v>
      </c>
      <c r="C588" s="22"/>
      <c r="D588" s="23">
        <v>44295</v>
      </c>
      <c r="E588" s="24">
        <v>37.208333333333336</v>
      </c>
      <c r="F588" s="24">
        <v>91.995833333333323</v>
      </c>
      <c r="G588" s="24">
        <v>9.4520833333333343</v>
      </c>
      <c r="H588" s="24">
        <v>1.7999999999999998</v>
      </c>
      <c r="I588" s="24">
        <v>222.16666666666666</v>
      </c>
      <c r="J588" s="24">
        <v>5.270833333333333</v>
      </c>
      <c r="K588" s="24">
        <v>0.20833333333333334</v>
      </c>
      <c r="L588" s="24">
        <v>8.2041666666666657</v>
      </c>
      <c r="M588" s="10">
        <v>9.6062387734769425E-2</v>
      </c>
      <c r="N588" s="25">
        <v>0.23816666666666639</v>
      </c>
      <c r="O588" s="25">
        <v>0.31177083333333333</v>
      </c>
      <c r="P588" s="25">
        <v>0.39718750000000025</v>
      </c>
      <c r="Q588" s="25">
        <v>0.40931250000000041</v>
      </c>
      <c r="R588" s="25">
        <v>0.42664583333333322</v>
      </c>
      <c r="S588" s="25">
        <v>0.30985416666666654</v>
      </c>
      <c r="T588" s="25">
        <v>0.31393750000000004</v>
      </c>
      <c r="U588" s="25">
        <v>0.27108333333333362</v>
      </c>
      <c r="V588" s="25">
        <v>-307.18333333333334</v>
      </c>
      <c r="W588" s="25">
        <v>-77.76854166666665</v>
      </c>
      <c r="X588" s="25">
        <v>-150.00416666666669</v>
      </c>
      <c r="Y588" s="25">
        <v>-138.79583333333335</v>
      </c>
      <c r="Z588" s="25">
        <v>-14.173958333333333</v>
      </c>
      <c r="AA588" s="25">
        <v>-191.11666666666667</v>
      </c>
      <c r="AB588" s="25">
        <v>-188.89375000000004</v>
      </c>
      <c r="AC588" s="25">
        <v>-176.57708333333326</v>
      </c>
      <c r="AD588" s="25">
        <v>-27.552083333333329</v>
      </c>
      <c r="AE588" s="25">
        <v>-502.61458333333326</v>
      </c>
      <c r="AF588" s="25">
        <v>-1359.5416666666667</v>
      </c>
      <c r="AG588" s="25">
        <v>-480.1895833333333</v>
      </c>
      <c r="AH588" s="25">
        <v>-18.672916666666666</v>
      </c>
      <c r="AI588" s="25">
        <v>-1119.75</v>
      </c>
      <c r="AJ588" s="25">
        <v>-1672</v>
      </c>
      <c r="AK588" s="25">
        <v>-2760.1666666666665</v>
      </c>
      <c r="AL588" s="25">
        <v>13.881250000000003</v>
      </c>
      <c r="AM588" s="25">
        <v>14.456249999999997</v>
      </c>
      <c r="AN588" s="25">
        <v>14.62916666666667</v>
      </c>
      <c r="AO588" s="25">
        <v>14.712500000000006</v>
      </c>
      <c r="AP588" s="25">
        <v>13.193750000000007</v>
      </c>
      <c r="AQ588" s="25">
        <v>14.179166666666665</v>
      </c>
      <c r="AR588" s="25">
        <v>14.400000000000007</v>
      </c>
      <c r="AS588" s="25">
        <v>14.489583333333321</v>
      </c>
      <c r="AT588" s="25">
        <v>0.25860416666666647</v>
      </c>
      <c r="AU588" s="25">
        <v>0.21457446808510647</v>
      </c>
      <c r="AV588" s="25">
        <v>0.28579166666666661</v>
      </c>
      <c r="AW588" s="25">
        <v>-125.41249999999992</v>
      </c>
      <c r="AX588" s="25">
        <v>-25.895833333333332</v>
      </c>
      <c r="AY588" s="25">
        <v>-321.35416666666669</v>
      </c>
      <c r="AZ588" s="25"/>
      <c r="BA588" s="25">
        <v>-11</v>
      </c>
      <c r="BB588" s="25"/>
      <c r="BC588" s="25"/>
      <c r="BD588" s="25">
        <v>12.98958333333333</v>
      </c>
      <c r="BE588" s="25"/>
    </row>
    <row r="589" spans="1:57" x14ac:dyDescent="0.25">
      <c r="A589" s="1">
        <v>12.3</v>
      </c>
      <c r="B589" s="1">
        <v>8.6999999999999993</v>
      </c>
      <c r="C589" s="22"/>
      <c r="D589" s="23">
        <v>44296</v>
      </c>
      <c r="E589" s="24">
        <v>44.875</v>
      </c>
      <c r="F589" s="24">
        <v>95.216666666666697</v>
      </c>
      <c r="G589" s="24">
        <v>10.170833333333333</v>
      </c>
      <c r="H589" s="24">
        <v>2.9000000000000004</v>
      </c>
      <c r="I589" s="24">
        <v>226.70833333333334</v>
      </c>
      <c r="J589" s="24">
        <v>4.375</v>
      </c>
      <c r="K589" s="24">
        <v>6.25E-2</v>
      </c>
      <c r="L589" s="24">
        <v>9.4395833333333332</v>
      </c>
      <c r="M589" s="10">
        <v>6.1575015691382462E-2</v>
      </c>
      <c r="N589" s="25">
        <v>0.23760416666666651</v>
      </c>
      <c r="O589" s="25">
        <v>0.31016666666666681</v>
      </c>
      <c r="P589" s="25">
        <v>0.39512499999999978</v>
      </c>
      <c r="Q589" s="25">
        <v>0.40766666666666662</v>
      </c>
      <c r="R589" s="25">
        <v>0.42181249999999976</v>
      </c>
      <c r="S589" s="25">
        <v>0.30781249999999988</v>
      </c>
      <c r="T589" s="25">
        <v>0.31308333333333355</v>
      </c>
      <c r="U589" s="25">
        <v>0.26991666666666647</v>
      </c>
      <c r="V589" s="25">
        <v>-292.2</v>
      </c>
      <c r="W589" s="25">
        <v>-42.901666666666671</v>
      </c>
      <c r="X589" s="25">
        <v>-163.03750000000002</v>
      </c>
      <c r="Y589" s="25">
        <v>-146.21250000000003</v>
      </c>
      <c r="Z589" s="25">
        <v>-16.930833333333332</v>
      </c>
      <c r="AA589" s="25">
        <v>-188.66666666666666</v>
      </c>
      <c r="AB589" s="25">
        <v>-190.66458333333335</v>
      </c>
      <c r="AC589" s="25">
        <v>-183.22083333333333</v>
      </c>
      <c r="AD589" s="25">
        <v>-41.047916666666666</v>
      </c>
      <c r="AE589" s="25">
        <v>-565.48958333333337</v>
      </c>
      <c r="AF589" s="25">
        <v>-1410.125</v>
      </c>
      <c r="AG589" s="25">
        <v>-483.26666666666648</v>
      </c>
      <c r="AH589" s="25">
        <v>-23.360416666666669</v>
      </c>
      <c r="AI589" s="25">
        <v>-1139.125</v>
      </c>
      <c r="AJ589" s="25">
        <v>-1740.1458333333333</v>
      </c>
      <c r="AK589" s="25">
        <v>-2873.5</v>
      </c>
      <c r="AL589" s="25">
        <v>13.391666666666664</v>
      </c>
      <c r="AM589" s="25">
        <v>13.997916666666654</v>
      </c>
      <c r="AN589" s="25">
        <v>14.281250000000012</v>
      </c>
      <c r="AO589" s="25">
        <v>14.445833333333319</v>
      </c>
      <c r="AP589" s="25">
        <v>12.829166666666671</v>
      </c>
      <c r="AQ589" s="25">
        <v>13.597916666666672</v>
      </c>
      <c r="AR589" s="25">
        <v>13.860416666666673</v>
      </c>
      <c r="AS589" s="25">
        <v>14.024999999999991</v>
      </c>
      <c r="AT589" s="25">
        <v>0.26289583333333344</v>
      </c>
      <c r="AU589" s="25">
        <v>0.21408333333333343</v>
      </c>
      <c r="AV589" s="25">
        <v>0.28104166666666669</v>
      </c>
      <c r="AW589" s="25">
        <v>-148.04166666666669</v>
      </c>
      <c r="AX589" s="25">
        <v>-32.617916666666666</v>
      </c>
      <c r="AY589" s="25">
        <v>-305.35416666666663</v>
      </c>
      <c r="AZ589" s="25"/>
      <c r="BA589" s="25">
        <v>-10.920833333333325</v>
      </c>
      <c r="BB589" s="25"/>
      <c r="BC589" s="25"/>
      <c r="BD589" s="25">
        <v>13.012500000000003</v>
      </c>
      <c r="BE589" s="25"/>
    </row>
    <row r="590" spans="1:57" x14ac:dyDescent="0.25">
      <c r="A590" s="1">
        <v>13.3</v>
      </c>
      <c r="B590" s="1">
        <v>9.6999999999999993</v>
      </c>
      <c r="C590" s="22"/>
      <c r="D590" s="23">
        <v>44297</v>
      </c>
      <c r="E590" s="24">
        <v>38.479166666666664</v>
      </c>
      <c r="F590" s="24">
        <v>97.397916666666674</v>
      </c>
      <c r="G590" s="24">
        <v>11.389583333333334</v>
      </c>
      <c r="H590" s="24">
        <v>3.600000000000001</v>
      </c>
      <c r="I590" s="24">
        <v>236.70833333333334</v>
      </c>
      <c r="J590" s="24">
        <v>2.0625</v>
      </c>
      <c r="K590" s="24">
        <v>0</v>
      </c>
      <c r="L590" s="24">
        <v>10.987500000000002</v>
      </c>
      <c r="M590" s="10">
        <v>3.5669593115360602E-2</v>
      </c>
      <c r="N590" s="25">
        <v>0.23912500000000003</v>
      </c>
      <c r="O590" s="25">
        <v>0.31000000000000011</v>
      </c>
      <c r="P590" s="25">
        <v>0.3941666666666665</v>
      </c>
      <c r="Q590" s="25">
        <v>0.40697916666666667</v>
      </c>
      <c r="R590" s="25">
        <v>0.43229166666666652</v>
      </c>
      <c r="S590" s="25">
        <v>0.30662499999999987</v>
      </c>
      <c r="T590" s="25">
        <v>0.31233333333333313</v>
      </c>
      <c r="U590" s="25">
        <v>0.26900000000000007</v>
      </c>
      <c r="V590" s="25">
        <v>-274.00208333333325</v>
      </c>
      <c r="W590" s="25">
        <v>-57.165208333333332</v>
      </c>
      <c r="X590" s="25">
        <v>-174.86875000000001</v>
      </c>
      <c r="Y590" s="25">
        <v>-153.01458333333332</v>
      </c>
      <c r="Z590" s="25">
        <v>-13.725000000000001</v>
      </c>
      <c r="AA590" s="25">
        <v>-186.66250000000002</v>
      </c>
      <c r="AB590" s="25">
        <v>-191.68541666666667</v>
      </c>
      <c r="AC590" s="25">
        <v>-188.84791666666663</v>
      </c>
      <c r="AD590" s="25">
        <v>-42.954166666666659</v>
      </c>
      <c r="AE590" s="25">
        <v>-602.51666666666677</v>
      </c>
      <c r="AF590" s="25">
        <v>-1439.3958333333333</v>
      </c>
      <c r="AG590" s="25">
        <v>-488.43541666666664</v>
      </c>
      <c r="AH590" s="25">
        <v>-20.541666666666661</v>
      </c>
      <c r="AI590" s="25">
        <v>-1107.4583333333333</v>
      </c>
      <c r="AJ590" s="25">
        <v>-1751.7291666666667</v>
      </c>
      <c r="AK590" s="25">
        <v>-2871.8125</v>
      </c>
      <c r="AL590" s="25">
        <v>13.372916666666669</v>
      </c>
      <c r="AM590" s="25">
        <v>13.762500000000005</v>
      </c>
      <c r="AN590" s="25">
        <v>14.050000000000002</v>
      </c>
      <c r="AO590" s="25">
        <v>14.218750000000005</v>
      </c>
      <c r="AP590" s="25">
        <v>13.062499999999995</v>
      </c>
      <c r="AQ590" s="25">
        <v>13.531250000000002</v>
      </c>
      <c r="AR590" s="25">
        <v>13.662500000000014</v>
      </c>
      <c r="AS590" s="25">
        <v>13.777083333333342</v>
      </c>
      <c r="AT590" s="25">
        <v>0.28810416666666655</v>
      </c>
      <c r="AU590" s="25">
        <v>0.24124999999999999</v>
      </c>
      <c r="AV590" s="25">
        <v>0.31504166666666661</v>
      </c>
      <c r="AW590" s="25">
        <v>-88.058750000000018</v>
      </c>
      <c r="AX590" s="25">
        <v>-20.235624999999995</v>
      </c>
      <c r="AY590" s="25">
        <v>-292.2604166666668</v>
      </c>
      <c r="AZ590" s="25"/>
      <c r="BA590" s="25">
        <v>-10.556249999999997</v>
      </c>
      <c r="BB590" s="25"/>
      <c r="BC590" s="25"/>
      <c r="BD590" s="25">
        <v>13.266666666666666</v>
      </c>
      <c r="BE590" s="25"/>
    </row>
    <row r="591" spans="1:57" x14ac:dyDescent="0.25">
      <c r="A591" s="1">
        <v>17.100000000000001</v>
      </c>
      <c r="B591" s="1">
        <v>9.8000000000000007</v>
      </c>
      <c r="C591" s="22"/>
      <c r="D591" s="23">
        <v>44298</v>
      </c>
      <c r="E591" s="24">
        <v>79.5</v>
      </c>
      <c r="F591" s="24">
        <v>91.208333333333314</v>
      </c>
      <c r="G591" s="24">
        <v>12.914583333333335</v>
      </c>
      <c r="H591" s="24">
        <v>0.8</v>
      </c>
      <c r="I591" s="24">
        <v>185.20833333333334</v>
      </c>
      <c r="J591" s="24">
        <v>2.4166666666666665</v>
      </c>
      <c r="K591" s="24">
        <v>0</v>
      </c>
      <c r="L591" s="24">
        <v>11.439583333333333</v>
      </c>
      <c r="M591" s="10">
        <v>0.15381391675093595</v>
      </c>
      <c r="N591" s="25">
        <v>0.24070833333333344</v>
      </c>
      <c r="O591" s="25">
        <v>0.31022916666666667</v>
      </c>
      <c r="P591" s="25">
        <v>0.39418749999999997</v>
      </c>
      <c r="Q591" s="25">
        <v>0.40643750000000001</v>
      </c>
      <c r="R591" s="25">
        <v>0.44431250000000011</v>
      </c>
      <c r="S591" s="25">
        <v>0.3075208333333333</v>
      </c>
      <c r="T591" s="25">
        <v>0.3120416666666665</v>
      </c>
      <c r="U591" s="25">
        <v>0.26900000000000007</v>
      </c>
      <c r="V591" s="25">
        <v>-249.51666666666665</v>
      </c>
      <c r="W591" s="25">
        <v>-102.52229166666665</v>
      </c>
      <c r="X591" s="25">
        <v>-184.46874999999997</v>
      </c>
      <c r="Y591" s="25">
        <v>-158.71458333333331</v>
      </c>
      <c r="Z591" s="25">
        <v>-13.084583333333326</v>
      </c>
      <c r="AA591" s="25">
        <v>-183.94166666666672</v>
      </c>
      <c r="AB591" s="25">
        <v>-191.33749999999998</v>
      </c>
      <c r="AC591" s="25">
        <v>-191.64583333333337</v>
      </c>
      <c r="AD591" s="25">
        <v>-11.779166666666677</v>
      </c>
      <c r="AE591" s="25">
        <v>-608.43541666666681</v>
      </c>
      <c r="AF591" s="25">
        <v>-1444.4583333333333</v>
      </c>
      <c r="AG591" s="25">
        <v>-488.9395833333333</v>
      </c>
      <c r="AH591" s="25">
        <v>-12.797916666666664</v>
      </c>
      <c r="AI591" s="25">
        <v>-1073.875</v>
      </c>
      <c r="AJ591" s="25">
        <v>-1744.1666666666667</v>
      </c>
      <c r="AK591" s="25">
        <v>-2797.2916666666665</v>
      </c>
      <c r="AL591" s="25">
        <v>13.660416666666665</v>
      </c>
      <c r="AM591" s="25">
        <v>13.774999999999991</v>
      </c>
      <c r="AN591" s="25">
        <v>13.958333333333323</v>
      </c>
      <c r="AO591" s="25">
        <v>14.10000000000001</v>
      </c>
      <c r="AP591" s="25">
        <v>13.570833333333333</v>
      </c>
      <c r="AQ591" s="25">
        <v>13.731250000000005</v>
      </c>
      <c r="AR591" s="25">
        <v>13.70833333333333</v>
      </c>
      <c r="AS591" s="25">
        <v>13.710416666666662</v>
      </c>
      <c r="AT591" s="25">
        <v>0.31720833333333326</v>
      </c>
      <c r="AU591" s="25">
        <v>0.24119565217391306</v>
      </c>
      <c r="AV591" s="25">
        <v>0.3725</v>
      </c>
      <c r="AW591" s="25">
        <v>-25.258749999999992</v>
      </c>
      <c r="AX591" s="25">
        <v>-16.562916666666663</v>
      </c>
      <c r="AY591" s="25">
        <v>-272.00384615384615</v>
      </c>
      <c r="AZ591" s="25"/>
      <c r="BA591" s="25">
        <v>-10.431249999999997</v>
      </c>
      <c r="BB591" s="25"/>
      <c r="BC591" s="25"/>
      <c r="BD591" s="25">
        <v>13.810416666666669</v>
      </c>
      <c r="BE591" s="25"/>
    </row>
    <row r="592" spans="1:57" x14ac:dyDescent="0.25">
      <c r="A592" s="1">
        <v>16.2</v>
      </c>
      <c r="B592" s="1">
        <v>10.9</v>
      </c>
      <c r="C592" s="22"/>
      <c r="D592" s="23">
        <v>44299</v>
      </c>
      <c r="E592" s="24">
        <v>58.333333333333336</v>
      </c>
      <c r="F592" s="24">
        <v>93.127083333333346</v>
      </c>
      <c r="G592" s="24">
        <v>12.987499999999997</v>
      </c>
      <c r="H592" s="24">
        <v>2.2999999999999998</v>
      </c>
      <c r="I592" s="24">
        <v>178.70833333333334</v>
      </c>
      <c r="J592" s="24">
        <v>2.125</v>
      </c>
      <c r="K592" s="24">
        <v>0</v>
      </c>
      <c r="L592" s="24">
        <v>11.862500000000002</v>
      </c>
      <c r="M592" s="10">
        <v>0.11241783160414891</v>
      </c>
      <c r="N592" s="25">
        <v>0.24322916666666672</v>
      </c>
      <c r="O592" s="25">
        <v>0.31118749999999989</v>
      </c>
      <c r="P592" s="25">
        <v>0.3950208333333331</v>
      </c>
      <c r="Q592" s="25">
        <v>0.40675</v>
      </c>
      <c r="R592" s="25">
        <v>0.43993749999999981</v>
      </c>
      <c r="S592" s="25">
        <v>0.30866666666666648</v>
      </c>
      <c r="T592" s="25">
        <v>0.31302083333333358</v>
      </c>
      <c r="U592" s="25">
        <v>0.26900000000000007</v>
      </c>
      <c r="V592" s="25">
        <v>-210.80416666666659</v>
      </c>
      <c r="W592" s="25">
        <v>-143.06250000000003</v>
      </c>
      <c r="X592" s="25">
        <v>-191.55208333333337</v>
      </c>
      <c r="Y592" s="25">
        <v>-163.35</v>
      </c>
      <c r="Z592" s="25">
        <v>-13.293958333333334</v>
      </c>
      <c r="AA592" s="25">
        <v>-181.04791666666668</v>
      </c>
      <c r="AB592" s="25">
        <v>-189.85833333333326</v>
      </c>
      <c r="AC592" s="25">
        <v>-192.88125000000002</v>
      </c>
      <c r="AD592" s="25">
        <v>-10.414583333333333</v>
      </c>
      <c r="AE592" s="25">
        <v>-603.75625000000002</v>
      </c>
      <c r="AF592" s="25">
        <v>-1436.1458333333333</v>
      </c>
      <c r="AG592" s="25">
        <v>-489.44166666666666</v>
      </c>
      <c r="AH592" s="25">
        <v>-13.127083333333331</v>
      </c>
      <c r="AI592" s="25">
        <v>-1043.5208333333333</v>
      </c>
      <c r="AJ592" s="25">
        <v>-1721.1458333333333</v>
      </c>
      <c r="AK592" s="25">
        <v>-2749.5208333333335</v>
      </c>
      <c r="AL592" s="25">
        <v>14.027083333333344</v>
      </c>
      <c r="AM592" s="25">
        <v>14.016666666666671</v>
      </c>
      <c r="AN592" s="25">
        <v>14</v>
      </c>
      <c r="AO592" s="25">
        <v>14.10000000000001</v>
      </c>
      <c r="AP592" s="25">
        <v>14.002083333333331</v>
      </c>
      <c r="AQ592" s="25">
        <v>14.089583333333344</v>
      </c>
      <c r="AR592" s="25">
        <v>14.002083333333337</v>
      </c>
      <c r="AS592" s="25">
        <v>13.912499999999993</v>
      </c>
      <c r="AT592" s="25">
        <v>0.31877083333333345</v>
      </c>
      <c r="AU592" s="25">
        <v>0.2312127659574468</v>
      </c>
      <c r="AV592" s="25">
        <v>0.37660416666666657</v>
      </c>
      <c r="AW592" s="25">
        <v>-22.686458333333331</v>
      </c>
      <c r="AX592" s="25">
        <v>-16.396041666666665</v>
      </c>
      <c r="AY592" s="25"/>
      <c r="AZ592" s="25"/>
      <c r="BA592" s="25">
        <v>-10.464583333333332</v>
      </c>
      <c r="BB592" s="25"/>
      <c r="BC592" s="25"/>
      <c r="BD592" s="25">
        <v>13.993750000000006</v>
      </c>
      <c r="BE592" s="25"/>
    </row>
    <row r="593" spans="1:57" x14ac:dyDescent="0.25">
      <c r="A593" s="1">
        <v>18.899999999999999</v>
      </c>
      <c r="B593" s="1">
        <v>11.5</v>
      </c>
      <c r="C593" s="22"/>
      <c r="D593" s="23">
        <v>44300</v>
      </c>
      <c r="E593" s="24">
        <v>117.41666666666667</v>
      </c>
      <c r="F593" s="24">
        <v>88.897916666666674</v>
      </c>
      <c r="G593" s="24">
        <v>14.010416666666666</v>
      </c>
      <c r="H593" s="24">
        <v>1.2</v>
      </c>
      <c r="I593" s="24">
        <v>216.16666666666666</v>
      </c>
      <c r="J593" s="24">
        <v>4.541666666666667</v>
      </c>
      <c r="K593" s="24">
        <v>0.22916666666666666</v>
      </c>
      <c r="L593" s="24">
        <v>12.099999999999996</v>
      </c>
      <c r="M593" s="10">
        <v>0.20191572694101514</v>
      </c>
      <c r="N593" s="25">
        <v>0.24458333333333326</v>
      </c>
      <c r="O593" s="25">
        <v>0.31220833333333337</v>
      </c>
      <c r="P593" s="25">
        <v>0.39597916666666699</v>
      </c>
      <c r="Q593" s="25">
        <v>0.40699999999999997</v>
      </c>
      <c r="R593" s="25">
        <v>0.43664583333333296</v>
      </c>
      <c r="S593" s="25">
        <v>0.3093333333333334</v>
      </c>
      <c r="T593" s="25">
        <v>0.31362500000000015</v>
      </c>
      <c r="U593" s="25">
        <v>0.26935416666666656</v>
      </c>
      <c r="V593" s="25">
        <v>-184.75</v>
      </c>
      <c r="W593" s="25">
        <v>-167.00625000000002</v>
      </c>
      <c r="X593" s="25">
        <v>-197.14166666666668</v>
      </c>
      <c r="Y593" s="25">
        <v>-167.57708333333332</v>
      </c>
      <c r="Z593" s="25">
        <v>-13.420833333333334</v>
      </c>
      <c r="AA593" s="25">
        <v>-178.64791666666667</v>
      </c>
      <c r="AB593" s="25">
        <v>-188.46458333333331</v>
      </c>
      <c r="AC593" s="25">
        <v>-193.43541666666667</v>
      </c>
      <c r="AD593" s="25">
        <v>-12.531250000000002</v>
      </c>
      <c r="AE593" s="25">
        <v>-600.46666666666658</v>
      </c>
      <c r="AF593" s="25">
        <v>-1417.2916666666667</v>
      </c>
      <c r="AG593" s="25">
        <v>-487.96041666666679</v>
      </c>
      <c r="AH593" s="25">
        <v>-13.202083333333333</v>
      </c>
      <c r="AI593" s="25">
        <v>-994.60416666666663</v>
      </c>
      <c r="AJ593" s="25">
        <v>-1678.8333333333333</v>
      </c>
      <c r="AK593" s="25">
        <v>-2667.25</v>
      </c>
      <c r="AL593" s="25">
        <v>14.316666666666677</v>
      </c>
      <c r="AM593" s="25">
        <v>14.147916666666667</v>
      </c>
      <c r="AN593" s="25">
        <v>14.093750000000012</v>
      </c>
      <c r="AO593" s="25">
        <v>14.102083333333345</v>
      </c>
      <c r="AP593" s="25">
        <v>14.460416666666667</v>
      </c>
      <c r="AQ593" s="25">
        <v>14.295833333333336</v>
      </c>
      <c r="AR593" s="25">
        <v>14.135416666666671</v>
      </c>
      <c r="AS593" s="25">
        <v>14.022916666666672</v>
      </c>
      <c r="AT593" s="25">
        <v>0.3243125</v>
      </c>
      <c r="AU593" s="25">
        <v>0.23638636363636351</v>
      </c>
      <c r="AV593" s="25">
        <v>0.39454166666666673</v>
      </c>
      <c r="AW593" s="25">
        <v>-22.964583333333334</v>
      </c>
      <c r="AX593" s="25">
        <v>-16.349166666666669</v>
      </c>
      <c r="AY593" s="25">
        <v>-193.07142857142858</v>
      </c>
      <c r="AZ593" s="25"/>
      <c r="BA593" s="25">
        <v>-10.345833333333328</v>
      </c>
      <c r="BB593" s="25"/>
      <c r="BC593" s="25"/>
      <c r="BD593" s="25">
        <v>14.533333333333337</v>
      </c>
      <c r="BE593" s="25"/>
    </row>
    <row r="594" spans="1:57" x14ac:dyDescent="0.25">
      <c r="A594" s="1">
        <v>16.100000000000001</v>
      </c>
      <c r="B594" s="1">
        <v>10.9</v>
      </c>
      <c r="C594" s="22"/>
      <c r="D594" s="23">
        <v>44301</v>
      </c>
      <c r="E594" s="24">
        <v>51.375</v>
      </c>
      <c r="F594" s="24">
        <v>93.360416666666666</v>
      </c>
      <c r="G594" s="24">
        <v>12.666666666666666</v>
      </c>
      <c r="H594" s="24">
        <v>0.4</v>
      </c>
      <c r="I594" s="24">
        <v>230.41666666666666</v>
      </c>
      <c r="J594" s="24">
        <v>3.1875</v>
      </c>
      <c r="K594" s="24">
        <v>0</v>
      </c>
      <c r="L594" s="24">
        <v>11.606249999999998</v>
      </c>
      <c r="M594" s="10">
        <v>0.10434639520127058</v>
      </c>
      <c r="N594" s="25">
        <v>0.24568750000000017</v>
      </c>
      <c r="O594" s="25">
        <v>0.31283333333333346</v>
      </c>
      <c r="P594" s="25">
        <v>0.39652083333333382</v>
      </c>
      <c r="Q594" s="25">
        <v>0.40702083333333333</v>
      </c>
      <c r="R594" s="25">
        <v>0.43295833333333317</v>
      </c>
      <c r="S594" s="25">
        <v>0.31054166666666666</v>
      </c>
      <c r="T594" s="25">
        <v>0.314</v>
      </c>
      <c r="U594" s="25">
        <v>0.26999999999999974</v>
      </c>
      <c r="V594" s="25">
        <v>-171.61874999999998</v>
      </c>
      <c r="W594" s="25">
        <v>-177.70208333333335</v>
      </c>
      <c r="X594" s="25">
        <v>-200.99374999999989</v>
      </c>
      <c r="Y594" s="25">
        <v>-170.61458333333334</v>
      </c>
      <c r="Z594" s="25">
        <v>-14.102916666666667</v>
      </c>
      <c r="AA594" s="25">
        <v>-176.51041666666663</v>
      </c>
      <c r="AB594" s="25">
        <v>-186.83958333333337</v>
      </c>
      <c r="AC594" s="25">
        <v>-193.62916666666672</v>
      </c>
      <c r="AD594" s="25">
        <v>-20.354166666666668</v>
      </c>
      <c r="AE594" s="25">
        <v>-600.21874999999989</v>
      </c>
      <c r="AF594" s="25">
        <v>-1382.5416666666667</v>
      </c>
      <c r="AG594" s="25">
        <v>-485.32499999999987</v>
      </c>
      <c r="AH594" s="25">
        <v>-13.843749999999995</v>
      </c>
      <c r="AI594" s="25">
        <v>-965.77083333333337</v>
      </c>
      <c r="AJ594" s="25">
        <v>-1632.3541666666667</v>
      </c>
      <c r="AK594" s="25">
        <v>-2686.7916666666665</v>
      </c>
      <c r="AL594" s="25">
        <v>14.347916666666661</v>
      </c>
      <c r="AM594" s="25">
        <v>14.331249999999995</v>
      </c>
      <c r="AN594" s="25">
        <v>14.195833333333338</v>
      </c>
      <c r="AO594" s="25">
        <v>14.200000000000005</v>
      </c>
      <c r="AP594" s="25">
        <v>14.249999999999995</v>
      </c>
      <c r="AQ594" s="25">
        <v>14.40833333333333</v>
      </c>
      <c r="AR594" s="25">
        <v>14.270833333333345</v>
      </c>
      <c r="AS594" s="25">
        <v>14.168750000000003</v>
      </c>
      <c r="AT594" s="25">
        <v>0.31724999999999987</v>
      </c>
      <c r="AU594" s="25">
        <v>0.22431249999999994</v>
      </c>
      <c r="AV594" s="25">
        <v>0.38414583333333341</v>
      </c>
      <c r="AW594" s="25">
        <v>-22.705416666666665</v>
      </c>
      <c r="AX594" s="25">
        <v>-16.774583333333332</v>
      </c>
      <c r="AY594" s="25"/>
      <c r="AZ594" s="25"/>
      <c r="BA594" s="25">
        <v>-10.406249999999991</v>
      </c>
      <c r="BB594" s="25"/>
      <c r="BC594" s="25"/>
      <c r="BD594" s="25">
        <v>14.100000000000001</v>
      </c>
      <c r="BE594" s="25"/>
    </row>
    <row r="595" spans="1:57" x14ac:dyDescent="0.25">
      <c r="A595" s="1">
        <v>17.100000000000001</v>
      </c>
      <c r="B595" s="1">
        <v>11.3</v>
      </c>
      <c r="C595" s="22"/>
      <c r="D595" s="23">
        <v>44302</v>
      </c>
      <c r="E595" s="24">
        <v>70.083333333333329</v>
      </c>
      <c r="F595" s="24">
        <v>89.38124999999998</v>
      </c>
      <c r="G595" s="24">
        <v>13.152083333333337</v>
      </c>
      <c r="H595" s="24">
        <v>4.5</v>
      </c>
      <c r="I595" s="24">
        <v>207.1875</v>
      </c>
      <c r="J595" s="24">
        <v>2.4583333333333335</v>
      </c>
      <c r="K595" s="24">
        <v>0</v>
      </c>
      <c r="L595" s="24">
        <v>11.389583333333329</v>
      </c>
      <c r="M595" s="10">
        <v>0.17337393730361986</v>
      </c>
      <c r="N595" s="25">
        <v>0.24691666666666648</v>
      </c>
      <c r="O595" s="25">
        <v>0.31291666666666684</v>
      </c>
      <c r="P595" s="25">
        <v>0.39610416666666709</v>
      </c>
      <c r="Q595" s="25">
        <v>0.4072291666666667</v>
      </c>
      <c r="R595" s="25">
        <v>0.4500625000000002</v>
      </c>
      <c r="S595" s="25">
        <v>0.3101875</v>
      </c>
      <c r="T595" s="25">
        <v>0.314</v>
      </c>
      <c r="U595" s="25">
        <v>0.26960416666666648</v>
      </c>
      <c r="V595" s="25">
        <v>-161.67708333333329</v>
      </c>
      <c r="W595" s="25">
        <v>-196.77500000000001</v>
      </c>
      <c r="X595" s="25">
        <v>-205.05416666666665</v>
      </c>
      <c r="Y595" s="25">
        <v>-174.29791666666665</v>
      </c>
      <c r="Z595" s="25">
        <v>-13.343958333333328</v>
      </c>
      <c r="AA595" s="25">
        <v>-175.4770833333333</v>
      </c>
      <c r="AB595" s="25">
        <v>-186.35416666666671</v>
      </c>
      <c r="AC595" s="25">
        <v>-194.31875000000002</v>
      </c>
      <c r="AD595" s="25">
        <v>-16.633333333333333</v>
      </c>
      <c r="AE595" s="25">
        <v>-599.88333333333355</v>
      </c>
      <c r="AF595" s="25">
        <v>-1376.375</v>
      </c>
      <c r="AG595" s="25">
        <v>-483.94791666666652</v>
      </c>
      <c r="AH595" s="25">
        <v>-12.799999999999995</v>
      </c>
      <c r="AI595" s="25">
        <v>-958.72916666666663</v>
      </c>
      <c r="AJ595" s="25">
        <v>-1618.3125</v>
      </c>
      <c r="AK595" s="25">
        <v>-2685.4791666666665</v>
      </c>
      <c r="AL595" s="25">
        <v>14.216666666666661</v>
      </c>
      <c r="AM595" s="25">
        <v>14.24375</v>
      </c>
      <c r="AN595" s="25">
        <v>14.200000000000005</v>
      </c>
      <c r="AO595" s="25">
        <v>14.200000000000005</v>
      </c>
      <c r="AP595" s="25">
        <v>14.087499999999993</v>
      </c>
      <c r="AQ595" s="25">
        <v>14.237499999999992</v>
      </c>
      <c r="AR595" s="25">
        <v>14.156250000000012</v>
      </c>
      <c r="AS595" s="25">
        <v>14.122916666666677</v>
      </c>
      <c r="AT595" s="25">
        <v>0.33741666666666664</v>
      </c>
      <c r="AU595" s="25">
        <v>0.24697916666666675</v>
      </c>
      <c r="AV595" s="25">
        <v>0.41364583333333332</v>
      </c>
      <c r="AW595" s="25">
        <v>-21.278750000000002</v>
      </c>
      <c r="AX595" s="25">
        <v>-16.611249999999998</v>
      </c>
      <c r="AY595" s="25">
        <v>-36.483125000000008</v>
      </c>
      <c r="AZ595" s="25"/>
      <c r="BA595" s="25">
        <v>-10.114583333333341</v>
      </c>
      <c r="BB595" s="25"/>
      <c r="BC595" s="25"/>
      <c r="BD595" s="25">
        <v>14.081249999999999</v>
      </c>
      <c r="BE595" s="25"/>
    </row>
    <row r="596" spans="1:57" x14ac:dyDescent="0.25">
      <c r="A596" s="1">
        <v>13.6</v>
      </c>
      <c r="B596" s="1">
        <v>11.1</v>
      </c>
      <c r="C596" s="22"/>
      <c r="D596" s="23">
        <v>44303</v>
      </c>
      <c r="E596" s="24">
        <v>37.041666666666664</v>
      </c>
      <c r="F596" s="24">
        <v>92.872916666666654</v>
      </c>
      <c r="G596" s="24">
        <v>12.108333333333336</v>
      </c>
      <c r="H596" s="24">
        <v>3</v>
      </c>
      <c r="I596" s="24">
        <v>191.58333333333334</v>
      </c>
      <c r="J596" s="24">
        <v>2.3541666666666665</v>
      </c>
      <c r="K596" s="24">
        <v>8.3333333333333329E-2</v>
      </c>
      <c r="L596" s="24">
        <v>10.989583333333334</v>
      </c>
      <c r="M596" s="10">
        <v>0.10161151696986215</v>
      </c>
      <c r="N596" s="25">
        <v>0.24799999999999989</v>
      </c>
      <c r="O596" s="25">
        <v>0.31300000000000022</v>
      </c>
      <c r="P596" s="25">
        <v>0.39608333333333379</v>
      </c>
      <c r="Q596" s="25">
        <v>0.4070833333333333</v>
      </c>
      <c r="R596" s="25">
        <v>0.44587499999999985</v>
      </c>
      <c r="S596" s="25">
        <v>0.31050000000000016</v>
      </c>
      <c r="T596" s="25">
        <v>0.314</v>
      </c>
      <c r="U596" s="25">
        <v>0.26977083333333318</v>
      </c>
      <c r="V596" s="25">
        <v>-149.09166666666667</v>
      </c>
      <c r="W596" s="25">
        <v>-202.42916666666667</v>
      </c>
      <c r="X596" s="25">
        <v>-206.90416666666658</v>
      </c>
      <c r="Y596" s="25">
        <v>-177.18541666666667</v>
      </c>
      <c r="Z596" s="25">
        <v>-13.288750000000002</v>
      </c>
      <c r="AA596" s="25">
        <v>-173.78749999999999</v>
      </c>
      <c r="AB596" s="25">
        <v>-185.82916666666668</v>
      </c>
      <c r="AC596" s="25">
        <v>-195.17291666666677</v>
      </c>
      <c r="AD596" s="25">
        <v>-12.179166666666669</v>
      </c>
      <c r="AE596" s="25">
        <v>-593.67708333333326</v>
      </c>
      <c r="AF596" s="25">
        <v>-1376.6458333333333</v>
      </c>
      <c r="AG596" s="25">
        <v>-483.81249999999994</v>
      </c>
      <c r="AH596" s="25">
        <v>-12.691666666666661</v>
      </c>
      <c r="AI596" s="25">
        <v>-939.85416666666663</v>
      </c>
      <c r="AJ596" s="25">
        <v>-1613.8958333333333</v>
      </c>
      <c r="AK596" s="25">
        <v>-2714.3541666666665</v>
      </c>
      <c r="AL596" s="25">
        <v>14.104166666666671</v>
      </c>
      <c r="AM596" s="25">
        <v>14.22708333333334</v>
      </c>
      <c r="AN596" s="25">
        <v>14.187500000000002</v>
      </c>
      <c r="AO596" s="25">
        <v>14.200000000000005</v>
      </c>
      <c r="AP596" s="25">
        <v>13.864583333333334</v>
      </c>
      <c r="AQ596" s="25">
        <v>14.160416666666677</v>
      </c>
      <c r="AR596" s="25">
        <v>14.125000000000009</v>
      </c>
      <c r="AS596" s="25">
        <v>14.05625</v>
      </c>
      <c r="AT596" s="25">
        <v>0.33870833333333322</v>
      </c>
      <c r="AU596" s="25">
        <v>0.23558333333333337</v>
      </c>
      <c r="AV596" s="25">
        <v>0.41102083333333334</v>
      </c>
      <c r="AW596" s="25">
        <v>-21.532291666666662</v>
      </c>
      <c r="AX596" s="25">
        <v>-16.544166666666658</v>
      </c>
      <c r="AY596" s="25">
        <v>-17.524999999999999</v>
      </c>
      <c r="AZ596" s="25"/>
      <c r="BA596" s="25">
        <v>-10.137500000000001</v>
      </c>
      <c r="BB596" s="25"/>
      <c r="BC596" s="25"/>
      <c r="BD596" s="25">
        <v>13.7875</v>
      </c>
      <c r="BE596" s="25"/>
    </row>
    <row r="597" spans="1:57" x14ac:dyDescent="0.25">
      <c r="A597" s="1">
        <v>13.8</v>
      </c>
      <c r="B597" s="1">
        <v>11</v>
      </c>
      <c r="C597" s="22"/>
      <c r="D597" s="23">
        <v>44304</v>
      </c>
      <c r="E597" s="24">
        <v>34.854166666666664</v>
      </c>
      <c r="F597" s="24">
        <v>96.770833333333357</v>
      </c>
      <c r="G597" s="24">
        <v>12.270833333333334</v>
      </c>
      <c r="H597" s="24">
        <v>3.9000000000000012</v>
      </c>
      <c r="I597" s="24">
        <v>226.39583333333334</v>
      </c>
      <c r="J597" s="24">
        <v>2.9375</v>
      </c>
      <c r="K597" s="24">
        <v>4.1666666666666664E-2</v>
      </c>
      <c r="L597" s="24">
        <v>11.777083333333332</v>
      </c>
      <c r="M597" s="10">
        <v>4.6786763196519143E-2</v>
      </c>
      <c r="N597" s="25">
        <v>0.25277083333333322</v>
      </c>
      <c r="O597" s="25">
        <v>0.3129375000000002</v>
      </c>
      <c r="P597" s="25">
        <v>0.3954999999999998</v>
      </c>
      <c r="Q597" s="25">
        <v>0.40702083333333333</v>
      </c>
      <c r="R597" s="25">
        <v>0.45358333333333339</v>
      </c>
      <c r="S597" s="25">
        <v>0.30947916666666675</v>
      </c>
      <c r="T597" s="25">
        <v>0.314</v>
      </c>
      <c r="U597" s="25">
        <v>0.26904166666666673</v>
      </c>
      <c r="V597" s="25">
        <v>-69.529999999999987</v>
      </c>
      <c r="W597" s="25">
        <v>-224.14583333333337</v>
      </c>
      <c r="X597" s="25">
        <v>-208.83958333333331</v>
      </c>
      <c r="Y597" s="25">
        <v>-180.31666666666669</v>
      </c>
      <c r="Z597" s="25">
        <v>-12.998125000000002</v>
      </c>
      <c r="AA597" s="25">
        <v>-172.66875000000002</v>
      </c>
      <c r="AB597" s="25">
        <v>-185.76458333333335</v>
      </c>
      <c r="AC597" s="25">
        <v>-196.36041666666657</v>
      </c>
      <c r="AD597" s="25">
        <v>-11.008333333333338</v>
      </c>
      <c r="AE597" s="25">
        <v>-586.85833333333335</v>
      </c>
      <c r="AF597" s="25">
        <v>-1367.6666666666667</v>
      </c>
      <c r="AG597" s="25">
        <v>-482.86041666666665</v>
      </c>
      <c r="AH597" s="25">
        <v>-12.127083333333344</v>
      </c>
      <c r="AI597" s="25">
        <v>-915.45833333333337</v>
      </c>
      <c r="AJ597" s="25">
        <v>-1618.125</v>
      </c>
      <c r="AK597" s="25">
        <v>-2713.6666666666665</v>
      </c>
      <c r="AL597" s="25">
        <v>13.852083333333331</v>
      </c>
      <c r="AM597" s="25">
        <v>14.043749999999998</v>
      </c>
      <c r="AN597" s="25">
        <v>14.085416666666674</v>
      </c>
      <c r="AO597" s="25">
        <v>14.16666666666667</v>
      </c>
      <c r="AP597" s="25">
        <v>13.587499999999993</v>
      </c>
      <c r="AQ597" s="25">
        <v>13.935416666666661</v>
      </c>
      <c r="AR597" s="25">
        <v>13.935416666666654</v>
      </c>
      <c r="AS597" s="25">
        <v>13.933333333333321</v>
      </c>
      <c r="AT597" s="25">
        <v>0.3663333333333334</v>
      </c>
      <c r="AU597" s="25">
        <v>0.25310416666666674</v>
      </c>
      <c r="AV597" s="25">
        <v>0.42893749999999969</v>
      </c>
      <c r="AW597" s="25">
        <v>-27.946041666666659</v>
      </c>
      <c r="AX597" s="25">
        <v>-16.457708333333326</v>
      </c>
      <c r="AY597" s="25">
        <v>-185.82000000000005</v>
      </c>
      <c r="AZ597" s="25"/>
      <c r="BA597" s="25">
        <v>-9.9229166666666568</v>
      </c>
      <c r="BB597" s="25"/>
      <c r="BC597" s="25"/>
      <c r="BD597" s="25">
        <v>13.733333333333334</v>
      </c>
      <c r="BE597" s="25"/>
    </row>
    <row r="598" spans="1:57" x14ac:dyDescent="0.25">
      <c r="A598" s="1">
        <v>17.399999999999999</v>
      </c>
      <c r="B598" s="1">
        <v>12.1</v>
      </c>
      <c r="C598" s="22"/>
      <c r="D598" s="23">
        <v>44305</v>
      </c>
      <c r="E598" s="24">
        <v>58.5</v>
      </c>
      <c r="F598" s="24">
        <v>95.235416666666652</v>
      </c>
      <c r="G598" s="24">
        <v>14.414583333333333</v>
      </c>
      <c r="H598" s="24">
        <v>3.1000000000000005</v>
      </c>
      <c r="I598" s="24">
        <v>229.22916666666666</v>
      </c>
      <c r="J598" s="24">
        <v>5.020833333333333</v>
      </c>
      <c r="K598" s="24">
        <v>0.39583333333333331</v>
      </c>
      <c r="L598" s="24">
        <v>13.643749999999997</v>
      </c>
      <c r="M598" s="10">
        <v>8.5266594335494175E-2</v>
      </c>
      <c r="N598" s="25">
        <v>0.2876458333333331</v>
      </c>
      <c r="O598" s="25">
        <v>0.31329166666666675</v>
      </c>
      <c r="P598" s="25">
        <v>0.39593750000000033</v>
      </c>
      <c r="Q598" s="25">
        <v>0.40699999999999997</v>
      </c>
      <c r="R598" s="25">
        <v>0.46260416666666665</v>
      </c>
      <c r="S598" s="25">
        <v>0.30985416666666671</v>
      </c>
      <c r="T598" s="25">
        <v>0.31402083333333336</v>
      </c>
      <c r="U598" s="25">
        <v>0.26902083333333343</v>
      </c>
      <c r="V598" s="25">
        <v>-14.54354166666667</v>
      </c>
      <c r="W598" s="25">
        <v>-267.60833333333335</v>
      </c>
      <c r="X598" s="25">
        <v>-208.76458333333326</v>
      </c>
      <c r="Y598" s="25">
        <v>-182.86666666666665</v>
      </c>
      <c r="Z598" s="25">
        <v>-12.929166666666665</v>
      </c>
      <c r="AA598" s="25">
        <v>-170.28749999999999</v>
      </c>
      <c r="AB598" s="25">
        <v>-185.32291666666671</v>
      </c>
      <c r="AC598" s="25">
        <v>-196.53958333333341</v>
      </c>
      <c r="AD598" s="25">
        <v>-9.9041666666666579</v>
      </c>
      <c r="AE598" s="25">
        <v>-546.37916666666672</v>
      </c>
      <c r="AF598" s="25">
        <v>-1384.7916666666667</v>
      </c>
      <c r="AG598" s="25">
        <v>-482.36250000000013</v>
      </c>
      <c r="AH598" s="25">
        <v>-12.002083333333333</v>
      </c>
      <c r="AI598" s="25">
        <v>-871.58333333333337</v>
      </c>
      <c r="AJ598" s="25">
        <v>-1594.9583333333333</v>
      </c>
      <c r="AK598" s="25">
        <v>-2577.8125</v>
      </c>
      <c r="AL598" s="25">
        <v>14.08958333333333</v>
      </c>
      <c r="AM598" s="25">
        <v>14.031250000000007</v>
      </c>
      <c r="AN598" s="25">
        <v>14.002083333333333</v>
      </c>
      <c r="AO598" s="25">
        <v>14.10000000000001</v>
      </c>
      <c r="AP598" s="25">
        <v>14.083333333333334</v>
      </c>
      <c r="AQ598" s="25">
        <v>14.056249999999997</v>
      </c>
      <c r="AR598" s="25">
        <v>13.929166666666662</v>
      </c>
      <c r="AS598" s="25">
        <v>13.902083333333323</v>
      </c>
      <c r="AT598" s="25">
        <v>0.38593750000000004</v>
      </c>
      <c r="AU598" s="25">
        <v>0.25754166666666661</v>
      </c>
      <c r="AV598" s="25">
        <v>0.44241666666666712</v>
      </c>
      <c r="AW598" s="25">
        <v>-20.368124999999999</v>
      </c>
      <c r="AX598" s="25">
        <v>-16.376874999999988</v>
      </c>
      <c r="AY598" s="25">
        <v>-131.36958333333331</v>
      </c>
      <c r="AZ598" s="25"/>
      <c r="BA598" s="25">
        <v>-9.8333333333333375</v>
      </c>
      <c r="BB598" s="25"/>
      <c r="BC598" s="25"/>
      <c r="BD598" s="25">
        <v>14.383333333333331</v>
      </c>
      <c r="BE598" s="25"/>
    </row>
    <row r="599" spans="1:57" x14ac:dyDescent="0.25">
      <c r="A599" s="1">
        <v>26.7</v>
      </c>
      <c r="B599" s="1">
        <v>15.4</v>
      </c>
      <c r="C599" s="22"/>
      <c r="D599" s="23">
        <v>44306</v>
      </c>
      <c r="E599" s="24">
        <v>225.1875</v>
      </c>
      <c r="F599" s="24">
        <v>78.583333333333343</v>
      </c>
      <c r="G599" s="24">
        <v>19.706250000000004</v>
      </c>
      <c r="H599" s="24">
        <v>0.2</v>
      </c>
      <c r="I599" s="24">
        <v>231.02083333333334</v>
      </c>
      <c r="J599" s="24">
        <v>10.5</v>
      </c>
      <c r="K599" s="24">
        <v>1.5833333333333333</v>
      </c>
      <c r="L599" s="24">
        <v>15.495833333333332</v>
      </c>
      <c r="M599" s="10">
        <v>0.59292948142752588</v>
      </c>
      <c r="N599" s="25">
        <v>0.29512499999999992</v>
      </c>
      <c r="O599" s="25">
        <v>0.31541666666666685</v>
      </c>
      <c r="P599" s="25">
        <v>0.39770833333333333</v>
      </c>
      <c r="Q599" s="25">
        <v>0.40731250000000013</v>
      </c>
      <c r="R599" s="25">
        <v>0.46047916666666655</v>
      </c>
      <c r="S599" s="25">
        <v>0.3120208333333333</v>
      </c>
      <c r="T599" s="25">
        <v>0.31504166666666661</v>
      </c>
      <c r="U599" s="25">
        <v>0.26970833333333316</v>
      </c>
      <c r="V599" s="25">
        <v>-14.433749999999996</v>
      </c>
      <c r="W599" s="25">
        <v>-296.50000000000006</v>
      </c>
      <c r="X599" s="25">
        <v>-204.45000000000005</v>
      </c>
      <c r="Y599" s="25">
        <v>-182.73958333333334</v>
      </c>
      <c r="Z599" s="25">
        <v>-12.904166666666663</v>
      </c>
      <c r="AA599" s="25">
        <v>-164.31458333333327</v>
      </c>
      <c r="AB599" s="25">
        <v>-181.93124999999995</v>
      </c>
      <c r="AC599" s="25">
        <v>-194.81666666666661</v>
      </c>
      <c r="AD599" s="25">
        <v>-9.8999999999999915</v>
      </c>
      <c r="AE599" s="25">
        <v>-481.65416666666675</v>
      </c>
      <c r="AF599" s="25">
        <v>-1335.3333333333333</v>
      </c>
      <c r="AG599" s="25">
        <v>-480.00624999999997</v>
      </c>
      <c r="AH599" s="25">
        <v>-12.21666666666667</v>
      </c>
      <c r="AI599" s="25">
        <v>-771.7479166666667</v>
      </c>
      <c r="AJ599" s="25">
        <v>-1525.4166666666667</v>
      </c>
      <c r="AK599" s="25">
        <v>-2251.6458333333335</v>
      </c>
      <c r="AL599" s="25">
        <v>15.147916666666667</v>
      </c>
      <c r="AM599" s="25">
        <v>14.46458333333333</v>
      </c>
      <c r="AN599" s="25">
        <v>14.179166666666655</v>
      </c>
      <c r="AO599" s="25">
        <v>14.152083333333339</v>
      </c>
      <c r="AP599" s="25">
        <v>15.845833333333337</v>
      </c>
      <c r="AQ599" s="25">
        <v>14.879166666666672</v>
      </c>
      <c r="AR599" s="25">
        <v>14.4125</v>
      </c>
      <c r="AS599" s="25">
        <v>14.199999999999998</v>
      </c>
      <c r="AT599" s="25">
        <v>0.38441666666666657</v>
      </c>
      <c r="AU599" s="25">
        <v>0.24732258064516127</v>
      </c>
      <c r="AV599" s="25">
        <v>0.43181250000000015</v>
      </c>
      <c r="AW599" s="25">
        <v>-26.351875000000003</v>
      </c>
      <c r="AX599" s="25">
        <v>-16.130833333333339</v>
      </c>
      <c r="AY599" s="25">
        <v>-16.471590909090921</v>
      </c>
      <c r="AZ599" s="25"/>
      <c r="BA599" s="25">
        <v>-9.9104166666666735</v>
      </c>
      <c r="BB599" s="25"/>
      <c r="BC599" s="25"/>
      <c r="BD599" s="25">
        <v>16.422916666666669</v>
      </c>
      <c r="BE599" s="25"/>
    </row>
    <row r="600" spans="1:57" x14ac:dyDescent="0.25">
      <c r="A600" s="1">
        <v>28.5</v>
      </c>
      <c r="B600" s="1">
        <v>15.1</v>
      </c>
      <c r="C600" s="22"/>
      <c r="D600" s="23">
        <v>44307</v>
      </c>
      <c r="E600" s="24">
        <v>213.125</v>
      </c>
      <c r="F600" s="24">
        <v>75.489583333333343</v>
      </c>
      <c r="G600" s="24">
        <v>20.497916666666661</v>
      </c>
      <c r="H600" s="24">
        <v>0</v>
      </c>
      <c r="I600" s="24">
        <v>225.02083333333334</v>
      </c>
      <c r="J600" s="24">
        <v>5.166666666666667</v>
      </c>
      <c r="K600" s="24">
        <v>0.25</v>
      </c>
      <c r="L600" s="24">
        <v>15.42083333333334</v>
      </c>
      <c r="M600" s="10">
        <v>0.75340691730483433</v>
      </c>
      <c r="N600" s="25">
        <v>0.2886666666666669</v>
      </c>
      <c r="O600" s="25">
        <v>0.31852083333333353</v>
      </c>
      <c r="P600" s="25">
        <v>0.40120833333333322</v>
      </c>
      <c r="Q600" s="25">
        <v>0.40952083333333333</v>
      </c>
      <c r="R600" s="25">
        <v>0.45306250000000015</v>
      </c>
      <c r="S600" s="25">
        <v>0.31535416666666671</v>
      </c>
      <c r="T600" s="25">
        <v>0.31670833333333342</v>
      </c>
      <c r="U600" s="25">
        <v>0.27106250000000026</v>
      </c>
      <c r="V600" s="25">
        <v>-14.786666666666664</v>
      </c>
      <c r="W600" s="25">
        <v>-301.6583333333333</v>
      </c>
      <c r="X600" s="25">
        <v>-196.80833333333328</v>
      </c>
      <c r="Y600" s="25">
        <v>-179.49791666666667</v>
      </c>
      <c r="Z600" s="25">
        <v>-13.265416666666665</v>
      </c>
      <c r="AA600" s="25">
        <v>-156.99166666666673</v>
      </c>
      <c r="AB600" s="25">
        <v>-176.37916666666663</v>
      </c>
      <c r="AC600" s="25">
        <v>-190.0104166666666</v>
      </c>
      <c r="AD600" s="25">
        <v>-10.09166666666667</v>
      </c>
      <c r="AE600" s="25">
        <v>-476.03750000000008</v>
      </c>
      <c r="AF600" s="25">
        <v>-1295.5833333333333</v>
      </c>
      <c r="AG600" s="25">
        <v>-476.31874999999974</v>
      </c>
      <c r="AH600" s="25">
        <v>-13.258333333333333</v>
      </c>
      <c r="AI600" s="25">
        <v>-714.83333333333303</v>
      </c>
      <c r="AJ600" s="25">
        <v>-1426.6458333333333</v>
      </c>
      <c r="AK600" s="25">
        <v>-2173.3125</v>
      </c>
      <c r="AL600" s="25">
        <v>16.2</v>
      </c>
      <c r="AM600" s="25">
        <v>15.258333333333328</v>
      </c>
      <c r="AN600" s="25">
        <v>14.647916666666658</v>
      </c>
      <c r="AO600" s="25">
        <v>14.464583333333339</v>
      </c>
      <c r="AP600" s="25">
        <v>16.991666666666667</v>
      </c>
      <c r="AQ600" s="25">
        <v>15.935416666666663</v>
      </c>
      <c r="AR600" s="25">
        <v>15.28333333333333</v>
      </c>
      <c r="AS600" s="25">
        <v>14.947916666666664</v>
      </c>
      <c r="AT600" s="25">
        <v>0.37525000000000003</v>
      </c>
      <c r="AU600" s="25">
        <v>0.22109090909090912</v>
      </c>
      <c r="AV600" s="25">
        <v>0.40749999999999981</v>
      </c>
      <c r="AW600" s="25">
        <v>-29.360833333333332</v>
      </c>
      <c r="AX600" s="25">
        <v>-16.036458333333332</v>
      </c>
      <c r="AY600" s="25">
        <v>-14.989565217391304</v>
      </c>
      <c r="AZ600" s="25"/>
      <c r="BA600" s="25">
        <v>-10.295833333333333</v>
      </c>
      <c r="BB600" s="25"/>
      <c r="BC600" s="25"/>
      <c r="BD600" s="25">
        <v>17.072916666666668</v>
      </c>
      <c r="BE600" s="25"/>
    </row>
    <row r="601" spans="1:57" x14ac:dyDescent="0.25">
      <c r="A601" s="1">
        <v>28.1</v>
      </c>
      <c r="B601" s="1">
        <v>15.7</v>
      </c>
      <c r="C601" s="22"/>
      <c r="D601" s="23">
        <v>44308</v>
      </c>
      <c r="E601" s="24">
        <v>212.25</v>
      </c>
      <c r="F601" s="24">
        <v>75.985416666666652</v>
      </c>
      <c r="G601" s="24">
        <v>21.189583333333328</v>
      </c>
      <c r="H601" s="24">
        <v>0</v>
      </c>
      <c r="I601" s="24">
        <v>234.70833333333334</v>
      </c>
      <c r="J601" s="24">
        <v>11.770833333333334</v>
      </c>
      <c r="K601" s="24">
        <v>2.9375</v>
      </c>
      <c r="L601" s="24">
        <v>16.458333333333329</v>
      </c>
      <c r="M601" s="10">
        <v>0.72391247983444673</v>
      </c>
      <c r="N601" s="25">
        <v>0.27839583333333345</v>
      </c>
      <c r="O601" s="25">
        <v>0.31964583333333368</v>
      </c>
      <c r="P601" s="25">
        <v>0.40345833333333342</v>
      </c>
      <c r="Q601" s="25">
        <v>0.41112499999999996</v>
      </c>
      <c r="R601" s="25">
        <v>0.44299999999999984</v>
      </c>
      <c r="S601" s="25">
        <v>0.31675000000000003</v>
      </c>
      <c r="T601" s="25">
        <v>0.31781249999999978</v>
      </c>
      <c r="U601" s="25">
        <v>0.27197916666666683</v>
      </c>
      <c r="V601" s="25">
        <v>-17.712916666666661</v>
      </c>
      <c r="W601" s="25">
        <v>-290.69375000000008</v>
      </c>
      <c r="X601" s="25">
        <v>-192.35625000000002</v>
      </c>
      <c r="Y601" s="25">
        <v>-175.92291666666665</v>
      </c>
      <c r="Z601" s="25">
        <v>-15.38875</v>
      </c>
      <c r="AA601" s="25">
        <v>-152.38124999999997</v>
      </c>
      <c r="AB601" s="25">
        <v>-173.33125000000004</v>
      </c>
      <c r="AC601" s="25">
        <v>-187.2416666666667</v>
      </c>
      <c r="AD601" s="25">
        <v>-12.466666666666667</v>
      </c>
      <c r="AE601" s="25">
        <v>-506.72916666666652</v>
      </c>
      <c r="AF601" s="25">
        <v>-1291.3958333333333</v>
      </c>
      <c r="AG601" s="25">
        <v>-475.49583333333334</v>
      </c>
      <c r="AH601" s="25">
        <v>-19.206250000000001</v>
      </c>
      <c r="AI601" s="25">
        <v>-757.03749999999991</v>
      </c>
      <c r="AJ601" s="25">
        <v>-1359.3541666666667</v>
      </c>
      <c r="AK601" s="25">
        <v>-2202.6875</v>
      </c>
      <c r="AL601" s="25">
        <v>16.83958333333333</v>
      </c>
      <c r="AM601" s="25">
        <v>15.843750000000002</v>
      </c>
      <c r="AN601" s="25">
        <v>15.114583333333341</v>
      </c>
      <c r="AO601" s="25">
        <v>14.854166666666663</v>
      </c>
      <c r="AP601" s="25">
        <v>17.664583333333329</v>
      </c>
      <c r="AQ601" s="25">
        <v>16.581250000000001</v>
      </c>
      <c r="AR601" s="25">
        <v>15.902083333333339</v>
      </c>
      <c r="AS601" s="25">
        <v>15.531250000000005</v>
      </c>
      <c r="AT601" s="25">
        <v>0.36248936170212759</v>
      </c>
      <c r="AU601" s="25">
        <v>0.20831250000000004</v>
      </c>
      <c r="AV601" s="25">
        <v>0.38262499999999994</v>
      </c>
      <c r="AW601" s="25">
        <v>-22.463124999999991</v>
      </c>
      <c r="AX601" s="25">
        <v>-18.2</v>
      </c>
      <c r="AY601" s="25">
        <v>-17.027234042553189</v>
      </c>
      <c r="AZ601" s="25"/>
      <c r="BA601" s="25">
        <v>-13.37083333333333</v>
      </c>
      <c r="BB601" s="25"/>
      <c r="BC601" s="25"/>
      <c r="BD601" s="25">
        <v>17.737500000000001</v>
      </c>
      <c r="BE601" s="25"/>
    </row>
    <row r="602" spans="1:57" x14ac:dyDescent="0.25">
      <c r="A602" s="1">
        <v>27.8</v>
      </c>
      <c r="B602" s="1">
        <v>19.600000000000001</v>
      </c>
      <c r="C602" s="22"/>
      <c r="D602" s="23">
        <v>44309</v>
      </c>
      <c r="E602" s="24">
        <v>205.4375</v>
      </c>
      <c r="F602" s="24">
        <v>74.037499999999994</v>
      </c>
      <c r="G602" s="24">
        <v>22.941666666666666</v>
      </c>
      <c r="H602" s="24">
        <v>0</v>
      </c>
      <c r="I602" s="24">
        <v>232.25</v>
      </c>
      <c r="J602" s="24">
        <v>17.875</v>
      </c>
      <c r="K602" s="24">
        <v>4.645833333333333</v>
      </c>
      <c r="L602" s="24">
        <v>17.941666666666666</v>
      </c>
      <c r="M602" s="10">
        <v>0.77243083366202392</v>
      </c>
      <c r="N602" s="25">
        <v>0.26850000000000013</v>
      </c>
      <c r="O602" s="25">
        <v>0.32002083333333359</v>
      </c>
      <c r="P602" s="25">
        <v>0.40475</v>
      </c>
      <c r="Q602" s="25">
        <v>0.41241666666666682</v>
      </c>
      <c r="R602" s="25">
        <v>0.43339583333333298</v>
      </c>
      <c r="S602" s="25">
        <v>0.3174791666666667</v>
      </c>
      <c r="T602" s="25">
        <v>0.31822916666666651</v>
      </c>
      <c r="U602" s="25">
        <v>0.27274999999999994</v>
      </c>
      <c r="V602" s="25">
        <v>-23.731041666666666</v>
      </c>
      <c r="W602" s="25">
        <v>-263.43124999999998</v>
      </c>
      <c r="X602" s="25">
        <v>-192.42916666666676</v>
      </c>
      <c r="Y602" s="25">
        <v>-174.30625000000001</v>
      </c>
      <c r="Z602" s="25">
        <v>-20.915625000000002</v>
      </c>
      <c r="AA602" s="25">
        <v>-150.5708333333333</v>
      </c>
      <c r="AB602" s="25">
        <v>-172.44791666666654</v>
      </c>
      <c r="AC602" s="25">
        <v>-186.31250000000003</v>
      </c>
      <c r="AD602" s="25">
        <v>-31.350000000000009</v>
      </c>
      <c r="AE602" s="25">
        <v>-553.73750000000007</v>
      </c>
      <c r="AF602" s="25">
        <v>-1300.1041666666667</v>
      </c>
      <c r="AG602" s="25">
        <v>-475.97708333333321</v>
      </c>
      <c r="AH602" s="25">
        <v>-53.945833333333333</v>
      </c>
      <c r="AI602" s="25">
        <v>-813.06458333333342</v>
      </c>
      <c r="AJ602" s="25">
        <v>-1380.2916666666667</v>
      </c>
      <c r="AK602" s="25">
        <v>-2271.0208333333335</v>
      </c>
      <c r="AL602" s="25">
        <v>17.633333333333344</v>
      </c>
      <c r="AM602" s="25">
        <v>16.429166666666667</v>
      </c>
      <c r="AN602" s="25">
        <v>15.558333333333346</v>
      </c>
      <c r="AO602" s="25">
        <v>15.222916666666654</v>
      </c>
      <c r="AP602" s="25">
        <v>18.591666666666665</v>
      </c>
      <c r="AQ602" s="25">
        <v>17.28958333333334</v>
      </c>
      <c r="AR602" s="25">
        <v>16.497916666666665</v>
      </c>
      <c r="AS602" s="25">
        <v>16.097916666666674</v>
      </c>
      <c r="AT602" s="25">
        <v>0.34608695652173915</v>
      </c>
      <c r="AU602" s="25">
        <v>0.17364705882352938</v>
      </c>
      <c r="AV602" s="25">
        <v>0.35091666666666649</v>
      </c>
      <c r="AW602" s="25">
        <v>-37.891041666666659</v>
      </c>
      <c r="AX602" s="25">
        <v>-29.76166666666666</v>
      </c>
      <c r="AY602" s="25">
        <v>-43.069375000000001</v>
      </c>
      <c r="AZ602" s="25"/>
      <c r="BA602" s="25">
        <v>-30.375000000000004</v>
      </c>
      <c r="BB602" s="25"/>
      <c r="BC602" s="25"/>
      <c r="BD602" s="25">
        <v>18.604166666666664</v>
      </c>
      <c r="BE602" s="25"/>
    </row>
    <row r="603" spans="1:57" x14ac:dyDescent="0.25">
      <c r="A603" s="1">
        <v>31.7</v>
      </c>
      <c r="B603" s="1">
        <v>18.899999999999999</v>
      </c>
      <c r="C603" s="22"/>
      <c r="D603" s="23">
        <v>44310</v>
      </c>
      <c r="E603" s="24">
        <v>176.47916666666666</v>
      </c>
      <c r="F603" s="24">
        <v>74.250000000000014</v>
      </c>
      <c r="G603" s="24">
        <v>22.783333333333331</v>
      </c>
      <c r="H603" s="24">
        <v>0</v>
      </c>
      <c r="I603" s="24">
        <v>229.70833333333334</v>
      </c>
      <c r="J603" s="24">
        <v>9.0833333333333339</v>
      </c>
      <c r="K603" s="24">
        <v>0.85416666666666663</v>
      </c>
      <c r="L603" s="24">
        <v>17.681249999999999</v>
      </c>
      <c r="M603" s="10">
        <v>0.80757649764186235</v>
      </c>
      <c r="N603" s="25">
        <v>0.26141666666666669</v>
      </c>
      <c r="O603" s="25">
        <v>0.31985416666666705</v>
      </c>
      <c r="P603" s="25">
        <v>0.4056666666666664</v>
      </c>
      <c r="Q603" s="25">
        <v>0.41285416666666669</v>
      </c>
      <c r="R603" s="25">
        <v>0.42660416666666667</v>
      </c>
      <c r="S603" s="25">
        <v>0.31822916666666673</v>
      </c>
      <c r="T603" s="25">
        <v>0.31858333333333327</v>
      </c>
      <c r="U603" s="25">
        <v>0.27306249999999987</v>
      </c>
      <c r="V603" s="25">
        <v>-29.39104166666667</v>
      </c>
      <c r="W603" s="25">
        <v>-188.81666666666663</v>
      </c>
      <c r="X603" s="25">
        <v>-194.15624999999997</v>
      </c>
      <c r="Y603" s="25">
        <v>-174.43750000000009</v>
      </c>
      <c r="Z603" s="25">
        <v>-29.086250000000021</v>
      </c>
      <c r="AA603" s="25">
        <v>-152.70208333333335</v>
      </c>
      <c r="AB603" s="25">
        <v>-174.2083333333334</v>
      </c>
      <c r="AC603" s="25">
        <v>-185.2729166666667</v>
      </c>
      <c r="AD603" s="25">
        <v>-101.89999999999998</v>
      </c>
      <c r="AE603" s="25">
        <v>-621.48541666666642</v>
      </c>
      <c r="AF603" s="25">
        <v>-1308.375</v>
      </c>
      <c r="AG603" s="25">
        <v>-477.24999999999994</v>
      </c>
      <c r="AH603" s="25">
        <v>-199.9604166666667</v>
      </c>
      <c r="AI603" s="25">
        <v>-873.52083333333337</v>
      </c>
      <c r="AJ603" s="25">
        <v>-1452.125</v>
      </c>
      <c r="AK603" s="25">
        <v>-2344.9166666666665</v>
      </c>
      <c r="AL603" s="25">
        <v>18.19166666666667</v>
      </c>
      <c r="AM603" s="25">
        <v>16.966666666666669</v>
      </c>
      <c r="AN603" s="25">
        <v>16.020833333333346</v>
      </c>
      <c r="AO603" s="25">
        <v>15.618750000000006</v>
      </c>
      <c r="AP603" s="25">
        <v>19.087499999999999</v>
      </c>
      <c r="AQ603" s="25">
        <v>17.837500000000009</v>
      </c>
      <c r="AR603" s="25">
        <v>17.045833333333331</v>
      </c>
      <c r="AS603" s="25">
        <v>16.616666666666674</v>
      </c>
      <c r="AT603" s="25">
        <v>0.32645833333333335</v>
      </c>
      <c r="AU603" s="25">
        <v>0.1634444444444445</v>
      </c>
      <c r="AV603" s="25">
        <v>0.31354166666666661</v>
      </c>
      <c r="AW603" s="25">
        <v>-98.480416666666656</v>
      </c>
      <c r="AX603" s="25">
        <v>-46.36354166666667</v>
      </c>
      <c r="AY603" s="25">
        <v>-37.59851851851851</v>
      </c>
      <c r="AZ603" s="25"/>
      <c r="BA603" s="25">
        <v>-74.922916666666666</v>
      </c>
      <c r="BB603" s="25"/>
      <c r="BC603" s="25"/>
      <c r="BD603" s="25">
        <v>18.756250000000001</v>
      </c>
      <c r="BE603" s="25"/>
    </row>
    <row r="604" spans="1:57" x14ac:dyDescent="0.25">
      <c r="A604" s="1">
        <v>18.7</v>
      </c>
      <c r="B604" s="1">
        <v>11.2</v>
      </c>
      <c r="C604" s="22"/>
      <c r="D604" s="23">
        <v>44311</v>
      </c>
      <c r="E604" s="24">
        <v>50</v>
      </c>
      <c r="F604" s="24">
        <v>87.791666666666686</v>
      </c>
      <c r="G604" s="24">
        <v>15.206250000000002</v>
      </c>
      <c r="H604" s="24">
        <v>1.1000000000000001</v>
      </c>
      <c r="I604" s="24">
        <v>227.22916666666666</v>
      </c>
      <c r="J604" s="24">
        <v>7.5</v>
      </c>
      <c r="K604" s="24">
        <v>0.20833333333333334</v>
      </c>
      <c r="L604" s="24">
        <v>13.170833333333334</v>
      </c>
      <c r="M604" s="10">
        <v>0.22118613206343452</v>
      </c>
      <c r="N604" s="25">
        <v>0.25639583333333343</v>
      </c>
      <c r="O604" s="25">
        <v>0.31877083333333339</v>
      </c>
      <c r="P604" s="25">
        <v>0.4057083333333335</v>
      </c>
      <c r="Q604" s="25">
        <v>0.41337499999999999</v>
      </c>
      <c r="R604" s="25">
        <v>0.42087500000000005</v>
      </c>
      <c r="S604" s="25">
        <v>0.31862500000000005</v>
      </c>
      <c r="T604" s="25">
        <v>0.31860416666666674</v>
      </c>
      <c r="U604" s="25">
        <v>0.27314583333333325</v>
      </c>
      <c r="V604" s="25">
        <v>-36.886875000000011</v>
      </c>
      <c r="W604" s="25">
        <v>-75.546875000000014</v>
      </c>
      <c r="X604" s="25">
        <v>-199.99166666666667</v>
      </c>
      <c r="Y604" s="25">
        <v>-176.23958333333329</v>
      </c>
      <c r="Z604" s="25">
        <v>-39.102708333333332</v>
      </c>
      <c r="AA604" s="25">
        <v>-160.32083333333333</v>
      </c>
      <c r="AB604" s="25">
        <v>-178.44791666666671</v>
      </c>
      <c r="AC604" s="25">
        <v>-187.00416666666663</v>
      </c>
      <c r="AD604" s="25">
        <v>-293.16666666666669</v>
      </c>
      <c r="AE604" s="25">
        <v>-681.61250000000007</v>
      </c>
      <c r="AF604" s="25">
        <v>-1304.4375</v>
      </c>
      <c r="AG604" s="25">
        <v>-475.42291666666682</v>
      </c>
      <c r="AH604" s="25">
        <v>-422.90416666666664</v>
      </c>
      <c r="AI604" s="25">
        <v>-937.875</v>
      </c>
      <c r="AJ604" s="25">
        <v>-1510.5208333333333</v>
      </c>
      <c r="AK604" s="25">
        <v>-2624.3541666666665</v>
      </c>
      <c r="AL604" s="25">
        <v>17.656249999999996</v>
      </c>
      <c r="AM604" s="25">
        <v>17.120833333333334</v>
      </c>
      <c r="AN604" s="25">
        <v>16.347916666666649</v>
      </c>
      <c r="AO604" s="25">
        <v>15.945833333333333</v>
      </c>
      <c r="AP604" s="25">
        <v>17.689583333333335</v>
      </c>
      <c r="AQ604" s="25">
        <v>17.589583333333334</v>
      </c>
      <c r="AR604" s="25">
        <v>17.143749999999997</v>
      </c>
      <c r="AS604" s="25">
        <v>16.854166666666661</v>
      </c>
      <c r="AT604" s="25">
        <v>0.3081458333333334</v>
      </c>
      <c r="AU604" s="25"/>
      <c r="AV604" s="25">
        <v>0.28395833333333326</v>
      </c>
      <c r="AW604" s="25">
        <v>-175.1166666666667</v>
      </c>
      <c r="AX604" s="25">
        <v>-62.014166666666647</v>
      </c>
      <c r="AY604" s="25">
        <v>-46.560333333333325</v>
      </c>
      <c r="AZ604" s="25"/>
      <c r="BA604" s="25">
        <v>-171.65625</v>
      </c>
      <c r="BB604" s="25"/>
      <c r="BC604" s="25"/>
      <c r="BD604" s="25">
        <v>16.731250000000003</v>
      </c>
      <c r="BE604" s="25"/>
    </row>
    <row r="605" spans="1:57" x14ac:dyDescent="0.25">
      <c r="A605" s="1">
        <v>19.600000000000001</v>
      </c>
      <c r="B605" s="1">
        <v>10.6</v>
      </c>
      <c r="C605" s="22"/>
      <c r="D605" s="23">
        <v>44312</v>
      </c>
      <c r="E605" s="24">
        <v>100</v>
      </c>
      <c r="F605" s="24">
        <v>83.65</v>
      </c>
      <c r="G605" s="24">
        <v>14.706249999999999</v>
      </c>
      <c r="H605" s="24">
        <v>1.9</v>
      </c>
      <c r="I605" s="24">
        <v>209.41666666666666</v>
      </c>
      <c r="J605" s="24">
        <v>4.208333333333333</v>
      </c>
      <c r="K605" s="24">
        <v>0.10416666666666667</v>
      </c>
      <c r="L605" s="24">
        <v>11.827083333333333</v>
      </c>
      <c r="M605" s="10">
        <v>0.31021412031893314</v>
      </c>
      <c r="N605" s="25">
        <v>0.2518749999999999</v>
      </c>
      <c r="O605" s="25">
        <v>0.31539583333333326</v>
      </c>
      <c r="P605" s="25">
        <v>0.40216666666666656</v>
      </c>
      <c r="Q605" s="25">
        <v>0.41216666666666707</v>
      </c>
      <c r="R605" s="25">
        <v>0.4146875000000001</v>
      </c>
      <c r="S605" s="25">
        <v>0.31543749999999976</v>
      </c>
      <c r="T605" s="25">
        <v>0.31706250000000025</v>
      </c>
      <c r="U605" s="25">
        <v>0.27252083333333332</v>
      </c>
      <c r="V605" s="25">
        <v>-43.668541666666663</v>
      </c>
      <c r="W605" s="25">
        <v>-14.686285714285713</v>
      </c>
      <c r="X605" s="25">
        <v>-210.23333333333335</v>
      </c>
      <c r="Y605" s="25">
        <v>-180.79791666666662</v>
      </c>
      <c r="Z605" s="25">
        <v>-47.825625000000002</v>
      </c>
      <c r="AA605" s="25">
        <v>-170.51458333333332</v>
      </c>
      <c r="AB605" s="25">
        <v>-185.20833333333334</v>
      </c>
      <c r="AC605" s="25">
        <v>-192.69791666666666</v>
      </c>
      <c r="AD605" s="25">
        <v>-463.63125000000014</v>
      </c>
      <c r="AE605" s="25">
        <v>-752.55833333333328</v>
      </c>
      <c r="AF605" s="25">
        <v>-1344.9791666666667</v>
      </c>
      <c r="AG605" s="25">
        <v>-477.07291666666669</v>
      </c>
      <c r="AH605" s="25">
        <v>-464.06458333333325</v>
      </c>
      <c r="AI605" s="25">
        <v>-1022.2083333333334</v>
      </c>
      <c r="AJ605" s="25">
        <v>-1667.375</v>
      </c>
      <c r="AK605" s="25">
        <v>-2771.7916666666665</v>
      </c>
      <c r="AL605" s="25">
        <v>16.358333333333331</v>
      </c>
      <c r="AM605" s="25">
        <v>16.395833333333346</v>
      </c>
      <c r="AN605" s="25">
        <v>16.133333333333336</v>
      </c>
      <c r="AO605" s="25">
        <v>15.933333333333318</v>
      </c>
      <c r="AP605" s="25">
        <v>15.972916666666663</v>
      </c>
      <c r="AQ605" s="25">
        <v>16.308333333333351</v>
      </c>
      <c r="AR605" s="25">
        <v>16.264583333333338</v>
      </c>
      <c r="AS605" s="25">
        <v>16.231250000000003</v>
      </c>
      <c r="AT605" s="25">
        <v>0.30562499999999992</v>
      </c>
      <c r="AU605" s="25"/>
      <c r="AV605" s="25">
        <v>0.30197916666666663</v>
      </c>
      <c r="AW605" s="25">
        <v>-133.12340425531914</v>
      </c>
      <c r="AX605" s="25">
        <v>-65.325625000000002</v>
      </c>
      <c r="AY605" s="25">
        <v>-42.106666666666662</v>
      </c>
      <c r="AZ605" s="25"/>
      <c r="BA605" s="25">
        <v>-201.96666666666661</v>
      </c>
      <c r="BB605" s="25"/>
      <c r="BC605" s="25"/>
      <c r="BD605" s="25">
        <v>15.750000000000002</v>
      </c>
      <c r="BE605" s="25"/>
    </row>
    <row r="606" spans="1:57" x14ac:dyDescent="0.25">
      <c r="A606" s="1">
        <v>20.8</v>
      </c>
      <c r="B606" s="1">
        <v>12.3</v>
      </c>
      <c r="C606" s="22"/>
      <c r="D606" s="23">
        <v>44313</v>
      </c>
      <c r="E606" s="24">
        <v>87.1875</v>
      </c>
      <c r="F606" s="24">
        <v>87.060416666666654</v>
      </c>
      <c r="G606" s="24">
        <v>14.683333333333337</v>
      </c>
      <c r="H606" s="24">
        <v>4.4000000000000004</v>
      </c>
      <c r="I606" s="24">
        <v>211.875</v>
      </c>
      <c r="J606" s="24">
        <v>3.4166666666666665</v>
      </c>
      <c r="K606" s="24">
        <v>4.1666666666666664E-2</v>
      </c>
      <c r="L606" s="24">
        <v>12.445833333333333</v>
      </c>
      <c r="M606" s="10">
        <v>0.24025584832135605</v>
      </c>
      <c r="N606" s="25">
        <v>0.2508749999999999</v>
      </c>
      <c r="O606" s="25">
        <v>0.31427083333333339</v>
      </c>
      <c r="P606" s="25">
        <v>0.40031249999999979</v>
      </c>
      <c r="Q606" s="25">
        <v>0.41060416666666649</v>
      </c>
      <c r="R606" s="25">
        <v>0.41208333333333319</v>
      </c>
      <c r="S606" s="25">
        <v>0.31383333333333335</v>
      </c>
      <c r="T606" s="25">
        <v>0.31539583333333315</v>
      </c>
      <c r="U606" s="25">
        <v>0.27114583333333359</v>
      </c>
      <c r="V606" s="25">
        <v>-49.344583333333354</v>
      </c>
      <c r="W606" s="25">
        <v>-116.48379310344826</v>
      </c>
      <c r="X606" s="25">
        <v>-218.11875000000006</v>
      </c>
      <c r="Y606" s="25">
        <v>-186.46250000000006</v>
      </c>
      <c r="Z606" s="25">
        <v>-55.077708333333327</v>
      </c>
      <c r="AA606" s="25">
        <v>-178.88124999999994</v>
      </c>
      <c r="AB606" s="25">
        <v>-190.53541666666663</v>
      </c>
      <c r="AC606" s="25">
        <v>-198.35416666666671</v>
      </c>
      <c r="AD606" s="25">
        <v>-579.76666666666665</v>
      </c>
      <c r="AE606" s="25">
        <v>-798.12291666666681</v>
      </c>
      <c r="AF606" s="25">
        <v>-1381.9375</v>
      </c>
      <c r="AG606" s="25">
        <v>-482.3333333333332</v>
      </c>
      <c r="AH606" s="25">
        <v>-508.74166666666679</v>
      </c>
      <c r="AI606" s="25">
        <v>-1046.3125</v>
      </c>
      <c r="AJ606" s="25">
        <v>-1745.1875</v>
      </c>
      <c r="AK606" s="25">
        <v>-1414.4979166666669</v>
      </c>
      <c r="AL606" s="25">
        <v>16.045833333333334</v>
      </c>
      <c r="AM606" s="25">
        <v>16.020833333333325</v>
      </c>
      <c r="AN606" s="25">
        <v>15.820833333333342</v>
      </c>
      <c r="AO606" s="25">
        <v>15.733333333333347</v>
      </c>
      <c r="AP606" s="25">
        <v>15.802083333333334</v>
      </c>
      <c r="AQ606" s="25">
        <v>15.972916666666663</v>
      </c>
      <c r="AR606" s="25">
        <v>15.887499999999989</v>
      </c>
      <c r="AS606" s="25">
        <v>15.837500000000015</v>
      </c>
      <c r="AT606" s="25">
        <v>0.31275000000000008</v>
      </c>
      <c r="AU606" s="25"/>
      <c r="AV606" s="25">
        <v>0.30129166666666668</v>
      </c>
      <c r="AW606" s="25">
        <v>-153.62916666666666</v>
      </c>
      <c r="AX606" s="25">
        <v>-68.082916666666705</v>
      </c>
      <c r="AY606" s="25">
        <v>-46.256666666666668</v>
      </c>
      <c r="AZ606" s="25"/>
      <c r="BA606" s="25">
        <v>-91.377083333333346</v>
      </c>
      <c r="BB606" s="25"/>
      <c r="BC606" s="25"/>
      <c r="BD606" s="25">
        <v>15.677083333333336</v>
      </c>
      <c r="BE606" s="25"/>
    </row>
    <row r="607" spans="1:57" x14ac:dyDescent="0.25">
      <c r="A607" s="1">
        <v>17.2</v>
      </c>
      <c r="B607" s="1">
        <v>12.1</v>
      </c>
      <c r="C607" s="22"/>
      <c r="D607" s="23">
        <v>44314</v>
      </c>
      <c r="E607" s="24">
        <v>84.729166666666671</v>
      </c>
      <c r="F607" s="24">
        <v>88.745833333333323</v>
      </c>
      <c r="G607" s="24">
        <v>13.993749999999999</v>
      </c>
      <c r="H607" s="24">
        <v>16.899999999999999</v>
      </c>
      <c r="I607" s="24">
        <v>220.85416666666666</v>
      </c>
      <c r="J607" s="24">
        <v>3.75</v>
      </c>
      <c r="K607" s="24">
        <v>4.1666666666666664E-2</v>
      </c>
      <c r="L607" s="24">
        <v>12.120833333333335</v>
      </c>
      <c r="M607" s="10">
        <v>0.18891025009461229</v>
      </c>
      <c r="N607" s="25">
        <v>0.2745625000000001</v>
      </c>
      <c r="O607" s="25">
        <v>0.31785416666666683</v>
      </c>
      <c r="P607" s="25">
        <v>0.40075</v>
      </c>
      <c r="Q607" s="25">
        <v>0.41187500000000005</v>
      </c>
      <c r="R607" s="25">
        <v>0.44433333333333319</v>
      </c>
      <c r="S607" s="25">
        <v>0.31770833333333343</v>
      </c>
      <c r="T607" s="25">
        <v>0.31499999999999989</v>
      </c>
      <c r="U607" s="25">
        <v>0.27060416666666681</v>
      </c>
      <c r="V607" s="25">
        <v>-28.500833333333336</v>
      </c>
      <c r="W607" s="25">
        <v>-255.15624999999991</v>
      </c>
      <c r="X607" s="25">
        <v>-219.2416666666667</v>
      </c>
      <c r="Y607" s="25">
        <v>-75.097083333333345</v>
      </c>
      <c r="Z607" s="25">
        <v>-24.281458333333322</v>
      </c>
      <c r="AA607" s="25">
        <v>-73.936249999999959</v>
      </c>
      <c r="AB607" s="25">
        <v>-192.88958333333335</v>
      </c>
      <c r="AC607" s="25">
        <v>-202.46875000000003</v>
      </c>
      <c r="AD607" s="25">
        <v>-165.80208333333351</v>
      </c>
      <c r="AE607" s="25">
        <v>-391.44374999999991</v>
      </c>
      <c r="AF607" s="25">
        <v>-1403.4375</v>
      </c>
      <c r="AG607" s="25">
        <v>-484.52291666666656</v>
      </c>
      <c r="AH607" s="25">
        <v>-126.7083333333333</v>
      </c>
      <c r="AI607" s="25">
        <v>-1012.1875</v>
      </c>
      <c r="AJ607" s="25">
        <v>-1752.125</v>
      </c>
      <c r="AK607" s="25">
        <v>-821.7791666666667</v>
      </c>
      <c r="AL607" s="25">
        <v>15.777083333333332</v>
      </c>
      <c r="AM607" s="25">
        <v>15.787500000000016</v>
      </c>
      <c r="AN607" s="25">
        <v>15.650000000000007</v>
      </c>
      <c r="AO607" s="25">
        <v>15.568750000000007</v>
      </c>
      <c r="AP607" s="25">
        <v>15.527083333333328</v>
      </c>
      <c r="AQ607" s="25">
        <v>15.75000000000002</v>
      </c>
      <c r="AR607" s="25">
        <v>15.681250000000007</v>
      </c>
      <c r="AS607" s="25">
        <v>15.610416666666671</v>
      </c>
      <c r="AT607" s="25">
        <v>0.37831249999999988</v>
      </c>
      <c r="AU607" s="25">
        <v>0.24792307692307688</v>
      </c>
      <c r="AV607" s="25">
        <v>0.39152083333333332</v>
      </c>
      <c r="AW607" s="25">
        <v>-76.234999999999985</v>
      </c>
      <c r="AX607" s="25">
        <v>-30.872916666666665</v>
      </c>
      <c r="AY607" s="25">
        <v>-38.86941176470588</v>
      </c>
      <c r="AZ607" s="25"/>
      <c r="BA607" s="25">
        <v>-18.339583333333302</v>
      </c>
      <c r="BB607" s="25"/>
      <c r="BC607" s="25"/>
      <c r="BD607" s="25">
        <v>15.40625</v>
      </c>
      <c r="BE607" s="25"/>
    </row>
    <row r="608" spans="1:57" x14ac:dyDescent="0.25">
      <c r="A608" s="1">
        <v>25.8</v>
      </c>
      <c r="B608" s="1">
        <v>10.9</v>
      </c>
      <c r="C608" s="22"/>
      <c r="D608" s="23">
        <v>44315</v>
      </c>
      <c r="E608" s="24">
        <v>271.64583333333331</v>
      </c>
      <c r="F608" s="24">
        <v>65.081249999999983</v>
      </c>
      <c r="G608" s="24">
        <v>18.022916666666667</v>
      </c>
      <c r="H608" s="24">
        <v>0.4</v>
      </c>
      <c r="I608" s="24">
        <v>215.20833333333334</v>
      </c>
      <c r="J608" s="24">
        <v>5.291666666666667</v>
      </c>
      <c r="K608" s="24">
        <v>0.4375</v>
      </c>
      <c r="L608" s="24">
        <v>10.172916666666666</v>
      </c>
      <c r="M608" s="10">
        <v>0.92031888459238065</v>
      </c>
      <c r="N608" s="25">
        <v>0.28079166666666655</v>
      </c>
      <c r="O608" s="25">
        <v>0.32004166666666684</v>
      </c>
      <c r="P608" s="25">
        <v>0.40104166666666669</v>
      </c>
      <c r="Q608" s="25">
        <v>0.41145833333333348</v>
      </c>
      <c r="R608" s="25">
        <v>0.44916666666666671</v>
      </c>
      <c r="S608" s="25">
        <v>0.31768749999999996</v>
      </c>
      <c r="T608" s="25">
        <v>0.31454166666666677</v>
      </c>
      <c r="U608" s="25">
        <v>0.2707083333333335</v>
      </c>
      <c r="V608" s="25">
        <v>-15.702916666666669</v>
      </c>
      <c r="W608" s="25">
        <v>-295.26458333333341</v>
      </c>
      <c r="X608" s="25">
        <v>-209.48749999999993</v>
      </c>
      <c r="Y608" s="25">
        <v>-20.240833333333335</v>
      </c>
      <c r="Z608" s="25">
        <v>-13.216041666666667</v>
      </c>
      <c r="AA608" s="25">
        <v>-19.103541666666661</v>
      </c>
      <c r="AB608" s="25">
        <v>-186.31458333333333</v>
      </c>
      <c r="AC608" s="25">
        <v>-201.01249999999996</v>
      </c>
      <c r="AD608" s="25">
        <v>-10.172916666666666</v>
      </c>
      <c r="AE608" s="25">
        <v>-98.456250000000026</v>
      </c>
      <c r="AF608" s="25">
        <v>-1386.4583333333333</v>
      </c>
      <c r="AG608" s="25">
        <v>-484.17708333333331</v>
      </c>
      <c r="AH608" s="25">
        <v>-13.341666666666667</v>
      </c>
      <c r="AI608" s="25">
        <v>-884.97916666666663</v>
      </c>
      <c r="AJ608" s="25">
        <v>-1676.8958333333333</v>
      </c>
      <c r="AK608" s="25">
        <v>-1347.5208333333333</v>
      </c>
      <c r="AL608" s="25">
        <v>15.660416666666672</v>
      </c>
      <c r="AM608" s="25">
        <v>15.570833333333338</v>
      </c>
      <c r="AN608" s="25">
        <v>15.454166666666657</v>
      </c>
      <c r="AO608" s="25">
        <v>15.443749999999987</v>
      </c>
      <c r="AP608" s="25">
        <v>15.59375</v>
      </c>
      <c r="AQ608" s="25">
        <v>15.560416666666667</v>
      </c>
      <c r="AR608" s="25">
        <v>15.447916666666664</v>
      </c>
      <c r="AS608" s="25">
        <v>15.402083333333323</v>
      </c>
      <c r="AT608" s="25">
        <v>0.38649999999999984</v>
      </c>
      <c r="AU608" s="25">
        <v>0.24363636363636365</v>
      </c>
      <c r="AV608" s="25">
        <v>0.41135416666666647</v>
      </c>
      <c r="AW608" s="25">
        <v>-52.407916666666658</v>
      </c>
      <c r="AX608" s="25">
        <v>-16.471666666666668</v>
      </c>
      <c r="AY608" s="25">
        <v>-39.4</v>
      </c>
      <c r="AZ608" s="25"/>
      <c r="BA608" s="25">
        <v>-10.872916666666669</v>
      </c>
      <c r="BB608" s="25"/>
      <c r="BC608" s="25"/>
      <c r="BD608" s="25">
        <v>16.2</v>
      </c>
      <c r="BE608" s="25"/>
    </row>
    <row r="609" spans="1:57" x14ac:dyDescent="0.25">
      <c r="A609" s="1">
        <v>28.2</v>
      </c>
      <c r="B609" s="1">
        <v>12.1</v>
      </c>
      <c r="C609" s="22"/>
      <c r="D609" s="23">
        <v>44316</v>
      </c>
      <c r="E609" s="24">
        <v>255.85416666666666</v>
      </c>
      <c r="F609" s="24">
        <v>67.949999999999989</v>
      </c>
      <c r="G609" s="24">
        <v>19.204166666666669</v>
      </c>
      <c r="H609" s="24">
        <v>7.5</v>
      </c>
      <c r="I609" s="24">
        <v>196.875</v>
      </c>
      <c r="J609" s="24">
        <v>6.416666666666667</v>
      </c>
      <c r="K609" s="24">
        <v>0.8125</v>
      </c>
      <c r="L609" s="24">
        <v>12.727083333333331</v>
      </c>
      <c r="M609" s="10">
        <v>0.85998887049472339</v>
      </c>
      <c r="N609" s="25">
        <v>0.27212500000000001</v>
      </c>
      <c r="O609" s="25">
        <v>0.32060416666666675</v>
      </c>
      <c r="P609" s="25">
        <v>0.40156250000000004</v>
      </c>
      <c r="Q609" s="25">
        <v>0.41114583333333327</v>
      </c>
      <c r="R609" s="25">
        <v>0.4393749999999999</v>
      </c>
      <c r="S609" s="25">
        <v>0.31758333333333344</v>
      </c>
      <c r="T609" s="25">
        <v>0.31499999999999989</v>
      </c>
      <c r="U609" s="25">
        <v>0.27081250000000007</v>
      </c>
      <c r="V609" s="25">
        <v>-19.376041666666662</v>
      </c>
      <c r="W609" s="25">
        <v>-301.5291666666667</v>
      </c>
      <c r="X609" s="25">
        <v>-203.65208333333337</v>
      </c>
      <c r="Y609" s="25">
        <v>-27.845416666666665</v>
      </c>
      <c r="Z609" s="25">
        <v>-14.266041666666665</v>
      </c>
      <c r="AA609" s="25">
        <v>-24.272916666666671</v>
      </c>
      <c r="AB609" s="25">
        <v>-178.68124999999995</v>
      </c>
      <c r="AC609" s="25">
        <v>-197.60208333333333</v>
      </c>
      <c r="AD609" s="25">
        <v>-11.006250000000001</v>
      </c>
      <c r="AE609" s="25">
        <v>-162.27291666666665</v>
      </c>
      <c r="AF609" s="25">
        <v>-1353.7916666666667</v>
      </c>
      <c r="AG609" s="25">
        <v>-483.00833333333321</v>
      </c>
      <c r="AH609" s="25">
        <v>-16.758333333333333</v>
      </c>
      <c r="AI609" s="25">
        <v>-837.47916666666663</v>
      </c>
      <c r="AJ609" s="25">
        <v>-1545.125</v>
      </c>
      <c r="AK609" s="25">
        <v>-1684.2708333333333</v>
      </c>
      <c r="AL609" s="25">
        <v>16.260416666666661</v>
      </c>
      <c r="AM609" s="25">
        <v>15.789583333333328</v>
      </c>
      <c r="AN609" s="25">
        <v>15.489583333333334</v>
      </c>
      <c r="AO609" s="25">
        <v>15.399999999999986</v>
      </c>
      <c r="AP609" s="25">
        <v>16.487499999999997</v>
      </c>
      <c r="AQ609" s="25">
        <v>16.041666666666671</v>
      </c>
      <c r="AR609" s="25">
        <v>15.725000000000003</v>
      </c>
      <c r="AS609" s="25">
        <v>15.57708333333334</v>
      </c>
      <c r="AT609" s="25">
        <v>0.37683720930232562</v>
      </c>
      <c r="AU609" s="25">
        <v>0.200875</v>
      </c>
      <c r="AV609" s="25">
        <v>0.38627083333333334</v>
      </c>
      <c r="AW609" s="25">
        <v>-42.940208333333352</v>
      </c>
      <c r="AX609" s="25">
        <v>-16.98875</v>
      </c>
      <c r="AY609" s="25">
        <v>-20.1675</v>
      </c>
      <c r="AZ609" s="25"/>
      <c r="BA609" s="25">
        <v>-11.454166666666664</v>
      </c>
      <c r="BB609" s="25"/>
      <c r="BC609" s="25"/>
      <c r="BD609" s="25">
        <v>16.829166666666669</v>
      </c>
      <c r="BE609" s="25"/>
    </row>
    <row r="610" spans="1:57" x14ac:dyDescent="0.25">
      <c r="A610" s="1">
        <v>28.7</v>
      </c>
      <c r="B610" s="1">
        <v>12.1</v>
      </c>
      <c r="C610" s="22"/>
      <c r="D610" s="23">
        <v>44317</v>
      </c>
      <c r="E610" s="24">
        <v>256.8125</v>
      </c>
      <c r="F610" s="24">
        <v>70.152083333333351</v>
      </c>
      <c r="G610" s="24">
        <v>20.231250000000006</v>
      </c>
      <c r="H610" s="24">
        <v>0</v>
      </c>
      <c r="I610" s="24">
        <v>234.89583333333334</v>
      </c>
      <c r="J610" s="24">
        <v>5.083333333333333</v>
      </c>
      <c r="K610" s="24">
        <v>0.47916666666666669</v>
      </c>
      <c r="L610" s="24">
        <v>14.006250000000001</v>
      </c>
      <c r="M610" s="10">
        <v>0.89570311598521857</v>
      </c>
      <c r="N610" s="25">
        <v>0.2661666666666665</v>
      </c>
      <c r="O610" s="25">
        <v>0.32056250000000008</v>
      </c>
      <c r="P610" s="25">
        <v>0.40204166666666663</v>
      </c>
      <c r="Q610" s="25">
        <v>0.41160416666666705</v>
      </c>
      <c r="R610" s="25">
        <v>0.4331666666666667</v>
      </c>
      <c r="S610" s="25">
        <v>0.31733333333333341</v>
      </c>
      <c r="T610" s="25">
        <v>0.31541666666666646</v>
      </c>
      <c r="U610" s="25">
        <v>0.27087500000000025</v>
      </c>
      <c r="V610" s="25">
        <v>-22.267291666666665</v>
      </c>
      <c r="W610" s="25">
        <v>-296.86041666666688</v>
      </c>
      <c r="X610" s="25">
        <v>-201.74374999999995</v>
      </c>
      <c r="Y610" s="25">
        <v>-34.977499999999999</v>
      </c>
      <c r="Z610" s="25">
        <v>-13.100416666666668</v>
      </c>
      <c r="AA610" s="25">
        <v>-29.69145833333333</v>
      </c>
      <c r="AB610" s="25">
        <v>-174.20624999999995</v>
      </c>
      <c r="AC610" s="25">
        <v>-194.17708333333329</v>
      </c>
      <c r="AD610" s="25">
        <v>-10.599999999999998</v>
      </c>
      <c r="AE610" s="25">
        <v>-251.37291666666667</v>
      </c>
      <c r="AF610" s="25">
        <v>-1327.5625</v>
      </c>
      <c r="AG610" s="25">
        <v>-482.09583333333313</v>
      </c>
      <c r="AH610" s="25">
        <v>-18.364583333333332</v>
      </c>
      <c r="AI610" s="25">
        <v>-848.875</v>
      </c>
      <c r="AJ610" s="25">
        <v>-1518.4583333333333</v>
      </c>
      <c r="AK610" s="25">
        <v>-1950.9375</v>
      </c>
      <c r="AL610" s="25">
        <v>16.589583333333344</v>
      </c>
      <c r="AM610" s="25">
        <v>16.079166666666669</v>
      </c>
      <c r="AN610" s="25">
        <v>15.679166666666676</v>
      </c>
      <c r="AO610" s="25">
        <v>15.502083333333337</v>
      </c>
      <c r="AP610" s="25">
        <v>16.795833333333334</v>
      </c>
      <c r="AQ610" s="25">
        <v>16.385416666666671</v>
      </c>
      <c r="AR610" s="25">
        <v>16.033333333333335</v>
      </c>
      <c r="AS610" s="25">
        <v>15.85624999999999</v>
      </c>
      <c r="AT610" s="25">
        <v>0.3832127659574468</v>
      </c>
      <c r="AU610" s="25">
        <v>0.22466666666666668</v>
      </c>
      <c r="AV610" s="25">
        <v>0.40058333333333351</v>
      </c>
      <c r="AW610" s="25">
        <v>-37.143333333333331</v>
      </c>
      <c r="AX610" s="25">
        <v>-16.198125000000001</v>
      </c>
      <c r="AY610" s="25">
        <v>-22.53</v>
      </c>
      <c r="AZ610" s="25"/>
      <c r="BA610" s="25">
        <v>-10.997916666666667</v>
      </c>
      <c r="BB610" s="25"/>
      <c r="BC610" s="25"/>
      <c r="BD610" s="25">
        <v>17.083333333333336</v>
      </c>
      <c r="BE610" s="25"/>
    </row>
    <row r="611" spans="1:57" x14ac:dyDescent="0.25">
      <c r="A611" s="1">
        <v>28</v>
      </c>
      <c r="B611" s="1">
        <v>17.2</v>
      </c>
      <c r="C611" s="22"/>
      <c r="D611" s="23">
        <v>44318</v>
      </c>
      <c r="E611" s="24">
        <v>230.875</v>
      </c>
      <c r="F611" s="24">
        <v>70.53125</v>
      </c>
      <c r="G611" s="24">
        <v>22.514583333333334</v>
      </c>
      <c r="H611" s="24">
        <v>0.5</v>
      </c>
      <c r="I611" s="24">
        <v>229.8125</v>
      </c>
      <c r="J611" s="24">
        <v>12</v>
      </c>
      <c r="K611" s="24">
        <v>2.3125</v>
      </c>
      <c r="L611" s="24">
        <v>16.689583333333335</v>
      </c>
      <c r="M611" s="10">
        <v>0.87739811374063814</v>
      </c>
      <c r="N611" s="25">
        <v>0.26210416666666664</v>
      </c>
      <c r="O611" s="25">
        <v>0.32077083333333339</v>
      </c>
      <c r="P611" s="25">
        <v>0.40314583333333337</v>
      </c>
      <c r="Q611" s="25">
        <v>0.41177083333333342</v>
      </c>
      <c r="R611" s="25">
        <v>0.42879166666666629</v>
      </c>
      <c r="S611" s="25">
        <v>0.31804166666666661</v>
      </c>
      <c r="T611" s="25">
        <v>0.31597916666666687</v>
      </c>
      <c r="U611" s="25">
        <v>0.2710000000000003</v>
      </c>
      <c r="V611" s="25">
        <v>-26.573541666666671</v>
      </c>
      <c r="W611" s="25">
        <v>-34.618958333333332</v>
      </c>
      <c r="X611" s="25">
        <v>-201.98124999999993</v>
      </c>
      <c r="Y611" s="25">
        <v>-41.589583333333344</v>
      </c>
      <c r="Z611" s="25">
        <v>-15.409375000000002</v>
      </c>
      <c r="AA611" s="25">
        <v>-35.316249999999989</v>
      </c>
      <c r="AB611" s="25">
        <v>-172.21041666666656</v>
      </c>
      <c r="AC611" s="25">
        <v>-193.47708333333344</v>
      </c>
      <c r="AD611" s="25">
        <v>-16.791666666666664</v>
      </c>
      <c r="AE611" s="25">
        <v>-363.55208333333331</v>
      </c>
      <c r="AF611" s="25">
        <v>-1351.6875</v>
      </c>
      <c r="AG611" s="25">
        <v>-483.0645833333333</v>
      </c>
      <c r="AH611" s="25">
        <v>-39.443749999999987</v>
      </c>
      <c r="AI611" s="25">
        <v>-859.70833333333337</v>
      </c>
      <c r="AJ611" s="25">
        <v>-1520.7083333333333</v>
      </c>
      <c r="AK611" s="25">
        <v>-12.020833333333327</v>
      </c>
      <c r="AL611" s="25">
        <v>17.410416666666666</v>
      </c>
      <c r="AM611" s="25">
        <v>16.49583333333333</v>
      </c>
      <c r="AN611" s="25">
        <v>15.893749999999995</v>
      </c>
      <c r="AO611" s="25">
        <v>15.681249999999997</v>
      </c>
      <c r="AP611" s="25">
        <v>17.943750000000001</v>
      </c>
      <c r="AQ611" s="25">
        <v>17.033333333333335</v>
      </c>
      <c r="AR611" s="25">
        <v>16.468749999999996</v>
      </c>
      <c r="AS611" s="25">
        <v>16.199999999999992</v>
      </c>
      <c r="AT611" s="25">
        <v>0.36851063829787228</v>
      </c>
      <c r="AU611" s="25">
        <v>0.20200000000000001</v>
      </c>
      <c r="AV611" s="25">
        <v>0.3713541666666666</v>
      </c>
      <c r="AW611" s="25">
        <v>-24.9725</v>
      </c>
      <c r="AX611" s="25">
        <v>-18.039583333333336</v>
      </c>
      <c r="AY611" s="25">
        <v>-38.595500000000001</v>
      </c>
      <c r="AZ611" s="25"/>
      <c r="BA611" s="25">
        <v>-12.777083333333332</v>
      </c>
      <c r="BB611" s="25"/>
      <c r="BC611" s="25"/>
      <c r="BD611" s="25">
        <v>18.249999999999996</v>
      </c>
      <c r="BE611" s="25"/>
    </row>
    <row r="612" spans="1:57" x14ac:dyDescent="0.25">
      <c r="A612" s="1">
        <v>29.3</v>
      </c>
      <c r="B612" s="1">
        <v>16.7</v>
      </c>
      <c r="C612" s="22"/>
      <c r="D612" s="23">
        <v>44319</v>
      </c>
      <c r="E612" s="24">
        <v>236.1875</v>
      </c>
      <c r="F612" s="24">
        <v>76.270833333333329</v>
      </c>
      <c r="G612" s="24">
        <v>21.997916666666665</v>
      </c>
      <c r="H612" s="24">
        <v>36.6</v>
      </c>
      <c r="I612" s="24">
        <v>237.02083333333334</v>
      </c>
      <c r="J612" s="24">
        <v>11.75</v>
      </c>
      <c r="K612" s="24">
        <v>1.375</v>
      </c>
      <c r="L612" s="24">
        <v>17.297916666666662</v>
      </c>
      <c r="M612" s="10">
        <v>0.73252931886115924</v>
      </c>
      <c r="N612" s="25">
        <v>0.4124583333333332</v>
      </c>
      <c r="O612" s="25">
        <v>0.39227083333333335</v>
      </c>
      <c r="P612" s="25">
        <v>0.48547916666666663</v>
      </c>
      <c r="Q612" s="25">
        <v>0.56193749999999965</v>
      </c>
      <c r="R612" s="25">
        <v>0.54566666666666686</v>
      </c>
      <c r="S612" s="25">
        <v>0.40762499999999985</v>
      </c>
      <c r="T612" s="25">
        <v>0.37016666666666648</v>
      </c>
      <c r="U612" s="25">
        <v>0.29620833333333335</v>
      </c>
      <c r="V612" s="25">
        <v>-14.736666666666665</v>
      </c>
      <c r="W612" s="25">
        <v>-26.533125000000009</v>
      </c>
      <c r="X612" s="25">
        <v>-14.629791666666669</v>
      </c>
      <c r="Y612" s="25">
        <v>-13.896041666666667</v>
      </c>
      <c r="Z612" s="25">
        <v>-12.668333333333328</v>
      </c>
      <c r="AA612" s="25">
        <v>-13.660625000000001</v>
      </c>
      <c r="AB612" s="25">
        <v>-16.685833333333338</v>
      </c>
      <c r="AC612" s="25">
        <v>-132.52083333333337</v>
      </c>
      <c r="AD612" s="25">
        <v>-10.100000000000009</v>
      </c>
      <c r="AE612" s="25">
        <v>-12.54791666666666</v>
      </c>
      <c r="AF612" s="25">
        <v>-41.458333333333336</v>
      </c>
      <c r="AG612" s="25">
        <v>-26.943749999999998</v>
      </c>
      <c r="AH612" s="25">
        <v>-12.78541666666667</v>
      </c>
      <c r="AI612" s="25">
        <v>-10.547916666666673</v>
      </c>
      <c r="AJ612" s="25">
        <v>-26.045833333333363</v>
      </c>
      <c r="AK612" s="25">
        <v>-11.350000000000001</v>
      </c>
      <c r="AL612" s="25">
        <v>18.210416666666671</v>
      </c>
      <c r="AM612" s="25">
        <v>17.225000000000001</v>
      </c>
      <c r="AN612" s="25">
        <v>16.414583333333326</v>
      </c>
      <c r="AO612" s="25">
        <v>16.075000000000017</v>
      </c>
      <c r="AP612" s="25">
        <v>18.668749999999999</v>
      </c>
      <c r="AQ612" s="25">
        <v>17.793750000000006</v>
      </c>
      <c r="AR612" s="25">
        <v>17.216666666666669</v>
      </c>
      <c r="AS612" s="25">
        <v>16.895833333333325</v>
      </c>
      <c r="AT612" s="25">
        <v>0.44430434782608708</v>
      </c>
      <c r="AU612" s="25">
        <v>0.26308333333333339</v>
      </c>
      <c r="AV612" s="25">
        <v>0.4554583333333333</v>
      </c>
      <c r="AW612" s="25">
        <v>-25.553333333333342</v>
      </c>
      <c r="AX612" s="25">
        <v>-16.469791666666673</v>
      </c>
      <c r="AY612" s="25">
        <v>-25.208085106382967</v>
      </c>
      <c r="AZ612" s="25"/>
      <c r="BA612" s="25">
        <v>-10.722916666666663</v>
      </c>
      <c r="BB612" s="25"/>
      <c r="BC612" s="25"/>
      <c r="BD612" s="25">
        <v>19.049999999999997</v>
      </c>
      <c r="BE612" s="25"/>
    </row>
    <row r="613" spans="1:57" x14ac:dyDescent="0.25">
      <c r="A613" s="1">
        <v>21.6</v>
      </c>
      <c r="B613" s="1">
        <v>14.8</v>
      </c>
      <c r="C613" s="22"/>
      <c r="D613" s="23">
        <v>44320</v>
      </c>
      <c r="E613" s="24">
        <v>70.958333333333329</v>
      </c>
      <c r="F613" s="24">
        <v>91.954166666666652</v>
      </c>
      <c r="G613" s="24">
        <v>17.100000000000001</v>
      </c>
      <c r="H613" s="24">
        <v>28.999999999999993</v>
      </c>
      <c r="I613" s="24">
        <v>194.41666666666666</v>
      </c>
      <c r="J613" s="24">
        <v>4.3125</v>
      </c>
      <c r="K613" s="24">
        <v>0.14583333333333334</v>
      </c>
      <c r="L613" s="24">
        <v>15.741666666666667</v>
      </c>
      <c r="M613" s="10">
        <v>0.16831817382613079</v>
      </c>
      <c r="N613" s="25">
        <v>0.45372916666666674</v>
      </c>
      <c r="O613" s="25">
        <v>0.45360416666666664</v>
      </c>
      <c r="P613" s="25">
        <v>0.54393750000000018</v>
      </c>
      <c r="Q613" s="25">
        <v>0.58391666666666675</v>
      </c>
      <c r="R613" s="25">
        <v>0.59016666666666673</v>
      </c>
      <c r="S613" s="25">
        <v>0.45941666666666681</v>
      </c>
      <c r="T613" s="25">
        <v>0.39283333333333315</v>
      </c>
      <c r="U613" s="25">
        <v>0.32541666666666669</v>
      </c>
      <c r="V613" s="25">
        <v>-14.386666666666665</v>
      </c>
      <c r="W613" s="25">
        <v>-25.841250000000002</v>
      </c>
      <c r="X613" s="25">
        <v>-12.563541666666675</v>
      </c>
      <c r="Y613" s="25">
        <v>-13.198333333333329</v>
      </c>
      <c r="Z613" s="25">
        <v>-12.552916666666667</v>
      </c>
      <c r="AA613" s="25">
        <v>-12.978750000000003</v>
      </c>
      <c r="AB613" s="25">
        <v>-12.912708333333333</v>
      </c>
      <c r="AC613" s="25">
        <v>-43.152083333333337</v>
      </c>
      <c r="AD613" s="25">
        <v>-9.8833333333333329</v>
      </c>
      <c r="AE613" s="25">
        <v>-11.13333333333334</v>
      </c>
      <c r="AF613" s="25">
        <v>-11.787499999999993</v>
      </c>
      <c r="AG613" s="25">
        <v>-13.575000000000008</v>
      </c>
      <c r="AH613" s="25">
        <v>-12.404166666666656</v>
      </c>
      <c r="AI613" s="25">
        <v>-10.404166666666663</v>
      </c>
      <c r="AJ613" s="25">
        <v>-10.48541666666666</v>
      </c>
      <c r="AK613" s="25">
        <v>-11.116666666666676</v>
      </c>
      <c r="AL613" s="25">
        <v>18.035416666666659</v>
      </c>
      <c r="AM613" s="25">
        <v>17.414583333333312</v>
      </c>
      <c r="AN613" s="25">
        <v>16.681250000000009</v>
      </c>
      <c r="AO613" s="25">
        <v>16.356249999999985</v>
      </c>
      <c r="AP613" s="25">
        <v>18.116666666666664</v>
      </c>
      <c r="AQ613" s="25">
        <v>17.845833333333342</v>
      </c>
      <c r="AR613" s="25">
        <v>17.410416666666645</v>
      </c>
      <c r="AS613" s="25">
        <v>17.172916666666676</v>
      </c>
      <c r="AT613" s="25">
        <v>0.45672916666666663</v>
      </c>
      <c r="AU613" s="25">
        <v>0.32156756756756755</v>
      </c>
      <c r="AV613" s="25">
        <v>0.48162499999999997</v>
      </c>
      <c r="AW613" s="25">
        <v>-30.346249999999998</v>
      </c>
      <c r="AX613" s="25">
        <v>-15.374791666666665</v>
      </c>
      <c r="AY613" s="25">
        <v>-14.452500000000002</v>
      </c>
      <c r="AZ613" s="25"/>
      <c r="BA613" s="25">
        <v>-10.366666666666667</v>
      </c>
      <c r="BB613" s="25"/>
      <c r="BC613" s="25"/>
      <c r="BD613" s="25">
        <v>17.754166666666666</v>
      </c>
      <c r="BE613" s="25"/>
    </row>
    <row r="614" spans="1:57" x14ac:dyDescent="0.25">
      <c r="A614" s="1">
        <v>15.6</v>
      </c>
      <c r="B614" s="1">
        <v>13</v>
      </c>
      <c r="C614" s="22"/>
      <c r="D614" s="23">
        <v>44321</v>
      </c>
      <c r="E614" s="24">
        <v>33.291666666666664</v>
      </c>
      <c r="F614" s="24">
        <v>95.385416666666643</v>
      </c>
      <c r="G614" s="24">
        <v>14.256250000000001</v>
      </c>
      <c r="H614" s="24">
        <v>14.499999999999996</v>
      </c>
      <c r="I614" s="24">
        <v>235.33333333333334</v>
      </c>
      <c r="J614" s="24">
        <v>3.6041666666666665</v>
      </c>
      <c r="K614" s="24">
        <v>4.1666666666666664E-2</v>
      </c>
      <c r="L614" s="24">
        <v>13.512500000000005</v>
      </c>
      <c r="M614" s="10">
        <v>7.5966337891031507E-2</v>
      </c>
      <c r="N614" s="25">
        <v>0.46166666666666673</v>
      </c>
      <c r="O614" s="25">
        <v>0.51970833333333311</v>
      </c>
      <c r="P614" s="25">
        <v>0.57274999999999998</v>
      </c>
      <c r="Q614" s="25">
        <v>0.58995833333333303</v>
      </c>
      <c r="R614" s="25">
        <v>0.5963750000000001</v>
      </c>
      <c r="S614" s="25">
        <v>0.49868749999999989</v>
      </c>
      <c r="T614" s="25">
        <v>0.45079166666666648</v>
      </c>
      <c r="U614" s="25">
        <v>0.38593750000000004</v>
      </c>
      <c r="V614" s="25">
        <v>-14.553125</v>
      </c>
      <c r="W614" s="25">
        <v>-26.090416666666666</v>
      </c>
      <c r="X614" s="25">
        <v>-12.592708333333327</v>
      </c>
      <c r="Y614" s="25">
        <v>-13.017083333333339</v>
      </c>
      <c r="Z614" s="25">
        <v>-12.579166666666664</v>
      </c>
      <c r="AA614" s="25">
        <v>-12.964166666666671</v>
      </c>
      <c r="AB614" s="25">
        <v>-12.92041666666667</v>
      </c>
      <c r="AC614" s="25">
        <v>-14.193958333333335</v>
      </c>
      <c r="AD614" s="25">
        <v>-9.7416666666666654</v>
      </c>
      <c r="AE614" s="25">
        <v>-10.84583333333334</v>
      </c>
      <c r="AF614" s="25">
        <v>-11.133333333333342</v>
      </c>
      <c r="AG614" s="25">
        <v>-11.885416666666664</v>
      </c>
      <c r="AH614" s="25">
        <v>-12.168750000000005</v>
      </c>
      <c r="AI614" s="25">
        <v>-10.291666666666675</v>
      </c>
      <c r="AJ614" s="25">
        <v>-10.31458333333334</v>
      </c>
      <c r="AK614" s="25">
        <v>-11.183333333333328</v>
      </c>
      <c r="AL614" s="25">
        <v>16.98749999999999</v>
      </c>
      <c r="AM614" s="25">
        <v>16.991666666666656</v>
      </c>
      <c r="AN614" s="25">
        <v>16.639583333333334</v>
      </c>
      <c r="AO614" s="25">
        <v>16.437499999999989</v>
      </c>
      <c r="AP614" s="25">
        <v>16.604166666666657</v>
      </c>
      <c r="AQ614" s="25">
        <v>17.004166666666677</v>
      </c>
      <c r="AR614" s="25">
        <v>16.906250000000011</v>
      </c>
      <c r="AS614" s="25">
        <v>16.841666666666676</v>
      </c>
      <c r="AT614" s="25">
        <v>0.45010416666666669</v>
      </c>
      <c r="AU614" s="25">
        <v>0.30672916666666666</v>
      </c>
      <c r="AV614" s="25">
        <v>0.48170833333333324</v>
      </c>
      <c r="AW614" s="25">
        <v>-30.522083333333342</v>
      </c>
      <c r="AX614" s="25">
        <v>-15.538750000000007</v>
      </c>
      <c r="AY614" s="25">
        <v>-14.585416666666672</v>
      </c>
      <c r="AZ614" s="25"/>
      <c r="BA614" s="25">
        <v>-10.18541666666666</v>
      </c>
      <c r="BB614" s="25"/>
      <c r="BC614" s="25"/>
      <c r="BD614" s="25">
        <v>16.408333333333335</v>
      </c>
      <c r="BE614" s="25"/>
    </row>
    <row r="615" spans="1:57" x14ac:dyDescent="0.25">
      <c r="A615" s="1">
        <v>22.2</v>
      </c>
      <c r="B615" s="1">
        <v>14.6</v>
      </c>
      <c r="C615" s="22"/>
      <c r="D615" s="23">
        <v>44322</v>
      </c>
      <c r="E615" s="24">
        <v>92.583333333333329</v>
      </c>
      <c r="F615" s="24">
        <v>92.320833333333326</v>
      </c>
      <c r="G615" s="24">
        <v>16.943750000000005</v>
      </c>
      <c r="H615" s="24">
        <v>6.4</v>
      </c>
      <c r="I615" s="24">
        <v>232.91666666666666</v>
      </c>
      <c r="J615" s="24">
        <v>4.770833333333333</v>
      </c>
      <c r="K615" s="24">
        <v>0.22916666666666666</v>
      </c>
      <c r="L615" s="24">
        <v>15.618749999999999</v>
      </c>
      <c r="M615" s="10">
        <v>0.17158127877530926</v>
      </c>
      <c r="N615" s="25">
        <v>0.4433125</v>
      </c>
      <c r="O615" s="25">
        <v>0.51760416666666664</v>
      </c>
      <c r="P615" s="25">
        <v>0.56704166666666689</v>
      </c>
      <c r="Q615" s="25">
        <v>0.57516666666666694</v>
      </c>
      <c r="R615" s="25">
        <v>0.58908333333333307</v>
      </c>
      <c r="S615" s="25">
        <v>0.4841458333333335</v>
      </c>
      <c r="T615" s="25">
        <v>0.45599999999999974</v>
      </c>
      <c r="U615" s="25">
        <v>0.39435416666666662</v>
      </c>
      <c r="V615" s="25">
        <v>-14.506249999999994</v>
      </c>
      <c r="W615" s="25">
        <v>-25.858541666666671</v>
      </c>
      <c r="X615" s="25">
        <v>-12.657916666666663</v>
      </c>
      <c r="Y615" s="25">
        <v>-13.082083333333332</v>
      </c>
      <c r="Z615" s="25">
        <v>-12.664791666666673</v>
      </c>
      <c r="AA615" s="25">
        <v>-13.037708333333327</v>
      </c>
      <c r="AB615" s="25">
        <v>-12.949791666666671</v>
      </c>
      <c r="AC615" s="25">
        <v>-14.017083333333332</v>
      </c>
      <c r="AD615" s="25">
        <v>-9.697916666666659</v>
      </c>
      <c r="AE615" s="25">
        <v>-10.752083333333331</v>
      </c>
      <c r="AF615" s="25">
        <v>-11.100000000000009</v>
      </c>
      <c r="AG615" s="25">
        <v>-11.800000000000002</v>
      </c>
      <c r="AH615" s="25">
        <v>-12.093750000000002</v>
      </c>
      <c r="AI615" s="25">
        <v>-10.275000000000002</v>
      </c>
      <c r="AJ615" s="25">
        <v>-10.206249999999992</v>
      </c>
      <c r="AK615" s="25">
        <v>-10.89166666666666</v>
      </c>
      <c r="AL615" s="25">
        <v>16.781250000000007</v>
      </c>
      <c r="AM615" s="25">
        <v>16.587500000000009</v>
      </c>
      <c r="AN615" s="25">
        <v>16.370833333333316</v>
      </c>
      <c r="AO615" s="25">
        <v>16.264583333333352</v>
      </c>
      <c r="AP615" s="25">
        <v>16.74583333333333</v>
      </c>
      <c r="AQ615" s="25">
        <v>16.627083333333328</v>
      </c>
      <c r="AR615" s="25">
        <v>16.462499999999988</v>
      </c>
      <c r="AS615" s="25">
        <v>16.395833333333318</v>
      </c>
      <c r="AT615" s="25">
        <v>0.43154166666666655</v>
      </c>
      <c r="AU615" s="25">
        <v>0.28004347826086962</v>
      </c>
      <c r="AV615" s="25">
        <v>0.46879166666666666</v>
      </c>
      <c r="AW615" s="25">
        <v>-23.57479166666667</v>
      </c>
      <c r="AX615" s="25">
        <v>-15.21270833333333</v>
      </c>
      <c r="AY615" s="25">
        <v>-14.565208333333326</v>
      </c>
      <c r="AZ615" s="25"/>
      <c r="BA615" s="25">
        <v>-10.141666666666671</v>
      </c>
      <c r="BB615" s="25"/>
      <c r="BC615" s="25"/>
      <c r="BD615" s="25">
        <v>17.024999999999999</v>
      </c>
      <c r="BE615" s="25"/>
    </row>
    <row r="616" spans="1:57" x14ac:dyDescent="0.25">
      <c r="A616" s="1">
        <v>19.8</v>
      </c>
      <c r="B616" s="1">
        <v>14.3</v>
      </c>
      <c r="C616" s="22"/>
      <c r="D616" s="23">
        <v>44323</v>
      </c>
      <c r="E616" s="24">
        <v>65.0625</v>
      </c>
      <c r="F616" s="24">
        <v>93.410416666666677</v>
      </c>
      <c r="G616" s="24">
        <v>15.74166666666666</v>
      </c>
      <c r="H616" s="24">
        <v>6.1000000000000005</v>
      </c>
      <c r="I616" s="24">
        <v>200.1875</v>
      </c>
      <c r="J616" s="24">
        <v>1.3541666666666667</v>
      </c>
      <c r="K616" s="24">
        <v>0</v>
      </c>
      <c r="L616" s="24">
        <v>14.631249999999996</v>
      </c>
      <c r="M616" s="10">
        <v>0.13035154043464456</v>
      </c>
      <c r="N616" s="25">
        <v>0.46295833333333336</v>
      </c>
      <c r="O616" s="25">
        <v>0.52941666666666687</v>
      </c>
      <c r="P616" s="25">
        <v>0.57522916666666657</v>
      </c>
      <c r="Q616" s="25">
        <v>0.58447916666666655</v>
      </c>
      <c r="R616" s="25">
        <v>0.59745833333333331</v>
      </c>
      <c r="S616" s="25">
        <v>0.4998333333333333</v>
      </c>
      <c r="T616" s="25">
        <v>0.45962500000000012</v>
      </c>
      <c r="U616" s="25">
        <v>0.39764583333333353</v>
      </c>
      <c r="V616" s="25">
        <v>-14.458749999999997</v>
      </c>
      <c r="W616" s="25">
        <v>-26.333958333333332</v>
      </c>
      <c r="X616" s="25">
        <v>-12.601875000000009</v>
      </c>
      <c r="Y616" s="25">
        <v>-13.074999999999996</v>
      </c>
      <c r="Z616" s="25">
        <v>-12.632083333333334</v>
      </c>
      <c r="AA616" s="25">
        <v>-12.906875000000001</v>
      </c>
      <c r="AB616" s="25">
        <v>-12.808333333333332</v>
      </c>
      <c r="AC616" s="25">
        <v>-14.077708333333335</v>
      </c>
      <c r="AD616" s="25">
        <v>-9.5833333333333375</v>
      </c>
      <c r="AE616" s="25">
        <v>-10.610416666666675</v>
      </c>
      <c r="AF616" s="25">
        <v>-10.929166666666658</v>
      </c>
      <c r="AG616" s="25">
        <v>-11.708333333333329</v>
      </c>
      <c r="AH616" s="25">
        <v>-11.924999999999992</v>
      </c>
      <c r="AI616" s="25">
        <v>-10.181249999999999</v>
      </c>
      <c r="AJ616" s="25">
        <v>-10.120833333333342</v>
      </c>
      <c r="AK616" s="25">
        <v>-10.889583333333334</v>
      </c>
      <c r="AL616" s="25">
        <v>16.816666666666652</v>
      </c>
      <c r="AM616" s="25">
        <v>16.604166666666675</v>
      </c>
      <c r="AN616" s="25">
        <v>16.29999999999999</v>
      </c>
      <c r="AO616" s="25">
        <v>16.20000000000001</v>
      </c>
      <c r="AP616" s="25">
        <v>16.733333333333331</v>
      </c>
      <c r="AQ616" s="25">
        <v>16.725000000000019</v>
      </c>
      <c r="AR616" s="25">
        <v>16.529166666666665</v>
      </c>
      <c r="AS616" s="25">
        <v>16.408333333333321</v>
      </c>
      <c r="AT616" s="25">
        <v>0.44197916666666676</v>
      </c>
      <c r="AU616" s="25"/>
      <c r="AV616" s="25">
        <v>0.48366666666666674</v>
      </c>
      <c r="AW616" s="25">
        <v>-23.41020833333333</v>
      </c>
      <c r="AX616" s="25">
        <v>-15.132708333333332</v>
      </c>
      <c r="AY616" s="25">
        <v>-14.524999999999999</v>
      </c>
      <c r="AZ616" s="25"/>
      <c r="BA616" s="25">
        <v>-9.9791666666666625</v>
      </c>
      <c r="BB616" s="25"/>
      <c r="BC616" s="25"/>
      <c r="BD616" s="25">
        <v>16.733333333333331</v>
      </c>
      <c r="BE616" s="25"/>
    </row>
    <row r="617" spans="1:57" x14ac:dyDescent="0.25">
      <c r="A617" s="1">
        <v>25.1</v>
      </c>
      <c r="B617" s="1">
        <v>13.8</v>
      </c>
      <c r="C617" s="22"/>
      <c r="D617" s="23">
        <v>44324</v>
      </c>
      <c r="E617" s="24">
        <v>178.5</v>
      </c>
      <c r="F617" s="24">
        <v>84.104166666666671</v>
      </c>
      <c r="G617" s="24">
        <v>18.729166666666668</v>
      </c>
      <c r="H617" s="24">
        <v>0</v>
      </c>
      <c r="I617" s="24">
        <v>225.45833333333334</v>
      </c>
      <c r="J617" s="24">
        <v>2.1875</v>
      </c>
      <c r="K617" s="24">
        <v>2.0833333333333332E-2</v>
      </c>
      <c r="L617" s="24">
        <v>15.72916666666667</v>
      </c>
      <c r="M617" s="10">
        <v>0.42596168480927338</v>
      </c>
      <c r="N617" s="25">
        <v>0.45106249999999992</v>
      </c>
      <c r="O617" s="25">
        <v>0.52460416666666643</v>
      </c>
      <c r="P617" s="25">
        <v>0.571583333333333</v>
      </c>
      <c r="Q617" s="25">
        <v>0.58095833333333347</v>
      </c>
      <c r="R617" s="25">
        <v>0.59264583333333276</v>
      </c>
      <c r="S617" s="25">
        <v>0.49237499999999995</v>
      </c>
      <c r="T617" s="25">
        <v>0.46029166666666682</v>
      </c>
      <c r="U617" s="25">
        <v>0.39912500000000001</v>
      </c>
      <c r="V617" s="25">
        <v>-14.456041666666669</v>
      </c>
      <c r="W617" s="25">
        <v>-27.638125000000006</v>
      </c>
      <c r="X617" s="25">
        <v>-12.623125</v>
      </c>
      <c r="Y617" s="25">
        <v>-13.097500000000002</v>
      </c>
      <c r="Z617" s="25">
        <v>-12.649583333333334</v>
      </c>
      <c r="AA617" s="25">
        <v>-12.971041666666659</v>
      </c>
      <c r="AB617" s="25">
        <v>-12.866458333333336</v>
      </c>
      <c r="AC617" s="25">
        <v>-14.12750000000001</v>
      </c>
      <c r="AD617" s="25">
        <v>-9.5708333333333417</v>
      </c>
      <c r="AE617" s="25">
        <v>-10.572916666666673</v>
      </c>
      <c r="AF617" s="25">
        <v>-10.877083333333326</v>
      </c>
      <c r="AG617" s="25">
        <v>-11.597916666666677</v>
      </c>
      <c r="AH617" s="25">
        <v>-11.956250000000004</v>
      </c>
      <c r="AI617" s="25">
        <v>-10.131249999999998</v>
      </c>
      <c r="AJ617" s="25">
        <v>-10.06458333333334</v>
      </c>
      <c r="AK617" s="25">
        <v>-11.052083333333341</v>
      </c>
      <c r="AL617" s="25">
        <v>16.875</v>
      </c>
      <c r="AM617" s="25">
        <v>16.516666666666669</v>
      </c>
      <c r="AN617" s="25">
        <v>16.237500000000015</v>
      </c>
      <c r="AO617" s="25">
        <v>16.141666666666676</v>
      </c>
      <c r="AP617" s="25">
        <v>17.05833333333333</v>
      </c>
      <c r="AQ617" s="25">
        <v>16.689583333333335</v>
      </c>
      <c r="AR617" s="25">
        <v>16.424999999999997</v>
      </c>
      <c r="AS617" s="25">
        <v>16.331249999999994</v>
      </c>
      <c r="AT617" s="25">
        <v>0.43304999999999988</v>
      </c>
      <c r="AU617" s="25"/>
      <c r="AV617" s="25">
        <v>0.47391666666666649</v>
      </c>
      <c r="AW617" s="25">
        <v>-35.082708333333329</v>
      </c>
      <c r="AX617" s="25">
        <v>-14.991875000000002</v>
      </c>
      <c r="AY617" s="25">
        <v>-14.725428571428571</v>
      </c>
      <c r="AZ617" s="25"/>
      <c r="BA617" s="25">
        <v>-9.9312499999999986</v>
      </c>
      <c r="BB617" s="25"/>
      <c r="BC617" s="25"/>
      <c r="BD617" s="25">
        <v>17.499999999999996</v>
      </c>
      <c r="BE617" s="25"/>
    </row>
    <row r="618" spans="1:57" x14ac:dyDescent="0.25">
      <c r="A618" s="1">
        <v>28.3</v>
      </c>
      <c r="B618" s="1">
        <v>15.9</v>
      </c>
      <c r="C618" s="22"/>
      <c r="D618" s="23">
        <v>44325</v>
      </c>
      <c r="E618" s="24">
        <v>222.58333333333334</v>
      </c>
      <c r="F618" s="24">
        <v>80.493749999999991</v>
      </c>
      <c r="G618" s="24">
        <v>21.264583333333345</v>
      </c>
      <c r="H618" s="24">
        <v>7.1</v>
      </c>
      <c r="I618" s="24">
        <v>223.29166666666666</v>
      </c>
      <c r="J618" s="24">
        <v>7.395833333333333</v>
      </c>
      <c r="K618" s="24">
        <v>1.4166666666666667</v>
      </c>
      <c r="L618" s="24">
        <v>17.510416666666664</v>
      </c>
      <c r="M618" s="10">
        <v>0.58902579294548063</v>
      </c>
      <c r="N618" s="25">
        <v>0.4287708333333336</v>
      </c>
      <c r="O618" s="25">
        <v>0.51127083333333323</v>
      </c>
      <c r="P618" s="25">
        <v>0.56300000000000039</v>
      </c>
      <c r="Q618" s="25">
        <v>0.57152083333333359</v>
      </c>
      <c r="R618" s="25">
        <v>0.58622916666666625</v>
      </c>
      <c r="S618" s="25">
        <v>0.47760416666666677</v>
      </c>
      <c r="T618" s="25">
        <v>0.45460416666666698</v>
      </c>
      <c r="U618" s="25">
        <v>0.39337499999999975</v>
      </c>
      <c r="V618" s="25">
        <v>-14.408124999999997</v>
      </c>
      <c r="W618" s="25">
        <v>-26.459374999999984</v>
      </c>
      <c r="X618" s="25">
        <v>-12.682916666666658</v>
      </c>
      <c r="Y618" s="25">
        <v>-13.187500000000005</v>
      </c>
      <c r="Z618" s="25">
        <v>-12.702291666666667</v>
      </c>
      <c r="AA618" s="25">
        <v>-13.150833333333331</v>
      </c>
      <c r="AB618" s="25">
        <v>-13.006874999999996</v>
      </c>
      <c r="AC618" s="25">
        <v>-14.288750000000006</v>
      </c>
      <c r="AD618" s="25">
        <v>-9.5895833333333407</v>
      </c>
      <c r="AE618" s="25">
        <v>-10.631249999999998</v>
      </c>
      <c r="AF618" s="25">
        <v>-10.899999999999991</v>
      </c>
      <c r="AG618" s="25">
        <v>-11.637500000000001</v>
      </c>
      <c r="AH618" s="25">
        <v>-12.193749999999994</v>
      </c>
      <c r="AI618" s="25">
        <v>-10.241666666666669</v>
      </c>
      <c r="AJ618" s="25">
        <v>-10.083333333333343</v>
      </c>
      <c r="AK618" s="25">
        <v>-10.864583333333329</v>
      </c>
      <c r="AL618" s="25">
        <v>17.618750000000009</v>
      </c>
      <c r="AM618" s="25">
        <v>16.852083333333336</v>
      </c>
      <c r="AN618" s="25">
        <v>16.356249999999992</v>
      </c>
      <c r="AO618" s="25">
        <v>16.177083333333343</v>
      </c>
      <c r="AP618" s="25">
        <v>18.083333333333332</v>
      </c>
      <c r="AQ618" s="25">
        <v>17.302083333333339</v>
      </c>
      <c r="AR618" s="25">
        <v>16.831250000000001</v>
      </c>
      <c r="AS618" s="25">
        <v>16.600000000000012</v>
      </c>
      <c r="AT618" s="25">
        <v>0.42004347826086957</v>
      </c>
      <c r="AU618" s="25">
        <v>0.25820000000000004</v>
      </c>
      <c r="AV618" s="25">
        <v>0.44933333333333342</v>
      </c>
      <c r="AW618" s="25">
        <v>-22.933125</v>
      </c>
      <c r="AX618" s="25">
        <v>-14.766874999999997</v>
      </c>
      <c r="AY618" s="25">
        <v>-14.7925</v>
      </c>
      <c r="AZ618" s="25"/>
      <c r="BA618" s="25">
        <v>-10.05625</v>
      </c>
      <c r="BB618" s="25"/>
      <c r="BC618" s="25"/>
      <c r="BD618" s="25">
        <v>18.535416666666666</v>
      </c>
      <c r="BE618" s="25"/>
    </row>
    <row r="619" spans="1:57" x14ac:dyDescent="0.25">
      <c r="A619" s="1">
        <v>28.7</v>
      </c>
      <c r="B619" s="1">
        <v>17.399999999999999</v>
      </c>
      <c r="C619" s="22"/>
      <c r="D619" s="23">
        <v>44326</v>
      </c>
      <c r="E619" s="24">
        <v>241.33333333333334</v>
      </c>
      <c r="F619" s="24">
        <v>73.508333333333326</v>
      </c>
      <c r="G619" s="24">
        <v>23.060416666666672</v>
      </c>
      <c r="H619" s="24">
        <v>1.7</v>
      </c>
      <c r="I619" s="24">
        <v>226.25</v>
      </c>
      <c r="J619" s="24">
        <v>11.604166666666666</v>
      </c>
      <c r="K619" s="24">
        <v>2.1458333333333335</v>
      </c>
      <c r="L619" s="24">
        <v>17.627083333333335</v>
      </c>
      <c r="M619" s="10">
        <v>0.8621002900298288</v>
      </c>
      <c r="N619" s="25">
        <v>0.453125</v>
      </c>
      <c r="O619" s="25">
        <v>0.52310416666666693</v>
      </c>
      <c r="P619" s="25">
        <v>0.57212499999999966</v>
      </c>
      <c r="Q619" s="25">
        <v>0.58189583333333361</v>
      </c>
      <c r="R619" s="25">
        <v>0.59702083333333344</v>
      </c>
      <c r="S619" s="25">
        <v>0.48922916666666655</v>
      </c>
      <c r="T619" s="25">
        <v>0.45681250000000001</v>
      </c>
      <c r="U619" s="25">
        <v>0.39266666666666633</v>
      </c>
      <c r="V619" s="25">
        <v>-14.276874999999995</v>
      </c>
      <c r="W619" s="25">
        <v>-28.963750000000005</v>
      </c>
      <c r="X619" s="25">
        <v>-12.573749999999992</v>
      </c>
      <c r="Y619" s="25">
        <v>-13.105833333333329</v>
      </c>
      <c r="Z619" s="25">
        <v>-12.495000000000006</v>
      </c>
      <c r="AA619" s="25">
        <v>-12.85354166666666</v>
      </c>
      <c r="AB619" s="25">
        <v>-12.875833333333334</v>
      </c>
      <c r="AC619" s="25">
        <v>-14.300208333333332</v>
      </c>
      <c r="AD619" s="25">
        <v>-9.4249999999999989</v>
      </c>
      <c r="AE619" s="25">
        <v>-10.479166666666668</v>
      </c>
      <c r="AF619" s="25">
        <v>-10.829166666666667</v>
      </c>
      <c r="AG619" s="25">
        <v>-11.566666666666677</v>
      </c>
      <c r="AH619" s="25">
        <v>-11.956250000000004</v>
      </c>
      <c r="AI619" s="25">
        <v>-10.135416666666663</v>
      </c>
      <c r="AJ619" s="25">
        <v>-9.9604166666666689</v>
      </c>
      <c r="AK619" s="25">
        <v>-11.045833333333336</v>
      </c>
      <c r="AL619" s="25">
        <v>18.275000000000009</v>
      </c>
      <c r="AM619" s="25">
        <v>17.333333333333332</v>
      </c>
      <c r="AN619" s="25">
        <v>16.645833333333339</v>
      </c>
      <c r="AO619" s="25">
        <v>16.389583333333324</v>
      </c>
      <c r="AP619" s="25">
        <v>18.745833333333334</v>
      </c>
      <c r="AQ619" s="25">
        <v>17.887500000000006</v>
      </c>
      <c r="AR619" s="25">
        <v>17.327083333333331</v>
      </c>
      <c r="AS619" s="25">
        <v>17.031250000000011</v>
      </c>
      <c r="AT619" s="25">
        <v>0.43641666666666662</v>
      </c>
      <c r="AU619" s="25">
        <v>0.26193333333333341</v>
      </c>
      <c r="AV619" s="25">
        <v>0.47016666666666679</v>
      </c>
      <c r="AW619" s="25">
        <v>-22.766041666666663</v>
      </c>
      <c r="AX619" s="25">
        <v>-14.655833333333341</v>
      </c>
      <c r="AY619" s="25">
        <v>-15.550384615384617</v>
      </c>
      <c r="AZ619" s="25"/>
      <c r="BA619" s="25">
        <v>-9.85</v>
      </c>
      <c r="BB619" s="25"/>
      <c r="BC619" s="25"/>
      <c r="BD619" s="25">
        <v>19.204166666666662</v>
      </c>
      <c r="BE619" s="25"/>
    </row>
    <row r="620" spans="1:57" x14ac:dyDescent="0.25">
      <c r="A620" s="1">
        <v>28.3</v>
      </c>
      <c r="B620" s="1">
        <v>15.9</v>
      </c>
      <c r="C620" s="22"/>
      <c r="D620" s="23">
        <v>44327</v>
      </c>
      <c r="E620" s="24">
        <v>163.70833333333334</v>
      </c>
      <c r="F620" s="24">
        <v>76.33541666666666</v>
      </c>
      <c r="G620" s="24">
        <v>21.322916666666661</v>
      </c>
      <c r="H620" s="24">
        <v>10.199999999999999</v>
      </c>
      <c r="I620" s="24">
        <v>229.39583333333334</v>
      </c>
      <c r="J620" s="24">
        <v>5.0625</v>
      </c>
      <c r="K620" s="24">
        <v>0.125</v>
      </c>
      <c r="L620" s="24">
        <v>16.735416666666669</v>
      </c>
      <c r="M620" s="10">
        <v>0.68205143348969821</v>
      </c>
      <c r="N620" s="25">
        <v>0.42158333333333337</v>
      </c>
      <c r="O620" s="25">
        <v>0.50760416666666675</v>
      </c>
      <c r="P620" s="25">
        <v>0.56191666666666651</v>
      </c>
      <c r="Q620" s="25">
        <v>0.57141666666666679</v>
      </c>
      <c r="R620" s="25">
        <v>0.58674999999999977</v>
      </c>
      <c r="S620" s="25">
        <v>0.47327083333333325</v>
      </c>
      <c r="T620" s="25">
        <v>0.45318750000000002</v>
      </c>
      <c r="U620" s="25">
        <v>0.38947916666666688</v>
      </c>
      <c r="V620" s="25">
        <v>-14.370000000000005</v>
      </c>
      <c r="W620" s="25">
        <v>-25.034374999999994</v>
      </c>
      <c r="X620" s="25">
        <v>-12.746458333333337</v>
      </c>
      <c r="Y620" s="25">
        <v>-13.196458333333331</v>
      </c>
      <c r="Z620" s="25">
        <v>-12.698541666666671</v>
      </c>
      <c r="AA620" s="25">
        <v>-13.216250000000002</v>
      </c>
      <c r="AB620" s="25">
        <v>-13.171041666666662</v>
      </c>
      <c r="AC620" s="25">
        <v>-14.553541666666662</v>
      </c>
      <c r="AD620" s="25">
        <v>-9.4749999999999996</v>
      </c>
      <c r="AE620" s="25">
        <v>-10.541666666666675</v>
      </c>
      <c r="AF620" s="25">
        <v>-10.856249999999994</v>
      </c>
      <c r="AG620" s="25">
        <v>-11.647916666666665</v>
      </c>
      <c r="AH620" s="25">
        <v>-12.43333333333333</v>
      </c>
      <c r="AI620" s="25">
        <v>-10.36458333333333</v>
      </c>
      <c r="AJ620" s="25">
        <v>-10.014583333333336</v>
      </c>
      <c r="AK620" s="25">
        <v>-10.731250000000003</v>
      </c>
      <c r="AL620" s="25">
        <v>18.539583333333329</v>
      </c>
      <c r="AM620" s="25">
        <v>17.643750000000008</v>
      </c>
      <c r="AN620" s="25">
        <v>16.937499999999996</v>
      </c>
      <c r="AO620" s="25">
        <v>16.633333333333351</v>
      </c>
      <c r="AP620" s="25">
        <v>18.972916666666674</v>
      </c>
      <c r="AQ620" s="25">
        <v>18.204166666666669</v>
      </c>
      <c r="AR620" s="25">
        <v>17.662500000000005</v>
      </c>
      <c r="AS620" s="25">
        <v>17.389583333333324</v>
      </c>
      <c r="AT620" s="25">
        <v>0.41658333333333331</v>
      </c>
      <c r="AU620" s="25">
        <v>0.25170588235294111</v>
      </c>
      <c r="AV620" s="25">
        <v>0.43597916666666653</v>
      </c>
      <c r="AW620" s="25">
        <v>-27.012500000000006</v>
      </c>
      <c r="AX620" s="25">
        <v>-14.790833333333333</v>
      </c>
      <c r="AY620" s="25">
        <v>-15.143076923076924</v>
      </c>
      <c r="AZ620" s="25"/>
      <c r="BA620" s="25">
        <v>-9.9958333333333353</v>
      </c>
      <c r="BB620" s="25"/>
      <c r="BC620" s="25"/>
      <c r="BD620" s="25">
        <v>18.987500000000001</v>
      </c>
      <c r="BE620" s="25"/>
    </row>
    <row r="621" spans="1:57" x14ac:dyDescent="0.25">
      <c r="A621" s="1">
        <v>27.3</v>
      </c>
      <c r="B621" s="1">
        <v>15.1</v>
      </c>
      <c r="C621" s="22"/>
      <c r="D621" s="23">
        <v>44328</v>
      </c>
      <c r="E621" s="24">
        <v>164.29166666666666</v>
      </c>
      <c r="F621" s="24">
        <v>84.952083333333348</v>
      </c>
      <c r="G621" s="24">
        <v>20.295833333333327</v>
      </c>
      <c r="H621" s="24">
        <v>12.899999999999999</v>
      </c>
      <c r="I621" s="24">
        <v>238.72916666666666</v>
      </c>
      <c r="J621" s="24">
        <v>4.979166666666667</v>
      </c>
      <c r="K621" s="24">
        <v>0.45833333333333331</v>
      </c>
      <c r="L621" s="24">
        <v>17.452083333333338</v>
      </c>
      <c r="M621" s="10">
        <v>0.43927853049394877</v>
      </c>
      <c r="N621" s="25">
        <v>0.46747916666666683</v>
      </c>
      <c r="O621" s="25">
        <v>0.53304166666666675</v>
      </c>
      <c r="P621" s="25">
        <v>0.57935416666666695</v>
      </c>
      <c r="Q621" s="25">
        <v>0.59218749999999976</v>
      </c>
      <c r="R621" s="25">
        <v>0.60254166666666686</v>
      </c>
      <c r="S621" s="25">
        <v>0.50277083333333328</v>
      </c>
      <c r="T621" s="25">
        <v>0.46762500000000018</v>
      </c>
      <c r="U621" s="25">
        <v>0.40227083333333341</v>
      </c>
      <c r="V621" s="25">
        <v>-14.179374999999995</v>
      </c>
      <c r="W621" s="25">
        <v>-24.974791666666672</v>
      </c>
      <c r="X621" s="25">
        <v>-12.442500000000004</v>
      </c>
      <c r="Y621" s="25">
        <v>-12.968958333333331</v>
      </c>
      <c r="Z621" s="25">
        <v>-12.458750000000002</v>
      </c>
      <c r="AA621" s="25">
        <v>-12.76395833333333</v>
      </c>
      <c r="AB621" s="25">
        <v>-12.650833333333333</v>
      </c>
      <c r="AC621" s="25">
        <v>-14.04083333333333</v>
      </c>
      <c r="AD621" s="25">
        <v>-9.2750000000000039</v>
      </c>
      <c r="AE621" s="25">
        <v>-10.308333333333341</v>
      </c>
      <c r="AF621" s="25">
        <v>-10.595833333333344</v>
      </c>
      <c r="AG621" s="25">
        <v>-11.350000000000003</v>
      </c>
      <c r="AH621" s="25">
        <v>-12.056250000000006</v>
      </c>
      <c r="AI621" s="25">
        <v>-10.070833333333342</v>
      </c>
      <c r="AJ621" s="25">
        <v>-9.8000000000000078</v>
      </c>
      <c r="AK621" s="25">
        <v>-10.433333333333341</v>
      </c>
      <c r="AL621" s="25">
        <v>18.287500000000005</v>
      </c>
      <c r="AM621" s="25">
        <v>17.702083333333345</v>
      </c>
      <c r="AN621" s="25">
        <v>17.095833333333349</v>
      </c>
      <c r="AO621" s="25">
        <v>16.862499999999986</v>
      </c>
      <c r="AP621" s="25">
        <v>18.566666666666659</v>
      </c>
      <c r="AQ621" s="25">
        <v>18.108333333333327</v>
      </c>
      <c r="AR621" s="25">
        <v>17.700000000000014</v>
      </c>
      <c r="AS621" s="25">
        <v>17.483333333333324</v>
      </c>
      <c r="AT621" s="25">
        <v>0.45552173913043481</v>
      </c>
      <c r="AU621" s="25">
        <v>0.28158823529411781</v>
      </c>
      <c r="AV621" s="25">
        <v>0.48283333333333323</v>
      </c>
      <c r="AW621" s="25">
        <v>-22.817291666666673</v>
      </c>
      <c r="AX621" s="25">
        <v>-15.528541666666662</v>
      </c>
      <c r="AY621" s="25">
        <v>-15.172499999999999</v>
      </c>
      <c r="AZ621" s="25"/>
      <c r="BA621" s="25">
        <v>-9.5583333333333425</v>
      </c>
      <c r="BB621" s="25"/>
      <c r="BC621" s="25"/>
      <c r="BD621" s="25">
        <v>18.697916666666668</v>
      </c>
      <c r="BE621" s="25"/>
    </row>
    <row r="622" spans="1:57" x14ac:dyDescent="0.25">
      <c r="A622" s="1">
        <v>27.5</v>
      </c>
      <c r="B622" s="1">
        <v>15.6</v>
      </c>
      <c r="C622" s="22"/>
      <c r="D622" s="23">
        <v>44329</v>
      </c>
      <c r="E622" s="24">
        <v>254.22916666666666</v>
      </c>
      <c r="F622" s="24">
        <v>79.229166666666657</v>
      </c>
      <c r="G622" s="24">
        <v>21.304166666666664</v>
      </c>
      <c r="H622" s="24">
        <v>15.1</v>
      </c>
      <c r="I622" s="24">
        <v>213.6875</v>
      </c>
      <c r="J622" s="24">
        <v>10.208333333333334</v>
      </c>
      <c r="K622" s="24">
        <v>2.375</v>
      </c>
      <c r="L622" s="24">
        <v>17.260416666666668</v>
      </c>
      <c r="M622" s="10">
        <v>0.62617207378706996</v>
      </c>
      <c r="N622" s="25">
        <v>0.47043750000000023</v>
      </c>
      <c r="O622" s="25">
        <v>0.53895833333333332</v>
      </c>
      <c r="P622" s="25">
        <v>0.58254166666666696</v>
      </c>
      <c r="Q622" s="25">
        <v>0.595020833333333</v>
      </c>
      <c r="R622" s="25">
        <v>0.60420833333333357</v>
      </c>
      <c r="S622" s="25">
        <v>0.50506250000000008</v>
      </c>
      <c r="T622" s="25">
        <v>0.47460416666666688</v>
      </c>
      <c r="U622" s="25">
        <v>0.41039583333333352</v>
      </c>
      <c r="V622" s="25">
        <v>-14.137083333333329</v>
      </c>
      <c r="W622" s="25">
        <v>-28.208749999999998</v>
      </c>
      <c r="X622" s="25">
        <v>-12.413958333333335</v>
      </c>
      <c r="Y622" s="25">
        <v>-12.818125000000002</v>
      </c>
      <c r="Z622" s="25">
        <v>-12.451458333333333</v>
      </c>
      <c r="AA622" s="25">
        <v>-12.72125</v>
      </c>
      <c r="AB622" s="25">
        <v>-12.620000000000005</v>
      </c>
      <c r="AC622" s="25">
        <v>-13.464791666666672</v>
      </c>
      <c r="AD622" s="25">
        <v>-9.1916666666666593</v>
      </c>
      <c r="AE622" s="25">
        <v>-10.237500000000001</v>
      </c>
      <c r="AF622" s="25">
        <v>-10.452083333333334</v>
      </c>
      <c r="AG622" s="25">
        <v>-11.143749999999997</v>
      </c>
      <c r="AH622" s="25">
        <v>-11.885416666666666</v>
      </c>
      <c r="AI622" s="25">
        <v>-9.9416666666666682</v>
      </c>
      <c r="AJ622" s="25">
        <v>-9.6999999999999922</v>
      </c>
      <c r="AK622" s="25">
        <v>-10.743749999999999</v>
      </c>
      <c r="AL622" s="25">
        <v>18.729166666666668</v>
      </c>
      <c r="AM622" s="25">
        <v>17.906249999999989</v>
      </c>
      <c r="AN622" s="25">
        <v>17.277083333333319</v>
      </c>
      <c r="AO622" s="25">
        <v>16.993750000000002</v>
      </c>
      <c r="AP622" s="25">
        <v>19.070833333333336</v>
      </c>
      <c r="AQ622" s="25">
        <v>18.435416666666661</v>
      </c>
      <c r="AR622" s="25">
        <v>17.941666666666659</v>
      </c>
      <c r="AS622" s="25">
        <v>17.681250000000009</v>
      </c>
      <c r="AT622" s="25">
        <v>0.45843478260869552</v>
      </c>
      <c r="AU622" s="25">
        <v>0.30264000000000013</v>
      </c>
      <c r="AV622" s="25">
        <v>0.48912499999999987</v>
      </c>
      <c r="AW622" s="25">
        <v>-23.474166666666665</v>
      </c>
      <c r="AX622" s="25">
        <v>-15.381875000000003</v>
      </c>
      <c r="AY622" s="25">
        <v>-14.174583333333333</v>
      </c>
      <c r="AZ622" s="25"/>
      <c r="BA622" s="25">
        <v>-9.5229166666666725</v>
      </c>
      <c r="BB622" s="25"/>
      <c r="BC622" s="25"/>
      <c r="BD622" s="25">
        <v>19.470833333333335</v>
      </c>
      <c r="BE622" s="25"/>
    </row>
    <row r="623" spans="1:57" x14ac:dyDescent="0.25">
      <c r="A623" s="1">
        <v>28.6</v>
      </c>
      <c r="B623" s="1">
        <v>19.8</v>
      </c>
      <c r="C623" s="22"/>
      <c r="D623" s="23">
        <v>44330</v>
      </c>
      <c r="E623" s="24">
        <v>264.58333333333331</v>
      </c>
      <c r="F623" s="24">
        <v>68.854166666666671</v>
      </c>
      <c r="G623" s="24">
        <v>23.672916666666666</v>
      </c>
      <c r="H623" s="24">
        <v>0</v>
      </c>
      <c r="I623" s="24">
        <v>228.9375</v>
      </c>
      <c r="J623" s="24">
        <v>21.354166666666668</v>
      </c>
      <c r="K623" s="24">
        <v>5.333333333333333</v>
      </c>
      <c r="L623" s="24">
        <v>17.460416666666664</v>
      </c>
      <c r="M623" s="10">
        <v>0.97021229785326024</v>
      </c>
      <c r="N623" s="25">
        <v>0.43183333333333335</v>
      </c>
      <c r="O623" s="25">
        <v>0.51575000000000026</v>
      </c>
      <c r="P623" s="25">
        <v>0.56754166666666661</v>
      </c>
      <c r="Q623" s="25">
        <v>0.57837500000000031</v>
      </c>
      <c r="R623" s="25">
        <v>0.59129166666666644</v>
      </c>
      <c r="S623" s="25">
        <v>0.48024999999999968</v>
      </c>
      <c r="T623" s="25">
        <v>0.46227083333333296</v>
      </c>
      <c r="U623" s="25">
        <v>0.39610416666666687</v>
      </c>
      <c r="V623" s="25">
        <v>-14.283749999999996</v>
      </c>
      <c r="W623" s="25">
        <v>-33.772500000000008</v>
      </c>
      <c r="X623" s="25">
        <v>-12.568958333333333</v>
      </c>
      <c r="Y623" s="25">
        <v>-12.984583333333331</v>
      </c>
      <c r="Z623" s="25">
        <v>-12.641666666666671</v>
      </c>
      <c r="AA623" s="25">
        <v>-13.042291666666666</v>
      </c>
      <c r="AB623" s="25">
        <v>-12.812291666666669</v>
      </c>
      <c r="AC623" s="25">
        <v>-13.848333333333336</v>
      </c>
      <c r="AD623" s="25">
        <v>-9.2458333333333353</v>
      </c>
      <c r="AE623" s="25">
        <v>-10.314583333333337</v>
      </c>
      <c r="AF623" s="25">
        <v>-10.562500000000011</v>
      </c>
      <c r="AG623" s="25">
        <v>-11.312499999999993</v>
      </c>
      <c r="AH623" s="25">
        <v>-12.233333333333341</v>
      </c>
      <c r="AI623" s="25">
        <v>-10.18125</v>
      </c>
      <c r="AJ623" s="25">
        <v>-9.7333333333333325</v>
      </c>
      <c r="AK623" s="25">
        <v>-11.054166666666665</v>
      </c>
      <c r="AL623" s="25">
        <v>18.970833333333331</v>
      </c>
      <c r="AM623" s="25">
        <v>18.102083333333344</v>
      </c>
      <c r="AN623" s="25">
        <v>17.402083333333319</v>
      </c>
      <c r="AO623" s="25">
        <v>17.114583333333353</v>
      </c>
      <c r="AP623" s="25">
        <v>19.304166666666664</v>
      </c>
      <c r="AQ623" s="25">
        <v>18.579166666666662</v>
      </c>
      <c r="AR623" s="25">
        <v>18.089583333333344</v>
      </c>
      <c r="AS623" s="25">
        <v>17.831249999999986</v>
      </c>
      <c r="AT623" s="25">
        <v>0.42238636363636367</v>
      </c>
      <c r="AU623" s="25">
        <v>0.26293023255813958</v>
      </c>
      <c r="AV623" s="25">
        <v>0.44372916666666651</v>
      </c>
      <c r="AW623" s="25">
        <v>-22.53833333333333</v>
      </c>
      <c r="AX623" s="25">
        <v>-15.146874999999996</v>
      </c>
      <c r="AY623" s="25"/>
      <c r="AZ623" s="25"/>
      <c r="BA623" s="25">
        <v>-9.7604166666666643</v>
      </c>
      <c r="BB623" s="25"/>
      <c r="BC623" s="25"/>
      <c r="BD623" s="25">
        <v>19.943749999999998</v>
      </c>
      <c r="BE623" s="25"/>
    </row>
    <row r="624" spans="1:57" x14ac:dyDescent="0.25">
      <c r="A624" s="1">
        <v>31.2</v>
      </c>
      <c r="B624" s="1">
        <v>20.399999999999999</v>
      </c>
      <c r="C624" s="22"/>
      <c r="D624" s="23">
        <v>44331</v>
      </c>
      <c r="E624" s="24">
        <v>266.5</v>
      </c>
      <c r="F624" s="24">
        <v>62.62083333333333</v>
      </c>
      <c r="G624" s="24">
        <v>25.224999999999998</v>
      </c>
      <c r="H624" s="24">
        <v>0</v>
      </c>
      <c r="I624" s="24">
        <v>230.3125</v>
      </c>
      <c r="J624" s="24">
        <v>20.958333333333332</v>
      </c>
      <c r="K624" s="24">
        <v>5.479166666666667</v>
      </c>
      <c r="L624" s="24">
        <v>17.360416666666669</v>
      </c>
      <c r="M624" s="10">
        <v>1.2866305376068625</v>
      </c>
      <c r="N624" s="25">
        <v>0.40493750000000001</v>
      </c>
      <c r="O624" s="25">
        <v>0.50077083333333328</v>
      </c>
      <c r="P624" s="25">
        <v>0.55447916666666663</v>
      </c>
      <c r="Q624" s="25">
        <v>0.56983333333333352</v>
      </c>
      <c r="R624" s="25">
        <v>0.58002083333333365</v>
      </c>
      <c r="S624" s="25">
        <v>0.46708333333333302</v>
      </c>
      <c r="T624" s="25">
        <v>0.45481250000000023</v>
      </c>
      <c r="U624" s="25">
        <v>0.38989583333333327</v>
      </c>
      <c r="V624" s="25">
        <v>-15.478333333333337</v>
      </c>
      <c r="W624" s="25">
        <v>-47.293958333333336</v>
      </c>
      <c r="X624" s="25">
        <v>-13.148541666666667</v>
      </c>
      <c r="Y624" s="25">
        <v>-13.423750000000004</v>
      </c>
      <c r="Z624" s="25">
        <v>-13.449791666666668</v>
      </c>
      <c r="AA624" s="25">
        <v>-14.036041666666668</v>
      </c>
      <c r="AB624" s="25">
        <v>-13.672291666666672</v>
      </c>
      <c r="AC624" s="25">
        <v>-14.436666666666666</v>
      </c>
      <c r="AD624" s="25">
        <v>-9.3937500000000025</v>
      </c>
      <c r="AE624" s="25">
        <v>-10.497916666666674</v>
      </c>
      <c r="AF624" s="25">
        <v>-10.637499999999998</v>
      </c>
      <c r="AG624" s="25">
        <v>-11.500000000000009</v>
      </c>
      <c r="AH624" s="25">
        <v>-13.685416666666667</v>
      </c>
      <c r="AI624" s="25">
        <v>-11.108333333333333</v>
      </c>
      <c r="AJ624" s="25">
        <v>-9.8895833333333361</v>
      </c>
      <c r="AK624" s="25">
        <v>-12.054166666666667</v>
      </c>
      <c r="AL624" s="25">
        <v>19.262499999999996</v>
      </c>
      <c r="AM624" s="25">
        <v>18.302083333333332</v>
      </c>
      <c r="AN624" s="25">
        <v>17.579166666666683</v>
      </c>
      <c r="AO624" s="25">
        <v>17.264583333333317</v>
      </c>
      <c r="AP624" s="25">
        <v>19.610416666666662</v>
      </c>
      <c r="AQ624" s="25">
        <v>18.804166666666671</v>
      </c>
      <c r="AR624" s="25">
        <v>18.275000000000002</v>
      </c>
      <c r="AS624" s="25">
        <v>18.010416666666668</v>
      </c>
      <c r="AT624" s="25">
        <v>0.39713043478260862</v>
      </c>
      <c r="AU624" s="25">
        <v>0.22960416666666672</v>
      </c>
      <c r="AV624" s="25">
        <v>0.40397916666666678</v>
      </c>
      <c r="AW624" s="25">
        <v>-24.22666666666667</v>
      </c>
      <c r="AX624" s="25">
        <v>-16.915833333333332</v>
      </c>
      <c r="AY624" s="25">
        <v>-16.84</v>
      </c>
      <c r="AZ624" s="25"/>
      <c r="BA624" s="25">
        <v>-13.347916666666665</v>
      </c>
      <c r="BB624" s="25"/>
      <c r="BC624" s="25"/>
      <c r="BD624" s="25">
        <v>20.254166666666666</v>
      </c>
      <c r="BE624" s="25"/>
    </row>
    <row r="625" spans="1:57" x14ac:dyDescent="0.25">
      <c r="A625" s="1">
        <v>26.6</v>
      </c>
      <c r="B625" s="1">
        <v>16.8</v>
      </c>
      <c r="C625" s="22"/>
      <c r="D625" s="23">
        <v>44332</v>
      </c>
      <c r="E625" s="24">
        <v>162.60416666666666</v>
      </c>
      <c r="F625" s="24">
        <v>74.947916666666657</v>
      </c>
      <c r="G625" s="24">
        <v>20.389583333333334</v>
      </c>
      <c r="H625" s="24">
        <v>0</v>
      </c>
      <c r="I625" s="24">
        <v>248.10416666666666</v>
      </c>
      <c r="J625" s="24">
        <v>4.3125</v>
      </c>
      <c r="K625" s="24">
        <v>8.3333333333333329E-2</v>
      </c>
      <c r="L625" s="24">
        <v>15.668750000000001</v>
      </c>
      <c r="M625" s="10">
        <v>0.64131754936555041</v>
      </c>
      <c r="N625" s="25">
        <v>0.38045833333333334</v>
      </c>
      <c r="O625" s="25">
        <v>0.48902083333333363</v>
      </c>
      <c r="P625" s="25">
        <v>0.54212500000000008</v>
      </c>
      <c r="Q625" s="25">
        <v>0.56168749999999967</v>
      </c>
      <c r="R625" s="25">
        <v>0.56772916666666651</v>
      </c>
      <c r="S625" s="25">
        <v>0.45391666666666652</v>
      </c>
      <c r="T625" s="25">
        <v>0.44710416666666669</v>
      </c>
      <c r="U625" s="25">
        <v>0.3838333333333333</v>
      </c>
      <c r="V625" s="25">
        <v>-20.805000000000003</v>
      </c>
      <c r="W625" s="25">
        <v>-64.922499999999999</v>
      </c>
      <c r="X625" s="25">
        <v>-15.116041666666669</v>
      </c>
      <c r="Y625" s="25">
        <v>-14.839166666666669</v>
      </c>
      <c r="Z625" s="25">
        <v>-16.027083333333344</v>
      </c>
      <c r="AA625" s="25">
        <v>-16.236458333333335</v>
      </c>
      <c r="AB625" s="25">
        <v>-15.815208333333336</v>
      </c>
      <c r="AC625" s="25">
        <v>-16.233124999999994</v>
      </c>
      <c r="AD625" s="25">
        <v>-9.9583333333333304</v>
      </c>
      <c r="AE625" s="25">
        <v>-10.816666666666665</v>
      </c>
      <c r="AF625" s="25">
        <v>-10.731249999999998</v>
      </c>
      <c r="AG625" s="25">
        <v>-11.68333333333333</v>
      </c>
      <c r="AH625" s="25">
        <v>-18.3</v>
      </c>
      <c r="AI625" s="25">
        <v>-13.937499999999998</v>
      </c>
      <c r="AJ625" s="25">
        <v>-10.320833333333329</v>
      </c>
      <c r="AK625" s="25">
        <v>-15.252083333333331</v>
      </c>
      <c r="AL625" s="25">
        <v>19.287499999999998</v>
      </c>
      <c r="AM625" s="25">
        <v>18.481249999999996</v>
      </c>
      <c r="AN625" s="25">
        <v>17.770833333333318</v>
      </c>
      <c r="AO625" s="25">
        <v>17.435416666666661</v>
      </c>
      <c r="AP625" s="25">
        <v>19.545833333333334</v>
      </c>
      <c r="AQ625" s="25">
        <v>18.977083333333322</v>
      </c>
      <c r="AR625" s="25">
        <v>18.468749999999993</v>
      </c>
      <c r="AS625" s="25">
        <v>18.220833333333353</v>
      </c>
      <c r="AT625" s="25">
        <v>0.37321951219512206</v>
      </c>
      <c r="AU625" s="25">
        <v>0.1995744680851064</v>
      </c>
      <c r="AV625" s="25">
        <v>0.35858333333333342</v>
      </c>
      <c r="AW625" s="25">
        <v>-75.435000000000002</v>
      </c>
      <c r="AX625" s="25">
        <v>-29.65750000000001</v>
      </c>
      <c r="AY625" s="25">
        <v>-23.5</v>
      </c>
      <c r="AZ625" s="25"/>
      <c r="BA625" s="25">
        <v>-29.924999999999997</v>
      </c>
      <c r="BB625" s="25"/>
      <c r="BC625" s="25"/>
      <c r="BD625" s="25">
        <v>19.464583333333341</v>
      </c>
      <c r="BE625" s="25"/>
    </row>
    <row r="626" spans="1:57" x14ac:dyDescent="0.25">
      <c r="A626" s="1">
        <v>21.3</v>
      </c>
      <c r="B626" s="1">
        <v>14.1</v>
      </c>
      <c r="C626" s="22"/>
      <c r="D626" s="23">
        <v>44333</v>
      </c>
      <c r="E626" s="24">
        <v>92.708333333333329</v>
      </c>
      <c r="F626" s="24">
        <v>77.316666666666649</v>
      </c>
      <c r="G626" s="24">
        <v>16.793750000000003</v>
      </c>
      <c r="H626" s="24">
        <v>0</v>
      </c>
      <c r="I626" s="24">
        <v>226.72916666666666</v>
      </c>
      <c r="J626" s="24">
        <v>3.9375</v>
      </c>
      <c r="K626" s="24">
        <v>6.25E-2</v>
      </c>
      <c r="L626" s="24">
        <v>12.729166666666671</v>
      </c>
      <c r="M626" s="10">
        <v>0.45152235981549921</v>
      </c>
      <c r="N626" s="25">
        <v>0.35885416666666664</v>
      </c>
      <c r="O626" s="25">
        <v>0.47729166666666667</v>
      </c>
      <c r="P626" s="25">
        <v>0.53112499999999974</v>
      </c>
      <c r="Q626" s="25">
        <v>0.55400000000000005</v>
      </c>
      <c r="R626" s="25">
        <v>0.55387500000000012</v>
      </c>
      <c r="S626" s="25">
        <v>0.44245833333333356</v>
      </c>
      <c r="T626" s="25">
        <v>0.44022916666666695</v>
      </c>
      <c r="U626" s="25">
        <v>0.37845833333333334</v>
      </c>
      <c r="V626" s="25">
        <v>-26.768125000000008</v>
      </c>
      <c r="W626" s="25">
        <v>-82.821458333333354</v>
      </c>
      <c r="X626" s="25">
        <v>-18.447291666666668</v>
      </c>
      <c r="Y626" s="25">
        <v>-17.680416666666662</v>
      </c>
      <c r="Z626" s="25">
        <v>-20.529791666666664</v>
      </c>
      <c r="AA626" s="25">
        <v>-19.112500000000001</v>
      </c>
      <c r="AB626" s="25">
        <v>-18.740625000000001</v>
      </c>
      <c r="AC626" s="25">
        <v>-19.894166666666671</v>
      </c>
      <c r="AD626" s="25">
        <v>-11.95208333333334</v>
      </c>
      <c r="AE626" s="25">
        <v>-11.566666666666668</v>
      </c>
      <c r="AF626" s="25">
        <v>-11.052083333333337</v>
      </c>
      <c r="AG626" s="25">
        <v>-11.887500000000001</v>
      </c>
      <c r="AH626" s="25">
        <v>-26.685416666666669</v>
      </c>
      <c r="AI626" s="25">
        <v>-22.233333333333324</v>
      </c>
      <c r="AJ626" s="25">
        <v>-11.972916666666668</v>
      </c>
      <c r="AK626" s="25">
        <v>-21.627083333333331</v>
      </c>
      <c r="AL626" s="25">
        <v>18.460416666666656</v>
      </c>
      <c r="AM626" s="25">
        <v>18.239583333333343</v>
      </c>
      <c r="AN626" s="25">
        <v>17.760416666666689</v>
      </c>
      <c r="AO626" s="25">
        <v>17.5</v>
      </c>
      <c r="AP626" s="25">
        <v>18.243749999999995</v>
      </c>
      <c r="AQ626" s="25">
        <v>18.412500000000016</v>
      </c>
      <c r="AR626" s="25">
        <v>18.191666666666666</v>
      </c>
      <c r="AS626" s="25">
        <v>18.062499999999996</v>
      </c>
      <c r="AT626" s="25">
        <v>0.35529166666666656</v>
      </c>
      <c r="AU626" s="25">
        <v>0.17927083333333335</v>
      </c>
      <c r="AV626" s="25">
        <v>0.31677083333333339</v>
      </c>
      <c r="AW626" s="25">
        <v>-154.83104166666672</v>
      </c>
      <c r="AX626" s="25">
        <v>-45.516458333333333</v>
      </c>
      <c r="AY626" s="25"/>
      <c r="AZ626" s="25"/>
      <c r="BA626" s="25">
        <v>-57.660416666666663</v>
      </c>
      <c r="BB626" s="25"/>
      <c r="BC626" s="25"/>
      <c r="BD626" s="25">
        <v>17.966666666666669</v>
      </c>
      <c r="BE626" s="25"/>
    </row>
    <row r="627" spans="1:57" x14ac:dyDescent="0.25">
      <c r="A627" s="1">
        <v>18.3</v>
      </c>
      <c r="B627" s="1">
        <v>13.4</v>
      </c>
      <c r="C627" s="22"/>
      <c r="D627" s="23">
        <v>44334</v>
      </c>
      <c r="E627" s="24">
        <v>55.479166666666664</v>
      </c>
      <c r="F627" s="24">
        <v>88.429166666666674</v>
      </c>
      <c r="G627" s="24">
        <v>15.33958333333333</v>
      </c>
      <c r="H627" s="24">
        <v>1.5999999999999999</v>
      </c>
      <c r="I627" s="24">
        <v>257.58333333333331</v>
      </c>
      <c r="J627" s="24">
        <v>1.875</v>
      </c>
      <c r="K627" s="24">
        <v>0</v>
      </c>
      <c r="L627" s="24">
        <v>13.393750000000002</v>
      </c>
      <c r="M627" s="10">
        <v>0.21216307681241439</v>
      </c>
      <c r="N627" s="25">
        <v>0.34424999999999989</v>
      </c>
      <c r="O627" s="25">
        <v>0.46614583333333348</v>
      </c>
      <c r="P627" s="25">
        <v>0.5222291666666663</v>
      </c>
      <c r="Q627" s="25">
        <v>0.54662500000000025</v>
      </c>
      <c r="R627" s="25">
        <v>0.5431041666666665</v>
      </c>
      <c r="S627" s="25">
        <v>0.43422916666666639</v>
      </c>
      <c r="T627" s="25">
        <v>0.4348541666666666</v>
      </c>
      <c r="U627" s="25">
        <v>0.37385416666666665</v>
      </c>
      <c r="V627" s="25">
        <v>-32.272499999999994</v>
      </c>
      <c r="W627" s="25">
        <v>-97.402083333333351</v>
      </c>
      <c r="X627" s="25">
        <v>-22.272291666666664</v>
      </c>
      <c r="Y627" s="25">
        <v>-21.175208333333327</v>
      </c>
      <c r="Z627" s="25">
        <v>-25.391458333333333</v>
      </c>
      <c r="AA627" s="25">
        <v>-21.832708333333329</v>
      </c>
      <c r="AB627" s="25">
        <v>-21.340625000000003</v>
      </c>
      <c r="AC627" s="25">
        <v>-24.75062500000001</v>
      </c>
      <c r="AD627" s="25">
        <v>-15.816666666666663</v>
      </c>
      <c r="AE627" s="25">
        <v>-12.985416666666667</v>
      </c>
      <c r="AF627" s="25">
        <v>-12.233333333333333</v>
      </c>
      <c r="AG627" s="25">
        <v>-12.085416666666672</v>
      </c>
      <c r="AH627" s="25">
        <v>-40.308333333333337</v>
      </c>
      <c r="AI627" s="25">
        <v>-32.712499999999991</v>
      </c>
      <c r="AJ627" s="25">
        <v>-15.560416666666667</v>
      </c>
      <c r="AK627" s="25">
        <v>-25.925000000000015</v>
      </c>
      <c r="AL627" s="25">
        <v>17.664583333333344</v>
      </c>
      <c r="AM627" s="25">
        <v>17.739583333333343</v>
      </c>
      <c r="AN627" s="25">
        <v>17.516666666666662</v>
      </c>
      <c r="AO627" s="25">
        <v>17.377083333333314</v>
      </c>
      <c r="AP627" s="25">
        <v>17.258333333333329</v>
      </c>
      <c r="AQ627" s="25">
        <v>17.652083333333337</v>
      </c>
      <c r="AR627" s="25">
        <v>17.604166666666661</v>
      </c>
      <c r="AS627" s="25">
        <v>17.58958333333333</v>
      </c>
      <c r="AT627" s="25">
        <v>0.34468750000000009</v>
      </c>
      <c r="AU627" s="25">
        <v>0.16945833333333324</v>
      </c>
      <c r="AV627" s="25">
        <v>0.29245833333333332</v>
      </c>
      <c r="AW627" s="25">
        <v>-131.31874999999999</v>
      </c>
      <c r="AX627" s="25">
        <v>-57.127708333333324</v>
      </c>
      <c r="AY627" s="25"/>
      <c r="AZ627" s="25"/>
      <c r="BA627" s="25">
        <v>-86.872916666666683</v>
      </c>
      <c r="BB627" s="25"/>
      <c r="BC627" s="25"/>
      <c r="BD627" s="25">
        <v>17.218750000000011</v>
      </c>
      <c r="BE627" s="25"/>
    </row>
    <row r="628" spans="1:57" x14ac:dyDescent="0.25">
      <c r="A628" s="1">
        <v>24.1</v>
      </c>
      <c r="B628" s="1">
        <v>14.7</v>
      </c>
      <c r="C628" s="22"/>
      <c r="D628" s="23">
        <v>44335</v>
      </c>
      <c r="E628" s="24">
        <v>117.41666666666667</v>
      </c>
      <c r="F628" s="24">
        <v>88.037500000000009</v>
      </c>
      <c r="G628" s="24">
        <v>17.552083333333336</v>
      </c>
      <c r="H628" s="24">
        <v>2</v>
      </c>
      <c r="I628" s="24">
        <v>201.04166666666666</v>
      </c>
      <c r="J628" s="24">
        <v>1.9166666666666667</v>
      </c>
      <c r="K628" s="24">
        <v>0</v>
      </c>
      <c r="L628" s="24">
        <v>15.420833333333329</v>
      </c>
      <c r="M628" s="10">
        <v>0.27892202928769588</v>
      </c>
      <c r="N628" s="25">
        <v>0.33724999999999999</v>
      </c>
      <c r="O628" s="25">
        <v>0.45883333333333337</v>
      </c>
      <c r="P628" s="25">
        <v>0.51641666666666697</v>
      </c>
      <c r="Q628" s="25">
        <v>0.54070833333333301</v>
      </c>
      <c r="R628" s="25">
        <v>0.53668749999999998</v>
      </c>
      <c r="S628" s="25">
        <v>0.43018749999999978</v>
      </c>
      <c r="T628" s="25">
        <v>0.43114583333333351</v>
      </c>
      <c r="U628" s="25">
        <v>0.37064583333333312</v>
      </c>
      <c r="V628" s="25">
        <v>-36.251666666666679</v>
      </c>
      <c r="W628" s="25">
        <v>-109.37916666666668</v>
      </c>
      <c r="X628" s="25">
        <v>-25.83666666666667</v>
      </c>
      <c r="Y628" s="25">
        <v>-23.989374999999999</v>
      </c>
      <c r="Z628" s="25">
        <v>-29.493958333333339</v>
      </c>
      <c r="AA628" s="25">
        <v>-24.03916666666667</v>
      </c>
      <c r="AB628" s="25">
        <v>-23.343333333333334</v>
      </c>
      <c r="AC628" s="25">
        <v>-28.747916666666658</v>
      </c>
      <c r="AD628" s="25">
        <v>-20.570833333333336</v>
      </c>
      <c r="AE628" s="25">
        <v>-15.139583333333334</v>
      </c>
      <c r="AF628" s="25">
        <v>-13.587499999999999</v>
      </c>
      <c r="AG628" s="25">
        <v>-12.46458333333333</v>
      </c>
      <c r="AH628" s="25">
        <v>-53.293749999999996</v>
      </c>
      <c r="AI628" s="25">
        <v>-40.906250000000007</v>
      </c>
      <c r="AJ628" s="25">
        <v>-19.897916666666671</v>
      </c>
      <c r="AK628" s="25">
        <v>-29.087500000000006</v>
      </c>
      <c r="AL628" s="25">
        <v>17.535416666666666</v>
      </c>
      <c r="AM628" s="25">
        <v>17.416666666666654</v>
      </c>
      <c r="AN628" s="25">
        <v>17.252083333333353</v>
      </c>
      <c r="AO628" s="25">
        <v>17.168750000000006</v>
      </c>
      <c r="AP628" s="25">
        <v>17.44166666666667</v>
      </c>
      <c r="AQ628" s="25">
        <v>17.397916666666671</v>
      </c>
      <c r="AR628" s="25">
        <v>17.270833333333332</v>
      </c>
      <c r="AS628" s="25">
        <v>17.243750000000016</v>
      </c>
      <c r="AT628" s="25">
        <v>0.34606249999999994</v>
      </c>
      <c r="AU628" s="25">
        <v>0.16604166666666673</v>
      </c>
      <c r="AV628" s="25">
        <v>0.28283333333333333</v>
      </c>
      <c r="AW628" s="25">
        <v>-154.07499999999999</v>
      </c>
      <c r="AX628" s="25">
        <v>-63.654375000000016</v>
      </c>
      <c r="AY628" s="25"/>
      <c r="AZ628" s="25"/>
      <c r="BA628" s="25">
        <v>-113.22291666666665</v>
      </c>
      <c r="BB628" s="25"/>
      <c r="BC628" s="25"/>
      <c r="BD628" s="25">
        <v>17.843750000000004</v>
      </c>
      <c r="BE628" s="25"/>
    </row>
    <row r="629" spans="1:57" x14ac:dyDescent="0.25">
      <c r="A629" s="1">
        <v>20.399999999999999</v>
      </c>
      <c r="B629" s="1">
        <v>14.7</v>
      </c>
      <c r="C629" s="22"/>
      <c r="D629" s="23">
        <v>44336</v>
      </c>
      <c r="E629" s="24">
        <v>62.9375</v>
      </c>
      <c r="F629" s="24">
        <v>89.324999999999974</v>
      </c>
      <c r="G629" s="24">
        <v>16.952083333333327</v>
      </c>
      <c r="H629" s="24">
        <v>0.89999999999999991</v>
      </c>
      <c r="I629" s="24">
        <v>241.6875</v>
      </c>
      <c r="J629" s="24">
        <v>1.5833333333333333</v>
      </c>
      <c r="K629" s="24">
        <v>0</v>
      </c>
      <c r="L629" s="24">
        <v>15.125</v>
      </c>
      <c r="M629" s="10">
        <v>0.22169648764559269</v>
      </c>
      <c r="N629" s="25">
        <v>0.33070833333333316</v>
      </c>
      <c r="O629" s="25">
        <v>0.45235416666666683</v>
      </c>
      <c r="P629" s="25">
        <v>0.51110416666666636</v>
      </c>
      <c r="Q629" s="25">
        <v>0.53537500000000049</v>
      </c>
      <c r="R629" s="25">
        <v>0.53150000000000008</v>
      </c>
      <c r="S629" s="25">
        <v>0.42527083333333288</v>
      </c>
      <c r="T629" s="25">
        <v>0.42700000000000027</v>
      </c>
      <c r="U629" s="25">
        <v>0.36693749999999997</v>
      </c>
      <c r="V629" s="25">
        <v>-39.756875000000008</v>
      </c>
      <c r="W629" s="25">
        <v>-119.54166666666664</v>
      </c>
      <c r="X629" s="25">
        <v>-29.046875</v>
      </c>
      <c r="Y629" s="25">
        <v>-26.572916666666668</v>
      </c>
      <c r="Z629" s="25">
        <v>-33.477083333333347</v>
      </c>
      <c r="AA629" s="25">
        <v>-26.112083333333331</v>
      </c>
      <c r="AB629" s="25">
        <v>-25.255416666666662</v>
      </c>
      <c r="AC629" s="25">
        <v>-33.091666666666669</v>
      </c>
      <c r="AD629" s="25">
        <v>-24.841666666666658</v>
      </c>
      <c r="AE629" s="25">
        <v>-17.46458333333333</v>
      </c>
      <c r="AF629" s="25">
        <v>-15.825000000000003</v>
      </c>
      <c r="AG629" s="25">
        <v>-13.618749999999997</v>
      </c>
      <c r="AH629" s="25">
        <v>-60.645833333333336</v>
      </c>
      <c r="AI629" s="25">
        <v>-48.500000000000007</v>
      </c>
      <c r="AJ629" s="25">
        <v>-23.481250000000003</v>
      </c>
      <c r="AK629" s="25">
        <v>-31.5625</v>
      </c>
      <c r="AL629" s="25">
        <v>17.572916666666671</v>
      </c>
      <c r="AM629" s="25">
        <v>17.424999999999983</v>
      </c>
      <c r="AN629" s="25">
        <v>17.166666666666671</v>
      </c>
      <c r="AO629" s="25">
        <v>17.072916666666675</v>
      </c>
      <c r="AP629" s="25">
        <v>17.475000000000012</v>
      </c>
      <c r="AQ629" s="25">
        <v>17.497916666666658</v>
      </c>
      <c r="AR629" s="25">
        <v>17.316666666666666</v>
      </c>
      <c r="AS629" s="25">
        <v>17.239583333333353</v>
      </c>
      <c r="AT629" s="25">
        <v>0.3443958333333334</v>
      </c>
      <c r="AU629" s="25">
        <v>0.16343750000000004</v>
      </c>
      <c r="AV629" s="25">
        <v>0.2758333333333336</v>
      </c>
      <c r="AW629" s="25">
        <v>-167.27500000000003</v>
      </c>
      <c r="AX629" s="25">
        <v>-68.708749999999995</v>
      </c>
      <c r="AY629" s="25"/>
      <c r="AZ629" s="25"/>
      <c r="BA629" s="25">
        <v>-146.94999999999996</v>
      </c>
      <c r="BB629" s="25"/>
      <c r="BC629" s="25"/>
      <c r="BD629" s="25">
        <v>17.554166666666671</v>
      </c>
      <c r="BE629" s="25"/>
    </row>
    <row r="630" spans="1:57" x14ac:dyDescent="0.25">
      <c r="A630" s="1">
        <v>24.9</v>
      </c>
      <c r="B630" s="1">
        <v>16.100000000000001</v>
      </c>
      <c r="C630" s="22"/>
      <c r="D630" s="23">
        <v>44337</v>
      </c>
      <c r="E630" s="24">
        <v>94.145833333333329</v>
      </c>
      <c r="F630" s="24">
        <v>90.856249999999989</v>
      </c>
      <c r="G630" s="24">
        <v>19.302083333333332</v>
      </c>
      <c r="H630" s="24">
        <v>1.7</v>
      </c>
      <c r="I630" s="24">
        <v>224.04166666666666</v>
      </c>
      <c r="J630" s="24">
        <v>5</v>
      </c>
      <c r="K630" s="24">
        <v>0.27083333333333331</v>
      </c>
      <c r="L630" s="24">
        <v>17.691666666666666</v>
      </c>
      <c r="M630" s="10">
        <v>0.23879053316008267</v>
      </c>
      <c r="N630" s="25">
        <v>0.32566666666666649</v>
      </c>
      <c r="O630" s="25">
        <v>0.44672916666666646</v>
      </c>
      <c r="P630" s="25">
        <v>0.50597916666666631</v>
      </c>
      <c r="Q630" s="25">
        <v>0.53045833333333359</v>
      </c>
      <c r="R630" s="25">
        <v>0.52687499999999976</v>
      </c>
      <c r="S630" s="25">
        <v>0.42108333333333348</v>
      </c>
      <c r="T630" s="25">
        <v>0.42329166666666701</v>
      </c>
      <c r="U630" s="25">
        <v>0.36362500000000025</v>
      </c>
      <c r="V630" s="25">
        <v>-42.479166666666664</v>
      </c>
      <c r="W630" s="25">
        <v>-126.74166666666666</v>
      </c>
      <c r="X630" s="25">
        <v>-32.035624999999996</v>
      </c>
      <c r="Y630" s="25">
        <v>-28.963750000000001</v>
      </c>
      <c r="Z630" s="25">
        <v>-36.603333333333332</v>
      </c>
      <c r="AA630" s="25">
        <v>-28.165833333333328</v>
      </c>
      <c r="AB630" s="25">
        <v>-27.210000000000008</v>
      </c>
      <c r="AC630" s="25">
        <v>-36.666666666666664</v>
      </c>
      <c r="AD630" s="25">
        <v>-27.627083333333342</v>
      </c>
      <c r="AE630" s="25">
        <v>-19.918749999999992</v>
      </c>
      <c r="AF630" s="25">
        <v>-17.918749999999999</v>
      </c>
      <c r="AG630" s="25">
        <v>-15.583333333333334</v>
      </c>
      <c r="AH630" s="25">
        <v>-61.449999999999989</v>
      </c>
      <c r="AI630" s="25">
        <v>-54.714583333333316</v>
      </c>
      <c r="AJ630" s="25">
        <v>-26.958333333333332</v>
      </c>
      <c r="AK630" s="25">
        <v>-34.99583333333333</v>
      </c>
      <c r="AL630" s="25">
        <v>17.716666666666672</v>
      </c>
      <c r="AM630" s="25">
        <v>17.370833333333326</v>
      </c>
      <c r="AN630" s="25">
        <v>17.100000000000012</v>
      </c>
      <c r="AO630" s="25">
        <v>17</v>
      </c>
      <c r="AP630" s="25">
        <v>17.914583333333344</v>
      </c>
      <c r="AQ630" s="25">
        <v>17.552083333333325</v>
      </c>
      <c r="AR630" s="25">
        <v>17.289583333333329</v>
      </c>
      <c r="AS630" s="25">
        <v>17.191666666666674</v>
      </c>
      <c r="AT630" s="25">
        <v>0.34213333333333323</v>
      </c>
      <c r="AU630" s="25">
        <v>0.1633125</v>
      </c>
      <c r="AV630" s="25">
        <v>0.27177083333333329</v>
      </c>
      <c r="AW630" s="25">
        <v>-179.36458333333329</v>
      </c>
      <c r="AX630" s="25">
        <v>-70.517291666666665</v>
      </c>
      <c r="AY630" s="25"/>
      <c r="AZ630" s="25"/>
      <c r="BA630" s="25">
        <v>-164.18125000000001</v>
      </c>
      <c r="BB630" s="25"/>
      <c r="BC630" s="25"/>
      <c r="BD630" s="25">
        <v>18.368750000000002</v>
      </c>
      <c r="BE630" s="25"/>
    </row>
    <row r="631" spans="1:57" x14ac:dyDescent="0.25">
      <c r="A631" s="1">
        <v>23.2</v>
      </c>
      <c r="B631" s="1">
        <v>16.2</v>
      </c>
      <c r="C631" s="22"/>
      <c r="D631" s="23">
        <v>44338</v>
      </c>
      <c r="E631" s="24">
        <v>89.666666666666671</v>
      </c>
      <c r="F631" s="24">
        <v>92.25833333333334</v>
      </c>
      <c r="G631" s="24">
        <v>19.020833333333339</v>
      </c>
      <c r="H631" s="24">
        <v>10.199999999999998</v>
      </c>
      <c r="I631" s="24">
        <v>228.22916666666666</v>
      </c>
      <c r="J631" s="24">
        <v>3.0416666666666665</v>
      </c>
      <c r="K631" s="24">
        <v>2.0833333333333332E-2</v>
      </c>
      <c r="L631" s="24">
        <v>17.697916666666664</v>
      </c>
      <c r="M631" s="10">
        <v>0.18480406014371911</v>
      </c>
      <c r="N631" s="25">
        <v>0.32406249999999986</v>
      </c>
      <c r="O631" s="25">
        <v>0.44356250000000036</v>
      </c>
      <c r="P631" s="25">
        <v>0.50243749999999987</v>
      </c>
      <c r="Q631" s="25">
        <v>0.52666666666666628</v>
      </c>
      <c r="R631" s="25">
        <v>0.52822916666666697</v>
      </c>
      <c r="S631" s="25">
        <v>0.41837500000000033</v>
      </c>
      <c r="T631" s="25">
        <v>0.42014583333333338</v>
      </c>
      <c r="U631" s="25">
        <v>0.36035416666666675</v>
      </c>
      <c r="V631" s="25">
        <v>-29.907916666666662</v>
      </c>
      <c r="W631" s="25">
        <v>-29.877291666666661</v>
      </c>
      <c r="X631" s="25">
        <v>-34.729791666666664</v>
      </c>
      <c r="Y631" s="25">
        <v>-30.920416666666668</v>
      </c>
      <c r="Z631" s="25">
        <v>-19.539791666666662</v>
      </c>
      <c r="AA631" s="25">
        <v>-30.221458333333334</v>
      </c>
      <c r="AB631" s="25">
        <v>-29.081041666666664</v>
      </c>
      <c r="AC631" s="25">
        <v>-40.572708333333331</v>
      </c>
      <c r="AD631" s="25">
        <v>-24.110416666666666</v>
      </c>
      <c r="AE631" s="25">
        <v>-22.2</v>
      </c>
      <c r="AF631" s="25">
        <v>-20.168749999999999</v>
      </c>
      <c r="AG631" s="25">
        <v>-17.756250000000005</v>
      </c>
      <c r="AH631" s="25">
        <v>-22.552083333333343</v>
      </c>
      <c r="AI631" s="25">
        <v>-60.316666666666656</v>
      </c>
      <c r="AJ631" s="25">
        <v>-30.985416666666669</v>
      </c>
      <c r="AK631" s="25">
        <v>-13.83125000000001</v>
      </c>
      <c r="AL631" s="25">
        <v>18.206249999999997</v>
      </c>
      <c r="AM631" s="25">
        <v>17.622916666666686</v>
      </c>
      <c r="AN631" s="25">
        <v>17.189583333333335</v>
      </c>
      <c r="AO631" s="25">
        <v>17.041666666666675</v>
      </c>
      <c r="AP631" s="25">
        <v>18.535416666666663</v>
      </c>
      <c r="AQ631" s="25">
        <v>18.058333333333344</v>
      </c>
      <c r="AR631" s="25">
        <v>17.618750000000016</v>
      </c>
      <c r="AS631" s="25">
        <v>17.437499999999996</v>
      </c>
      <c r="AT631" s="25">
        <v>0.39613043478260862</v>
      </c>
      <c r="AU631" s="25">
        <v>0.24191666666666667</v>
      </c>
      <c r="AV631" s="25">
        <v>0.32158333333333339</v>
      </c>
      <c r="AW631" s="25">
        <v>-79.366666666666674</v>
      </c>
      <c r="AX631" s="25">
        <v>-27.832083333333326</v>
      </c>
      <c r="AY631" s="25"/>
      <c r="AZ631" s="25"/>
      <c r="BA631" s="25">
        <v>-46.616666666666752</v>
      </c>
      <c r="BB631" s="25"/>
      <c r="BC631" s="25"/>
      <c r="BD631" s="25">
        <v>18.604166666666664</v>
      </c>
      <c r="BE631" s="25"/>
    </row>
    <row r="632" spans="1:57" x14ac:dyDescent="0.25">
      <c r="A632" s="1">
        <v>21.6</v>
      </c>
      <c r="B632" s="1">
        <v>15.8</v>
      </c>
      <c r="C632" s="22"/>
      <c r="D632" s="23">
        <v>44339</v>
      </c>
      <c r="E632" s="24">
        <v>83.791666666666671</v>
      </c>
      <c r="F632" s="24">
        <v>87.524999999999991</v>
      </c>
      <c r="G632" s="24">
        <v>17.772916666666664</v>
      </c>
      <c r="H632" s="24">
        <v>31.499999999999996</v>
      </c>
      <c r="I632" s="24">
        <v>230.41666666666666</v>
      </c>
      <c r="J632" s="24">
        <v>3.7291666666666665</v>
      </c>
      <c r="K632" s="24">
        <v>0</v>
      </c>
      <c r="L632" s="24">
        <v>15.59375</v>
      </c>
      <c r="M632" s="10">
        <v>0.27026157120155053</v>
      </c>
      <c r="N632" s="25">
        <v>0.4448125</v>
      </c>
      <c r="O632" s="25">
        <v>0.52060416666666676</v>
      </c>
      <c r="P632" s="25">
        <v>0.56670833333333348</v>
      </c>
      <c r="Q632" s="25">
        <v>0.58747916666666644</v>
      </c>
      <c r="R632" s="25">
        <v>0.59766666666666668</v>
      </c>
      <c r="S632" s="25">
        <v>0.49022916666666655</v>
      </c>
      <c r="T632" s="25">
        <v>0.4607083333333335</v>
      </c>
      <c r="U632" s="25">
        <v>0.39393750000000005</v>
      </c>
      <c r="V632" s="25">
        <v>-15.331666666666663</v>
      </c>
      <c r="W632" s="25">
        <v>-26.277708333333333</v>
      </c>
      <c r="X632" s="25">
        <v>-15.774583333333327</v>
      </c>
      <c r="Y632" s="25">
        <v>-15.208333333333327</v>
      </c>
      <c r="Z632" s="25">
        <v>-12.765625000000005</v>
      </c>
      <c r="AA632" s="25">
        <v>-14.097291666666669</v>
      </c>
      <c r="AB632" s="25">
        <v>-14.838333333333336</v>
      </c>
      <c r="AC632" s="25">
        <v>-20.366458333333327</v>
      </c>
      <c r="AD632" s="25">
        <v>-10.129166666666661</v>
      </c>
      <c r="AE632" s="25">
        <v>-12.066666666666675</v>
      </c>
      <c r="AF632" s="25">
        <v>-12.625000000000005</v>
      </c>
      <c r="AG632" s="25">
        <v>-13.279166666666681</v>
      </c>
      <c r="AH632" s="25">
        <v>-12.449999999999989</v>
      </c>
      <c r="AI632" s="25">
        <v>-14.062500000000005</v>
      </c>
      <c r="AJ632" s="25">
        <v>-14.35000000000001</v>
      </c>
      <c r="AK632" s="25">
        <v>-11.53125</v>
      </c>
      <c r="AL632" s="25">
        <v>18.093750000000004</v>
      </c>
      <c r="AM632" s="25">
        <v>17.758333333333354</v>
      </c>
      <c r="AN632" s="25">
        <v>17.354166666666647</v>
      </c>
      <c r="AO632" s="25">
        <v>17.179166666666678</v>
      </c>
      <c r="AP632" s="25">
        <v>18.106249999999999</v>
      </c>
      <c r="AQ632" s="25">
        <v>18.012499999999992</v>
      </c>
      <c r="AR632" s="25">
        <v>17.731250000000017</v>
      </c>
      <c r="AS632" s="25">
        <v>17.566666666666674</v>
      </c>
      <c r="AT632" s="25">
        <v>0.45797826086956528</v>
      </c>
      <c r="AU632" s="25">
        <v>0.32306249999999997</v>
      </c>
      <c r="AV632" s="25">
        <v>0.47131249999999986</v>
      </c>
      <c r="AW632" s="25">
        <v>-23.99166666666666</v>
      </c>
      <c r="AX632" s="25">
        <v>-15.777083333333325</v>
      </c>
      <c r="AY632" s="25">
        <v>-16.002340425531916</v>
      </c>
      <c r="AZ632" s="25"/>
      <c r="BA632" s="25">
        <v>-10.406249999999991</v>
      </c>
      <c r="BB632" s="25"/>
      <c r="BC632" s="25"/>
      <c r="BD632" s="25">
        <v>18.056250000000002</v>
      </c>
      <c r="BE632" s="25"/>
    </row>
    <row r="633" spans="1:57" x14ac:dyDescent="0.25">
      <c r="A633" s="1">
        <v>19.399999999999999</v>
      </c>
      <c r="B633" s="1">
        <v>12.9</v>
      </c>
      <c r="C633" s="22"/>
      <c r="D633" s="23">
        <v>44340</v>
      </c>
      <c r="E633" s="24">
        <v>89.895833333333329</v>
      </c>
      <c r="F633" s="24">
        <v>87.393750000000011</v>
      </c>
      <c r="G633" s="24">
        <v>15.441666666666668</v>
      </c>
      <c r="H633" s="24">
        <v>4.7000000000000011</v>
      </c>
      <c r="I633" s="24">
        <v>208.9375</v>
      </c>
      <c r="J633" s="24">
        <v>2</v>
      </c>
      <c r="K633" s="24">
        <v>2.0833333333333332E-2</v>
      </c>
      <c r="L633" s="24">
        <v>13.314583333333337</v>
      </c>
      <c r="M633" s="10">
        <v>0.23396613094426896</v>
      </c>
      <c r="N633" s="25">
        <v>0.44168750000000007</v>
      </c>
      <c r="O633" s="25">
        <v>0.52166666666666639</v>
      </c>
      <c r="P633" s="25">
        <v>0.56995833333333334</v>
      </c>
      <c r="Q633" s="25">
        <v>0.58147916666666633</v>
      </c>
      <c r="R633" s="25">
        <v>0.5952291666666667</v>
      </c>
      <c r="S633" s="25">
        <v>0.48481249999999987</v>
      </c>
      <c r="T633" s="25">
        <v>0.46393749999999984</v>
      </c>
      <c r="U633" s="25">
        <v>0.39747916666666666</v>
      </c>
      <c r="V633" s="25">
        <v>-15.168958333333341</v>
      </c>
      <c r="W633" s="25">
        <v>-27.03687500000002</v>
      </c>
      <c r="X633" s="25">
        <v>-12.542916666666658</v>
      </c>
      <c r="Y633" s="25">
        <v>-12.941250000000004</v>
      </c>
      <c r="Z633" s="25">
        <v>-12.711458333333342</v>
      </c>
      <c r="AA633" s="25">
        <v>-12.983541666666662</v>
      </c>
      <c r="AB633" s="25">
        <v>-12.691249999999998</v>
      </c>
      <c r="AC633" s="25">
        <v>-14.233958333333335</v>
      </c>
      <c r="AD633" s="25">
        <v>-9.8541666666666732</v>
      </c>
      <c r="AE633" s="25">
        <v>-10.991666666666665</v>
      </c>
      <c r="AF633" s="25">
        <v>-11.199999999999996</v>
      </c>
      <c r="AG633" s="25">
        <v>-12.081250000000006</v>
      </c>
      <c r="AH633" s="25">
        <v>-12.295833333333327</v>
      </c>
      <c r="AI633" s="25">
        <v>-10.527083333333332</v>
      </c>
      <c r="AJ633" s="25">
        <v>-10.633333333333342</v>
      </c>
      <c r="AK633" s="25">
        <v>-11.445833333333331</v>
      </c>
      <c r="AL633" s="25">
        <v>17.527083333333323</v>
      </c>
      <c r="AM633" s="25">
        <v>17.533333333333328</v>
      </c>
      <c r="AN633" s="25">
        <v>17.272916666666678</v>
      </c>
      <c r="AO633" s="25">
        <v>17.177083333333339</v>
      </c>
      <c r="AP633" s="25">
        <v>17.197916666666668</v>
      </c>
      <c r="AQ633" s="25">
        <v>17.520833333333314</v>
      </c>
      <c r="AR633" s="25">
        <v>17.435416666666669</v>
      </c>
      <c r="AS633" s="25">
        <v>17.379166666666666</v>
      </c>
      <c r="AT633" s="25">
        <v>0.43799999999999994</v>
      </c>
      <c r="AU633" s="25">
        <v>0.28602083333333339</v>
      </c>
      <c r="AV633" s="25">
        <v>0.47020833333333339</v>
      </c>
      <c r="AW633" s="25">
        <v>-26.399583333333339</v>
      </c>
      <c r="AX633" s="25">
        <v>-15.726458333333328</v>
      </c>
      <c r="AY633" s="25">
        <v>-14.626041666666666</v>
      </c>
      <c r="AZ633" s="25"/>
      <c r="BA633" s="25">
        <v>-10.325000000000008</v>
      </c>
      <c r="BB633" s="25"/>
      <c r="BC633" s="25"/>
      <c r="BD633" s="25">
        <v>17.158333333333339</v>
      </c>
      <c r="BE633" s="25"/>
    </row>
    <row r="634" spans="1:57" x14ac:dyDescent="0.25">
      <c r="A634" s="1">
        <v>23.4</v>
      </c>
      <c r="B634" s="1">
        <v>14.1</v>
      </c>
      <c r="C634" s="22"/>
      <c r="D634" s="23">
        <v>44341</v>
      </c>
      <c r="E634" s="24">
        <v>150.5625</v>
      </c>
      <c r="F634" s="24">
        <v>85.925000000000011</v>
      </c>
      <c r="G634" s="24">
        <v>18.237499999999994</v>
      </c>
      <c r="H634" s="24">
        <v>0.2</v>
      </c>
      <c r="I634" s="24">
        <v>234.39583333333334</v>
      </c>
      <c r="J634" s="24">
        <v>8.3125</v>
      </c>
      <c r="K634" s="24">
        <v>1.25</v>
      </c>
      <c r="L634" s="24">
        <v>15.737499999999999</v>
      </c>
      <c r="M634" s="10">
        <v>0.33401848595008427</v>
      </c>
      <c r="N634" s="25">
        <v>0.43491666666666656</v>
      </c>
      <c r="O634" s="25">
        <v>0.5167708333333334</v>
      </c>
      <c r="P634" s="25">
        <v>0.56693749999999954</v>
      </c>
      <c r="Q634" s="25">
        <v>0.57904166666666657</v>
      </c>
      <c r="R634" s="25">
        <v>0.59160416666666638</v>
      </c>
      <c r="S634" s="25">
        <v>0.47925000000000018</v>
      </c>
      <c r="T634" s="25">
        <v>0.46089583333333328</v>
      </c>
      <c r="U634" s="25">
        <v>0.39579166666666654</v>
      </c>
      <c r="V634" s="25">
        <v>-14.995625000000002</v>
      </c>
      <c r="W634" s="25">
        <v>-28.728958333333338</v>
      </c>
      <c r="X634" s="25">
        <v>-12.586458333333328</v>
      </c>
      <c r="Y634" s="25">
        <v>-13.022083333333336</v>
      </c>
      <c r="Z634" s="25">
        <v>-12.75104166666666</v>
      </c>
      <c r="AA634" s="25">
        <v>-13.088333333333338</v>
      </c>
      <c r="AB634" s="25">
        <v>-12.923541666666665</v>
      </c>
      <c r="AC634" s="25">
        <v>-14.395208333333338</v>
      </c>
      <c r="AD634" s="25">
        <v>-9.7916666666666732</v>
      </c>
      <c r="AE634" s="25">
        <v>-10.904166666666656</v>
      </c>
      <c r="AF634" s="25">
        <v>-11.122916666666674</v>
      </c>
      <c r="AG634" s="25">
        <v>-12</v>
      </c>
      <c r="AH634" s="25">
        <v>-12.306249999999997</v>
      </c>
      <c r="AI634" s="25">
        <v>-10.531250000000007</v>
      </c>
      <c r="AJ634" s="25">
        <v>-10.60000000000001</v>
      </c>
      <c r="AK634" s="25">
        <v>-11.454166666666664</v>
      </c>
      <c r="AL634" s="25">
        <v>17.395833333333332</v>
      </c>
      <c r="AM634" s="25">
        <v>17.254166666666666</v>
      </c>
      <c r="AN634" s="25">
        <v>17.095833333333342</v>
      </c>
      <c r="AO634" s="25">
        <v>17.045833333333334</v>
      </c>
      <c r="AP634" s="25">
        <v>17.343750000000011</v>
      </c>
      <c r="AQ634" s="25">
        <v>17.270833333333339</v>
      </c>
      <c r="AR634" s="25">
        <v>17.131250000000012</v>
      </c>
      <c r="AS634" s="25">
        <v>17.085416666666671</v>
      </c>
      <c r="AT634" s="25">
        <v>0.42957142857142838</v>
      </c>
      <c r="AU634" s="25">
        <v>0.27241666666666664</v>
      </c>
      <c r="AV634" s="25">
        <v>0.4575833333333334</v>
      </c>
      <c r="AW634" s="25">
        <v>-25.256041666666658</v>
      </c>
      <c r="AX634" s="25">
        <v>-15.517291666666665</v>
      </c>
      <c r="AY634" s="25">
        <v>-14.637142857142855</v>
      </c>
      <c r="AZ634" s="25"/>
      <c r="BA634" s="25">
        <v>-10.281249999999998</v>
      </c>
      <c r="BB634" s="25"/>
      <c r="BC634" s="25"/>
      <c r="BD634" s="25">
        <v>17.925000000000001</v>
      </c>
      <c r="BE634" s="25"/>
    </row>
    <row r="635" spans="1:57" x14ac:dyDescent="0.25">
      <c r="A635" s="1">
        <v>23.7</v>
      </c>
      <c r="B635" s="1">
        <v>15.7</v>
      </c>
      <c r="C635" s="22"/>
      <c r="D635" s="23">
        <v>44342</v>
      </c>
      <c r="E635" s="24">
        <v>75.145833333333329</v>
      </c>
      <c r="F635" s="24">
        <v>86.354166666666686</v>
      </c>
      <c r="G635" s="24">
        <v>18.637499999999999</v>
      </c>
      <c r="H635" s="24">
        <v>0</v>
      </c>
      <c r="I635" s="24">
        <v>202.04166666666666</v>
      </c>
      <c r="J635" s="24">
        <v>7.5625</v>
      </c>
      <c r="K635" s="24">
        <v>0.875</v>
      </c>
      <c r="L635" s="24">
        <v>16.295833333333338</v>
      </c>
      <c r="M635" s="10">
        <v>0.29956941709796914</v>
      </c>
      <c r="N635" s="25">
        <v>0.42343750000000019</v>
      </c>
      <c r="O635" s="25">
        <v>0.5083958333333336</v>
      </c>
      <c r="P635" s="25">
        <v>0.56199999999999994</v>
      </c>
      <c r="Q635" s="25">
        <v>0.57495833333333402</v>
      </c>
      <c r="R635" s="25">
        <v>0.58822916666666647</v>
      </c>
      <c r="S635" s="25">
        <v>0.47420833333333312</v>
      </c>
      <c r="T635" s="25">
        <v>0.45922916666666658</v>
      </c>
      <c r="U635" s="25">
        <v>0.39347916666666705</v>
      </c>
      <c r="V635" s="25">
        <v>-14.608958333333332</v>
      </c>
      <c r="W635" s="25">
        <v>-31.212083333333336</v>
      </c>
      <c r="X635" s="25">
        <v>-12.740625000000003</v>
      </c>
      <c r="Y635" s="25">
        <v>-13.186249999999999</v>
      </c>
      <c r="Z635" s="25">
        <v>-12.853125000000006</v>
      </c>
      <c r="AA635" s="25">
        <v>-13.305625000000001</v>
      </c>
      <c r="AB635" s="25">
        <v>-13.08208333333333</v>
      </c>
      <c r="AC635" s="25">
        <v>-14.568333333333328</v>
      </c>
      <c r="AD635" s="25">
        <v>-9.7520833333333297</v>
      </c>
      <c r="AE635" s="25">
        <v>-10.899999999999991</v>
      </c>
      <c r="AF635" s="25">
        <v>-11.091666666666674</v>
      </c>
      <c r="AG635" s="25">
        <v>-11.947916666666659</v>
      </c>
      <c r="AH635" s="25">
        <v>-12.397916666666658</v>
      </c>
      <c r="AI635" s="25">
        <v>-10.60000000000001</v>
      </c>
      <c r="AJ635" s="25">
        <v>-10.587500000000007</v>
      </c>
      <c r="AK635" s="25">
        <v>-11.518750000000004</v>
      </c>
      <c r="AL635" s="25">
        <v>17.983333333333338</v>
      </c>
      <c r="AM635" s="25">
        <v>17.497916666666672</v>
      </c>
      <c r="AN635" s="25">
        <v>17.129166666666688</v>
      </c>
      <c r="AO635" s="25">
        <v>17.002083333333335</v>
      </c>
      <c r="AP635" s="25">
        <v>18.158333333333335</v>
      </c>
      <c r="AQ635" s="25">
        <v>17.797916666666659</v>
      </c>
      <c r="AR635" s="25">
        <v>17.441666666666666</v>
      </c>
      <c r="AS635" s="25">
        <v>17.281249999999989</v>
      </c>
      <c r="AT635" s="25">
        <v>0.41952272727272727</v>
      </c>
      <c r="AU635" s="25">
        <v>0.25979166666666681</v>
      </c>
      <c r="AV635" s="25">
        <v>0.4360208333333333</v>
      </c>
      <c r="AW635" s="25">
        <v>-24.443541666666661</v>
      </c>
      <c r="AX635" s="25">
        <v>-15.307708333333339</v>
      </c>
      <c r="AY635" s="25"/>
      <c r="AZ635" s="25"/>
      <c r="BA635" s="25">
        <v>-10.34166666666666</v>
      </c>
      <c r="BB635" s="25"/>
      <c r="BC635" s="25"/>
      <c r="BD635" s="25">
        <v>18.254166666666666</v>
      </c>
      <c r="BE635" s="25"/>
    </row>
    <row r="636" spans="1:57" x14ac:dyDescent="0.25">
      <c r="A636" s="1">
        <v>27.8</v>
      </c>
      <c r="B636" s="1">
        <v>14.4</v>
      </c>
      <c r="C636" s="22"/>
      <c r="D636" s="23">
        <v>44343</v>
      </c>
      <c r="E636" s="24">
        <v>211.5</v>
      </c>
      <c r="F636" s="24">
        <v>74.420833333333334</v>
      </c>
      <c r="G636" s="24">
        <v>19.979166666666668</v>
      </c>
      <c r="H636" s="24">
        <v>0.2</v>
      </c>
      <c r="I636" s="24">
        <v>231.0625</v>
      </c>
      <c r="J636" s="24">
        <v>2.9166666666666665</v>
      </c>
      <c r="K636" s="24">
        <v>0.14583333333333334</v>
      </c>
      <c r="L636" s="24">
        <v>14.891666666666666</v>
      </c>
      <c r="M636" s="10">
        <v>0.71151823132263481</v>
      </c>
      <c r="N636" s="25">
        <v>0.41083333333333333</v>
      </c>
      <c r="O636" s="25">
        <v>0.50079166666666619</v>
      </c>
      <c r="P636" s="25">
        <v>0.55572916666666661</v>
      </c>
      <c r="Q636" s="25">
        <v>0.57085416666666655</v>
      </c>
      <c r="R636" s="25">
        <v>0.58135416666666639</v>
      </c>
      <c r="S636" s="25">
        <v>0.46829166666666655</v>
      </c>
      <c r="T636" s="25">
        <v>0.45622916666666707</v>
      </c>
      <c r="U636" s="25">
        <v>0.39100000000000018</v>
      </c>
      <c r="V636" s="25">
        <v>-14.881458333333336</v>
      </c>
      <c r="W636" s="25">
        <v>-35.846041666666672</v>
      </c>
      <c r="X636" s="25">
        <v>-12.983749999999999</v>
      </c>
      <c r="Y636" s="25">
        <v>-13.389791666666666</v>
      </c>
      <c r="Z636" s="25">
        <v>-13.181666666666667</v>
      </c>
      <c r="AA636" s="25">
        <v>-13.870833333333332</v>
      </c>
      <c r="AB636" s="25">
        <v>-13.42395833333333</v>
      </c>
      <c r="AC636" s="25">
        <v>-14.789166666666667</v>
      </c>
      <c r="AD636" s="25">
        <v>-9.7541666666666647</v>
      </c>
      <c r="AE636" s="25">
        <v>-10.935416666666663</v>
      </c>
      <c r="AF636" s="25">
        <v>-11.039583333333342</v>
      </c>
      <c r="AG636" s="25">
        <v>-11.947916666666666</v>
      </c>
      <c r="AH636" s="25">
        <v>-12.722916666666663</v>
      </c>
      <c r="AI636" s="25">
        <v>-10.914583333333331</v>
      </c>
      <c r="AJ636" s="25">
        <v>-10.589583333333332</v>
      </c>
      <c r="AK636" s="25">
        <v>-11.718749999999991</v>
      </c>
      <c r="AL636" s="25">
        <v>17.787499999999998</v>
      </c>
      <c r="AM636" s="25">
        <v>17.479166666666661</v>
      </c>
      <c r="AN636" s="25">
        <v>17.200000000000014</v>
      </c>
      <c r="AO636" s="25">
        <v>17.100000000000012</v>
      </c>
      <c r="AP636" s="25">
        <v>17.879166666666666</v>
      </c>
      <c r="AQ636" s="25">
        <v>17.649999999999995</v>
      </c>
      <c r="AR636" s="25">
        <v>17.399999999999988</v>
      </c>
      <c r="AS636" s="25">
        <v>17.297916666666673</v>
      </c>
      <c r="AT636" s="25">
        <v>0.40577500000000005</v>
      </c>
      <c r="AU636" s="25">
        <v>0.2468541666666666</v>
      </c>
      <c r="AV636" s="25">
        <v>0.41493749999999996</v>
      </c>
      <c r="AW636" s="25">
        <v>-24.989583333333329</v>
      </c>
      <c r="AX636" s="25">
        <v>-15.462083333333334</v>
      </c>
      <c r="AY636" s="25">
        <v>-15.514736842105261</v>
      </c>
      <c r="AZ636" s="25"/>
      <c r="BA636" s="25">
        <v>-10.470833333333337</v>
      </c>
      <c r="BB636" s="25"/>
      <c r="BC636" s="25"/>
      <c r="BD636" s="25">
        <v>18.400000000000002</v>
      </c>
      <c r="BE636" s="25"/>
    </row>
    <row r="637" spans="1:57" x14ac:dyDescent="0.25">
      <c r="A637" s="1">
        <v>21.7</v>
      </c>
      <c r="B637" s="1">
        <v>15.8</v>
      </c>
      <c r="C637" s="22"/>
      <c r="D637" s="23">
        <v>44344</v>
      </c>
      <c r="E637" s="24">
        <v>58.333333333333336</v>
      </c>
      <c r="F637" s="24">
        <v>87.758333333333326</v>
      </c>
      <c r="G637" s="24">
        <v>18.581249999999997</v>
      </c>
      <c r="H637" s="24">
        <v>3.5999999999999996</v>
      </c>
      <c r="I637" s="24">
        <v>202.70833333333334</v>
      </c>
      <c r="J637" s="24">
        <v>2.5625</v>
      </c>
      <c r="K637" s="24">
        <v>0.14583333333333334</v>
      </c>
      <c r="L637" s="24">
        <v>16.487500000000001</v>
      </c>
      <c r="M637" s="10">
        <v>0.26804403455386605</v>
      </c>
      <c r="N637" s="25">
        <v>0.3988541666666669</v>
      </c>
      <c r="O637" s="25">
        <v>0.49422916666666666</v>
      </c>
      <c r="P637" s="25">
        <v>0.55039583333333331</v>
      </c>
      <c r="Q637" s="25">
        <v>0.56658333333333299</v>
      </c>
      <c r="R637" s="25">
        <v>0.57652083333333348</v>
      </c>
      <c r="S637" s="25">
        <v>0.46183333333333293</v>
      </c>
      <c r="T637" s="25">
        <v>0.45237500000000036</v>
      </c>
      <c r="U637" s="25">
        <v>0.38762500000000016</v>
      </c>
      <c r="V637" s="25">
        <v>-16.167916666666667</v>
      </c>
      <c r="W637" s="25">
        <v>-32.713333333333331</v>
      </c>
      <c r="X637" s="25">
        <v>-13.807083333333333</v>
      </c>
      <c r="Y637" s="25">
        <v>-13.942291666666668</v>
      </c>
      <c r="Z637" s="25">
        <v>-14.149374999999999</v>
      </c>
      <c r="AA637" s="25">
        <v>-14.994583333333333</v>
      </c>
      <c r="AB637" s="25">
        <v>-14.445833333333335</v>
      </c>
      <c r="AC637" s="25">
        <v>-15.537708333333329</v>
      </c>
      <c r="AD637" s="25">
        <v>-9.8458333333333261</v>
      </c>
      <c r="AE637" s="25">
        <v>-11</v>
      </c>
      <c r="AF637" s="25">
        <v>-11.008333333333333</v>
      </c>
      <c r="AG637" s="25">
        <v>-11.995833333333332</v>
      </c>
      <c r="AH637" s="25">
        <v>-14.04166666666667</v>
      </c>
      <c r="AI637" s="25">
        <v>-11.768749999999999</v>
      </c>
      <c r="AJ637" s="25">
        <v>-10.699999999999994</v>
      </c>
      <c r="AK637" s="25">
        <v>-11.78125</v>
      </c>
      <c r="AL637" s="25">
        <v>18.11041666666668</v>
      </c>
      <c r="AM637" s="25">
        <v>17.670833333333348</v>
      </c>
      <c r="AN637" s="25">
        <v>17.262499999999985</v>
      </c>
      <c r="AO637" s="25">
        <v>17.100000000000012</v>
      </c>
      <c r="AP637" s="25">
        <v>18.302083333333332</v>
      </c>
      <c r="AQ637" s="25">
        <v>18</v>
      </c>
      <c r="AR637" s="25">
        <v>17.629166666666684</v>
      </c>
      <c r="AS637" s="25">
        <v>17.477083333333336</v>
      </c>
      <c r="AT637" s="25">
        <v>0.3941904761904762</v>
      </c>
      <c r="AU637" s="25">
        <v>0.23143750000000005</v>
      </c>
      <c r="AV637" s="25">
        <v>0.39193750000000005</v>
      </c>
      <c r="AW637" s="25">
        <v>-28.290208333333336</v>
      </c>
      <c r="AX637" s="25">
        <v>-16.06583333333333</v>
      </c>
      <c r="AY637" s="25">
        <v>-28.341904761904761</v>
      </c>
      <c r="AZ637" s="25"/>
      <c r="BA637" s="25">
        <v>-11.100000000000001</v>
      </c>
      <c r="BB637" s="25"/>
      <c r="BC637" s="25"/>
      <c r="BD637" s="25">
        <v>18.312499999999996</v>
      </c>
      <c r="BE637" s="25"/>
    </row>
    <row r="638" spans="1:57" x14ac:dyDescent="0.25">
      <c r="A638" s="1">
        <v>21.9</v>
      </c>
      <c r="B638" s="1">
        <v>15.3</v>
      </c>
      <c r="C638" s="22"/>
      <c r="D638" s="23">
        <v>44345</v>
      </c>
      <c r="E638" s="24">
        <v>73.541666666666671</v>
      </c>
      <c r="F638" s="24">
        <v>90.106249999999989</v>
      </c>
      <c r="G638" s="24">
        <v>17.479166666666664</v>
      </c>
      <c r="H638" s="24">
        <v>16.100000000000001</v>
      </c>
      <c r="I638" s="24">
        <v>188.41666666666666</v>
      </c>
      <c r="J638" s="24">
        <v>2.5416666666666665</v>
      </c>
      <c r="K638" s="24">
        <v>0</v>
      </c>
      <c r="L638" s="24">
        <v>15.779166666666663</v>
      </c>
      <c r="M638" s="10">
        <v>0.21815710785141937</v>
      </c>
      <c r="N638" s="25">
        <v>0.40362499999999996</v>
      </c>
      <c r="O638" s="25">
        <v>0.49156249999999974</v>
      </c>
      <c r="P638" s="25">
        <v>0.54887500000000033</v>
      </c>
      <c r="Q638" s="25">
        <v>0.56591666666666707</v>
      </c>
      <c r="R638" s="25">
        <v>0.58472916666666608</v>
      </c>
      <c r="S638" s="25">
        <v>0.46143750000000022</v>
      </c>
      <c r="T638" s="25">
        <v>0.45170833333333354</v>
      </c>
      <c r="U638" s="25">
        <v>0.3868125</v>
      </c>
      <c r="V638" s="25">
        <v>-14.566041666666663</v>
      </c>
      <c r="W638" s="25">
        <v>-25.983750000000001</v>
      </c>
      <c r="X638" s="25">
        <v>-14.916666666666666</v>
      </c>
      <c r="Y638" s="25">
        <v>-14.601041666666667</v>
      </c>
      <c r="Z638" s="25">
        <v>-12.968541666666658</v>
      </c>
      <c r="AA638" s="25">
        <v>-16.072916666666668</v>
      </c>
      <c r="AB638" s="25">
        <v>-15.196874999999999</v>
      </c>
      <c r="AC638" s="25">
        <v>-16.18375</v>
      </c>
      <c r="AD638" s="25">
        <v>-9.666666666666675</v>
      </c>
      <c r="AE638" s="25">
        <v>-11.045833333333343</v>
      </c>
      <c r="AF638" s="25">
        <v>-10.997916666666667</v>
      </c>
      <c r="AG638" s="25">
        <v>-11.908333333333324</v>
      </c>
      <c r="AH638" s="25">
        <v>-12.7125</v>
      </c>
      <c r="AI638" s="25">
        <v>-11.037500000000007</v>
      </c>
      <c r="AJ638" s="25">
        <v>-10.777083333333325</v>
      </c>
      <c r="AK638" s="25">
        <v>-11.03541666666667</v>
      </c>
      <c r="AL638" s="25">
        <v>17.837499999999988</v>
      </c>
      <c r="AM638" s="25">
        <v>17.604166666666675</v>
      </c>
      <c r="AN638" s="25">
        <v>17.299999999999986</v>
      </c>
      <c r="AO638" s="25">
        <v>17.193750000000012</v>
      </c>
      <c r="AP638" s="25">
        <v>17.816666666666666</v>
      </c>
      <c r="AQ638" s="25">
        <v>17.787499999999998</v>
      </c>
      <c r="AR638" s="25">
        <v>17.5625</v>
      </c>
      <c r="AS638" s="25">
        <v>17.443749999999987</v>
      </c>
      <c r="AT638" s="25">
        <v>0.43174999999999991</v>
      </c>
      <c r="AU638" s="25">
        <v>0.28460416666666688</v>
      </c>
      <c r="AV638" s="25">
        <v>0.44906249999999992</v>
      </c>
      <c r="AW638" s="25">
        <v>-24.403749999999999</v>
      </c>
      <c r="AX638" s="25">
        <v>-15.544999999999996</v>
      </c>
      <c r="AY638" s="25">
        <v>-15.44808510638298</v>
      </c>
      <c r="AZ638" s="25"/>
      <c r="BA638" s="25">
        <v>-10.49375</v>
      </c>
      <c r="BB638" s="25"/>
      <c r="BC638" s="25"/>
      <c r="BD638" s="25">
        <v>17.839583333333334</v>
      </c>
      <c r="BE638" s="25"/>
    </row>
    <row r="639" spans="1:57" x14ac:dyDescent="0.25">
      <c r="A639" s="1">
        <v>27.5</v>
      </c>
      <c r="B639" s="1">
        <v>15</v>
      </c>
      <c r="C639" s="22"/>
      <c r="D639" s="23">
        <v>44346</v>
      </c>
      <c r="E639" s="24">
        <v>221.9375</v>
      </c>
      <c r="F639" s="24">
        <v>75.972916666666649</v>
      </c>
      <c r="G639" s="24">
        <v>19.954166666666669</v>
      </c>
      <c r="H639" s="24">
        <v>16.5</v>
      </c>
      <c r="I639" s="24">
        <v>149.25</v>
      </c>
      <c r="J639" s="24">
        <v>2.9375</v>
      </c>
      <c r="K639" s="24">
        <v>0</v>
      </c>
      <c r="L639" s="24">
        <v>15.010416666666664</v>
      </c>
      <c r="M639" s="10">
        <v>0.68564606586919974</v>
      </c>
      <c r="N639" s="25">
        <v>0.46966666666666684</v>
      </c>
      <c r="O639" s="25">
        <v>0.53693749999999996</v>
      </c>
      <c r="P639" s="25">
        <v>0.58110416666666653</v>
      </c>
      <c r="Q639" s="25">
        <v>0.6016458333333331</v>
      </c>
      <c r="R639" s="25">
        <v>0.60579166666666673</v>
      </c>
      <c r="S639" s="25">
        <v>0.50695833333333329</v>
      </c>
      <c r="T639" s="25">
        <v>0.47506249999999978</v>
      </c>
      <c r="U639" s="25">
        <v>0.41224999999999984</v>
      </c>
      <c r="V639" s="25">
        <v>-14.512291666666668</v>
      </c>
      <c r="W639" s="25">
        <v>-26.629583333333329</v>
      </c>
      <c r="X639" s="25">
        <v>-12.507291666666662</v>
      </c>
      <c r="Y639" s="25">
        <v>-12.618541666666657</v>
      </c>
      <c r="Z639" s="25">
        <v>-12.745624999999999</v>
      </c>
      <c r="AA639" s="25">
        <v>-12.848333333333336</v>
      </c>
      <c r="AB639" s="25">
        <v>-12.713958333333331</v>
      </c>
      <c r="AC639" s="25">
        <v>-13.966458333333337</v>
      </c>
      <c r="AD639" s="25">
        <v>-9.3666666666666583</v>
      </c>
      <c r="AE639" s="25">
        <v>-10.714583333333328</v>
      </c>
      <c r="AF639" s="25">
        <v>-10.55000000000001</v>
      </c>
      <c r="AG639" s="25">
        <v>-11.354166666666663</v>
      </c>
      <c r="AH639" s="25">
        <v>-12.481249999999998</v>
      </c>
      <c r="AI639" s="25">
        <v>-10.441666666666666</v>
      </c>
      <c r="AJ639" s="25">
        <v>-10.39999999999999</v>
      </c>
      <c r="AK639" s="25">
        <v>-11.116666666666665</v>
      </c>
      <c r="AL639" s="25">
        <v>17.824999999999999</v>
      </c>
      <c r="AM639" s="25">
        <v>17.552083333333339</v>
      </c>
      <c r="AN639" s="25">
        <v>17.279166666666672</v>
      </c>
      <c r="AO639" s="25">
        <v>17.200000000000014</v>
      </c>
      <c r="AP639" s="25">
        <v>17.916666666666664</v>
      </c>
      <c r="AQ639" s="25">
        <v>17.697916666666668</v>
      </c>
      <c r="AR639" s="25">
        <v>17.458333333333325</v>
      </c>
      <c r="AS639" s="25">
        <v>17.352083333333322</v>
      </c>
      <c r="AT639" s="25">
        <v>0.46644186046511632</v>
      </c>
      <c r="AU639" s="25">
        <v>0.32345833333333324</v>
      </c>
      <c r="AV639" s="25">
        <v>0.48170833333333324</v>
      </c>
      <c r="AW639" s="25">
        <v>-23.415833333333335</v>
      </c>
      <c r="AX639" s="25">
        <v>-16.058333333333334</v>
      </c>
      <c r="AY639" s="25">
        <v>-15.395172413793102</v>
      </c>
      <c r="AZ639" s="25"/>
      <c r="BA639" s="25">
        <v>-10.214583333333332</v>
      </c>
      <c r="BB639" s="25"/>
      <c r="BC639" s="25"/>
      <c r="BD639" s="25">
        <v>18.422916666666666</v>
      </c>
      <c r="BE639" s="25"/>
    </row>
    <row r="640" spans="1:57" x14ac:dyDescent="0.25">
      <c r="A640" s="1">
        <v>22.6</v>
      </c>
      <c r="B640" s="1">
        <v>15.3</v>
      </c>
      <c r="C640" s="22"/>
      <c r="D640" s="23">
        <v>44347</v>
      </c>
      <c r="E640" s="24">
        <v>76.958333333333329</v>
      </c>
      <c r="F640" s="24">
        <v>86.822916666666643</v>
      </c>
      <c r="G640" s="24">
        <v>18.293749999999999</v>
      </c>
      <c r="H640" s="24">
        <v>20.299999999999997</v>
      </c>
      <c r="I640" s="24">
        <v>240.25</v>
      </c>
      <c r="J640" s="24">
        <v>2.0208333333333335</v>
      </c>
      <c r="K640" s="24">
        <v>0</v>
      </c>
      <c r="L640" s="24">
        <v>16.008333333333333</v>
      </c>
      <c r="M640" s="10">
        <v>0.28768800366035008</v>
      </c>
      <c r="N640" s="25">
        <v>0.44666666666666699</v>
      </c>
      <c r="O640" s="25">
        <v>0.52318749999999969</v>
      </c>
      <c r="P640" s="25">
        <v>0.57247916666666665</v>
      </c>
      <c r="Q640" s="25">
        <v>0.58585416666666623</v>
      </c>
      <c r="R640" s="25">
        <v>0.5957916666666665</v>
      </c>
      <c r="S640" s="25">
        <v>0.48547916666666652</v>
      </c>
      <c r="T640" s="25">
        <v>0.4664375</v>
      </c>
      <c r="U640" s="25">
        <v>0.39941666666666698</v>
      </c>
      <c r="V640" s="25">
        <v>-14.678541666666669</v>
      </c>
      <c r="W640" s="25">
        <v>-25.409375000000001</v>
      </c>
      <c r="X640" s="25">
        <v>-12.538750000000007</v>
      </c>
      <c r="Y640" s="25">
        <v>-12.834166666666667</v>
      </c>
      <c r="Z640" s="25">
        <v>-12.749375000000008</v>
      </c>
      <c r="AA640" s="25">
        <v>-13.062291666666662</v>
      </c>
      <c r="AB640" s="25">
        <v>-12.771041666666674</v>
      </c>
      <c r="AC640" s="25">
        <v>-14.055000000000001</v>
      </c>
      <c r="AD640" s="25">
        <v>-9.387499999999994</v>
      </c>
      <c r="AE640" s="25">
        <v>-10.697916666666659</v>
      </c>
      <c r="AF640" s="25">
        <v>-10.60000000000001</v>
      </c>
      <c r="AG640" s="25">
        <v>-11.40416666666666</v>
      </c>
      <c r="AH640" s="25">
        <v>-12.389583333333334</v>
      </c>
      <c r="AI640" s="25">
        <v>-10.481249999999999</v>
      </c>
      <c r="AJ640" s="25">
        <v>-10.391666666666659</v>
      </c>
      <c r="AK640" s="25">
        <v>-10.604166666666677</v>
      </c>
      <c r="AL640" s="25">
        <v>17.981250000000003</v>
      </c>
      <c r="AM640" s="25">
        <v>17.654166666666679</v>
      </c>
      <c r="AN640" s="25">
        <v>17.299999999999986</v>
      </c>
      <c r="AO640" s="25">
        <v>17.200000000000014</v>
      </c>
      <c r="AP640" s="25">
        <v>18.104166666666661</v>
      </c>
      <c r="AQ640" s="25">
        <v>17.924999999999986</v>
      </c>
      <c r="AR640" s="25">
        <v>17.645833333333343</v>
      </c>
      <c r="AS640" s="25">
        <v>17.495833333333334</v>
      </c>
      <c r="AT640" s="25">
        <v>0.44486842105263164</v>
      </c>
      <c r="AU640" s="25">
        <v>0.29577083333333343</v>
      </c>
      <c r="AV640" s="25">
        <v>0.46325000000000011</v>
      </c>
      <c r="AW640" s="25">
        <v>-25.420833333333338</v>
      </c>
      <c r="AX640" s="25">
        <v>-15.705208333333324</v>
      </c>
      <c r="AY640" s="25"/>
      <c r="AZ640" s="25"/>
      <c r="BA640" s="25">
        <v>-10.181249999999993</v>
      </c>
      <c r="BB640" s="25"/>
      <c r="BC640" s="25"/>
      <c r="BD640" s="25">
        <v>18.085416666666664</v>
      </c>
      <c r="BE640" s="25"/>
    </row>
    <row r="641" spans="1:57" x14ac:dyDescent="0.25">
      <c r="A641" s="1">
        <v>23.9</v>
      </c>
      <c r="B641" s="1">
        <v>17.2</v>
      </c>
      <c r="C641" s="22"/>
      <c r="D641" s="23">
        <v>44348</v>
      </c>
      <c r="E641" s="24">
        <v>83.125</v>
      </c>
      <c r="F641" s="24">
        <v>90.96041666666666</v>
      </c>
      <c r="G641" s="24">
        <v>19.502083333333331</v>
      </c>
      <c r="H641" s="24">
        <v>14.7</v>
      </c>
      <c r="I641" s="24">
        <v>211.75</v>
      </c>
      <c r="J641" s="24">
        <v>2.7916666666666665</v>
      </c>
      <c r="K641" s="24">
        <v>4.1666666666666664E-2</v>
      </c>
      <c r="L641" s="24">
        <v>17.929166666666664</v>
      </c>
      <c r="M641" s="10">
        <v>0.22420818206002882</v>
      </c>
      <c r="N641" s="25">
        <v>0.49116666666666675</v>
      </c>
      <c r="O641" s="25">
        <v>0.5481666666666668</v>
      </c>
      <c r="P641" s="25">
        <v>0.58904166666666635</v>
      </c>
      <c r="Q641" s="25">
        <v>0.60939583333333336</v>
      </c>
      <c r="R641" s="25">
        <v>0.61297916666666696</v>
      </c>
      <c r="S641" s="25">
        <v>0.52177083333333341</v>
      </c>
      <c r="T641" s="25">
        <v>0.48427083333333326</v>
      </c>
      <c r="U641" s="25">
        <v>0.42420833333333324</v>
      </c>
      <c r="V641" s="25">
        <v>-14.522291666666662</v>
      </c>
      <c r="W641" s="25">
        <v>-25.211666666666684</v>
      </c>
      <c r="X641" s="25">
        <v>-12.410000000000002</v>
      </c>
      <c r="Y641" s="25">
        <v>-12.654791666666663</v>
      </c>
      <c r="Z641" s="25">
        <v>-12.704374999999994</v>
      </c>
      <c r="AA641" s="25">
        <v>-12.719166666666659</v>
      </c>
      <c r="AB641" s="25">
        <v>-12.720416666666674</v>
      </c>
      <c r="AC641" s="25">
        <v>-13.680208333333326</v>
      </c>
      <c r="AD641" s="25">
        <v>-9.154166666666665</v>
      </c>
      <c r="AE641" s="25">
        <v>-10.508333333333333</v>
      </c>
      <c r="AF641" s="25">
        <v>-10.306250000000007</v>
      </c>
      <c r="AG641" s="25">
        <v>-11.09583333333334</v>
      </c>
      <c r="AH641" s="25">
        <v>-12.116666666666676</v>
      </c>
      <c r="AI641" s="25">
        <v>-10.212499999999993</v>
      </c>
      <c r="AJ641" s="25">
        <v>-10.206249999999992</v>
      </c>
      <c r="AK641" s="25">
        <v>-10.510416666666666</v>
      </c>
      <c r="AL641" s="25">
        <v>18.149999999999995</v>
      </c>
      <c r="AM641" s="25">
        <v>17.722916666666659</v>
      </c>
      <c r="AN641" s="25">
        <v>17.385416666666654</v>
      </c>
      <c r="AO641" s="25">
        <v>17.281249999999986</v>
      </c>
      <c r="AP641" s="25">
        <v>18.397916666666664</v>
      </c>
      <c r="AQ641" s="25">
        <v>18.045833333333334</v>
      </c>
      <c r="AR641" s="25">
        <v>17.718749999999996</v>
      </c>
      <c r="AS641" s="25">
        <v>17.591666666666679</v>
      </c>
      <c r="AT641" s="25">
        <v>0.48889999999999995</v>
      </c>
      <c r="AU641" s="25">
        <v>0.38264583333333341</v>
      </c>
      <c r="AV641" s="25">
        <v>0.49983333333333341</v>
      </c>
      <c r="AW641" s="25">
        <v>-22.447708333333338</v>
      </c>
      <c r="AX641" s="25">
        <v>-16.523333333333337</v>
      </c>
      <c r="AY641" s="25">
        <v>-14.434146341463419</v>
      </c>
      <c r="AZ641" s="25"/>
      <c r="BA641" s="25">
        <v>-9.8687499999999915</v>
      </c>
      <c r="BB641" s="25"/>
      <c r="BC641" s="25"/>
      <c r="BD641" s="25">
        <v>18.645833333333329</v>
      </c>
      <c r="BE641" s="25"/>
    </row>
    <row r="642" spans="1:57" x14ac:dyDescent="0.25">
      <c r="A642" s="1">
        <v>24.3</v>
      </c>
      <c r="B642" s="1">
        <v>17.8</v>
      </c>
      <c r="C642" s="22"/>
      <c r="D642" s="23">
        <v>44349</v>
      </c>
      <c r="E642" s="24">
        <v>77.604166666666671</v>
      </c>
      <c r="F642" s="24">
        <v>92.991666666666688</v>
      </c>
      <c r="G642" s="24">
        <v>20.162500000000001</v>
      </c>
      <c r="H642" s="24">
        <v>14.399999999999999</v>
      </c>
      <c r="I642" s="24">
        <v>252.95833333333334</v>
      </c>
      <c r="J642" s="24">
        <v>1.7291666666666667</v>
      </c>
      <c r="K642" s="24">
        <v>0</v>
      </c>
      <c r="L642" s="24">
        <v>18.962499999999999</v>
      </c>
      <c r="M642" s="10">
        <v>0.17673071739623447</v>
      </c>
      <c r="N642" s="25">
        <v>0.48839583333333353</v>
      </c>
      <c r="O642" s="25">
        <v>0.54672916666666693</v>
      </c>
      <c r="P642" s="25">
        <v>0.5884999999999998</v>
      </c>
      <c r="Q642" s="25">
        <v>0.60477083333333359</v>
      </c>
      <c r="R642" s="25">
        <v>0.61256249999999968</v>
      </c>
      <c r="S642" s="25">
        <v>0.51533333333333342</v>
      </c>
      <c r="T642" s="25">
        <v>0.48135416666666681</v>
      </c>
      <c r="U642" s="25">
        <v>0.41795833333333321</v>
      </c>
      <c r="V642" s="25">
        <v>-14.472083333333337</v>
      </c>
      <c r="W642" s="25">
        <v>-25.151458333333327</v>
      </c>
      <c r="X642" s="25">
        <v>-12.385833333333329</v>
      </c>
      <c r="Y642" s="25">
        <v>-12.713750000000003</v>
      </c>
      <c r="Z642" s="25">
        <v>-12.574583333333335</v>
      </c>
      <c r="AA642" s="25">
        <v>-12.672291666666673</v>
      </c>
      <c r="AB642" s="25">
        <v>-12.708750000000007</v>
      </c>
      <c r="AC642" s="25">
        <v>-13.685416666666676</v>
      </c>
      <c r="AD642" s="25">
        <v>-9.1083333333333396</v>
      </c>
      <c r="AE642" s="25">
        <v>-10.416666666666657</v>
      </c>
      <c r="AF642" s="25">
        <v>-10.237499999999995</v>
      </c>
      <c r="AG642" s="25">
        <v>-11.018749999999999</v>
      </c>
      <c r="AH642" s="25">
        <v>-12.014583333333334</v>
      </c>
      <c r="AI642" s="25">
        <v>-10.116666666666676</v>
      </c>
      <c r="AJ642" s="25">
        <v>-10.116666666666676</v>
      </c>
      <c r="AK642" s="25">
        <v>-10.46041666666666</v>
      </c>
      <c r="AL642" s="25">
        <v>18.466666666666669</v>
      </c>
      <c r="AM642" s="25">
        <v>17.922916666666659</v>
      </c>
      <c r="AN642" s="25">
        <v>17.485416666666669</v>
      </c>
      <c r="AO642" s="25">
        <v>17.356249999999992</v>
      </c>
      <c r="AP642" s="25">
        <v>18.839583333333323</v>
      </c>
      <c r="AQ642" s="25">
        <v>18.354166666666664</v>
      </c>
      <c r="AR642" s="25">
        <v>17.937499999999996</v>
      </c>
      <c r="AS642" s="25">
        <v>17.772916666666649</v>
      </c>
      <c r="AT642" s="25">
        <v>0.47164102564102567</v>
      </c>
      <c r="AU642" s="25">
        <v>0.32314583333333335</v>
      </c>
      <c r="AV642" s="25">
        <v>0.49889583333333337</v>
      </c>
      <c r="AW642" s="25">
        <v>-22.37</v>
      </c>
      <c r="AX642" s="25">
        <v>-16.001249999999995</v>
      </c>
      <c r="AY642" s="25">
        <v>-14.381875000000001</v>
      </c>
      <c r="AZ642" s="25"/>
      <c r="BA642" s="25">
        <v>-9.8104166666666739</v>
      </c>
      <c r="BB642" s="25"/>
      <c r="BC642" s="25"/>
      <c r="BD642" s="25">
        <v>18.970833333333328</v>
      </c>
      <c r="BE642" s="25"/>
    </row>
    <row r="643" spans="1:57" x14ac:dyDescent="0.25">
      <c r="A643" s="1">
        <v>21.6</v>
      </c>
      <c r="B643" s="1">
        <v>14.8</v>
      </c>
      <c r="C643" s="22"/>
      <c r="D643" s="23">
        <v>44350</v>
      </c>
      <c r="E643" s="24">
        <v>70.729166666666671</v>
      </c>
      <c r="F643" s="24">
        <v>87.71666666666664</v>
      </c>
      <c r="G643" s="24">
        <v>18.712499999999999</v>
      </c>
      <c r="H643" s="24">
        <v>6.4000000000000012</v>
      </c>
      <c r="I643" s="24">
        <v>210.875</v>
      </c>
      <c r="J643" s="24">
        <v>5.604166666666667</v>
      </c>
      <c r="K643" s="24">
        <v>6.25E-2</v>
      </c>
      <c r="L643" s="24">
        <v>16.583333333333339</v>
      </c>
      <c r="M643" s="10">
        <v>0.2491936856170647</v>
      </c>
      <c r="N643" s="25">
        <v>0.48922916666666677</v>
      </c>
      <c r="O643" s="25">
        <v>0.54708333333333359</v>
      </c>
      <c r="P643" s="25">
        <v>0.58991666666666653</v>
      </c>
      <c r="Q643" s="25">
        <v>0.60277083333333337</v>
      </c>
      <c r="R643" s="25">
        <v>0.61297916666666652</v>
      </c>
      <c r="S643" s="25">
        <v>0.51437500000000025</v>
      </c>
      <c r="T643" s="25">
        <v>0.47852083333333356</v>
      </c>
      <c r="U643" s="25">
        <v>0.41049999999999986</v>
      </c>
      <c r="V643" s="25">
        <v>-14.503958333333332</v>
      </c>
      <c r="W643" s="25">
        <v>-27.412291666666679</v>
      </c>
      <c r="X643" s="25">
        <v>-12.347708333333335</v>
      </c>
      <c r="Y643" s="25">
        <v>-12.711041666666672</v>
      </c>
      <c r="Z643" s="25">
        <v>-12.453333333333335</v>
      </c>
      <c r="AA643" s="25">
        <v>-12.65</v>
      </c>
      <c r="AB643" s="25">
        <v>-12.675416666666665</v>
      </c>
      <c r="AC643" s="25">
        <v>-13.683958333333338</v>
      </c>
      <c r="AD643" s="25">
        <v>-9.0104166666666661</v>
      </c>
      <c r="AE643" s="25">
        <v>-10.335416666666674</v>
      </c>
      <c r="AF643" s="25">
        <v>-10.218749999999991</v>
      </c>
      <c r="AG643" s="25">
        <v>-10.943749999999993</v>
      </c>
      <c r="AH643" s="25">
        <v>-11.899999999999991</v>
      </c>
      <c r="AI643" s="25">
        <v>-10.014583333333333</v>
      </c>
      <c r="AJ643" s="25">
        <v>-10.014583333333333</v>
      </c>
      <c r="AK643" s="25">
        <v>-10.679166666666665</v>
      </c>
      <c r="AL643" s="25">
        <v>18.79999999999999</v>
      </c>
      <c r="AM643" s="25">
        <v>18.204166666666655</v>
      </c>
      <c r="AN643" s="25">
        <v>17.679166666666671</v>
      </c>
      <c r="AO643" s="25">
        <v>17.46875</v>
      </c>
      <c r="AP643" s="25">
        <v>19.070833333333336</v>
      </c>
      <c r="AQ643" s="25">
        <v>18.710416666666664</v>
      </c>
      <c r="AR643" s="25">
        <v>18.252083333333314</v>
      </c>
      <c r="AS643" s="25">
        <v>18.025000000000009</v>
      </c>
      <c r="AT643" s="25">
        <v>0.46222222222222215</v>
      </c>
      <c r="AU643" s="25">
        <v>0.30768750000000006</v>
      </c>
      <c r="AV643" s="25">
        <v>0.5014791666666667</v>
      </c>
      <c r="AW643" s="25">
        <v>-22.707291666666674</v>
      </c>
      <c r="AX643" s="25">
        <v>-15.595833333333331</v>
      </c>
      <c r="AY643" s="25">
        <v>-14.336250000000005</v>
      </c>
      <c r="AZ643" s="25"/>
      <c r="BA643" s="25">
        <v>-9.7604166666666661</v>
      </c>
      <c r="BB643" s="25"/>
      <c r="BC643" s="25"/>
      <c r="BD643" s="25">
        <v>18.802083333333332</v>
      </c>
      <c r="BE643" s="25"/>
    </row>
    <row r="644" spans="1:57" x14ac:dyDescent="0.25">
      <c r="A644" s="1">
        <v>25.4</v>
      </c>
      <c r="B644" s="1">
        <v>11.9</v>
      </c>
      <c r="C644" s="22"/>
      <c r="D644" s="23">
        <v>44351</v>
      </c>
      <c r="E644" s="24">
        <v>223.16666666666666</v>
      </c>
      <c r="F644" s="24">
        <v>71.475000000000009</v>
      </c>
      <c r="G644" s="24">
        <v>17.327083333333334</v>
      </c>
      <c r="H644" s="24">
        <v>1.9999999999999998</v>
      </c>
      <c r="I644" s="24">
        <v>250.95833333333334</v>
      </c>
      <c r="J644" s="24">
        <v>2.6875</v>
      </c>
      <c r="K644" s="24">
        <v>4.1666666666666664E-2</v>
      </c>
      <c r="L644" s="24">
        <v>11.766666666666666</v>
      </c>
      <c r="M644" s="10">
        <v>0.66777023389990686</v>
      </c>
      <c r="N644" s="25">
        <v>0.45922916666666652</v>
      </c>
      <c r="O644" s="25">
        <v>0.52849999999999964</v>
      </c>
      <c r="P644" s="25">
        <v>0.57862499999999994</v>
      </c>
      <c r="Q644" s="25">
        <v>0.59156249999999966</v>
      </c>
      <c r="R644" s="25">
        <v>0.59879166666666706</v>
      </c>
      <c r="S644" s="25">
        <v>0.49408333333333365</v>
      </c>
      <c r="T644" s="25">
        <v>0.4723958333333334</v>
      </c>
      <c r="U644" s="25">
        <v>0.40477083333333325</v>
      </c>
      <c r="V644" s="25">
        <v>-14.706041666666664</v>
      </c>
      <c r="W644" s="25">
        <v>-30.017083333333336</v>
      </c>
      <c r="X644" s="25">
        <v>-12.465000000000009</v>
      </c>
      <c r="Y644" s="25">
        <v>-12.76791666666667</v>
      </c>
      <c r="Z644" s="25">
        <v>-12.704791666666667</v>
      </c>
      <c r="AA644" s="25">
        <v>-12.911666666666667</v>
      </c>
      <c r="AB644" s="25">
        <v>-12.759375000000011</v>
      </c>
      <c r="AC644" s="25">
        <v>-13.859583333333333</v>
      </c>
      <c r="AD644" s="25">
        <v>-9.0041666666666682</v>
      </c>
      <c r="AE644" s="25">
        <v>-10.312500000000004</v>
      </c>
      <c r="AF644" s="25">
        <v>-10.243750000000002</v>
      </c>
      <c r="AG644" s="25">
        <v>-11.029166666666674</v>
      </c>
      <c r="AH644" s="25">
        <v>-11.864583333333334</v>
      </c>
      <c r="AI644" s="25">
        <v>-10.008333333333335</v>
      </c>
      <c r="AJ644" s="25">
        <v>-10</v>
      </c>
      <c r="AK644" s="25">
        <v>-10.831249999999995</v>
      </c>
      <c r="AL644" s="25">
        <v>17.827083333333334</v>
      </c>
      <c r="AM644" s="25">
        <v>17.883333333333347</v>
      </c>
      <c r="AN644" s="25">
        <v>17.666666666666668</v>
      </c>
      <c r="AO644" s="25">
        <v>17.554166666666671</v>
      </c>
      <c r="AP644" s="25">
        <v>17.502083333333331</v>
      </c>
      <c r="AQ644" s="25">
        <v>17.854166666666668</v>
      </c>
      <c r="AR644" s="25">
        <v>17.802083333333339</v>
      </c>
      <c r="AS644" s="25">
        <v>17.762500000000003</v>
      </c>
      <c r="AT644" s="25">
        <v>0.44374999999999998</v>
      </c>
      <c r="AU644" s="25">
        <v>0.29051111111111105</v>
      </c>
      <c r="AV644" s="25">
        <v>0.48035416666666664</v>
      </c>
      <c r="AW644" s="25">
        <v>-23.314791666666665</v>
      </c>
      <c r="AX644" s="25">
        <v>-15.58416666666667</v>
      </c>
      <c r="AY644" s="25">
        <v>-14.657647058823532</v>
      </c>
      <c r="AZ644" s="25"/>
      <c r="BA644" s="25">
        <v>-9.7520833333333261</v>
      </c>
      <c r="BB644" s="25"/>
      <c r="BC644" s="25"/>
      <c r="BD644" s="25">
        <v>17.745833333333334</v>
      </c>
      <c r="BE644" s="25"/>
    </row>
    <row r="645" spans="1:57" x14ac:dyDescent="0.25">
      <c r="A645" s="1">
        <v>30</v>
      </c>
      <c r="B645" s="1">
        <v>12.9</v>
      </c>
      <c r="C645" s="22"/>
      <c r="D645" s="23">
        <v>44352</v>
      </c>
      <c r="E645" s="24">
        <v>272</v>
      </c>
      <c r="F645" s="24">
        <v>65.266666666666666</v>
      </c>
      <c r="G645" s="24">
        <v>20.96875</v>
      </c>
      <c r="H645" s="24">
        <v>0</v>
      </c>
      <c r="I645" s="24">
        <v>233.14583333333334</v>
      </c>
      <c r="J645" s="24">
        <v>1.25</v>
      </c>
      <c r="K645" s="24">
        <v>0</v>
      </c>
      <c r="L645" s="24">
        <v>13.647916666666669</v>
      </c>
      <c r="M645" s="10">
        <v>1.038758515438118</v>
      </c>
      <c r="N645" s="25">
        <v>0.43602083333333325</v>
      </c>
      <c r="O645" s="25">
        <v>0.51312500000000028</v>
      </c>
      <c r="P645" s="25">
        <v>0.56702083333333342</v>
      </c>
      <c r="Q645" s="25">
        <v>0.58202083333333299</v>
      </c>
      <c r="R645" s="25">
        <v>0.58814583333333303</v>
      </c>
      <c r="S645" s="25">
        <v>0.4791458333333331</v>
      </c>
      <c r="T645" s="25">
        <v>0.4648958333333329</v>
      </c>
      <c r="U645" s="25">
        <v>0.39870833333333344</v>
      </c>
      <c r="V645" s="25">
        <v>-14.755625000000002</v>
      </c>
      <c r="W645" s="25">
        <v>-34.711041666666667</v>
      </c>
      <c r="X645" s="25">
        <v>-12.65791666666667</v>
      </c>
      <c r="Y645" s="25">
        <v>-12.982291666666661</v>
      </c>
      <c r="Z645" s="25">
        <v>-12.972499999999998</v>
      </c>
      <c r="AA645" s="25">
        <v>-13.27125</v>
      </c>
      <c r="AB645" s="25">
        <v>-13.087916666666663</v>
      </c>
      <c r="AC645" s="25">
        <v>-14.147500000000001</v>
      </c>
      <c r="AD645" s="25">
        <v>-9.0458333333333432</v>
      </c>
      <c r="AE645" s="25">
        <v>-10.427083333333332</v>
      </c>
      <c r="AF645" s="25">
        <v>-10.300000000000008</v>
      </c>
      <c r="AG645" s="25">
        <v>-11.187499999999998</v>
      </c>
      <c r="AH645" s="25">
        <v>-12.108333333333333</v>
      </c>
      <c r="AI645" s="25">
        <v>-10.170833333333329</v>
      </c>
      <c r="AJ645" s="25">
        <v>-10.041666666666677</v>
      </c>
      <c r="AK645" s="25">
        <v>-11.156250000000007</v>
      </c>
      <c r="AL645" s="25">
        <v>17.943749999999998</v>
      </c>
      <c r="AM645" s="25">
        <v>17.702083333333338</v>
      </c>
      <c r="AN645" s="25">
        <v>17.466666666666658</v>
      </c>
      <c r="AO645" s="25">
        <v>17.399999999999988</v>
      </c>
      <c r="AP645" s="25">
        <v>17.947916666666664</v>
      </c>
      <c r="AQ645" s="25">
        <v>17.802083333333339</v>
      </c>
      <c r="AR645" s="25">
        <v>17.602083333333344</v>
      </c>
      <c r="AS645" s="25">
        <v>17.531249999999996</v>
      </c>
      <c r="AT645" s="25">
        <v>0.42617142857142859</v>
      </c>
      <c r="AU645" s="25">
        <v>0.26634782608695656</v>
      </c>
      <c r="AV645" s="25">
        <v>0.4499583333333334</v>
      </c>
      <c r="AW645" s="25">
        <v>-23.477708333333339</v>
      </c>
      <c r="AX645" s="25">
        <v>-15.50625</v>
      </c>
      <c r="AY645" s="25">
        <v>-15.437142857142859</v>
      </c>
      <c r="AZ645" s="25"/>
      <c r="BA645" s="25">
        <v>-9.9250000000000078</v>
      </c>
      <c r="BB645" s="25"/>
      <c r="BC645" s="25"/>
      <c r="BD645" s="25">
        <v>18.268749999999997</v>
      </c>
      <c r="BE645" s="25"/>
    </row>
    <row r="646" spans="1:57" x14ac:dyDescent="0.25">
      <c r="A646" s="1">
        <v>30.3</v>
      </c>
      <c r="B646" s="1">
        <v>14.2</v>
      </c>
      <c r="C646" s="22"/>
      <c r="D646" s="23">
        <v>44353</v>
      </c>
      <c r="E646" s="24">
        <v>284.9375</v>
      </c>
      <c r="F646" s="24">
        <v>57.722916666666663</v>
      </c>
      <c r="G646" s="24">
        <v>22.370833333333337</v>
      </c>
      <c r="H646" s="24">
        <v>0</v>
      </c>
      <c r="I646" s="24">
        <v>222.375</v>
      </c>
      <c r="J646" s="24">
        <v>4.354166666666667</v>
      </c>
      <c r="K646" s="24">
        <v>0.41666666666666669</v>
      </c>
      <c r="L646" s="24">
        <v>12.360416666666667</v>
      </c>
      <c r="M646" s="10">
        <v>1.3816618538163958</v>
      </c>
      <c r="N646" s="25">
        <v>0.41360416666666661</v>
      </c>
      <c r="O646" s="25">
        <v>0.50235416666666655</v>
      </c>
      <c r="P646" s="25">
        <v>0.55622916666666677</v>
      </c>
      <c r="Q646" s="25">
        <v>0.57408333333333317</v>
      </c>
      <c r="R646" s="25">
        <v>0.57845833333333319</v>
      </c>
      <c r="S646" s="25">
        <v>0.46774999999999994</v>
      </c>
      <c r="T646" s="25">
        <v>0.45775000000000038</v>
      </c>
      <c r="U646" s="25">
        <v>0.3928541666666665</v>
      </c>
      <c r="V646" s="25">
        <v>-15.554999999999998</v>
      </c>
      <c r="W646" s="25">
        <v>-48.800833333333337</v>
      </c>
      <c r="X646" s="25">
        <v>-13.10125</v>
      </c>
      <c r="Y646" s="25">
        <v>-13.443125000000002</v>
      </c>
      <c r="Z646" s="25">
        <v>-14.097500000000004</v>
      </c>
      <c r="AA646" s="25">
        <v>-14.297708333333333</v>
      </c>
      <c r="AB646" s="25">
        <v>-13.927083333333336</v>
      </c>
      <c r="AC646" s="25">
        <v>-14.663750000000002</v>
      </c>
      <c r="AD646" s="25">
        <v>-9.3541666666666625</v>
      </c>
      <c r="AE646" s="25">
        <v>-10.564583333333333</v>
      </c>
      <c r="AF646" s="25">
        <v>-10.337499999999995</v>
      </c>
      <c r="AG646" s="25">
        <v>-11.356249999999996</v>
      </c>
      <c r="AH646" s="25">
        <v>-13.152083333333332</v>
      </c>
      <c r="AI646" s="25">
        <v>-10.991666666666665</v>
      </c>
      <c r="AJ646" s="25">
        <v>-10.214583333333325</v>
      </c>
      <c r="AK646" s="25">
        <v>-12.516666666666667</v>
      </c>
      <c r="AL646" s="25">
        <v>18.345833333333328</v>
      </c>
      <c r="AM646" s="25">
        <v>17.879166666666659</v>
      </c>
      <c r="AN646" s="25">
        <v>17.502083333333335</v>
      </c>
      <c r="AO646" s="25">
        <v>17.399999999999988</v>
      </c>
      <c r="AP646" s="25">
        <v>18.483333333333331</v>
      </c>
      <c r="AQ646" s="25">
        <v>18.112499999999994</v>
      </c>
      <c r="AR646" s="25">
        <v>17.789583333333336</v>
      </c>
      <c r="AS646" s="25">
        <v>17.64166666666668</v>
      </c>
      <c r="AT646" s="25">
        <v>0.40740476190476194</v>
      </c>
      <c r="AU646" s="25">
        <v>0.24445454545454545</v>
      </c>
      <c r="AV646" s="25">
        <v>0.41877083333333348</v>
      </c>
      <c r="AW646" s="25">
        <v>-24.588541666666671</v>
      </c>
      <c r="AX646" s="25">
        <v>-16.495000000000001</v>
      </c>
      <c r="AY646" s="25">
        <v>-15.913958333333335</v>
      </c>
      <c r="AZ646" s="25"/>
      <c r="BA646" s="25">
        <v>-11.645833333333334</v>
      </c>
      <c r="BB646" s="25"/>
      <c r="BC646" s="25"/>
      <c r="BD646" s="25">
        <v>18.779166666666672</v>
      </c>
      <c r="BE646" s="25"/>
    </row>
    <row r="647" spans="1:57" x14ac:dyDescent="0.25">
      <c r="A647" s="1">
        <v>29.2</v>
      </c>
      <c r="B647" s="1">
        <v>17.5</v>
      </c>
      <c r="C647" s="22"/>
      <c r="D647" s="23">
        <v>44354</v>
      </c>
      <c r="E647" s="24">
        <v>216.54166666666666</v>
      </c>
      <c r="F647" s="24">
        <v>59.039583333333333</v>
      </c>
      <c r="G647" s="24">
        <v>22.839583333333337</v>
      </c>
      <c r="H647" s="24">
        <v>0</v>
      </c>
      <c r="I647" s="24">
        <v>185.5625</v>
      </c>
      <c r="J647" s="24">
        <v>3.0833333333333335</v>
      </c>
      <c r="K647" s="24">
        <v>6.25E-2</v>
      </c>
      <c r="L647" s="24">
        <v>14.189583333333333</v>
      </c>
      <c r="M647" s="10">
        <v>1.1956994489193311</v>
      </c>
      <c r="N647" s="25">
        <v>0.38487500000000002</v>
      </c>
      <c r="O647" s="25">
        <v>0.48941666666666678</v>
      </c>
      <c r="P647" s="25">
        <v>0.54183333333333306</v>
      </c>
      <c r="Q647" s="25">
        <v>0.56370833333333292</v>
      </c>
      <c r="R647" s="25">
        <v>0.56460416666666668</v>
      </c>
      <c r="S647" s="25">
        <v>0.45258333333333312</v>
      </c>
      <c r="T647" s="25">
        <v>0.44800000000000001</v>
      </c>
      <c r="U647" s="25">
        <v>0.3859375000000001</v>
      </c>
      <c r="V647" s="25">
        <v>-19.627083333333335</v>
      </c>
      <c r="W647" s="25">
        <v>-67.951666666666668</v>
      </c>
      <c r="X647" s="25">
        <v>-14.922708333333333</v>
      </c>
      <c r="Y647" s="25">
        <v>-15.046041666666666</v>
      </c>
      <c r="Z647" s="25">
        <v>-17.577708333333323</v>
      </c>
      <c r="AA647" s="25">
        <v>-16.780416666666667</v>
      </c>
      <c r="AB647" s="25">
        <v>-16.355</v>
      </c>
      <c r="AC647" s="25">
        <v>-16.446458333333336</v>
      </c>
      <c r="AD647" s="25">
        <v>-11.35</v>
      </c>
      <c r="AE647" s="25">
        <v>-11.004166666666665</v>
      </c>
      <c r="AF647" s="25">
        <v>-10.549999999999997</v>
      </c>
      <c r="AG647" s="25">
        <v>-11.629166666666668</v>
      </c>
      <c r="AH647" s="25">
        <v>-18.104166666666664</v>
      </c>
      <c r="AI647" s="25">
        <v>-14.039583333333333</v>
      </c>
      <c r="AJ647" s="25">
        <v>-11.018749999999999</v>
      </c>
      <c r="AK647" s="25">
        <v>-18.935416666666665</v>
      </c>
      <c r="AL647" s="25">
        <v>18.679166666666671</v>
      </c>
      <c r="AM647" s="25">
        <v>18.095833333333342</v>
      </c>
      <c r="AN647" s="25">
        <v>17.625000000000018</v>
      </c>
      <c r="AO647" s="25">
        <v>17.472916666666666</v>
      </c>
      <c r="AP647" s="25">
        <v>18.954166666666669</v>
      </c>
      <c r="AQ647" s="25">
        <v>18.412500000000005</v>
      </c>
      <c r="AR647" s="25">
        <v>18.033333333333342</v>
      </c>
      <c r="AS647" s="25">
        <v>17.824999999999992</v>
      </c>
      <c r="AT647" s="25">
        <v>0.38439130434782615</v>
      </c>
      <c r="AU647" s="25">
        <v>0.20880000000000001</v>
      </c>
      <c r="AV647" s="25">
        <v>0.38020833333333348</v>
      </c>
      <c r="AW647" s="25">
        <v>-38.206250000000011</v>
      </c>
      <c r="AX647" s="25">
        <v>-26.607083333333335</v>
      </c>
      <c r="AY647" s="25">
        <v>-18.573333333333334</v>
      </c>
      <c r="AZ647" s="25"/>
      <c r="BA647" s="25">
        <v>-24.922916666666666</v>
      </c>
      <c r="BB647" s="25"/>
      <c r="BC647" s="25"/>
      <c r="BD647" s="25">
        <v>19.052083333333336</v>
      </c>
      <c r="BE647" s="25"/>
    </row>
    <row r="648" spans="1:57" x14ac:dyDescent="0.25">
      <c r="A648" s="1">
        <v>28.1</v>
      </c>
      <c r="B648" s="1">
        <v>17.100000000000001</v>
      </c>
      <c r="C648" s="22"/>
      <c r="D648" s="23">
        <v>44355</v>
      </c>
      <c r="E648" s="24">
        <v>136.89583333333334</v>
      </c>
      <c r="F648" s="24">
        <v>72.981249999999989</v>
      </c>
      <c r="G648" s="24">
        <v>21.633333333333336</v>
      </c>
      <c r="H648" s="24">
        <v>0</v>
      </c>
      <c r="I648" s="24">
        <v>173.58333333333334</v>
      </c>
      <c r="J648" s="24">
        <v>0.9375</v>
      </c>
      <c r="K648" s="24">
        <v>0</v>
      </c>
      <c r="L648" s="24">
        <v>16.474999999999998</v>
      </c>
      <c r="M648" s="10">
        <v>0.74172386617412212</v>
      </c>
      <c r="N648" s="25">
        <v>0.35949999999999999</v>
      </c>
      <c r="O648" s="25">
        <v>0.4766875000000001</v>
      </c>
      <c r="P648" s="25">
        <v>0.52977083333333341</v>
      </c>
      <c r="Q648" s="25">
        <v>0.55293750000000041</v>
      </c>
      <c r="R648" s="25">
        <v>0.55216666666666692</v>
      </c>
      <c r="S648" s="25">
        <v>0.43964583333333357</v>
      </c>
      <c r="T648" s="25">
        <v>0.43939583333333315</v>
      </c>
      <c r="U648" s="25">
        <v>0.37933333333333352</v>
      </c>
      <c r="V648" s="25">
        <v>-24.852916666666673</v>
      </c>
      <c r="W648" s="25">
        <v>-88.980625000000018</v>
      </c>
      <c r="X648" s="25">
        <v>-18.610624999999999</v>
      </c>
      <c r="Y648" s="25">
        <v>-18.764583333333331</v>
      </c>
      <c r="Z648" s="25">
        <v>-23.394374999999993</v>
      </c>
      <c r="AA648" s="25">
        <v>-20.411458333333332</v>
      </c>
      <c r="AB648" s="25">
        <v>-20.09416666666667</v>
      </c>
      <c r="AC648" s="25">
        <v>-21.35583333333334</v>
      </c>
      <c r="AD648" s="25">
        <v>-18.710416666666667</v>
      </c>
      <c r="AE648" s="25">
        <v>-12.722916666666668</v>
      </c>
      <c r="AF648" s="25">
        <v>-11.943750000000001</v>
      </c>
      <c r="AG648" s="25">
        <v>-12.010416666666666</v>
      </c>
      <c r="AH648" s="25">
        <v>-32.354166666666664</v>
      </c>
      <c r="AI648" s="25">
        <v>-24.879166666666674</v>
      </c>
      <c r="AJ648" s="25">
        <v>-14.041666666666666</v>
      </c>
      <c r="AK648" s="25">
        <v>-30.658333333333335</v>
      </c>
      <c r="AL648" s="25">
        <v>18.835416666666667</v>
      </c>
      <c r="AM648" s="25">
        <v>18.281249999999989</v>
      </c>
      <c r="AN648" s="25">
        <v>17.787499999999987</v>
      </c>
      <c r="AO648" s="25">
        <v>17.583333333333346</v>
      </c>
      <c r="AP648" s="25">
        <v>19.089583333333326</v>
      </c>
      <c r="AQ648" s="25">
        <v>18.629166666666674</v>
      </c>
      <c r="AR648" s="25">
        <v>18.216666666666665</v>
      </c>
      <c r="AS648" s="25">
        <v>18.014583333333338</v>
      </c>
      <c r="AT648" s="25">
        <v>0.36748648648648657</v>
      </c>
      <c r="AU648" s="25">
        <v>0.18277272727272728</v>
      </c>
      <c r="AV648" s="25">
        <v>0.34131250000000007</v>
      </c>
      <c r="AW648" s="25">
        <v>-65.362499999999997</v>
      </c>
      <c r="AX648" s="25">
        <v>-44.704583333333339</v>
      </c>
      <c r="AY648" s="25">
        <v>-22.141458333333329</v>
      </c>
      <c r="AZ648" s="25"/>
      <c r="BA648" s="25">
        <v>-48.391666666666659</v>
      </c>
      <c r="BB648" s="25"/>
      <c r="BC648" s="25"/>
      <c r="BD648" s="25">
        <v>18.983333333333338</v>
      </c>
      <c r="BE648" s="25"/>
    </row>
    <row r="649" spans="1:57" x14ac:dyDescent="0.25">
      <c r="A649" s="1">
        <v>27.3</v>
      </c>
      <c r="B649" s="1">
        <v>17.399999999999999</v>
      </c>
      <c r="C649" s="22"/>
      <c r="D649" s="23">
        <v>44356</v>
      </c>
      <c r="E649" s="24">
        <v>168.1875</v>
      </c>
      <c r="F649" s="24">
        <v>75.291666666666686</v>
      </c>
      <c r="G649" s="24">
        <v>22.335416666666664</v>
      </c>
      <c r="H649" s="24">
        <v>1.5</v>
      </c>
      <c r="I649" s="24">
        <v>236.25</v>
      </c>
      <c r="J649" s="24">
        <v>4.416666666666667</v>
      </c>
      <c r="K649" s="24">
        <v>0.20833333333333334</v>
      </c>
      <c r="L649" s="24">
        <v>17.604166666666664</v>
      </c>
      <c r="M649" s="10">
        <v>0.71862134338326633</v>
      </c>
      <c r="N649" s="25">
        <v>0.33918749999999998</v>
      </c>
      <c r="O649" s="25">
        <v>0.46358333333333318</v>
      </c>
      <c r="P649" s="25">
        <v>0.51810416666666714</v>
      </c>
      <c r="Q649" s="25">
        <v>0.54166666666666641</v>
      </c>
      <c r="R649" s="25">
        <v>0.54058333333333308</v>
      </c>
      <c r="S649" s="25">
        <v>0.42785416666666681</v>
      </c>
      <c r="T649" s="25">
        <v>0.43125000000000008</v>
      </c>
      <c r="U649" s="25">
        <v>0.37262499999999982</v>
      </c>
      <c r="V649" s="25">
        <v>-31.385000000000002</v>
      </c>
      <c r="W649" s="25">
        <v>-29.681041666666669</v>
      </c>
      <c r="X649" s="25">
        <v>-22.792708333333334</v>
      </c>
      <c r="Y649" s="25">
        <v>-23.21541666666667</v>
      </c>
      <c r="Z649" s="25">
        <v>-30.172499999999996</v>
      </c>
      <c r="AA649" s="25">
        <v>-23.815208333333334</v>
      </c>
      <c r="AB649" s="25">
        <v>-23.788333333333338</v>
      </c>
      <c r="AC649" s="25">
        <v>-29.280208333333338</v>
      </c>
      <c r="AD649" s="25">
        <v>-29.668750000000017</v>
      </c>
      <c r="AE649" s="25">
        <v>-17.847916666666666</v>
      </c>
      <c r="AF649" s="25">
        <v>-16.868750000000002</v>
      </c>
      <c r="AG649" s="25">
        <v>-13.766666666666664</v>
      </c>
      <c r="AH649" s="25">
        <v>-57.78333333333331</v>
      </c>
      <c r="AI649" s="25">
        <v>-46.172916666666673</v>
      </c>
      <c r="AJ649" s="25">
        <v>-21.554166666666664</v>
      </c>
      <c r="AK649" s="25">
        <v>-13.033333333333324</v>
      </c>
      <c r="AL649" s="25">
        <v>18.997916666666665</v>
      </c>
      <c r="AM649" s="25">
        <v>18.383333333333326</v>
      </c>
      <c r="AN649" s="25">
        <v>17.893749999999986</v>
      </c>
      <c r="AO649" s="25">
        <v>17.697916666666682</v>
      </c>
      <c r="AP649" s="25">
        <v>19.433333333333334</v>
      </c>
      <c r="AQ649" s="25">
        <v>18.793749999999999</v>
      </c>
      <c r="AR649" s="25">
        <v>18.339583333333326</v>
      </c>
      <c r="AS649" s="25">
        <v>18.125000000000018</v>
      </c>
      <c r="AT649" s="25">
        <v>0.35431428571428564</v>
      </c>
      <c r="AU649" s="25">
        <v>0.17387234042553196</v>
      </c>
      <c r="AV649" s="25">
        <v>0.30879166666666652</v>
      </c>
      <c r="AW649" s="25">
        <v>-114.45</v>
      </c>
      <c r="AX649" s="25">
        <v>-58.395416666666669</v>
      </c>
      <c r="AY649" s="25">
        <v>-27.238749999999996</v>
      </c>
      <c r="AZ649" s="25"/>
      <c r="BA649" s="25">
        <v>-104.86874999999999</v>
      </c>
      <c r="BB649" s="25"/>
      <c r="BC649" s="25"/>
      <c r="BD649" s="25">
        <v>19.53125</v>
      </c>
      <c r="BE649" s="25"/>
    </row>
    <row r="650" spans="1:57" x14ac:dyDescent="0.25">
      <c r="A650" s="1">
        <v>20.6</v>
      </c>
      <c r="B650" s="1">
        <v>15.7</v>
      </c>
      <c r="C650" s="22"/>
      <c r="D650" s="23">
        <v>44357</v>
      </c>
      <c r="E650" s="24">
        <v>86.6875</v>
      </c>
      <c r="F650" s="24">
        <v>91.220833333333346</v>
      </c>
      <c r="G650" s="24">
        <v>18.016666666666669</v>
      </c>
      <c r="H650" s="24">
        <v>72.100000000000037</v>
      </c>
      <c r="I650" s="24">
        <v>195.33333333333334</v>
      </c>
      <c r="J650" s="24">
        <v>1.8541666666666667</v>
      </c>
      <c r="K650" s="24">
        <v>0</v>
      </c>
      <c r="L650" s="24">
        <v>16.516666666666666</v>
      </c>
      <c r="M650" s="10">
        <v>0.19357746043740384</v>
      </c>
      <c r="N650" s="25">
        <v>0.48272916666666671</v>
      </c>
      <c r="O650" s="25">
        <v>0.54308333333333336</v>
      </c>
      <c r="P650" s="25">
        <v>0.58514583333333314</v>
      </c>
      <c r="Q650" s="25">
        <v>0.61329166666666668</v>
      </c>
      <c r="R650" s="25">
        <v>0.60841666666666694</v>
      </c>
      <c r="S650" s="25">
        <v>0.53464583333333349</v>
      </c>
      <c r="T650" s="25">
        <v>0.4826666666666668</v>
      </c>
      <c r="U650" s="25">
        <v>0.42722916666666677</v>
      </c>
      <c r="V650" s="25">
        <v>-15.838125</v>
      </c>
      <c r="W650" s="25">
        <v>-25.368750000000002</v>
      </c>
      <c r="X650" s="25">
        <v>-13.072499999999991</v>
      </c>
      <c r="Y650" s="25">
        <v>-13.575000000000003</v>
      </c>
      <c r="Z650" s="25">
        <v>-13.986041666666658</v>
      </c>
      <c r="AA650" s="25">
        <v>-13.141041666666661</v>
      </c>
      <c r="AB650" s="25">
        <v>-13.379583333333336</v>
      </c>
      <c r="AC650" s="25">
        <v>-15.575416666666662</v>
      </c>
      <c r="AD650" s="25">
        <v>-11.0875</v>
      </c>
      <c r="AE650" s="25">
        <v>-11.59583333333334</v>
      </c>
      <c r="AF650" s="25">
        <v>-11.927083333333334</v>
      </c>
      <c r="AG650" s="25">
        <v>-12.397916666666669</v>
      </c>
      <c r="AH650" s="25">
        <v>-15.583333333333334</v>
      </c>
      <c r="AI650" s="25">
        <v>-12.758333333333326</v>
      </c>
      <c r="AJ650" s="25">
        <v>-11.597916666666677</v>
      </c>
      <c r="AK650" s="25">
        <v>-11.245833333333339</v>
      </c>
      <c r="AL650" s="25">
        <v>18.754166666666677</v>
      </c>
      <c r="AM650" s="25">
        <v>18.516666666666655</v>
      </c>
      <c r="AN650" s="25">
        <v>18.152083333333341</v>
      </c>
      <c r="AO650" s="25">
        <v>17.966666666666669</v>
      </c>
      <c r="AP650" s="25">
        <v>18.747916666666672</v>
      </c>
      <c r="AQ650" s="25">
        <v>18.754166666666666</v>
      </c>
      <c r="AR650" s="25">
        <v>18.499999999999982</v>
      </c>
      <c r="AS650" s="25">
        <v>18.331250000000015</v>
      </c>
      <c r="AT650" s="25">
        <v>0.50934615384615378</v>
      </c>
      <c r="AU650" s="25">
        <v>0.43395833333333339</v>
      </c>
      <c r="AV650" s="25">
        <v>0.49641666666666667</v>
      </c>
      <c r="AW650" s="25">
        <v>-34.984583333333326</v>
      </c>
      <c r="AX650" s="25">
        <v>-19.800833333333333</v>
      </c>
      <c r="AY650" s="25">
        <v>-15.657500000000004</v>
      </c>
      <c r="AZ650" s="25"/>
      <c r="BA650" s="25">
        <v>-18.129166666666681</v>
      </c>
      <c r="BB650" s="25"/>
      <c r="BC650" s="25"/>
      <c r="BD650" s="25">
        <v>18.891666666666676</v>
      </c>
      <c r="BE650" s="25"/>
    </row>
    <row r="651" spans="1:57" x14ac:dyDescent="0.25">
      <c r="A651" s="1">
        <v>20.9</v>
      </c>
      <c r="B651" s="1">
        <v>16.100000000000001</v>
      </c>
      <c r="C651" s="22"/>
      <c r="D651" s="23">
        <v>44358</v>
      </c>
      <c r="E651" s="24">
        <v>61.979166666666664</v>
      </c>
      <c r="F651" s="24">
        <v>95.610416666666666</v>
      </c>
      <c r="G651" s="24">
        <v>18.162500000000001</v>
      </c>
      <c r="H651" s="24">
        <v>15.100000000000001</v>
      </c>
      <c r="I651" s="24">
        <v>114.875</v>
      </c>
      <c r="J651" s="24">
        <v>0.52083333333333337</v>
      </c>
      <c r="K651" s="24">
        <v>0</v>
      </c>
      <c r="L651" s="24">
        <v>17.445833333333336</v>
      </c>
      <c r="M651" s="10">
        <v>9.4290891371694496E-2</v>
      </c>
      <c r="N651" s="25">
        <v>0.48477083333333315</v>
      </c>
      <c r="O651" s="25">
        <v>0.54568749999999977</v>
      </c>
      <c r="P651" s="25">
        <v>0.58722916666666658</v>
      </c>
      <c r="Q651" s="25">
        <v>0.60749999999999971</v>
      </c>
      <c r="R651" s="25">
        <v>0.60933333333333306</v>
      </c>
      <c r="S651" s="25">
        <v>0.51752083333333321</v>
      </c>
      <c r="T651" s="25">
        <v>0.4805625</v>
      </c>
      <c r="U651" s="25">
        <v>0.41835416666666658</v>
      </c>
      <c r="V651" s="25">
        <v>-15.01291666666666</v>
      </c>
      <c r="W651" s="25">
        <v>-25.539791666666673</v>
      </c>
      <c r="X651" s="25">
        <v>-12.312500000000002</v>
      </c>
      <c r="Y651" s="25">
        <v>-12.586041666666668</v>
      </c>
      <c r="Z651" s="25">
        <v>-12.612708333333337</v>
      </c>
      <c r="AA651" s="25">
        <v>-12.41541666666666</v>
      </c>
      <c r="AB651" s="25">
        <v>-12.498958333333334</v>
      </c>
      <c r="AC651" s="25">
        <v>-13.616666666666665</v>
      </c>
      <c r="AD651" s="25">
        <v>-9.8979166666666725</v>
      </c>
      <c r="AE651" s="25">
        <v>-10.952083333333325</v>
      </c>
      <c r="AF651" s="25">
        <v>-11.014583333333325</v>
      </c>
      <c r="AG651" s="25">
        <v>-11.887499999999996</v>
      </c>
      <c r="AH651" s="25">
        <v>-12.437499999999988</v>
      </c>
      <c r="AI651" s="25">
        <v>-10.34583333333334</v>
      </c>
      <c r="AJ651" s="25">
        <v>-10.497916666666656</v>
      </c>
      <c r="AK651" s="25">
        <v>-11.110416666666666</v>
      </c>
      <c r="AL651" s="25">
        <v>18.514583333333338</v>
      </c>
      <c r="AM651" s="25">
        <v>18.295833333333338</v>
      </c>
      <c r="AN651" s="25">
        <v>18.027083333333334</v>
      </c>
      <c r="AO651" s="25">
        <v>17.899999999999988</v>
      </c>
      <c r="AP651" s="25">
        <v>18.524999999999995</v>
      </c>
      <c r="AQ651" s="25">
        <v>18.424999999999994</v>
      </c>
      <c r="AR651" s="25">
        <v>18.208333333333346</v>
      </c>
      <c r="AS651" s="25">
        <v>18.127083333333349</v>
      </c>
      <c r="AT651" s="25">
        <v>0.46642857142857141</v>
      </c>
      <c r="AU651" s="25">
        <v>0.33518750000000003</v>
      </c>
      <c r="AV651" s="25">
        <v>0.49687500000000001</v>
      </c>
      <c r="AW651" s="25">
        <v>-23.468541666666667</v>
      </c>
      <c r="AX651" s="25">
        <v>-16.192708333333339</v>
      </c>
      <c r="AY651" s="25">
        <v>-14.501458333333332</v>
      </c>
      <c r="AZ651" s="25"/>
      <c r="BA651" s="25">
        <v>-10.506249999999993</v>
      </c>
      <c r="BB651" s="25"/>
      <c r="BC651" s="25"/>
      <c r="BD651" s="25">
        <v>18.606249999999996</v>
      </c>
      <c r="BE651" s="25"/>
    </row>
    <row r="652" spans="1:57" x14ac:dyDescent="0.25">
      <c r="A652" s="1">
        <v>27.8</v>
      </c>
      <c r="B652" s="1">
        <v>18.399999999999999</v>
      </c>
      <c r="C652" s="22"/>
      <c r="D652" s="23">
        <v>44359</v>
      </c>
      <c r="E652" s="24">
        <v>185.60416666666666</v>
      </c>
      <c r="F652" s="24">
        <v>85.843750000000014</v>
      </c>
      <c r="G652" s="24">
        <v>22.022916666666664</v>
      </c>
      <c r="H652" s="24">
        <v>3.4000000000000004</v>
      </c>
      <c r="I652" s="24">
        <v>235.89583333333334</v>
      </c>
      <c r="J652" s="24">
        <v>3.7916666666666665</v>
      </c>
      <c r="K652" s="24">
        <v>4.1666666666666664E-2</v>
      </c>
      <c r="L652" s="24">
        <v>19.366666666666667</v>
      </c>
      <c r="M652" s="10">
        <v>0.44088145086975522</v>
      </c>
      <c r="N652" s="25">
        <v>0.48108333333333331</v>
      </c>
      <c r="O652" s="25">
        <v>0.54418750000000005</v>
      </c>
      <c r="P652" s="25">
        <v>0.58685416666666612</v>
      </c>
      <c r="Q652" s="25">
        <v>0.60162500000000008</v>
      </c>
      <c r="R652" s="25">
        <v>0.61041666666666672</v>
      </c>
      <c r="S652" s="25">
        <v>0.51304166666666706</v>
      </c>
      <c r="T652" s="25">
        <v>0.47939583333333319</v>
      </c>
      <c r="U652" s="25">
        <v>0.41383333333333311</v>
      </c>
      <c r="V652" s="25">
        <v>-14.857916666666666</v>
      </c>
      <c r="W652" s="25">
        <v>-27.03916666666667</v>
      </c>
      <c r="X652" s="25">
        <v>-12.29854166666666</v>
      </c>
      <c r="Y652" s="25">
        <v>-12.689375000000005</v>
      </c>
      <c r="Z652" s="25">
        <v>-12.548333333333325</v>
      </c>
      <c r="AA652" s="25">
        <v>-12.423125000000004</v>
      </c>
      <c r="AB652" s="25">
        <v>-12.510416666666664</v>
      </c>
      <c r="AC652" s="25">
        <v>-13.575000000000003</v>
      </c>
      <c r="AD652" s="25">
        <v>-9.7708333333333339</v>
      </c>
      <c r="AE652" s="25">
        <v>-10.810416666666674</v>
      </c>
      <c r="AF652" s="25">
        <v>-10.889583333333327</v>
      </c>
      <c r="AG652" s="25">
        <v>-11.704166666666664</v>
      </c>
      <c r="AH652" s="25">
        <v>-12.347916666666665</v>
      </c>
      <c r="AI652" s="25">
        <v>-10.291666666666673</v>
      </c>
      <c r="AJ652" s="25">
        <v>-10.39999999999999</v>
      </c>
      <c r="AK652" s="25">
        <v>-11.302083333333336</v>
      </c>
      <c r="AL652" s="25">
        <v>18.960416666666671</v>
      </c>
      <c r="AM652" s="25">
        <v>18.368750000000002</v>
      </c>
      <c r="AN652" s="25">
        <v>18.004166666666666</v>
      </c>
      <c r="AO652" s="25">
        <v>17.899999999999988</v>
      </c>
      <c r="AP652" s="25">
        <v>19.418749999999999</v>
      </c>
      <c r="AQ652" s="25">
        <v>18.756250000000012</v>
      </c>
      <c r="AR652" s="25">
        <v>18.356249999999999</v>
      </c>
      <c r="AS652" s="25">
        <v>18.172916666666673</v>
      </c>
      <c r="AT652" s="25">
        <v>0.46329999999999999</v>
      </c>
      <c r="AU652" s="25">
        <v>0.31172916666666667</v>
      </c>
      <c r="AV652" s="25">
        <v>0.49312500000000009</v>
      </c>
      <c r="AW652" s="25">
        <v>-22.705208333333335</v>
      </c>
      <c r="AX652" s="25">
        <v>-15.921041666666673</v>
      </c>
      <c r="AY652" s="25">
        <v>-14.364772727272724</v>
      </c>
      <c r="AZ652" s="25"/>
      <c r="BA652" s="25">
        <v>-10.372916666666661</v>
      </c>
      <c r="BB652" s="25"/>
      <c r="BC652" s="25"/>
      <c r="BD652" s="25">
        <v>19.877083333333328</v>
      </c>
      <c r="BE652" s="25"/>
    </row>
    <row r="653" spans="1:57" x14ac:dyDescent="0.25">
      <c r="A653" s="1">
        <v>26.5</v>
      </c>
      <c r="B653" s="1">
        <v>18.899999999999999</v>
      </c>
      <c r="C653" s="22"/>
      <c r="D653" s="23">
        <v>44360</v>
      </c>
      <c r="E653" s="24">
        <v>148.04166666666666</v>
      </c>
      <c r="F653" s="24">
        <v>86.085416666666674</v>
      </c>
      <c r="G653" s="24">
        <v>21.797916666666669</v>
      </c>
      <c r="H653" s="24">
        <v>2.4</v>
      </c>
      <c r="I653" s="24">
        <v>230.9375</v>
      </c>
      <c r="J653" s="24">
        <v>7.645833333333333</v>
      </c>
      <c r="K653" s="24">
        <v>0.97916666666666663</v>
      </c>
      <c r="L653" s="24">
        <v>19.268750000000001</v>
      </c>
      <c r="M653" s="10">
        <v>0.39540905252551695</v>
      </c>
      <c r="N653" s="25">
        <v>0.46043750000000033</v>
      </c>
      <c r="O653" s="25">
        <v>0.53239583333333351</v>
      </c>
      <c r="P653" s="25">
        <v>0.58054166666666629</v>
      </c>
      <c r="Q653" s="25">
        <v>0.59283333333333321</v>
      </c>
      <c r="R653" s="25">
        <v>0.60443750000000007</v>
      </c>
      <c r="S653" s="25">
        <v>0.49929166666666686</v>
      </c>
      <c r="T653" s="25">
        <v>0.47412500000000013</v>
      </c>
      <c r="U653" s="25">
        <v>0.40616666666666662</v>
      </c>
      <c r="V653" s="25">
        <v>-14.603541666666667</v>
      </c>
      <c r="W653" s="25">
        <v>-29.543125</v>
      </c>
      <c r="X653" s="25">
        <v>-12.305208333333331</v>
      </c>
      <c r="Y653" s="25">
        <v>-12.76979166666667</v>
      </c>
      <c r="Z653" s="25">
        <v>-12.606041666666663</v>
      </c>
      <c r="AA653" s="25">
        <v>-12.528124999999996</v>
      </c>
      <c r="AB653" s="25">
        <v>-12.581250000000004</v>
      </c>
      <c r="AC653" s="25">
        <v>-13.757916666666672</v>
      </c>
      <c r="AD653" s="25">
        <v>-9.7625000000000011</v>
      </c>
      <c r="AE653" s="25">
        <v>-10.791666666666671</v>
      </c>
      <c r="AF653" s="25">
        <v>-10.899999999999991</v>
      </c>
      <c r="AG653" s="25">
        <v>-11.729166666666666</v>
      </c>
      <c r="AH653" s="25">
        <v>-12.324999999999998</v>
      </c>
      <c r="AI653" s="25">
        <v>-10.327083333333333</v>
      </c>
      <c r="AJ653" s="25">
        <v>-10.39999999999999</v>
      </c>
      <c r="AK653" s="25">
        <v>-11.345833333333326</v>
      </c>
      <c r="AL653" s="25">
        <v>19.560416666666658</v>
      </c>
      <c r="AM653" s="25">
        <v>18.754166666666649</v>
      </c>
      <c r="AN653" s="25">
        <v>18.191666666666663</v>
      </c>
      <c r="AO653" s="25">
        <v>17.97291666666667</v>
      </c>
      <c r="AP653" s="25">
        <v>20.064583333333331</v>
      </c>
      <c r="AQ653" s="25">
        <v>19.341666666666661</v>
      </c>
      <c r="AR653" s="25">
        <v>18.808333333333326</v>
      </c>
      <c r="AS653" s="25">
        <v>18.564583333333349</v>
      </c>
      <c r="AT653" s="25">
        <v>0.45082758620689656</v>
      </c>
      <c r="AU653" s="25">
        <v>0.29793749999999986</v>
      </c>
      <c r="AV653" s="25">
        <v>0.47662499999999991</v>
      </c>
      <c r="AW653" s="25">
        <v>-23.06270833333333</v>
      </c>
      <c r="AX653" s="25">
        <v>-15.593333333333332</v>
      </c>
      <c r="AY653" s="25">
        <v>-14.39617021276595</v>
      </c>
      <c r="AZ653" s="25"/>
      <c r="BA653" s="25">
        <v>-10.314583333333342</v>
      </c>
      <c r="BB653" s="25"/>
      <c r="BC653" s="25"/>
      <c r="BD653" s="25">
        <v>20.235416666666666</v>
      </c>
      <c r="BE653" s="25"/>
    </row>
    <row r="654" spans="1:57" x14ac:dyDescent="0.25">
      <c r="A654" s="1">
        <v>26.7</v>
      </c>
      <c r="B654" s="1">
        <v>19.600000000000001</v>
      </c>
      <c r="C654" s="22"/>
      <c r="D654" s="23">
        <v>44361</v>
      </c>
      <c r="E654" s="24">
        <v>201.52083333333334</v>
      </c>
      <c r="F654" s="24">
        <v>81.356250000000003</v>
      </c>
      <c r="G654" s="24">
        <v>22.608333333333338</v>
      </c>
      <c r="H654" s="24">
        <v>0</v>
      </c>
      <c r="I654" s="24">
        <v>230.5625</v>
      </c>
      <c r="J654" s="24">
        <v>14.875</v>
      </c>
      <c r="K654" s="24">
        <v>2.375</v>
      </c>
      <c r="L654" s="24">
        <v>19.162500000000005</v>
      </c>
      <c r="M654" s="10">
        <v>0.54544557398495164</v>
      </c>
      <c r="N654" s="25">
        <v>0.44258333333333333</v>
      </c>
      <c r="O654" s="25">
        <v>0.52195833333333308</v>
      </c>
      <c r="P654" s="25">
        <v>0.57352083333333337</v>
      </c>
      <c r="Q654" s="25">
        <v>0.58745833333333308</v>
      </c>
      <c r="R654" s="25">
        <v>0.59810416666666655</v>
      </c>
      <c r="S654" s="25">
        <v>0.48879166666666701</v>
      </c>
      <c r="T654" s="25">
        <v>0.46954166666666636</v>
      </c>
      <c r="U654" s="25">
        <v>0.4018750000000002</v>
      </c>
      <c r="V654" s="25">
        <v>-14.503541666666665</v>
      </c>
      <c r="W654" s="25">
        <v>-33.279791666666661</v>
      </c>
      <c r="X654" s="25">
        <v>-12.456249999999997</v>
      </c>
      <c r="Y654" s="25">
        <v>-12.894583333333335</v>
      </c>
      <c r="Z654" s="25">
        <v>-12.805624999999999</v>
      </c>
      <c r="AA654" s="25">
        <v>-12.797500000000001</v>
      </c>
      <c r="AB654" s="25">
        <v>-12.961041666666665</v>
      </c>
      <c r="AC654" s="25">
        <v>-13.984583333333328</v>
      </c>
      <c r="AD654" s="25">
        <v>-9.7562500000000014</v>
      </c>
      <c r="AE654" s="25">
        <v>-10.800000000000006</v>
      </c>
      <c r="AF654" s="25">
        <v>-10.902083333333325</v>
      </c>
      <c r="AG654" s="25">
        <v>-11.762499999999998</v>
      </c>
      <c r="AH654" s="25">
        <v>-12.441666666666675</v>
      </c>
      <c r="AI654" s="25">
        <v>-10.479166666666673</v>
      </c>
      <c r="AJ654" s="25">
        <v>-10.435416666666665</v>
      </c>
      <c r="AK654" s="25">
        <v>-11.447916666666666</v>
      </c>
      <c r="AL654" s="25">
        <v>19.814583333333342</v>
      </c>
      <c r="AM654" s="25">
        <v>19.014583333333338</v>
      </c>
      <c r="AN654" s="25">
        <v>18.38958333333332</v>
      </c>
      <c r="AO654" s="25">
        <v>18.15000000000002</v>
      </c>
      <c r="AP654" s="25">
        <v>20.210416666666678</v>
      </c>
      <c r="AQ654" s="25">
        <v>19.568749999999991</v>
      </c>
      <c r="AR654" s="25">
        <v>19.025000000000006</v>
      </c>
      <c r="AS654" s="25">
        <v>18.802083333333321</v>
      </c>
      <c r="AT654" s="25">
        <v>0.43907142857142867</v>
      </c>
      <c r="AU654" s="25">
        <v>0.2832564102564103</v>
      </c>
      <c r="AV654" s="25">
        <v>0.45514583333333336</v>
      </c>
      <c r="AW654" s="25">
        <v>-23.169999999999991</v>
      </c>
      <c r="AX654" s="25">
        <v>-15.464999999999998</v>
      </c>
      <c r="AY654" s="25">
        <v>-14.450851063829781</v>
      </c>
      <c r="AZ654" s="25"/>
      <c r="BA654" s="25">
        <v>-10.379166666666665</v>
      </c>
      <c r="BB654" s="25"/>
      <c r="BC654" s="25"/>
      <c r="BD654" s="25">
        <v>20.543749999999999</v>
      </c>
      <c r="BE654" s="25"/>
    </row>
    <row r="655" spans="1:57" x14ac:dyDescent="0.25">
      <c r="A655" s="1">
        <v>27.9</v>
      </c>
      <c r="B655" s="1">
        <v>20.3</v>
      </c>
      <c r="C655" s="22"/>
      <c r="D655" s="23">
        <v>44362</v>
      </c>
      <c r="E655" s="24">
        <v>152.6875</v>
      </c>
      <c r="F655" s="24">
        <v>82.581250000000011</v>
      </c>
      <c r="G655" s="24">
        <v>22.929166666666671</v>
      </c>
      <c r="H655" s="24">
        <v>0</v>
      </c>
      <c r="I655" s="24">
        <v>233.5</v>
      </c>
      <c r="J655" s="24">
        <v>11.979166666666666</v>
      </c>
      <c r="K655" s="24">
        <v>1.9791666666666667</v>
      </c>
      <c r="L655" s="24">
        <v>19.752083333333339</v>
      </c>
      <c r="M655" s="10">
        <v>0.51133482309620271</v>
      </c>
      <c r="N655" s="25">
        <v>0.42468749999999994</v>
      </c>
      <c r="O655" s="25">
        <v>0.512083333333333</v>
      </c>
      <c r="P655" s="25">
        <v>0.56535416666666638</v>
      </c>
      <c r="Q655" s="25">
        <v>0.58268749999999936</v>
      </c>
      <c r="R655" s="25">
        <v>0.59114583333333359</v>
      </c>
      <c r="S655" s="25">
        <v>0.48014583333333305</v>
      </c>
      <c r="T655" s="25">
        <v>0.46545833333333347</v>
      </c>
      <c r="U655" s="25">
        <v>0.39812500000000028</v>
      </c>
      <c r="V655" s="25">
        <v>-14.757916666666668</v>
      </c>
      <c r="W655" s="25">
        <v>-40.769791666666677</v>
      </c>
      <c r="X655" s="25">
        <v>-12.831875000000002</v>
      </c>
      <c r="Y655" s="25">
        <v>-13.214375000000004</v>
      </c>
      <c r="Z655" s="25">
        <v>-13.597916666666668</v>
      </c>
      <c r="AA655" s="25">
        <v>-13.582916666666668</v>
      </c>
      <c r="AB655" s="25">
        <v>-13.517916666666666</v>
      </c>
      <c r="AC655" s="25">
        <v>-14.309791666666671</v>
      </c>
      <c r="AD655" s="25">
        <v>-9.8416666666666597</v>
      </c>
      <c r="AE655" s="25">
        <v>-10.843749999999993</v>
      </c>
      <c r="AF655" s="25">
        <v>-10.899999999999991</v>
      </c>
      <c r="AG655" s="25">
        <v>-11.845833333333326</v>
      </c>
      <c r="AH655" s="25">
        <v>-13.158333333333337</v>
      </c>
      <c r="AI655" s="25">
        <v>-10.968749999999998</v>
      </c>
      <c r="AJ655" s="25">
        <v>-10.516666666666678</v>
      </c>
      <c r="AK655" s="25">
        <v>-11.825000000000003</v>
      </c>
      <c r="AL655" s="25">
        <v>20.041666666666657</v>
      </c>
      <c r="AM655" s="25">
        <v>19.216666666666669</v>
      </c>
      <c r="AN655" s="25">
        <v>18.560416666666679</v>
      </c>
      <c r="AO655" s="25">
        <v>18.293749999999989</v>
      </c>
      <c r="AP655" s="25">
        <v>20.460416666666664</v>
      </c>
      <c r="AQ655" s="25">
        <v>19.80833333333333</v>
      </c>
      <c r="AR655" s="25">
        <v>19.222916666666666</v>
      </c>
      <c r="AS655" s="25">
        <v>19.008333333333336</v>
      </c>
      <c r="AT655" s="25">
        <v>0.42408823529411754</v>
      </c>
      <c r="AU655" s="25">
        <v>0.25140000000000007</v>
      </c>
      <c r="AV655" s="25">
        <v>0.42854166666666677</v>
      </c>
      <c r="AW655" s="25">
        <v>-23.686041666666664</v>
      </c>
      <c r="AX655" s="25">
        <v>-15.660208333333335</v>
      </c>
      <c r="AY655" s="25">
        <v>-14.794375</v>
      </c>
      <c r="AZ655" s="25"/>
      <c r="BA655" s="25">
        <v>-10.600000000000003</v>
      </c>
      <c r="BB655" s="25"/>
      <c r="BC655" s="25"/>
      <c r="BD655" s="25">
        <v>20.697916666666668</v>
      </c>
      <c r="BE655" s="25"/>
    </row>
    <row r="656" spans="1:57" x14ac:dyDescent="0.25">
      <c r="A656" s="1">
        <v>29.2</v>
      </c>
      <c r="B656" s="1">
        <v>21.2</v>
      </c>
      <c r="C656" s="22"/>
      <c r="D656" s="23">
        <v>44363</v>
      </c>
      <c r="E656" s="24">
        <v>184.0625</v>
      </c>
      <c r="F656" s="24">
        <v>83.010416666666671</v>
      </c>
      <c r="G656" s="24">
        <v>24.283333333333331</v>
      </c>
      <c r="H656" s="24">
        <v>0</v>
      </c>
      <c r="I656" s="24">
        <v>232.16666666666666</v>
      </c>
      <c r="J656" s="24">
        <v>10.645833333333334</v>
      </c>
      <c r="K656" s="24">
        <v>2.0625</v>
      </c>
      <c r="L656" s="24">
        <v>21.104166666666661</v>
      </c>
      <c r="M656" s="10">
        <v>0.56403229273576028</v>
      </c>
      <c r="N656" s="25">
        <v>0.40618749999999998</v>
      </c>
      <c r="O656" s="25">
        <v>0.5039166666666669</v>
      </c>
      <c r="P656" s="25">
        <v>0.55677083333333344</v>
      </c>
      <c r="Q656" s="25">
        <v>0.57762500000000039</v>
      </c>
      <c r="R656" s="25">
        <v>0.58420833333333311</v>
      </c>
      <c r="S656" s="25">
        <v>0.47185416666666652</v>
      </c>
      <c r="T656" s="25">
        <v>0.46062500000000001</v>
      </c>
      <c r="U656" s="25">
        <v>0.39452083333333343</v>
      </c>
      <c r="V656" s="25">
        <v>-16.036666666666665</v>
      </c>
      <c r="W656" s="25">
        <v>-56.851041666666674</v>
      </c>
      <c r="X656" s="25">
        <v>-13.802708333333333</v>
      </c>
      <c r="Y656" s="25">
        <v>-13.935416666666669</v>
      </c>
      <c r="Z656" s="25">
        <v>-15.267499999999998</v>
      </c>
      <c r="AA656" s="25">
        <v>-14.940416666666666</v>
      </c>
      <c r="AB656" s="25">
        <v>-14.676458333333331</v>
      </c>
      <c r="AC656" s="25">
        <v>-14.980624999999996</v>
      </c>
      <c r="AD656" s="25">
        <v>-10.391666666666666</v>
      </c>
      <c r="AE656" s="25">
        <v>-11.016666666666667</v>
      </c>
      <c r="AF656" s="25">
        <v>-10.910416666666661</v>
      </c>
      <c r="AG656" s="25">
        <v>-11.925000000000002</v>
      </c>
      <c r="AH656" s="25">
        <v>-15.877083333333333</v>
      </c>
      <c r="AI656" s="25">
        <v>-12.28125</v>
      </c>
      <c r="AJ656" s="25">
        <v>-10.835416666666667</v>
      </c>
      <c r="AK656" s="25">
        <v>-14.222916666666665</v>
      </c>
      <c r="AL656" s="25">
        <v>20.441666666666656</v>
      </c>
      <c r="AM656" s="25">
        <v>19.458333333333332</v>
      </c>
      <c r="AN656" s="25">
        <v>18.727083333333319</v>
      </c>
      <c r="AO656" s="25">
        <v>18.452083333333331</v>
      </c>
      <c r="AP656" s="25">
        <v>21.006250000000005</v>
      </c>
      <c r="AQ656" s="25">
        <v>20.118750000000002</v>
      </c>
      <c r="AR656" s="25">
        <v>19.483333333333331</v>
      </c>
      <c r="AS656" s="25">
        <v>19.216666666666665</v>
      </c>
      <c r="AT656" s="25">
        <v>0.40979069767441839</v>
      </c>
      <c r="AU656" s="25">
        <v>0.229304347826087</v>
      </c>
      <c r="AV656" s="25">
        <v>0.40287500000000004</v>
      </c>
      <c r="AW656" s="25">
        <v>-25.277708333333333</v>
      </c>
      <c r="AX656" s="25">
        <v>-18.48041666666667</v>
      </c>
      <c r="AY656" s="25">
        <v>-16.580208333333335</v>
      </c>
      <c r="AZ656" s="25"/>
      <c r="BA656" s="25">
        <v>-12.212500000000004</v>
      </c>
      <c r="BB656" s="25"/>
      <c r="BC656" s="25"/>
      <c r="BD656" s="25">
        <v>21.345833333333328</v>
      </c>
      <c r="BE656" s="25"/>
    </row>
    <row r="657" spans="1:57" x14ac:dyDescent="0.25">
      <c r="A657" s="1">
        <v>30.4</v>
      </c>
      <c r="B657" s="1">
        <v>22.7</v>
      </c>
      <c r="C657" s="22"/>
      <c r="D657" s="23">
        <v>44364</v>
      </c>
      <c r="E657" s="24">
        <v>237.20833333333334</v>
      </c>
      <c r="F657" s="24">
        <v>78.752083333333346</v>
      </c>
      <c r="G657" s="24">
        <v>25.724999999999998</v>
      </c>
      <c r="H657" s="24">
        <v>0</v>
      </c>
      <c r="I657" s="24">
        <v>236.3125</v>
      </c>
      <c r="J657" s="24">
        <v>12.791666666666666</v>
      </c>
      <c r="K657" s="24">
        <v>2.4166666666666665</v>
      </c>
      <c r="L657" s="24">
        <v>21.637500000000003</v>
      </c>
      <c r="M657" s="10">
        <v>0.75360192460588327</v>
      </c>
      <c r="N657" s="25">
        <v>0.37743750000000015</v>
      </c>
      <c r="O657" s="25">
        <v>0.4922500000000003</v>
      </c>
      <c r="P657" s="25">
        <v>0.54362500000000002</v>
      </c>
      <c r="Q657" s="25">
        <v>0.56883333333333352</v>
      </c>
      <c r="R657" s="25">
        <v>0.57325000000000015</v>
      </c>
      <c r="S657" s="25">
        <v>0.45839583333333339</v>
      </c>
      <c r="T657" s="25">
        <v>0.45231250000000012</v>
      </c>
      <c r="U657" s="25">
        <v>0.38860416666666664</v>
      </c>
      <c r="V657" s="25">
        <v>-19.679791666666663</v>
      </c>
      <c r="W657" s="25">
        <v>-77.903749999999988</v>
      </c>
      <c r="X657" s="25">
        <v>-16.243125000000003</v>
      </c>
      <c r="Y657" s="25">
        <v>-15.970416666666663</v>
      </c>
      <c r="Z657" s="25">
        <v>-18.743125000000006</v>
      </c>
      <c r="AA657" s="25">
        <v>-17.624375000000001</v>
      </c>
      <c r="AB657" s="25">
        <v>-17.224166666666669</v>
      </c>
      <c r="AC657" s="25">
        <v>-17.271250000000002</v>
      </c>
      <c r="AD657" s="25">
        <v>-13.837499999999999</v>
      </c>
      <c r="AE657" s="25">
        <v>-11.783333333333333</v>
      </c>
      <c r="AF657" s="25">
        <v>-11.472916666666668</v>
      </c>
      <c r="AG657" s="25">
        <v>-12.239583333333336</v>
      </c>
      <c r="AH657" s="25">
        <v>-29.516666666666662</v>
      </c>
      <c r="AI657" s="25">
        <v>-18.341666666666665</v>
      </c>
      <c r="AJ657" s="25">
        <v>-12.69166666666667</v>
      </c>
      <c r="AK657" s="25">
        <v>-26.183333333333337</v>
      </c>
      <c r="AL657" s="25">
        <v>20.989583333333325</v>
      </c>
      <c r="AM657" s="25">
        <v>19.891666666666669</v>
      </c>
      <c r="AN657" s="25">
        <v>19.000000000000007</v>
      </c>
      <c r="AO657" s="25">
        <v>18.656250000000014</v>
      </c>
      <c r="AP657" s="25">
        <v>21.629166666666674</v>
      </c>
      <c r="AQ657" s="25">
        <v>20.606249999999999</v>
      </c>
      <c r="AR657" s="25">
        <v>19.95</v>
      </c>
      <c r="AS657" s="25">
        <v>19.612500000000011</v>
      </c>
      <c r="AT657" s="25">
        <v>0.39063157894736861</v>
      </c>
      <c r="AU657" s="25">
        <v>0.21018181818181836</v>
      </c>
      <c r="AV657" s="25">
        <v>0.36133333333333334</v>
      </c>
      <c r="AW657" s="25">
        <v>-33.758958333333332</v>
      </c>
      <c r="AX657" s="25">
        <v>-31.940416666666664</v>
      </c>
      <c r="AY657" s="25">
        <v>-20.551458333333333</v>
      </c>
      <c r="AZ657" s="25"/>
      <c r="BA657" s="25">
        <v>-22.762499999999999</v>
      </c>
      <c r="BB657" s="25"/>
      <c r="BC657" s="25"/>
      <c r="BD657" s="25">
        <v>21.985416666666666</v>
      </c>
      <c r="BE657" s="25"/>
    </row>
    <row r="658" spans="1:57" x14ac:dyDescent="0.25">
      <c r="A658" s="1">
        <v>31</v>
      </c>
      <c r="B658" s="1">
        <v>22</v>
      </c>
      <c r="C658" s="22"/>
      <c r="D658" s="23">
        <v>44365</v>
      </c>
      <c r="E658" s="24">
        <v>237.77083333333334</v>
      </c>
      <c r="F658" s="24">
        <v>78.802083333333357</v>
      </c>
      <c r="G658" s="24">
        <v>25.868750000000002</v>
      </c>
      <c r="H658" s="24">
        <v>2.7</v>
      </c>
      <c r="I658" s="24">
        <v>233.125</v>
      </c>
      <c r="J658" s="24">
        <v>13.895833333333334</v>
      </c>
      <c r="K658" s="24">
        <v>2.25</v>
      </c>
      <c r="L658" s="24">
        <v>21.777083333333334</v>
      </c>
      <c r="M658" s="10">
        <v>0.76659708145289418</v>
      </c>
      <c r="N658" s="25">
        <v>0.34554166666666669</v>
      </c>
      <c r="O658" s="25">
        <v>0.47639583333333319</v>
      </c>
      <c r="P658" s="25">
        <v>0.52760416666666643</v>
      </c>
      <c r="Q658" s="25">
        <v>0.55495833333333355</v>
      </c>
      <c r="R658" s="25">
        <v>0.55777083333333322</v>
      </c>
      <c r="S658" s="25">
        <v>0.4404791666666667</v>
      </c>
      <c r="T658" s="25">
        <v>0.44022916666666639</v>
      </c>
      <c r="U658" s="25">
        <v>0.38045833333333334</v>
      </c>
      <c r="V658" s="25">
        <v>-24.481875000000002</v>
      </c>
      <c r="W658" s="25">
        <v>-100.59375000000001</v>
      </c>
      <c r="X658" s="25">
        <v>-20.624166666666671</v>
      </c>
      <c r="Y658" s="25">
        <v>-20.115416666666665</v>
      </c>
      <c r="Z658" s="25">
        <v>-25.217708333333334</v>
      </c>
      <c r="AA658" s="25">
        <v>-21.669583333333332</v>
      </c>
      <c r="AB658" s="25">
        <v>-21.193124999999998</v>
      </c>
      <c r="AC658" s="25">
        <v>-24.192083333333333</v>
      </c>
      <c r="AD658" s="25">
        <v>-26.433333333333337</v>
      </c>
      <c r="AE658" s="25">
        <v>-16.202083333333341</v>
      </c>
      <c r="AF658" s="25">
        <v>-16.108333333333334</v>
      </c>
      <c r="AG658" s="25">
        <v>-13.949999999999998</v>
      </c>
      <c r="AH658" s="25">
        <v>-57.362500000000004</v>
      </c>
      <c r="AI658" s="25">
        <v>-42.962499999999999</v>
      </c>
      <c r="AJ658" s="25">
        <v>-19.889583333333338</v>
      </c>
      <c r="AK658" s="25">
        <v>-41.43333333333333</v>
      </c>
      <c r="AL658" s="25">
        <v>21.387500000000003</v>
      </c>
      <c r="AM658" s="25">
        <v>20.256249999999994</v>
      </c>
      <c r="AN658" s="25">
        <v>19.306249999999988</v>
      </c>
      <c r="AO658" s="25">
        <v>18.918749999999992</v>
      </c>
      <c r="AP658" s="25">
        <v>21.92916666666666</v>
      </c>
      <c r="AQ658" s="25">
        <v>20.941666666666666</v>
      </c>
      <c r="AR658" s="25">
        <v>20.289583333333329</v>
      </c>
      <c r="AS658" s="25">
        <v>19.943749999999998</v>
      </c>
      <c r="AT658" s="25">
        <v>0.38667567567567568</v>
      </c>
      <c r="AU658" s="25">
        <v>0.18788372093023248</v>
      </c>
      <c r="AV658" s="25">
        <v>0.31479166666666669</v>
      </c>
      <c r="AW658" s="25">
        <v>-102.30062500000001</v>
      </c>
      <c r="AX658" s="25">
        <v>-49.033333333333339</v>
      </c>
      <c r="AY658" s="25">
        <v>-26.807083333333335</v>
      </c>
      <c r="AZ658" s="25"/>
      <c r="BA658" s="25">
        <v>-44.237500000000011</v>
      </c>
      <c r="BB658" s="25"/>
      <c r="BC658" s="25"/>
      <c r="BD658" s="25">
        <v>22.331249999999997</v>
      </c>
      <c r="BE658" s="25"/>
    </row>
    <row r="659" spans="1:57" x14ac:dyDescent="0.25">
      <c r="A659" s="1">
        <v>28.9</v>
      </c>
      <c r="B659" s="1">
        <v>17.7</v>
      </c>
      <c r="C659" s="22"/>
      <c r="D659" s="23">
        <v>44366</v>
      </c>
      <c r="E659" s="24">
        <v>165.9375</v>
      </c>
      <c r="F659" s="24">
        <v>84.620833333333323</v>
      </c>
      <c r="G659" s="24">
        <v>21.947916666666668</v>
      </c>
      <c r="H659" s="24">
        <v>0.89999999999999991</v>
      </c>
      <c r="I659" s="24">
        <v>238.41666666666666</v>
      </c>
      <c r="J659" s="24">
        <v>3.125</v>
      </c>
      <c r="K659" s="24">
        <v>8.3333333333333329E-2</v>
      </c>
      <c r="L659" s="24">
        <v>19.127083333333331</v>
      </c>
      <c r="M659" s="10">
        <v>0.45780380469585591</v>
      </c>
      <c r="N659" s="25">
        <v>0.32362499999999988</v>
      </c>
      <c r="O659" s="25">
        <v>0.46079166666666654</v>
      </c>
      <c r="P659" s="25">
        <v>0.51366666666666716</v>
      </c>
      <c r="Q659" s="25">
        <v>0.5411041666666665</v>
      </c>
      <c r="R659" s="25">
        <v>0.54254166666666681</v>
      </c>
      <c r="S659" s="25">
        <v>0.42343750000000013</v>
      </c>
      <c r="T659" s="25">
        <v>0.42895833333333333</v>
      </c>
      <c r="U659" s="25">
        <v>0.37212499999999987</v>
      </c>
      <c r="V659" s="25">
        <v>-30.086041666666674</v>
      </c>
      <c r="W659" s="25">
        <v>-122.19791666666669</v>
      </c>
      <c r="X659" s="25">
        <v>-26.033958333333331</v>
      </c>
      <c r="Y659" s="25">
        <v>-24.828125000000004</v>
      </c>
      <c r="Z659" s="25">
        <v>-33.221041666666665</v>
      </c>
      <c r="AA659" s="25">
        <v>-26.257291666666671</v>
      </c>
      <c r="AB659" s="25">
        <v>-25.798541666666654</v>
      </c>
      <c r="AC659" s="25">
        <v>-35.256458333333335</v>
      </c>
      <c r="AD659" s="25">
        <v>-42.312499999999993</v>
      </c>
      <c r="AE659" s="25">
        <v>-23.756249999999998</v>
      </c>
      <c r="AF659" s="25">
        <v>-24.652083333333341</v>
      </c>
      <c r="AG659" s="25">
        <v>-19.010416666666668</v>
      </c>
      <c r="AH659" s="25">
        <v>-111.55416666666666</v>
      </c>
      <c r="AI659" s="25">
        <v>-71.512500000000003</v>
      </c>
      <c r="AJ659" s="25">
        <v>-33.425000000000011</v>
      </c>
      <c r="AK659" s="25">
        <v>-55.614583333333336</v>
      </c>
      <c r="AL659" s="25">
        <v>21.254166666666666</v>
      </c>
      <c r="AM659" s="25">
        <v>20.431249999999984</v>
      </c>
      <c r="AN659" s="25">
        <v>19.587500000000016</v>
      </c>
      <c r="AO659" s="25">
        <v>19.154166666666686</v>
      </c>
      <c r="AP659" s="25">
        <v>21.497916666666665</v>
      </c>
      <c r="AQ659" s="25">
        <v>20.981249999999985</v>
      </c>
      <c r="AR659" s="25">
        <v>20.435416666666651</v>
      </c>
      <c r="AS659" s="25">
        <v>20.156250000000011</v>
      </c>
      <c r="AT659" s="25">
        <v>0.36618750000000011</v>
      </c>
      <c r="AU659" s="25">
        <v>0.17230434782608706</v>
      </c>
      <c r="AV659" s="25">
        <v>0.28497916666666662</v>
      </c>
      <c r="AW659" s="25">
        <v>-134.00833333333335</v>
      </c>
      <c r="AX659" s="25">
        <v>-63.45104166666669</v>
      </c>
      <c r="AY659" s="25">
        <v>-37.853333333333339</v>
      </c>
      <c r="AZ659" s="25"/>
      <c r="BA659" s="25">
        <v>-87.904166666666654</v>
      </c>
      <c r="BB659" s="25"/>
      <c r="BC659" s="25"/>
      <c r="BD659" s="25">
        <v>21.372916666666665</v>
      </c>
      <c r="BE659" s="25"/>
    </row>
    <row r="660" spans="1:57" x14ac:dyDescent="0.25">
      <c r="A660" s="1">
        <v>26.6</v>
      </c>
      <c r="B660" s="1">
        <v>16.399999999999999</v>
      </c>
      <c r="C660" s="22"/>
      <c r="D660" s="23">
        <v>44367</v>
      </c>
      <c r="E660" s="24">
        <v>144.52083333333334</v>
      </c>
      <c r="F660" s="24">
        <v>83.36666666666666</v>
      </c>
      <c r="G660" s="24">
        <v>20.779166666666665</v>
      </c>
      <c r="H660" s="24">
        <v>1.7</v>
      </c>
      <c r="I660" s="24">
        <v>182.41666666666666</v>
      </c>
      <c r="J660" s="24">
        <v>1.4791666666666667</v>
      </c>
      <c r="K660" s="24">
        <v>0</v>
      </c>
      <c r="L660" s="24">
        <v>17.724999999999998</v>
      </c>
      <c r="M660" s="10">
        <v>0.45805477906539971</v>
      </c>
      <c r="N660" s="25">
        <v>0.30929166666666658</v>
      </c>
      <c r="O660" s="25">
        <v>0.44633333333333319</v>
      </c>
      <c r="P660" s="25">
        <v>0.50202083333333347</v>
      </c>
      <c r="Q660" s="25">
        <v>0.52906249999999999</v>
      </c>
      <c r="R660" s="25">
        <v>0.52749999999999997</v>
      </c>
      <c r="S660" s="25">
        <v>0.41099999999999975</v>
      </c>
      <c r="T660" s="25">
        <v>0.4198333333333335</v>
      </c>
      <c r="U660" s="25">
        <v>0.36629166666666668</v>
      </c>
      <c r="V660" s="25">
        <v>-35.63645833333333</v>
      </c>
      <c r="W660" s="25">
        <v>-142.30624999999995</v>
      </c>
      <c r="X660" s="25">
        <v>-31.852291666666673</v>
      </c>
      <c r="Y660" s="25">
        <v>-29.537083333333332</v>
      </c>
      <c r="Z660" s="25">
        <v>-39.881041666666668</v>
      </c>
      <c r="AA660" s="25">
        <v>-30.949375000000003</v>
      </c>
      <c r="AB660" s="25">
        <v>-30.139166666666657</v>
      </c>
      <c r="AC660" s="25">
        <v>-43.56</v>
      </c>
      <c r="AD660" s="25">
        <v>-60.277083333333337</v>
      </c>
      <c r="AE660" s="25">
        <v>-28.858333333333324</v>
      </c>
      <c r="AF660" s="25">
        <v>-32.912500000000001</v>
      </c>
      <c r="AG660" s="25">
        <v>-24.974999999999994</v>
      </c>
      <c r="AH660" s="25">
        <v>-177.58333333333334</v>
      </c>
      <c r="AI660" s="25">
        <v>-102.82083333333333</v>
      </c>
      <c r="AJ660" s="25">
        <v>-54.14374999999999</v>
      </c>
      <c r="AK660" s="25">
        <v>-89.177083333333314</v>
      </c>
      <c r="AL660" s="25">
        <v>20.600000000000005</v>
      </c>
      <c r="AM660" s="25">
        <v>20.172916666666673</v>
      </c>
      <c r="AN660" s="25">
        <v>19.554166666666671</v>
      </c>
      <c r="AO660" s="25">
        <v>19.200000000000017</v>
      </c>
      <c r="AP660" s="25">
        <v>20.59375</v>
      </c>
      <c r="AQ660" s="25">
        <v>20.447916666666664</v>
      </c>
      <c r="AR660" s="25">
        <v>20.120833333333334</v>
      </c>
      <c r="AS660" s="25">
        <v>19.949999999999982</v>
      </c>
      <c r="AT660" s="25">
        <v>0.35252380952380952</v>
      </c>
      <c r="AU660" s="25">
        <v>0.16395555555555552</v>
      </c>
      <c r="AV660" s="25">
        <v>0.26981250000000001</v>
      </c>
      <c r="AW660" s="25">
        <v>-199.0363636363636</v>
      </c>
      <c r="AX660" s="25">
        <v>-72.092083333333335</v>
      </c>
      <c r="AY660" s="25">
        <v>-48.65604166666666</v>
      </c>
      <c r="AZ660" s="25"/>
      <c r="BA660" s="25">
        <v>-164.57291666666663</v>
      </c>
      <c r="BB660" s="25"/>
      <c r="BC660" s="25"/>
      <c r="BD660" s="25">
        <v>20.541666666666671</v>
      </c>
      <c r="BE660" s="25"/>
    </row>
    <row r="661" spans="1:57" x14ac:dyDescent="0.25">
      <c r="A661" s="1">
        <v>28.6</v>
      </c>
      <c r="B661" s="1">
        <v>18.2</v>
      </c>
      <c r="C661" s="22"/>
      <c r="D661" s="23">
        <v>44368</v>
      </c>
      <c r="E661" s="24">
        <v>146.75</v>
      </c>
      <c r="F661" s="24">
        <v>77.304166666666674</v>
      </c>
      <c r="G661" s="24">
        <v>21.5</v>
      </c>
      <c r="H661" s="24">
        <v>0</v>
      </c>
      <c r="I661" s="24">
        <v>274.02083333333331</v>
      </c>
      <c r="J661" s="24">
        <v>1.5833333333333333</v>
      </c>
      <c r="K661" s="24">
        <v>0</v>
      </c>
      <c r="L661" s="24">
        <v>17.237500000000001</v>
      </c>
      <c r="M661" s="10">
        <v>0.62798267832191745</v>
      </c>
      <c r="N661" s="25">
        <v>0.29654166666666637</v>
      </c>
      <c r="O661" s="25">
        <v>0.42939583333333348</v>
      </c>
      <c r="P661" s="25">
        <v>0.4882708333333336</v>
      </c>
      <c r="Q661" s="25">
        <v>0.51327083333333345</v>
      </c>
      <c r="R661" s="25">
        <v>0.51260416666666675</v>
      </c>
      <c r="S661" s="25">
        <v>0.39660416666666692</v>
      </c>
      <c r="T661" s="25">
        <v>0.40774999999999983</v>
      </c>
      <c r="U661" s="25">
        <v>0.35781250000000003</v>
      </c>
      <c r="V661" s="25">
        <v>-40.52375</v>
      </c>
      <c r="W661" s="25">
        <v>-162.83333333333334</v>
      </c>
      <c r="X661" s="25">
        <v>-37.369791666666664</v>
      </c>
      <c r="Y661" s="25">
        <v>-33.708124999999988</v>
      </c>
      <c r="Z661" s="25">
        <v>-45.491666666666674</v>
      </c>
      <c r="AA661" s="25">
        <v>-35.27729166666667</v>
      </c>
      <c r="AB661" s="25">
        <v>-34.135208333333331</v>
      </c>
      <c r="AC661" s="25">
        <v>-50.560208333333314</v>
      </c>
      <c r="AD661" s="25">
        <v>-90.939583333333374</v>
      </c>
      <c r="AE661" s="25">
        <v>-37.920833333333327</v>
      </c>
      <c r="AF661" s="25">
        <v>-47.133333333333326</v>
      </c>
      <c r="AG661" s="25">
        <v>-33.918749999999996</v>
      </c>
      <c r="AH661" s="25">
        <v>-266.26666666666659</v>
      </c>
      <c r="AI661" s="25">
        <v>-177.05416666666667</v>
      </c>
      <c r="AJ661" s="25">
        <v>-84.149999999999991</v>
      </c>
      <c r="AK661" s="25">
        <v>-184.72708333333335</v>
      </c>
      <c r="AL661" s="25">
        <v>20.368749999999999</v>
      </c>
      <c r="AM661" s="25">
        <v>19.960416666666653</v>
      </c>
      <c r="AN661" s="25">
        <v>19.372916666666644</v>
      </c>
      <c r="AO661" s="25">
        <v>19.164583333333344</v>
      </c>
      <c r="AP661" s="25">
        <v>20.445833333333333</v>
      </c>
      <c r="AQ661" s="25">
        <v>20.233333333333338</v>
      </c>
      <c r="AR661" s="25">
        <v>19.891666666666641</v>
      </c>
      <c r="AS661" s="25">
        <v>19.74791666666669</v>
      </c>
      <c r="AT661" s="25">
        <v>0.33291176470588241</v>
      </c>
      <c r="AU661" s="25">
        <v>0.15767499999999998</v>
      </c>
      <c r="AV661" s="25">
        <v>0.25910416666666669</v>
      </c>
      <c r="AW661" s="25">
        <v>-200.32363636363644</v>
      </c>
      <c r="AX661" s="25">
        <v>-78.918750000000003</v>
      </c>
      <c r="AY661" s="25">
        <v>-58.050416666666671</v>
      </c>
      <c r="AZ661" s="25"/>
      <c r="BA661" s="25">
        <v>-310.4249999999999</v>
      </c>
      <c r="BB661" s="25"/>
      <c r="BC661" s="25"/>
      <c r="BD661" s="25">
        <v>20.454166666666662</v>
      </c>
      <c r="BE661" s="25"/>
    </row>
    <row r="662" spans="1:57" x14ac:dyDescent="0.25">
      <c r="A662" s="1">
        <v>30.2</v>
      </c>
      <c r="B662" s="1">
        <v>17.600000000000001</v>
      </c>
      <c r="C662" s="22"/>
      <c r="D662" s="23">
        <v>44369</v>
      </c>
      <c r="E662" s="24">
        <v>216.54166666666666</v>
      </c>
      <c r="F662" s="24">
        <v>71.362499999999983</v>
      </c>
      <c r="G662" s="24">
        <v>22.841666666666672</v>
      </c>
      <c r="H662" s="24">
        <v>0</v>
      </c>
      <c r="I662" s="24">
        <v>234.77083333333334</v>
      </c>
      <c r="J662" s="24">
        <v>1.4583333333333333</v>
      </c>
      <c r="K662" s="24">
        <v>0</v>
      </c>
      <c r="L662" s="24">
        <v>17.070833333333329</v>
      </c>
      <c r="M662" s="10">
        <v>0.90894842435547807</v>
      </c>
      <c r="N662" s="25">
        <v>0.28458333333333319</v>
      </c>
      <c r="O662" s="25">
        <v>0.40956249999999983</v>
      </c>
      <c r="P662" s="25">
        <v>0.47295833333333342</v>
      </c>
      <c r="Q662" s="25">
        <v>0.49558333333333326</v>
      </c>
      <c r="R662" s="25">
        <v>0.49699999999999994</v>
      </c>
      <c r="S662" s="25">
        <v>0.38124999999999981</v>
      </c>
      <c r="T662" s="25">
        <v>0.39366666666666678</v>
      </c>
      <c r="U662" s="25">
        <v>0.34806250000000011</v>
      </c>
      <c r="V662" s="25">
        <v>-45.650208333333325</v>
      </c>
      <c r="W662" s="25">
        <v>-184.08333333333334</v>
      </c>
      <c r="X662" s="25">
        <v>-43.109375</v>
      </c>
      <c r="Y662" s="25">
        <v>-37.735416666666673</v>
      </c>
      <c r="Z662" s="25">
        <v>-51.129375000000003</v>
      </c>
      <c r="AA662" s="25">
        <v>-39.725833333333334</v>
      </c>
      <c r="AB662" s="25">
        <v>-38.172708333333325</v>
      </c>
      <c r="AC662" s="25">
        <v>-57.101458333333319</v>
      </c>
      <c r="AD662" s="25">
        <v>-147.12916666666672</v>
      </c>
      <c r="AE662" s="25">
        <v>-58.983333333333341</v>
      </c>
      <c r="AF662" s="25">
        <v>-81.131250000000009</v>
      </c>
      <c r="AG662" s="25">
        <v>-49.808333333333337</v>
      </c>
      <c r="AH662" s="25">
        <v>-369.39791666666656</v>
      </c>
      <c r="AI662" s="25">
        <v>-305.56874999999997</v>
      </c>
      <c r="AJ662" s="25">
        <v>-150.54999999999998</v>
      </c>
      <c r="AK662" s="25">
        <v>-399.99166666666662</v>
      </c>
      <c r="AL662" s="25">
        <v>20.262500000000006</v>
      </c>
      <c r="AM662" s="25">
        <v>19.820833333333336</v>
      </c>
      <c r="AN662" s="25">
        <v>19.297916666666652</v>
      </c>
      <c r="AO662" s="25">
        <v>19.100000000000016</v>
      </c>
      <c r="AP662" s="25">
        <v>20.410416666666666</v>
      </c>
      <c r="AQ662" s="25">
        <v>20.093749999999993</v>
      </c>
      <c r="AR662" s="25">
        <v>19.777083333333341</v>
      </c>
      <c r="AS662" s="25">
        <v>19.618750000000009</v>
      </c>
      <c r="AT662" s="25">
        <v>0.30138095238095236</v>
      </c>
      <c r="AU662" s="25">
        <v>0.14964285714285708</v>
      </c>
      <c r="AV662" s="25">
        <v>0.24827083333333336</v>
      </c>
      <c r="AW662" s="25">
        <v>-250.54333333333332</v>
      </c>
      <c r="AX662" s="25">
        <v>-86.635416666666671</v>
      </c>
      <c r="AY662" s="25">
        <v>-67.456874999999997</v>
      </c>
      <c r="AZ662" s="25"/>
      <c r="BA662" s="25">
        <v>-540.74583333333328</v>
      </c>
      <c r="BB662" s="25"/>
      <c r="BC662" s="25"/>
      <c r="BD662" s="25">
        <v>20.612500000000001</v>
      </c>
      <c r="BE662" s="25"/>
    </row>
    <row r="663" spans="1:57" x14ac:dyDescent="0.25">
      <c r="A663" s="1">
        <v>28.7</v>
      </c>
      <c r="B663" s="1">
        <v>18.7</v>
      </c>
      <c r="C663" s="22"/>
      <c r="D663" s="23">
        <v>44370</v>
      </c>
      <c r="E663" s="24">
        <v>156.9375</v>
      </c>
      <c r="F663" s="24">
        <v>76.822916666666671</v>
      </c>
      <c r="G663" s="24">
        <v>23.254166666666666</v>
      </c>
      <c r="H663" s="24">
        <v>0</v>
      </c>
      <c r="I663" s="24">
        <v>220.16666666666666</v>
      </c>
      <c r="J663" s="24">
        <v>4.229166666666667</v>
      </c>
      <c r="K663" s="24">
        <v>6.25E-2</v>
      </c>
      <c r="L663" s="24">
        <v>18.883333333333329</v>
      </c>
      <c r="M663" s="10">
        <v>0.6942300523962327</v>
      </c>
      <c r="N663" s="25">
        <v>0.27456250000000032</v>
      </c>
      <c r="O663" s="25">
        <v>0.3903541666666665</v>
      </c>
      <c r="P663" s="25">
        <v>0.45797916666666688</v>
      </c>
      <c r="Q663" s="25">
        <v>0.47774999999999973</v>
      </c>
      <c r="R663" s="25">
        <v>0.48231249999999998</v>
      </c>
      <c r="S663" s="25">
        <v>0.36616666666666692</v>
      </c>
      <c r="T663" s="25">
        <v>0.37866666666666665</v>
      </c>
      <c r="U663" s="25">
        <v>0.33718750000000014</v>
      </c>
      <c r="V663" s="25">
        <v>-50.96</v>
      </c>
      <c r="W663" s="25">
        <v>-201.54374999999996</v>
      </c>
      <c r="X663" s="25">
        <v>-49.319375000000001</v>
      </c>
      <c r="Y663" s="25">
        <v>-41.816458333333337</v>
      </c>
      <c r="Z663" s="25">
        <v>-56.377083333333339</v>
      </c>
      <c r="AA663" s="25">
        <v>-44.469375000000007</v>
      </c>
      <c r="AB663" s="25">
        <v>-42.413958333333333</v>
      </c>
      <c r="AC663" s="25">
        <v>-62.866458333333327</v>
      </c>
      <c r="AD663" s="25">
        <v>-230.40416666666661</v>
      </c>
      <c r="AE663" s="25">
        <v>-104.17916666666667</v>
      </c>
      <c r="AF663" s="25">
        <v>-147.60416666666666</v>
      </c>
      <c r="AG663" s="25">
        <v>-82.360416666666666</v>
      </c>
      <c r="AH663" s="25">
        <v>-493.58749999999986</v>
      </c>
      <c r="AI663" s="25">
        <v>-471.02916666666675</v>
      </c>
      <c r="AJ663" s="25">
        <v>-300.64166666666671</v>
      </c>
      <c r="AK663" s="25">
        <v>-630.57083333333355</v>
      </c>
      <c r="AL663" s="25">
        <v>20.489583333333325</v>
      </c>
      <c r="AM663" s="25">
        <v>19.895833333333318</v>
      </c>
      <c r="AN663" s="25">
        <v>19.299999999999983</v>
      </c>
      <c r="AO663" s="25">
        <v>19.100000000000016</v>
      </c>
      <c r="AP663" s="25">
        <v>20.797916666666666</v>
      </c>
      <c r="AQ663" s="25">
        <v>20.291666666666668</v>
      </c>
      <c r="AR663" s="25">
        <v>19.872916666666651</v>
      </c>
      <c r="AS663" s="25">
        <v>19.683333333333344</v>
      </c>
      <c r="AT663" s="25">
        <v>0.26958620689655177</v>
      </c>
      <c r="AU663" s="25">
        <v>0.1437272727272727</v>
      </c>
      <c r="AV663" s="25">
        <v>0.23881250000000001</v>
      </c>
      <c r="AW663" s="25">
        <v>-284.81395348837208</v>
      </c>
      <c r="AX663" s="25">
        <v>-95.422916666666666</v>
      </c>
      <c r="AY663" s="25">
        <v>-76.625833333333304</v>
      </c>
      <c r="AZ663" s="25"/>
      <c r="BA663" s="25">
        <v>-815.09375</v>
      </c>
      <c r="BB663" s="25"/>
      <c r="BC663" s="25"/>
      <c r="BD663" s="25">
        <v>20.910416666666666</v>
      </c>
      <c r="BE663" s="25"/>
    </row>
    <row r="664" spans="1:57" x14ac:dyDescent="0.25">
      <c r="A664" s="1">
        <v>28.1</v>
      </c>
      <c r="B664" s="1">
        <v>19.8</v>
      </c>
      <c r="C664" s="22"/>
      <c r="D664" s="23">
        <v>44371</v>
      </c>
      <c r="E664" s="24">
        <v>146.83333333333334</v>
      </c>
      <c r="F664" s="24">
        <v>85.608333333333348</v>
      </c>
      <c r="G664" s="24">
        <v>22.50833333333334</v>
      </c>
      <c r="H664" s="24">
        <v>17.5</v>
      </c>
      <c r="I664" s="24">
        <v>238.47916666666666</v>
      </c>
      <c r="J664" s="24">
        <v>6.1875</v>
      </c>
      <c r="K664" s="24">
        <v>0.20833333333333334</v>
      </c>
      <c r="L664" s="24">
        <v>19.839583333333341</v>
      </c>
      <c r="M664" s="10">
        <v>0.44115000494772133</v>
      </c>
      <c r="N664" s="25">
        <v>0.27895833333333336</v>
      </c>
      <c r="O664" s="25">
        <v>0.37897916666666659</v>
      </c>
      <c r="P664" s="25">
        <v>0.4464583333333334</v>
      </c>
      <c r="Q664" s="25">
        <v>0.46599999999999958</v>
      </c>
      <c r="R664" s="25">
        <v>0.47464583333333327</v>
      </c>
      <c r="S664" s="25">
        <v>0.36506250000000007</v>
      </c>
      <c r="T664" s="25">
        <v>0.36989583333333337</v>
      </c>
      <c r="U664" s="25">
        <v>0.32937499999999986</v>
      </c>
      <c r="V664" s="25">
        <v>-47.368541666666658</v>
      </c>
      <c r="W664" s="25">
        <v>-205.19583333333335</v>
      </c>
      <c r="X664" s="25">
        <v>-55.762083333333329</v>
      </c>
      <c r="Y664" s="25">
        <v>-45.784791666666671</v>
      </c>
      <c r="Z664" s="25">
        <v>-52.376249999999999</v>
      </c>
      <c r="AA664" s="25">
        <v>-49.381875000000001</v>
      </c>
      <c r="AB664" s="25">
        <v>-46.605208333333337</v>
      </c>
      <c r="AC664" s="25">
        <v>-67.562499999999986</v>
      </c>
      <c r="AD664" s="25">
        <v>-241.27083333333326</v>
      </c>
      <c r="AE664" s="25">
        <v>-162.65416666666664</v>
      </c>
      <c r="AF664" s="25">
        <v>-209.07708333333335</v>
      </c>
      <c r="AG664" s="25">
        <v>-117.19583333333333</v>
      </c>
      <c r="AH664" s="25">
        <v>-446.44791666666652</v>
      </c>
      <c r="AI664" s="25">
        <v>-556.01875000000007</v>
      </c>
      <c r="AJ664" s="25">
        <v>-478.96458333333339</v>
      </c>
      <c r="AK664" s="25">
        <v>-786.07083333333333</v>
      </c>
      <c r="AL664" s="25">
        <v>20.683333333333326</v>
      </c>
      <c r="AM664" s="25">
        <v>20.022916666666671</v>
      </c>
      <c r="AN664" s="25">
        <v>19.385416666666654</v>
      </c>
      <c r="AO664" s="25">
        <v>19.11875000000002</v>
      </c>
      <c r="AP664" s="25">
        <v>20.981250000000003</v>
      </c>
      <c r="AQ664" s="25">
        <v>20.456249999999997</v>
      </c>
      <c r="AR664" s="25">
        <v>20.012500000000003</v>
      </c>
      <c r="AS664" s="25">
        <v>19.808333333333319</v>
      </c>
      <c r="AT664" s="25">
        <v>0.28302631578947368</v>
      </c>
      <c r="AU664" s="25">
        <v>0.13933333333333334</v>
      </c>
      <c r="AV664" s="25">
        <v>0.28031250000000002</v>
      </c>
      <c r="AW664" s="25">
        <v>-269.12024390243897</v>
      </c>
      <c r="AX664" s="25">
        <v>-88.389999999999986</v>
      </c>
      <c r="AY664" s="25">
        <v>-83.433333333333323</v>
      </c>
      <c r="AZ664" s="25"/>
      <c r="BA664" s="25">
        <v>-750.62499999999955</v>
      </c>
      <c r="BB664" s="25"/>
      <c r="BC664" s="25"/>
      <c r="BD664" s="25">
        <v>21.166666666666668</v>
      </c>
      <c r="BE664" s="25"/>
    </row>
    <row r="665" spans="1:57" x14ac:dyDescent="0.25">
      <c r="A665" s="1">
        <v>27.7</v>
      </c>
      <c r="B665" s="1">
        <v>20.100000000000001</v>
      </c>
      <c r="C665" s="22"/>
      <c r="D665" s="23">
        <v>44372</v>
      </c>
      <c r="E665" s="24">
        <v>175.33333333333334</v>
      </c>
      <c r="F665" s="24">
        <v>82.154166666666654</v>
      </c>
      <c r="G665" s="24">
        <v>23.306250000000002</v>
      </c>
      <c r="H665" s="24">
        <v>0</v>
      </c>
      <c r="I665" s="24">
        <v>225.58333333333334</v>
      </c>
      <c r="J665" s="24">
        <v>6.666666666666667</v>
      </c>
      <c r="K665" s="24">
        <v>0.41666666666666669</v>
      </c>
      <c r="L665" s="24">
        <v>19.962500000000002</v>
      </c>
      <c r="M665" s="10">
        <v>0.5568939793338572</v>
      </c>
      <c r="N665" s="25">
        <v>0.30485416666666676</v>
      </c>
      <c r="O665" s="25">
        <v>0.37424999999999997</v>
      </c>
      <c r="P665" s="25">
        <v>0.44050000000000028</v>
      </c>
      <c r="Q665" s="25">
        <v>0.46039583333333317</v>
      </c>
      <c r="R665" s="25">
        <v>0.47779166666666661</v>
      </c>
      <c r="S665" s="25">
        <v>0.3757291666666665</v>
      </c>
      <c r="T665" s="25">
        <v>0.3662083333333333</v>
      </c>
      <c r="U665" s="25">
        <v>0.32452083333333331</v>
      </c>
      <c r="V665" s="25">
        <v>-14.531666666666672</v>
      </c>
      <c r="W665" s="25">
        <v>-210.17500000000004</v>
      </c>
      <c r="X665" s="25">
        <v>-61.39500000000001</v>
      </c>
      <c r="Y665" s="25">
        <v>-49.185208333333328</v>
      </c>
      <c r="Z665" s="25">
        <v>-13.346874999999999</v>
      </c>
      <c r="AA665" s="25">
        <v>-53.763125000000002</v>
      </c>
      <c r="AB665" s="25">
        <v>-49.965624999999989</v>
      </c>
      <c r="AC665" s="25">
        <v>-71.012499999999989</v>
      </c>
      <c r="AD665" s="25">
        <v>-26.975000000000009</v>
      </c>
      <c r="AE665" s="25">
        <v>-175.35625000000005</v>
      </c>
      <c r="AF665" s="25">
        <v>-247.4708333333333</v>
      </c>
      <c r="AG665" s="25">
        <v>-138.82291666666666</v>
      </c>
      <c r="AH665" s="25">
        <v>-13.224999999999996</v>
      </c>
      <c r="AI665" s="25">
        <v>-489.43125000000015</v>
      </c>
      <c r="AJ665" s="25">
        <v>-591.4583333333336</v>
      </c>
      <c r="AK665" s="25">
        <v>-841.35624999999993</v>
      </c>
      <c r="AL665" s="25">
        <v>20.877083333333349</v>
      </c>
      <c r="AM665" s="25">
        <v>20.185416666666672</v>
      </c>
      <c r="AN665" s="25">
        <v>19.543750000000014</v>
      </c>
      <c r="AO665" s="25">
        <v>19.208333333333343</v>
      </c>
      <c r="AP665" s="25">
        <v>21.191666666666677</v>
      </c>
      <c r="AQ665" s="25">
        <v>20.631249999999998</v>
      </c>
      <c r="AR665" s="25">
        <v>20.164583333333344</v>
      </c>
      <c r="AS665" s="25">
        <v>19.918749999999989</v>
      </c>
      <c r="AT665" s="25">
        <v>0.37006451612903224</v>
      </c>
      <c r="AU665" s="25">
        <v>0.23962962962962966</v>
      </c>
      <c r="AV665" s="25">
        <v>0.41433333333333344</v>
      </c>
      <c r="AW665" s="25">
        <v>-32.246250000000003</v>
      </c>
      <c r="AX665" s="25">
        <v>-16.780208333333338</v>
      </c>
      <c r="AY665" s="25">
        <v>-88.729166666666643</v>
      </c>
      <c r="AZ665" s="25"/>
      <c r="BA665" s="25">
        <v>-10.856250000000001</v>
      </c>
      <c r="BB665" s="25"/>
      <c r="BC665" s="25"/>
      <c r="BD665" s="25">
        <v>21.368749999999995</v>
      </c>
      <c r="BE665" s="25"/>
    </row>
    <row r="666" spans="1:57" x14ac:dyDescent="0.25">
      <c r="A666" s="1">
        <v>28.2</v>
      </c>
      <c r="B666" s="1">
        <v>20.3</v>
      </c>
      <c r="C666" s="22"/>
      <c r="D666" s="23">
        <v>44373</v>
      </c>
      <c r="E666" s="24">
        <v>166.27083333333334</v>
      </c>
      <c r="F666" s="24">
        <v>84.437500000000028</v>
      </c>
      <c r="G666" s="24">
        <v>23.3125</v>
      </c>
      <c r="H666" s="24">
        <v>0.89999999999999991</v>
      </c>
      <c r="I666" s="24">
        <v>235.5</v>
      </c>
      <c r="J666" s="24">
        <v>9.1041666666666661</v>
      </c>
      <c r="K666" s="24">
        <v>1.3333333333333333</v>
      </c>
      <c r="L666" s="24">
        <v>20.458333333333339</v>
      </c>
      <c r="M666" s="10">
        <v>0.48116569386094121</v>
      </c>
      <c r="N666" s="25">
        <v>0.29168750000000004</v>
      </c>
      <c r="O666" s="25">
        <v>0.37229166666666669</v>
      </c>
      <c r="P666" s="25">
        <v>0.43968749999999979</v>
      </c>
      <c r="Q666" s="25">
        <v>0.45831250000000012</v>
      </c>
      <c r="R666" s="25">
        <v>0.47114583333333321</v>
      </c>
      <c r="S666" s="25">
        <v>0.36381250000000015</v>
      </c>
      <c r="T666" s="25">
        <v>0.36449999999999988</v>
      </c>
      <c r="U666" s="25">
        <v>0.32185416666666683</v>
      </c>
      <c r="V666" s="25">
        <v>-18.365416666666668</v>
      </c>
      <c r="W666" s="25">
        <v>-219.69166666666663</v>
      </c>
      <c r="X666" s="25">
        <v>-65.420833333333334</v>
      </c>
      <c r="Y666" s="25">
        <v>-52.286250000000003</v>
      </c>
      <c r="Z666" s="25">
        <v>-16.94958333333334</v>
      </c>
      <c r="AA666" s="25">
        <v>-57.535624999999989</v>
      </c>
      <c r="AB666" s="25">
        <v>-53.011874999999996</v>
      </c>
      <c r="AC666" s="25">
        <v>-73.160833333333329</v>
      </c>
      <c r="AD666" s="25">
        <v>-66.916666666666657</v>
      </c>
      <c r="AE666" s="25">
        <v>-202.51874999999993</v>
      </c>
      <c r="AF666" s="25">
        <v>-262.98333333333329</v>
      </c>
      <c r="AG666" s="25">
        <v>-150.41666666666671</v>
      </c>
      <c r="AH666" s="25">
        <v>-19.175000000000001</v>
      </c>
      <c r="AI666" s="25">
        <v>-474.38124999999997</v>
      </c>
      <c r="AJ666" s="25">
        <v>-616.77708333333328</v>
      </c>
      <c r="AK666" s="25">
        <v>-911.89583333333337</v>
      </c>
      <c r="AL666" s="25">
        <v>21.045833333333324</v>
      </c>
      <c r="AM666" s="25">
        <v>20.318749999999987</v>
      </c>
      <c r="AN666" s="25">
        <v>19.681250000000016</v>
      </c>
      <c r="AO666" s="25">
        <v>19.318749999999987</v>
      </c>
      <c r="AP666" s="25">
        <v>21.372916666666665</v>
      </c>
      <c r="AQ666" s="25">
        <v>20.812500000000004</v>
      </c>
      <c r="AR666" s="25">
        <v>20.314583333333321</v>
      </c>
      <c r="AS666" s="25">
        <v>20.106250000000017</v>
      </c>
      <c r="AT666" s="25">
        <v>0.35137142857142861</v>
      </c>
      <c r="AU666" s="25">
        <v>0.22252941176470592</v>
      </c>
      <c r="AV666" s="25">
        <v>0.36758333333333337</v>
      </c>
      <c r="AW666" s="25">
        <v>-98.563541666666694</v>
      </c>
      <c r="AX666" s="25">
        <v>-23.909999999999993</v>
      </c>
      <c r="AY666" s="25">
        <v>-92.137499999999989</v>
      </c>
      <c r="AZ666" s="25"/>
      <c r="BA666" s="25">
        <v>-11.86458333333333</v>
      </c>
      <c r="BB666" s="25"/>
      <c r="BC666" s="25"/>
      <c r="BD666" s="25">
        <v>21.597916666666666</v>
      </c>
      <c r="BE666" s="25"/>
    </row>
    <row r="667" spans="1:57" x14ac:dyDescent="0.25">
      <c r="A667" s="1">
        <v>27.9</v>
      </c>
      <c r="B667" s="1">
        <v>21.3</v>
      </c>
      <c r="C667" s="22"/>
      <c r="D667" s="23">
        <v>44374</v>
      </c>
      <c r="E667" s="24">
        <v>126.04166666666667</v>
      </c>
      <c r="F667" s="24">
        <v>83.981250000000003</v>
      </c>
      <c r="G667" s="24">
        <v>23.889583333333331</v>
      </c>
      <c r="H667" s="24">
        <v>0.2</v>
      </c>
      <c r="I667" s="24">
        <v>231.52083333333334</v>
      </c>
      <c r="J667" s="24">
        <v>6.833333333333333</v>
      </c>
      <c r="K667" s="24">
        <v>0.66666666666666663</v>
      </c>
      <c r="L667" s="24">
        <v>20.958333333333332</v>
      </c>
      <c r="M667" s="10">
        <v>0.50149765947552705</v>
      </c>
      <c r="N667" s="25">
        <v>0.28031249999999996</v>
      </c>
      <c r="O667" s="25">
        <v>0.36856249999999996</v>
      </c>
      <c r="P667" s="25">
        <v>0.4376250000000001</v>
      </c>
      <c r="Q667" s="25">
        <v>0.45508333333333328</v>
      </c>
      <c r="R667" s="25">
        <v>0.46427083333333297</v>
      </c>
      <c r="S667" s="25">
        <v>0.3569583333333331</v>
      </c>
      <c r="T667" s="25">
        <v>0.36172916666666649</v>
      </c>
      <c r="U667" s="25">
        <v>0.3187500000000002</v>
      </c>
      <c r="V667" s="25">
        <v>-24.648333333333337</v>
      </c>
      <c r="W667" s="25">
        <v>-41.228958333333338</v>
      </c>
      <c r="X667" s="25">
        <v>-69.875416666666666</v>
      </c>
      <c r="Y667" s="25">
        <v>-55.260624999999997</v>
      </c>
      <c r="Z667" s="25">
        <v>-22.879166666666666</v>
      </c>
      <c r="AA667" s="25">
        <v>-61.257708333333333</v>
      </c>
      <c r="AB667" s="25">
        <v>-56.087291666666665</v>
      </c>
      <c r="AC667" s="25">
        <v>-75.167083333333366</v>
      </c>
      <c r="AD667" s="25">
        <v>-144.87708333333333</v>
      </c>
      <c r="AE667" s="25">
        <v>-245.12083333333331</v>
      </c>
      <c r="AF667" s="25">
        <v>-301.06666666666666</v>
      </c>
      <c r="AG667" s="25">
        <v>-176.54375000000002</v>
      </c>
      <c r="AH667" s="25">
        <v>-44.010416666666657</v>
      </c>
      <c r="AI667" s="25">
        <v>-520.67499999999984</v>
      </c>
      <c r="AJ667" s="25">
        <v>-656.42916666666667</v>
      </c>
      <c r="AK667" s="25">
        <v>-112.12916666666642</v>
      </c>
      <c r="AL667" s="25">
        <v>21.237500000000004</v>
      </c>
      <c r="AM667" s="25">
        <v>20.477083333333329</v>
      </c>
      <c r="AN667" s="25">
        <v>19.787499999999984</v>
      </c>
      <c r="AO667" s="25">
        <v>19.42499999999999</v>
      </c>
      <c r="AP667" s="25">
        <v>21.579166666666666</v>
      </c>
      <c r="AQ667" s="25">
        <v>20.979166666666661</v>
      </c>
      <c r="AR667" s="25">
        <v>20.458333333333325</v>
      </c>
      <c r="AS667" s="25">
        <v>20.214583333333337</v>
      </c>
      <c r="AT667" s="25">
        <v>0.33142424242424251</v>
      </c>
      <c r="AU667" s="25"/>
      <c r="AV667" s="25">
        <v>0.32441666666666663</v>
      </c>
      <c r="AW667" s="25">
        <v>-98.245625000000004</v>
      </c>
      <c r="AX667" s="25">
        <v>-38.882083333333334</v>
      </c>
      <c r="AY667" s="25">
        <v>-95.112500000000011</v>
      </c>
      <c r="AZ667" s="25"/>
      <c r="BA667" s="25">
        <v>-19.758333333333333</v>
      </c>
      <c r="BB667" s="25"/>
      <c r="BC667" s="25"/>
      <c r="BD667" s="25">
        <v>21.725000000000005</v>
      </c>
      <c r="BE667" s="25"/>
    </row>
    <row r="668" spans="1:57" x14ac:dyDescent="0.25">
      <c r="A668" s="1">
        <v>25.2</v>
      </c>
      <c r="B668" s="1">
        <v>18.8</v>
      </c>
      <c r="C668" s="22"/>
      <c r="D668" s="23">
        <v>44375</v>
      </c>
      <c r="E668" s="24">
        <v>95.708333333333329</v>
      </c>
      <c r="F668" s="24">
        <v>92.583333333333329</v>
      </c>
      <c r="G668" s="24">
        <v>21.214583333333341</v>
      </c>
      <c r="H668" s="24">
        <v>74.100000000000023</v>
      </c>
      <c r="I668" s="24">
        <v>249.75</v>
      </c>
      <c r="J668" s="24">
        <v>2.0416666666666665</v>
      </c>
      <c r="K668" s="24">
        <v>4.1666666666666664E-2</v>
      </c>
      <c r="L668" s="24">
        <v>19.910416666666663</v>
      </c>
      <c r="M668" s="10">
        <v>0.20432607517798251</v>
      </c>
      <c r="N668" s="25">
        <v>0.45422916666666652</v>
      </c>
      <c r="O668" s="25">
        <v>0.51747916666666682</v>
      </c>
      <c r="P668" s="25">
        <v>0.57081249999999994</v>
      </c>
      <c r="Q668" s="25">
        <v>0.59850000000000014</v>
      </c>
      <c r="R668" s="25">
        <v>0.60120833333333312</v>
      </c>
      <c r="S668" s="25">
        <v>0.49093749999999997</v>
      </c>
      <c r="T668" s="25">
        <v>0.46112500000000006</v>
      </c>
      <c r="U668" s="25">
        <v>0.39602083333333343</v>
      </c>
      <c r="V668" s="25">
        <v>-15.442083333333334</v>
      </c>
      <c r="W668" s="25">
        <v>-24.244375000000005</v>
      </c>
      <c r="X668" s="25">
        <v>-18.43458333333334</v>
      </c>
      <c r="Y668" s="25">
        <v>-17.251666666666658</v>
      </c>
      <c r="Z668" s="25">
        <v>-14.082291666666656</v>
      </c>
      <c r="AA668" s="25">
        <v>-17.660833333333333</v>
      </c>
      <c r="AB668" s="25">
        <v>-17.447291666666665</v>
      </c>
      <c r="AC668" s="25">
        <v>-20.212499999999991</v>
      </c>
      <c r="AD668" s="25">
        <v>-27.945833333333287</v>
      </c>
      <c r="AE668" s="25">
        <v>-39.739583333333357</v>
      </c>
      <c r="AF668" s="25">
        <v>-46.177083333333279</v>
      </c>
      <c r="AG668" s="25">
        <v>-32.706250000000004</v>
      </c>
      <c r="AH668" s="25">
        <v>-17.493750000000009</v>
      </c>
      <c r="AI668" s="25">
        <v>-55.391666666666737</v>
      </c>
      <c r="AJ668" s="25">
        <v>-67.460416666666518</v>
      </c>
      <c r="AK668" s="25">
        <v>-11.556250000000007</v>
      </c>
      <c r="AL668" s="25">
        <v>21.066666666666666</v>
      </c>
      <c r="AM668" s="25">
        <v>20.575000000000003</v>
      </c>
      <c r="AN668" s="25">
        <v>19.985416666666666</v>
      </c>
      <c r="AO668" s="25">
        <v>19.672916666666683</v>
      </c>
      <c r="AP668" s="25">
        <v>21.141666666666659</v>
      </c>
      <c r="AQ668" s="25">
        <v>20.939583333333317</v>
      </c>
      <c r="AR668" s="25">
        <v>20.579166666666662</v>
      </c>
      <c r="AS668" s="25">
        <v>20.393749999999979</v>
      </c>
      <c r="AT668" s="25">
        <v>0.47539285714285723</v>
      </c>
      <c r="AU668" s="25"/>
      <c r="AV668" s="25">
        <v>0.48137500000000016</v>
      </c>
      <c r="AW668" s="25">
        <v>-37.471666666666671</v>
      </c>
      <c r="AX668" s="25">
        <v>-18.829791666666665</v>
      </c>
      <c r="AY668" s="25">
        <v>-24.693750000000005</v>
      </c>
      <c r="AZ668" s="25"/>
      <c r="BA668" s="25">
        <v>-11.756250000000001</v>
      </c>
      <c r="BB668" s="25"/>
      <c r="BC668" s="25"/>
      <c r="BD668" s="25">
        <v>21.097916666666677</v>
      </c>
      <c r="BE668" s="25"/>
    </row>
    <row r="669" spans="1:57" x14ac:dyDescent="0.25">
      <c r="A669" s="1">
        <v>27.9</v>
      </c>
      <c r="B669" s="1">
        <v>19.399999999999999</v>
      </c>
      <c r="C669" s="22"/>
      <c r="D669" s="23">
        <v>44376</v>
      </c>
      <c r="E669" s="24">
        <v>110.04166666666667</v>
      </c>
      <c r="F669" s="24">
        <v>92.610416666666666</v>
      </c>
      <c r="G669" s="24">
        <v>21.560416666666669</v>
      </c>
      <c r="H669" s="24">
        <v>13.899999999999999</v>
      </c>
      <c r="I669" s="24">
        <v>245.54166666666666</v>
      </c>
      <c r="J669" s="24">
        <v>0.6875</v>
      </c>
      <c r="K669" s="24">
        <v>0</v>
      </c>
      <c r="L669" s="24">
        <v>20.243750000000002</v>
      </c>
      <c r="M669" s="10">
        <v>0.22089286690739973</v>
      </c>
      <c r="N669" s="25">
        <v>0.45208333333333334</v>
      </c>
      <c r="O669" s="25">
        <v>0.53595833333333365</v>
      </c>
      <c r="P669" s="25">
        <v>0.58493749999999967</v>
      </c>
      <c r="Q669" s="25">
        <v>0.59668750000000026</v>
      </c>
      <c r="R669" s="25">
        <v>0.609375</v>
      </c>
      <c r="S669" s="25">
        <v>0.49322916666666655</v>
      </c>
      <c r="T669" s="25">
        <v>0.47616666666666702</v>
      </c>
      <c r="U669" s="25">
        <v>0.41143750000000012</v>
      </c>
      <c r="V669" s="25">
        <v>-14.386874999999998</v>
      </c>
      <c r="W669" s="25">
        <v>-23.650624999999994</v>
      </c>
      <c r="X669" s="25">
        <v>-12.279999999999994</v>
      </c>
      <c r="Y669" s="25">
        <v>-12.796458333333334</v>
      </c>
      <c r="Z669" s="25">
        <v>-12.540000000000004</v>
      </c>
      <c r="AA669" s="25">
        <v>-12.510625000000003</v>
      </c>
      <c r="AB669" s="25">
        <v>-12.779375</v>
      </c>
      <c r="AC669" s="25">
        <v>-13.646249999999997</v>
      </c>
      <c r="AD669" s="25">
        <v>-10.031249999999998</v>
      </c>
      <c r="AE669" s="25">
        <v>-11.185416666666663</v>
      </c>
      <c r="AF669" s="25">
        <v>-11.191666666666663</v>
      </c>
      <c r="AG669" s="25">
        <v>-12.102083333333345</v>
      </c>
      <c r="AH669" s="25">
        <v>-12.491666666666665</v>
      </c>
      <c r="AI669" s="25">
        <v>-10.395833333333325</v>
      </c>
      <c r="AJ669" s="25">
        <v>-10.681249999999997</v>
      </c>
      <c r="AK669" s="25">
        <v>-11.075000000000003</v>
      </c>
      <c r="AL669" s="25">
        <v>21.00833333333334</v>
      </c>
      <c r="AM669" s="25">
        <v>20.477083333333329</v>
      </c>
      <c r="AN669" s="25">
        <v>19.943749999999987</v>
      </c>
      <c r="AO669" s="25">
        <v>19.700000000000017</v>
      </c>
      <c r="AP669" s="25">
        <v>21.229166666666664</v>
      </c>
      <c r="AQ669" s="25">
        <v>20.860416666666662</v>
      </c>
      <c r="AR669" s="25">
        <v>20.460416666666656</v>
      </c>
      <c r="AS669" s="25">
        <v>20.285416666666663</v>
      </c>
      <c r="AT669" s="25">
        <v>0.45411999999999991</v>
      </c>
      <c r="AU669" s="25"/>
      <c r="AV669" s="25">
        <v>0.49143750000000003</v>
      </c>
      <c r="AW669" s="25">
        <v>-24.492916666666673</v>
      </c>
      <c r="AX669" s="25">
        <v>-15.176250000000001</v>
      </c>
      <c r="AY669" s="25">
        <v>-14.168541666666668</v>
      </c>
      <c r="AZ669" s="25"/>
      <c r="BA669" s="25">
        <v>-10.395833333333325</v>
      </c>
      <c r="BB669" s="25"/>
      <c r="BC669" s="25"/>
      <c r="BD669" s="25">
        <v>21.122916666666669</v>
      </c>
      <c r="BE669" s="25"/>
    </row>
    <row r="670" spans="1:57" x14ac:dyDescent="0.25">
      <c r="A670" s="1">
        <v>23.4</v>
      </c>
      <c r="B670" s="1">
        <v>19.600000000000001</v>
      </c>
      <c r="C670" s="22"/>
      <c r="D670" s="23">
        <v>44377</v>
      </c>
      <c r="E670" s="24">
        <v>80.25</v>
      </c>
      <c r="F670" s="24">
        <v>95.381250000000009</v>
      </c>
      <c r="G670" s="24">
        <v>20.954166666666662</v>
      </c>
      <c r="H670" s="24">
        <v>14.699999999999998</v>
      </c>
      <c r="I670" s="24">
        <v>162.16666666666666</v>
      </c>
      <c r="J670" s="24">
        <v>0.35416666666666669</v>
      </c>
      <c r="K670" s="24">
        <v>0</v>
      </c>
      <c r="L670" s="24">
        <v>20.181249999999999</v>
      </c>
      <c r="M670" s="10">
        <v>0.11922090667953328</v>
      </c>
      <c r="N670" s="25">
        <v>0.49181250000000004</v>
      </c>
      <c r="O670" s="25">
        <v>0.56200000000000017</v>
      </c>
      <c r="P670" s="25">
        <v>0.60197916666666684</v>
      </c>
      <c r="Q670" s="25">
        <v>0.62152083333333319</v>
      </c>
      <c r="R670" s="25">
        <v>0.62499999999999989</v>
      </c>
      <c r="S670" s="25">
        <v>0.53187499999999988</v>
      </c>
      <c r="T670" s="25">
        <v>0.49222916666666666</v>
      </c>
      <c r="U670" s="25">
        <v>0.43454166666666655</v>
      </c>
      <c r="V670" s="25">
        <v>-14.423958333333337</v>
      </c>
      <c r="W670" s="25">
        <v>-24.370208333333334</v>
      </c>
      <c r="X670" s="25">
        <v>-12.153749999999997</v>
      </c>
      <c r="Y670" s="25">
        <v>-12.581041666666664</v>
      </c>
      <c r="Z670" s="25">
        <v>-12.396041666666669</v>
      </c>
      <c r="AA670" s="25">
        <v>-12.301875000000001</v>
      </c>
      <c r="AB670" s="25">
        <v>-12.683750000000009</v>
      </c>
      <c r="AC670" s="25">
        <v>-13.570208333333335</v>
      </c>
      <c r="AD670" s="25">
        <v>-9.7666666666666657</v>
      </c>
      <c r="AE670" s="25">
        <v>-10.929166666666658</v>
      </c>
      <c r="AF670" s="25">
        <v>-10.84583333333334</v>
      </c>
      <c r="AG670" s="25">
        <v>-11.78958333333334</v>
      </c>
      <c r="AH670" s="25">
        <v>-12.314583333333333</v>
      </c>
      <c r="AI670" s="25">
        <v>-10.277083333333335</v>
      </c>
      <c r="AJ670" s="25">
        <v>-10.458333333333325</v>
      </c>
      <c r="AK670" s="25">
        <v>-11.027083333333332</v>
      </c>
      <c r="AL670" s="25">
        <v>20.904166666666661</v>
      </c>
      <c r="AM670" s="25">
        <v>20.445833333333322</v>
      </c>
      <c r="AN670" s="25">
        <v>19.968749999999996</v>
      </c>
      <c r="AO670" s="25">
        <v>19.710416666666674</v>
      </c>
      <c r="AP670" s="25">
        <v>21.043749999999999</v>
      </c>
      <c r="AQ670" s="25">
        <v>20.816666666666666</v>
      </c>
      <c r="AR670" s="25">
        <v>20.45624999999999</v>
      </c>
      <c r="AS670" s="25">
        <v>20.302083333333318</v>
      </c>
      <c r="AT670" s="25">
        <v>0.47838461538461541</v>
      </c>
      <c r="AU670" s="25"/>
      <c r="AV670" s="25">
        <v>0.51743749999999999</v>
      </c>
      <c r="AW670" s="25">
        <v>-23.291041666666668</v>
      </c>
      <c r="AX670" s="25">
        <v>-16.143541666666664</v>
      </c>
      <c r="AY670" s="25">
        <v>-14.113750000000005</v>
      </c>
      <c r="AZ670" s="25"/>
      <c r="BA670" s="25">
        <v>-10.150000000000007</v>
      </c>
      <c r="BB670" s="25"/>
      <c r="BC670" s="25"/>
      <c r="BD670" s="25">
        <v>20.912500000000001</v>
      </c>
      <c r="BE670" s="25"/>
    </row>
    <row r="671" spans="1:57" x14ac:dyDescent="0.25">
      <c r="A671" s="1">
        <v>29.9</v>
      </c>
      <c r="B671" s="1">
        <v>18.3</v>
      </c>
      <c r="C671" s="22"/>
      <c r="D671" s="23">
        <v>44378</v>
      </c>
      <c r="E671" s="24">
        <v>192.25</v>
      </c>
      <c r="F671" s="24">
        <v>88.516666666666694</v>
      </c>
      <c r="G671" s="24">
        <v>22.481249999999999</v>
      </c>
      <c r="H671" s="24">
        <v>60.900000000000013</v>
      </c>
      <c r="I671" s="24">
        <v>257.16666666666669</v>
      </c>
      <c r="J671" s="24">
        <v>1.7083333333333333</v>
      </c>
      <c r="K671" s="24">
        <v>2.0833333333333332E-2</v>
      </c>
      <c r="L671" s="24">
        <v>20.252083333333335</v>
      </c>
      <c r="M671" s="10">
        <v>0.4055857702446633</v>
      </c>
      <c r="N671" s="25">
        <v>0.49054166666666649</v>
      </c>
      <c r="O671" s="25">
        <v>0.55791666666666651</v>
      </c>
      <c r="P671" s="25">
        <v>0.60054166666666653</v>
      </c>
      <c r="Q671" s="25">
        <v>0.61410416666666656</v>
      </c>
      <c r="R671" s="25">
        <v>0.62347916666666658</v>
      </c>
      <c r="S671" s="25">
        <v>0.5345833333333333</v>
      </c>
      <c r="T671" s="25">
        <v>0.49254166666666649</v>
      </c>
      <c r="U671" s="25">
        <v>0.43239583333333331</v>
      </c>
      <c r="V671" s="25">
        <v>-14.365625000000001</v>
      </c>
      <c r="W671" s="25">
        <v>-23.133958333333336</v>
      </c>
      <c r="X671" s="25">
        <v>-12.114583333333336</v>
      </c>
      <c r="Y671" s="25">
        <v>-12.66145833333333</v>
      </c>
      <c r="Z671" s="25">
        <v>-12.436458333333333</v>
      </c>
      <c r="AA671" s="25">
        <v>-12.407708333333334</v>
      </c>
      <c r="AB671" s="25">
        <v>-12.719583333333334</v>
      </c>
      <c r="AC671" s="25">
        <v>-13.547500000000001</v>
      </c>
      <c r="AD671" s="25">
        <v>-9.6374999999999975</v>
      </c>
      <c r="AE671" s="25">
        <v>-10.772916666666669</v>
      </c>
      <c r="AF671" s="25">
        <v>-10.735416666666673</v>
      </c>
      <c r="AG671" s="25">
        <v>-11.65208333333333</v>
      </c>
      <c r="AH671" s="25">
        <v>-12.252083333333339</v>
      </c>
      <c r="AI671" s="25">
        <v>-10.22083333333334</v>
      </c>
      <c r="AJ671" s="25">
        <v>-10.354166666666666</v>
      </c>
      <c r="AK671" s="25">
        <v>-10.497916666666665</v>
      </c>
      <c r="AL671" s="25">
        <v>21.002083333333335</v>
      </c>
      <c r="AM671" s="25">
        <v>20.508333333333319</v>
      </c>
      <c r="AN671" s="25">
        <v>20.002083333333324</v>
      </c>
      <c r="AO671" s="25">
        <v>19.762500000000006</v>
      </c>
      <c r="AP671" s="25">
        <v>21.262499999999999</v>
      </c>
      <c r="AQ671" s="25">
        <v>20.885416666666668</v>
      </c>
      <c r="AR671" s="25">
        <v>20.489583333333325</v>
      </c>
      <c r="AS671" s="25">
        <v>20.306250000000009</v>
      </c>
      <c r="AT671" s="25">
        <v>0.47641935483870962</v>
      </c>
      <c r="AU671" s="25">
        <v>0.44771428571428562</v>
      </c>
      <c r="AV671" s="25">
        <v>0.5168124999999999</v>
      </c>
      <c r="AW671" s="25">
        <v>-27.341666666666669</v>
      </c>
      <c r="AX671" s="25">
        <v>-15.289583333333333</v>
      </c>
      <c r="AY671" s="25">
        <v>-14.084791666666661</v>
      </c>
      <c r="AZ671" s="25"/>
      <c r="BA671" s="25">
        <v>-10.039583333333328</v>
      </c>
      <c r="BB671" s="25"/>
      <c r="BC671" s="25"/>
      <c r="BD671" s="25">
        <v>21.237500000000001</v>
      </c>
      <c r="BE671" s="25"/>
    </row>
    <row r="672" spans="1:57" x14ac:dyDescent="0.25">
      <c r="A672" s="1">
        <v>25.2</v>
      </c>
      <c r="B672" s="1">
        <v>17.899999999999999</v>
      </c>
      <c r="C672" s="22"/>
      <c r="D672" s="23">
        <v>44379</v>
      </c>
      <c r="E672" s="24">
        <v>80.729166666666671</v>
      </c>
      <c r="F672" s="24">
        <v>95.008333333333368</v>
      </c>
      <c r="G672" s="24">
        <v>20.308333333333334</v>
      </c>
      <c r="H672" s="24">
        <v>32.299999999999997</v>
      </c>
      <c r="I672" s="24">
        <v>259.625</v>
      </c>
      <c r="J672" s="24">
        <v>1.3541666666666667</v>
      </c>
      <c r="K672" s="24">
        <v>0</v>
      </c>
      <c r="L672" s="24">
        <v>19.458333333333332</v>
      </c>
      <c r="M672" s="10">
        <v>0.13147497943947309</v>
      </c>
      <c r="N672" s="25">
        <v>0.51114583333333341</v>
      </c>
      <c r="O672" s="25">
        <v>0.56945833333333318</v>
      </c>
      <c r="P672" s="25">
        <v>0.60910416666666667</v>
      </c>
      <c r="Q672" s="25">
        <v>0.62660416666666641</v>
      </c>
      <c r="R672" s="25">
        <v>0.62760416666666652</v>
      </c>
      <c r="S672" s="25">
        <v>0.54749999999999999</v>
      </c>
      <c r="T672" s="25">
        <v>0.49652083333333324</v>
      </c>
      <c r="U672" s="25">
        <v>0.44316666666666649</v>
      </c>
      <c r="V672" s="25">
        <v>-14.421666666666669</v>
      </c>
      <c r="W672" s="25">
        <v>-24.038124999999997</v>
      </c>
      <c r="X672" s="25">
        <v>-12.017708333333331</v>
      </c>
      <c r="Y672" s="25">
        <v>-12.577916666666665</v>
      </c>
      <c r="Z672" s="25">
        <v>-12.433750000000003</v>
      </c>
      <c r="AA672" s="25">
        <v>-12.568750000000001</v>
      </c>
      <c r="AB672" s="25">
        <v>-12.797083333333331</v>
      </c>
      <c r="AC672" s="25">
        <v>-13.634583333333333</v>
      </c>
      <c r="AD672" s="25">
        <v>-9.3874999999999975</v>
      </c>
      <c r="AE672" s="25">
        <v>-10.502083333333331</v>
      </c>
      <c r="AF672" s="25">
        <v>-10.470833333333333</v>
      </c>
      <c r="AG672" s="25">
        <v>-11.433333333333323</v>
      </c>
      <c r="AH672" s="25">
        <v>-11.985416666666664</v>
      </c>
      <c r="AI672" s="25">
        <v>-9.9937499999999986</v>
      </c>
      <c r="AJ672" s="25">
        <v>-10.174999999999994</v>
      </c>
      <c r="AK672" s="25">
        <v>-10.335416666666667</v>
      </c>
      <c r="AL672" s="25">
        <v>19.941666666666666</v>
      </c>
      <c r="AM672" s="25">
        <v>19.837499999999995</v>
      </c>
      <c r="AN672" s="25">
        <v>19.799999999999983</v>
      </c>
      <c r="AO672" s="25">
        <v>19.810416666666669</v>
      </c>
      <c r="AP672" s="25">
        <v>20.681250000000002</v>
      </c>
      <c r="AQ672" s="25">
        <v>20.668750000000003</v>
      </c>
      <c r="AR672" s="25">
        <v>20.387500000000006</v>
      </c>
      <c r="AS672" s="25">
        <v>20.222916666666681</v>
      </c>
      <c r="AT672" s="25">
        <v>0.52049999999999996</v>
      </c>
      <c r="AU672" s="25">
        <v>0.41466666666666674</v>
      </c>
      <c r="AV672" s="25">
        <v>0.54358333333333309</v>
      </c>
      <c r="AW672" s="25">
        <v>-23.699791666666666</v>
      </c>
      <c r="AX672" s="25">
        <v>-15.973541666666662</v>
      </c>
      <c r="AY672" s="25">
        <v>-13.908125000000004</v>
      </c>
      <c r="AZ672" s="25"/>
      <c r="BA672" s="25">
        <v>-9.8124999999999929</v>
      </c>
      <c r="BB672" s="25"/>
      <c r="BC672" s="25"/>
      <c r="BD672" s="25">
        <v>19.720833333333331</v>
      </c>
      <c r="BE672" s="25"/>
    </row>
    <row r="673" spans="1:57" x14ac:dyDescent="0.25">
      <c r="A673" s="1">
        <v>23.1</v>
      </c>
      <c r="B673" s="1">
        <v>18.2</v>
      </c>
      <c r="C673" s="22"/>
      <c r="D673" s="23">
        <v>44380</v>
      </c>
      <c r="E673" s="24">
        <v>80.125</v>
      </c>
      <c r="F673" s="24">
        <v>94.99166666666666</v>
      </c>
      <c r="G673" s="24">
        <v>20.066666666666666</v>
      </c>
      <c r="H673" s="24">
        <v>6.2</v>
      </c>
      <c r="I673" s="24">
        <v>261.625</v>
      </c>
      <c r="J673" s="24">
        <v>0.91666666666666663</v>
      </c>
      <c r="K673" s="24">
        <v>2.0833333333333332E-2</v>
      </c>
      <c r="L673" s="24">
        <v>19.214583333333341</v>
      </c>
      <c r="M673" s="10">
        <v>0.12547018241287469</v>
      </c>
      <c r="N673" s="25">
        <v>0.50733333333333341</v>
      </c>
      <c r="O673" s="25">
        <v>0.56693749999999998</v>
      </c>
      <c r="P673" s="25">
        <v>0.60629166666666678</v>
      </c>
      <c r="Q673" s="25">
        <v>0.62420833333333325</v>
      </c>
      <c r="R673" s="25">
        <v>0.62668749999999995</v>
      </c>
      <c r="S673" s="25">
        <v>0.54466666666666652</v>
      </c>
      <c r="T673" s="25">
        <v>0.49558333333333332</v>
      </c>
      <c r="U673" s="25">
        <v>0.44199999999999995</v>
      </c>
      <c r="V673" s="25">
        <v>-14.442500000000003</v>
      </c>
      <c r="W673" s="25">
        <v>-26.892083333333321</v>
      </c>
      <c r="X673" s="25">
        <v>-12.130416666666667</v>
      </c>
      <c r="Y673" s="25">
        <v>-12.602083333333335</v>
      </c>
      <c r="Z673" s="25">
        <v>-12.413958333333339</v>
      </c>
      <c r="AA673" s="25">
        <v>-12.685208333333343</v>
      </c>
      <c r="AB673" s="25">
        <v>-12.888750000000007</v>
      </c>
      <c r="AC673" s="25">
        <v>-13.753749999999998</v>
      </c>
      <c r="AD673" s="25">
        <v>-9.2791666666666739</v>
      </c>
      <c r="AE673" s="25">
        <v>-10.347916666666674</v>
      </c>
      <c r="AF673" s="25">
        <v>-10.302083333333341</v>
      </c>
      <c r="AG673" s="25">
        <v>-11.20416666666666</v>
      </c>
      <c r="AH673" s="25">
        <v>-11.858333333333333</v>
      </c>
      <c r="AI673" s="25">
        <v>-9.8999999999999915</v>
      </c>
      <c r="AJ673" s="25">
        <v>-10.004166666666666</v>
      </c>
      <c r="AK673" s="25">
        <v>-10.652083333333332</v>
      </c>
      <c r="AL673" s="25">
        <v>20.077083333333324</v>
      </c>
      <c r="AM673" s="25">
        <v>19.864583333333325</v>
      </c>
      <c r="AN673" s="25">
        <v>19.706250000000018</v>
      </c>
      <c r="AO673" s="25">
        <v>19.706250000000015</v>
      </c>
      <c r="AP673" s="25">
        <v>20.487500000000001</v>
      </c>
      <c r="AQ673" s="25">
        <v>20.366666666666671</v>
      </c>
      <c r="AR673" s="25">
        <v>20.020833333333325</v>
      </c>
      <c r="AS673" s="25">
        <v>19.797916666666673</v>
      </c>
      <c r="AT673" s="25">
        <v>0.5177708333333334</v>
      </c>
      <c r="AU673" s="25">
        <v>0.4048958333333334</v>
      </c>
      <c r="AV673" s="25">
        <v>0.5407708333333332</v>
      </c>
      <c r="AW673" s="25">
        <v>-30.502291666666675</v>
      </c>
      <c r="AX673" s="25">
        <v>-16.278958333333332</v>
      </c>
      <c r="AY673" s="25">
        <v>-13.783333333333339</v>
      </c>
      <c r="AZ673" s="25"/>
      <c r="BA673" s="25">
        <v>-9.6979166666666661</v>
      </c>
      <c r="BB673" s="25"/>
      <c r="BC673" s="25"/>
      <c r="BD673" s="25">
        <v>19.681249999999999</v>
      </c>
      <c r="BE673" s="25"/>
    </row>
    <row r="674" spans="1:57" x14ac:dyDescent="0.25">
      <c r="A674" s="1">
        <v>28.8</v>
      </c>
      <c r="B674" s="1">
        <v>18.7</v>
      </c>
      <c r="C674" s="22"/>
      <c r="D674" s="23">
        <v>44381</v>
      </c>
      <c r="E674" s="24">
        <v>168.45833333333334</v>
      </c>
      <c r="F674" s="24">
        <v>87.966666666666683</v>
      </c>
      <c r="G674" s="24">
        <v>22.685416666666665</v>
      </c>
      <c r="H674" s="24">
        <v>1.4</v>
      </c>
      <c r="I674" s="24">
        <v>221.625</v>
      </c>
      <c r="J674" s="24">
        <v>5.3125</v>
      </c>
      <c r="K674" s="24">
        <v>0.83333333333333337</v>
      </c>
      <c r="L674" s="24">
        <v>20.439583333333328</v>
      </c>
      <c r="M674" s="10">
        <v>0.39529987072719514</v>
      </c>
      <c r="N674" s="25">
        <v>0.46618749999999959</v>
      </c>
      <c r="O674" s="25">
        <v>0.54366666666666696</v>
      </c>
      <c r="P674" s="25">
        <v>0.59127083333333308</v>
      </c>
      <c r="Q674" s="25">
        <v>0.60356250000000033</v>
      </c>
      <c r="R674" s="25">
        <v>0.61441666666666672</v>
      </c>
      <c r="S674" s="25">
        <v>0.511354166666667</v>
      </c>
      <c r="T674" s="25">
        <v>0.48231249999999976</v>
      </c>
      <c r="U674" s="25">
        <v>0.41974999999999979</v>
      </c>
      <c r="V674" s="25">
        <v>-14.44666666666666</v>
      </c>
      <c r="W674" s="25">
        <v>-26.070208333333341</v>
      </c>
      <c r="X674" s="25">
        <v>-12.232291666666667</v>
      </c>
      <c r="Y674" s="25">
        <v>-12.758541666666671</v>
      </c>
      <c r="Z674" s="25">
        <v>-12.495208333333343</v>
      </c>
      <c r="AA674" s="25">
        <v>-12.465833333333329</v>
      </c>
      <c r="AB674" s="25">
        <v>-12.825208333333338</v>
      </c>
      <c r="AC674" s="25">
        <v>-13.545416666666656</v>
      </c>
      <c r="AD674" s="25">
        <v>-9.3604166666666604</v>
      </c>
      <c r="AE674" s="25">
        <v>-10.364583333333325</v>
      </c>
      <c r="AF674" s="25">
        <v>-10.33333333333333</v>
      </c>
      <c r="AG674" s="25">
        <v>-11.235416666666664</v>
      </c>
      <c r="AH674" s="25">
        <v>-11.935416666666663</v>
      </c>
      <c r="AI674" s="25">
        <v>-9.9375</v>
      </c>
      <c r="AJ674" s="25">
        <v>-10.052083333333343</v>
      </c>
      <c r="AK674" s="25">
        <v>-10.533333333333337</v>
      </c>
      <c r="AL674" s="25">
        <v>20.474999999999991</v>
      </c>
      <c r="AM674" s="25">
        <v>20.035416666666674</v>
      </c>
      <c r="AN674" s="25">
        <v>19.700000000000017</v>
      </c>
      <c r="AO674" s="25">
        <v>19.600000000000016</v>
      </c>
      <c r="AP674" s="25">
        <v>20.768749999999997</v>
      </c>
      <c r="AQ674" s="25">
        <v>20.306250000000006</v>
      </c>
      <c r="AR674" s="25">
        <v>19.914583333333322</v>
      </c>
      <c r="AS674" s="25">
        <v>19.729166666666675</v>
      </c>
      <c r="AT674" s="25">
        <v>0.46714893617021236</v>
      </c>
      <c r="AU674" s="25">
        <v>0.30686111111111114</v>
      </c>
      <c r="AV674" s="25">
        <v>0.50189583333333332</v>
      </c>
      <c r="AW674" s="25">
        <v>-26.594166666666663</v>
      </c>
      <c r="AX674" s="25">
        <v>-15.204166666666667</v>
      </c>
      <c r="AY674" s="25">
        <v>-13.823333333333332</v>
      </c>
      <c r="AZ674" s="25"/>
      <c r="BA674" s="25">
        <v>-9.8104166666666703</v>
      </c>
      <c r="BB674" s="25"/>
      <c r="BC674" s="25"/>
      <c r="BD674" s="25">
        <v>20.806249999999999</v>
      </c>
      <c r="BE674" s="25"/>
    </row>
    <row r="675" spans="1:57" x14ac:dyDescent="0.25">
      <c r="A675" s="1">
        <v>26.8</v>
      </c>
      <c r="B675" s="1">
        <v>21.3</v>
      </c>
      <c r="C675" s="22"/>
      <c r="D675" s="23">
        <v>44382</v>
      </c>
      <c r="E675" s="24">
        <v>148.20833333333334</v>
      </c>
      <c r="F675" s="24">
        <v>86.64791666666666</v>
      </c>
      <c r="G675" s="24">
        <v>23.274999999999995</v>
      </c>
      <c r="H675" s="24">
        <v>9</v>
      </c>
      <c r="I675" s="24">
        <v>227.97916666666666</v>
      </c>
      <c r="J675" s="24">
        <v>11.916666666666666</v>
      </c>
      <c r="K675" s="24">
        <v>2.25</v>
      </c>
      <c r="L675" s="24">
        <v>20.868749999999995</v>
      </c>
      <c r="M675" s="10">
        <v>0.40131743328935388</v>
      </c>
      <c r="N675" s="25">
        <v>0.47883333333333306</v>
      </c>
      <c r="O675" s="25">
        <v>0.5529375000000003</v>
      </c>
      <c r="P675" s="25">
        <v>0.59750000000000025</v>
      </c>
      <c r="Q675" s="25">
        <v>0.61304166666666693</v>
      </c>
      <c r="R675" s="25">
        <v>0.62258333333333316</v>
      </c>
      <c r="S675" s="25">
        <v>0.52620833333333339</v>
      </c>
      <c r="T675" s="25">
        <v>0.48720833333333341</v>
      </c>
      <c r="U675" s="25">
        <v>0.42320833333333346</v>
      </c>
      <c r="V675" s="25">
        <v>-14.286458333333336</v>
      </c>
      <c r="W675" s="25">
        <v>-28.563958333333336</v>
      </c>
      <c r="X675" s="25">
        <v>-12.147708333333332</v>
      </c>
      <c r="Y675" s="25">
        <v>-12.711041666666668</v>
      </c>
      <c r="Z675" s="25">
        <v>-12.369375000000007</v>
      </c>
      <c r="AA675" s="25">
        <v>-12.282916666666665</v>
      </c>
      <c r="AB675" s="25">
        <v>-12.731250000000003</v>
      </c>
      <c r="AC675" s="25">
        <v>-13.52125</v>
      </c>
      <c r="AD675" s="25">
        <v>-9.2416666666666671</v>
      </c>
      <c r="AE675" s="25">
        <v>-10.308333333333341</v>
      </c>
      <c r="AF675" s="25">
        <v>-10.26041666666667</v>
      </c>
      <c r="AG675" s="25">
        <v>-11.164583333333333</v>
      </c>
      <c r="AH675" s="25">
        <v>-11.783333333333331</v>
      </c>
      <c r="AI675" s="25">
        <v>-9.856249999999994</v>
      </c>
      <c r="AJ675" s="25">
        <v>-10.008333333333333</v>
      </c>
      <c r="AK675" s="25">
        <v>-10.710416666666665</v>
      </c>
      <c r="AL675" s="25">
        <v>21.097916666666656</v>
      </c>
      <c r="AM675" s="25">
        <v>20.404166666666658</v>
      </c>
      <c r="AN675" s="25">
        <v>19.866666666666656</v>
      </c>
      <c r="AO675" s="25">
        <v>19.67708333333335</v>
      </c>
      <c r="AP675" s="25">
        <v>21.4375</v>
      </c>
      <c r="AQ675" s="25">
        <v>20.797916666666662</v>
      </c>
      <c r="AR675" s="25">
        <v>20.287499999999984</v>
      </c>
      <c r="AS675" s="25">
        <v>19.993750000000006</v>
      </c>
      <c r="AT675" s="25">
        <v>0.47564583333333327</v>
      </c>
      <c r="AU675" s="25">
        <v>0.30414285714285716</v>
      </c>
      <c r="AV675" s="25">
        <v>0.51291666666666658</v>
      </c>
      <c r="AW675" s="25">
        <v>-22.705416666666661</v>
      </c>
      <c r="AX675" s="25">
        <v>-14.898541666666675</v>
      </c>
      <c r="AY675" s="25">
        <v>-13.787499999999994</v>
      </c>
      <c r="AZ675" s="25"/>
      <c r="BA675" s="25">
        <v>-9.6916666666666593</v>
      </c>
      <c r="BB675" s="25"/>
      <c r="BC675" s="25"/>
      <c r="BD675" s="25">
        <v>21.460416666666664</v>
      </c>
      <c r="BE675" s="25"/>
    </row>
    <row r="676" spans="1:57" x14ac:dyDescent="0.25">
      <c r="A676" s="1">
        <v>26.9</v>
      </c>
      <c r="B676" s="1">
        <v>20.8</v>
      </c>
      <c r="C676" s="22"/>
      <c r="D676" s="23">
        <v>44383</v>
      </c>
      <c r="E676" s="24">
        <v>154.70833333333334</v>
      </c>
      <c r="F676" s="24">
        <v>83.310416666666683</v>
      </c>
      <c r="G676" s="24">
        <v>23.258333333333336</v>
      </c>
      <c r="H676" s="24">
        <v>0.2</v>
      </c>
      <c r="I676" s="24">
        <v>225.83333333333334</v>
      </c>
      <c r="J676" s="24">
        <v>10.895833333333334</v>
      </c>
      <c r="K676" s="24">
        <v>1.5</v>
      </c>
      <c r="L676" s="24">
        <v>20.191666666666666</v>
      </c>
      <c r="M676" s="10">
        <v>0.50286529046205908</v>
      </c>
      <c r="N676" s="25">
        <v>0.45147916666666649</v>
      </c>
      <c r="O676" s="25">
        <v>0.53533333333333333</v>
      </c>
      <c r="P676" s="25">
        <v>0.58649999999999991</v>
      </c>
      <c r="Q676" s="25">
        <v>0.60008333333333364</v>
      </c>
      <c r="R676" s="25">
        <v>0.61143750000000019</v>
      </c>
      <c r="S676" s="25">
        <v>0.50445833333333356</v>
      </c>
      <c r="T676" s="25">
        <v>0.47935416666666647</v>
      </c>
      <c r="U676" s="25">
        <v>0.41402083333333356</v>
      </c>
      <c r="V676" s="25">
        <v>-14.383750000000001</v>
      </c>
      <c r="W676" s="25">
        <v>-32.100416666666668</v>
      </c>
      <c r="X676" s="25">
        <v>-12.248124999999995</v>
      </c>
      <c r="Y676" s="25">
        <v>-12.840208333333337</v>
      </c>
      <c r="Z676" s="25">
        <v>-12.570416666666672</v>
      </c>
      <c r="AA676" s="25">
        <v>-12.508958333333338</v>
      </c>
      <c r="AB676" s="25">
        <v>-12.822291666666667</v>
      </c>
      <c r="AC676" s="25">
        <v>-13.658124999999997</v>
      </c>
      <c r="AD676" s="25">
        <v>-9.3000000000000078</v>
      </c>
      <c r="AE676" s="25">
        <v>-10.352083333333324</v>
      </c>
      <c r="AF676" s="25">
        <v>-10.320833333333335</v>
      </c>
      <c r="AG676" s="25">
        <v>-11.237499999999997</v>
      </c>
      <c r="AH676" s="25">
        <v>-11.912500000000003</v>
      </c>
      <c r="AI676" s="25">
        <v>-9.9333333333333318</v>
      </c>
      <c r="AJ676" s="25">
        <v>-10.029166666666674</v>
      </c>
      <c r="AK676" s="25">
        <v>-10.685416666666667</v>
      </c>
      <c r="AL676" s="25">
        <v>21.206249999999997</v>
      </c>
      <c r="AM676" s="25">
        <v>20.593750000000014</v>
      </c>
      <c r="AN676" s="25">
        <v>20.012500000000003</v>
      </c>
      <c r="AO676" s="25">
        <v>19.795833333333317</v>
      </c>
      <c r="AP676" s="25">
        <v>21.4375</v>
      </c>
      <c r="AQ676" s="25">
        <v>20.927083333333325</v>
      </c>
      <c r="AR676" s="25">
        <v>20.445833333333322</v>
      </c>
      <c r="AS676" s="25">
        <v>20.200000000000014</v>
      </c>
      <c r="AT676" s="25">
        <v>0.45700000000000035</v>
      </c>
      <c r="AU676" s="25">
        <v>0.27999999999999997</v>
      </c>
      <c r="AV676" s="25">
        <v>0.47858333333333319</v>
      </c>
      <c r="AW676" s="25">
        <v>-25.642499999999998</v>
      </c>
      <c r="AX676" s="25">
        <v>-14.48854166666667</v>
      </c>
      <c r="AY676" s="25">
        <v>-13.885833333333332</v>
      </c>
      <c r="AZ676" s="25"/>
      <c r="BA676" s="25">
        <v>-9.762499999999994</v>
      </c>
      <c r="BB676" s="25"/>
      <c r="BC676" s="25"/>
      <c r="BD676" s="25">
        <v>21.574999999999992</v>
      </c>
      <c r="BE676" s="25"/>
    </row>
    <row r="677" spans="1:57" x14ac:dyDescent="0.25">
      <c r="A677" s="1">
        <v>30</v>
      </c>
      <c r="B677" s="1">
        <v>20</v>
      </c>
      <c r="C677" s="22"/>
      <c r="D677" s="23">
        <v>44384</v>
      </c>
      <c r="E677" s="24">
        <v>229.3125</v>
      </c>
      <c r="F677" s="24">
        <v>79.666666666666657</v>
      </c>
      <c r="G677" s="24">
        <v>23.897916666666664</v>
      </c>
      <c r="H677" s="24">
        <v>0</v>
      </c>
      <c r="I677" s="24">
        <v>222.1875</v>
      </c>
      <c r="J677" s="24">
        <v>5.6875</v>
      </c>
      <c r="K677" s="24">
        <v>0.33333333333333331</v>
      </c>
      <c r="L677" s="24">
        <v>19.922916666666662</v>
      </c>
      <c r="M677" s="10">
        <v>0.69033696014073787</v>
      </c>
      <c r="N677" s="25">
        <v>0.43106249999999996</v>
      </c>
      <c r="O677" s="25">
        <v>0.5236249999999999</v>
      </c>
      <c r="P677" s="25">
        <v>0.57677083333333312</v>
      </c>
      <c r="Q677" s="25">
        <v>0.59424999999999983</v>
      </c>
      <c r="R677" s="25">
        <v>0.60245833333333365</v>
      </c>
      <c r="S677" s="25">
        <v>0.49304166666666654</v>
      </c>
      <c r="T677" s="25">
        <v>0.47368750000000009</v>
      </c>
      <c r="U677" s="25">
        <v>0.40877083333333347</v>
      </c>
      <c r="V677" s="25">
        <v>-14.708749999999997</v>
      </c>
      <c r="W677" s="25">
        <v>-41.775416666666686</v>
      </c>
      <c r="X677" s="25">
        <v>-12.544166666666664</v>
      </c>
      <c r="Y677" s="25">
        <v>-12.928333333333336</v>
      </c>
      <c r="Z677" s="25">
        <v>-13.204583333333334</v>
      </c>
      <c r="AA677" s="25">
        <v>-13.263541666666661</v>
      </c>
      <c r="AB677" s="25">
        <v>-13.237291666666666</v>
      </c>
      <c r="AC677" s="25">
        <v>-13.927500000000002</v>
      </c>
      <c r="AD677" s="25">
        <v>-9.4062500000000053</v>
      </c>
      <c r="AE677" s="25">
        <v>-10.481250000000008</v>
      </c>
      <c r="AF677" s="25">
        <v>-10.360416666666657</v>
      </c>
      <c r="AG677" s="25">
        <v>-11.349999999999994</v>
      </c>
      <c r="AH677" s="25">
        <v>-12.666666666666663</v>
      </c>
      <c r="AI677" s="25">
        <v>-10.429166666666665</v>
      </c>
      <c r="AJ677" s="25">
        <v>-10.160416666666668</v>
      </c>
      <c r="AK677" s="25">
        <v>-10.854166666666659</v>
      </c>
      <c r="AL677" s="25">
        <v>21.314583333333342</v>
      </c>
      <c r="AM677" s="25">
        <v>20.672916666666676</v>
      </c>
      <c r="AN677" s="25">
        <v>20.102083333333351</v>
      </c>
      <c r="AO677" s="25">
        <v>19.891666666666652</v>
      </c>
      <c r="AP677" s="25">
        <v>21.53125</v>
      </c>
      <c r="AQ677" s="25">
        <v>20.993750000000002</v>
      </c>
      <c r="AR677" s="25">
        <v>20.527083333333334</v>
      </c>
      <c r="AS677" s="25">
        <v>20.283333333333335</v>
      </c>
      <c r="AT677" s="25">
        <v>0.44011627906976736</v>
      </c>
      <c r="AU677" s="25">
        <v>0.27116279069767435</v>
      </c>
      <c r="AV677" s="25">
        <v>0.448625</v>
      </c>
      <c r="AW677" s="25">
        <v>-47.570416666666659</v>
      </c>
      <c r="AX677" s="25">
        <v>-14.602499999999999</v>
      </c>
      <c r="AY677" s="25">
        <v>-14.280625000000001</v>
      </c>
      <c r="AZ677" s="25"/>
      <c r="BA677" s="25">
        <v>-9.9208333333333396</v>
      </c>
      <c r="BB677" s="25"/>
      <c r="BC677" s="25"/>
      <c r="BD677" s="25">
        <v>21.775000000000002</v>
      </c>
      <c r="BE677" s="25"/>
    </row>
    <row r="678" spans="1:57" x14ac:dyDescent="0.25">
      <c r="A678" s="1">
        <v>27.6</v>
      </c>
      <c r="B678" s="1">
        <v>20</v>
      </c>
      <c r="C678" s="22"/>
      <c r="D678" s="23">
        <v>44385</v>
      </c>
      <c r="E678" s="24">
        <v>143.85416666666666</v>
      </c>
      <c r="F678" s="24">
        <v>84.754166666666663</v>
      </c>
      <c r="G678" s="24">
        <v>22.270833333333332</v>
      </c>
      <c r="H678" s="24">
        <v>0.2</v>
      </c>
      <c r="I678" s="24">
        <v>222</v>
      </c>
      <c r="J678" s="24">
        <v>6.416666666666667</v>
      </c>
      <c r="K678" s="24">
        <v>0.6875</v>
      </c>
      <c r="L678" s="24">
        <v>19.516666666666669</v>
      </c>
      <c r="M678" s="10">
        <v>0.43509291928196564</v>
      </c>
      <c r="N678" s="25">
        <v>0.40745833333333342</v>
      </c>
      <c r="O678" s="25">
        <v>0.51200000000000012</v>
      </c>
      <c r="P678" s="25">
        <v>0.56583333333333352</v>
      </c>
      <c r="Q678" s="25">
        <v>0.58831249999999946</v>
      </c>
      <c r="R678" s="25">
        <v>0.59229166666666677</v>
      </c>
      <c r="S678" s="25">
        <v>0.4812083333333334</v>
      </c>
      <c r="T678" s="25">
        <v>0.4672708333333333</v>
      </c>
      <c r="U678" s="25">
        <v>0.40318750000000003</v>
      </c>
      <c r="V678" s="25">
        <v>-16.898124999999997</v>
      </c>
      <c r="W678" s="25">
        <v>-56.746666666666648</v>
      </c>
      <c r="X678" s="25">
        <v>-13.655208333333333</v>
      </c>
      <c r="Y678" s="25">
        <v>-13.534166666666666</v>
      </c>
      <c r="Z678" s="25">
        <v>-15.36104166666667</v>
      </c>
      <c r="AA678" s="25">
        <v>-15.218541666666665</v>
      </c>
      <c r="AB678" s="25">
        <v>-14.508958333333332</v>
      </c>
      <c r="AC678" s="25">
        <v>-14.539583333333338</v>
      </c>
      <c r="AD678" s="25">
        <v>-10.079166666666664</v>
      </c>
      <c r="AE678" s="25">
        <v>-10.681249999999999</v>
      </c>
      <c r="AF678" s="25">
        <v>-10.39999999999999</v>
      </c>
      <c r="AG678" s="25">
        <v>-11.452083333333334</v>
      </c>
      <c r="AH678" s="25">
        <v>-15.291666666666666</v>
      </c>
      <c r="AI678" s="25">
        <v>-12.129166666666668</v>
      </c>
      <c r="AJ678" s="25">
        <v>-10.222916666666666</v>
      </c>
      <c r="AK678" s="25">
        <v>-11.477083333333335</v>
      </c>
      <c r="AL678" s="25">
        <v>21.341666666666658</v>
      </c>
      <c r="AM678" s="25">
        <v>20.766666666666673</v>
      </c>
      <c r="AN678" s="25">
        <v>20.200000000000017</v>
      </c>
      <c r="AO678" s="25">
        <v>19.970833333333335</v>
      </c>
      <c r="AP678" s="25">
        <v>21.452083333333334</v>
      </c>
      <c r="AQ678" s="25">
        <v>21.083333333333339</v>
      </c>
      <c r="AR678" s="25">
        <v>20.637500000000014</v>
      </c>
      <c r="AS678" s="25">
        <v>20.399999999999984</v>
      </c>
      <c r="AT678" s="25">
        <v>0.42160416666666672</v>
      </c>
      <c r="AU678" s="25">
        <v>0.25054166666666683</v>
      </c>
      <c r="AV678" s="25">
        <v>0.41972916666666671</v>
      </c>
      <c r="AW678" s="25">
        <v>-37.769583333333337</v>
      </c>
      <c r="AX678" s="25">
        <v>-16.192499999999999</v>
      </c>
      <c r="AY678" s="25">
        <v>-15.245833333333335</v>
      </c>
      <c r="AZ678" s="25"/>
      <c r="BA678" s="25">
        <v>-10.335416666666664</v>
      </c>
      <c r="BB678" s="25"/>
      <c r="BC678" s="25"/>
      <c r="BD678" s="25">
        <v>21.360416666666666</v>
      </c>
      <c r="BE678" s="25"/>
    </row>
    <row r="679" spans="1:57" x14ac:dyDescent="0.25">
      <c r="A679" s="1">
        <v>27.7</v>
      </c>
      <c r="B679" s="1">
        <v>19.2</v>
      </c>
      <c r="C679" s="22"/>
      <c r="D679" s="23">
        <v>44386</v>
      </c>
      <c r="E679" s="24">
        <v>235.8125</v>
      </c>
      <c r="F679" s="24">
        <v>81.358333333333334</v>
      </c>
      <c r="G679" s="24">
        <v>22.695833333333329</v>
      </c>
      <c r="H679" s="24">
        <v>0.4</v>
      </c>
      <c r="I679" s="24">
        <v>233.52083333333334</v>
      </c>
      <c r="J679" s="24">
        <v>12.479166666666666</v>
      </c>
      <c r="K679" s="24">
        <v>1.625</v>
      </c>
      <c r="L679" s="24">
        <v>19.195833333333322</v>
      </c>
      <c r="M679" s="10">
        <v>0.5633741847165129</v>
      </c>
      <c r="N679" s="25">
        <v>0.38339583333333338</v>
      </c>
      <c r="O679" s="25">
        <v>0.50099999999999989</v>
      </c>
      <c r="P679" s="25">
        <v>0.55445833333333383</v>
      </c>
      <c r="Q679" s="25">
        <v>0.58206249999999982</v>
      </c>
      <c r="R679" s="25">
        <v>0.58095833333333369</v>
      </c>
      <c r="S679" s="25">
        <v>0.47020833333333312</v>
      </c>
      <c r="T679" s="25">
        <v>0.46110416666666637</v>
      </c>
      <c r="U679" s="25">
        <v>0.39791666666666675</v>
      </c>
      <c r="V679" s="25">
        <v>-21.147916666666664</v>
      </c>
      <c r="W679" s="25">
        <v>-76.803541666666675</v>
      </c>
      <c r="X679" s="25">
        <v>-15.502291666666663</v>
      </c>
      <c r="Y679" s="25">
        <v>-14.954374999999999</v>
      </c>
      <c r="Z679" s="25">
        <v>-19.062708333333337</v>
      </c>
      <c r="AA679" s="25">
        <v>-17.777291666666667</v>
      </c>
      <c r="AB679" s="25">
        <v>-16.130208333333339</v>
      </c>
      <c r="AC679" s="25">
        <v>-15.788541666666667</v>
      </c>
      <c r="AD679" s="25">
        <v>-12.470833333333333</v>
      </c>
      <c r="AE679" s="25">
        <v>-11.116666666666667</v>
      </c>
      <c r="AF679" s="25">
        <v>-10.481250000000008</v>
      </c>
      <c r="AG679" s="25">
        <v>-11.641666666666666</v>
      </c>
      <c r="AH679" s="25">
        <v>-20.731249999999999</v>
      </c>
      <c r="AI679" s="25">
        <v>-15.793749999999998</v>
      </c>
      <c r="AJ679" s="25">
        <v>-10.643750000000001</v>
      </c>
      <c r="AK679" s="25">
        <v>-16.100000000000001</v>
      </c>
      <c r="AL679" s="25">
        <v>21.143749999999994</v>
      </c>
      <c r="AM679" s="25">
        <v>20.683333333333348</v>
      </c>
      <c r="AN679" s="25">
        <v>20.200000000000017</v>
      </c>
      <c r="AO679" s="25">
        <v>20</v>
      </c>
      <c r="AP679" s="25">
        <v>21.187499999999996</v>
      </c>
      <c r="AQ679" s="25">
        <v>20.887499999999999</v>
      </c>
      <c r="AR679" s="25">
        <v>20.508333333333329</v>
      </c>
      <c r="AS679" s="25">
        <v>20.341666666666644</v>
      </c>
      <c r="AT679" s="25">
        <v>0.40928571428571431</v>
      </c>
      <c r="AU679" s="25">
        <v>0.23848275862068974</v>
      </c>
      <c r="AV679" s="25">
        <v>0.39158333333333317</v>
      </c>
      <c r="AW679" s="25">
        <v>-83.574166666666642</v>
      </c>
      <c r="AX679" s="25">
        <v>-23.834583333333327</v>
      </c>
      <c r="AY679" s="25">
        <v>-113.20733333333331</v>
      </c>
      <c r="AZ679" s="25"/>
      <c r="BA679" s="25">
        <v>-13.995833333333337</v>
      </c>
      <c r="BB679" s="25"/>
      <c r="BC679" s="25"/>
      <c r="BD679" s="25">
        <v>21.487499999999994</v>
      </c>
      <c r="BE679" s="25"/>
    </row>
    <row r="680" spans="1:57" x14ac:dyDescent="0.25">
      <c r="A680" s="1">
        <v>28.8</v>
      </c>
      <c r="B680" s="1">
        <v>19.399999999999999</v>
      </c>
      <c r="C680" s="22"/>
      <c r="D680" s="23">
        <v>44387</v>
      </c>
      <c r="E680" s="24">
        <v>271.625</v>
      </c>
      <c r="F680" s="24">
        <v>76.418750000000017</v>
      </c>
      <c r="G680" s="24">
        <v>23.360416666666666</v>
      </c>
      <c r="H680" s="24">
        <v>0</v>
      </c>
      <c r="I680" s="24">
        <v>225.375</v>
      </c>
      <c r="J680" s="24">
        <v>17.333333333333332</v>
      </c>
      <c r="K680" s="24">
        <v>3.375</v>
      </c>
      <c r="L680" s="24">
        <v>18.814583333333335</v>
      </c>
      <c r="M680" s="10">
        <v>0.7360902906261716</v>
      </c>
      <c r="N680" s="25">
        <v>0.34804166666666675</v>
      </c>
      <c r="O680" s="25">
        <v>0.48337500000000011</v>
      </c>
      <c r="P680" s="25">
        <v>0.53545833333333326</v>
      </c>
      <c r="Q680" s="25">
        <v>0.56945833333333307</v>
      </c>
      <c r="R680" s="25">
        <v>0.56387500000000002</v>
      </c>
      <c r="S680" s="25">
        <v>0.45120833333333343</v>
      </c>
      <c r="T680" s="25">
        <v>0.44756250000000009</v>
      </c>
      <c r="U680" s="25">
        <v>0.38845833333333329</v>
      </c>
      <c r="V680" s="25">
        <v>-25.813124999999996</v>
      </c>
      <c r="W680" s="25">
        <v>-102.10000000000002</v>
      </c>
      <c r="X680" s="25">
        <v>-19.315833333333337</v>
      </c>
      <c r="Y680" s="25">
        <v>-18.400208333333328</v>
      </c>
      <c r="Z680" s="25">
        <v>-24.633541666666662</v>
      </c>
      <c r="AA680" s="25">
        <v>-21.705208333333335</v>
      </c>
      <c r="AB680" s="25">
        <v>-19.241666666666664</v>
      </c>
      <c r="AC680" s="25">
        <v>-20.346250000000008</v>
      </c>
      <c r="AD680" s="25">
        <v>-22.099999999999998</v>
      </c>
      <c r="AE680" s="25">
        <v>-13.781250000000002</v>
      </c>
      <c r="AF680" s="25">
        <v>-12.133333333333333</v>
      </c>
      <c r="AG680" s="25">
        <v>-12.460416666666662</v>
      </c>
      <c r="AH680" s="25">
        <v>-35.37083333333333</v>
      </c>
      <c r="AI680" s="25">
        <v>-32.09791666666667</v>
      </c>
      <c r="AJ680" s="25">
        <v>-14.2125</v>
      </c>
      <c r="AK680" s="25">
        <v>-33.135416666666679</v>
      </c>
      <c r="AL680" s="25">
        <v>21.135416666666657</v>
      </c>
      <c r="AM680" s="25">
        <v>20.683333333333348</v>
      </c>
      <c r="AN680" s="25">
        <v>20.200000000000017</v>
      </c>
      <c r="AO680" s="25">
        <v>20</v>
      </c>
      <c r="AP680" s="25">
        <v>21.064583333333342</v>
      </c>
      <c r="AQ680" s="25">
        <v>20.816666666666666</v>
      </c>
      <c r="AR680" s="25">
        <v>20.477083333333322</v>
      </c>
      <c r="AS680" s="25">
        <v>20.277083333333344</v>
      </c>
      <c r="AT680" s="25">
        <v>0.38886666666666669</v>
      </c>
      <c r="AU680" s="25">
        <v>0.20036842105263156</v>
      </c>
      <c r="AV680" s="25">
        <v>0.34500000000000003</v>
      </c>
      <c r="AW680" s="25">
        <v>-186.34020833333327</v>
      </c>
      <c r="AX680" s="25">
        <v>-41.273750000000014</v>
      </c>
      <c r="AY680" s="25">
        <v>-32.982499999999995</v>
      </c>
      <c r="AZ680" s="25"/>
      <c r="BA680" s="25">
        <v>-26.370833333333334</v>
      </c>
      <c r="BB680" s="25"/>
      <c r="BC680" s="25"/>
      <c r="BD680" s="25">
        <v>21.572916666666668</v>
      </c>
      <c r="BE680" s="25"/>
    </row>
    <row r="681" spans="1:57" x14ac:dyDescent="0.25">
      <c r="A681" s="1">
        <v>28.7</v>
      </c>
      <c r="B681" s="1">
        <v>19.8</v>
      </c>
      <c r="C681" s="22"/>
      <c r="D681" s="23">
        <v>44388</v>
      </c>
      <c r="E681" s="24">
        <v>266.02083333333331</v>
      </c>
      <c r="F681" s="24">
        <v>74.733333333333334</v>
      </c>
      <c r="G681" s="24">
        <v>23.618750000000002</v>
      </c>
      <c r="H681" s="24">
        <v>0</v>
      </c>
      <c r="I681" s="24">
        <v>225.97916666666666</v>
      </c>
      <c r="J681" s="24">
        <v>15.395833333333334</v>
      </c>
      <c r="K681" s="24">
        <v>2.6875</v>
      </c>
      <c r="L681" s="24">
        <v>18.783333333333335</v>
      </c>
      <c r="M681" s="10">
        <v>0.77934554577110016</v>
      </c>
      <c r="N681" s="25">
        <v>0.31481250000000011</v>
      </c>
      <c r="O681" s="25">
        <v>0.46095833333333358</v>
      </c>
      <c r="P681" s="25">
        <v>0.51341666666666652</v>
      </c>
      <c r="Q681" s="25">
        <v>0.55066666666666686</v>
      </c>
      <c r="R681" s="25">
        <v>0.54156249999999995</v>
      </c>
      <c r="S681" s="25">
        <v>0.42631250000000004</v>
      </c>
      <c r="T681" s="25">
        <v>0.42897916666666663</v>
      </c>
      <c r="U681" s="25">
        <v>0.37547916666666664</v>
      </c>
      <c r="V681" s="25">
        <v>-31.518749999999997</v>
      </c>
      <c r="W681" s="25">
        <v>-126.85208333333334</v>
      </c>
      <c r="X681" s="25">
        <v>-24.592916666666667</v>
      </c>
      <c r="Y681" s="25">
        <v>-22.964375000000004</v>
      </c>
      <c r="Z681" s="25">
        <v>-32.059374999999996</v>
      </c>
      <c r="AA681" s="25">
        <v>-26.452708333333334</v>
      </c>
      <c r="AB681" s="25">
        <v>-23.674791666666675</v>
      </c>
      <c r="AC681" s="25">
        <v>-30.79291666666666</v>
      </c>
      <c r="AD681" s="25">
        <v>-42.306250000000006</v>
      </c>
      <c r="AE681" s="25">
        <v>-22.802083333333332</v>
      </c>
      <c r="AF681" s="25">
        <v>-23.004166666666666</v>
      </c>
      <c r="AG681" s="25">
        <v>-18.572916666666671</v>
      </c>
      <c r="AH681" s="25">
        <v>-74.981250000000031</v>
      </c>
      <c r="AI681" s="25">
        <v>-66.606250000000017</v>
      </c>
      <c r="AJ681" s="25">
        <v>-26.806249999999995</v>
      </c>
      <c r="AK681" s="25">
        <v>-56.270833333333336</v>
      </c>
      <c r="AL681" s="25">
        <v>21.104166666666661</v>
      </c>
      <c r="AM681" s="25">
        <v>20.647916666666678</v>
      </c>
      <c r="AN681" s="25">
        <v>20.200000000000017</v>
      </c>
      <c r="AO681" s="25">
        <v>20</v>
      </c>
      <c r="AP681" s="25">
        <v>21.002083333333328</v>
      </c>
      <c r="AQ681" s="25">
        <v>20.735416666666669</v>
      </c>
      <c r="AR681" s="25">
        <v>20.399999999999981</v>
      </c>
      <c r="AS681" s="25">
        <v>20.250000000000018</v>
      </c>
      <c r="AT681" s="25">
        <v>0.35682051282051275</v>
      </c>
      <c r="AU681" s="25">
        <v>0.17494999999999999</v>
      </c>
      <c r="AV681" s="25">
        <v>0.29414583333333338</v>
      </c>
      <c r="AW681" s="25">
        <v>-176.166</v>
      </c>
      <c r="AX681" s="25">
        <v>-57.882083333333327</v>
      </c>
      <c r="AY681" s="25">
        <v>-32.510400000000004</v>
      </c>
      <c r="AZ681" s="25"/>
      <c r="BA681" s="25">
        <v>-59.199999999999982</v>
      </c>
      <c r="BB681" s="25"/>
      <c r="BC681" s="25"/>
      <c r="BD681" s="25">
        <v>21.666666666666668</v>
      </c>
      <c r="BE681" s="25"/>
    </row>
    <row r="682" spans="1:57" x14ac:dyDescent="0.25">
      <c r="A682" s="1">
        <v>30.8</v>
      </c>
      <c r="B682" s="1">
        <v>19.899999999999999</v>
      </c>
      <c r="C682" s="22"/>
      <c r="D682" s="23">
        <v>44389</v>
      </c>
      <c r="E682" s="24">
        <v>284.125</v>
      </c>
      <c r="F682" s="24">
        <v>75.810416666666711</v>
      </c>
      <c r="G682" s="24">
        <v>24.489583333333332</v>
      </c>
      <c r="H682" s="24">
        <v>0</v>
      </c>
      <c r="I682" s="24">
        <v>229.125</v>
      </c>
      <c r="J682" s="24">
        <v>14.583333333333334</v>
      </c>
      <c r="K682" s="24">
        <v>2.375</v>
      </c>
      <c r="L682" s="24">
        <v>19.760416666666668</v>
      </c>
      <c r="M682" s="10">
        <v>0.82395965576254293</v>
      </c>
      <c r="N682" s="25">
        <v>0.29216666666666674</v>
      </c>
      <c r="O682" s="25">
        <v>0.43812499999999993</v>
      </c>
      <c r="P682" s="25">
        <v>0.49308333333333348</v>
      </c>
      <c r="Q682" s="25">
        <v>0.52920833333333339</v>
      </c>
      <c r="R682" s="25">
        <v>0.51993750000000027</v>
      </c>
      <c r="S682" s="25">
        <v>0.40127083333333352</v>
      </c>
      <c r="T682" s="25">
        <v>0.40918749999999976</v>
      </c>
      <c r="U682" s="25">
        <v>0.36133333333333328</v>
      </c>
      <c r="V682" s="25">
        <v>-37.542083333333331</v>
      </c>
      <c r="W682" s="25">
        <v>-150.99791666666667</v>
      </c>
      <c r="X682" s="25">
        <v>-30.943541666666672</v>
      </c>
      <c r="Y682" s="25">
        <v>-27.664374999999993</v>
      </c>
      <c r="Z682" s="25">
        <v>-39.473333333333336</v>
      </c>
      <c r="AA682" s="25">
        <v>-31.706250000000008</v>
      </c>
      <c r="AB682" s="25">
        <v>-28.853333333333335</v>
      </c>
      <c r="AC682" s="25">
        <v>-42.793749999999989</v>
      </c>
      <c r="AD682" s="25">
        <v>-80.85208333333334</v>
      </c>
      <c r="AE682" s="25">
        <v>-33.81666666666667</v>
      </c>
      <c r="AF682" s="25">
        <v>-43.077083333333327</v>
      </c>
      <c r="AG682" s="25">
        <v>-31.889583333333324</v>
      </c>
      <c r="AH682" s="25">
        <v>-205.77083333333337</v>
      </c>
      <c r="AI682" s="25">
        <v>-141.41250000000002</v>
      </c>
      <c r="AJ682" s="25">
        <v>-54.266666666666659</v>
      </c>
      <c r="AK682" s="25">
        <v>-124.34583333333336</v>
      </c>
      <c r="AL682" s="25">
        <v>21.312499999999996</v>
      </c>
      <c r="AM682" s="25">
        <v>20.741666666666667</v>
      </c>
      <c r="AN682" s="25">
        <v>20.200000000000017</v>
      </c>
      <c r="AO682" s="25">
        <v>20</v>
      </c>
      <c r="AP682" s="25">
        <v>21.318749999999998</v>
      </c>
      <c r="AQ682" s="25">
        <v>20.862500000000008</v>
      </c>
      <c r="AR682" s="25">
        <v>20.466666666666658</v>
      </c>
      <c r="AS682" s="25">
        <v>20.277083333333341</v>
      </c>
      <c r="AT682" s="25">
        <v>0.3222916666666667</v>
      </c>
      <c r="AU682" s="25">
        <v>0.15786111111111109</v>
      </c>
      <c r="AV682" s="25">
        <v>0.26239583333333338</v>
      </c>
      <c r="AW682" s="25">
        <v>-220.15714285714282</v>
      </c>
      <c r="AX682" s="25">
        <v>-72.554583333333326</v>
      </c>
      <c r="AY682" s="25">
        <v>-55.665999999999997</v>
      </c>
      <c r="AZ682" s="25"/>
      <c r="BA682" s="25">
        <v>-212.68125000000009</v>
      </c>
      <c r="BB682" s="25"/>
      <c r="BC682" s="25"/>
      <c r="BD682" s="25">
        <v>22.093749999999996</v>
      </c>
      <c r="BE682" s="25"/>
    </row>
    <row r="683" spans="1:57" x14ac:dyDescent="0.25">
      <c r="A683" s="1">
        <v>29.9</v>
      </c>
      <c r="B683" s="1">
        <v>20.9</v>
      </c>
      <c r="C683" s="22"/>
      <c r="D683" s="23">
        <v>44390</v>
      </c>
      <c r="E683" s="24">
        <v>205.39583333333334</v>
      </c>
      <c r="F683" s="24">
        <v>77.229166666666686</v>
      </c>
      <c r="G683" s="24">
        <v>24.612500000000001</v>
      </c>
      <c r="H683" s="24">
        <v>0</v>
      </c>
      <c r="I683" s="24">
        <v>229.77083333333334</v>
      </c>
      <c r="J683" s="24">
        <v>10.1875</v>
      </c>
      <c r="K683" s="24">
        <v>0.97916666666666663</v>
      </c>
      <c r="L683" s="24">
        <v>20.268749999999997</v>
      </c>
      <c r="M683" s="10">
        <v>0.75309228552959884</v>
      </c>
      <c r="N683" s="25">
        <v>0.27691666666666681</v>
      </c>
      <c r="O683" s="25">
        <v>0.41470833333333323</v>
      </c>
      <c r="P683" s="25">
        <v>0.47483333333333344</v>
      </c>
      <c r="Q683" s="25">
        <v>0.50731249999999983</v>
      </c>
      <c r="R683" s="25">
        <v>0.50093749999999992</v>
      </c>
      <c r="S683" s="25">
        <v>0.38049999999999984</v>
      </c>
      <c r="T683" s="25">
        <v>0.39083333333333359</v>
      </c>
      <c r="U683" s="25">
        <v>0.34735416666666663</v>
      </c>
      <c r="V683" s="25">
        <v>-43.965833333333329</v>
      </c>
      <c r="W683" s="25">
        <v>-175.57708333333326</v>
      </c>
      <c r="X683" s="25">
        <v>-37.507916666666667</v>
      </c>
      <c r="Y683" s="25">
        <v>-32.408749999999998</v>
      </c>
      <c r="Z683" s="25">
        <v>-46.45750000000001</v>
      </c>
      <c r="AA683" s="25">
        <v>-37.120416666666664</v>
      </c>
      <c r="AB683" s="25">
        <v>-34.084166666666661</v>
      </c>
      <c r="AC683" s="25">
        <v>-52.091666666666669</v>
      </c>
      <c r="AD683" s="25">
        <v>-150.82291666666663</v>
      </c>
      <c r="AE683" s="25">
        <v>-59.129166666666663</v>
      </c>
      <c r="AF683" s="25">
        <v>-85.114583333333329</v>
      </c>
      <c r="AG683" s="25">
        <v>-52.018750000000018</v>
      </c>
      <c r="AH683" s="25">
        <v>-411.16041666666655</v>
      </c>
      <c r="AI683" s="25">
        <v>-285.19791666666663</v>
      </c>
      <c r="AJ683" s="25">
        <v>-106.97500000000001</v>
      </c>
      <c r="AK683" s="25">
        <v>-309.06666666666678</v>
      </c>
      <c r="AL683" s="25">
        <v>21.643749999999997</v>
      </c>
      <c r="AM683" s="25">
        <v>20.949999999999992</v>
      </c>
      <c r="AN683" s="25">
        <v>20.314583333333321</v>
      </c>
      <c r="AO683" s="25">
        <v>20.081250000000015</v>
      </c>
      <c r="AP683" s="25">
        <v>21.752083333333335</v>
      </c>
      <c r="AQ683" s="25">
        <v>21.164583333333333</v>
      </c>
      <c r="AR683" s="25">
        <v>20.679166666666671</v>
      </c>
      <c r="AS683" s="25">
        <v>20.460416666666664</v>
      </c>
      <c r="AT683" s="25">
        <v>0.28625</v>
      </c>
      <c r="AU683" s="25">
        <v>0.14441666666666664</v>
      </c>
      <c r="AV683" s="25">
        <v>0.24462500000000012</v>
      </c>
      <c r="AW683" s="25">
        <v>-265.36060606060613</v>
      </c>
      <c r="AX683" s="25">
        <v>-86.020833333333314</v>
      </c>
      <c r="AY683" s="25">
        <v>-62.096458333333338</v>
      </c>
      <c r="AZ683" s="25"/>
      <c r="BA683" s="25">
        <v>-550.96666666666636</v>
      </c>
      <c r="BB683" s="25"/>
      <c r="BC683" s="25"/>
      <c r="BD683" s="25">
        <v>22.385416666666671</v>
      </c>
      <c r="BE683" s="25"/>
    </row>
    <row r="684" spans="1:57" x14ac:dyDescent="0.25">
      <c r="A684" s="1">
        <v>29.8</v>
      </c>
      <c r="B684" s="1">
        <v>21.6</v>
      </c>
      <c r="C684" s="22"/>
      <c r="D684" s="23">
        <v>44391</v>
      </c>
      <c r="E684" s="24">
        <v>207.1875</v>
      </c>
      <c r="F684" s="24">
        <v>78.006250000000009</v>
      </c>
      <c r="G684" s="24">
        <v>24.762499999999992</v>
      </c>
      <c r="H684" s="24">
        <v>0</v>
      </c>
      <c r="I684" s="24">
        <v>230.25</v>
      </c>
      <c r="J684" s="24">
        <v>14.520833333333334</v>
      </c>
      <c r="K684" s="24">
        <v>2.875</v>
      </c>
      <c r="L684" s="24">
        <v>20.564583333333335</v>
      </c>
      <c r="M684" s="10">
        <v>0.73484804383761426</v>
      </c>
      <c r="N684" s="25">
        <v>0.26666666666666655</v>
      </c>
      <c r="O684" s="25">
        <v>0.39443750000000005</v>
      </c>
      <c r="P684" s="25">
        <v>0.45989583333333356</v>
      </c>
      <c r="Q684" s="25">
        <v>0.48695833333333322</v>
      </c>
      <c r="R684" s="25">
        <v>0.48381250000000015</v>
      </c>
      <c r="S684" s="25">
        <v>0.36502083333333335</v>
      </c>
      <c r="T684" s="25">
        <v>0.3758333333333333</v>
      </c>
      <c r="U684" s="25">
        <v>0.3357291666666668</v>
      </c>
      <c r="V684" s="25">
        <v>-51.29604166666666</v>
      </c>
      <c r="W684" s="25">
        <v>-199.10833333333332</v>
      </c>
      <c r="X684" s="25">
        <v>-44.533124999999991</v>
      </c>
      <c r="Y684" s="25">
        <v>-37.056249999999999</v>
      </c>
      <c r="Z684" s="25">
        <v>-53.175000000000004</v>
      </c>
      <c r="AA684" s="25">
        <v>-42.723750000000017</v>
      </c>
      <c r="AB684" s="25">
        <v>-39.46</v>
      </c>
      <c r="AC684" s="25">
        <v>-59.492708333333333</v>
      </c>
      <c r="AD684" s="25">
        <v>-244.00416666666669</v>
      </c>
      <c r="AE684" s="25">
        <v>-117.23125</v>
      </c>
      <c r="AF684" s="25">
        <v>-162.50208333333327</v>
      </c>
      <c r="AG684" s="25">
        <v>-95.850000000000009</v>
      </c>
      <c r="AH684" s="25">
        <v>-556.36041666666654</v>
      </c>
      <c r="AI684" s="25">
        <v>-454.67916666666679</v>
      </c>
      <c r="AJ684" s="25">
        <v>-243.2104166666667</v>
      </c>
      <c r="AK684" s="25">
        <v>-638.72291666666672</v>
      </c>
      <c r="AL684" s="25">
        <v>21.787500000000005</v>
      </c>
      <c r="AM684" s="25">
        <v>21.091666666666679</v>
      </c>
      <c r="AN684" s="25">
        <v>20.475000000000001</v>
      </c>
      <c r="AO684" s="25">
        <v>20.187500000000018</v>
      </c>
      <c r="AP684" s="25">
        <v>21.918750000000003</v>
      </c>
      <c r="AQ684" s="25">
        <v>21.350000000000005</v>
      </c>
      <c r="AR684" s="25">
        <v>20.864583333333318</v>
      </c>
      <c r="AS684" s="25">
        <v>20.612500000000018</v>
      </c>
      <c r="AT684" s="25">
        <v>0.25520833333333337</v>
      </c>
      <c r="AU684" s="25">
        <v>0.13879999999999998</v>
      </c>
      <c r="AV684" s="25">
        <v>0.23470833333333332</v>
      </c>
      <c r="AW684" s="25">
        <v>-303.08906976744186</v>
      </c>
      <c r="AX684" s="25">
        <v>-98.627083333333346</v>
      </c>
      <c r="AY684" s="25">
        <v>-74.22937499999999</v>
      </c>
      <c r="AZ684" s="25"/>
      <c r="BA684" s="25">
        <v>-832.97708333333355</v>
      </c>
      <c r="BB684" s="25"/>
      <c r="BC684" s="25"/>
      <c r="BD684" s="25">
        <v>22.552083333333332</v>
      </c>
      <c r="BE684" s="25"/>
    </row>
    <row r="685" spans="1:57" x14ac:dyDescent="0.25">
      <c r="A685" s="1">
        <v>29</v>
      </c>
      <c r="B685" s="1">
        <v>21.2</v>
      </c>
      <c r="C685" s="22"/>
      <c r="D685" s="23">
        <v>44392</v>
      </c>
      <c r="E685" s="24">
        <v>208.39583333333334</v>
      </c>
      <c r="F685" s="24">
        <v>78.24166666666666</v>
      </c>
      <c r="G685" s="24">
        <v>24.089583333333334</v>
      </c>
      <c r="H685" s="24">
        <v>0</v>
      </c>
      <c r="I685" s="24">
        <v>228.39583333333334</v>
      </c>
      <c r="J685" s="24">
        <v>16.270833333333332</v>
      </c>
      <c r="K685" s="24">
        <v>3.2291666666666665</v>
      </c>
      <c r="L685" s="24">
        <v>19.968750000000004</v>
      </c>
      <c r="M685" s="10">
        <v>0.69252270244538439</v>
      </c>
      <c r="N685" s="25">
        <v>0.25843750000000021</v>
      </c>
      <c r="O685" s="25">
        <v>0.37699999999999995</v>
      </c>
      <c r="P685" s="25">
        <v>0.4447291666666669</v>
      </c>
      <c r="Q685" s="25">
        <v>0.4684374999999999</v>
      </c>
      <c r="R685" s="25">
        <v>0.46733333333333321</v>
      </c>
      <c r="S685" s="25">
        <v>0.35252083333333339</v>
      </c>
      <c r="T685" s="25">
        <v>0.36354166666666665</v>
      </c>
      <c r="U685" s="25">
        <v>0.32487500000000014</v>
      </c>
      <c r="V685" s="25">
        <v>-59.123749999999994</v>
      </c>
      <c r="W685" s="25">
        <v>-214.55833333333328</v>
      </c>
      <c r="X685" s="25">
        <v>-52.366666666666667</v>
      </c>
      <c r="Y685" s="25">
        <v>-41.798333333333325</v>
      </c>
      <c r="Z685" s="25">
        <v>-59.032499999999999</v>
      </c>
      <c r="AA685" s="25">
        <v>-48.775624999999991</v>
      </c>
      <c r="AB685" s="25">
        <v>-44.911041666666677</v>
      </c>
      <c r="AC685" s="25">
        <v>-65.251666666666665</v>
      </c>
      <c r="AD685" s="25">
        <v>-366.63958333333335</v>
      </c>
      <c r="AE685" s="25">
        <v>-231.30833333333337</v>
      </c>
      <c r="AF685" s="25">
        <v>-272.81874999999997</v>
      </c>
      <c r="AG685" s="25">
        <v>-166.09583333333333</v>
      </c>
      <c r="AH685" s="25">
        <v>-653.50208333333342</v>
      </c>
      <c r="AI685" s="25">
        <v>-603.61458333333337</v>
      </c>
      <c r="AJ685" s="25">
        <v>-482.02083333333331</v>
      </c>
      <c r="AK685" s="25">
        <v>-984.38541666666663</v>
      </c>
      <c r="AL685" s="25">
        <v>21.833333333333343</v>
      </c>
      <c r="AM685" s="25">
        <v>21.179166666666671</v>
      </c>
      <c r="AN685" s="25">
        <v>20.570833333333347</v>
      </c>
      <c r="AO685" s="25">
        <v>20.281249999999982</v>
      </c>
      <c r="AP685" s="25">
        <v>21.872916666666669</v>
      </c>
      <c r="AQ685" s="25">
        <v>21.404166666666669</v>
      </c>
      <c r="AR685" s="25">
        <v>20.954166666666655</v>
      </c>
      <c r="AS685" s="25">
        <v>20.73958333333335</v>
      </c>
      <c r="AT685" s="25">
        <v>0.23008333333333339</v>
      </c>
      <c r="AU685" s="25">
        <v>0.13416666666666666</v>
      </c>
      <c r="AV685" s="25">
        <v>0.22729166666666678</v>
      </c>
      <c r="AW685" s="25">
        <v>-324.19772727272732</v>
      </c>
      <c r="AX685" s="25">
        <v>-112.42708333333333</v>
      </c>
      <c r="AY685" s="25">
        <v>-83.632916666666659</v>
      </c>
      <c r="AZ685" s="25"/>
      <c r="BA685" s="25">
        <v>-1102.7291666666667</v>
      </c>
      <c r="BB685" s="25"/>
      <c r="BC685" s="25"/>
      <c r="BD685" s="25">
        <v>22.508333333333329</v>
      </c>
      <c r="BE685" s="25"/>
    </row>
    <row r="686" spans="1:57" x14ac:dyDescent="0.25">
      <c r="A686" s="1">
        <v>29.9</v>
      </c>
      <c r="B686" s="1">
        <v>18.2</v>
      </c>
      <c r="C686" s="22"/>
      <c r="D686" s="23">
        <v>44393</v>
      </c>
      <c r="E686" s="24">
        <v>208.375</v>
      </c>
      <c r="F686" s="24">
        <v>76.520833333333329</v>
      </c>
      <c r="G686" s="24">
        <v>24.106250000000003</v>
      </c>
      <c r="H686" s="24">
        <v>29.3</v>
      </c>
      <c r="I686" s="24">
        <v>232.16666666666666</v>
      </c>
      <c r="J686" s="24">
        <v>10.395833333333334</v>
      </c>
      <c r="K686" s="24">
        <v>1.2708333333333333</v>
      </c>
      <c r="L686" s="24">
        <v>19.61666666666666</v>
      </c>
      <c r="M686" s="10">
        <v>0.75639031798874568</v>
      </c>
      <c r="N686" s="25">
        <v>0.25924999999999998</v>
      </c>
      <c r="O686" s="25">
        <v>0.36864583333333334</v>
      </c>
      <c r="P686" s="25">
        <v>0.43724999999999997</v>
      </c>
      <c r="Q686" s="25">
        <v>0.45531250000000029</v>
      </c>
      <c r="R686" s="25">
        <v>0.45704166666666673</v>
      </c>
      <c r="S686" s="25">
        <v>0.35114583333333343</v>
      </c>
      <c r="T686" s="25">
        <v>0.35733333333333334</v>
      </c>
      <c r="U686" s="25">
        <v>0.3165</v>
      </c>
      <c r="V686" s="25">
        <v>-64.274583333333325</v>
      </c>
      <c r="W686" s="25">
        <v>-161.52083333333329</v>
      </c>
      <c r="X686" s="25">
        <v>-58.039166666666667</v>
      </c>
      <c r="Y686" s="25">
        <v>-46.398541666666667</v>
      </c>
      <c r="Z686" s="25">
        <v>-59.848541666666669</v>
      </c>
      <c r="AA686" s="25">
        <v>-53.317083333333329</v>
      </c>
      <c r="AB686" s="25">
        <v>-48.268750000000004</v>
      </c>
      <c r="AC686" s="25">
        <v>-67.854166666666671</v>
      </c>
      <c r="AD686" s="25">
        <v>-467.24791666666675</v>
      </c>
      <c r="AE686" s="25">
        <v>-361.64999999999986</v>
      </c>
      <c r="AF686" s="25">
        <v>-389.1895833333333</v>
      </c>
      <c r="AG686" s="25">
        <v>-229.38958333333335</v>
      </c>
      <c r="AH686" s="25">
        <v>-672.53333333333342</v>
      </c>
      <c r="AI686" s="25">
        <v>-675.73333333333323</v>
      </c>
      <c r="AJ686" s="25">
        <v>-712.84375000000011</v>
      </c>
      <c r="AK686" s="25">
        <v>-11.670833333333334</v>
      </c>
      <c r="AL686" s="25">
        <v>21.756250000000009</v>
      </c>
      <c r="AM686" s="25">
        <v>21.202083333333345</v>
      </c>
      <c r="AN686" s="25">
        <v>20.604166666666682</v>
      </c>
      <c r="AO686" s="25">
        <v>20.304166666666649</v>
      </c>
      <c r="AP686" s="25">
        <v>21.747916666666669</v>
      </c>
      <c r="AQ686" s="25">
        <v>21.360416666666669</v>
      </c>
      <c r="AR686" s="25">
        <v>20.947916666666654</v>
      </c>
      <c r="AS686" s="25">
        <v>20.758333333333351</v>
      </c>
      <c r="AT686" s="25">
        <v>0.22137499999999996</v>
      </c>
      <c r="AU686" s="25">
        <v>0.13</v>
      </c>
      <c r="AV686" s="25">
        <v>0.23435416666666661</v>
      </c>
      <c r="AW686" s="25">
        <v>-293.93704545454534</v>
      </c>
      <c r="AX686" s="25">
        <v>-122.40583333333335</v>
      </c>
      <c r="AY686" s="25">
        <v>-92.936666666666625</v>
      </c>
      <c r="AZ686" s="25"/>
      <c r="BA686" s="25">
        <v>-1269.2625</v>
      </c>
      <c r="BB686" s="25"/>
      <c r="BC686" s="25"/>
      <c r="BD686" s="25">
        <v>22.283333333333331</v>
      </c>
      <c r="BE686" s="25"/>
    </row>
    <row r="687" spans="1:57" x14ac:dyDescent="0.25">
      <c r="A687" s="1">
        <v>29.1</v>
      </c>
      <c r="B687" s="1">
        <v>17.899999999999999</v>
      </c>
      <c r="C687" s="22"/>
      <c r="D687" s="23">
        <v>44394</v>
      </c>
      <c r="E687" s="24">
        <v>114.39583333333333</v>
      </c>
      <c r="F687" s="24">
        <v>91.793750000000003</v>
      </c>
      <c r="G687" s="24">
        <v>20.747916666666669</v>
      </c>
      <c r="H687" s="24">
        <v>16.399999999999999</v>
      </c>
      <c r="I687" s="24">
        <v>133.8125</v>
      </c>
      <c r="J687" s="24">
        <v>1.25</v>
      </c>
      <c r="K687" s="24">
        <v>2.0833333333333332E-2</v>
      </c>
      <c r="L687" s="24">
        <v>19.277083333333334</v>
      </c>
      <c r="M687" s="10">
        <v>0.24223084772215112</v>
      </c>
      <c r="N687" s="25">
        <v>0.3958750000000002</v>
      </c>
      <c r="O687" s="25">
        <v>0.4684583333333332</v>
      </c>
      <c r="P687" s="25">
        <v>0.5268541666666664</v>
      </c>
      <c r="Q687" s="25">
        <v>0.5074375000000001</v>
      </c>
      <c r="R687" s="25">
        <v>0.51935416666666689</v>
      </c>
      <c r="S687" s="25">
        <v>0.46147916666666672</v>
      </c>
      <c r="T687" s="25">
        <v>0.43364583333333351</v>
      </c>
      <c r="U687" s="25">
        <v>0.33950000000000008</v>
      </c>
      <c r="V687" s="25">
        <v>-16.446458333333332</v>
      </c>
      <c r="W687" s="25">
        <v>-28.091458333333321</v>
      </c>
      <c r="X687" s="25">
        <v>-15.407291666666667</v>
      </c>
      <c r="Y687" s="25">
        <v>-36.536874999999988</v>
      </c>
      <c r="Z687" s="25">
        <v>-12.559374999999996</v>
      </c>
      <c r="AA687" s="25">
        <v>-12.802916666666663</v>
      </c>
      <c r="AB687" s="25">
        <v>-13.361875</v>
      </c>
      <c r="AC687" s="25">
        <v>-17.245208333333334</v>
      </c>
      <c r="AD687" s="25">
        <v>-10.097916666666663</v>
      </c>
      <c r="AE687" s="25">
        <v>-11.270833333333329</v>
      </c>
      <c r="AF687" s="25">
        <v>-11.641666666666667</v>
      </c>
      <c r="AG687" s="25">
        <v>-13.081249999999999</v>
      </c>
      <c r="AH687" s="25">
        <v>-12.502083333333333</v>
      </c>
      <c r="AI687" s="25">
        <v>-39.587499999999991</v>
      </c>
      <c r="AJ687" s="25">
        <v>-96.972916666666677</v>
      </c>
      <c r="AK687" s="25">
        <v>-11.254166666666663</v>
      </c>
      <c r="AL687" s="25">
        <v>21.260416666666664</v>
      </c>
      <c r="AM687" s="25">
        <v>21.029166666666665</v>
      </c>
      <c r="AN687" s="25">
        <v>20.597916666666674</v>
      </c>
      <c r="AO687" s="25">
        <v>20.379166666666645</v>
      </c>
      <c r="AP687" s="25">
        <v>21.12916666666667</v>
      </c>
      <c r="AQ687" s="25">
        <v>21.10208333333334</v>
      </c>
      <c r="AR687" s="25">
        <v>20.825000000000006</v>
      </c>
      <c r="AS687" s="25">
        <v>20.697916666666679</v>
      </c>
      <c r="AT687" s="25">
        <v>0.43008333333333337</v>
      </c>
      <c r="AU687" s="25">
        <v>0.27500000000000002</v>
      </c>
      <c r="AV687" s="25">
        <v>0.46766666666666662</v>
      </c>
      <c r="AW687" s="25">
        <v>-35.180416666666666</v>
      </c>
      <c r="AX687" s="25">
        <v>-16.30125</v>
      </c>
      <c r="AY687" s="25">
        <v>-14.352291666666668</v>
      </c>
      <c r="AZ687" s="25"/>
      <c r="BA687" s="25">
        <v>-10.672916666666666</v>
      </c>
      <c r="BB687" s="25"/>
      <c r="BC687" s="25"/>
      <c r="BD687" s="25">
        <v>21.212499999999995</v>
      </c>
      <c r="BE687" s="25"/>
    </row>
    <row r="688" spans="1:57" x14ac:dyDescent="0.25">
      <c r="A688" s="1">
        <v>26.2</v>
      </c>
      <c r="B688" s="1">
        <v>18.399999999999999</v>
      </c>
      <c r="C688" s="22"/>
      <c r="D688" s="23">
        <v>44395</v>
      </c>
      <c r="E688" s="24">
        <v>123.29166666666667</v>
      </c>
      <c r="F688" s="24">
        <v>90.770833333333357</v>
      </c>
      <c r="G688" s="24">
        <v>20.541666666666668</v>
      </c>
      <c r="H688" s="24">
        <v>19.099999999999994</v>
      </c>
      <c r="I688" s="24">
        <v>232.20833333333334</v>
      </c>
      <c r="J688" s="24">
        <v>3.2916666666666665</v>
      </c>
      <c r="K688" s="24">
        <v>0.16666666666666666</v>
      </c>
      <c r="L688" s="24">
        <v>18.893750000000001</v>
      </c>
      <c r="M688" s="10">
        <v>0.25347894551006028</v>
      </c>
      <c r="N688" s="25">
        <v>0.46797916666666689</v>
      </c>
      <c r="O688" s="25">
        <v>0.54962500000000025</v>
      </c>
      <c r="P688" s="25">
        <v>0.5921875000000002</v>
      </c>
      <c r="Q688" s="25">
        <v>0.61393750000000014</v>
      </c>
      <c r="R688" s="25">
        <v>0.57468749999999968</v>
      </c>
      <c r="S688" s="25">
        <v>0.50852083333333342</v>
      </c>
      <c r="T688" s="25">
        <v>0.46695833333333309</v>
      </c>
      <c r="U688" s="25">
        <v>0.38437499999999986</v>
      </c>
      <c r="V688" s="25">
        <v>-14.362291666666671</v>
      </c>
      <c r="W688" s="25">
        <v>-28.623333333333338</v>
      </c>
      <c r="X688" s="25">
        <v>-12.840833333333322</v>
      </c>
      <c r="Y688" s="25">
        <v>-13.63854166666666</v>
      </c>
      <c r="Z688" s="25">
        <v>-12.346666666666669</v>
      </c>
      <c r="AA688" s="25">
        <v>-12.616875000000006</v>
      </c>
      <c r="AB688" s="25">
        <v>-12.86916666666666</v>
      </c>
      <c r="AC688" s="25">
        <v>-16.359166666666667</v>
      </c>
      <c r="AD688" s="25">
        <v>-9.8166666666666718</v>
      </c>
      <c r="AE688" s="25">
        <v>-11.016666666666666</v>
      </c>
      <c r="AF688" s="25">
        <v>-11.41874999999999</v>
      </c>
      <c r="AG688" s="25">
        <v>-12.683333333333335</v>
      </c>
      <c r="AH688" s="25">
        <v>-12.36874999999999</v>
      </c>
      <c r="AI688" s="25">
        <v>-11.689583333333323</v>
      </c>
      <c r="AJ688" s="25">
        <v>-16.281250000000014</v>
      </c>
      <c r="AK688" s="25">
        <v>-11.345833333333326</v>
      </c>
      <c r="AL688" s="25">
        <v>21.085416666666664</v>
      </c>
      <c r="AM688" s="25">
        <v>20.852083333333312</v>
      </c>
      <c r="AN688" s="25">
        <v>20.466666666666658</v>
      </c>
      <c r="AO688" s="25">
        <v>20.299999999999983</v>
      </c>
      <c r="AP688" s="25">
        <v>20.945833333333326</v>
      </c>
      <c r="AQ688" s="25">
        <v>20.883333333333329</v>
      </c>
      <c r="AR688" s="25">
        <v>20.629166666666674</v>
      </c>
      <c r="AS688" s="25">
        <v>20.545833333333334</v>
      </c>
      <c r="AT688" s="25">
        <v>0.46462500000000007</v>
      </c>
      <c r="AU688" s="25">
        <v>0.316</v>
      </c>
      <c r="AV688" s="25">
        <v>0.50395833333333329</v>
      </c>
      <c r="AW688" s="25">
        <v>-28.296874999999989</v>
      </c>
      <c r="AX688" s="25">
        <v>-16.461458333333333</v>
      </c>
      <c r="AY688" s="25">
        <v>-14.205624999999992</v>
      </c>
      <c r="AZ688" s="25"/>
      <c r="BA688" s="25">
        <v>-10.34166666666667</v>
      </c>
      <c r="BB688" s="25"/>
      <c r="BC688" s="25"/>
      <c r="BD688" s="25">
        <v>21.085416666666664</v>
      </c>
      <c r="BE688" s="25"/>
    </row>
    <row r="689" spans="1:57" x14ac:dyDescent="0.25">
      <c r="A689" s="1">
        <v>27.4</v>
      </c>
      <c r="B689" s="1">
        <v>17.7</v>
      </c>
      <c r="C689" s="22"/>
      <c r="D689" s="23">
        <v>44396</v>
      </c>
      <c r="E689" s="24">
        <v>167.10416666666666</v>
      </c>
      <c r="F689" s="24">
        <v>87.16249999999998</v>
      </c>
      <c r="G689" s="24">
        <v>21.170833333333338</v>
      </c>
      <c r="H689" s="24">
        <v>0.5</v>
      </c>
      <c r="I689" s="24">
        <v>224.6875</v>
      </c>
      <c r="J689" s="24">
        <v>2.3541666666666665</v>
      </c>
      <c r="K689" s="24">
        <v>2.0833333333333332E-2</v>
      </c>
      <c r="L689" s="24">
        <v>18.802083333333332</v>
      </c>
      <c r="M689" s="10">
        <v>0.37782055820488242</v>
      </c>
      <c r="N689" s="25">
        <v>0.43706250000000019</v>
      </c>
      <c r="O689" s="25">
        <v>0.5331041666666666</v>
      </c>
      <c r="P689" s="25">
        <v>0.58364583333333331</v>
      </c>
      <c r="Q689" s="25">
        <v>0.59781250000000019</v>
      </c>
      <c r="R689" s="25">
        <v>0.57427083333333317</v>
      </c>
      <c r="S689" s="25">
        <v>0.49272916666666666</v>
      </c>
      <c r="T689" s="25">
        <v>0.46841666666666693</v>
      </c>
      <c r="U689" s="25">
        <v>0.40241666666666642</v>
      </c>
      <c r="V689" s="25">
        <v>-14.267083333333334</v>
      </c>
      <c r="W689" s="25">
        <v>-32.03625000000001</v>
      </c>
      <c r="X689" s="25">
        <v>-12.379791666666662</v>
      </c>
      <c r="Y689" s="25">
        <v>-12.850000000000001</v>
      </c>
      <c r="Z689" s="25">
        <v>-12.561458333333333</v>
      </c>
      <c r="AA689" s="25">
        <v>-12.694583333333334</v>
      </c>
      <c r="AB689" s="25">
        <v>-13.082916666666662</v>
      </c>
      <c r="AC689" s="25">
        <v>-14.179166666666667</v>
      </c>
      <c r="AD689" s="25">
        <v>-9.8104166666666703</v>
      </c>
      <c r="AE689" s="25">
        <v>-10.931249999999997</v>
      </c>
      <c r="AF689" s="25">
        <v>-11.33333333333333</v>
      </c>
      <c r="AG689" s="25">
        <v>-12.118750000000004</v>
      </c>
      <c r="AH689" s="25">
        <v>-12.481250000000005</v>
      </c>
      <c r="AI689" s="25">
        <v>-10.479166666666675</v>
      </c>
      <c r="AJ689" s="25">
        <v>-10.60000000000001</v>
      </c>
      <c r="AK689" s="25">
        <v>-11.42708333333333</v>
      </c>
      <c r="AL689" s="25">
        <v>20.960416666666664</v>
      </c>
      <c r="AM689" s="25">
        <v>20.697916666666682</v>
      </c>
      <c r="AN689" s="25">
        <v>20.360416666666641</v>
      </c>
      <c r="AO689" s="25">
        <v>20.239583333333353</v>
      </c>
      <c r="AP689" s="25">
        <v>20.935416666666658</v>
      </c>
      <c r="AQ689" s="25">
        <v>20.775000000000006</v>
      </c>
      <c r="AR689" s="25">
        <v>20.510416666666661</v>
      </c>
      <c r="AS689" s="25">
        <v>20.41249999999998</v>
      </c>
      <c r="AT689" s="25">
        <v>0.43927083333333344</v>
      </c>
      <c r="AU689" s="25">
        <v>0.27952380952380951</v>
      </c>
      <c r="AV689" s="25">
        <v>0.47322916666666637</v>
      </c>
      <c r="AW689" s="25">
        <v>-31.798125000000013</v>
      </c>
      <c r="AX689" s="25">
        <v>-15.791041666666663</v>
      </c>
      <c r="AY689" s="25">
        <v>-14.298541666666665</v>
      </c>
      <c r="AZ689" s="25"/>
      <c r="BA689" s="25">
        <v>-10.343749999999995</v>
      </c>
      <c r="BB689" s="25"/>
      <c r="BC689" s="25"/>
      <c r="BD689" s="25">
        <v>21.210416666666667</v>
      </c>
      <c r="BE689" s="25"/>
    </row>
    <row r="690" spans="1:57" x14ac:dyDescent="0.25">
      <c r="A690" s="1">
        <v>28.7</v>
      </c>
      <c r="B690" s="1">
        <v>18.600000000000001</v>
      </c>
      <c r="C690" s="22"/>
      <c r="D690" s="23">
        <v>44397</v>
      </c>
      <c r="E690" s="24">
        <v>176.14583333333334</v>
      </c>
      <c r="F690" s="24">
        <v>86.175000000000011</v>
      </c>
      <c r="G690" s="24">
        <v>22.041666666666661</v>
      </c>
      <c r="H690" s="24">
        <v>1.5999999999999999</v>
      </c>
      <c r="I690" s="24">
        <v>212.0625</v>
      </c>
      <c r="J690" s="24">
        <v>2.4791666666666665</v>
      </c>
      <c r="K690" s="24">
        <v>4.1666666666666664E-2</v>
      </c>
      <c r="L690" s="24">
        <v>19.487499999999997</v>
      </c>
      <c r="M690" s="10">
        <v>0.42298313960141337</v>
      </c>
      <c r="N690" s="25">
        <v>0.418375</v>
      </c>
      <c r="O690" s="25">
        <v>0.52141666666666675</v>
      </c>
      <c r="P690" s="25">
        <v>0.57564583333333386</v>
      </c>
      <c r="Q690" s="25">
        <v>0.59224999999999994</v>
      </c>
      <c r="R690" s="25">
        <v>0.56997916666666704</v>
      </c>
      <c r="S690" s="25">
        <v>0.48322916666666638</v>
      </c>
      <c r="T690" s="25">
        <v>0.46320833333333344</v>
      </c>
      <c r="U690" s="25">
        <v>0.39881250000000001</v>
      </c>
      <c r="V690" s="25">
        <v>-14.264583333333336</v>
      </c>
      <c r="W690" s="25">
        <v>-36.858333333333334</v>
      </c>
      <c r="X690" s="25">
        <v>-12.647083333333333</v>
      </c>
      <c r="Y690" s="25">
        <v>-13.118541666666667</v>
      </c>
      <c r="Z690" s="25">
        <v>-12.859166666666662</v>
      </c>
      <c r="AA690" s="25">
        <v>-13.416874999999997</v>
      </c>
      <c r="AB690" s="25">
        <v>-13.600208333333333</v>
      </c>
      <c r="AC690" s="25">
        <v>-14.918750000000001</v>
      </c>
      <c r="AD690" s="25">
        <v>-9.8458333333333261</v>
      </c>
      <c r="AE690" s="25">
        <v>-11.03333333333334</v>
      </c>
      <c r="AF690" s="25">
        <v>-11.322916666666664</v>
      </c>
      <c r="AG690" s="25">
        <v>-12.145833333333336</v>
      </c>
      <c r="AH690" s="25">
        <v>-12.768750000000004</v>
      </c>
      <c r="AI690" s="25">
        <v>-10.758333333333333</v>
      </c>
      <c r="AJ690" s="25">
        <v>-10.645833333333327</v>
      </c>
      <c r="AK690" s="25">
        <v>-11.560416666666669</v>
      </c>
      <c r="AL690" s="25">
        <v>21.185416666666661</v>
      </c>
      <c r="AM690" s="25">
        <v>20.739583333333336</v>
      </c>
      <c r="AN690" s="25">
        <v>20.299999999999983</v>
      </c>
      <c r="AO690" s="25">
        <v>20.200000000000017</v>
      </c>
      <c r="AP690" s="25">
        <v>21.302083333333336</v>
      </c>
      <c r="AQ690" s="25">
        <v>20.960416666666667</v>
      </c>
      <c r="AR690" s="25">
        <v>20.591666666666679</v>
      </c>
      <c r="AS690" s="25">
        <v>20.449999999999992</v>
      </c>
      <c r="AT690" s="25">
        <v>0.43010416666666657</v>
      </c>
      <c r="AU690" s="25">
        <v>0.27102083333333338</v>
      </c>
      <c r="AV690" s="25">
        <v>0.45312500000000022</v>
      </c>
      <c r="AW690" s="25">
        <v>-30.196041666666673</v>
      </c>
      <c r="AX690" s="25">
        <v>-15.385208333333331</v>
      </c>
      <c r="AY690" s="25">
        <v>-14.408333333333331</v>
      </c>
      <c r="AZ690" s="25"/>
      <c r="BA690" s="25">
        <v>-10.408333333333326</v>
      </c>
      <c r="BB690" s="25"/>
      <c r="BC690" s="25"/>
      <c r="BD690" s="25">
        <v>21.489583333333339</v>
      </c>
      <c r="BE690" s="25"/>
    </row>
    <row r="691" spans="1:57" x14ac:dyDescent="0.25">
      <c r="A691" s="1">
        <v>29.4</v>
      </c>
      <c r="B691" s="1">
        <v>18.600000000000001</v>
      </c>
      <c r="C691" s="22"/>
      <c r="D691" s="23">
        <v>44398</v>
      </c>
      <c r="E691" s="24">
        <v>203.20833333333334</v>
      </c>
      <c r="F691" s="24">
        <v>83.212499999999991</v>
      </c>
      <c r="G691" s="24">
        <v>23.106249999999992</v>
      </c>
      <c r="H691" s="24">
        <v>5</v>
      </c>
      <c r="I691" s="24">
        <v>223.45833333333334</v>
      </c>
      <c r="J691" s="24">
        <v>2.8541666666666665</v>
      </c>
      <c r="K691" s="24">
        <v>0.14583333333333334</v>
      </c>
      <c r="L691" s="24">
        <v>19.902083333333337</v>
      </c>
      <c r="M691" s="10">
        <v>0.5564031939848556</v>
      </c>
      <c r="N691" s="25">
        <v>0.40758333333333335</v>
      </c>
      <c r="O691" s="25">
        <v>0.51443750000000021</v>
      </c>
      <c r="P691" s="25">
        <v>0.56729166666666664</v>
      </c>
      <c r="Q691" s="25">
        <v>0.58741666666666636</v>
      </c>
      <c r="R691" s="25">
        <v>0.57139583333333333</v>
      </c>
      <c r="S691" s="25">
        <v>0.47866666666666696</v>
      </c>
      <c r="T691" s="25">
        <v>0.45772916666666669</v>
      </c>
      <c r="U691" s="25">
        <v>0.39468749999999986</v>
      </c>
      <c r="V691" s="25">
        <v>-14.720833333333331</v>
      </c>
      <c r="W691" s="25">
        <v>-47.349791666666668</v>
      </c>
      <c r="X691" s="25">
        <v>-13.368958333333333</v>
      </c>
      <c r="Y691" s="25">
        <v>-13.598124999999998</v>
      </c>
      <c r="Z691" s="25">
        <v>-13.259166666666667</v>
      </c>
      <c r="AA691" s="25">
        <v>-15.089374999999999</v>
      </c>
      <c r="AB691" s="25">
        <v>-14.922499999999999</v>
      </c>
      <c r="AC691" s="25">
        <v>-16.53479166666666</v>
      </c>
      <c r="AD691" s="25">
        <v>-10.087499999999999</v>
      </c>
      <c r="AE691" s="25">
        <v>-11.25208333333333</v>
      </c>
      <c r="AF691" s="25">
        <v>-11.377083333333331</v>
      </c>
      <c r="AG691" s="25">
        <v>-12.27499999999999</v>
      </c>
      <c r="AH691" s="25">
        <v>-13.487500000000004</v>
      </c>
      <c r="AI691" s="25">
        <v>-11.543749999999998</v>
      </c>
      <c r="AJ691" s="25">
        <v>-10.843749999999998</v>
      </c>
      <c r="AK691" s="25">
        <v>-12.108333333333336</v>
      </c>
      <c r="AL691" s="25">
        <v>21.404166666666665</v>
      </c>
      <c r="AM691" s="25">
        <v>20.858333333333331</v>
      </c>
      <c r="AN691" s="25">
        <v>20.395833333333318</v>
      </c>
      <c r="AO691" s="25">
        <v>20.200000000000017</v>
      </c>
      <c r="AP691" s="25">
        <v>21.562499999999996</v>
      </c>
      <c r="AQ691" s="25">
        <v>21.114583333333325</v>
      </c>
      <c r="AR691" s="25">
        <v>20.710416666666671</v>
      </c>
      <c r="AS691" s="25">
        <v>20.545833333333338</v>
      </c>
      <c r="AT691" s="25">
        <v>0.43379166666666652</v>
      </c>
      <c r="AU691" s="25">
        <v>0.27716666666666673</v>
      </c>
      <c r="AV691" s="25">
        <v>0.45762500000000017</v>
      </c>
      <c r="AW691" s="25">
        <v>-30.798750000000002</v>
      </c>
      <c r="AX691" s="25">
        <v>-15.196041666666668</v>
      </c>
      <c r="AY691" s="25">
        <v>-14.459166666666668</v>
      </c>
      <c r="AZ691" s="25"/>
      <c r="BA691" s="25">
        <v>-10.272916666666676</v>
      </c>
      <c r="BB691" s="25"/>
      <c r="BC691" s="25"/>
      <c r="BD691" s="25">
        <v>21.702083333333331</v>
      </c>
      <c r="BE691" s="25"/>
    </row>
    <row r="692" spans="1:57" x14ac:dyDescent="0.25">
      <c r="A692" s="1">
        <v>29.7</v>
      </c>
      <c r="B692" s="1">
        <v>19.5</v>
      </c>
      <c r="C692" s="22"/>
      <c r="D692" s="23">
        <v>44399</v>
      </c>
      <c r="E692" s="24">
        <v>130.47916666666666</v>
      </c>
      <c r="F692" s="24">
        <v>87.068750000000023</v>
      </c>
      <c r="G692" s="24">
        <v>22.03958333333334</v>
      </c>
      <c r="H692" s="24">
        <v>0.2</v>
      </c>
      <c r="I692" s="24">
        <v>243.39583333333334</v>
      </c>
      <c r="J692" s="24">
        <v>1.7708333333333333</v>
      </c>
      <c r="K692" s="24">
        <v>0.10416666666666667</v>
      </c>
      <c r="L692" s="24">
        <v>19.6875</v>
      </c>
      <c r="M692" s="10">
        <v>0.38782928637413061</v>
      </c>
      <c r="N692" s="25">
        <v>0.39677083333333324</v>
      </c>
      <c r="O692" s="25">
        <v>0.50845833333333301</v>
      </c>
      <c r="P692" s="25">
        <v>0.55877083333333311</v>
      </c>
      <c r="Q692" s="25">
        <v>0.58224999999999927</v>
      </c>
      <c r="R692" s="25">
        <v>0.57062500000000049</v>
      </c>
      <c r="S692" s="25">
        <v>0.47385416666666641</v>
      </c>
      <c r="T692" s="25">
        <v>0.45166666666666694</v>
      </c>
      <c r="U692" s="25">
        <v>0.38937500000000019</v>
      </c>
      <c r="V692" s="25">
        <v>-14.645208333333334</v>
      </c>
      <c r="W692" s="25">
        <v>-57.112708333333352</v>
      </c>
      <c r="X692" s="25">
        <v>-15.09041666666667</v>
      </c>
      <c r="Y692" s="25">
        <v>-14.764166666666668</v>
      </c>
      <c r="Z692" s="25">
        <v>-12.777708333333331</v>
      </c>
      <c r="AA692" s="25">
        <v>-17.736666666666668</v>
      </c>
      <c r="AB692" s="25">
        <v>-17.07041666666667</v>
      </c>
      <c r="AC692" s="25">
        <v>-19.501666666666669</v>
      </c>
      <c r="AD692" s="25">
        <v>-10.543749999999998</v>
      </c>
      <c r="AE692" s="25">
        <v>-11.86041666666666</v>
      </c>
      <c r="AF692" s="25">
        <v>-11.674999999999999</v>
      </c>
      <c r="AG692" s="25">
        <v>-12.447916666666673</v>
      </c>
      <c r="AH692" s="25">
        <v>-14.485416666666671</v>
      </c>
      <c r="AI692" s="25">
        <v>-13.406250000000002</v>
      </c>
      <c r="AJ692" s="25">
        <v>-11.37708333333333</v>
      </c>
      <c r="AK692" s="25">
        <v>-12.900000000000007</v>
      </c>
      <c r="AL692" s="25">
        <v>21.531250000000011</v>
      </c>
      <c r="AM692" s="25">
        <v>21.010416666666668</v>
      </c>
      <c r="AN692" s="25">
        <v>20.487500000000001</v>
      </c>
      <c r="AO692" s="25">
        <v>20.283333333333314</v>
      </c>
      <c r="AP692" s="25">
        <v>21.645833333333332</v>
      </c>
      <c r="AQ692" s="25">
        <v>21.295833333333331</v>
      </c>
      <c r="AR692" s="25">
        <v>20.877083333333317</v>
      </c>
      <c r="AS692" s="25">
        <v>20.697916666666686</v>
      </c>
      <c r="AT692" s="25">
        <v>0.43512499999999998</v>
      </c>
      <c r="AU692" s="25">
        <v>0.27654166666666685</v>
      </c>
      <c r="AV692" s="25">
        <v>0.46241666666666653</v>
      </c>
      <c r="AW692" s="25">
        <v>-26.665624999999995</v>
      </c>
      <c r="AX692" s="25">
        <v>-15.08145833333333</v>
      </c>
      <c r="AY692" s="25">
        <v>-14.394583333333332</v>
      </c>
      <c r="AZ692" s="25"/>
      <c r="BA692" s="25">
        <v>-10.172916666666666</v>
      </c>
      <c r="BB692" s="25"/>
      <c r="BC692" s="25"/>
      <c r="BD692" s="25">
        <v>21.693749999999994</v>
      </c>
      <c r="BE692" s="25"/>
    </row>
    <row r="693" spans="1:57" x14ac:dyDescent="0.25">
      <c r="A693" s="1">
        <v>26.1</v>
      </c>
      <c r="B693" s="1">
        <v>19</v>
      </c>
      <c r="C693" s="22"/>
      <c r="D693" s="23">
        <v>44400</v>
      </c>
      <c r="E693" s="24">
        <v>83.6875</v>
      </c>
      <c r="F693" s="24">
        <v>92.710416666666688</v>
      </c>
      <c r="G693" s="24">
        <v>20.956250000000001</v>
      </c>
      <c r="H693" s="24">
        <v>7.7</v>
      </c>
      <c r="I693" s="24">
        <v>231.5</v>
      </c>
      <c r="J693" s="24">
        <v>0.9375</v>
      </c>
      <c r="K693" s="24">
        <v>6.25E-2</v>
      </c>
      <c r="L693" s="24">
        <v>19.677083333333332</v>
      </c>
      <c r="M693" s="10">
        <v>0.20362557169737064</v>
      </c>
      <c r="N693" s="25">
        <v>0.38933333333333331</v>
      </c>
      <c r="O693" s="25">
        <v>0.50222916666666695</v>
      </c>
      <c r="P693" s="25">
        <v>0.55512499999999965</v>
      </c>
      <c r="Q693" s="25">
        <v>0.57910416666666664</v>
      </c>
      <c r="R693" s="25">
        <v>0.56666666666666676</v>
      </c>
      <c r="S693" s="25">
        <v>0.46858333333333335</v>
      </c>
      <c r="T693" s="25">
        <v>0.4487500000000002</v>
      </c>
      <c r="U693" s="25">
        <v>0.38649999999999979</v>
      </c>
      <c r="V693" s="25">
        <v>-14.843541666666665</v>
      </c>
      <c r="W693" s="25">
        <v>-64.946250000000006</v>
      </c>
      <c r="X693" s="25">
        <v>-17.572291666666665</v>
      </c>
      <c r="Y693" s="25">
        <v>-16.409583333333334</v>
      </c>
      <c r="Z693" s="25">
        <v>-13.257916666666668</v>
      </c>
      <c r="AA693" s="25">
        <v>-20.038750000000007</v>
      </c>
      <c r="AB693" s="25">
        <v>-19.059166666666663</v>
      </c>
      <c r="AC693" s="25">
        <v>-23.02729166666667</v>
      </c>
      <c r="AD693" s="25">
        <v>-11.083333333333334</v>
      </c>
      <c r="AE693" s="25">
        <v>-12.866666666666665</v>
      </c>
      <c r="AF693" s="25">
        <v>-12.318750000000007</v>
      </c>
      <c r="AG693" s="25">
        <v>-12.658333333333331</v>
      </c>
      <c r="AH693" s="25">
        <v>-15.258333333333338</v>
      </c>
      <c r="AI693" s="25">
        <v>-16.631250000000001</v>
      </c>
      <c r="AJ693" s="25">
        <v>-12.33333333333333</v>
      </c>
      <c r="AK693" s="25">
        <v>-13.74375</v>
      </c>
      <c r="AL693" s="25">
        <v>21.308333333333319</v>
      </c>
      <c r="AM693" s="25">
        <v>20.935416666666651</v>
      </c>
      <c r="AN693" s="25">
        <v>20.5</v>
      </c>
      <c r="AO693" s="25">
        <v>20.299999999999983</v>
      </c>
      <c r="AP693" s="25">
        <v>21.327083333333338</v>
      </c>
      <c r="AQ693" s="25">
        <v>21.172916666666687</v>
      </c>
      <c r="AR693" s="25">
        <v>20.837499999999981</v>
      </c>
      <c r="AS693" s="25">
        <v>20.675000000000015</v>
      </c>
      <c r="AT693" s="25">
        <v>0.44060416666666646</v>
      </c>
      <c r="AU693" s="25">
        <v>0.28566666666666662</v>
      </c>
      <c r="AV693" s="25">
        <v>0.46910416666666671</v>
      </c>
      <c r="AW693" s="25">
        <v>-30.079999999999995</v>
      </c>
      <c r="AX693" s="25">
        <v>-15.101666666666667</v>
      </c>
      <c r="AY693" s="25">
        <v>-14.433750000000002</v>
      </c>
      <c r="AZ693" s="25"/>
      <c r="BA693" s="25">
        <v>-10.085416666666655</v>
      </c>
      <c r="BB693" s="25"/>
      <c r="BC693" s="25"/>
      <c r="BD693" s="25">
        <v>21.250000000000004</v>
      </c>
      <c r="BE693" s="25"/>
    </row>
    <row r="694" spans="1:57" x14ac:dyDescent="0.25">
      <c r="A694" s="1">
        <v>28.9</v>
      </c>
      <c r="B694" s="1">
        <v>19.100000000000001</v>
      </c>
      <c r="C694" s="22"/>
      <c r="D694" s="23">
        <v>44401</v>
      </c>
      <c r="E694" s="24">
        <v>140.3125</v>
      </c>
      <c r="F694" s="24">
        <v>90.766666666666652</v>
      </c>
      <c r="G694" s="24">
        <v>21.743750000000006</v>
      </c>
      <c r="H694" s="24">
        <v>2.2000000000000002</v>
      </c>
      <c r="I694" s="24">
        <v>224.20833333333334</v>
      </c>
      <c r="J694" s="24">
        <v>1.2083333333333333</v>
      </c>
      <c r="K694" s="24">
        <v>4.1666666666666664E-2</v>
      </c>
      <c r="L694" s="24">
        <v>20.029166666666669</v>
      </c>
      <c r="M694" s="10">
        <v>0.29783973425677568</v>
      </c>
      <c r="N694" s="25">
        <v>0.38860416666666647</v>
      </c>
      <c r="O694" s="25">
        <v>0.49843749999999959</v>
      </c>
      <c r="P694" s="25">
        <v>0.55260416666666667</v>
      </c>
      <c r="Q694" s="25">
        <v>0.57689583333333394</v>
      </c>
      <c r="R694" s="25">
        <v>0.57085416666666622</v>
      </c>
      <c r="S694" s="25">
        <v>0.46364583333333348</v>
      </c>
      <c r="T694" s="25">
        <v>0.44654166666666656</v>
      </c>
      <c r="U694" s="25">
        <v>0.38506249999999992</v>
      </c>
      <c r="V694" s="25">
        <v>-14.409583333333332</v>
      </c>
      <c r="W694" s="25">
        <v>-73.590833333333322</v>
      </c>
      <c r="X694" s="25">
        <v>-19.865000000000002</v>
      </c>
      <c r="Y694" s="25">
        <v>-18.145208333333333</v>
      </c>
      <c r="Z694" s="25">
        <v>-12.522500000000006</v>
      </c>
      <c r="AA694" s="25">
        <v>-21.527083333333334</v>
      </c>
      <c r="AB694" s="25">
        <v>-20.495208333333334</v>
      </c>
      <c r="AC694" s="25">
        <v>-25.493541666666658</v>
      </c>
      <c r="AD694" s="25">
        <v>-10.499999999999996</v>
      </c>
      <c r="AE694" s="25">
        <v>-14.156249999999995</v>
      </c>
      <c r="AF694" s="25">
        <v>-12.979166666666664</v>
      </c>
      <c r="AG694" s="25">
        <v>-13.016666666666664</v>
      </c>
      <c r="AH694" s="25">
        <v>-13.693750000000007</v>
      </c>
      <c r="AI694" s="25">
        <v>-20.612499999999997</v>
      </c>
      <c r="AJ694" s="25">
        <v>-13.695833333333331</v>
      </c>
      <c r="AK694" s="25">
        <v>-16.735416666666669</v>
      </c>
      <c r="AL694" s="25">
        <v>21.241666666666671</v>
      </c>
      <c r="AM694" s="25">
        <v>20.852083333333322</v>
      </c>
      <c r="AN694" s="25">
        <v>20.443749999999987</v>
      </c>
      <c r="AO694" s="25">
        <v>20.299999999999983</v>
      </c>
      <c r="AP694" s="25">
        <v>21.360416666666669</v>
      </c>
      <c r="AQ694" s="25">
        <v>21.064583333333321</v>
      </c>
      <c r="AR694" s="25">
        <v>20.737500000000001</v>
      </c>
      <c r="AS694" s="25">
        <v>20.597916666666677</v>
      </c>
      <c r="AT694" s="25">
        <v>0.45260416666666664</v>
      </c>
      <c r="AU694" s="25">
        <v>0.29633333333333328</v>
      </c>
      <c r="AV694" s="25">
        <v>0.48741666666666644</v>
      </c>
      <c r="AW694" s="25">
        <v>-25.521249999999995</v>
      </c>
      <c r="AX694" s="25">
        <v>-14.982083333333335</v>
      </c>
      <c r="AY694" s="25">
        <v>-14.229166666666666</v>
      </c>
      <c r="AZ694" s="25"/>
      <c r="BA694" s="25">
        <v>-9.8854166666666625</v>
      </c>
      <c r="BB694" s="25"/>
      <c r="BC694" s="25"/>
      <c r="BD694" s="25">
        <v>21.514583333333334</v>
      </c>
      <c r="BE694" s="25"/>
    </row>
    <row r="695" spans="1:57" x14ac:dyDescent="0.25">
      <c r="A695" s="1">
        <v>29.3</v>
      </c>
      <c r="B695" s="1">
        <v>18.600000000000001</v>
      </c>
      <c r="C695" s="22"/>
      <c r="D695" s="23">
        <v>44402</v>
      </c>
      <c r="E695" s="24">
        <v>184.6875</v>
      </c>
      <c r="F695" s="24">
        <v>88.6875</v>
      </c>
      <c r="G695" s="24">
        <v>21.514583333333338</v>
      </c>
      <c r="H695" s="24">
        <v>7.1999999999999993</v>
      </c>
      <c r="I695" s="24">
        <v>224</v>
      </c>
      <c r="J695" s="24">
        <v>1.7708333333333333</v>
      </c>
      <c r="K695" s="24">
        <v>6.25E-2</v>
      </c>
      <c r="L695" s="24">
        <v>19.450000000000006</v>
      </c>
      <c r="M695" s="10">
        <v>0.34405810248131052</v>
      </c>
      <c r="N695" s="25">
        <v>0.3807708333333335</v>
      </c>
      <c r="O695" s="25">
        <v>0.49481249999999993</v>
      </c>
      <c r="P695" s="25">
        <v>0.54722916666666677</v>
      </c>
      <c r="Q695" s="25">
        <v>0.57181249999999972</v>
      </c>
      <c r="R695" s="25">
        <v>0.57437499999999975</v>
      </c>
      <c r="S695" s="25">
        <v>0.46547916666666667</v>
      </c>
      <c r="T695" s="25">
        <v>0.44233333333333369</v>
      </c>
      <c r="U695" s="25">
        <v>0.38170833333333337</v>
      </c>
      <c r="V695" s="25">
        <v>-14.333541666666676</v>
      </c>
      <c r="W695" s="25">
        <v>-73.017916666666679</v>
      </c>
      <c r="X695" s="25">
        <v>-22.250833333333333</v>
      </c>
      <c r="Y695" s="25">
        <v>-20.208124999999999</v>
      </c>
      <c r="Z695" s="25">
        <v>-12.310000000000002</v>
      </c>
      <c r="AA695" s="25">
        <v>-23.208958333333332</v>
      </c>
      <c r="AB695" s="25">
        <v>-22.071041666666659</v>
      </c>
      <c r="AC695" s="25">
        <v>-28.500416666666666</v>
      </c>
      <c r="AD695" s="25">
        <v>-10.054166666666669</v>
      </c>
      <c r="AE695" s="25">
        <v>-16.375</v>
      </c>
      <c r="AF695" s="25">
        <v>-14.970833333333333</v>
      </c>
      <c r="AG695" s="25">
        <v>-14.154166666666669</v>
      </c>
      <c r="AH695" s="25">
        <v>-13.179166666666676</v>
      </c>
      <c r="AI695" s="25">
        <v>-26.397916666666664</v>
      </c>
      <c r="AJ695" s="25">
        <v>-16.779166666666665</v>
      </c>
      <c r="AK695" s="25">
        <v>-22.516666666666669</v>
      </c>
      <c r="AL695" s="25">
        <v>21.433333333333334</v>
      </c>
      <c r="AM695" s="25">
        <v>20.92916666666666</v>
      </c>
      <c r="AN695" s="25">
        <v>20.477083333333329</v>
      </c>
      <c r="AO695" s="25">
        <v>20.299999999999983</v>
      </c>
      <c r="AP695" s="25">
        <v>21.462500000000002</v>
      </c>
      <c r="AQ695" s="25">
        <v>21.174999999999994</v>
      </c>
      <c r="AR695" s="25">
        <v>20.812500000000004</v>
      </c>
      <c r="AS695" s="25">
        <v>20.654166666666679</v>
      </c>
      <c r="AT695" s="25">
        <v>0.4550416666666664</v>
      </c>
      <c r="AU695" s="25">
        <v>0.29264285714285709</v>
      </c>
      <c r="AV695" s="25">
        <v>0.49108333333333332</v>
      </c>
      <c r="AW695" s="25">
        <v>-30.441041666666678</v>
      </c>
      <c r="AX695" s="25">
        <v>-14.945</v>
      </c>
      <c r="AY695" s="25">
        <v>-14.188958333333332</v>
      </c>
      <c r="AZ695" s="25"/>
      <c r="BA695" s="25">
        <v>-9.7916666666666643</v>
      </c>
      <c r="BB695" s="25"/>
      <c r="BC695" s="25"/>
      <c r="BD695" s="25">
        <v>21.483333333333334</v>
      </c>
      <c r="BE695" s="25"/>
    </row>
    <row r="696" spans="1:57" x14ac:dyDescent="0.25">
      <c r="A696" s="1">
        <v>31.9</v>
      </c>
      <c r="B696" s="1">
        <v>17.8</v>
      </c>
      <c r="C696" s="22"/>
      <c r="D696" s="23">
        <v>44403</v>
      </c>
      <c r="E696" s="24">
        <v>274.77083333333331</v>
      </c>
      <c r="F696" s="24">
        <v>83.200000000000017</v>
      </c>
      <c r="G696" s="24">
        <v>22.925000000000001</v>
      </c>
      <c r="H696" s="24">
        <v>12.1</v>
      </c>
      <c r="I696" s="24">
        <v>219.29166666666666</v>
      </c>
      <c r="J696" s="24">
        <v>2.3333333333333335</v>
      </c>
      <c r="K696" s="24">
        <v>0.125</v>
      </c>
      <c r="L696" s="24">
        <v>19.529166666666665</v>
      </c>
      <c r="M696" s="10">
        <v>0.62618129312342552</v>
      </c>
      <c r="N696" s="25">
        <v>0.38243749999999993</v>
      </c>
      <c r="O696" s="25">
        <v>0.50174999999999992</v>
      </c>
      <c r="P696" s="25">
        <v>0.54389583333333336</v>
      </c>
      <c r="Q696" s="25">
        <v>0.5703125</v>
      </c>
      <c r="R696" s="25">
        <v>0.57866666666666677</v>
      </c>
      <c r="S696" s="25">
        <v>0.47918749999999993</v>
      </c>
      <c r="T696" s="25">
        <v>0.4392291666666665</v>
      </c>
      <c r="U696" s="25">
        <v>0.37781249999999994</v>
      </c>
      <c r="V696" s="25">
        <v>-14.332291666666665</v>
      </c>
      <c r="W696" s="25">
        <v>-27.969374999999989</v>
      </c>
      <c r="X696" s="25">
        <v>-24.570833333333336</v>
      </c>
      <c r="Y696" s="25">
        <v>-21.921874999999996</v>
      </c>
      <c r="Z696" s="25">
        <v>-12.296458333333334</v>
      </c>
      <c r="AA696" s="25">
        <v>-15.252916666666664</v>
      </c>
      <c r="AB696" s="25">
        <v>-23.566249999999997</v>
      </c>
      <c r="AC696" s="25">
        <v>-29.38666666666667</v>
      </c>
      <c r="AD696" s="25">
        <v>-9.7812499999999982</v>
      </c>
      <c r="AE696" s="25">
        <v>-15.035416666666665</v>
      </c>
      <c r="AF696" s="25">
        <v>-18.543750000000006</v>
      </c>
      <c r="AG696" s="25">
        <v>-16.908333333333335</v>
      </c>
      <c r="AH696" s="25">
        <v>-12.816666666666668</v>
      </c>
      <c r="AI696" s="25">
        <v>-33.558333333333344</v>
      </c>
      <c r="AJ696" s="25">
        <v>-21.337499999999995</v>
      </c>
      <c r="AK696" s="25">
        <v>-11.814583333333326</v>
      </c>
      <c r="AL696" s="25">
        <v>21.495833333333337</v>
      </c>
      <c r="AM696" s="25">
        <v>20.956249999999994</v>
      </c>
      <c r="AN696" s="25">
        <v>20.5</v>
      </c>
      <c r="AO696" s="25">
        <v>20.302083333333318</v>
      </c>
      <c r="AP696" s="25">
        <v>21.512500000000003</v>
      </c>
      <c r="AQ696" s="25">
        <v>21.149999999999995</v>
      </c>
      <c r="AR696" s="25">
        <v>20.804166666666674</v>
      </c>
      <c r="AS696" s="25">
        <v>20.652083333333344</v>
      </c>
      <c r="AT696" s="25">
        <v>0.45518749999999991</v>
      </c>
      <c r="AU696" s="25">
        <v>0.30220000000000002</v>
      </c>
      <c r="AV696" s="25">
        <v>0.49906249999999991</v>
      </c>
      <c r="AW696" s="25">
        <v>-49.003958333333316</v>
      </c>
      <c r="AX696" s="25">
        <v>-14.966458333333328</v>
      </c>
      <c r="AY696" s="25">
        <v>-14.107916666666666</v>
      </c>
      <c r="AZ696" s="25"/>
      <c r="BA696" s="25">
        <v>-9.7437499999999932</v>
      </c>
      <c r="BB696" s="25"/>
      <c r="BC696" s="25"/>
      <c r="BD696" s="25">
        <v>21.71875</v>
      </c>
      <c r="BE696" s="25"/>
    </row>
    <row r="697" spans="1:57" x14ac:dyDescent="0.25">
      <c r="A697" s="1">
        <v>32.4</v>
      </c>
      <c r="B697" s="1">
        <v>18.2</v>
      </c>
      <c r="C697" s="22"/>
      <c r="D697" s="23">
        <v>44404</v>
      </c>
      <c r="E697" s="24">
        <v>252.5</v>
      </c>
      <c r="F697" s="24">
        <v>81.562499999999986</v>
      </c>
      <c r="G697" s="24">
        <v>23.477083333333329</v>
      </c>
      <c r="H697" s="24">
        <v>4.8</v>
      </c>
      <c r="I697" s="24">
        <v>211.45833333333334</v>
      </c>
      <c r="J697" s="24">
        <v>2.5625</v>
      </c>
      <c r="K697" s="24">
        <v>6.25E-2</v>
      </c>
      <c r="L697" s="24">
        <v>19.78541666666667</v>
      </c>
      <c r="M697" s="10">
        <v>0.68163119660690896</v>
      </c>
      <c r="N697" s="25">
        <v>0.44383333333333314</v>
      </c>
      <c r="O697" s="25">
        <v>0.54368749999999999</v>
      </c>
      <c r="P697" s="25">
        <v>0.58535416666666606</v>
      </c>
      <c r="Q697" s="25">
        <v>0.60641666666666671</v>
      </c>
      <c r="R697" s="25">
        <v>0.6141875</v>
      </c>
      <c r="S697" s="25">
        <v>0.497729166666667</v>
      </c>
      <c r="T697" s="25">
        <v>0.46216666666666645</v>
      </c>
      <c r="U697" s="25">
        <v>0.38977083333333334</v>
      </c>
      <c r="V697" s="25">
        <v>-14.057291666666663</v>
      </c>
      <c r="W697" s="25">
        <v>-25.60604166666667</v>
      </c>
      <c r="X697" s="25">
        <v>-12.739791666666667</v>
      </c>
      <c r="Y697" s="25">
        <v>-12.773125</v>
      </c>
      <c r="Z697" s="25">
        <v>-12.263333333333335</v>
      </c>
      <c r="AA697" s="25">
        <v>-12.409583333333337</v>
      </c>
      <c r="AB697" s="25">
        <v>-12.820000000000002</v>
      </c>
      <c r="AC697" s="25">
        <v>-13.732083333333335</v>
      </c>
      <c r="AD697" s="25">
        <v>-9.6187500000000021</v>
      </c>
      <c r="AE697" s="25">
        <v>-11.252083333333331</v>
      </c>
      <c r="AF697" s="25">
        <v>-12.712500000000011</v>
      </c>
      <c r="AG697" s="25">
        <v>-12.541666666666677</v>
      </c>
      <c r="AH697" s="25">
        <v>-12.681249999999997</v>
      </c>
      <c r="AI697" s="25">
        <v>-10.808333333333332</v>
      </c>
      <c r="AJ697" s="25">
        <v>-20.366666666666667</v>
      </c>
      <c r="AK697" s="25">
        <v>-11.491666666666676</v>
      </c>
      <c r="AL697" s="25">
        <v>21.677083333333332</v>
      </c>
      <c r="AM697" s="25">
        <v>21.09791666666667</v>
      </c>
      <c r="AN697" s="25">
        <v>20.591666666666679</v>
      </c>
      <c r="AO697" s="25">
        <v>20.399999999999984</v>
      </c>
      <c r="AP697" s="25">
        <v>21.745833333333334</v>
      </c>
      <c r="AQ697" s="25">
        <v>21.322916666666675</v>
      </c>
      <c r="AR697" s="25">
        <v>20.933333333333319</v>
      </c>
      <c r="AS697" s="25">
        <v>20.760416666666679</v>
      </c>
      <c r="AT697" s="25">
        <v>0.46418750000000003</v>
      </c>
      <c r="AU697" s="25">
        <v>0.30774418604651144</v>
      </c>
      <c r="AV697" s="25">
        <v>0.50804166666666661</v>
      </c>
      <c r="AW697" s="25">
        <v>-29.894375000000011</v>
      </c>
      <c r="AX697" s="25">
        <v>-15.029583333333335</v>
      </c>
      <c r="AY697" s="25">
        <v>-14.025208333333332</v>
      </c>
      <c r="AZ697" s="25"/>
      <c r="BA697" s="25">
        <v>-9.622916666666665</v>
      </c>
      <c r="BB697" s="25"/>
      <c r="BC697" s="25"/>
      <c r="BD697" s="25">
        <v>21.925000000000001</v>
      </c>
      <c r="BE697" s="25"/>
    </row>
    <row r="698" spans="1:57" x14ac:dyDescent="0.25">
      <c r="A698" s="1">
        <v>31</v>
      </c>
      <c r="B698" s="1">
        <v>19.100000000000001</v>
      </c>
      <c r="C698" s="22"/>
      <c r="D698" s="23">
        <v>44405</v>
      </c>
      <c r="E698" s="24">
        <v>211.64583333333334</v>
      </c>
      <c r="F698" s="24">
        <v>86.102083333333312</v>
      </c>
      <c r="G698" s="24">
        <v>23.214583333333326</v>
      </c>
      <c r="H698" s="24">
        <v>9</v>
      </c>
      <c r="I698" s="24">
        <v>216.58333333333334</v>
      </c>
      <c r="J698" s="24">
        <v>1.2708333333333333</v>
      </c>
      <c r="K698" s="24">
        <v>0</v>
      </c>
      <c r="L698" s="24">
        <v>20.564583333333335</v>
      </c>
      <c r="M698" s="10">
        <v>0.48239316164497614</v>
      </c>
      <c r="N698" s="25">
        <v>0.45808333333333334</v>
      </c>
      <c r="O698" s="25">
        <v>0.55191666666666694</v>
      </c>
      <c r="P698" s="25">
        <v>0.59581250000000019</v>
      </c>
      <c r="Q698" s="25">
        <v>0.61566666666666703</v>
      </c>
      <c r="R698" s="25">
        <v>0.62083333333333324</v>
      </c>
      <c r="S698" s="25">
        <v>0.51289583333333344</v>
      </c>
      <c r="T698" s="25">
        <v>0.47989583333333313</v>
      </c>
      <c r="U698" s="25">
        <v>0.41333333333333361</v>
      </c>
      <c r="V698" s="25">
        <v>-13.973333333333336</v>
      </c>
      <c r="W698" s="25">
        <v>-25.590000000000014</v>
      </c>
      <c r="X698" s="25">
        <v>-12.103125</v>
      </c>
      <c r="Y698" s="25">
        <v>-12.268958333333339</v>
      </c>
      <c r="Z698" s="25">
        <v>-12.217708333333336</v>
      </c>
      <c r="AA698" s="25">
        <v>-12.292083333333325</v>
      </c>
      <c r="AB698" s="25">
        <v>-12.559375000000003</v>
      </c>
      <c r="AC698" s="25">
        <v>-13.608749999999999</v>
      </c>
      <c r="AD698" s="25">
        <v>-9.4833333333333343</v>
      </c>
      <c r="AE698" s="25">
        <v>-11.072916666666671</v>
      </c>
      <c r="AF698" s="25">
        <v>-11.262499999999998</v>
      </c>
      <c r="AG698" s="25">
        <v>-12.17708333333333</v>
      </c>
      <c r="AH698" s="25">
        <v>-12.4375</v>
      </c>
      <c r="AI698" s="25">
        <v>-10.635416666666664</v>
      </c>
      <c r="AJ698" s="25">
        <v>-10.877083333333339</v>
      </c>
      <c r="AK698" s="25">
        <v>-11.245833333333332</v>
      </c>
      <c r="AL698" s="25">
        <v>21.833333333333325</v>
      </c>
      <c r="AM698" s="25">
        <v>21.218750000000004</v>
      </c>
      <c r="AN698" s="25">
        <v>20.670833333333348</v>
      </c>
      <c r="AO698" s="25">
        <v>20.483333333333334</v>
      </c>
      <c r="AP698" s="25">
        <v>21.931250000000002</v>
      </c>
      <c r="AQ698" s="25">
        <v>21.485416666666669</v>
      </c>
      <c r="AR698" s="25">
        <v>21.085416666666678</v>
      </c>
      <c r="AS698" s="25">
        <v>20.879166666666645</v>
      </c>
      <c r="AT698" s="25">
        <v>0.4731458333333331</v>
      </c>
      <c r="AU698" s="25">
        <v>0.33281481481481479</v>
      </c>
      <c r="AV698" s="25">
        <v>0.51654166666666679</v>
      </c>
      <c r="AW698" s="25">
        <v>-36.704166666666659</v>
      </c>
      <c r="AX698" s="25">
        <v>-15.174999999999999</v>
      </c>
      <c r="AY698" s="25">
        <v>-13.968333333333335</v>
      </c>
      <c r="AZ698" s="25"/>
      <c r="BA698" s="25">
        <v>-9.4937500000000004</v>
      </c>
      <c r="BB698" s="25"/>
      <c r="BC698" s="25"/>
      <c r="BD698" s="25">
        <v>22.035416666666666</v>
      </c>
      <c r="BE698" s="25"/>
    </row>
    <row r="699" spans="1:57" x14ac:dyDescent="0.25">
      <c r="A699" s="1">
        <v>32.1</v>
      </c>
      <c r="B699" s="1">
        <v>17.899999999999999</v>
      </c>
      <c r="C699" s="22"/>
      <c r="D699" s="23">
        <v>44406</v>
      </c>
      <c r="E699" s="24">
        <v>275.64583333333331</v>
      </c>
      <c r="F699" s="24">
        <v>80.425000000000026</v>
      </c>
      <c r="G699" s="24">
        <v>24.412500000000005</v>
      </c>
      <c r="H699" s="24">
        <v>14.099999999999996</v>
      </c>
      <c r="I699" s="24">
        <v>216.97916666666666</v>
      </c>
      <c r="J699" s="24">
        <v>1.4791666666666667</v>
      </c>
      <c r="K699" s="24">
        <v>0</v>
      </c>
      <c r="L699" s="24">
        <v>20.46875</v>
      </c>
      <c r="M699" s="10">
        <v>0.74776860978202919</v>
      </c>
      <c r="N699" s="25">
        <v>0.46354166666666669</v>
      </c>
      <c r="O699" s="25">
        <v>0.55550000000000022</v>
      </c>
      <c r="P699" s="25">
        <v>0.59929166666666678</v>
      </c>
      <c r="Q699" s="25">
        <v>0.62052083333333341</v>
      </c>
      <c r="R699" s="25">
        <v>0.62291666666666667</v>
      </c>
      <c r="S699" s="25">
        <v>0.51837500000000014</v>
      </c>
      <c r="T699" s="25">
        <v>0.48552083333333368</v>
      </c>
      <c r="U699" s="25">
        <v>0.42158333333333342</v>
      </c>
      <c r="V699" s="25">
        <v>-13.973750000000001</v>
      </c>
      <c r="W699" s="25">
        <v>-29.007499999999997</v>
      </c>
      <c r="X699" s="25">
        <v>-12.068541666666663</v>
      </c>
      <c r="Y699" s="25">
        <v>-12.435416666666667</v>
      </c>
      <c r="Z699" s="25">
        <v>-12.200208333333329</v>
      </c>
      <c r="AA699" s="25">
        <v>-12.295624999999996</v>
      </c>
      <c r="AB699" s="25">
        <v>-12.537708333333333</v>
      </c>
      <c r="AC699" s="25">
        <v>-13.446666666666667</v>
      </c>
      <c r="AD699" s="25">
        <v>-9.3812499999999925</v>
      </c>
      <c r="AE699" s="25">
        <v>-10.914583333333324</v>
      </c>
      <c r="AF699" s="25">
        <v>-11.095833333333344</v>
      </c>
      <c r="AG699" s="25">
        <v>-12.00625</v>
      </c>
      <c r="AH699" s="25">
        <v>-12.254166666666663</v>
      </c>
      <c r="AI699" s="25">
        <v>-10.535416666666672</v>
      </c>
      <c r="AJ699" s="25">
        <v>-10.712499999999991</v>
      </c>
      <c r="AK699" s="25">
        <v>-11.460416666666674</v>
      </c>
      <c r="AL699" s="25">
        <v>22.025000000000006</v>
      </c>
      <c r="AM699" s="25">
        <v>21.339583333333337</v>
      </c>
      <c r="AN699" s="25">
        <v>20.754166666666674</v>
      </c>
      <c r="AO699" s="25">
        <v>20.564583333333349</v>
      </c>
      <c r="AP699" s="25">
        <v>22.141666666666666</v>
      </c>
      <c r="AQ699" s="25">
        <v>21.597916666666659</v>
      </c>
      <c r="AR699" s="25">
        <v>21.168750000000003</v>
      </c>
      <c r="AS699" s="25">
        <v>20.985416666666662</v>
      </c>
      <c r="AT699" s="25">
        <v>0.47912500000000002</v>
      </c>
      <c r="AU699" s="25">
        <v>0.32536170212765964</v>
      </c>
      <c r="AV699" s="25">
        <v>0.5215833333333334</v>
      </c>
      <c r="AW699" s="25">
        <v>-28.531458333333322</v>
      </c>
      <c r="AX699" s="25">
        <v>-15.442708333333327</v>
      </c>
      <c r="AY699" s="25">
        <v>-13.929791666666667</v>
      </c>
      <c r="AZ699" s="25"/>
      <c r="BA699" s="25">
        <v>-9.4354166666666668</v>
      </c>
      <c r="BB699" s="25"/>
      <c r="BC699" s="25"/>
      <c r="BD699" s="25">
        <v>22.362500000000001</v>
      </c>
      <c r="BE699" s="25"/>
    </row>
    <row r="700" spans="1:57" x14ac:dyDescent="0.25">
      <c r="A700" s="1">
        <v>34</v>
      </c>
      <c r="B700" s="1">
        <v>20.2</v>
      </c>
      <c r="C700" s="22"/>
      <c r="D700" s="23">
        <v>44407</v>
      </c>
      <c r="E700" s="24">
        <v>263</v>
      </c>
      <c r="F700" s="24">
        <v>79.620833333333337</v>
      </c>
      <c r="G700" s="24">
        <v>25.360416666666669</v>
      </c>
      <c r="H700" s="24">
        <v>0</v>
      </c>
      <c r="I700" s="24">
        <v>195.52083333333334</v>
      </c>
      <c r="J700" s="24">
        <v>1.4583333333333333</v>
      </c>
      <c r="K700" s="24">
        <v>8.3333333333333329E-2</v>
      </c>
      <c r="L700" s="24">
        <v>21.247916666666658</v>
      </c>
      <c r="M700" s="10">
        <v>0.80767386415336073</v>
      </c>
      <c r="N700" s="25">
        <v>0.4314791666666668</v>
      </c>
      <c r="O700" s="25">
        <v>0.53400000000000014</v>
      </c>
      <c r="P700" s="25">
        <v>0.58422916666666669</v>
      </c>
      <c r="Q700" s="25">
        <v>0.60477083333333381</v>
      </c>
      <c r="R700" s="25">
        <v>0.610104166666667</v>
      </c>
      <c r="S700" s="25">
        <v>0.49737499999999973</v>
      </c>
      <c r="T700" s="25">
        <v>0.47702083333333362</v>
      </c>
      <c r="U700" s="25">
        <v>0.41254166666666697</v>
      </c>
      <c r="V700" s="25">
        <v>-14.096041666666666</v>
      </c>
      <c r="W700" s="25">
        <v>-34.780833333333341</v>
      </c>
      <c r="X700" s="25">
        <v>-12.261874999999998</v>
      </c>
      <c r="Y700" s="25">
        <v>-12.734583333333338</v>
      </c>
      <c r="Z700" s="25">
        <v>-12.490208333333335</v>
      </c>
      <c r="AA700" s="25">
        <v>-12.671041666666669</v>
      </c>
      <c r="AB700" s="25">
        <v>-12.898541666666667</v>
      </c>
      <c r="AC700" s="25">
        <v>-13.726249999999999</v>
      </c>
      <c r="AD700" s="25">
        <v>-9.4812500000000099</v>
      </c>
      <c r="AE700" s="25">
        <v>-10.9375</v>
      </c>
      <c r="AF700" s="25">
        <v>-11.147916666666662</v>
      </c>
      <c r="AG700" s="25">
        <v>-12.045833333333343</v>
      </c>
      <c r="AH700" s="25">
        <v>-12.785416666666672</v>
      </c>
      <c r="AI700" s="25">
        <v>-10.80833333333333</v>
      </c>
      <c r="AJ700" s="25">
        <v>-10.770833333333323</v>
      </c>
      <c r="AK700" s="25">
        <v>-11.610416666666673</v>
      </c>
      <c r="AL700" s="25">
        <v>22.487500000000001</v>
      </c>
      <c r="AM700" s="25">
        <v>21.597916666666666</v>
      </c>
      <c r="AN700" s="25">
        <v>20.899999999999988</v>
      </c>
      <c r="AO700" s="25">
        <v>20.654166666666693</v>
      </c>
      <c r="AP700" s="25">
        <v>22.71875</v>
      </c>
      <c r="AQ700" s="25">
        <v>21.968749999999996</v>
      </c>
      <c r="AR700" s="25">
        <v>21.435416666666658</v>
      </c>
      <c r="AS700" s="25">
        <v>21.195833333333336</v>
      </c>
      <c r="AT700" s="25">
        <v>0.45487500000000014</v>
      </c>
      <c r="AU700" s="25">
        <v>0.28904444444444449</v>
      </c>
      <c r="AV700" s="25">
        <v>0.49189583333333337</v>
      </c>
      <c r="AW700" s="25">
        <v>-31.738125</v>
      </c>
      <c r="AX700" s="25">
        <v>-15.112083333333333</v>
      </c>
      <c r="AY700" s="25">
        <v>-13.977916666666665</v>
      </c>
      <c r="AZ700" s="25"/>
      <c r="BA700" s="25">
        <v>-9.5479166666666693</v>
      </c>
      <c r="BB700" s="25"/>
      <c r="BC700" s="25"/>
      <c r="BD700" s="25">
        <v>22.789583333333326</v>
      </c>
      <c r="BE700" s="25"/>
    </row>
    <row r="701" spans="1:57" x14ac:dyDescent="0.25">
      <c r="A701" s="1">
        <v>26.2</v>
      </c>
      <c r="B701" s="1">
        <v>19.899999999999999</v>
      </c>
      <c r="C701" s="22"/>
      <c r="D701" s="23">
        <v>44408</v>
      </c>
      <c r="E701" s="24">
        <v>89.041666666666671</v>
      </c>
      <c r="F701" s="24">
        <v>87.154166666666654</v>
      </c>
      <c r="G701" s="24">
        <v>22.406250000000004</v>
      </c>
      <c r="H701" s="24">
        <v>0</v>
      </c>
      <c r="I701" s="24">
        <v>151.4375</v>
      </c>
      <c r="J701" s="24">
        <v>0.125</v>
      </c>
      <c r="K701" s="24">
        <v>0</v>
      </c>
      <c r="L701" s="24">
        <v>20.141666666666669</v>
      </c>
      <c r="M701" s="10">
        <v>0.36061390843318558</v>
      </c>
      <c r="N701" s="25">
        <v>0.41091666666666643</v>
      </c>
      <c r="O701" s="25">
        <v>0.52174999999999983</v>
      </c>
      <c r="P701" s="25">
        <v>0.57274999999999998</v>
      </c>
      <c r="Q701" s="25">
        <v>0.59945833333333309</v>
      </c>
      <c r="R701" s="25">
        <v>0.60072916666666665</v>
      </c>
      <c r="S701" s="25">
        <v>0.48512500000000008</v>
      </c>
      <c r="T701" s="25">
        <v>0.47158333333333302</v>
      </c>
      <c r="U701" s="25">
        <v>0.40747916666666645</v>
      </c>
      <c r="V701" s="25">
        <v>-14.540624999999999</v>
      </c>
      <c r="W701" s="25">
        <v>-44.410208333333337</v>
      </c>
      <c r="X701" s="25">
        <v>-12.886458333333332</v>
      </c>
      <c r="Y701" s="25">
        <v>-13.167708333333335</v>
      </c>
      <c r="Z701" s="25">
        <v>-13.740416666666668</v>
      </c>
      <c r="AA701" s="25">
        <v>-13.935</v>
      </c>
      <c r="AB701" s="25">
        <v>-13.732916666666663</v>
      </c>
      <c r="AC701" s="25">
        <v>-14.289791666666666</v>
      </c>
      <c r="AD701" s="25">
        <v>-9.6833333333333318</v>
      </c>
      <c r="AE701" s="25">
        <v>-11.018750000000004</v>
      </c>
      <c r="AF701" s="25">
        <v>-11.197916666666663</v>
      </c>
      <c r="AG701" s="25">
        <v>-12.10000000000001</v>
      </c>
      <c r="AH701" s="25">
        <v>-14.420833333333336</v>
      </c>
      <c r="AI701" s="25">
        <v>-11.631250000000003</v>
      </c>
      <c r="AJ701" s="25">
        <v>-10.899999999999991</v>
      </c>
      <c r="AK701" s="25">
        <v>-12.25208333333333</v>
      </c>
      <c r="AL701" s="25">
        <v>22.195833333333351</v>
      </c>
      <c r="AM701" s="25">
        <v>21.668750000000014</v>
      </c>
      <c r="AN701" s="25">
        <v>21.037500000000005</v>
      </c>
      <c r="AO701" s="25">
        <v>20.781249999999982</v>
      </c>
      <c r="AP701" s="25">
        <v>22.252083333333331</v>
      </c>
      <c r="AQ701" s="25">
        <v>21.974999999999984</v>
      </c>
      <c r="AR701" s="25">
        <v>21.568750000000005</v>
      </c>
      <c r="AS701" s="25">
        <v>21.347916666666638</v>
      </c>
      <c r="AT701" s="25">
        <v>0.44097916666666676</v>
      </c>
      <c r="AU701" s="25">
        <v>0.27456249999999999</v>
      </c>
      <c r="AV701" s="25">
        <v>0.46958333333333346</v>
      </c>
      <c r="AW701" s="25">
        <v>-24.431666666666661</v>
      </c>
      <c r="AX701" s="25">
        <v>-15.217708333333333</v>
      </c>
      <c r="AY701" s="25">
        <v>-14.196666666666665</v>
      </c>
      <c r="AZ701" s="25"/>
      <c r="BA701" s="25">
        <v>-9.6916666666666593</v>
      </c>
      <c r="BB701" s="25"/>
      <c r="BC701" s="25"/>
      <c r="BD701" s="25">
        <v>22.068749999999998</v>
      </c>
      <c r="BE701" s="25"/>
    </row>
    <row r="702" spans="1:57" x14ac:dyDescent="0.25">
      <c r="A702" s="1">
        <v>34</v>
      </c>
      <c r="B702" s="1">
        <v>17.600000000000001</v>
      </c>
      <c r="C702" s="22"/>
      <c r="D702" s="23">
        <v>44409</v>
      </c>
      <c r="E702" s="24">
        <v>288.22916666666669</v>
      </c>
      <c r="F702" s="24">
        <v>68.789583333333326</v>
      </c>
      <c r="G702" s="24">
        <v>25.087500000000006</v>
      </c>
      <c r="H702" s="24">
        <v>0</v>
      </c>
      <c r="I702" s="24">
        <v>116.20833333333333</v>
      </c>
      <c r="J702" s="24">
        <v>1.1458333333333333</v>
      </c>
      <c r="K702" s="24">
        <v>0</v>
      </c>
      <c r="L702" s="24">
        <v>18.160416666666666</v>
      </c>
      <c r="M702" s="10">
        <v>1.2428157284528296</v>
      </c>
      <c r="N702" s="25">
        <v>0.38824999999999993</v>
      </c>
      <c r="O702" s="25">
        <v>0.51035416666666678</v>
      </c>
      <c r="P702" s="25">
        <v>0.56033333333333324</v>
      </c>
      <c r="Q702" s="25">
        <v>0.59297916666666628</v>
      </c>
      <c r="R702" s="25">
        <v>0.58962499999999973</v>
      </c>
      <c r="S702" s="25">
        <v>0.47447916666666662</v>
      </c>
      <c r="T702" s="25">
        <v>0.46429166666666633</v>
      </c>
      <c r="U702" s="25">
        <v>0.40202083333333322</v>
      </c>
      <c r="V702" s="25">
        <v>-16.830208333333335</v>
      </c>
      <c r="W702" s="25">
        <v>-63.962500000000006</v>
      </c>
      <c r="X702" s="25">
        <v>-14.248333333333335</v>
      </c>
      <c r="Y702" s="25">
        <v>-14.033333333333333</v>
      </c>
      <c r="Z702" s="25">
        <v>-15.960624999999999</v>
      </c>
      <c r="AA702" s="25">
        <v>-16.152499999999993</v>
      </c>
      <c r="AB702" s="25">
        <v>-14.988750000000001</v>
      </c>
      <c r="AC702" s="25">
        <v>-15.436249999999999</v>
      </c>
      <c r="AD702" s="25">
        <v>-10.856250000000001</v>
      </c>
      <c r="AE702" s="25">
        <v>-11.374999999999998</v>
      </c>
      <c r="AF702" s="25">
        <v>-11.333333333333329</v>
      </c>
      <c r="AG702" s="25">
        <v>-12.264583333333329</v>
      </c>
      <c r="AH702" s="25">
        <v>-20.068749999999998</v>
      </c>
      <c r="AI702" s="25">
        <v>-13.543750000000003</v>
      </c>
      <c r="AJ702" s="25">
        <v>-11.685416666666667</v>
      </c>
      <c r="AK702" s="25">
        <v>-20.556249999999999</v>
      </c>
      <c r="AL702" s="25">
        <v>21.950000000000003</v>
      </c>
      <c r="AM702" s="25">
        <v>21.443749999999984</v>
      </c>
      <c r="AN702" s="25">
        <v>20.958333333333325</v>
      </c>
      <c r="AO702" s="25">
        <v>20.775000000000002</v>
      </c>
      <c r="AP702" s="25">
        <v>22.058333333333337</v>
      </c>
      <c r="AQ702" s="25">
        <v>21.6875</v>
      </c>
      <c r="AR702" s="25">
        <v>21.333333333333339</v>
      </c>
      <c r="AS702" s="25">
        <v>21.183333333333344</v>
      </c>
      <c r="AT702" s="25">
        <v>0.42614583333333339</v>
      </c>
      <c r="AU702" s="25">
        <v>0.25744827586206898</v>
      </c>
      <c r="AV702" s="25">
        <v>0.45575000000000004</v>
      </c>
      <c r="AW702" s="25">
        <v>-29.374166666666671</v>
      </c>
      <c r="AX702" s="25">
        <v>-17.081666666666667</v>
      </c>
      <c r="AY702" s="25">
        <v>-14.422708333333334</v>
      </c>
      <c r="AZ702" s="25"/>
      <c r="BA702" s="25">
        <v>-10.379166666666668</v>
      </c>
      <c r="BB702" s="25"/>
      <c r="BC702" s="25"/>
      <c r="BD702" s="25">
        <v>22.239583333333339</v>
      </c>
      <c r="BE702" s="25"/>
    </row>
    <row r="703" spans="1:57" x14ac:dyDescent="0.25">
      <c r="A703" s="1">
        <v>34.799999999999997</v>
      </c>
      <c r="B703" s="1">
        <v>18.899999999999999</v>
      </c>
      <c r="C703" s="22"/>
      <c r="D703" s="23">
        <v>44410</v>
      </c>
      <c r="E703" s="24">
        <v>259.79166666666669</v>
      </c>
      <c r="F703" s="24">
        <v>67.122916666666654</v>
      </c>
      <c r="G703" s="24">
        <v>25.343749999999996</v>
      </c>
      <c r="H703" s="24">
        <v>0</v>
      </c>
      <c r="I703" s="24">
        <v>216.08333333333334</v>
      </c>
      <c r="J703" s="24">
        <v>1.6875</v>
      </c>
      <c r="K703" s="24">
        <v>0</v>
      </c>
      <c r="L703" s="24">
        <v>18.583333333333332</v>
      </c>
      <c r="M703" s="10">
        <v>1.1906514679283202</v>
      </c>
      <c r="N703" s="25">
        <v>0.34133333333333332</v>
      </c>
      <c r="O703" s="25">
        <v>0.4876458333333335</v>
      </c>
      <c r="P703" s="25">
        <v>0.53297916666666667</v>
      </c>
      <c r="Q703" s="25">
        <v>0.57658333333333345</v>
      </c>
      <c r="R703" s="25">
        <v>0.56683333333333319</v>
      </c>
      <c r="S703" s="25">
        <v>0.45022916666666651</v>
      </c>
      <c r="T703" s="25">
        <v>0.44522916666666679</v>
      </c>
      <c r="U703" s="25">
        <v>0.38783333333333342</v>
      </c>
      <c r="V703" s="25">
        <v>-21.931874999999991</v>
      </c>
      <c r="W703" s="25">
        <v>-89.594583333333333</v>
      </c>
      <c r="X703" s="25">
        <v>-18.190625000000001</v>
      </c>
      <c r="Y703" s="25">
        <v>-17.546874999999996</v>
      </c>
      <c r="Z703" s="25">
        <v>-21.082916666666666</v>
      </c>
      <c r="AA703" s="25">
        <v>-21.425208333333327</v>
      </c>
      <c r="AB703" s="25">
        <v>-18.839166666666671</v>
      </c>
      <c r="AC703" s="25">
        <v>-22.455833333333334</v>
      </c>
      <c r="AD703" s="25">
        <v>-21.768749999999997</v>
      </c>
      <c r="AE703" s="25">
        <v>-15.381250000000001</v>
      </c>
      <c r="AF703" s="25">
        <v>-16.481250000000003</v>
      </c>
      <c r="AG703" s="25">
        <v>-14.120833333333337</v>
      </c>
      <c r="AH703" s="25">
        <v>-42.312499999999993</v>
      </c>
      <c r="AI703" s="25">
        <v>-32.297916666666673</v>
      </c>
      <c r="AJ703" s="25">
        <v>-19.025000000000002</v>
      </c>
      <c r="AK703" s="25">
        <v>-43.90625</v>
      </c>
      <c r="AL703" s="25">
        <v>22.087500000000006</v>
      </c>
      <c r="AM703" s="25">
        <v>21.474999999999991</v>
      </c>
      <c r="AN703" s="25">
        <v>20.964583333333326</v>
      </c>
      <c r="AO703" s="25">
        <v>20.766666666666673</v>
      </c>
      <c r="AP703" s="25">
        <v>22.197916666666668</v>
      </c>
      <c r="AQ703" s="25">
        <v>21.745833333333334</v>
      </c>
      <c r="AR703" s="25">
        <v>21.358333333333338</v>
      </c>
      <c r="AS703" s="25">
        <v>21.162500000000012</v>
      </c>
      <c r="AT703" s="25">
        <v>0.40087500000000009</v>
      </c>
      <c r="AU703" s="25">
        <v>0.22339285714285709</v>
      </c>
      <c r="AV703" s="25">
        <v>0.43387499999999973</v>
      </c>
      <c r="AW703" s="25">
        <v>-50.223541666666677</v>
      </c>
      <c r="AX703" s="25">
        <v>-29.958541666666662</v>
      </c>
      <c r="AY703" s="25">
        <v>-16.213749999999994</v>
      </c>
      <c r="AZ703" s="25"/>
      <c r="BA703" s="25">
        <v>-19.431249999999999</v>
      </c>
      <c r="BB703" s="25"/>
      <c r="BC703" s="25"/>
      <c r="BD703" s="25">
        <v>22.370833333333334</v>
      </c>
      <c r="BE703" s="25"/>
    </row>
    <row r="704" spans="1:57" x14ac:dyDescent="0.25">
      <c r="A704" s="1">
        <v>33.299999999999997</v>
      </c>
      <c r="B704" s="1">
        <v>18.600000000000001</v>
      </c>
      <c r="C704" s="22"/>
      <c r="D704" s="23">
        <v>44411</v>
      </c>
      <c r="E704" s="24">
        <v>268.1875</v>
      </c>
      <c r="F704" s="24">
        <v>66.975000000000009</v>
      </c>
      <c r="G704" s="24">
        <v>25.597916666666674</v>
      </c>
      <c r="H704" s="24">
        <v>0</v>
      </c>
      <c r="I704" s="24">
        <v>216.8125</v>
      </c>
      <c r="J704" s="24">
        <v>1.2291666666666667</v>
      </c>
      <c r="K704" s="24">
        <v>0</v>
      </c>
      <c r="L704" s="24">
        <v>18.691666666666666</v>
      </c>
      <c r="M704" s="10">
        <v>1.2429253657469082</v>
      </c>
      <c r="N704" s="25">
        <v>0.30572916666666661</v>
      </c>
      <c r="O704" s="25">
        <v>0.46147916666666672</v>
      </c>
      <c r="P704" s="25">
        <v>0.50524999999999987</v>
      </c>
      <c r="Q704" s="25">
        <v>0.55327083333333338</v>
      </c>
      <c r="R704" s="25">
        <v>0.53920833333333318</v>
      </c>
      <c r="S704" s="25">
        <v>0.42066666666666674</v>
      </c>
      <c r="T704" s="25">
        <v>0.42260416666666667</v>
      </c>
      <c r="U704" s="25">
        <v>0.37039583333333342</v>
      </c>
      <c r="V704" s="25">
        <v>-27.547083333333322</v>
      </c>
      <c r="W704" s="25">
        <v>-118.12083333333334</v>
      </c>
      <c r="X704" s="25">
        <v>-24.251666666666665</v>
      </c>
      <c r="Y704" s="25">
        <v>-22.723541666666662</v>
      </c>
      <c r="Z704" s="25">
        <v>-29.239583333333325</v>
      </c>
      <c r="AA704" s="25">
        <v>-26.939791666666668</v>
      </c>
      <c r="AB704" s="25">
        <v>-24.082916666666673</v>
      </c>
      <c r="AC704" s="25">
        <v>-37.366875</v>
      </c>
      <c r="AD704" s="25">
        <v>-46.1875</v>
      </c>
      <c r="AE704" s="25">
        <v>-27.045833333333345</v>
      </c>
      <c r="AF704" s="25">
        <v>-36.679166666666674</v>
      </c>
      <c r="AG704" s="25">
        <v>-27.043749999999999</v>
      </c>
      <c r="AH704" s="25">
        <v>-110.10625</v>
      </c>
      <c r="AI704" s="25">
        <v>-89.064583333333303</v>
      </c>
      <c r="AJ704" s="25">
        <v>-43.720833333333331</v>
      </c>
      <c r="AK704" s="25">
        <v>-97.135416666666643</v>
      </c>
      <c r="AL704" s="25">
        <v>22.170833333333331</v>
      </c>
      <c r="AM704" s="25">
        <v>21.554166666666671</v>
      </c>
      <c r="AN704" s="25">
        <v>21</v>
      </c>
      <c r="AO704" s="25">
        <v>20.799999999999979</v>
      </c>
      <c r="AP704" s="25">
        <v>22.247916666666669</v>
      </c>
      <c r="AQ704" s="25">
        <v>21.8125</v>
      </c>
      <c r="AR704" s="25">
        <v>21.41249999999998</v>
      </c>
      <c r="AS704" s="25">
        <v>21.222916666666681</v>
      </c>
      <c r="AT704" s="25">
        <v>0.37468750000000006</v>
      </c>
      <c r="AU704" s="25">
        <v>0.18634999999999999</v>
      </c>
      <c r="AV704" s="25">
        <v>0.40381250000000013</v>
      </c>
      <c r="AW704" s="25">
        <v>-90.985000000000028</v>
      </c>
      <c r="AX704" s="25">
        <v>-47.675833333333323</v>
      </c>
      <c r="AY704" s="25">
        <v>-20.225416666666664</v>
      </c>
      <c r="AZ704" s="25"/>
      <c r="BA704" s="25">
        <v>-36.935416666666661</v>
      </c>
      <c r="BB704" s="25"/>
      <c r="BC704" s="25"/>
      <c r="BD704" s="25">
        <v>22.318750000000005</v>
      </c>
      <c r="BE704" s="25"/>
    </row>
    <row r="705" spans="1:57" x14ac:dyDescent="0.25">
      <c r="A705" s="1">
        <v>34.700000000000003</v>
      </c>
      <c r="B705" s="1">
        <v>18.7</v>
      </c>
      <c r="C705" s="22"/>
      <c r="D705" s="23">
        <v>44412</v>
      </c>
      <c r="E705" s="24">
        <v>277.14583333333331</v>
      </c>
      <c r="F705" s="24">
        <v>67.133333333333326</v>
      </c>
      <c r="G705" s="24">
        <v>25.997916666666665</v>
      </c>
      <c r="H705" s="24">
        <v>0</v>
      </c>
      <c r="I705" s="24">
        <v>234.70833333333334</v>
      </c>
      <c r="J705" s="24">
        <v>2.0833333333333335</v>
      </c>
      <c r="K705" s="24">
        <v>2.0833333333333332E-2</v>
      </c>
      <c r="L705" s="24">
        <v>19.066666666666666</v>
      </c>
      <c r="M705" s="10">
        <v>1.2748251516316242</v>
      </c>
      <c r="N705" s="25">
        <v>0.28075</v>
      </c>
      <c r="O705" s="25">
        <v>0.43210416666666679</v>
      </c>
      <c r="P705" s="25">
        <v>0.47939583333333308</v>
      </c>
      <c r="Q705" s="25">
        <v>0.52531250000000018</v>
      </c>
      <c r="R705" s="25">
        <v>0.51045833333333346</v>
      </c>
      <c r="S705" s="25">
        <v>0.39079166666666665</v>
      </c>
      <c r="T705" s="25">
        <v>0.39783333333333348</v>
      </c>
      <c r="U705" s="25">
        <v>0.35168749999999999</v>
      </c>
      <c r="V705" s="25">
        <v>-33.852708333333339</v>
      </c>
      <c r="W705" s="25">
        <v>-146.12916666666666</v>
      </c>
      <c r="X705" s="25">
        <v>-31.660624999999996</v>
      </c>
      <c r="Y705" s="25">
        <v>-28.091666666666672</v>
      </c>
      <c r="Z705" s="25">
        <v>-38.093125000000001</v>
      </c>
      <c r="AA705" s="25">
        <v>-32.983958333333341</v>
      </c>
      <c r="AB705" s="25">
        <v>-30.124791666666667</v>
      </c>
      <c r="AC705" s="25">
        <v>-49.162499999999987</v>
      </c>
      <c r="AD705" s="25">
        <v>-105.20624999999997</v>
      </c>
      <c r="AE705" s="25">
        <v>-49.493750000000006</v>
      </c>
      <c r="AF705" s="25">
        <v>-88.879166666666649</v>
      </c>
      <c r="AG705" s="25">
        <v>-56.002083333333353</v>
      </c>
      <c r="AH705" s="25">
        <v>-293.30833333333328</v>
      </c>
      <c r="AI705" s="25">
        <v>-229.09166666666661</v>
      </c>
      <c r="AJ705" s="25">
        <v>-103.50000000000001</v>
      </c>
      <c r="AK705" s="25">
        <v>-291.70833333333331</v>
      </c>
      <c r="AL705" s="25">
        <v>22.349999999999998</v>
      </c>
      <c r="AM705" s="25">
        <v>21.641666666666669</v>
      </c>
      <c r="AN705" s="25">
        <v>21.060416666666676</v>
      </c>
      <c r="AO705" s="25">
        <v>20.802083333333314</v>
      </c>
      <c r="AP705" s="25">
        <v>22.439583333333342</v>
      </c>
      <c r="AQ705" s="25">
        <v>21.912500000000005</v>
      </c>
      <c r="AR705" s="25">
        <v>21.487499999999994</v>
      </c>
      <c r="AS705" s="25">
        <v>21.270833333333346</v>
      </c>
      <c r="AT705" s="25">
        <v>0.33997916666666667</v>
      </c>
      <c r="AU705" s="25">
        <v>0.16399999999999998</v>
      </c>
      <c r="AV705" s="25">
        <v>0.36145833333333338</v>
      </c>
      <c r="AW705" s="25">
        <v>-153.86170212765958</v>
      </c>
      <c r="AX705" s="25">
        <v>-64.082291666666649</v>
      </c>
      <c r="AY705" s="25">
        <v>-25.514791666666682</v>
      </c>
      <c r="AZ705" s="25"/>
      <c r="BA705" s="25">
        <v>-108.87083333333334</v>
      </c>
      <c r="BB705" s="25"/>
      <c r="BC705" s="25"/>
      <c r="BD705" s="25">
        <v>22.633333333333336</v>
      </c>
      <c r="BE705" s="25"/>
    </row>
    <row r="706" spans="1:57" x14ac:dyDescent="0.25">
      <c r="A706" s="1">
        <v>34.799999999999997</v>
      </c>
      <c r="B706" s="1">
        <v>18.7</v>
      </c>
      <c r="C706" s="22"/>
      <c r="D706" s="23">
        <v>44413</v>
      </c>
      <c r="E706" s="24">
        <v>272.64583333333331</v>
      </c>
      <c r="F706" s="24">
        <v>66.749999999999986</v>
      </c>
      <c r="G706" s="24">
        <v>26.110416666666669</v>
      </c>
      <c r="H706" s="24">
        <v>0</v>
      </c>
      <c r="I706" s="24">
        <v>210.6875</v>
      </c>
      <c r="J706" s="24">
        <v>2.2291666666666665</v>
      </c>
      <c r="K706" s="24">
        <v>0</v>
      </c>
      <c r="L706" s="24">
        <v>18.981249999999996</v>
      </c>
      <c r="M706" s="10">
        <v>1.3189600447859569</v>
      </c>
      <c r="N706" s="25">
        <v>0.26441666666666647</v>
      </c>
      <c r="O706" s="25">
        <v>0.40291666666666665</v>
      </c>
      <c r="P706" s="25">
        <v>0.45860416666666687</v>
      </c>
      <c r="Q706" s="25">
        <v>0.49637500000000007</v>
      </c>
      <c r="R706" s="25">
        <v>0.48593750000000013</v>
      </c>
      <c r="S706" s="25">
        <v>0.36779166666666668</v>
      </c>
      <c r="T706" s="25">
        <v>0.37687500000000013</v>
      </c>
      <c r="U706" s="25">
        <v>0.33502083333333338</v>
      </c>
      <c r="V706" s="25">
        <v>-40.637916666666662</v>
      </c>
      <c r="W706" s="25">
        <v>-174.86666666666665</v>
      </c>
      <c r="X706" s="25">
        <v>-39.498750000000001</v>
      </c>
      <c r="Y706" s="25">
        <v>-33.58979166666667</v>
      </c>
      <c r="Z706" s="25">
        <v>-46.322291666666672</v>
      </c>
      <c r="AA706" s="25">
        <v>-39.221666666666657</v>
      </c>
      <c r="AB706" s="25">
        <v>-36.286041666666669</v>
      </c>
      <c r="AC706" s="25">
        <v>-57.385416666666679</v>
      </c>
      <c r="AD706" s="25">
        <v>-223.08749999999998</v>
      </c>
      <c r="AE706" s="25">
        <v>-116.78958333333337</v>
      </c>
      <c r="AF706" s="25">
        <v>-204.50208333333333</v>
      </c>
      <c r="AG706" s="25">
        <v>-126.45833333333333</v>
      </c>
      <c r="AH706" s="25">
        <v>-490.68333333333345</v>
      </c>
      <c r="AI706" s="25">
        <v>-451.71666666666675</v>
      </c>
      <c r="AJ706" s="25">
        <v>-275.47499999999997</v>
      </c>
      <c r="AK706" s="25">
        <v>-708.1854166666667</v>
      </c>
      <c r="AL706" s="25">
        <v>22.520833333333343</v>
      </c>
      <c r="AM706" s="25">
        <v>21.785416666666674</v>
      </c>
      <c r="AN706" s="25">
        <v>21.160416666666681</v>
      </c>
      <c r="AO706" s="25">
        <v>20.899999999999984</v>
      </c>
      <c r="AP706" s="25">
        <v>22.558333333333337</v>
      </c>
      <c r="AQ706" s="25">
        <v>22.029166666666658</v>
      </c>
      <c r="AR706" s="25">
        <v>21.608333333333338</v>
      </c>
      <c r="AS706" s="25">
        <v>21.391666666666648</v>
      </c>
      <c r="AT706" s="25">
        <v>0.30014583333333328</v>
      </c>
      <c r="AU706" s="25">
        <v>0.15</v>
      </c>
      <c r="AV706" s="25">
        <v>0.31389583333333326</v>
      </c>
      <c r="AW706" s="25">
        <v>-204.24941860465114</v>
      </c>
      <c r="AX706" s="25">
        <v>-78.628750000000011</v>
      </c>
      <c r="AY706" s="25">
        <v>-35.534166666666657</v>
      </c>
      <c r="AZ706" s="25"/>
      <c r="BA706" s="25">
        <v>-365.78125</v>
      </c>
      <c r="BB706" s="25"/>
      <c r="BC706" s="25"/>
      <c r="BD706" s="25">
        <v>22.745833333333337</v>
      </c>
      <c r="BE706" s="25"/>
    </row>
    <row r="707" spans="1:57" x14ac:dyDescent="0.25">
      <c r="A707" s="1">
        <v>34.9</v>
      </c>
      <c r="B707" s="1">
        <v>20</v>
      </c>
      <c r="C707" s="22"/>
      <c r="D707" s="23">
        <v>44414</v>
      </c>
      <c r="E707" s="24">
        <v>252.39583333333334</v>
      </c>
      <c r="F707" s="24">
        <v>69.964583333333337</v>
      </c>
      <c r="G707" s="24">
        <v>26.112500000000001</v>
      </c>
      <c r="H707" s="24">
        <v>0</v>
      </c>
      <c r="I707" s="24">
        <v>222.41666666666666</v>
      </c>
      <c r="J707" s="24">
        <v>2.5208333333333335</v>
      </c>
      <c r="K707" s="24">
        <v>6.25E-2</v>
      </c>
      <c r="L707" s="24">
        <v>19.899999999999999</v>
      </c>
      <c r="M707" s="10">
        <v>1.1660348370183631</v>
      </c>
      <c r="N707" s="25">
        <v>0.2539791666666667</v>
      </c>
      <c r="O707" s="25">
        <v>0.37835416666666649</v>
      </c>
      <c r="P707" s="25">
        <v>0.44106249999999997</v>
      </c>
      <c r="Q707" s="25">
        <v>0.47020833333333312</v>
      </c>
      <c r="R707" s="25">
        <v>0.46562499999999973</v>
      </c>
      <c r="S707" s="25">
        <v>0.35114583333333349</v>
      </c>
      <c r="T707" s="25">
        <v>0.36089583333333314</v>
      </c>
      <c r="U707" s="25">
        <v>0.32089583333333338</v>
      </c>
      <c r="V707" s="25">
        <v>-48.943125000000016</v>
      </c>
      <c r="W707" s="25">
        <v>-200.0541666666667</v>
      </c>
      <c r="X707" s="25">
        <v>-48.333958333333335</v>
      </c>
      <c r="Y707" s="25">
        <v>-39.082708333333322</v>
      </c>
      <c r="Z707" s="25">
        <v>-53.905416666666667</v>
      </c>
      <c r="AA707" s="25">
        <v>-45.904583333333314</v>
      </c>
      <c r="AB707" s="25">
        <v>-42.468333333333327</v>
      </c>
      <c r="AC707" s="25">
        <v>-64.836874999999978</v>
      </c>
      <c r="AD707" s="25">
        <v>-386.74166666666679</v>
      </c>
      <c r="AE707" s="25">
        <v>-268.02083333333343</v>
      </c>
      <c r="AF707" s="25">
        <v>-370.73333333333329</v>
      </c>
      <c r="AG707" s="25">
        <v>-224.67916666666665</v>
      </c>
      <c r="AH707" s="25">
        <v>-618.21458333333305</v>
      </c>
      <c r="AI707" s="25">
        <v>-648.32916666666654</v>
      </c>
      <c r="AJ707" s="25">
        <v>-575.30416666666667</v>
      </c>
      <c r="AK707" s="25">
        <v>-1173.7083333333333</v>
      </c>
      <c r="AL707" s="25">
        <v>22.654166666666665</v>
      </c>
      <c r="AM707" s="25">
        <v>21.910416666666652</v>
      </c>
      <c r="AN707" s="25">
        <v>21.266666666666669</v>
      </c>
      <c r="AO707" s="25">
        <v>20.995833333333334</v>
      </c>
      <c r="AP707" s="25">
        <v>22.743749999999995</v>
      </c>
      <c r="AQ707" s="25">
        <v>22.160416666666663</v>
      </c>
      <c r="AR707" s="25">
        <v>21.714583333333337</v>
      </c>
      <c r="AS707" s="25">
        <v>21.485416666666662</v>
      </c>
      <c r="AT707" s="25">
        <v>0.26158333333333345</v>
      </c>
      <c r="AU707" s="25">
        <v>0.1399</v>
      </c>
      <c r="AV707" s="25">
        <v>0.27470833333333333</v>
      </c>
      <c r="AW707" s="25">
        <v>-263.96976744186037</v>
      </c>
      <c r="AX707" s="25">
        <v>-92.675000000000011</v>
      </c>
      <c r="AY707" s="25">
        <v>-50.626249999999992</v>
      </c>
      <c r="AZ707" s="25"/>
      <c r="BA707" s="25">
        <v>-706.89374999999984</v>
      </c>
      <c r="BB707" s="25"/>
      <c r="BC707" s="25"/>
      <c r="BD707" s="25">
        <v>23.108333333333334</v>
      </c>
      <c r="BE707" s="25"/>
    </row>
    <row r="708" spans="1:57" x14ac:dyDescent="0.25">
      <c r="A708" s="1">
        <v>33.700000000000003</v>
      </c>
      <c r="B708" s="1">
        <v>21.5</v>
      </c>
      <c r="C708" s="22"/>
      <c r="D708" s="23">
        <v>44415</v>
      </c>
      <c r="E708" s="24">
        <v>238.1875</v>
      </c>
      <c r="F708" s="24">
        <v>74.329166666666666</v>
      </c>
      <c r="G708" s="24">
        <v>26.381250000000005</v>
      </c>
      <c r="H708" s="24">
        <v>0</v>
      </c>
      <c r="I708" s="24">
        <v>222.95833333333334</v>
      </c>
      <c r="J708" s="24">
        <v>4.8125</v>
      </c>
      <c r="K708" s="24">
        <v>0.29166666666666669</v>
      </c>
      <c r="L708" s="24">
        <v>21.133333333333329</v>
      </c>
      <c r="M708" s="10">
        <v>1.0070133103334029</v>
      </c>
      <c r="N708" s="25">
        <v>0.24743749999999987</v>
      </c>
      <c r="O708" s="25">
        <v>0.36222916666666666</v>
      </c>
      <c r="P708" s="25">
        <v>0.42802083333333352</v>
      </c>
      <c r="Q708" s="25">
        <v>0.45064583333333325</v>
      </c>
      <c r="R708" s="25">
        <v>0.4512500000000001</v>
      </c>
      <c r="S708" s="25">
        <v>0.34087499999999998</v>
      </c>
      <c r="T708" s="25">
        <v>0.3507083333333334</v>
      </c>
      <c r="U708" s="25">
        <v>0.31006249999999996</v>
      </c>
      <c r="V708" s="25">
        <v>-58.236041666666672</v>
      </c>
      <c r="W708" s="25">
        <v>-220.91874999999993</v>
      </c>
      <c r="X708" s="25">
        <v>-57.516458333333333</v>
      </c>
      <c r="Y708" s="25">
        <v>-44.620833333333337</v>
      </c>
      <c r="Z708" s="25">
        <v>-58.7575</v>
      </c>
      <c r="AA708" s="25">
        <v>-52.907708333333325</v>
      </c>
      <c r="AB708" s="25">
        <v>-48.160624999999989</v>
      </c>
      <c r="AC708" s="25">
        <v>-70.373125000000002</v>
      </c>
      <c r="AD708" s="25">
        <v>-529.24583333333328</v>
      </c>
      <c r="AE708" s="25">
        <v>-431.78749999999991</v>
      </c>
      <c r="AF708" s="25">
        <v>-532.98750000000007</v>
      </c>
      <c r="AG708" s="25">
        <v>-294.52916666666664</v>
      </c>
      <c r="AH708" s="25">
        <v>-680.25833333333321</v>
      </c>
      <c r="AI708" s="25">
        <v>-772.18541666666681</v>
      </c>
      <c r="AJ708" s="25">
        <v>-825.2479166666667</v>
      </c>
      <c r="AK708" s="25">
        <v>-1639.125</v>
      </c>
      <c r="AL708" s="25">
        <v>22.89791666666666</v>
      </c>
      <c r="AM708" s="25">
        <v>22.070833333333336</v>
      </c>
      <c r="AN708" s="25">
        <v>21.391666666666652</v>
      </c>
      <c r="AO708" s="25">
        <v>21.089583333333348</v>
      </c>
      <c r="AP708" s="25">
        <v>23.054166666666664</v>
      </c>
      <c r="AQ708" s="25">
        <v>22.370833333333341</v>
      </c>
      <c r="AR708" s="25">
        <v>21.877083333333317</v>
      </c>
      <c r="AS708" s="25">
        <v>21.647916666666678</v>
      </c>
      <c r="AT708" s="25">
        <v>0.23185416666666669</v>
      </c>
      <c r="AU708" s="25">
        <v>0.136125</v>
      </c>
      <c r="AV708" s="25">
        <v>0.25091666666666651</v>
      </c>
      <c r="AW708" s="25">
        <v>-282.82</v>
      </c>
      <c r="AX708" s="25">
        <v>-107.54374999999999</v>
      </c>
      <c r="AY708" s="25">
        <v>-67.280625000000015</v>
      </c>
      <c r="AZ708" s="25"/>
      <c r="BA708" s="25">
        <v>-970.20833333333337</v>
      </c>
      <c r="BB708" s="25"/>
      <c r="BC708" s="25"/>
      <c r="BD708" s="25">
        <v>23.658333333333331</v>
      </c>
      <c r="BE708" s="25"/>
    </row>
    <row r="709" spans="1:57" x14ac:dyDescent="0.25">
      <c r="A709" s="1">
        <v>31.5</v>
      </c>
      <c r="B709" s="1">
        <v>22</v>
      </c>
      <c r="C709" s="22"/>
      <c r="D709" s="23">
        <v>44416</v>
      </c>
      <c r="E709" s="24">
        <v>195.45833333333334</v>
      </c>
      <c r="F709" s="24">
        <v>77.67083333333332</v>
      </c>
      <c r="G709" s="24">
        <v>25.797916666666655</v>
      </c>
      <c r="H709" s="24">
        <v>0</v>
      </c>
      <c r="I709" s="24">
        <v>232.33333333333334</v>
      </c>
      <c r="J709" s="24">
        <v>8.4375</v>
      </c>
      <c r="K709" s="24">
        <v>0.75</v>
      </c>
      <c r="L709" s="24">
        <v>21.447916666666671</v>
      </c>
      <c r="M709" s="10">
        <v>0.80393698280569603</v>
      </c>
      <c r="N709" s="25">
        <v>0.24333333333333332</v>
      </c>
      <c r="O709" s="25">
        <v>0.34947916666666662</v>
      </c>
      <c r="P709" s="25">
        <v>0.41949999999999998</v>
      </c>
      <c r="Q709" s="25">
        <v>0.43620833333333336</v>
      </c>
      <c r="R709" s="25">
        <v>0.44016666666666687</v>
      </c>
      <c r="S709" s="25">
        <v>0.33420833333333338</v>
      </c>
      <c r="T709" s="25">
        <v>0.34352083333333328</v>
      </c>
      <c r="U709" s="25">
        <v>0.3016250000000002</v>
      </c>
      <c r="V709" s="25">
        <v>-64.930625000000006</v>
      </c>
      <c r="W709" s="25">
        <v>-244.79374999999996</v>
      </c>
      <c r="X709" s="25">
        <v>-64.36770833333334</v>
      </c>
      <c r="Y709" s="25">
        <v>-49.801666666666655</v>
      </c>
      <c r="Z709" s="25">
        <v>-64.572916666666671</v>
      </c>
      <c r="AA709" s="25">
        <v>-59.881875000000015</v>
      </c>
      <c r="AB709" s="25">
        <v>-53.299999999999983</v>
      </c>
      <c r="AC709" s="25">
        <v>-73.652916666666655</v>
      </c>
      <c r="AD709" s="25">
        <v>-628.56666666666695</v>
      </c>
      <c r="AE709" s="25">
        <v>-560.02708333333351</v>
      </c>
      <c r="AF709" s="25">
        <v>-682.93124999999998</v>
      </c>
      <c r="AG709" s="25">
        <v>-347.5291666666667</v>
      </c>
      <c r="AH709" s="25">
        <v>-722.77291666666679</v>
      </c>
      <c r="AI709" s="25">
        <v>-860.5625</v>
      </c>
      <c r="AJ709" s="25">
        <v>-1048.8958333333333</v>
      </c>
      <c r="AK709" s="25">
        <v>-1933.3125</v>
      </c>
      <c r="AL709" s="25">
        <v>23.108333333333338</v>
      </c>
      <c r="AM709" s="25">
        <v>22.260416666666671</v>
      </c>
      <c r="AN709" s="25">
        <v>21.512500000000003</v>
      </c>
      <c r="AO709" s="25">
        <v>21.204166666666676</v>
      </c>
      <c r="AP709" s="25">
        <v>23.231250000000003</v>
      </c>
      <c r="AQ709" s="25">
        <v>22.556249999999991</v>
      </c>
      <c r="AR709" s="25">
        <v>22.054166666666674</v>
      </c>
      <c r="AS709" s="25">
        <v>21.812499999999986</v>
      </c>
      <c r="AT709" s="25">
        <v>0.2111666666666667</v>
      </c>
      <c r="AU709" s="25">
        <v>0.13252380952380957</v>
      </c>
      <c r="AV709" s="25">
        <v>0.23797916666666663</v>
      </c>
      <c r="AW709" s="25">
        <v>-316.8250000000001</v>
      </c>
      <c r="AX709" s="25">
        <v>-126.575</v>
      </c>
      <c r="AY709" s="25">
        <v>-82.071041666666673</v>
      </c>
      <c r="AZ709" s="25"/>
      <c r="BA709" s="25">
        <v>-1193.8958333333333</v>
      </c>
      <c r="BB709" s="25"/>
      <c r="BC709" s="25"/>
      <c r="BD709" s="25">
        <v>23.922916666666666</v>
      </c>
      <c r="BE709" s="25"/>
    </row>
    <row r="710" spans="1:57" x14ac:dyDescent="0.25">
      <c r="A710" s="1">
        <v>27.6</v>
      </c>
      <c r="B710" s="1">
        <v>19.2</v>
      </c>
      <c r="C710" s="22"/>
      <c r="D710" s="23">
        <v>44417</v>
      </c>
      <c r="E710" s="24">
        <v>101.41666666666667</v>
      </c>
      <c r="F710" s="24">
        <v>87.116666666666674</v>
      </c>
      <c r="G710" s="24">
        <v>22.5625</v>
      </c>
      <c r="H710" s="24">
        <v>9.2999999999999989</v>
      </c>
      <c r="I710" s="24">
        <v>234.39583333333334</v>
      </c>
      <c r="J710" s="24">
        <v>2.875</v>
      </c>
      <c r="K710" s="24">
        <v>6.25E-2</v>
      </c>
      <c r="L710" s="24">
        <v>20.256249999999998</v>
      </c>
      <c r="M710" s="10">
        <v>0.37748627957429653</v>
      </c>
      <c r="N710" s="25">
        <v>0.24197916666666694</v>
      </c>
      <c r="O710" s="25">
        <v>0.34191666666666659</v>
      </c>
      <c r="P710" s="25">
        <v>0.41529166666666623</v>
      </c>
      <c r="Q710" s="25">
        <v>0.4294999999999996</v>
      </c>
      <c r="R710" s="25">
        <v>0.43535416666666665</v>
      </c>
      <c r="S710" s="25">
        <v>0.34193750000000006</v>
      </c>
      <c r="T710" s="25">
        <v>0.33966666666666673</v>
      </c>
      <c r="U710" s="25">
        <v>0.29679166666666684</v>
      </c>
      <c r="V710" s="25">
        <v>-68.637916666666669</v>
      </c>
      <c r="W710" s="25">
        <v>-266.60208333333333</v>
      </c>
      <c r="X710" s="25">
        <v>-71.777500000000003</v>
      </c>
      <c r="Y710" s="25">
        <v>-54.308124999999997</v>
      </c>
      <c r="Z710" s="25">
        <v>-73.046250000000001</v>
      </c>
      <c r="AA710" s="25">
        <v>-65.483124999999987</v>
      </c>
      <c r="AB710" s="25">
        <v>-57.577916666666674</v>
      </c>
      <c r="AC710" s="25">
        <v>-77.418333333333337</v>
      </c>
      <c r="AD710" s="25">
        <v>-691.29375000000016</v>
      </c>
      <c r="AE710" s="25">
        <v>-627.76875000000007</v>
      </c>
      <c r="AF710" s="25">
        <v>-745.86458333333337</v>
      </c>
      <c r="AG710" s="25">
        <v>-365.25416666666661</v>
      </c>
      <c r="AH710" s="25">
        <v>-347.15000000000009</v>
      </c>
      <c r="AI710" s="25">
        <v>-899.97916666666663</v>
      </c>
      <c r="AJ710" s="25">
        <v>-1180.125</v>
      </c>
      <c r="AK710" s="25">
        <v>-2039.2291666666667</v>
      </c>
      <c r="AL710" s="25">
        <v>22.741666666666656</v>
      </c>
      <c r="AM710" s="25">
        <v>22.233333333333345</v>
      </c>
      <c r="AN710" s="25">
        <v>21.597916666666681</v>
      </c>
      <c r="AO710" s="25">
        <v>21.299999999999979</v>
      </c>
      <c r="AP710" s="25">
        <v>22.631250000000005</v>
      </c>
      <c r="AQ710" s="25">
        <v>22.431249999999995</v>
      </c>
      <c r="AR710" s="25">
        <v>22.049999999999997</v>
      </c>
      <c r="AS710" s="25">
        <v>21.893749999999979</v>
      </c>
      <c r="AT710" s="25">
        <v>0.22377083333333334</v>
      </c>
      <c r="AU710" s="25">
        <v>0.18499999999999997</v>
      </c>
      <c r="AV710" s="25">
        <v>0.28691666666666665</v>
      </c>
      <c r="AW710" s="25">
        <v>-193.92458333333332</v>
      </c>
      <c r="AX710" s="25">
        <v>-69.24708333333335</v>
      </c>
      <c r="AY710" s="25">
        <v>-39.470416666666658</v>
      </c>
      <c r="AZ710" s="25"/>
      <c r="BA710" s="25">
        <v>-471.46249999999992</v>
      </c>
      <c r="BB710" s="25"/>
      <c r="BC710" s="25"/>
      <c r="BD710" s="25">
        <v>22.633333333333329</v>
      </c>
      <c r="BE710" s="25"/>
    </row>
    <row r="711" spans="1:57" x14ac:dyDescent="0.25">
      <c r="A711" s="1">
        <v>32.6</v>
      </c>
      <c r="B711" s="1">
        <v>19.3</v>
      </c>
      <c r="C711" s="22"/>
      <c r="D711" s="23">
        <v>44418</v>
      </c>
      <c r="E711" s="24">
        <v>232.625</v>
      </c>
      <c r="F711" s="24">
        <v>80.347916666666649</v>
      </c>
      <c r="G711" s="24">
        <v>24.664583333333336</v>
      </c>
      <c r="H711" s="24">
        <v>0</v>
      </c>
      <c r="I711" s="24">
        <v>238.77083333333334</v>
      </c>
      <c r="J711" s="24">
        <v>2.4791666666666665</v>
      </c>
      <c r="K711" s="24">
        <v>6.25E-2</v>
      </c>
      <c r="L711" s="24">
        <v>20.716666666666661</v>
      </c>
      <c r="M711" s="10">
        <v>0.75015926574658331</v>
      </c>
      <c r="N711" s="25">
        <v>0.24154166666666654</v>
      </c>
      <c r="O711" s="25">
        <v>0.33931249999999996</v>
      </c>
      <c r="P711" s="25">
        <v>0.41387499999999994</v>
      </c>
      <c r="Q711" s="25">
        <v>0.42725000000000007</v>
      </c>
      <c r="R711" s="25">
        <v>0.43237500000000012</v>
      </c>
      <c r="S711" s="25">
        <v>0.33608333333333357</v>
      </c>
      <c r="T711" s="25">
        <v>0.33745833333333358</v>
      </c>
      <c r="U711" s="25">
        <v>0.29539583333333314</v>
      </c>
      <c r="V711" s="25">
        <v>-71.006874999999994</v>
      </c>
      <c r="W711" s="25">
        <v>-282.89999999999998</v>
      </c>
      <c r="X711" s="25">
        <v>-79.710000000000008</v>
      </c>
      <c r="Y711" s="25">
        <v>-57.545208333333335</v>
      </c>
      <c r="Z711" s="25">
        <v>-78.788958333333326</v>
      </c>
      <c r="AA711" s="25">
        <v>-70.028125000000031</v>
      </c>
      <c r="AB711" s="25">
        <v>-60.494583333333338</v>
      </c>
      <c r="AC711" s="25">
        <v>-81.573958333333351</v>
      </c>
      <c r="AD711" s="25">
        <v>-702.48333333333358</v>
      </c>
      <c r="AE711" s="25">
        <v>-653.95208333333335</v>
      </c>
      <c r="AF711" s="25">
        <v>-777.84791666666661</v>
      </c>
      <c r="AG711" s="25">
        <v>-374.03958333333338</v>
      </c>
      <c r="AH711" s="25">
        <v>-202.81041666666667</v>
      </c>
      <c r="AI711" s="25">
        <v>-909.875</v>
      </c>
      <c r="AJ711" s="25">
        <v>-1220.4375</v>
      </c>
      <c r="AK711" s="25">
        <v>-679.77916666666681</v>
      </c>
      <c r="AL711" s="25">
        <v>22.527083333333337</v>
      </c>
      <c r="AM711" s="25">
        <v>21.974999999999991</v>
      </c>
      <c r="AN711" s="25">
        <v>21.468749999999989</v>
      </c>
      <c r="AO711" s="25">
        <v>21.268750000000008</v>
      </c>
      <c r="AP711" s="25">
        <v>22.662499999999994</v>
      </c>
      <c r="AQ711" s="25">
        <v>22.193749999999994</v>
      </c>
      <c r="AR711" s="25">
        <v>21.822916666666675</v>
      </c>
      <c r="AS711" s="25">
        <v>21.679166666666678</v>
      </c>
      <c r="AT711" s="25">
        <v>0.22572916666666673</v>
      </c>
      <c r="AU711" s="25">
        <v>0.17150000000000001</v>
      </c>
      <c r="AV711" s="25">
        <v>0.29664583333333333</v>
      </c>
      <c r="AW711" s="25">
        <v>-136.19374999999994</v>
      </c>
      <c r="AX711" s="25">
        <v>-43.040833333333332</v>
      </c>
      <c r="AY711" s="25">
        <v>-20.358541666666664</v>
      </c>
      <c r="AZ711" s="25"/>
      <c r="BA711" s="25">
        <v>-94.481249999999989</v>
      </c>
      <c r="BB711" s="25"/>
      <c r="BC711" s="25"/>
      <c r="BD711" s="25">
        <v>23.012499999999999</v>
      </c>
      <c r="BE711" s="25"/>
    </row>
    <row r="712" spans="1:57" x14ac:dyDescent="0.25">
      <c r="A712" s="1">
        <v>26</v>
      </c>
      <c r="B712" s="1">
        <v>19.399999999999999</v>
      </c>
      <c r="C712" s="22"/>
      <c r="D712" s="23">
        <v>44419</v>
      </c>
      <c r="E712" s="24">
        <v>109.64583333333333</v>
      </c>
      <c r="F712" s="24">
        <v>92.070833333333326</v>
      </c>
      <c r="G712" s="24">
        <v>21.856249999999999</v>
      </c>
      <c r="H712" s="24">
        <v>34.800000000000011</v>
      </c>
      <c r="I712" s="24">
        <v>216.77083333333334</v>
      </c>
      <c r="J712" s="24">
        <v>0.91666666666666663</v>
      </c>
      <c r="K712" s="24">
        <v>0</v>
      </c>
      <c r="L712" s="24">
        <v>20.472916666666666</v>
      </c>
      <c r="M712" s="10">
        <v>0.22252885022285995</v>
      </c>
      <c r="N712" s="25">
        <v>0.31981250000000006</v>
      </c>
      <c r="O712" s="25">
        <v>0.3949791666666666</v>
      </c>
      <c r="P712" s="25">
        <v>0.45750000000000002</v>
      </c>
      <c r="Q712" s="25">
        <v>0.43174999999999991</v>
      </c>
      <c r="R712" s="25">
        <v>0.44777083333333317</v>
      </c>
      <c r="S712" s="25">
        <v>0.37014583333333334</v>
      </c>
      <c r="T712" s="25">
        <v>0.33827083333333358</v>
      </c>
      <c r="U712" s="25">
        <v>0.29239583333333302</v>
      </c>
      <c r="V712" s="25">
        <v>-44.564999999999998</v>
      </c>
      <c r="W712" s="25">
        <v>-271.78958333333338</v>
      </c>
      <c r="X712" s="25">
        <v>-87.647916666666674</v>
      </c>
      <c r="Y712" s="25">
        <v>-59.066249999999997</v>
      </c>
      <c r="Z712" s="25">
        <v>-16.736458333333331</v>
      </c>
      <c r="AA712" s="25">
        <v>-75.347083333333316</v>
      </c>
      <c r="AB712" s="25">
        <v>-62.611874999999991</v>
      </c>
      <c r="AC712" s="25">
        <v>-83.843750000000014</v>
      </c>
      <c r="AD712" s="25">
        <v>-574.50833333333333</v>
      </c>
      <c r="AE712" s="25">
        <v>-661.54791666666642</v>
      </c>
      <c r="AF712" s="25">
        <v>-803.05416666666667</v>
      </c>
      <c r="AG712" s="25">
        <v>-347.46458333333334</v>
      </c>
      <c r="AH712" s="25">
        <v>-20.077083333333338</v>
      </c>
      <c r="AI712" s="25">
        <v>-588.6500000000002</v>
      </c>
      <c r="AJ712" s="25">
        <v>-524.26874999999984</v>
      </c>
      <c r="AK712" s="25">
        <v>-526.63750000000005</v>
      </c>
      <c r="AL712" s="25">
        <v>22.372916666666672</v>
      </c>
      <c r="AM712" s="25">
        <v>21.999999999999989</v>
      </c>
      <c r="AN712" s="25">
        <v>21.472916666666663</v>
      </c>
      <c r="AO712" s="25">
        <v>21.264583333333338</v>
      </c>
      <c r="AP712" s="25">
        <v>22.325000000000006</v>
      </c>
      <c r="AQ712" s="25">
        <v>22.187500000000014</v>
      </c>
      <c r="AR712" s="25">
        <v>21.862499999999994</v>
      </c>
      <c r="AS712" s="25">
        <v>21.706250000000015</v>
      </c>
      <c r="AT712" s="25">
        <v>0.41981249999999992</v>
      </c>
      <c r="AU712" s="25">
        <v>0.29084782608695653</v>
      </c>
      <c r="AV712" s="25">
        <v>0.47829166666666673</v>
      </c>
      <c r="AW712" s="25">
        <v>-38.338749999999997</v>
      </c>
      <c r="AX712" s="25">
        <v>-17.317083333333333</v>
      </c>
      <c r="AY712" s="25">
        <v>-14.872916666666667</v>
      </c>
      <c r="AZ712" s="25"/>
      <c r="BA712" s="25">
        <v>-15.216666666666676</v>
      </c>
      <c r="BB712" s="25"/>
      <c r="BC712" s="25"/>
      <c r="BD712" s="25">
        <v>22.216666666666669</v>
      </c>
      <c r="BE712" s="25"/>
    </row>
    <row r="713" spans="1:57" x14ac:dyDescent="0.25">
      <c r="A713" s="1">
        <v>29.3</v>
      </c>
      <c r="B713" s="1">
        <v>20.3</v>
      </c>
      <c r="C713" s="22"/>
      <c r="D713" s="23">
        <v>44420</v>
      </c>
      <c r="E713" s="24">
        <v>178.66666666666666</v>
      </c>
      <c r="F713" s="24">
        <v>86.414583333333326</v>
      </c>
      <c r="G713" s="24">
        <v>23.439583333333331</v>
      </c>
      <c r="H713" s="24">
        <v>13.8</v>
      </c>
      <c r="I713" s="24">
        <v>228.27083333333334</v>
      </c>
      <c r="J713" s="24">
        <v>4.229166666666667</v>
      </c>
      <c r="K713" s="24">
        <v>0.22916666666666666</v>
      </c>
      <c r="L713" s="24">
        <v>20.910416666666666</v>
      </c>
      <c r="M713" s="10">
        <v>0.44772252230613546</v>
      </c>
      <c r="N713" s="25">
        <v>0.31127083333333333</v>
      </c>
      <c r="O713" s="25">
        <v>0.40020833333333344</v>
      </c>
      <c r="P713" s="25">
        <v>0.46531249999999985</v>
      </c>
      <c r="Q713" s="25">
        <v>0.43793750000000015</v>
      </c>
      <c r="R713" s="25">
        <v>0.45381250000000034</v>
      </c>
      <c r="S713" s="25">
        <v>0.36287500000000006</v>
      </c>
      <c r="T713" s="25">
        <v>0.3399583333333332</v>
      </c>
      <c r="U713" s="25">
        <v>0.29362500000000008</v>
      </c>
      <c r="V713" s="25">
        <v>-14.027500000000003</v>
      </c>
      <c r="W713" s="25">
        <v>-27.675208333333334</v>
      </c>
      <c r="X713" s="25">
        <v>-91.683333333333337</v>
      </c>
      <c r="Y713" s="25">
        <v>-60.73666666666665</v>
      </c>
      <c r="Z713" s="25">
        <v>-12.533750000000003</v>
      </c>
      <c r="AA713" s="25">
        <v>-80.026666666666671</v>
      </c>
      <c r="AB713" s="25">
        <v>-65.374791666666667</v>
      </c>
      <c r="AC713" s="25">
        <v>-84.879166666666649</v>
      </c>
      <c r="AD713" s="25">
        <v>-433.18541666666675</v>
      </c>
      <c r="AE713" s="25">
        <v>-654.00833333333333</v>
      </c>
      <c r="AF713" s="25">
        <v>-737.4375</v>
      </c>
      <c r="AG713" s="25">
        <v>-312.19166666666666</v>
      </c>
      <c r="AH713" s="25">
        <v>-12.558333333333339</v>
      </c>
      <c r="AI713" s="25">
        <v>-200.71458333333328</v>
      </c>
      <c r="AJ713" s="25">
        <v>-393.40000000000009</v>
      </c>
      <c r="AK713" s="25">
        <v>-17.172916666666669</v>
      </c>
      <c r="AL713" s="25">
        <v>22.370833333333334</v>
      </c>
      <c r="AM713" s="25">
        <v>21.891666666666652</v>
      </c>
      <c r="AN713" s="25">
        <v>21.424999999999983</v>
      </c>
      <c r="AO713" s="25">
        <v>21.200000000000021</v>
      </c>
      <c r="AP713" s="25">
        <v>22.518749999999997</v>
      </c>
      <c r="AQ713" s="25">
        <v>22.141666666666666</v>
      </c>
      <c r="AR713" s="25">
        <v>21.772916666666674</v>
      </c>
      <c r="AS713" s="25">
        <v>21.64166666666668</v>
      </c>
      <c r="AT713" s="25">
        <v>0.43120833333333314</v>
      </c>
      <c r="AU713" s="25">
        <v>0.28708333333333336</v>
      </c>
      <c r="AV713" s="25">
        <v>0.48279166666666667</v>
      </c>
      <c r="AW713" s="25">
        <v>-29.386875000000007</v>
      </c>
      <c r="AX713" s="25">
        <v>-15.454166666666666</v>
      </c>
      <c r="AY713" s="25">
        <v>-14.214791666666663</v>
      </c>
      <c r="AZ713" s="25"/>
      <c r="BA713" s="25">
        <v>-10.575000000000005</v>
      </c>
      <c r="BB713" s="25"/>
      <c r="BC713" s="25"/>
      <c r="BD713" s="25">
        <v>22.804166666666664</v>
      </c>
      <c r="BE713" s="25"/>
    </row>
    <row r="714" spans="1:57" x14ac:dyDescent="0.25">
      <c r="A714" s="1">
        <v>27.7</v>
      </c>
      <c r="B714" s="1">
        <v>20.7</v>
      </c>
      <c r="C714" s="22"/>
      <c r="D714" s="23">
        <v>44421</v>
      </c>
      <c r="E714" s="24">
        <v>94.4375</v>
      </c>
      <c r="F714" s="24">
        <v>90.629166666666677</v>
      </c>
      <c r="G714" s="24">
        <v>22.352083333333329</v>
      </c>
      <c r="H714" s="24">
        <v>12.7</v>
      </c>
      <c r="I714" s="24">
        <v>229.29166666666666</v>
      </c>
      <c r="J714" s="24">
        <v>3.5625</v>
      </c>
      <c r="K714" s="24">
        <v>0.14583333333333334</v>
      </c>
      <c r="L714" s="24">
        <v>20.710416666666664</v>
      </c>
      <c r="M714" s="10">
        <v>0.26891935664471672</v>
      </c>
      <c r="N714" s="25">
        <v>0.38485416666666672</v>
      </c>
      <c r="O714" s="25">
        <v>0.50793749999999982</v>
      </c>
      <c r="P714" s="25">
        <v>0.56335416666666649</v>
      </c>
      <c r="Q714" s="25">
        <v>0.53893749999999996</v>
      </c>
      <c r="R714" s="25">
        <v>0.52043750000000011</v>
      </c>
      <c r="S714" s="25">
        <v>0.39381249999999984</v>
      </c>
      <c r="T714" s="25">
        <v>0.35858333333333309</v>
      </c>
      <c r="U714" s="25">
        <v>0.30570833333333319</v>
      </c>
      <c r="V714" s="25">
        <v>-13.546458333333328</v>
      </c>
      <c r="W714" s="25">
        <v>-27.979166666666657</v>
      </c>
      <c r="X714" s="25">
        <v>-91.83541666666666</v>
      </c>
      <c r="Y714" s="25">
        <v>-48.277083333333337</v>
      </c>
      <c r="Z714" s="25">
        <v>-12.301874999999995</v>
      </c>
      <c r="AA714" s="25">
        <v>-83.6354166666667</v>
      </c>
      <c r="AB714" s="25">
        <v>-67.732916666666654</v>
      </c>
      <c r="AC714" s="25">
        <v>-51.869583333333317</v>
      </c>
      <c r="AD714" s="25">
        <v>-10.156250000000005</v>
      </c>
      <c r="AE714" s="25">
        <v>-624.12500000000011</v>
      </c>
      <c r="AF714" s="25">
        <v>-595.11458333333337</v>
      </c>
      <c r="AG714" s="25">
        <v>-47.097916666666663</v>
      </c>
      <c r="AH714" s="25">
        <v>-12.289583333333326</v>
      </c>
      <c r="AI714" s="25">
        <v>-13.116666666666669</v>
      </c>
      <c r="AJ714" s="25">
        <v>-389.53749999999991</v>
      </c>
      <c r="AK714" s="25">
        <v>-12.937500000000005</v>
      </c>
      <c r="AL714" s="25">
        <v>22.333333333333332</v>
      </c>
      <c r="AM714" s="25">
        <v>21.964583333333323</v>
      </c>
      <c r="AN714" s="25">
        <v>21.452083333333324</v>
      </c>
      <c r="AO714" s="25">
        <v>21.247916666666686</v>
      </c>
      <c r="AP714" s="25">
        <v>22.385416666666682</v>
      </c>
      <c r="AQ714" s="25">
        <v>22.204166666666691</v>
      </c>
      <c r="AR714" s="25">
        <v>21.864583333333314</v>
      </c>
      <c r="AS714" s="25">
        <v>21.718750000000025</v>
      </c>
      <c r="AT714" s="25">
        <v>0.46166666666666661</v>
      </c>
      <c r="AU714" s="25">
        <v>0.31580000000000008</v>
      </c>
      <c r="AV714" s="25">
        <v>0.51200000000000012</v>
      </c>
      <c r="AW714" s="25">
        <v>-27.296250000000001</v>
      </c>
      <c r="AX714" s="25">
        <v>-15.794375</v>
      </c>
      <c r="AY714" s="25">
        <v>-14.112291666666664</v>
      </c>
      <c r="AZ714" s="25"/>
      <c r="BA714" s="25">
        <v>-10.258333333333333</v>
      </c>
      <c r="BB714" s="25"/>
      <c r="BC714" s="25"/>
      <c r="BD714" s="25">
        <v>22.370833333333326</v>
      </c>
      <c r="BE714" s="25"/>
    </row>
    <row r="715" spans="1:57" x14ac:dyDescent="0.25">
      <c r="A715" s="1">
        <v>23</v>
      </c>
      <c r="B715" s="1">
        <v>18.7</v>
      </c>
      <c r="C715" s="22"/>
      <c r="D715" s="23">
        <v>44422</v>
      </c>
      <c r="E715" s="24">
        <v>77.458333333333329</v>
      </c>
      <c r="F715" s="24">
        <v>88.366666666666632</v>
      </c>
      <c r="G715" s="24">
        <v>20.262499999999999</v>
      </c>
      <c r="H715" s="24">
        <v>0</v>
      </c>
      <c r="I715" s="24">
        <v>215.60416666666666</v>
      </c>
      <c r="J715" s="24">
        <v>1.1041666666666667</v>
      </c>
      <c r="K715" s="24">
        <v>0</v>
      </c>
      <c r="L715" s="24">
        <v>18.256250000000005</v>
      </c>
      <c r="M715" s="10">
        <v>0.28285461135652545</v>
      </c>
      <c r="N715" s="25">
        <v>0.39891666666666681</v>
      </c>
      <c r="O715" s="25">
        <v>0.5145833333333335</v>
      </c>
      <c r="P715" s="25">
        <v>0.57733333333333348</v>
      </c>
      <c r="Q715" s="25">
        <v>0.57575000000000032</v>
      </c>
      <c r="R715" s="25">
        <v>0.5274791666666665</v>
      </c>
      <c r="S715" s="25">
        <v>0.39462499999999984</v>
      </c>
      <c r="T715" s="25">
        <v>0.36185416666666681</v>
      </c>
      <c r="U715" s="25">
        <v>0.30627083333333321</v>
      </c>
      <c r="V715" s="25">
        <v>-13.685416666666663</v>
      </c>
      <c r="W715" s="25">
        <v>-28.730833333333347</v>
      </c>
      <c r="X715" s="25">
        <v>-70.629375000000024</v>
      </c>
      <c r="Y715" s="25">
        <v>-31.834999999999994</v>
      </c>
      <c r="Z715" s="25">
        <v>-12.453958333333327</v>
      </c>
      <c r="AA715" s="25">
        <v>-82.65</v>
      </c>
      <c r="AB715" s="25">
        <v>-69.641249999999999</v>
      </c>
      <c r="AC715" s="25">
        <v>-34.249999999999993</v>
      </c>
      <c r="AD715" s="25">
        <v>-10.089583333333342</v>
      </c>
      <c r="AE715" s="25">
        <v>-543.55416666666645</v>
      </c>
      <c r="AF715" s="25">
        <v>-369.62916666666666</v>
      </c>
      <c r="AG715" s="25">
        <v>-42.524999999999999</v>
      </c>
      <c r="AH715" s="25">
        <v>-12.281249999999998</v>
      </c>
      <c r="AI715" s="25">
        <v>-10.541666666666677</v>
      </c>
      <c r="AJ715" s="25">
        <v>-81.237499999999997</v>
      </c>
      <c r="AK715" s="25">
        <v>-13.164583333333326</v>
      </c>
      <c r="AL715" s="25">
        <v>21.743750000000016</v>
      </c>
      <c r="AM715" s="25">
        <v>21.718750000000011</v>
      </c>
      <c r="AN715" s="25">
        <v>21.362499999999979</v>
      </c>
      <c r="AO715" s="25">
        <v>21.197916666666686</v>
      </c>
      <c r="AP715" s="25">
        <v>21.652083333333326</v>
      </c>
      <c r="AQ715" s="25">
        <v>21.850000000000019</v>
      </c>
      <c r="AR715" s="25">
        <v>21.650000000000006</v>
      </c>
      <c r="AS715" s="25">
        <v>21.556249999999995</v>
      </c>
      <c r="AT715" s="25">
        <v>0.4459583333333334</v>
      </c>
      <c r="AU715" s="25">
        <v>0.30053571428571429</v>
      </c>
      <c r="AV715" s="25">
        <v>0.49683333333333329</v>
      </c>
      <c r="AW715" s="25">
        <v>-26.744166666666668</v>
      </c>
      <c r="AX715" s="25">
        <v>-15.992291666666665</v>
      </c>
      <c r="AY715" s="25">
        <v>-14.243541666666665</v>
      </c>
      <c r="AZ715" s="25"/>
      <c r="BA715" s="25">
        <v>-10.199999999999992</v>
      </c>
      <c r="BB715" s="25"/>
      <c r="BC715" s="25"/>
      <c r="BD715" s="25">
        <v>21.529166666666669</v>
      </c>
      <c r="BE715" s="25"/>
    </row>
    <row r="716" spans="1:57" x14ac:dyDescent="0.25">
      <c r="A716" s="1">
        <v>21.8</v>
      </c>
      <c r="B716" s="1">
        <v>18.2</v>
      </c>
      <c r="C716" s="22"/>
      <c r="D716" s="23">
        <v>44423</v>
      </c>
      <c r="E716" s="24">
        <v>72.5</v>
      </c>
      <c r="F716" s="24">
        <v>93.879166666666649</v>
      </c>
      <c r="G716" s="24">
        <v>19.716666666666658</v>
      </c>
      <c r="H716" s="24">
        <v>8.3000000000000007</v>
      </c>
      <c r="I716" s="24">
        <v>279.10416666666669</v>
      </c>
      <c r="J716" s="24">
        <v>1.4375</v>
      </c>
      <c r="K716" s="24">
        <v>0</v>
      </c>
      <c r="L716" s="24">
        <v>18.689583333333335</v>
      </c>
      <c r="M716" s="10">
        <v>0.14461975147830916</v>
      </c>
      <c r="N716" s="25">
        <v>0.4030416666666668</v>
      </c>
      <c r="O716" s="25">
        <v>0.51272916666666668</v>
      </c>
      <c r="P716" s="25">
        <v>0.57427083333333295</v>
      </c>
      <c r="Q716" s="25">
        <v>0.57277083333333312</v>
      </c>
      <c r="R716" s="25">
        <v>0.52577083333333285</v>
      </c>
      <c r="S716" s="25">
        <v>0.3887083333333336</v>
      </c>
      <c r="T716" s="25">
        <v>0.35952083333333346</v>
      </c>
      <c r="U716" s="25">
        <v>0.30672916666666677</v>
      </c>
      <c r="V716" s="25">
        <v>-13.642291666666667</v>
      </c>
      <c r="W716" s="25">
        <v>-26.744166666666676</v>
      </c>
      <c r="X716" s="25">
        <v>-60.402499999999996</v>
      </c>
      <c r="Y716" s="25">
        <v>-26.652708333333337</v>
      </c>
      <c r="Z716" s="25">
        <v>-12.497708333333327</v>
      </c>
      <c r="AA716" s="25">
        <v>-79.16979166666664</v>
      </c>
      <c r="AB716" s="25">
        <v>-71.782291666666694</v>
      </c>
      <c r="AC716" s="25">
        <v>-32.432291666666671</v>
      </c>
      <c r="AD716" s="25">
        <v>-10.037499999999994</v>
      </c>
      <c r="AE716" s="25">
        <v>-467.90000000000009</v>
      </c>
      <c r="AF716" s="25">
        <v>-296.92083333333335</v>
      </c>
      <c r="AG716" s="25">
        <v>-44.872916666666676</v>
      </c>
      <c r="AH716" s="25">
        <v>-12.083333333333334</v>
      </c>
      <c r="AI716" s="25">
        <v>-10.485416666666655</v>
      </c>
      <c r="AJ716" s="25">
        <v>-36.200000000000003</v>
      </c>
      <c r="AK716" s="25">
        <v>-11.72708333333334</v>
      </c>
      <c r="AL716" s="25">
        <v>21.185416666666665</v>
      </c>
      <c r="AM716" s="25">
        <v>21.289583333333358</v>
      </c>
      <c r="AN716" s="25">
        <v>21.120833333333337</v>
      </c>
      <c r="AO716" s="25">
        <v>21.054166666666671</v>
      </c>
      <c r="AP716" s="25">
        <v>21.060416666666669</v>
      </c>
      <c r="AQ716" s="25">
        <v>21.325000000000003</v>
      </c>
      <c r="AR716" s="25">
        <v>21.222916666666681</v>
      </c>
      <c r="AS716" s="25">
        <v>21.20416666666668</v>
      </c>
      <c r="AT716" s="25">
        <v>0.44887500000000008</v>
      </c>
      <c r="AU716" s="25">
        <v>0.28791666666666665</v>
      </c>
      <c r="AV716" s="25">
        <v>0.50189583333333354</v>
      </c>
      <c r="AW716" s="25">
        <v>-27.589583333333348</v>
      </c>
      <c r="AX716" s="25">
        <v>-15.504166666666661</v>
      </c>
      <c r="AY716" s="25">
        <v>-14.262708333333336</v>
      </c>
      <c r="AZ716" s="25"/>
      <c r="BA716" s="25">
        <v>-10.058333333333334</v>
      </c>
      <c r="BB716" s="25"/>
      <c r="BC716" s="25"/>
      <c r="BD716" s="25">
        <v>21.233333333333341</v>
      </c>
      <c r="BE716" s="25"/>
    </row>
    <row r="717" spans="1:57" x14ac:dyDescent="0.25">
      <c r="A717" s="1">
        <v>26.2</v>
      </c>
      <c r="B717" s="1">
        <v>19.3</v>
      </c>
      <c r="C717" s="22"/>
      <c r="D717" s="23">
        <v>44424</v>
      </c>
      <c r="E717" s="24">
        <v>157.20833333333334</v>
      </c>
      <c r="F717" s="24">
        <v>89.34166666666664</v>
      </c>
      <c r="G717" s="24">
        <v>21.793750000000006</v>
      </c>
      <c r="H717" s="24">
        <v>3.7</v>
      </c>
      <c r="I717" s="24">
        <v>227.6875</v>
      </c>
      <c r="J717" s="24">
        <v>7.833333333333333</v>
      </c>
      <c r="K717" s="24">
        <v>0.89583333333333337</v>
      </c>
      <c r="L717" s="24">
        <v>19.883333333333336</v>
      </c>
      <c r="M717" s="10">
        <v>0.30852680819944917</v>
      </c>
      <c r="N717" s="25">
        <v>0.44356249999999992</v>
      </c>
      <c r="O717" s="25">
        <v>0.54422916666666676</v>
      </c>
      <c r="P717" s="25">
        <v>0.59462499999999985</v>
      </c>
      <c r="Q717" s="25">
        <v>0.60747916666666668</v>
      </c>
      <c r="R717" s="25">
        <v>0.5499791666666668</v>
      </c>
      <c r="S717" s="25">
        <v>0.41245833333333298</v>
      </c>
      <c r="T717" s="25">
        <v>0.36272916666666694</v>
      </c>
      <c r="U717" s="25">
        <v>0.30714583333333351</v>
      </c>
      <c r="V717" s="25">
        <v>-13.51729166666667</v>
      </c>
      <c r="W717" s="25">
        <v>-29.376249999999999</v>
      </c>
      <c r="X717" s="25">
        <v>-14.866458333333334</v>
      </c>
      <c r="Y717" s="25">
        <v>-19.345416666666669</v>
      </c>
      <c r="Z717" s="25">
        <v>-12.227916666666673</v>
      </c>
      <c r="AA717" s="25">
        <v>-20.928541666666664</v>
      </c>
      <c r="AB717" s="25">
        <v>-72.96145833333334</v>
      </c>
      <c r="AC717" s="25">
        <v>-32.374999999999993</v>
      </c>
      <c r="AD717" s="25">
        <v>-9.6999999999999922</v>
      </c>
      <c r="AE717" s="25">
        <v>-318.83333333333331</v>
      </c>
      <c r="AF717" s="25">
        <v>-268.33749999999992</v>
      </c>
      <c r="AG717" s="25">
        <v>-49</v>
      </c>
      <c r="AH717" s="25">
        <v>-11.964583333333332</v>
      </c>
      <c r="AI717" s="25">
        <v>-10.300000000000008</v>
      </c>
      <c r="AJ717" s="25">
        <v>-12.168750000000003</v>
      </c>
      <c r="AK717" s="25">
        <v>-11.654166666666667</v>
      </c>
      <c r="AL717" s="25">
        <v>21.383333333333329</v>
      </c>
      <c r="AM717" s="25">
        <v>21.162500000000009</v>
      </c>
      <c r="AN717" s="25">
        <v>20.939583333333321</v>
      </c>
      <c r="AO717" s="25">
        <v>20.88124999999998</v>
      </c>
      <c r="AP717" s="25">
        <v>21.435416666666665</v>
      </c>
      <c r="AQ717" s="25">
        <v>21.268750000000008</v>
      </c>
      <c r="AR717" s="25">
        <v>21.058333333333341</v>
      </c>
      <c r="AS717" s="25">
        <v>20.987499999999994</v>
      </c>
      <c r="AT717" s="25">
        <v>0.45785416666666684</v>
      </c>
      <c r="AU717" s="25">
        <v>0.30409999999999993</v>
      </c>
      <c r="AV717" s="25">
        <v>0.51304166666666684</v>
      </c>
      <c r="AW717" s="25">
        <v>-25.756875000000004</v>
      </c>
      <c r="AX717" s="25">
        <v>-15.306874999999996</v>
      </c>
      <c r="AY717" s="25">
        <v>-14.149791666666667</v>
      </c>
      <c r="AZ717" s="25"/>
      <c r="BA717" s="25">
        <v>-9.916666666666659</v>
      </c>
      <c r="BB717" s="25"/>
      <c r="BC717" s="25"/>
      <c r="BD717" s="25">
        <v>22.066666666666674</v>
      </c>
      <c r="BE717" s="25"/>
    </row>
    <row r="718" spans="1:57" x14ac:dyDescent="0.25">
      <c r="A718" s="1">
        <v>27.8</v>
      </c>
      <c r="B718" s="1">
        <v>20.6</v>
      </c>
      <c r="C718" s="22"/>
      <c r="D718" s="23">
        <v>44425</v>
      </c>
      <c r="E718" s="24">
        <v>133.22916666666666</v>
      </c>
      <c r="F718" s="24">
        <v>85.839583333333323</v>
      </c>
      <c r="G718" s="24">
        <v>22.572916666666671</v>
      </c>
      <c r="H718" s="24">
        <v>1.2</v>
      </c>
      <c r="I718" s="24">
        <v>226.08333333333334</v>
      </c>
      <c r="J718" s="24">
        <v>11.1875</v>
      </c>
      <c r="K718" s="24">
        <v>1.8958333333333333</v>
      </c>
      <c r="L718" s="24">
        <v>20.029166666666669</v>
      </c>
      <c r="M718" s="10">
        <v>0.4102184430895599</v>
      </c>
      <c r="N718" s="25">
        <v>0.42214583333333344</v>
      </c>
      <c r="O718" s="25">
        <v>0.52552083333333299</v>
      </c>
      <c r="P718" s="25">
        <v>0.58264583333333275</v>
      </c>
      <c r="Q718" s="25">
        <v>0.59841666666666671</v>
      </c>
      <c r="R718" s="25">
        <v>0.54610416666666695</v>
      </c>
      <c r="S718" s="25">
        <v>0.40531250000000013</v>
      </c>
      <c r="T718" s="25">
        <v>0.36481250000000026</v>
      </c>
      <c r="U718" s="25">
        <v>0.30795833333333322</v>
      </c>
      <c r="V718" s="25">
        <v>-13.573541666666664</v>
      </c>
      <c r="W718" s="25">
        <v>-26.915833333333328</v>
      </c>
      <c r="X718" s="25">
        <v>-12.408124999999998</v>
      </c>
      <c r="Y718" s="25">
        <v>-15.174583333333326</v>
      </c>
      <c r="Z718" s="25">
        <v>-12.410208333333335</v>
      </c>
      <c r="AA718" s="25">
        <v>-17.254166666666666</v>
      </c>
      <c r="AB718" s="25">
        <v>-73.319374999999994</v>
      </c>
      <c r="AC718" s="25">
        <v>-31.565624999999997</v>
      </c>
      <c r="AD718" s="25">
        <v>-9.7062499999999936</v>
      </c>
      <c r="AE718" s="25">
        <v>-191.59375</v>
      </c>
      <c r="AF718" s="25">
        <v>-259.59791666666666</v>
      </c>
      <c r="AG718" s="25">
        <v>-53.381250000000016</v>
      </c>
      <c r="AH718" s="25">
        <v>-11.99791666666667</v>
      </c>
      <c r="AI718" s="25">
        <v>-10.349999999999994</v>
      </c>
      <c r="AJ718" s="25">
        <v>-10.74375</v>
      </c>
      <c r="AK718" s="25">
        <v>-11.20000000000001</v>
      </c>
      <c r="AL718" s="25">
        <v>21.687499999999996</v>
      </c>
      <c r="AM718" s="25">
        <v>21.345833333333321</v>
      </c>
      <c r="AN718" s="25">
        <v>20.993750000000002</v>
      </c>
      <c r="AO718" s="25">
        <v>20.883333333333319</v>
      </c>
      <c r="AP718" s="25">
        <v>21.743749999999995</v>
      </c>
      <c r="AQ718" s="25">
        <v>21.533333333333335</v>
      </c>
      <c r="AR718" s="25">
        <v>21.220833333333339</v>
      </c>
      <c r="AS718" s="25">
        <v>21.100000000000016</v>
      </c>
      <c r="AT718" s="25">
        <v>0.44624999999999987</v>
      </c>
      <c r="AU718" s="25">
        <v>0.28736363636363632</v>
      </c>
      <c r="AV718" s="25">
        <v>0.4895208333333334</v>
      </c>
      <c r="AW718" s="25">
        <v>-25.371250000000003</v>
      </c>
      <c r="AX718" s="25">
        <v>-15.187916666666672</v>
      </c>
      <c r="AY718" s="25">
        <v>-14.224374999999997</v>
      </c>
      <c r="AZ718" s="25"/>
      <c r="BA718" s="25">
        <v>-9.9312499999999986</v>
      </c>
      <c r="BB718" s="25"/>
      <c r="BC718" s="25"/>
      <c r="BD718" s="25">
        <v>22.204166666666666</v>
      </c>
      <c r="BE718" s="25"/>
    </row>
    <row r="719" spans="1:57" x14ac:dyDescent="0.25">
      <c r="A719" s="1">
        <v>28.4</v>
      </c>
      <c r="B719" s="1">
        <v>19.7</v>
      </c>
      <c r="C719" s="22"/>
      <c r="D719" s="23">
        <v>44426</v>
      </c>
      <c r="E719" s="24">
        <v>181.02083333333334</v>
      </c>
      <c r="F719" s="24">
        <v>85.170833333333334</v>
      </c>
      <c r="G719" s="24">
        <v>22.912499999999998</v>
      </c>
      <c r="H719" s="24">
        <v>29.299999999999997</v>
      </c>
      <c r="I719" s="24">
        <v>230.95833333333334</v>
      </c>
      <c r="J719" s="24">
        <v>8.3958333333333339</v>
      </c>
      <c r="K719" s="24">
        <v>0.70833333333333337</v>
      </c>
      <c r="L719" s="24">
        <v>20.156249999999996</v>
      </c>
      <c r="M719" s="10">
        <v>0.46800702206195832</v>
      </c>
      <c r="N719" s="25">
        <v>0.45193749999999988</v>
      </c>
      <c r="O719" s="25">
        <v>0.55143750000000014</v>
      </c>
      <c r="P719" s="25">
        <v>0.59687500000000004</v>
      </c>
      <c r="Q719" s="25">
        <v>0.62056250000000002</v>
      </c>
      <c r="R719" s="25">
        <v>0.60239583333333313</v>
      </c>
      <c r="S719" s="25">
        <v>0.46762500000000018</v>
      </c>
      <c r="T719" s="25">
        <v>0.42162499999999986</v>
      </c>
      <c r="U719" s="25">
        <v>0.36399999999999988</v>
      </c>
      <c r="V719" s="25">
        <v>-13.92416666666667</v>
      </c>
      <c r="W719" s="25">
        <v>-28.878333333333334</v>
      </c>
      <c r="X719" s="25">
        <v>-12.249583333333339</v>
      </c>
      <c r="Y719" s="25">
        <v>-13.003541666666663</v>
      </c>
      <c r="Z719" s="25">
        <v>-12.204583333333332</v>
      </c>
      <c r="AA719" s="25">
        <v>-14.540208333333339</v>
      </c>
      <c r="AB719" s="25">
        <v>-30.404374999999998</v>
      </c>
      <c r="AC719" s="25">
        <v>-18.392083333333336</v>
      </c>
      <c r="AD719" s="25">
        <v>-9.458333333333325</v>
      </c>
      <c r="AE719" s="25">
        <v>-55.529166666666775</v>
      </c>
      <c r="AF719" s="25">
        <v>-95.452083333333476</v>
      </c>
      <c r="AG719" s="25">
        <v>-23.814583333333335</v>
      </c>
      <c r="AH719" s="25">
        <v>-11.681250000000006</v>
      </c>
      <c r="AI719" s="25">
        <v>-10.166666666666677</v>
      </c>
      <c r="AJ719" s="25">
        <v>-10.533333333333331</v>
      </c>
      <c r="AK719" s="25">
        <v>-11.312499999999998</v>
      </c>
      <c r="AL719" s="25">
        <v>21.745833333333326</v>
      </c>
      <c r="AM719" s="25">
        <v>21.364583333333325</v>
      </c>
      <c r="AN719" s="25">
        <v>21</v>
      </c>
      <c r="AO719" s="25">
        <v>20.899999999999984</v>
      </c>
      <c r="AP719" s="25">
        <v>21.825000000000003</v>
      </c>
      <c r="AQ719" s="25">
        <v>21.545833333333324</v>
      </c>
      <c r="AR719" s="25">
        <v>21.247916666666672</v>
      </c>
      <c r="AS719" s="25">
        <v>21.152083333333344</v>
      </c>
      <c r="AT719" s="25">
        <v>0.47249999999999992</v>
      </c>
      <c r="AU719" s="25">
        <v>0.32561538461538464</v>
      </c>
      <c r="AV719" s="25">
        <v>0.51691666666666669</v>
      </c>
      <c r="AW719" s="25">
        <v>-24.741249999999997</v>
      </c>
      <c r="AX719" s="25">
        <v>-15.861666666666665</v>
      </c>
      <c r="AY719" s="25">
        <v>-14.099166666666664</v>
      </c>
      <c r="AZ719" s="25"/>
      <c r="BA719" s="25">
        <v>-9.6708333333333325</v>
      </c>
      <c r="BB719" s="25"/>
      <c r="BC719" s="25"/>
      <c r="BD719" s="25">
        <v>22.425000000000008</v>
      </c>
      <c r="BE719" s="25"/>
    </row>
    <row r="720" spans="1:57" x14ac:dyDescent="0.25">
      <c r="A720" s="1">
        <v>29.1</v>
      </c>
      <c r="B720" s="1">
        <v>20.7</v>
      </c>
      <c r="C720" s="22"/>
      <c r="D720" s="23">
        <v>44427</v>
      </c>
      <c r="E720" s="24">
        <v>203.89583333333334</v>
      </c>
      <c r="F720" s="24">
        <v>79.899999999999977</v>
      </c>
      <c r="G720" s="24">
        <v>23.966666666666665</v>
      </c>
      <c r="H720" s="24">
        <v>0</v>
      </c>
      <c r="I720" s="24">
        <v>229.29166666666666</v>
      </c>
      <c r="J720" s="24">
        <v>8.0833333333333339</v>
      </c>
      <c r="K720" s="24">
        <v>0.5</v>
      </c>
      <c r="L720" s="24">
        <v>20.131250000000001</v>
      </c>
      <c r="M720" s="10">
        <v>0.65877077834560704</v>
      </c>
      <c r="N720" s="25">
        <v>0.42654166666666676</v>
      </c>
      <c r="O720" s="25">
        <v>0.53318750000000004</v>
      </c>
      <c r="P720" s="25">
        <v>0.58435416666666651</v>
      </c>
      <c r="Q720" s="25">
        <v>0.60375000000000012</v>
      </c>
      <c r="R720" s="25">
        <v>0.606375</v>
      </c>
      <c r="S720" s="25">
        <v>0.47639583333333335</v>
      </c>
      <c r="T720" s="25">
        <v>0.46266666666666639</v>
      </c>
      <c r="U720" s="25">
        <v>0.40374999999999966</v>
      </c>
      <c r="V720" s="25">
        <v>-14.191250000000002</v>
      </c>
      <c r="W720" s="25">
        <v>-34.762291666666677</v>
      </c>
      <c r="X720" s="25">
        <v>-12.349166666666667</v>
      </c>
      <c r="Y720" s="25">
        <v>-12.558958333333337</v>
      </c>
      <c r="Z720" s="25">
        <v>-12.463958333333331</v>
      </c>
      <c r="AA720" s="25">
        <v>-12.781458333333333</v>
      </c>
      <c r="AB720" s="25">
        <v>-13.156249999999995</v>
      </c>
      <c r="AC720" s="25">
        <v>-13.87270833333333</v>
      </c>
      <c r="AD720" s="25">
        <v>-9.4708333333333403</v>
      </c>
      <c r="AE720" s="25">
        <v>-11.327083333333333</v>
      </c>
      <c r="AF720" s="25">
        <v>-11.643749999999999</v>
      </c>
      <c r="AG720" s="25">
        <v>-12.44375</v>
      </c>
      <c r="AH720" s="25">
        <v>-11.92291666666666</v>
      </c>
      <c r="AI720" s="25">
        <v>-10.247916666666663</v>
      </c>
      <c r="AJ720" s="25">
        <v>-10.53333333333334</v>
      </c>
      <c r="AK720" s="25">
        <v>-11.668750000000001</v>
      </c>
      <c r="AL720" s="25">
        <v>22.081250000000001</v>
      </c>
      <c r="AM720" s="25">
        <v>21.547916666666669</v>
      </c>
      <c r="AN720" s="25">
        <v>21.093750000000014</v>
      </c>
      <c r="AO720" s="25">
        <v>20.927083333333325</v>
      </c>
      <c r="AP720" s="25">
        <v>22.316666666666674</v>
      </c>
      <c r="AQ720" s="25">
        <v>21.839583333333341</v>
      </c>
      <c r="AR720" s="25">
        <v>21.439583333333328</v>
      </c>
      <c r="AS720" s="25">
        <v>21.28125</v>
      </c>
      <c r="AT720" s="25">
        <v>0.44854166666666678</v>
      </c>
      <c r="AU720" s="25">
        <v>0.2878</v>
      </c>
      <c r="AV720" s="25">
        <v>0.48864583333333339</v>
      </c>
      <c r="AW720" s="25">
        <v>-24.598749999999999</v>
      </c>
      <c r="AX720" s="25">
        <v>-15.488541666666661</v>
      </c>
      <c r="AY720" s="25">
        <v>-14.14625</v>
      </c>
      <c r="AZ720" s="25"/>
      <c r="BA720" s="25">
        <v>-9.7437499999999932</v>
      </c>
      <c r="BB720" s="25"/>
      <c r="BC720" s="25"/>
      <c r="BD720" s="25">
        <v>22.891666666666666</v>
      </c>
      <c r="BE720" s="25"/>
    </row>
    <row r="721" spans="1:57" x14ac:dyDescent="0.25">
      <c r="A721" s="1">
        <v>29.4</v>
      </c>
      <c r="B721" s="1">
        <v>20.9</v>
      </c>
      <c r="C721" s="22"/>
      <c r="D721" s="23">
        <v>44428</v>
      </c>
      <c r="E721" s="24">
        <v>224.10416666666666</v>
      </c>
      <c r="F721" s="24">
        <v>80.262500000000003</v>
      </c>
      <c r="G721" s="24">
        <v>24.320833333333329</v>
      </c>
      <c r="H721" s="24">
        <v>0</v>
      </c>
      <c r="I721" s="24">
        <v>235.52083333333334</v>
      </c>
      <c r="J721" s="24">
        <v>8.2916666666666661</v>
      </c>
      <c r="K721" s="24">
        <v>0.39583333333333331</v>
      </c>
      <c r="L721" s="24">
        <v>20.560416666666672</v>
      </c>
      <c r="M721" s="10">
        <v>0.65920919768322139</v>
      </c>
      <c r="N721" s="25">
        <v>0.39987500000000026</v>
      </c>
      <c r="O721" s="25">
        <v>0.5173125000000004</v>
      </c>
      <c r="P721" s="25">
        <v>0.57012499999999999</v>
      </c>
      <c r="Q721" s="25">
        <v>0.59506250000000016</v>
      </c>
      <c r="R721" s="25">
        <v>0.59508333333333341</v>
      </c>
      <c r="S721" s="25">
        <v>0.46722916666666681</v>
      </c>
      <c r="T721" s="25">
        <v>0.45583333333333315</v>
      </c>
      <c r="U721" s="25">
        <v>0.39674999999999977</v>
      </c>
      <c r="V721" s="25">
        <v>-14.576875000000001</v>
      </c>
      <c r="W721" s="25">
        <v>-49.313125000000014</v>
      </c>
      <c r="X721" s="25">
        <v>-13.101666666666667</v>
      </c>
      <c r="Y721" s="25">
        <v>-13.35770833333333</v>
      </c>
      <c r="Z721" s="25">
        <v>-13.462916666666667</v>
      </c>
      <c r="AA721" s="25">
        <v>-14.655208333333333</v>
      </c>
      <c r="AB721" s="25">
        <v>-14.444999999999995</v>
      </c>
      <c r="AC721" s="25">
        <v>-15.120416666666666</v>
      </c>
      <c r="AD721" s="25">
        <v>-9.8124999999999982</v>
      </c>
      <c r="AE721" s="25">
        <v>-11.541666666666666</v>
      </c>
      <c r="AF721" s="25">
        <v>-11.756249999999994</v>
      </c>
      <c r="AG721" s="25">
        <v>-12.562500000000005</v>
      </c>
      <c r="AH721" s="25">
        <v>-13.012499999999998</v>
      </c>
      <c r="AI721" s="25">
        <v>-11.1</v>
      </c>
      <c r="AJ721" s="25">
        <v>-10.816666666666663</v>
      </c>
      <c r="AK721" s="25">
        <v>-13.187500000000002</v>
      </c>
      <c r="AL721" s="25">
        <v>22.297916666666662</v>
      </c>
      <c r="AM721" s="25">
        <v>21.700000000000003</v>
      </c>
      <c r="AN721" s="25">
        <v>21.197916666666682</v>
      </c>
      <c r="AO721" s="25">
        <v>21.002083333333335</v>
      </c>
      <c r="AP721" s="25">
        <v>22.641666666666676</v>
      </c>
      <c r="AQ721" s="25">
        <v>22.068749999999991</v>
      </c>
      <c r="AR721" s="25">
        <v>21.647916666666671</v>
      </c>
      <c r="AS721" s="25">
        <v>21.456249999999994</v>
      </c>
      <c r="AT721" s="25">
        <v>0.43229166666666646</v>
      </c>
      <c r="AU721" s="25">
        <v>0.26493333333333335</v>
      </c>
      <c r="AV721" s="25">
        <v>0.45995833333333352</v>
      </c>
      <c r="AW721" s="25">
        <v>-25.235624999999999</v>
      </c>
      <c r="AX721" s="25">
        <v>-15.301458333333336</v>
      </c>
      <c r="AY721" s="25">
        <v>-14.349166666666664</v>
      </c>
      <c r="AZ721" s="25"/>
      <c r="BA721" s="25">
        <v>-9.9750000000000032</v>
      </c>
      <c r="BB721" s="25"/>
      <c r="BC721" s="25"/>
      <c r="BD721" s="25">
        <v>23.174999999999994</v>
      </c>
      <c r="BE721" s="25"/>
    </row>
    <row r="722" spans="1:57" x14ac:dyDescent="0.25">
      <c r="A722" s="1">
        <v>30.1</v>
      </c>
      <c r="B722" s="1">
        <v>21.6</v>
      </c>
      <c r="C722" s="22"/>
      <c r="D722" s="23">
        <v>44429</v>
      </c>
      <c r="E722" s="24">
        <v>227.04166666666666</v>
      </c>
      <c r="F722" s="24">
        <v>79.872916666666669</v>
      </c>
      <c r="G722" s="24">
        <v>24.708333333333332</v>
      </c>
      <c r="H722" s="24">
        <v>0</v>
      </c>
      <c r="I722" s="24">
        <v>236.58333333333334</v>
      </c>
      <c r="J722" s="24">
        <v>9.9791666666666661</v>
      </c>
      <c r="K722" s="24">
        <v>1.1666666666666667</v>
      </c>
      <c r="L722" s="24">
        <v>20.872916666666672</v>
      </c>
      <c r="M722" s="10">
        <v>0.68056465612410033</v>
      </c>
      <c r="N722" s="25">
        <v>0.37106250000000002</v>
      </c>
      <c r="O722" s="25">
        <v>0.50175000000000003</v>
      </c>
      <c r="P722" s="25">
        <v>0.55312500000000042</v>
      </c>
      <c r="Q722" s="25">
        <v>0.58533333333333315</v>
      </c>
      <c r="R722" s="25">
        <v>0.58081249999999995</v>
      </c>
      <c r="S722" s="25">
        <v>0.45356249999999987</v>
      </c>
      <c r="T722" s="25">
        <v>0.44504166666666684</v>
      </c>
      <c r="U722" s="25">
        <v>0.38693749999999988</v>
      </c>
      <c r="V722" s="25">
        <v>-17.328333333333333</v>
      </c>
      <c r="W722" s="25">
        <v>-68.385416666666686</v>
      </c>
      <c r="X722" s="25">
        <v>-15.360833333333334</v>
      </c>
      <c r="Y722" s="25">
        <v>-15.386666666666661</v>
      </c>
      <c r="Z722" s="25">
        <v>-15.977291666666673</v>
      </c>
      <c r="AA722" s="25">
        <v>-18.536249999999992</v>
      </c>
      <c r="AB722" s="25">
        <v>-17.144374999999993</v>
      </c>
      <c r="AC722" s="25">
        <v>-19.049375000000001</v>
      </c>
      <c r="AD722" s="25">
        <v>-11.862500000000002</v>
      </c>
      <c r="AE722" s="25">
        <v>-12.785416666666668</v>
      </c>
      <c r="AF722" s="25">
        <v>-13.056250000000004</v>
      </c>
      <c r="AG722" s="25">
        <v>-13.106249999999998</v>
      </c>
      <c r="AH722" s="25">
        <v>-17.191666666666674</v>
      </c>
      <c r="AI722" s="25">
        <v>-14.462500000000004</v>
      </c>
      <c r="AJ722" s="25">
        <v>-12.331250000000004</v>
      </c>
      <c r="AK722" s="25">
        <v>-22.658333333333335</v>
      </c>
      <c r="AL722" s="25">
        <v>22.541666666666675</v>
      </c>
      <c r="AM722" s="25">
        <v>21.88958333333332</v>
      </c>
      <c r="AN722" s="25">
        <v>21.314583333333317</v>
      </c>
      <c r="AO722" s="25">
        <v>21.108333333333352</v>
      </c>
      <c r="AP722" s="25">
        <v>22.902083333333334</v>
      </c>
      <c r="AQ722" s="25">
        <v>22.287500000000005</v>
      </c>
      <c r="AR722" s="25">
        <v>21.833333333333339</v>
      </c>
      <c r="AS722" s="25">
        <v>21.614583333333353</v>
      </c>
      <c r="AT722" s="25">
        <v>0.41308333333333319</v>
      </c>
      <c r="AU722" s="25">
        <v>0.23459999999999998</v>
      </c>
      <c r="AV722" s="25">
        <v>0.43560416666666663</v>
      </c>
      <c r="AW722" s="25">
        <v>-29.843541666666678</v>
      </c>
      <c r="AX722" s="25">
        <v>-20.202708333333327</v>
      </c>
      <c r="AY722" s="25">
        <v>-15.560625000000003</v>
      </c>
      <c r="AZ722" s="25"/>
      <c r="BA722" s="25">
        <v>-12.02708333333333</v>
      </c>
      <c r="BB722" s="25"/>
      <c r="BC722" s="25"/>
      <c r="BD722" s="25">
        <v>23.472916666666674</v>
      </c>
      <c r="BE722" s="25"/>
    </row>
    <row r="723" spans="1:57" x14ac:dyDescent="0.25">
      <c r="A723" s="1">
        <v>29</v>
      </c>
      <c r="B723" s="1">
        <v>22.2</v>
      </c>
      <c r="C723" s="22"/>
      <c r="D723" s="23">
        <v>44430</v>
      </c>
      <c r="E723" s="24">
        <v>210.79166666666666</v>
      </c>
      <c r="F723" s="24">
        <v>79.329166666666666</v>
      </c>
      <c r="G723" s="24">
        <v>24.7</v>
      </c>
      <c r="H723" s="24">
        <v>0</v>
      </c>
      <c r="I723" s="24">
        <v>227.9375</v>
      </c>
      <c r="J723" s="24">
        <v>13.25</v>
      </c>
      <c r="K723" s="24">
        <v>2.2708333333333335</v>
      </c>
      <c r="L723" s="24">
        <v>20.80833333333333</v>
      </c>
      <c r="M723" s="10">
        <v>0.67612427235141004</v>
      </c>
      <c r="N723" s="25">
        <v>0.33600000000000008</v>
      </c>
      <c r="O723" s="25">
        <v>0.48083333333333328</v>
      </c>
      <c r="P723" s="25">
        <v>0.53141666666666643</v>
      </c>
      <c r="Q723" s="25">
        <v>0.57050000000000001</v>
      </c>
      <c r="R723" s="25">
        <v>0.56041666666666645</v>
      </c>
      <c r="S723" s="25">
        <v>0.43372916666666655</v>
      </c>
      <c r="T723" s="25">
        <v>0.4306666666666667</v>
      </c>
      <c r="U723" s="25">
        <v>0.37458333333333343</v>
      </c>
      <c r="V723" s="25">
        <v>-21.944583333333338</v>
      </c>
      <c r="W723" s="25">
        <v>-91.004374999999982</v>
      </c>
      <c r="X723" s="25">
        <v>-19.405000000000001</v>
      </c>
      <c r="Y723" s="25">
        <v>-19.540833333333335</v>
      </c>
      <c r="Z723" s="25">
        <v>-20.711458333333336</v>
      </c>
      <c r="AA723" s="25">
        <v>-23.201666666666657</v>
      </c>
      <c r="AB723" s="25">
        <v>-20.596874999999997</v>
      </c>
      <c r="AC723" s="25">
        <v>-28.020625000000006</v>
      </c>
      <c r="AD723" s="25">
        <v>-22.283333333333335</v>
      </c>
      <c r="AE723" s="25">
        <v>-19.21458333333333</v>
      </c>
      <c r="AF723" s="25">
        <v>-22.385416666666671</v>
      </c>
      <c r="AG723" s="25">
        <v>-18.139583333333331</v>
      </c>
      <c r="AH723" s="25">
        <v>-32.139583333333334</v>
      </c>
      <c r="AI723" s="25">
        <v>-30.739583333333332</v>
      </c>
      <c r="AJ723" s="25">
        <v>-19.718749999999996</v>
      </c>
      <c r="AK723" s="25">
        <v>-39.179166666666667</v>
      </c>
      <c r="AL723" s="25">
        <v>22.629166666666666</v>
      </c>
      <c r="AM723" s="25">
        <v>22.016666666666666</v>
      </c>
      <c r="AN723" s="25">
        <v>21.447916666666657</v>
      </c>
      <c r="AO723" s="25">
        <v>21.210416666666678</v>
      </c>
      <c r="AP723" s="25">
        <v>22.883333333333336</v>
      </c>
      <c r="AQ723" s="25">
        <v>22.393750000000001</v>
      </c>
      <c r="AR723" s="25">
        <v>21.947916666666654</v>
      </c>
      <c r="AS723" s="25">
        <v>21.758333333333351</v>
      </c>
      <c r="AT723" s="25">
        <v>0.39118750000000002</v>
      </c>
      <c r="AU723" s="25">
        <v>0.20431578947368423</v>
      </c>
      <c r="AV723" s="25">
        <v>0.40454166666666674</v>
      </c>
      <c r="AW723" s="25">
        <v>-39.249791666666674</v>
      </c>
      <c r="AX723" s="25">
        <v>-36.812083333333327</v>
      </c>
      <c r="AY723" s="25">
        <v>-19.391458333333333</v>
      </c>
      <c r="AZ723" s="25"/>
      <c r="BA723" s="25">
        <v>-23.09375</v>
      </c>
      <c r="BB723" s="25"/>
      <c r="BC723" s="25"/>
      <c r="BD723" s="25">
        <v>23.410416666666666</v>
      </c>
      <c r="BE723" s="25"/>
    </row>
    <row r="724" spans="1:57" x14ac:dyDescent="0.25">
      <c r="A724" s="1">
        <v>29.9</v>
      </c>
      <c r="B724" s="1">
        <v>20.399999999999999</v>
      </c>
      <c r="C724" s="22"/>
      <c r="D724" s="23">
        <v>44431</v>
      </c>
      <c r="E724" s="24">
        <v>163.77083333333334</v>
      </c>
      <c r="F724" s="24">
        <v>81.50208333333336</v>
      </c>
      <c r="G724" s="24">
        <v>24.466666666666665</v>
      </c>
      <c r="H724" s="24">
        <v>12.4</v>
      </c>
      <c r="I724" s="24">
        <v>226.89583333333334</v>
      </c>
      <c r="J724" s="24">
        <v>10.1875</v>
      </c>
      <c r="K724" s="24">
        <v>1.5208333333333333</v>
      </c>
      <c r="L724" s="24">
        <v>21.008333333333329</v>
      </c>
      <c r="M724" s="10">
        <v>0.60689816308951761</v>
      </c>
      <c r="N724" s="25">
        <v>0.30816666666666653</v>
      </c>
      <c r="O724" s="25">
        <v>0.45916666666666689</v>
      </c>
      <c r="P724" s="25">
        <v>0.50950000000000029</v>
      </c>
      <c r="Q724" s="25">
        <v>0.55218750000000028</v>
      </c>
      <c r="R724" s="25">
        <v>0.53854166666666659</v>
      </c>
      <c r="S724" s="25">
        <v>0.41275000000000012</v>
      </c>
      <c r="T724" s="25">
        <v>0.41564583333333333</v>
      </c>
      <c r="U724" s="25">
        <v>0.36179166666666657</v>
      </c>
      <c r="V724" s="25">
        <v>-27.027083333333337</v>
      </c>
      <c r="W724" s="25">
        <v>-35.042083333333331</v>
      </c>
      <c r="X724" s="25">
        <v>-24.510625000000001</v>
      </c>
      <c r="Y724" s="25">
        <v>-23.951875000000001</v>
      </c>
      <c r="Z724" s="25">
        <v>-28.09104166666668</v>
      </c>
      <c r="AA724" s="25">
        <v>-28.025208333333339</v>
      </c>
      <c r="AB724" s="25">
        <v>-25.189791666666668</v>
      </c>
      <c r="AC724" s="25">
        <v>-39.085208333333341</v>
      </c>
      <c r="AD724" s="25">
        <v>-38.520833333333336</v>
      </c>
      <c r="AE724" s="25">
        <v>-27.804166666666664</v>
      </c>
      <c r="AF724" s="25">
        <v>-37.410416666666656</v>
      </c>
      <c r="AG724" s="25">
        <v>-29.589583333333341</v>
      </c>
      <c r="AH724" s="25">
        <v>-58.652083333333337</v>
      </c>
      <c r="AI724" s="25">
        <v>-62.141666666666673</v>
      </c>
      <c r="AJ724" s="25">
        <v>-38.993749999999999</v>
      </c>
      <c r="AK724" s="25">
        <v>-49.327083333333341</v>
      </c>
      <c r="AL724" s="25">
        <v>22.685416666666679</v>
      </c>
      <c r="AM724" s="25">
        <v>22.081250000000008</v>
      </c>
      <c r="AN724" s="25">
        <v>21.504166666666666</v>
      </c>
      <c r="AO724" s="25">
        <v>21.299999999999979</v>
      </c>
      <c r="AP724" s="25">
        <v>22.852083333333336</v>
      </c>
      <c r="AQ724" s="25">
        <v>22.393750000000001</v>
      </c>
      <c r="AR724" s="25">
        <v>21.985416666666655</v>
      </c>
      <c r="AS724" s="25">
        <v>21.779166666666669</v>
      </c>
      <c r="AT724" s="25">
        <v>0.37110416666666673</v>
      </c>
      <c r="AU724" s="25">
        <v>0.18272000000000002</v>
      </c>
      <c r="AV724" s="25">
        <v>0.36885416666666671</v>
      </c>
      <c r="AW724" s="25">
        <v>-92.542708333333323</v>
      </c>
      <c r="AX724" s="25">
        <v>-50.928541666666653</v>
      </c>
      <c r="AY724" s="25">
        <v>-23.545208333333335</v>
      </c>
      <c r="AZ724" s="25"/>
      <c r="BA724" s="25">
        <v>-42.006250000000016</v>
      </c>
      <c r="BB724" s="25"/>
      <c r="BC724" s="25"/>
      <c r="BD724" s="25">
        <v>23.393749999999994</v>
      </c>
      <c r="BE724" s="25"/>
    </row>
    <row r="725" spans="1:57" x14ac:dyDescent="0.25">
      <c r="A725" s="1">
        <v>27</v>
      </c>
      <c r="B725" s="1">
        <v>19.399999999999999</v>
      </c>
      <c r="C725" s="22"/>
      <c r="D725" s="23">
        <v>44432</v>
      </c>
      <c r="E725" s="24">
        <v>100.04166666666667</v>
      </c>
      <c r="F725" s="24">
        <v>90.339583333333323</v>
      </c>
      <c r="G725" s="24">
        <v>21.341666666666665</v>
      </c>
      <c r="H725" s="24">
        <v>11.2</v>
      </c>
      <c r="I725" s="24">
        <v>246.79166666666666</v>
      </c>
      <c r="J725" s="24">
        <v>1.3333333333333333</v>
      </c>
      <c r="K725" s="24">
        <v>0</v>
      </c>
      <c r="L725" s="24">
        <v>19.616666666666671</v>
      </c>
      <c r="M725" s="10">
        <v>0.27182000674144152</v>
      </c>
      <c r="N725" s="25">
        <v>0.32579166666666654</v>
      </c>
      <c r="O725" s="25">
        <v>0.45852083333333343</v>
      </c>
      <c r="P725" s="25">
        <v>0.50335416666666688</v>
      </c>
      <c r="Q725" s="25">
        <v>0.54110416666666628</v>
      </c>
      <c r="R725" s="25">
        <v>0.53662500000000013</v>
      </c>
      <c r="S725" s="25">
        <v>0.40362499999999973</v>
      </c>
      <c r="T725" s="25">
        <v>0.40635416666666657</v>
      </c>
      <c r="U725" s="25">
        <v>0.35647916666666674</v>
      </c>
      <c r="V725" s="25">
        <v>-26.264791666666664</v>
      </c>
      <c r="W725" s="25">
        <v>-41.765625</v>
      </c>
      <c r="X725" s="25">
        <v>-29.834583333333331</v>
      </c>
      <c r="Y725" s="25">
        <v>-28.23458333333333</v>
      </c>
      <c r="Z725" s="25">
        <v>-22.802708333333328</v>
      </c>
      <c r="AA725" s="25">
        <v>-32.412500000000001</v>
      </c>
      <c r="AB725" s="25">
        <v>-29.486666666666665</v>
      </c>
      <c r="AC725" s="25">
        <v>-41.848125000000003</v>
      </c>
      <c r="AD725" s="25">
        <v>-26.958333333333332</v>
      </c>
      <c r="AE725" s="25">
        <v>-32.752083333333339</v>
      </c>
      <c r="AF725" s="25">
        <v>-43.568750000000001</v>
      </c>
      <c r="AG725" s="25">
        <v>-22.304166666666664</v>
      </c>
      <c r="AH725" s="25">
        <v>-12.506249999999996</v>
      </c>
      <c r="AI725" s="25">
        <v>-62.395833333333321</v>
      </c>
      <c r="AJ725" s="25">
        <v>-57.727083333333326</v>
      </c>
      <c r="AK725" s="25">
        <v>-52.808333333333344</v>
      </c>
      <c r="AL725" s="25">
        <v>22.260416666666661</v>
      </c>
      <c r="AM725" s="25">
        <v>22.002083333333328</v>
      </c>
      <c r="AN725" s="25">
        <v>21.558333333333337</v>
      </c>
      <c r="AO725" s="25">
        <v>21.370833333333312</v>
      </c>
      <c r="AP725" s="25">
        <v>22.181249999999995</v>
      </c>
      <c r="AQ725" s="25">
        <v>22.187500000000004</v>
      </c>
      <c r="AR725" s="25">
        <v>21.908333333333307</v>
      </c>
      <c r="AS725" s="25">
        <v>21.785416666666688</v>
      </c>
      <c r="AT725" s="25">
        <v>0.45633333333333326</v>
      </c>
      <c r="AU725" s="25">
        <v>0.30941176470588244</v>
      </c>
      <c r="AV725" s="25">
        <v>0.48785416666666653</v>
      </c>
      <c r="AW725" s="25">
        <v>-32.528541666666676</v>
      </c>
      <c r="AX725" s="25">
        <v>-17.003333333333334</v>
      </c>
      <c r="AY725" s="25">
        <v>-14.439791666666665</v>
      </c>
      <c r="AZ725" s="25"/>
      <c r="BA725" s="25">
        <v>-10.597916666666672</v>
      </c>
      <c r="BB725" s="25"/>
      <c r="BC725" s="25"/>
      <c r="BD725" s="25">
        <v>22.275000000000006</v>
      </c>
      <c r="BE725" s="25"/>
    </row>
    <row r="726" spans="1:57" x14ac:dyDescent="0.25">
      <c r="A726" s="1">
        <v>27.2</v>
      </c>
      <c r="B726" s="1">
        <v>19.100000000000001</v>
      </c>
      <c r="C726" s="22"/>
      <c r="D726" s="23">
        <v>44433</v>
      </c>
      <c r="E726" s="24">
        <v>157.35416666666666</v>
      </c>
      <c r="F726" s="24">
        <v>87.487499999999997</v>
      </c>
      <c r="G726" s="24">
        <v>21.910416666666674</v>
      </c>
      <c r="H726" s="24">
        <v>0.2</v>
      </c>
      <c r="I726" s="24">
        <v>225.1875</v>
      </c>
      <c r="J726" s="24">
        <v>7</v>
      </c>
      <c r="K726" s="24">
        <v>1.0208333333333333</v>
      </c>
      <c r="L726" s="24">
        <v>19.645833333333329</v>
      </c>
      <c r="M726" s="10">
        <v>0.36413263507644117</v>
      </c>
      <c r="N726" s="25">
        <v>0.32216666666666677</v>
      </c>
      <c r="O726" s="25">
        <v>0.45554166666666668</v>
      </c>
      <c r="P726" s="25">
        <v>0.50564583333333346</v>
      </c>
      <c r="Q726" s="25">
        <v>0.53737499999999983</v>
      </c>
      <c r="R726" s="25">
        <v>0.53483333333333338</v>
      </c>
      <c r="S726" s="25">
        <v>0.40141666666666675</v>
      </c>
      <c r="T726" s="25">
        <v>0.40458333333333324</v>
      </c>
      <c r="U726" s="25">
        <v>0.35504166666666664</v>
      </c>
      <c r="V726" s="25">
        <v>-22.724375000000006</v>
      </c>
      <c r="W726" s="25">
        <v>-55.833958333333349</v>
      </c>
      <c r="X726" s="25">
        <v>-33.892291666666672</v>
      </c>
      <c r="Y726" s="25">
        <v>-31.512291666666666</v>
      </c>
      <c r="Z726" s="25">
        <v>-16.778333333333332</v>
      </c>
      <c r="AA726" s="25">
        <v>-35.544999999999995</v>
      </c>
      <c r="AB726" s="25">
        <v>-32.795416666666661</v>
      </c>
      <c r="AC726" s="25">
        <v>-40.263333333333335</v>
      </c>
      <c r="AD726" s="25">
        <v>-27.845833333333321</v>
      </c>
      <c r="AE726" s="25">
        <v>-36.497916666666661</v>
      </c>
      <c r="AF726" s="25">
        <v>-42.960416666666674</v>
      </c>
      <c r="AG726" s="25">
        <v>-23.660416666666681</v>
      </c>
      <c r="AH726" s="25">
        <v>-12.556250000000006</v>
      </c>
      <c r="AI726" s="25">
        <v>-28.879166666666663</v>
      </c>
      <c r="AJ726" s="25">
        <v>-61.795833333333341</v>
      </c>
      <c r="AK726" s="25">
        <v>-61.97291666666667</v>
      </c>
      <c r="AL726" s="25">
        <v>21.981249999999999</v>
      </c>
      <c r="AM726" s="25">
        <v>21.754166666666666</v>
      </c>
      <c r="AN726" s="25">
        <v>21.437499999999986</v>
      </c>
      <c r="AO726" s="25">
        <v>21.287499999999991</v>
      </c>
      <c r="AP726" s="25">
        <v>22.004166666666666</v>
      </c>
      <c r="AQ726" s="25">
        <v>21.897916666666671</v>
      </c>
      <c r="AR726" s="25">
        <v>21.654166666666679</v>
      </c>
      <c r="AS726" s="25">
        <v>21.560416666666669</v>
      </c>
      <c r="AT726" s="25">
        <v>0.45012500000000005</v>
      </c>
      <c r="AU726" s="25">
        <v>0.30499999999999999</v>
      </c>
      <c r="AV726" s="25">
        <v>0.48254166666666681</v>
      </c>
      <c r="AW726" s="25">
        <v>-31.220625000000009</v>
      </c>
      <c r="AX726" s="25">
        <v>-15.899791666666653</v>
      </c>
      <c r="AY726" s="25">
        <v>-14.401041666666666</v>
      </c>
      <c r="AZ726" s="25"/>
      <c r="BA726" s="25">
        <v>-10.518750000000004</v>
      </c>
      <c r="BB726" s="25"/>
      <c r="BC726" s="25"/>
      <c r="BD726" s="25">
        <v>22.420833333333331</v>
      </c>
      <c r="BE726" s="25"/>
    </row>
    <row r="727" spans="1:57" x14ac:dyDescent="0.25">
      <c r="A727" s="1">
        <v>27.2</v>
      </c>
      <c r="B727" s="1">
        <v>17.100000000000001</v>
      </c>
      <c r="C727" s="22"/>
      <c r="D727" s="23">
        <v>44434</v>
      </c>
      <c r="E727" s="24">
        <v>180.95833333333334</v>
      </c>
      <c r="F727" s="24">
        <v>83.104166666666671</v>
      </c>
      <c r="G727" s="24">
        <v>22.035416666666666</v>
      </c>
      <c r="H727" s="24">
        <v>1.8</v>
      </c>
      <c r="I727" s="24">
        <v>207.125</v>
      </c>
      <c r="J727" s="24">
        <v>10.770833333333334</v>
      </c>
      <c r="K727" s="24">
        <v>1.625</v>
      </c>
      <c r="L727" s="24">
        <v>18.931250000000002</v>
      </c>
      <c r="M727" s="10">
        <v>0.49167302714397509</v>
      </c>
      <c r="N727" s="25">
        <v>0.31204166666666672</v>
      </c>
      <c r="O727" s="25">
        <v>0.44818749999999974</v>
      </c>
      <c r="P727" s="25">
        <v>0.50116666666666687</v>
      </c>
      <c r="Q727" s="25">
        <v>0.53054166666666658</v>
      </c>
      <c r="R727" s="25">
        <v>0.52399999999999969</v>
      </c>
      <c r="S727" s="25">
        <v>0.3966666666666665</v>
      </c>
      <c r="T727" s="25">
        <v>0.40039583333333312</v>
      </c>
      <c r="U727" s="25">
        <v>0.35085416666666669</v>
      </c>
      <c r="V727" s="25">
        <v>-22.007708333333337</v>
      </c>
      <c r="W727" s="25">
        <v>-71.968749999999986</v>
      </c>
      <c r="X727" s="25">
        <v>-37.326666666666661</v>
      </c>
      <c r="Y727" s="25">
        <v>-34.327083333333334</v>
      </c>
      <c r="Z727" s="25">
        <v>-16.311458333333331</v>
      </c>
      <c r="AA727" s="25">
        <v>-38.483749999999993</v>
      </c>
      <c r="AB727" s="25">
        <v>-35.67604166666667</v>
      </c>
      <c r="AC727" s="25">
        <v>-43.10125</v>
      </c>
      <c r="AD727" s="25">
        <v>-34.368749999999999</v>
      </c>
      <c r="AE727" s="25">
        <v>-44.202083333333341</v>
      </c>
      <c r="AF727" s="25">
        <v>-49.964583333333337</v>
      </c>
      <c r="AG727" s="25">
        <v>-31.043750000000003</v>
      </c>
      <c r="AH727" s="25">
        <v>-12.95833333333333</v>
      </c>
      <c r="AI727" s="25">
        <v>-34.064583333333339</v>
      </c>
      <c r="AJ727" s="25">
        <v>-70.53749999999998</v>
      </c>
      <c r="AK727" s="25">
        <v>-70.93125000000002</v>
      </c>
      <c r="AL727" s="25">
        <v>21.972916666666666</v>
      </c>
      <c r="AM727" s="25">
        <v>21.704166666666676</v>
      </c>
      <c r="AN727" s="25">
        <v>21.347916666666638</v>
      </c>
      <c r="AO727" s="25">
        <v>21.200000000000021</v>
      </c>
      <c r="AP727" s="25">
        <v>21.993750000000002</v>
      </c>
      <c r="AQ727" s="25">
        <v>21.862500000000001</v>
      </c>
      <c r="AR727" s="25">
        <v>21.597916666666677</v>
      </c>
      <c r="AS727" s="25">
        <v>21.464583333333326</v>
      </c>
      <c r="AT727" s="25">
        <v>0.43674999999999997</v>
      </c>
      <c r="AU727" s="25">
        <v>0.27324999999999999</v>
      </c>
      <c r="AV727" s="25">
        <v>0.4568750000000002</v>
      </c>
      <c r="AW727" s="25">
        <v>-32.680833333333332</v>
      </c>
      <c r="AX727" s="25">
        <v>-15.585000000000003</v>
      </c>
      <c r="AY727" s="25">
        <v>-14.614375000000003</v>
      </c>
      <c r="AZ727" s="25"/>
      <c r="BA727" s="25">
        <v>-10.583333333333337</v>
      </c>
      <c r="BB727" s="25"/>
      <c r="BC727" s="25"/>
      <c r="BD727" s="25">
        <v>22.395833333333332</v>
      </c>
      <c r="BE727" s="25"/>
    </row>
    <row r="728" spans="1:57" x14ac:dyDescent="0.25">
      <c r="A728" s="1">
        <v>24.3</v>
      </c>
      <c r="B728" s="1">
        <v>15.8</v>
      </c>
      <c r="C728" s="22"/>
      <c r="D728" s="23">
        <v>44435</v>
      </c>
      <c r="E728" s="24">
        <v>110.4375</v>
      </c>
      <c r="F728" s="24">
        <v>87.24166666666666</v>
      </c>
      <c r="G728" s="24">
        <v>19.270833333333336</v>
      </c>
      <c r="H728" s="24">
        <v>0.7</v>
      </c>
      <c r="I728" s="24">
        <v>206.625</v>
      </c>
      <c r="J728" s="24">
        <v>2.4375</v>
      </c>
      <c r="K728" s="24">
        <v>4.1666666666666664E-2</v>
      </c>
      <c r="L728" s="24">
        <v>17.020833333333332</v>
      </c>
      <c r="M728" s="10">
        <v>0.31524222487451653</v>
      </c>
      <c r="N728" s="25">
        <v>0.30299999999999999</v>
      </c>
      <c r="O728" s="25">
        <v>0.43947916666666659</v>
      </c>
      <c r="P728" s="25">
        <v>0.49604166666666633</v>
      </c>
      <c r="Q728" s="25">
        <v>0.52397916666666677</v>
      </c>
      <c r="R728" s="25">
        <v>0.51156249999999992</v>
      </c>
      <c r="S728" s="25">
        <v>0.39141666666666658</v>
      </c>
      <c r="T728" s="25">
        <v>0.39593749999999989</v>
      </c>
      <c r="U728" s="25">
        <v>0.34779166666666678</v>
      </c>
      <c r="V728" s="25">
        <v>-24.137500000000003</v>
      </c>
      <c r="W728" s="25">
        <v>-91.74375000000002</v>
      </c>
      <c r="X728" s="25">
        <v>-40.985625000000006</v>
      </c>
      <c r="Y728" s="25">
        <v>-37.052291666666669</v>
      </c>
      <c r="Z728" s="25">
        <v>-18.256875000000001</v>
      </c>
      <c r="AA728" s="25">
        <v>-41.606458333333336</v>
      </c>
      <c r="AB728" s="25">
        <v>-38.613124999999997</v>
      </c>
      <c r="AC728" s="25">
        <v>-47.839166666666671</v>
      </c>
      <c r="AD728" s="25">
        <v>-40.639583333333313</v>
      </c>
      <c r="AE728" s="25">
        <v>-51.70624999999999</v>
      </c>
      <c r="AF728" s="25">
        <v>-57.927083333333321</v>
      </c>
      <c r="AG728" s="25">
        <v>-35.074999999999996</v>
      </c>
      <c r="AH728" s="25">
        <v>-14.149999999999999</v>
      </c>
      <c r="AI728" s="25">
        <v>-49.810416666666661</v>
      </c>
      <c r="AJ728" s="25">
        <v>-78.94583333333334</v>
      </c>
      <c r="AK728" s="25">
        <v>-96.127083333333317</v>
      </c>
      <c r="AL728" s="25">
        <v>21.127083333333328</v>
      </c>
      <c r="AM728" s="25">
        <v>21.356250000000014</v>
      </c>
      <c r="AN728" s="25">
        <v>21.210416666666685</v>
      </c>
      <c r="AO728" s="25">
        <v>21.152083333333341</v>
      </c>
      <c r="AP728" s="25">
        <v>20.914583333333336</v>
      </c>
      <c r="AQ728" s="25">
        <v>21.360416666666669</v>
      </c>
      <c r="AR728" s="25">
        <v>21.302083333333346</v>
      </c>
      <c r="AS728" s="25">
        <v>21.279166666666676</v>
      </c>
      <c r="AT728" s="25">
        <v>0.42443750000000008</v>
      </c>
      <c r="AU728" s="25">
        <v>0.2597272727272727</v>
      </c>
      <c r="AV728" s="25">
        <v>0.43797916666666675</v>
      </c>
      <c r="AW728" s="25">
        <v>-29.270416666666666</v>
      </c>
      <c r="AX728" s="25">
        <v>-15.745833333333337</v>
      </c>
      <c r="AY728" s="25">
        <v>-15.313958333333332</v>
      </c>
      <c r="AZ728" s="25"/>
      <c r="BA728" s="25">
        <v>-10.660416666666668</v>
      </c>
      <c r="BB728" s="25"/>
      <c r="BC728" s="25"/>
      <c r="BD728" s="25">
        <v>21.208333333333332</v>
      </c>
      <c r="BE728" s="25"/>
    </row>
    <row r="729" spans="1:57" x14ac:dyDescent="0.25">
      <c r="A729" s="1">
        <v>27.1</v>
      </c>
      <c r="B729" s="1">
        <v>19.100000000000001</v>
      </c>
      <c r="C729" s="22"/>
      <c r="D729" s="23">
        <v>44436</v>
      </c>
      <c r="E729" s="24">
        <v>207.04166666666666</v>
      </c>
      <c r="F729" s="24">
        <v>78.7</v>
      </c>
      <c r="G729" s="24">
        <v>22.045833333333334</v>
      </c>
      <c r="H729" s="24">
        <v>1</v>
      </c>
      <c r="I729" s="24">
        <v>224.375</v>
      </c>
      <c r="J729" s="24">
        <v>12.9375</v>
      </c>
      <c r="K729" s="24">
        <v>1.5208333333333333</v>
      </c>
      <c r="L729" s="24">
        <v>18.041666666666668</v>
      </c>
      <c r="M729" s="10">
        <v>0.60415036549460588</v>
      </c>
      <c r="N729" s="25">
        <v>0.29179166666666673</v>
      </c>
      <c r="O729" s="25">
        <v>0.42835416666666681</v>
      </c>
      <c r="P729" s="25">
        <v>0.48733333333333356</v>
      </c>
      <c r="Q729" s="25">
        <v>0.51512500000000006</v>
      </c>
      <c r="R729" s="25">
        <v>0.50179166666666675</v>
      </c>
      <c r="S729" s="25">
        <v>0.38502083333333342</v>
      </c>
      <c r="T729" s="25">
        <v>0.39033333333333359</v>
      </c>
      <c r="U729" s="25">
        <v>0.34266666666666651</v>
      </c>
      <c r="V729" s="25">
        <v>-27.153333333333332</v>
      </c>
      <c r="W729" s="25">
        <v>-115.36666666666669</v>
      </c>
      <c r="X729" s="25">
        <v>-44.890833333333347</v>
      </c>
      <c r="Y729" s="25">
        <v>-39.877708333333338</v>
      </c>
      <c r="Z729" s="25">
        <v>-21.613541666666666</v>
      </c>
      <c r="AA729" s="25">
        <v>-44.316458333333323</v>
      </c>
      <c r="AB729" s="25">
        <v>-41.313749999999999</v>
      </c>
      <c r="AC729" s="25">
        <v>-52.352916666666665</v>
      </c>
      <c r="AD729" s="25">
        <v>-52.552083333333343</v>
      </c>
      <c r="AE729" s="25">
        <v>-63.631250000000023</v>
      </c>
      <c r="AF729" s="25">
        <v>-78.841666666666654</v>
      </c>
      <c r="AG729" s="25">
        <v>-46.32708333333332</v>
      </c>
      <c r="AH729" s="25">
        <v>-19.097916666666666</v>
      </c>
      <c r="AI729" s="25">
        <v>-71.552083333333329</v>
      </c>
      <c r="AJ729" s="25">
        <v>-103.87291666666665</v>
      </c>
      <c r="AK729" s="25">
        <v>-169.97083333333333</v>
      </c>
      <c r="AL729" s="25">
        <v>21.27291666666666</v>
      </c>
      <c r="AM729" s="25">
        <v>21.156250000000007</v>
      </c>
      <c r="AN729" s="25">
        <v>20.974999999999994</v>
      </c>
      <c r="AO729" s="25">
        <v>20.964583333333326</v>
      </c>
      <c r="AP729" s="25">
        <v>21.266666666666676</v>
      </c>
      <c r="AQ729" s="25">
        <v>21.231249999999999</v>
      </c>
      <c r="AR729" s="25">
        <v>21.052083333333339</v>
      </c>
      <c r="AS729" s="25">
        <v>20.995833333333326</v>
      </c>
      <c r="AT729" s="25">
        <v>0.41745833333333332</v>
      </c>
      <c r="AU729" s="25">
        <v>0.24835714285714286</v>
      </c>
      <c r="AV729" s="25">
        <v>0.42133333333333328</v>
      </c>
      <c r="AW729" s="25">
        <v>-45.455624999999998</v>
      </c>
      <c r="AX729" s="25">
        <v>-17.692916666666676</v>
      </c>
      <c r="AY729" s="25">
        <v>-17.236041666666662</v>
      </c>
      <c r="AZ729" s="25"/>
      <c r="BA729" s="25">
        <v>-11.262499999999998</v>
      </c>
      <c r="BB729" s="25"/>
      <c r="BC729" s="25"/>
      <c r="BD729" s="25">
        <v>21.910416666666674</v>
      </c>
      <c r="BE729" s="25"/>
    </row>
    <row r="730" spans="1:57" x14ac:dyDescent="0.25">
      <c r="A730" s="1">
        <v>27.6</v>
      </c>
      <c r="B730" s="1">
        <v>18.3</v>
      </c>
      <c r="C730" s="22"/>
      <c r="D730" s="23">
        <v>44437</v>
      </c>
      <c r="E730" s="24">
        <v>188.29166666666666</v>
      </c>
      <c r="F730" s="24">
        <v>82.443749999999994</v>
      </c>
      <c r="G730" s="24">
        <v>21.412499999999998</v>
      </c>
      <c r="H730" s="24">
        <v>1.4</v>
      </c>
      <c r="I730" s="24">
        <v>228.66666666666666</v>
      </c>
      <c r="J730" s="24">
        <v>9.5833333333333339</v>
      </c>
      <c r="K730" s="24">
        <v>0.875</v>
      </c>
      <c r="L730" s="24">
        <v>18.164583333333329</v>
      </c>
      <c r="M730" s="10">
        <v>0.49799996863743634</v>
      </c>
      <c r="N730" s="25">
        <v>0.27729166666666671</v>
      </c>
      <c r="O730" s="25">
        <v>0.41189583333333341</v>
      </c>
      <c r="P730" s="25">
        <v>0.47387499999999999</v>
      </c>
      <c r="Q730" s="25">
        <v>0.50187500000000007</v>
      </c>
      <c r="R730" s="25">
        <v>0.48787500000000011</v>
      </c>
      <c r="S730" s="25">
        <v>0.37464583333333329</v>
      </c>
      <c r="T730" s="25">
        <v>0.38152083333333314</v>
      </c>
      <c r="U730" s="25">
        <v>0.33450000000000002</v>
      </c>
      <c r="V730" s="25">
        <v>-31.459374999999998</v>
      </c>
      <c r="W730" s="25">
        <v>-137.73958333333334</v>
      </c>
      <c r="X730" s="25">
        <v>-49.262499999999989</v>
      </c>
      <c r="Y730" s="25">
        <v>-42.274166666666666</v>
      </c>
      <c r="Z730" s="25">
        <v>-28.052083333333339</v>
      </c>
      <c r="AA730" s="25">
        <v>-47.669583333333321</v>
      </c>
      <c r="AB730" s="25">
        <v>-44.313958333333346</v>
      </c>
      <c r="AC730" s="25">
        <v>-57.259583333333346</v>
      </c>
      <c r="AD730" s="25">
        <v>-81.645833333333329</v>
      </c>
      <c r="AE730" s="25">
        <v>-88.472916666666663</v>
      </c>
      <c r="AF730" s="25">
        <v>-129.41249999999999</v>
      </c>
      <c r="AG730" s="25">
        <v>-75.104166666666657</v>
      </c>
      <c r="AH730" s="25">
        <v>-36.302083333333336</v>
      </c>
      <c r="AI730" s="25">
        <v>-127.37708333333336</v>
      </c>
      <c r="AJ730" s="25">
        <v>-166.60208333333335</v>
      </c>
      <c r="AK730" s="25">
        <v>-277.53541666666666</v>
      </c>
      <c r="AL730" s="25">
        <v>21.289583333333329</v>
      </c>
      <c r="AM730" s="25">
        <v>21.147916666666678</v>
      </c>
      <c r="AN730" s="25">
        <v>20.939583333333321</v>
      </c>
      <c r="AO730" s="25">
        <v>20.893749999999983</v>
      </c>
      <c r="AP730" s="25">
        <v>21.212500000000006</v>
      </c>
      <c r="AQ730" s="25">
        <v>21.222916666666666</v>
      </c>
      <c r="AR730" s="25">
        <v>21.035416666666666</v>
      </c>
      <c r="AS730" s="25">
        <v>20.95624999999999</v>
      </c>
      <c r="AT730" s="25">
        <v>0.39831250000000001</v>
      </c>
      <c r="AU730" s="25">
        <v>0.21958333333333335</v>
      </c>
      <c r="AV730" s="25">
        <v>0.37293749999999998</v>
      </c>
      <c r="AW730" s="25">
        <v>-134.81500000000003</v>
      </c>
      <c r="AX730" s="25">
        <v>-28.324583333333337</v>
      </c>
      <c r="AY730" s="25">
        <v>-20.305000000000007</v>
      </c>
      <c r="AZ730" s="25"/>
      <c r="BA730" s="25">
        <v>-18.141666666666676</v>
      </c>
      <c r="BB730" s="25"/>
      <c r="BC730" s="25"/>
      <c r="BD730" s="25">
        <v>22.016666666666666</v>
      </c>
      <c r="BE730" s="25"/>
    </row>
    <row r="731" spans="1:57" x14ac:dyDescent="0.25">
      <c r="A731" s="1">
        <v>26.8</v>
      </c>
      <c r="B731" s="1">
        <v>19.399999999999999</v>
      </c>
      <c r="C731" s="22"/>
      <c r="D731" s="23">
        <v>44438</v>
      </c>
      <c r="E731" s="24">
        <v>162.64583333333334</v>
      </c>
      <c r="F731" s="24">
        <v>80.825000000000003</v>
      </c>
      <c r="G731" s="24">
        <v>21.947916666666661</v>
      </c>
      <c r="H731" s="24">
        <v>0</v>
      </c>
      <c r="I731" s="24">
        <v>232.10416666666666</v>
      </c>
      <c r="J731" s="24">
        <v>12.354166666666666</v>
      </c>
      <c r="K731" s="24">
        <v>1.8958333333333333</v>
      </c>
      <c r="L731" s="24">
        <v>18.402083333333334</v>
      </c>
      <c r="M731" s="10">
        <v>0.53987922612846562</v>
      </c>
      <c r="N731" s="25">
        <v>0.2683124999999999</v>
      </c>
      <c r="O731" s="25">
        <v>0.39683333333333343</v>
      </c>
      <c r="P731" s="25">
        <v>0.46281249999999985</v>
      </c>
      <c r="Q731" s="25">
        <v>0.48929166666666674</v>
      </c>
      <c r="R731" s="25">
        <v>0.47614583333333327</v>
      </c>
      <c r="S731" s="25">
        <v>0.36602083333333346</v>
      </c>
      <c r="T731" s="25">
        <v>0.3735833333333331</v>
      </c>
      <c r="U731" s="25">
        <v>0.32775000000000004</v>
      </c>
      <c r="V731" s="25">
        <v>-36.610000000000007</v>
      </c>
      <c r="W731" s="25">
        <v>-161.1875</v>
      </c>
      <c r="X731" s="25">
        <v>-54.239166666666669</v>
      </c>
      <c r="Y731" s="25">
        <v>-45.215833333333308</v>
      </c>
      <c r="Z731" s="25">
        <v>-35.835833333333319</v>
      </c>
      <c r="AA731" s="25">
        <v>-51.31437500000002</v>
      </c>
      <c r="AB731" s="25">
        <v>-47.545833333333327</v>
      </c>
      <c r="AC731" s="25">
        <v>-62.007291666666674</v>
      </c>
      <c r="AD731" s="25">
        <v>-131.03125</v>
      </c>
      <c r="AE731" s="25">
        <v>-127.91041666666666</v>
      </c>
      <c r="AF731" s="25">
        <v>-186.91041666666669</v>
      </c>
      <c r="AG731" s="25">
        <v>-120.22083333333332</v>
      </c>
      <c r="AH731" s="25">
        <v>-64.960416666666688</v>
      </c>
      <c r="AI731" s="25">
        <v>-223.14999999999998</v>
      </c>
      <c r="AJ731" s="25">
        <v>-259.31041666666664</v>
      </c>
      <c r="AK731" s="25">
        <v>-497.65208333333345</v>
      </c>
      <c r="AL731" s="25">
        <v>21.235416666666669</v>
      </c>
      <c r="AM731" s="25">
        <v>21.095833333333342</v>
      </c>
      <c r="AN731" s="25">
        <v>20.866666666666642</v>
      </c>
      <c r="AO731" s="25">
        <v>20.843749999999975</v>
      </c>
      <c r="AP731" s="25">
        <v>21.183333333333334</v>
      </c>
      <c r="AQ731" s="25">
        <v>21.177083333333332</v>
      </c>
      <c r="AR731" s="25">
        <v>20.981249999999992</v>
      </c>
      <c r="AS731" s="25">
        <v>20.899999999999977</v>
      </c>
      <c r="AT731" s="25">
        <v>0.38487499999999991</v>
      </c>
      <c r="AU731" s="25">
        <v>0.19400000000000001</v>
      </c>
      <c r="AV731" s="25">
        <v>0.33450000000000002</v>
      </c>
      <c r="AW731" s="25">
        <v>-146.15229166666666</v>
      </c>
      <c r="AX731" s="25">
        <v>-41.867499999999993</v>
      </c>
      <c r="AY731" s="25">
        <v>-23.870416666666667</v>
      </c>
      <c r="AZ731" s="25"/>
      <c r="BA731" s="25">
        <v>-28.774999999999995</v>
      </c>
      <c r="BB731" s="25"/>
      <c r="BC731" s="25"/>
      <c r="BD731" s="25">
        <v>22.031249999999996</v>
      </c>
      <c r="BE731" s="25"/>
    </row>
    <row r="732" spans="1:57" x14ac:dyDescent="0.25">
      <c r="A732" s="1">
        <v>28.1</v>
      </c>
      <c r="B732" s="1">
        <v>20.2</v>
      </c>
      <c r="C732" s="22"/>
      <c r="D732" s="23">
        <v>44439</v>
      </c>
      <c r="E732" s="24">
        <v>165.1875</v>
      </c>
      <c r="F732" s="24">
        <v>78.964583333333323</v>
      </c>
      <c r="G732" s="24">
        <v>22.804166666666671</v>
      </c>
      <c r="H732" s="24">
        <v>0</v>
      </c>
      <c r="I732" s="24">
        <v>228.375</v>
      </c>
      <c r="J732" s="24">
        <v>10.166666666666666</v>
      </c>
      <c r="K732" s="24">
        <v>0.95833333333333337</v>
      </c>
      <c r="L732" s="24">
        <v>18.870833333333337</v>
      </c>
      <c r="M732" s="10">
        <v>0.61872504115739979</v>
      </c>
      <c r="N732" s="25">
        <v>0.26039583333333333</v>
      </c>
      <c r="O732" s="25">
        <v>0.37983333333333325</v>
      </c>
      <c r="P732" s="25">
        <v>0.45004166666666651</v>
      </c>
      <c r="Q732" s="25">
        <v>0.47412500000000013</v>
      </c>
      <c r="R732" s="25">
        <v>0.46502083333333316</v>
      </c>
      <c r="S732" s="25">
        <v>0.35643749999999996</v>
      </c>
      <c r="T732" s="25">
        <v>0.36489583333333347</v>
      </c>
      <c r="U732" s="25">
        <v>0.31985416666666666</v>
      </c>
      <c r="V732" s="25">
        <v>-42.198125000000005</v>
      </c>
      <c r="W732" s="25">
        <v>-183.79375000000002</v>
      </c>
      <c r="X732" s="25">
        <v>-59.524791666666665</v>
      </c>
      <c r="Y732" s="25">
        <v>-48.452708333333341</v>
      </c>
      <c r="Z732" s="25">
        <v>-43.185416666666661</v>
      </c>
      <c r="AA732" s="25">
        <v>-55.252083333333331</v>
      </c>
      <c r="AB732" s="25">
        <v>-50.910416666666656</v>
      </c>
      <c r="AC732" s="25">
        <v>-65.07374999999999</v>
      </c>
      <c r="AD732" s="25">
        <v>-218.88333333333335</v>
      </c>
      <c r="AE732" s="25">
        <v>-200.91249999999994</v>
      </c>
      <c r="AF732" s="25">
        <v>-278.67500000000007</v>
      </c>
      <c r="AG732" s="25">
        <v>-185.78333333333342</v>
      </c>
      <c r="AH732" s="25">
        <v>-151.20000000000002</v>
      </c>
      <c r="AI732" s="25">
        <v>-385.94791666666652</v>
      </c>
      <c r="AJ732" s="25">
        <v>-439.77499999999992</v>
      </c>
      <c r="AK732" s="25">
        <v>-782.93333333333339</v>
      </c>
      <c r="AL732" s="25">
        <v>21.458333333333332</v>
      </c>
      <c r="AM732" s="25">
        <v>21.143750000000001</v>
      </c>
      <c r="AN732" s="25">
        <v>20.866666666666642</v>
      </c>
      <c r="AO732" s="25">
        <v>20.799999999999979</v>
      </c>
      <c r="AP732" s="25">
        <v>21.474999999999991</v>
      </c>
      <c r="AQ732" s="25">
        <v>21.277083333333341</v>
      </c>
      <c r="AR732" s="25">
        <v>21.012499999999999</v>
      </c>
      <c r="AS732" s="25">
        <v>20.897916666666649</v>
      </c>
      <c r="AT732" s="25">
        <v>0.36404166666666676</v>
      </c>
      <c r="AU732" s="25">
        <v>0.17666666666666664</v>
      </c>
      <c r="AV732" s="25">
        <v>0.30512499999999998</v>
      </c>
      <c r="AW732" s="25">
        <v>-134.28187499999999</v>
      </c>
      <c r="AX732" s="25">
        <v>-55.958124999999988</v>
      </c>
      <c r="AY732" s="25">
        <v>-30.030833333333323</v>
      </c>
      <c r="AZ732" s="25"/>
      <c r="BA732" s="25">
        <v>-60.964583333333344</v>
      </c>
      <c r="BB732" s="25"/>
      <c r="BC732" s="25"/>
      <c r="BD732" s="25">
        <v>22.360416666666669</v>
      </c>
      <c r="BE732" s="25"/>
    </row>
    <row r="733" spans="1:57" x14ac:dyDescent="0.25">
      <c r="A733" s="1">
        <v>29.9</v>
      </c>
      <c r="B733" s="1">
        <v>19.7</v>
      </c>
      <c r="C733" s="22"/>
      <c r="D733" s="23">
        <v>44440</v>
      </c>
      <c r="E733" s="24">
        <v>244.875</v>
      </c>
      <c r="F733" s="24">
        <v>77.493749999999977</v>
      </c>
      <c r="G733" s="24">
        <v>23.731249999999999</v>
      </c>
      <c r="H733" s="24">
        <v>0</v>
      </c>
      <c r="I733" s="24">
        <v>229.83333333333334</v>
      </c>
      <c r="J733" s="24">
        <v>6.75</v>
      </c>
      <c r="K733" s="24">
        <v>0.41666666666666669</v>
      </c>
      <c r="L733" s="24">
        <v>19.304166666666671</v>
      </c>
      <c r="M733" s="10">
        <v>0.75151568205956576</v>
      </c>
      <c r="N733" s="25">
        <v>0.25366666666666665</v>
      </c>
      <c r="O733" s="25">
        <v>0.36537500000000017</v>
      </c>
      <c r="P733" s="25">
        <v>0.43822916666666661</v>
      </c>
      <c r="Q733" s="25">
        <v>0.45877083333333341</v>
      </c>
      <c r="R733" s="25">
        <v>0.45520833333333338</v>
      </c>
      <c r="S733" s="25">
        <v>0.34789583333333335</v>
      </c>
      <c r="T733" s="25">
        <v>0.35654166666666653</v>
      </c>
      <c r="U733" s="25">
        <v>0.31116666666666659</v>
      </c>
      <c r="V733" s="25">
        <v>-48.647291666666661</v>
      </c>
      <c r="W733" s="25">
        <v>-204.36874999999995</v>
      </c>
      <c r="X733" s="25">
        <v>-64.259791666666686</v>
      </c>
      <c r="Y733" s="25">
        <v>-51.748333333333328</v>
      </c>
      <c r="Z733" s="25">
        <v>-50.143958333333323</v>
      </c>
      <c r="AA733" s="25">
        <v>-59.348333333333329</v>
      </c>
      <c r="AB733" s="25">
        <v>-54.000625000000007</v>
      </c>
      <c r="AC733" s="25">
        <v>-69.396666666666661</v>
      </c>
      <c r="AD733" s="25">
        <v>-337.12083333333339</v>
      </c>
      <c r="AE733" s="25">
        <v>-309.92916666666673</v>
      </c>
      <c r="AF733" s="25">
        <v>-397.9375</v>
      </c>
      <c r="AG733" s="25">
        <v>-253.21041666666667</v>
      </c>
      <c r="AH733" s="25">
        <v>-322.91249999999991</v>
      </c>
      <c r="AI733" s="25">
        <v>-559.30833333333328</v>
      </c>
      <c r="AJ733" s="25">
        <v>-627.02291666666667</v>
      </c>
      <c r="AK733" s="25">
        <v>-1156.4791666666667</v>
      </c>
      <c r="AL733" s="25">
        <v>21.881250000000005</v>
      </c>
      <c r="AM733" s="25">
        <v>21.350000000000005</v>
      </c>
      <c r="AN733" s="25">
        <v>20.937499999999993</v>
      </c>
      <c r="AO733" s="25">
        <v>20.835416666666656</v>
      </c>
      <c r="AP733" s="25">
        <v>22.035416666666674</v>
      </c>
      <c r="AQ733" s="25">
        <v>21.572916666666657</v>
      </c>
      <c r="AR733" s="25">
        <v>21.200000000000006</v>
      </c>
      <c r="AS733" s="25">
        <v>21.025000000000006</v>
      </c>
      <c r="AT733" s="25">
        <v>0.33472916666666658</v>
      </c>
      <c r="AU733" s="25">
        <v>0.16264705882352942</v>
      </c>
      <c r="AV733" s="25">
        <v>0.27699999999999997</v>
      </c>
      <c r="AW733" s="25">
        <v>-144.13410810810811</v>
      </c>
      <c r="AX733" s="25">
        <v>-69.604583333333338</v>
      </c>
      <c r="AY733" s="25">
        <v>-41.329791666666658</v>
      </c>
      <c r="AZ733" s="25"/>
      <c r="BA733" s="25">
        <v>-167.24791666666667</v>
      </c>
      <c r="BB733" s="25"/>
      <c r="BC733" s="25"/>
      <c r="BD733" s="25">
        <v>22.775000000000006</v>
      </c>
      <c r="BE733" s="25"/>
    </row>
    <row r="734" spans="1:57" x14ac:dyDescent="0.25">
      <c r="A734" s="1">
        <v>29.8</v>
      </c>
      <c r="B734" s="1">
        <v>19.399999999999999</v>
      </c>
      <c r="C734" s="22"/>
      <c r="D734" s="23">
        <v>44441</v>
      </c>
      <c r="E734" s="24">
        <v>202.9375</v>
      </c>
      <c r="F734" s="24">
        <v>77.383333333333312</v>
      </c>
      <c r="G734" s="24">
        <v>23.477083333333326</v>
      </c>
      <c r="H734" s="24">
        <v>0</v>
      </c>
      <c r="I734" s="24">
        <v>228.27083333333334</v>
      </c>
      <c r="J734" s="24">
        <v>6.333333333333333</v>
      </c>
      <c r="K734" s="24">
        <v>0.41666666666666669</v>
      </c>
      <c r="L734" s="24">
        <v>19.087500000000006</v>
      </c>
      <c r="M734" s="10">
        <v>0.72828064749509946</v>
      </c>
      <c r="N734" s="25">
        <v>0.24722916666666653</v>
      </c>
      <c r="O734" s="25">
        <v>0.35327083333333348</v>
      </c>
      <c r="P734" s="25">
        <v>0.42708333333333343</v>
      </c>
      <c r="Q734" s="25">
        <v>0.44391666666666674</v>
      </c>
      <c r="R734" s="25">
        <v>0.44506249999999992</v>
      </c>
      <c r="S734" s="25">
        <v>0.34039583333333318</v>
      </c>
      <c r="T734" s="25">
        <v>0.3487083333333334</v>
      </c>
      <c r="U734" s="25">
        <v>0.30291666666666656</v>
      </c>
      <c r="V734" s="25">
        <v>-56.130625000000009</v>
      </c>
      <c r="W734" s="25">
        <v>-223.31874999999994</v>
      </c>
      <c r="X734" s="25">
        <v>-69.433541666666656</v>
      </c>
      <c r="Y734" s="25">
        <v>-54.992083333333341</v>
      </c>
      <c r="Z734" s="25">
        <v>-56.981666666666662</v>
      </c>
      <c r="AA734" s="25">
        <v>-63.751875000000005</v>
      </c>
      <c r="AB734" s="25">
        <v>-57.179166666666674</v>
      </c>
      <c r="AC734" s="25">
        <v>-72.382708333333326</v>
      </c>
      <c r="AD734" s="25">
        <v>-480.1583333333333</v>
      </c>
      <c r="AE734" s="25">
        <v>-438.98333333333335</v>
      </c>
      <c r="AF734" s="25">
        <v>-549.04375000000016</v>
      </c>
      <c r="AG734" s="25">
        <v>-314.60833333333329</v>
      </c>
      <c r="AH734" s="25">
        <v>-499.3145833333333</v>
      </c>
      <c r="AI734" s="25">
        <v>-696</v>
      </c>
      <c r="AJ734" s="25">
        <v>-834.77708333333339</v>
      </c>
      <c r="AK734" s="25">
        <v>-1548.5833333333333</v>
      </c>
      <c r="AL734" s="25">
        <v>22.091666666666672</v>
      </c>
      <c r="AM734" s="25">
        <v>21.591666666666669</v>
      </c>
      <c r="AN734" s="25">
        <v>21.104166666666682</v>
      </c>
      <c r="AO734" s="25">
        <v>20.970833333333335</v>
      </c>
      <c r="AP734" s="25">
        <v>22.166666666666668</v>
      </c>
      <c r="AQ734" s="25">
        <v>21.797916666666669</v>
      </c>
      <c r="AR734" s="25">
        <v>21.422916666666652</v>
      </c>
      <c r="AS734" s="25">
        <v>21.245833333333344</v>
      </c>
      <c r="AT734" s="25">
        <v>0.296875</v>
      </c>
      <c r="AU734" s="25">
        <v>0.15229999999999999</v>
      </c>
      <c r="AV734" s="25">
        <v>0.25237500000000002</v>
      </c>
      <c r="AW734" s="25">
        <v>-214.77575757575755</v>
      </c>
      <c r="AX734" s="25">
        <v>-81.336041666666645</v>
      </c>
      <c r="AY734" s="25">
        <v>-56.235000000000021</v>
      </c>
      <c r="AZ734" s="25"/>
      <c r="BA734" s="25">
        <v>-454.93333333333339</v>
      </c>
      <c r="BB734" s="25"/>
      <c r="BC734" s="25"/>
      <c r="BD734" s="25">
        <v>22.641666666666669</v>
      </c>
      <c r="BE734" s="25"/>
    </row>
    <row r="735" spans="1:57" x14ac:dyDescent="0.25">
      <c r="A735" s="1">
        <v>28.3</v>
      </c>
      <c r="B735" s="1">
        <v>20.100000000000001</v>
      </c>
      <c r="C735" s="22"/>
      <c r="D735" s="23">
        <v>44442</v>
      </c>
      <c r="E735" s="24">
        <v>212.83333333333334</v>
      </c>
      <c r="F735" s="24">
        <v>79.506249999999994</v>
      </c>
      <c r="G735" s="24">
        <v>23.018750000000001</v>
      </c>
      <c r="H735" s="24">
        <v>0</v>
      </c>
      <c r="I735" s="24">
        <v>228.0625</v>
      </c>
      <c r="J735" s="24">
        <v>10.625</v>
      </c>
      <c r="K735" s="24">
        <v>1.2291666666666667</v>
      </c>
      <c r="L735" s="24">
        <v>19.160416666666663</v>
      </c>
      <c r="M735" s="10">
        <v>0.62287977460016963</v>
      </c>
      <c r="N735" s="25">
        <v>0.24227083333333332</v>
      </c>
      <c r="O735" s="25">
        <v>0.34343750000000006</v>
      </c>
      <c r="P735" s="25">
        <v>0.41839583333333336</v>
      </c>
      <c r="Q735" s="25">
        <v>0.43249999999999994</v>
      </c>
      <c r="R735" s="25">
        <v>0.43656250000000019</v>
      </c>
      <c r="S735" s="25">
        <v>0.33500000000000019</v>
      </c>
      <c r="T735" s="25">
        <v>0.34277083333333325</v>
      </c>
      <c r="U735" s="25">
        <v>0.29695833333333349</v>
      </c>
      <c r="V735" s="25">
        <v>-64.058750000000018</v>
      </c>
      <c r="W735" s="25">
        <v>-246.90833333333333</v>
      </c>
      <c r="X735" s="25">
        <v>-76.403125000000003</v>
      </c>
      <c r="Y735" s="25">
        <v>-57.777500000000025</v>
      </c>
      <c r="Z735" s="25">
        <v>-61.54770833333334</v>
      </c>
      <c r="AA735" s="25">
        <v>-67.888750000000016</v>
      </c>
      <c r="AB735" s="25">
        <v>-59.409999999999989</v>
      </c>
      <c r="AC735" s="25">
        <v>-75.86875000000002</v>
      </c>
      <c r="AD735" s="25">
        <v>-588.68958333333353</v>
      </c>
      <c r="AE735" s="25">
        <v>-542.37916666666672</v>
      </c>
      <c r="AF735" s="25">
        <v>-667.85208333333333</v>
      </c>
      <c r="AG735" s="25">
        <v>-354.72291666666666</v>
      </c>
      <c r="AH735" s="25">
        <v>-628.72916666666652</v>
      </c>
      <c r="AI735" s="25">
        <v>-807.14375000000007</v>
      </c>
      <c r="AJ735" s="25">
        <v>-1037.125</v>
      </c>
      <c r="AK735" s="25">
        <v>-1926.5</v>
      </c>
      <c r="AL735" s="25">
        <v>22.116666666666674</v>
      </c>
      <c r="AM735" s="25">
        <v>21.656250000000004</v>
      </c>
      <c r="AN735" s="25">
        <v>21.200000000000021</v>
      </c>
      <c r="AO735" s="25">
        <v>21.070833333333351</v>
      </c>
      <c r="AP735" s="25">
        <v>22.131249999999994</v>
      </c>
      <c r="AQ735" s="25">
        <v>21.814583333333335</v>
      </c>
      <c r="AR735" s="25">
        <v>21.485416666666655</v>
      </c>
      <c r="AS735" s="25">
        <v>21.318749999999994</v>
      </c>
      <c r="AT735" s="25">
        <v>0.26197916666666665</v>
      </c>
      <c r="AU735" s="25">
        <v>0.14307692307692307</v>
      </c>
      <c r="AV735" s="25">
        <v>0.23681249999999987</v>
      </c>
      <c r="AW735" s="25">
        <v>-224.9362857142857</v>
      </c>
      <c r="AX735" s="25">
        <v>-91.647916666666688</v>
      </c>
      <c r="AY735" s="25">
        <v>-69.660416666666649</v>
      </c>
      <c r="AZ735" s="25"/>
      <c r="BA735" s="25">
        <v>-730.4041666666667</v>
      </c>
      <c r="BB735" s="25"/>
      <c r="BC735" s="25"/>
      <c r="BD735" s="25">
        <v>22.843749999999989</v>
      </c>
      <c r="BE735" s="25"/>
    </row>
    <row r="736" spans="1:57" x14ac:dyDescent="0.25">
      <c r="A736" s="1">
        <v>28.1</v>
      </c>
      <c r="B736" s="1">
        <v>20.3</v>
      </c>
      <c r="C736" s="22"/>
      <c r="D736" s="23">
        <v>44443</v>
      </c>
      <c r="E736" s="24">
        <v>181.5625</v>
      </c>
      <c r="F736" s="24">
        <v>78.970833333333317</v>
      </c>
      <c r="G736" s="24">
        <v>23.229166666666661</v>
      </c>
      <c r="H736" s="24">
        <v>0</v>
      </c>
      <c r="I736" s="24">
        <v>228.89583333333334</v>
      </c>
      <c r="J736" s="24">
        <v>10.416666666666666</v>
      </c>
      <c r="K736" s="24">
        <v>0.70833333333333337</v>
      </c>
      <c r="L736" s="24">
        <v>19.27291666666666</v>
      </c>
      <c r="M736" s="10">
        <v>0.63930404649074513</v>
      </c>
      <c r="N736" s="25">
        <v>0.2384375</v>
      </c>
      <c r="O736" s="25">
        <v>0.33560416666666676</v>
      </c>
      <c r="P736" s="25">
        <v>0.41208333333333313</v>
      </c>
      <c r="Q736" s="25">
        <v>0.42345833333333344</v>
      </c>
      <c r="R736" s="25">
        <v>0.42985416666666687</v>
      </c>
      <c r="S736" s="25">
        <v>0.33060416666666687</v>
      </c>
      <c r="T736" s="25">
        <v>0.33716666666666689</v>
      </c>
      <c r="U736" s="25">
        <v>0.29202083333333312</v>
      </c>
      <c r="V736" s="25">
        <v>-71.16791666666667</v>
      </c>
      <c r="W736" s="25">
        <v>-269.65208333333322</v>
      </c>
      <c r="X736" s="25">
        <v>-85.387499999999974</v>
      </c>
      <c r="Y736" s="25">
        <v>-60.623333333333328</v>
      </c>
      <c r="Z736" s="25">
        <v>-68.123125000000002</v>
      </c>
      <c r="AA736" s="25">
        <v>-72.564583333333346</v>
      </c>
      <c r="AB736" s="25">
        <v>-61.544999999999987</v>
      </c>
      <c r="AC736" s="25">
        <v>-80.131666666666675</v>
      </c>
      <c r="AD736" s="25">
        <v>-675.51666666666677</v>
      </c>
      <c r="AE736" s="25">
        <v>-629.47083333333319</v>
      </c>
      <c r="AF736" s="25">
        <v>-784.35208333333333</v>
      </c>
      <c r="AG736" s="25">
        <v>-388.59791666666666</v>
      </c>
      <c r="AH736" s="25">
        <v>-722.63958333333346</v>
      </c>
      <c r="AI736" s="25">
        <v>-895.1875</v>
      </c>
      <c r="AJ736" s="25">
        <v>-1203.6666666666667</v>
      </c>
      <c r="AK736" s="25">
        <v>-2192.375</v>
      </c>
      <c r="AL736" s="25">
        <v>22.106250000000003</v>
      </c>
      <c r="AM736" s="25">
        <v>21.69583333333334</v>
      </c>
      <c r="AN736" s="25">
        <v>21.252083333333349</v>
      </c>
      <c r="AO736" s="25">
        <v>21.100000000000016</v>
      </c>
      <c r="AP736" s="25">
        <v>22.041666666666657</v>
      </c>
      <c r="AQ736" s="25">
        <v>21.793750000000003</v>
      </c>
      <c r="AR736" s="25">
        <v>21.470833333333321</v>
      </c>
      <c r="AS736" s="25">
        <v>21.320833333333322</v>
      </c>
      <c r="AT736" s="25">
        <v>0.2332500000000001</v>
      </c>
      <c r="AU736" s="25">
        <v>0.13800000000000001</v>
      </c>
      <c r="AV736" s="25">
        <v>0.22556250000000011</v>
      </c>
      <c r="AW736" s="25">
        <v>-303.35897435897431</v>
      </c>
      <c r="AX736" s="25">
        <v>-100.82083333333333</v>
      </c>
      <c r="AY736" s="25">
        <v>-81.426458333333315</v>
      </c>
      <c r="AZ736" s="25"/>
      <c r="BA736" s="25">
        <v>-1000.5625</v>
      </c>
      <c r="BB736" s="25"/>
      <c r="BC736" s="25"/>
      <c r="BD736" s="25">
        <v>22.724999999999998</v>
      </c>
      <c r="BE736" s="25"/>
    </row>
    <row r="737" spans="1:57" x14ac:dyDescent="0.25">
      <c r="A737" s="1">
        <v>29</v>
      </c>
      <c r="B737" s="1">
        <v>19.399999999999999</v>
      </c>
      <c r="C737" s="22"/>
      <c r="D737" s="23">
        <v>44444</v>
      </c>
      <c r="E737" s="24">
        <v>209.16666666666666</v>
      </c>
      <c r="F737" s="24">
        <v>79.74375000000002</v>
      </c>
      <c r="G737" s="24">
        <v>23.135416666666661</v>
      </c>
      <c r="H737" s="24">
        <v>8.5</v>
      </c>
      <c r="I737" s="24">
        <v>227.0625</v>
      </c>
      <c r="J737" s="24">
        <v>8.7916666666666661</v>
      </c>
      <c r="K737" s="24">
        <v>0.52083333333333337</v>
      </c>
      <c r="L737" s="24">
        <v>19.214583333333337</v>
      </c>
      <c r="M737" s="10">
        <v>0.64863556870670258</v>
      </c>
      <c r="N737" s="25">
        <v>0.23697916666666674</v>
      </c>
      <c r="O737" s="25">
        <v>0.33214583333333331</v>
      </c>
      <c r="P737" s="25">
        <v>0.40818749999999993</v>
      </c>
      <c r="Q737" s="25">
        <v>0.41872916666666687</v>
      </c>
      <c r="R737" s="25">
        <v>0.42527083333333321</v>
      </c>
      <c r="S737" s="25">
        <v>0.32804166666666645</v>
      </c>
      <c r="T737" s="25">
        <v>0.33331250000000001</v>
      </c>
      <c r="U737" s="25">
        <v>0.28814583333333349</v>
      </c>
      <c r="V737" s="25">
        <v>-76.828750000000014</v>
      </c>
      <c r="W737" s="25">
        <v>-291.28749999999997</v>
      </c>
      <c r="X737" s="25">
        <v>-96.466666666666654</v>
      </c>
      <c r="Y737" s="25">
        <v>-64.180000000000021</v>
      </c>
      <c r="Z737" s="25">
        <v>-75.42041666666664</v>
      </c>
      <c r="AA737" s="25">
        <v>-78.197500000000034</v>
      </c>
      <c r="AB737" s="25">
        <v>-65.440208333333331</v>
      </c>
      <c r="AC737" s="25">
        <v>-85.13124999999998</v>
      </c>
      <c r="AD737" s="25">
        <v>-722.23541666666677</v>
      </c>
      <c r="AE737" s="25">
        <v>-679.04166666666674</v>
      </c>
      <c r="AF737" s="25">
        <v>-870.83333333333337</v>
      </c>
      <c r="AG737" s="25">
        <v>-408.41249999999997</v>
      </c>
      <c r="AH737" s="25">
        <v>-351.55208333333343</v>
      </c>
      <c r="AI737" s="25">
        <v>-949.52083333333337</v>
      </c>
      <c r="AJ737" s="25">
        <v>-1318.9375</v>
      </c>
      <c r="AK737" s="25">
        <v>-2306.3333333333335</v>
      </c>
      <c r="AL737" s="25">
        <v>22.166666666666671</v>
      </c>
      <c r="AM737" s="25">
        <v>21.729166666666671</v>
      </c>
      <c r="AN737" s="25">
        <v>21.285416666666659</v>
      </c>
      <c r="AO737" s="25">
        <v>21.100000000000016</v>
      </c>
      <c r="AP737" s="25">
        <v>22.104166666666661</v>
      </c>
      <c r="AQ737" s="25">
        <v>21.814583333333335</v>
      </c>
      <c r="AR737" s="25">
        <v>21.49166666666666</v>
      </c>
      <c r="AS737" s="25">
        <v>21.345833333333314</v>
      </c>
      <c r="AT737" s="25">
        <v>0.25560416666666674</v>
      </c>
      <c r="AU737" s="25">
        <v>0.17933333333333334</v>
      </c>
      <c r="AV737" s="25">
        <v>0.24364583333333326</v>
      </c>
      <c r="AW737" s="25">
        <v>-104.01479166666667</v>
      </c>
      <c r="AX737" s="25">
        <v>-107.49791666666665</v>
      </c>
      <c r="AY737" s="25">
        <v>-91.691666666666677</v>
      </c>
      <c r="AZ737" s="25"/>
      <c r="BA737" s="25">
        <v>-467.63541666666657</v>
      </c>
      <c r="BB737" s="25"/>
      <c r="BC737" s="25"/>
      <c r="BD737" s="25">
        <v>22.77291666666666</v>
      </c>
      <c r="BE737" s="25"/>
    </row>
    <row r="738" spans="1:57" x14ac:dyDescent="0.25">
      <c r="A738" s="1">
        <v>31.7</v>
      </c>
      <c r="B738" s="1">
        <v>17.399999999999999</v>
      </c>
      <c r="C738" s="22"/>
      <c r="D738" s="23">
        <v>44445</v>
      </c>
      <c r="E738" s="24">
        <v>171.04166666666666</v>
      </c>
      <c r="F738" s="24">
        <v>81.4479166666667</v>
      </c>
      <c r="G738" s="24">
        <v>22.070833333333329</v>
      </c>
      <c r="H738" s="24">
        <v>9.8999999999999986</v>
      </c>
      <c r="I738" s="24">
        <v>209.1875</v>
      </c>
      <c r="J738" s="24">
        <v>2.8125</v>
      </c>
      <c r="K738" s="24">
        <v>2.0833333333333332E-2</v>
      </c>
      <c r="L738" s="24">
        <v>18.477083333333336</v>
      </c>
      <c r="M738" s="10">
        <v>0.59986442047816524</v>
      </c>
      <c r="N738" s="25">
        <v>0.23720833333333347</v>
      </c>
      <c r="O738" s="25">
        <v>0.32902083333333337</v>
      </c>
      <c r="P738" s="25">
        <v>0.40691666666666654</v>
      </c>
      <c r="Q738" s="25">
        <v>0.41706250000000017</v>
      </c>
      <c r="R738" s="25">
        <v>0.42241666666666688</v>
      </c>
      <c r="S738" s="25">
        <v>0.32731249999999995</v>
      </c>
      <c r="T738" s="25">
        <v>0.33066666666666683</v>
      </c>
      <c r="U738" s="25">
        <v>0.28641666666666682</v>
      </c>
      <c r="V738" s="25">
        <v>-82.775625000000005</v>
      </c>
      <c r="W738" s="25">
        <v>-308.74791666666658</v>
      </c>
      <c r="X738" s="25">
        <v>-109.44583333333333</v>
      </c>
      <c r="Y738" s="25">
        <v>-67.733958333333348</v>
      </c>
      <c r="Z738" s="25">
        <v>-83.811249999999987</v>
      </c>
      <c r="AA738" s="25">
        <v>-84.543749999999989</v>
      </c>
      <c r="AB738" s="25">
        <v>-69.678958333333341</v>
      </c>
      <c r="AC738" s="25">
        <v>-87.714583333333323</v>
      </c>
      <c r="AD738" s="25">
        <v>-744.37916666666661</v>
      </c>
      <c r="AE738" s="25">
        <v>-709.36458333333314</v>
      </c>
      <c r="AF738" s="25">
        <v>-907.625</v>
      </c>
      <c r="AG738" s="25">
        <v>-419.71249999999992</v>
      </c>
      <c r="AH738" s="25">
        <v>-272.19166666666655</v>
      </c>
      <c r="AI738" s="25">
        <v>-952.625</v>
      </c>
      <c r="AJ738" s="25">
        <v>-1369.4166666666667</v>
      </c>
      <c r="AK738" s="25">
        <v>-2381.2708333333335</v>
      </c>
      <c r="AL738" s="25">
        <v>22.072916666666668</v>
      </c>
      <c r="AM738" s="25">
        <v>21.764583333333331</v>
      </c>
      <c r="AN738" s="25">
        <v>21.316666666666645</v>
      </c>
      <c r="AO738" s="25">
        <v>21.189583333333353</v>
      </c>
      <c r="AP738" s="25">
        <v>22.018750000000001</v>
      </c>
      <c r="AQ738" s="25">
        <v>21.864583333333339</v>
      </c>
      <c r="AR738" s="25">
        <v>21.535416666666666</v>
      </c>
      <c r="AS738" s="25">
        <v>21.377083333333314</v>
      </c>
      <c r="AT738" s="25">
        <v>0.25422916666666662</v>
      </c>
      <c r="AU738" s="25">
        <v>0.21162499999999998</v>
      </c>
      <c r="AV738" s="25">
        <v>0.26649999999999996</v>
      </c>
      <c r="AW738" s="25">
        <v>-83.31145833333332</v>
      </c>
      <c r="AX738" s="25">
        <v>-81.363541666666649</v>
      </c>
      <c r="AY738" s="25">
        <v>-104.08958333333334</v>
      </c>
      <c r="AZ738" s="25"/>
      <c r="BA738" s="25">
        <v>-325.22499999999997</v>
      </c>
      <c r="BB738" s="25"/>
      <c r="BC738" s="25"/>
      <c r="BD738" s="25">
        <v>22.004166666666666</v>
      </c>
      <c r="BE738" s="25"/>
    </row>
    <row r="739" spans="1:57" x14ac:dyDescent="0.25">
      <c r="A739" s="1">
        <v>27.4</v>
      </c>
      <c r="B739" s="1">
        <v>15.7</v>
      </c>
      <c r="C739" s="22"/>
      <c r="D739" s="23">
        <v>44446</v>
      </c>
      <c r="E739" s="24">
        <v>153.1875</v>
      </c>
      <c r="F739" s="24">
        <v>76.970833333333317</v>
      </c>
      <c r="G739" s="24">
        <v>19.86666666666666</v>
      </c>
      <c r="H739" s="24">
        <v>0</v>
      </c>
      <c r="I739" s="24">
        <v>259.5</v>
      </c>
      <c r="J739" s="24">
        <v>2.2708333333333335</v>
      </c>
      <c r="K739" s="24">
        <v>0</v>
      </c>
      <c r="L739" s="24">
        <v>15.566666666666668</v>
      </c>
      <c r="M739" s="10">
        <v>0.59043666973273157</v>
      </c>
      <c r="N739" s="25">
        <v>0.23725000000000007</v>
      </c>
      <c r="O739" s="25">
        <v>0.3254166666666663</v>
      </c>
      <c r="P739" s="25">
        <v>0.40570833333333334</v>
      </c>
      <c r="Q739" s="25">
        <v>0.41662500000000002</v>
      </c>
      <c r="R739" s="25">
        <v>0.4166250000000003</v>
      </c>
      <c r="S739" s="25">
        <v>0.32643749999999999</v>
      </c>
      <c r="T739" s="25">
        <v>0.32881249999999984</v>
      </c>
      <c r="U739" s="25">
        <v>0.28585416666666658</v>
      </c>
      <c r="V739" s="25">
        <v>-89.99166666666666</v>
      </c>
      <c r="W739" s="25">
        <v>-321.18124999999981</v>
      </c>
      <c r="X739" s="25">
        <v>-125.86874999999998</v>
      </c>
      <c r="Y739" s="25">
        <v>-71.05749999999999</v>
      </c>
      <c r="Z739" s="25">
        <v>-94.895833333333329</v>
      </c>
      <c r="AA739" s="25">
        <v>-92.974999999999966</v>
      </c>
      <c r="AB739" s="25">
        <v>-74.809999999999988</v>
      </c>
      <c r="AC739" s="25">
        <v>-83.42916666666666</v>
      </c>
      <c r="AD739" s="25">
        <v>-785.44374999999991</v>
      </c>
      <c r="AE739" s="25">
        <v>-730.98333333333323</v>
      </c>
      <c r="AF739" s="25">
        <v>-910.39583333333337</v>
      </c>
      <c r="AG739" s="25">
        <v>-417.89166666666659</v>
      </c>
      <c r="AH739" s="25">
        <v>-32.656249999999993</v>
      </c>
      <c r="AI739" s="25">
        <v>-920.375</v>
      </c>
      <c r="AJ739" s="25">
        <v>-1421.625</v>
      </c>
      <c r="AK739" s="25">
        <v>-2546.8541666666665</v>
      </c>
      <c r="AL739" s="25">
        <v>21.010416666666668</v>
      </c>
      <c r="AM739" s="25">
        <v>21.289583333333347</v>
      </c>
      <c r="AN739" s="25">
        <v>21.156250000000004</v>
      </c>
      <c r="AO739" s="25">
        <v>21.116666666666671</v>
      </c>
      <c r="AP739" s="25">
        <v>20.870833333333337</v>
      </c>
      <c r="AQ739" s="25">
        <v>21.250000000000004</v>
      </c>
      <c r="AR739" s="25">
        <v>21.189583333333335</v>
      </c>
      <c r="AS739" s="25">
        <v>21.162500000000001</v>
      </c>
      <c r="AT739" s="25">
        <v>0.27102083333333338</v>
      </c>
      <c r="AU739" s="25">
        <v>0.21622727272727274</v>
      </c>
      <c r="AV739" s="25">
        <v>0.31768750000000007</v>
      </c>
      <c r="AW739" s="25">
        <v>-91.360833333333332</v>
      </c>
      <c r="AX739" s="25">
        <v>-30.652083333333334</v>
      </c>
      <c r="AY739" s="25">
        <v>-112.61458333333333</v>
      </c>
      <c r="AZ739" s="25"/>
      <c r="BA739" s="25">
        <v>-12.210416666666665</v>
      </c>
      <c r="BB739" s="25"/>
      <c r="BC739" s="25"/>
      <c r="BD739" s="25">
        <v>20.910416666666666</v>
      </c>
      <c r="BE739" s="25"/>
    </row>
    <row r="740" spans="1:57" x14ac:dyDescent="0.25">
      <c r="A740" s="1">
        <v>28.7</v>
      </c>
      <c r="B740" s="1">
        <v>14.8</v>
      </c>
      <c r="C740" s="22"/>
      <c r="D740" s="23">
        <v>44447</v>
      </c>
      <c r="E740" s="24">
        <v>194.4375</v>
      </c>
      <c r="F740" s="24">
        <v>77.03958333333334</v>
      </c>
      <c r="G740" s="24">
        <v>20.818750000000005</v>
      </c>
      <c r="H740" s="24">
        <v>0</v>
      </c>
      <c r="I740" s="24">
        <v>231.8125</v>
      </c>
      <c r="J740" s="24">
        <v>1.8541666666666667</v>
      </c>
      <c r="K740" s="24">
        <v>0</v>
      </c>
      <c r="L740" s="24">
        <v>16.387500000000006</v>
      </c>
      <c r="M740" s="10">
        <v>0.66275833731216927</v>
      </c>
      <c r="N740" s="25">
        <v>0.23537499999999989</v>
      </c>
      <c r="O740" s="25">
        <v>0.32360416666666686</v>
      </c>
      <c r="P740" s="25">
        <v>0.40416666666666662</v>
      </c>
      <c r="Q740" s="25">
        <v>0.41485416666666669</v>
      </c>
      <c r="R740" s="25">
        <v>0.41514583333333316</v>
      </c>
      <c r="S740" s="25">
        <v>0.32477083333333329</v>
      </c>
      <c r="T740" s="25">
        <v>0.32643749999999988</v>
      </c>
      <c r="U740" s="25">
        <v>0.28487500000000004</v>
      </c>
      <c r="V740" s="25">
        <v>-94.316666666666649</v>
      </c>
      <c r="W740" s="25">
        <v>-320.23749999999995</v>
      </c>
      <c r="X740" s="25">
        <v>-142.95833333333329</v>
      </c>
      <c r="Y740" s="25">
        <v>-74.224791666666675</v>
      </c>
      <c r="Z740" s="25">
        <v>-102.84791666666668</v>
      </c>
      <c r="AA740" s="25">
        <v>-101.54583333333331</v>
      </c>
      <c r="AB740" s="25">
        <v>-79.137291666666655</v>
      </c>
      <c r="AC740" s="25">
        <v>-90.116666666666674</v>
      </c>
      <c r="AD740" s="25">
        <v>-801.38958333333323</v>
      </c>
      <c r="AE740" s="25">
        <v>-767.83958333333305</v>
      </c>
      <c r="AF740" s="25">
        <v>-965.85416666666663</v>
      </c>
      <c r="AG740" s="25">
        <v>-429.20416666666659</v>
      </c>
      <c r="AH740" s="25">
        <v>-116.19374999999998</v>
      </c>
      <c r="AI740" s="25">
        <v>-959.70833333333337</v>
      </c>
      <c r="AJ740" s="25">
        <v>-1463.2708333333333</v>
      </c>
      <c r="AK740" s="25">
        <v>-2705.7083333333335</v>
      </c>
      <c r="AL740" s="25">
        <v>20.797916666666666</v>
      </c>
      <c r="AM740" s="25">
        <v>20.918749999999999</v>
      </c>
      <c r="AN740" s="25">
        <v>20.868749999999981</v>
      </c>
      <c r="AO740" s="25">
        <v>20.893749999999976</v>
      </c>
      <c r="AP740" s="25">
        <v>20.716666666666669</v>
      </c>
      <c r="AQ740" s="25">
        <v>20.908333333333342</v>
      </c>
      <c r="AR740" s="25">
        <v>20.800000000000004</v>
      </c>
      <c r="AS740" s="25">
        <v>20.787500000000019</v>
      </c>
      <c r="AT740" s="25">
        <v>0.25566666666666665</v>
      </c>
      <c r="AU740" s="25">
        <v>0.19541666666666671</v>
      </c>
      <c r="AV740" s="25">
        <v>0.2902499999999999</v>
      </c>
      <c r="AW740" s="25">
        <v>-127.89124999999996</v>
      </c>
      <c r="AX740" s="25">
        <v>-52.01229166666667</v>
      </c>
      <c r="AY740" s="25">
        <v>-119.78749999999997</v>
      </c>
      <c r="AZ740" s="25"/>
      <c r="BA740" s="25">
        <v>-26.129166666666666</v>
      </c>
      <c r="BB740" s="25"/>
      <c r="BC740" s="25"/>
      <c r="BD740" s="25">
        <v>20.743749999999995</v>
      </c>
      <c r="BE740" s="25"/>
    </row>
    <row r="741" spans="1:57" x14ac:dyDescent="0.25">
      <c r="A741" s="1">
        <v>29.9</v>
      </c>
      <c r="B741" s="1">
        <v>17.600000000000001</v>
      </c>
      <c r="C741" s="22"/>
      <c r="D741" s="23">
        <v>44448</v>
      </c>
      <c r="E741" s="24">
        <v>260.20833333333331</v>
      </c>
      <c r="F741" s="24">
        <v>79.343750000000014</v>
      </c>
      <c r="G741" s="24">
        <v>22.574999999999992</v>
      </c>
      <c r="H741" s="24">
        <v>0</v>
      </c>
      <c r="I741" s="24">
        <v>207.41666666666666</v>
      </c>
      <c r="J741" s="24">
        <v>2.9166666666666665</v>
      </c>
      <c r="K741" s="24">
        <v>2.0833333333333332E-2</v>
      </c>
      <c r="L741" s="24">
        <v>18.481249999999999</v>
      </c>
      <c r="M741" s="10">
        <v>0.6918632154290022</v>
      </c>
      <c r="N741" s="25">
        <v>0.23397916666666663</v>
      </c>
      <c r="O741" s="25">
        <v>0.32168749999999996</v>
      </c>
      <c r="P741" s="25">
        <v>0.40277083333333347</v>
      </c>
      <c r="Q741" s="25">
        <v>0.41214583333333338</v>
      </c>
      <c r="R741" s="25">
        <v>0.41506249999999967</v>
      </c>
      <c r="S741" s="25">
        <v>0.32337500000000002</v>
      </c>
      <c r="T741" s="25">
        <v>0.32352083333333309</v>
      </c>
      <c r="U741" s="25">
        <v>0.2824583333333332</v>
      </c>
      <c r="V741" s="25">
        <v>-99.708333333333357</v>
      </c>
      <c r="W741" s="25">
        <v>-254.78958333333333</v>
      </c>
      <c r="X741" s="25">
        <v>-162.4916666666667</v>
      </c>
      <c r="Y741" s="25">
        <v>-78.883124999999993</v>
      </c>
      <c r="Z741" s="25">
        <v>-111.78541666666665</v>
      </c>
      <c r="AA741" s="25">
        <v>-110.78333333333336</v>
      </c>
      <c r="AB741" s="25">
        <v>-83.449999999999989</v>
      </c>
      <c r="AC741" s="25">
        <v>-95.433333333333351</v>
      </c>
      <c r="AD741" s="25">
        <v>-809.28541666666661</v>
      </c>
      <c r="AE741" s="25">
        <v>-786.63333333333367</v>
      </c>
      <c r="AF741" s="25">
        <v>-1035.875</v>
      </c>
      <c r="AG741" s="25">
        <v>-444.03958333333316</v>
      </c>
      <c r="AH741" s="25">
        <v>-328.01875000000007</v>
      </c>
      <c r="AI741" s="25">
        <v>-993.60416666666663</v>
      </c>
      <c r="AJ741" s="25">
        <v>-1507.7916666666667</v>
      </c>
      <c r="AK741" s="25">
        <v>-2902.875</v>
      </c>
      <c r="AL741" s="25">
        <v>21.539583333333336</v>
      </c>
      <c r="AM741" s="25">
        <v>21.079166666666662</v>
      </c>
      <c r="AN741" s="25">
        <v>20.791666666666661</v>
      </c>
      <c r="AO741" s="25">
        <v>20.772916666666671</v>
      </c>
      <c r="AP741" s="25">
        <v>21.55</v>
      </c>
      <c r="AQ741" s="25">
        <v>21.197916666666668</v>
      </c>
      <c r="AR741" s="25">
        <v>20.893750000000004</v>
      </c>
      <c r="AS741" s="25">
        <v>20.775000000000006</v>
      </c>
      <c r="AT741" s="25">
        <v>0.23727083333333332</v>
      </c>
      <c r="AU741" s="25">
        <v>0.16269999999999993</v>
      </c>
      <c r="AV741" s="25">
        <v>0.26541666666666669</v>
      </c>
      <c r="AW741" s="25">
        <v>-144.47106382978725</v>
      </c>
      <c r="AX741" s="25">
        <v>-71.02166666666669</v>
      </c>
      <c r="AY741" s="25">
        <v>-138.77291666666665</v>
      </c>
      <c r="AZ741" s="25"/>
      <c r="BA741" s="25">
        <v>-81.21875</v>
      </c>
      <c r="BB741" s="25"/>
      <c r="BC741" s="25"/>
      <c r="BD741" s="25">
        <v>22.089583333333334</v>
      </c>
      <c r="BE741" s="25"/>
    </row>
    <row r="742" spans="1:57" x14ac:dyDescent="0.25">
      <c r="A742" s="1">
        <v>31.8</v>
      </c>
      <c r="B742" s="1">
        <v>17.7</v>
      </c>
      <c r="C742" s="22"/>
      <c r="D742" s="23">
        <v>44449</v>
      </c>
      <c r="E742" s="24">
        <v>226.5625</v>
      </c>
      <c r="F742" s="24">
        <v>76.283333333333331</v>
      </c>
      <c r="G742" s="24">
        <v>23.375</v>
      </c>
      <c r="H742" s="24">
        <v>0</v>
      </c>
      <c r="I742" s="24">
        <v>155.66666666666666</v>
      </c>
      <c r="J742" s="24">
        <v>1.9791666666666667</v>
      </c>
      <c r="K742" s="24">
        <v>0</v>
      </c>
      <c r="L742" s="24">
        <v>18.470833333333339</v>
      </c>
      <c r="M742" s="10">
        <v>0.85322279720821281</v>
      </c>
      <c r="N742" s="25">
        <v>0.23206249999999995</v>
      </c>
      <c r="O742" s="25">
        <v>0.31906250000000008</v>
      </c>
      <c r="P742" s="25">
        <v>0.40104166666666691</v>
      </c>
      <c r="Q742" s="25">
        <v>0.40920833333333323</v>
      </c>
      <c r="R742" s="25">
        <v>0.41345833333333354</v>
      </c>
      <c r="S742" s="25">
        <v>0.32187500000000002</v>
      </c>
      <c r="T742" s="25">
        <v>0.32070833333333365</v>
      </c>
      <c r="U742" s="25">
        <v>0.2796041666666666</v>
      </c>
      <c r="V742" s="25">
        <v>-108.54791666666667</v>
      </c>
      <c r="W742" s="25">
        <v>-85.441333333333361</v>
      </c>
      <c r="X742" s="25">
        <v>-183.72916666666663</v>
      </c>
      <c r="Y742" s="25">
        <v>-84.202083333333348</v>
      </c>
      <c r="Z742" s="25">
        <v>-130.07291666666666</v>
      </c>
      <c r="AA742" s="25">
        <v>-123.27499999999999</v>
      </c>
      <c r="AB742" s="25">
        <v>-87.958333333333357</v>
      </c>
      <c r="AC742" s="25">
        <v>-99.389583333333292</v>
      </c>
      <c r="AD742" s="25">
        <v>-835.875</v>
      </c>
      <c r="AE742" s="25">
        <v>-812.89791666666667</v>
      </c>
      <c r="AF742" s="25">
        <v>-1126.1458333333333</v>
      </c>
      <c r="AG742" s="25">
        <v>-458.99583333333356</v>
      </c>
      <c r="AH742" s="25">
        <v>-566.4395833333333</v>
      </c>
      <c r="AI742" s="25">
        <v>-1049.125</v>
      </c>
      <c r="AJ742" s="25">
        <v>-1551.4375</v>
      </c>
      <c r="AK742" s="25">
        <v>-3225.8958333333335</v>
      </c>
      <c r="AL742" s="25">
        <v>21.939583333333335</v>
      </c>
      <c r="AM742" s="25">
        <v>21.41458333333334</v>
      </c>
      <c r="AN742" s="25">
        <v>20.979166666666664</v>
      </c>
      <c r="AO742" s="25">
        <v>20.866666666666653</v>
      </c>
      <c r="AP742" s="25">
        <v>21.86666666666666</v>
      </c>
      <c r="AQ742" s="25">
        <v>21.516666666666666</v>
      </c>
      <c r="AR742" s="25">
        <v>21.154166666666669</v>
      </c>
      <c r="AS742" s="25">
        <v>20.987499999999997</v>
      </c>
      <c r="AT742" s="25">
        <v>0.21889583333333332</v>
      </c>
      <c r="AU742" s="25">
        <v>0.14829999999999993</v>
      </c>
      <c r="AV742" s="25">
        <v>0.24252083333333332</v>
      </c>
      <c r="AW742" s="25">
        <v>-217.3407692307693</v>
      </c>
      <c r="AX742" s="25">
        <v>-92.022916666666674</v>
      </c>
      <c r="AY742" s="25">
        <v>-170.15208333333337</v>
      </c>
      <c r="AZ742" s="25"/>
      <c r="BA742" s="25">
        <v>-400.35416666666669</v>
      </c>
      <c r="BB742" s="25"/>
      <c r="BC742" s="25"/>
      <c r="BD742" s="25">
        <v>22.275000000000002</v>
      </c>
      <c r="BE742" s="25"/>
    </row>
    <row r="743" spans="1:57" x14ac:dyDescent="0.25">
      <c r="A743" s="1">
        <v>31.4</v>
      </c>
      <c r="B743" s="1">
        <v>17.899999999999999</v>
      </c>
      <c r="C743" s="22"/>
      <c r="D743" s="23">
        <v>44450</v>
      </c>
      <c r="E743" s="24">
        <v>260.04166666666669</v>
      </c>
      <c r="F743" s="24">
        <v>71.575000000000003</v>
      </c>
      <c r="G743" s="24">
        <v>24.264583333333334</v>
      </c>
      <c r="H743" s="24">
        <v>0</v>
      </c>
      <c r="I743" s="24">
        <v>229.125</v>
      </c>
      <c r="J743" s="24">
        <v>4.375</v>
      </c>
      <c r="K743" s="24">
        <v>0.1875</v>
      </c>
      <c r="L743" s="24">
        <v>18.368750000000002</v>
      </c>
      <c r="M743" s="10">
        <v>1.0168219396142339</v>
      </c>
      <c r="N743" s="25">
        <v>0.22945833333333329</v>
      </c>
      <c r="O743" s="25">
        <v>0.31560416666666663</v>
      </c>
      <c r="P743" s="25">
        <v>0.39829166666666671</v>
      </c>
      <c r="Q743" s="25">
        <v>0.4052708333333333</v>
      </c>
      <c r="R743" s="25">
        <v>0.41091666666666665</v>
      </c>
      <c r="S743" s="25">
        <v>0.31935416666666666</v>
      </c>
      <c r="T743" s="25">
        <v>0.31693749999999998</v>
      </c>
      <c r="U743" s="25">
        <v>0.2767083333333335</v>
      </c>
      <c r="V743" s="25">
        <v>-125.21875</v>
      </c>
      <c r="W743" s="25"/>
      <c r="X743" s="25">
        <v>-205.04166666666666</v>
      </c>
      <c r="Y743" s="25">
        <v>-91.36875000000002</v>
      </c>
      <c r="Z743" s="25">
        <v>-155.76041666666666</v>
      </c>
      <c r="AA743" s="25">
        <v>-140.45624999999995</v>
      </c>
      <c r="AB743" s="25">
        <v>-94.229166666666686</v>
      </c>
      <c r="AC743" s="25">
        <v>-104.90208333333329</v>
      </c>
      <c r="AD743" s="25">
        <v>-879.04166666666663</v>
      </c>
      <c r="AE743" s="25">
        <v>-858.45833333333337</v>
      </c>
      <c r="AF743" s="25">
        <v>-1219.8958333333333</v>
      </c>
      <c r="AG743" s="25">
        <v>-480.1354166666668</v>
      </c>
      <c r="AH743" s="25">
        <v>-706.67291666666654</v>
      </c>
      <c r="AI743" s="25">
        <v>-1083.9583333333333</v>
      </c>
      <c r="AJ743" s="25">
        <v>-1662.9791666666667</v>
      </c>
      <c r="AK743" s="25">
        <v>-3500.1666666666665</v>
      </c>
      <c r="AL743" s="25">
        <v>22.291666666666661</v>
      </c>
      <c r="AM743" s="25">
        <v>21.647916666666664</v>
      </c>
      <c r="AN743" s="25">
        <v>21.112500000000018</v>
      </c>
      <c r="AO743" s="25">
        <v>20.979166666666668</v>
      </c>
      <c r="AP743" s="25">
        <v>22.177083333333339</v>
      </c>
      <c r="AQ743" s="25">
        <v>21.722916666666666</v>
      </c>
      <c r="AR743" s="25">
        <v>21.331250000000004</v>
      </c>
      <c r="AS743" s="25">
        <v>21.152083333333348</v>
      </c>
      <c r="AT743" s="25">
        <v>0.20466666666666658</v>
      </c>
      <c r="AU743" s="25">
        <v>0.13704000000000002</v>
      </c>
      <c r="AV743" s="25">
        <v>0.22725000000000006</v>
      </c>
      <c r="AW743" s="25">
        <v>-291.53953488372093</v>
      </c>
      <c r="AX743" s="25">
        <v>-110.175</v>
      </c>
      <c r="AY743" s="25">
        <v>-209.47499999999991</v>
      </c>
      <c r="AZ743" s="25"/>
      <c r="BA743" s="25">
        <v>-829.13750000000016</v>
      </c>
      <c r="BB743" s="25"/>
      <c r="BC743" s="25"/>
      <c r="BD743" s="25">
        <v>22.481249999999992</v>
      </c>
      <c r="BE743" s="25"/>
    </row>
    <row r="744" spans="1:57" x14ac:dyDescent="0.25">
      <c r="A744" s="1">
        <v>34.6</v>
      </c>
      <c r="B744" s="1">
        <v>18.899999999999999</v>
      </c>
      <c r="C744" s="22"/>
      <c r="D744" s="23">
        <v>44451</v>
      </c>
      <c r="E744" s="24">
        <v>240.14583333333334</v>
      </c>
      <c r="F744" s="24">
        <v>73.081250000000011</v>
      </c>
      <c r="G744" s="24">
        <v>24.572916666666661</v>
      </c>
      <c r="H744" s="24">
        <v>1</v>
      </c>
      <c r="I744" s="24">
        <v>234.14583333333334</v>
      </c>
      <c r="J744" s="24">
        <v>4.125</v>
      </c>
      <c r="K744" s="24">
        <v>0.16666666666666666</v>
      </c>
      <c r="L744" s="24">
        <v>19.070833333333329</v>
      </c>
      <c r="M744" s="10">
        <v>0.99364804801400775</v>
      </c>
      <c r="N744" s="25">
        <v>0.22702083333333348</v>
      </c>
      <c r="O744" s="25">
        <v>0.3125416666666665</v>
      </c>
      <c r="P744" s="25">
        <v>0.39572916666666669</v>
      </c>
      <c r="Q744" s="25">
        <v>0.40129166666666699</v>
      </c>
      <c r="R744" s="25">
        <v>0.40854166666666664</v>
      </c>
      <c r="S744" s="25">
        <v>0.3168958333333336</v>
      </c>
      <c r="T744" s="25">
        <v>0.31268749999999995</v>
      </c>
      <c r="U744" s="25">
        <v>0.27366666666666678</v>
      </c>
      <c r="V744" s="25">
        <v>-147.53749999999999</v>
      </c>
      <c r="W744" s="25">
        <v>-29.710416666666674</v>
      </c>
      <c r="X744" s="25">
        <v>-222.28750000000005</v>
      </c>
      <c r="Y744" s="25">
        <v>-99.893750000000011</v>
      </c>
      <c r="Z744" s="25">
        <v>-181.94791666666666</v>
      </c>
      <c r="AA744" s="25">
        <v>-162.81666666666663</v>
      </c>
      <c r="AB744" s="25">
        <v>-102.18333333333334</v>
      </c>
      <c r="AC744" s="25">
        <v>-111.72499999999998</v>
      </c>
      <c r="AD744" s="25">
        <v>-908.89583333333337</v>
      </c>
      <c r="AE744" s="25">
        <v>-900.58333333333337</v>
      </c>
      <c r="AF744" s="25">
        <v>-1314.7291666666667</v>
      </c>
      <c r="AG744" s="25">
        <v>-496.79791666666648</v>
      </c>
      <c r="AH744" s="25">
        <v>-779.36666666666667</v>
      </c>
      <c r="AI744" s="25">
        <v>-1128</v>
      </c>
      <c r="AJ744" s="25">
        <v>-1760.3125</v>
      </c>
      <c r="AK744" s="25">
        <v>-11.404166666666669</v>
      </c>
      <c r="AL744" s="25">
        <v>22.681250000000002</v>
      </c>
      <c r="AM744" s="25">
        <v>21.931250000000009</v>
      </c>
      <c r="AN744" s="25">
        <v>21.312499999999986</v>
      </c>
      <c r="AO744" s="25">
        <v>21.100000000000019</v>
      </c>
      <c r="AP744" s="25">
        <v>22.543749999999999</v>
      </c>
      <c r="AQ744" s="25">
        <v>21.960416666666664</v>
      </c>
      <c r="AR744" s="25">
        <v>21.535416666666666</v>
      </c>
      <c r="AS744" s="25">
        <v>21.30833333333333</v>
      </c>
      <c r="AT744" s="25">
        <v>0.19197916666666659</v>
      </c>
      <c r="AU744" s="25">
        <v>0.12934782608695655</v>
      </c>
      <c r="AV744" s="25">
        <v>0.21629166666666666</v>
      </c>
      <c r="AW744" s="25">
        <v>-322.52444444444438</v>
      </c>
      <c r="AX744" s="25">
        <v>-124.29583333333336</v>
      </c>
      <c r="AY744" s="25">
        <v>-264.25208333333342</v>
      </c>
      <c r="AZ744" s="25"/>
      <c r="BA744" s="25">
        <v>-1244.3125</v>
      </c>
      <c r="BB744" s="25"/>
      <c r="BC744" s="25"/>
      <c r="BD744" s="25">
        <v>22.702083333333331</v>
      </c>
      <c r="BE744" s="25"/>
    </row>
    <row r="745" spans="1:57" x14ac:dyDescent="0.25">
      <c r="A745" s="1">
        <v>28</v>
      </c>
      <c r="B745" s="1">
        <v>18.2</v>
      </c>
      <c r="C745" s="22"/>
      <c r="D745" s="23">
        <v>44452</v>
      </c>
      <c r="E745" s="24">
        <v>136.0625</v>
      </c>
      <c r="F745" s="24">
        <v>86.8125</v>
      </c>
      <c r="G745" s="24">
        <v>21.404166666666672</v>
      </c>
      <c r="H745" s="24">
        <v>64.5</v>
      </c>
      <c r="I745" s="24">
        <v>233.89583333333334</v>
      </c>
      <c r="J745" s="24">
        <v>3.7083333333333335</v>
      </c>
      <c r="K745" s="24">
        <v>4.1666666666666664E-2</v>
      </c>
      <c r="L745" s="24">
        <v>18.958333333333336</v>
      </c>
      <c r="M745" s="10">
        <v>0.3940462378737502</v>
      </c>
      <c r="N745" s="25">
        <v>0.40849999999999986</v>
      </c>
      <c r="O745" s="25">
        <v>0.53120833333333339</v>
      </c>
      <c r="P745" s="25">
        <v>0.5875416666666663</v>
      </c>
      <c r="Q745" s="25">
        <v>0.60060416666666683</v>
      </c>
      <c r="R745" s="25">
        <v>0.47468750000000032</v>
      </c>
      <c r="S745" s="25">
        <v>0.38589583333333327</v>
      </c>
      <c r="T745" s="25">
        <v>0.34329166666666672</v>
      </c>
      <c r="U745" s="25">
        <v>0.2937499999999999</v>
      </c>
      <c r="V745" s="25">
        <v>-29.432291666666661</v>
      </c>
      <c r="W745" s="25">
        <v>-30.289374999999996</v>
      </c>
      <c r="X745" s="25">
        <v>-12.323749999999995</v>
      </c>
      <c r="Y745" s="25">
        <v>-14.509583333333333</v>
      </c>
      <c r="Z745" s="25">
        <v>-12.904999999999996</v>
      </c>
      <c r="AA745" s="25">
        <v>-15.621041666666672</v>
      </c>
      <c r="AB745" s="25">
        <v>-15.318125</v>
      </c>
      <c r="AC745" s="25">
        <v>-13.614166666666662</v>
      </c>
      <c r="AD745" s="25">
        <v>-10.054166666666676</v>
      </c>
      <c r="AE745" s="25">
        <v>-11.568750000000001</v>
      </c>
      <c r="AF745" s="25">
        <v>-14.231250000000001</v>
      </c>
      <c r="AG745" s="25">
        <v>-26.095833333333335</v>
      </c>
      <c r="AH745" s="25">
        <v>-12.462500000000006</v>
      </c>
      <c r="AI745" s="25">
        <v>-10.366666666666664</v>
      </c>
      <c r="AJ745" s="25">
        <v>-41.468749999999943</v>
      </c>
      <c r="AK745" s="25">
        <v>-11.602083333333335</v>
      </c>
      <c r="AL745" s="25">
        <v>21.864583333333332</v>
      </c>
      <c r="AM745" s="25">
        <v>21.716666666666672</v>
      </c>
      <c r="AN745" s="25">
        <v>21.391666666666641</v>
      </c>
      <c r="AO745" s="25">
        <v>21.241666666666692</v>
      </c>
      <c r="AP745" s="25">
        <v>21.431250000000002</v>
      </c>
      <c r="AQ745" s="25">
        <v>21.541666666666671</v>
      </c>
      <c r="AR745" s="25">
        <v>21.379166666666677</v>
      </c>
      <c r="AS745" s="25">
        <v>21.293750000000014</v>
      </c>
      <c r="AT745" s="25">
        <v>0.423375</v>
      </c>
      <c r="AU745" s="25">
        <v>0.28871428571428576</v>
      </c>
      <c r="AV745" s="25">
        <v>0.46158333333333329</v>
      </c>
      <c r="AW745" s="25">
        <v>-47.280416666666667</v>
      </c>
      <c r="AX745" s="25">
        <v>-21.289583333333333</v>
      </c>
      <c r="AY745" s="25">
        <v>-14.589583333333335</v>
      </c>
      <c r="AZ745" s="25"/>
      <c r="BA745" s="25">
        <v>-10.525000000000007</v>
      </c>
      <c r="BB745" s="25"/>
      <c r="BC745" s="25"/>
      <c r="BD745" s="25">
        <v>21.581250000000008</v>
      </c>
      <c r="BE745" s="25"/>
    </row>
    <row r="746" spans="1:57" x14ac:dyDescent="0.25">
      <c r="A746" s="1">
        <v>28.4</v>
      </c>
      <c r="B746" s="1">
        <v>18.399999999999999</v>
      </c>
      <c r="C746" s="22"/>
      <c r="D746" s="23">
        <v>44453</v>
      </c>
      <c r="E746" s="24">
        <v>188.75</v>
      </c>
      <c r="F746" s="24">
        <v>82.447916666666657</v>
      </c>
      <c r="G746" s="24">
        <v>22.362500000000001</v>
      </c>
      <c r="H746" s="24">
        <v>5</v>
      </c>
      <c r="I746" s="24">
        <v>228.52083333333334</v>
      </c>
      <c r="J746" s="24">
        <v>5.4375</v>
      </c>
      <c r="K746" s="24">
        <v>0.25</v>
      </c>
      <c r="L746" s="24">
        <v>19.033333333333339</v>
      </c>
      <c r="M746" s="10">
        <v>0.54425011648052057</v>
      </c>
      <c r="N746" s="25">
        <v>0.39370833333333338</v>
      </c>
      <c r="O746" s="25">
        <v>0.51649999999999996</v>
      </c>
      <c r="P746" s="25">
        <v>0.5742708333333334</v>
      </c>
      <c r="Q746" s="25">
        <v>0.58931249999999991</v>
      </c>
      <c r="R746" s="25">
        <v>0.47258333333333319</v>
      </c>
      <c r="S746" s="25">
        <v>0.37710416666666674</v>
      </c>
      <c r="T746" s="25">
        <v>0.34437500000000004</v>
      </c>
      <c r="U746" s="25">
        <v>0.2948958333333333</v>
      </c>
      <c r="V746" s="25">
        <v>-15.148125</v>
      </c>
      <c r="W746" s="25">
        <v>-33.46125</v>
      </c>
      <c r="X746" s="25">
        <v>-12.721666666666671</v>
      </c>
      <c r="Y746" s="25">
        <v>-13.267291666666665</v>
      </c>
      <c r="Z746" s="25">
        <v>-12.484166666666667</v>
      </c>
      <c r="AA746" s="25">
        <v>-16.221666666666668</v>
      </c>
      <c r="AB746" s="25">
        <v>-16.663750000000004</v>
      </c>
      <c r="AC746" s="25">
        <v>-14.927083333333334</v>
      </c>
      <c r="AD746" s="25">
        <v>-10.056249999999997</v>
      </c>
      <c r="AE746" s="25">
        <v>-20.708333333333339</v>
      </c>
      <c r="AF746" s="25">
        <v>-29.349999999999998</v>
      </c>
      <c r="AG746" s="25">
        <v>-19.256250000000001</v>
      </c>
      <c r="AH746" s="25">
        <v>-12.506249999999994</v>
      </c>
      <c r="AI746" s="25">
        <v>-10.620833333333332</v>
      </c>
      <c r="AJ746" s="25">
        <v>-10.71041666666666</v>
      </c>
      <c r="AK746" s="25">
        <v>-12.193750000000003</v>
      </c>
      <c r="AL746" s="25">
        <v>22.066666666666666</v>
      </c>
      <c r="AM746" s="25">
        <v>21.685416666666669</v>
      </c>
      <c r="AN746" s="25">
        <v>21.285416666666659</v>
      </c>
      <c r="AO746" s="25">
        <v>21.177083333333346</v>
      </c>
      <c r="AP746" s="25">
        <v>21.864583333333332</v>
      </c>
      <c r="AQ746" s="25">
        <v>21.622916666666665</v>
      </c>
      <c r="AR746" s="25">
        <v>21.320833333333336</v>
      </c>
      <c r="AS746" s="25">
        <v>21.181250000000013</v>
      </c>
      <c r="AT746" s="25">
        <v>0.41500000000000004</v>
      </c>
      <c r="AU746" s="25">
        <v>0.28265384615384614</v>
      </c>
      <c r="AV746" s="25">
        <v>0.43487499999999996</v>
      </c>
      <c r="AW746" s="25">
        <v>-52.897083333333335</v>
      </c>
      <c r="AX746" s="25">
        <v>-15.672500000000005</v>
      </c>
      <c r="AY746" s="25">
        <v>-14.452916666666665</v>
      </c>
      <c r="AZ746" s="25"/>
      <c r="BA746" s="25">
        <v>-10.520833333333332</v>
      </c>
      <c r="BB746" s="25"/>
      <c r="BC746" s="25"/>
      <c r="BD746" s="25">
        <v>22.108333333333334</v>
      </c>
      <c r="BE746" s="25"/>
    </row>
    <row r="747" spans="1:57" x14ac:dyDescent="0.25">
      <c r="A747" s="1">
        <v>28.6</v>
      </c>
      <c r="B747" s="1">
        <v>18.600000000000001</v>
      </c>
      <c r="C747" s="22"/>
      <c r="D747" s="23">
        <v>44454</v>
      </c>
      <c r="E747" s="24">
        <v>191.77083333333334</v>
      </c>
      <c r="F747" s="24">
        <v>80.643749999999983</v>
      </c>
      <c r="G747" s="24">
        <v>22.602083333333336</v>
      </c>
      <c r="H747" s="24">
        <v>0</v>
      </c>
      <c r="I747" s="24">
        <v>230.72916666666666</v>
      </c>
      <c r="J747" s="24">
        <v>7.541666666666667</v>
      </c>
      <c r="K747" s="24">
        <v>0.66666666666666663</v>
      </c>
      <c r="L747" s="24">
        <v>18.945833333333329</v>
      </c>
      <c r="M747" s="10">
        <v>0.59185390682457051</v>
      </c>
      <c r="N747" s="25">
        <v>0.37529166666666658</v>
      </c>
      <c r="O747" s="25">
        <v>0.50600000000000012</v>
      </c>
      <c r="P747" s="25">
        <v>0.56356249999999986</v>
      </c>
      <c r="Q747" s="25">
        <v>0.5811041666666662</v>
      </c>
      <c r="R747" s="25">
        <v>0.46639583333333318</v>
      </c>
      <c r="S747" s="25">
        <v>0.37016666666666653</v>
      </c>
      <c r="T747" s="25">
        <v>0.34231249999999985</v>
      </c>
      <c r="U747" s="25">
        <v>0.29529166666666667</v>
      </c>
      <c r="V747" s="25">
        <v>-16.187916666666666</v>
      </c>
      <c r="W747" s="25">
        <v>-44.520208333333329</v>
      </c>
      <c r="X747" s="25">
        <v>-14.053333333333333</v>
      </c>
      <c r="Y747" s="25">
        <v>-14.751250000000001</v>
      </c>
      <c r="Z747" s="25">
        <v>-12.801666666666661</v>
      </c>
      <c r="AA747" s="25">
        <v>-20.991041666666668</v>
      </c>
      <c r="AB747" s="25">
        <v>-21.067291666666659</v>
      </c>
      <c r="AC747" s="25">
        <v>-17.519375000000004</v>
      </c>
      <c r="AD747" s="25">
        <v>-10.170833333333331</v>
      </c>
      <c r="AE747" s="25">
        <v>-32.55416666666666</v>
      </c>
      <c r="AF747" s="25">
        <v>-48.156250000000007</v>
      </c>
      <c r="AG747" s="25">
        <v>-29.868750000000002</v>
      </c>
      <c r="AH747" s="25">
        <v>-12.76666666666666</v>
      </c>
      <c r="AI747" s="25">
        <v>-11.504166666666668</v>
      </c>
      <c r="AJ747" s="25">
        <v>-11.356250000000003</v>
      </c>
      <c r="AK747" s="25">
        <v>-14.949999999999998</v>
      </c>
      <c r="AL747" s="25">
        <v>22.108333333333334</v>
      </c>
      <c r="AM747" s="25">
        <v>21.743750000000006</v>
      </c>
      <c r="AN747" s="25">
        <v>21.312499999999979</v>
      </c>
      <c r="AO747" s="25">
        <v>21.200000000000021</v>
      </c>
      <c r="AP747" s="25">
        <v>21.947916666666668</v>
      </c>
      <c r="AQ747" s="25">
        <v>21.706249999999997</v>
      </c>
      <c r="AR747" s="25">
        <v>21.402083333333312</v>
      </c>
      <c r="AS747" s="25">
        <v>21.260416666666682</v>
      </c>
      <c r="AT747" s="25">
        <v>0.4048333333333331</v>
      </c>
      <c r="AU747" s="25">
        <v>0.25600000000000006</v>
      </c>
      <c r="AV747" s="25">
        <v>0.41068750000000004</v>
      </c>
      <c r="AW747" s="25">
        <v>-52.670416666666661</v>
      </c>
      <c r="AX747" s="25">
        <v>-15.126249999999994</v>
      </c>
      <c r="AY747" s="25">
        <v>-15.077500000000001</v>
      </c>
      <c r="AZ747" s="25"/>
      <c r="BA747" s="25">
        <v>-10.562500000000002</v>
      </c>
      <c r="BB747" s="25"/>
      <c r="BC747" s="25"/>
      <c r="BD747" s="25">
        <v>22.287499999999998</v>
      </c>
      <c r="BE747" s="25"/>
    </row>
    <row r="748" spans="1:57" x14ac:dyDescent="0.25">
      <c r="A748" s="1">
        <v>26.2</v>
      </c>
      <c r="B748" s="1">
        <v>17.2</v>
      </c>
      <c r="C748" s="22"/>
      <c r="D748" s="23">
        <v>44455</v>
      </c>
      <c r="E748" s="24">
        <v>122.4375</v>
      </c>
      <c r="F748" s="24">
        <v>84.381249999999994</v>
      </c>
      <c r="G748" s="24">
        <v>21.552083333333329</v>
      </c>
      <c r="H748" s="24">
        <v>15.600000000000001</v>
      </c>
      <c r="I748" s="24">
        <v>236.14583333333334</v>
      </c>
      <c r="J748" s="24">
        <v>6.083333333333333</v>
      </c>
      <c r="K748" s="24">
        <v>0.3125</v>
      </c>
      <c r="L748" s="24">
        <v>18.745833333333334</v>
      </c>
      <c r="M748" s="10">
        <v>0.42651585903287459</v>
      </c>
      <c r="N748" s="25">
        <v>0.35281249999999997</v>
      </c>
      <c r="O748" s="25">
        <v>0.49185416666666654</v>
      </c>
      <c r="P748" s="25">
        <v>0.55004166666666687</v>
      </c>
      <c r="Q748" s="25">
        <v>0.57431249999999989</v>
      </c>
      <c r="R748" s="25">
        <v>0.46002083333333327</v>
      </c>
      <c r="S748" s="25">
        <v>0.36168750000000011</v>
      </c>
      <c r="T748" s="25">
        <v>0.34106249999999988</v>
      </c>
      <c r="U748" s="25">
        <v>0.29558333333333325</v>
      </c>
      <c r="V748" s="25">
        <v>-18.551458333333329</v>
      </c>
      <c r="W748" s="25">
        <v>-27.390416666666667</v>
      </c>
      <c r="X748" s="25">
        <v>-17.147500000000001</v>
      </c>
      <c r="Y748" s="25">
        <v>-18.185833333333331</v>
      </c>
      <c r="Z748" s="25">
        <v>-14.587708333333332</v>
      </c>
      <c r="AA748" s="25">
        <v>-26.017708333333331</v>
      </c>
      <c r="AB748" s="25">
        <v>-26.74229166666667</v>
      </c>
      <c r="AC748" s="25">
        <v>-26.951666666666668</v>
      </c>
      <c r="AD748" s="25">
        <v>-11.66666666666667</v>
      </c>
      <c r="AE748" s="25">
        <v>-47.810416666666669</v>
      </c>
      <c r="AF748" s="25">
        <v>-69.297916666666666</v>
      </c>
      <c r="AG748" s="25">
        <v>-42.747916666666676</v>
      </c>
      <c r="AH748" s="25">
        <v>-14.075000000000001</v>
      </c>
      <c r="AI748" s="25">
        <v>-14.329166666666666</v>
      </c>
      <c r="AJ748" s="25">
        <v>-13.827083333333334</v>
      </c>
      <c r="AK748" s="25">
        <v>-12.170833333333329</v>
      </c>
      <c r="AL748" s="25">
        <v>21.908333333333335</v>
      </c>
      <c r="AM748" s="25">
        <v>21.706250000000015</v>
      </c>
      <c r="AN748" s="25">
        <v>21.335416666666642</v>
      </c>
      <c r="AO748" s="25">
        <v>21.200000000000021</v>
      </c>
      <c r="AP748" s="25">
        <v>21.749999999999996</v>
      </c>
      <c r="AQ748" s="25">
        <v>21.670833333333348</v>
      </c>
      <c r="AR748" s="25">
        <v>21.406249999999982</v>
      </c>
      <c r="AS748" s="25">
        <v>21.260416666666686</v>
      </c>
      <c r="AT748" s="25">
        <v>0.39104166666666668</v>
      </c>
      <c r="AU748" s="25">
        <v>0.24475999999999998</v>
      </c>
      <c r="AV748" s="25">
        <v>0.38474999999999993</v>
      </c>
      <c r="AW748" s="25">
        <v>-33.768124999999998</v>
      </c>
      <c r="AX748" s="25">
        <v>-16.430833333333332</v>
      </c>
      <c r="AY748" s="25">
        <v>-18.518749999999997</v>
      </c>
      <c r="AZ748" s="25"/>
      <c r="BA748" s="25">
        <v>-10.737499999999995</v>
      </c>
      <c r="BB748" s="25"/>
      <c r="BC748" s="25"/>
      <c r="BD748" s="25">
        <v>21.954166666666666</v>
      </c>
      <c r="BE748" s="25"/>
    </row>
    <row r="749" spans="1:57" x14ac:dyDescent="0.25">
      <c r="A749" s="1">
        <v>29.2</v>
      </c>
      <c r="B749" s="1">
        <v>17.2</v>
      </c>
      <c r="C749" s="22"/>
      <c r="D749" s="23">
        <v>44456</v>
      </c>
      <c r="E749" s="24">
        <v>146.14583333333334</v>
      </c>
      <c r="F749" s="24">
        <v>86.935416666666683</v>
      </c>
      <c r="G749" s="24">
        <v>21.300000000000004</v>
      </c>
      <c r="H749" s="24">
        <v>19.799999999999997</v>
      </c>
      <c r="I749" s="24">
        <v>234.95833333333334</v>
      </c>
      <c r="J749" s="24">
        <v>4.625</v>
      </c>
      <c r="K749" s="24">
        <v>8.3333333333333329E-2</v>
      </c>
      <c r="L749" s="24">
        <v>18.866666666666671</v>
      </c>
      <c r="M749" s="10">
        <v>0.3974607175158576</v>
      </c>
      <c r="N749" s="25">
        <v>0.41402083333333334</v>
      </c>
      <c r="O749" s="25">
        <v>0.5429791666666669</v>
      </c>
      <c r="P749" s="25">
        <v>0.58852083333333294</v>
      </c>
      <c r="Q749" s="25">
        <v>0.6151458333333335</v>
      </c>
      <c r="R749" s="25">
        <v>0.48333333333333367</v>
      </c>
      <c r="S749" s="25">
        <v>0.39314583333333325</v>
      </c>
      <c r="T749" s="25">
        <v>0.35383333333333361</v>
      </c>
      <c r="U749" s="25">
        <v>0.31987500000000002</v>
      </c>
      <c r="V749" s="25">
        <v>-14.391458333333331</v>
      </c>
      <c r="W749" s="25">
        <v>-27.007291666666671</v>
      </c>
      <c r="X749" s="25">
        <v>-13.068958333333333</v>
      </c>
      <c r="Y749" s="25">
        <v>-12.788750000000009</v>
      </c>
      <c r="Z749" s="25">
        <v>-12.409166666666666</v>
      </c>
      <c r="AA749" s="25">
        <v>-14.620833333333337</v>
      </c>
      <c r="AB749" s="25">
        <v>-15.318958333333335</v>
      </c>
      <c r="AC749" s="25">
        <v>-16.109374999999996</v>
      </c>
      <c r="AD749" s="25">
        <v>-10.216666666666658</v>
      </c>
      <c r="AE749" s="25">
        <v>-17.122916666666658</v>
      </c>
      <c r="AF749" s="25">
        <v>-27.070833333333329</v>
      </c>
      <c r="AG749" s="25">
        <v>-16.768750000000004</v>
      </c>
      <c r="AH749" s="25">
        <v>-12.558333333333342</v>
      </c>
      <c r="AI749" s="25">
        <v>-11.166666666666673</v>
      </c>
      <c r="AJ749" s="25">
        <v>-11.34375</v>
      </c>
      <c r="AK749" s="25">
        <v>-11.297916666666659</v>
      </c>
      <c r="AL749" s="25">
        <v>21.508333333333326</v>
      </c>
      <c r="AM749" s="25">
        <v>21.408333333333335</v>
      </c>
      <c r="AN749" s="25">
        <v>21.189583333333346</v>
      </c>
      <c r="AO749" s="25">
        <v>21.145833333333343</v>
      </c>
      <c r="AP749" s="25">
        <v>21.131249999999998</v>
      </c>
      <c r="AQ749" s="25">
        <v>21.245833333333334</v>
      </c>
      <c r="AR749" s="25">
        <v>21.108333333333334</v>
      </c>
      <c r="AS749" s="25">
        <v>21.062499999999996</v>
      </c>
      <c r="AT749" s="25">
        <v>0.45989583333333334</v>
      </c>
      <c r="AU749" s="25">
        <v>0.33996428571428561</v>
      </c>
      <c r="AV749" s="25">
        <v>0.48099999999999987</v>
      </c>
      <c r="AW749" s="25">
        <v>-29.556041666666669</v>
      </c>
      <c r="AX749" s="25">
        <v>-16.067708333333321</v>
      </c>
      <c r="AY749" s="25">
        <v>-14.445208333333335</v>
      </c>
      <c r="AZ749" s="25"/>
      <c r="BA749" s="25">
        <v>-10.137499999999998</v>
      </c>
      <c r="BB749" s="25"/>
      <c r="BC749" s="25"/>
      <c r="BD749" s="25">
        <v>21.781249999999996</v>
      </c>
      <c r="BE749" s="25"/>
    </row>
    <row r="750" spans="1:57" x14ac:dyDescent="0.25">
      <c r="A750" s="1">
        <v>28.8</v>
      </c>
      <c r="B750" s="1">
        <v>19.5</v>
      </c>
      <c r="C750" s="22"/>
      <c r="D750" s="23">
        <v>44457</v>
      </c>
      <c r="E750" s="24">
        <v>164.89583333333334</v>
      </c>
      <c r="F750" s="24">
        <v>82.581249999999983</v>
      </c>
      <c r="G750" s="24">
        <v>22.568749999999998</v>
      </c>
      <c r="H750" s="24">
        <v>7.4</v>
      </c>
      <c r="I750" s="24">
        <v>226.77083333333334</v>
      </c>
      <c r="J750" s="24">
        <v>14.4375</v>
      </c>
      <c r="K750" s="24">
        <v>2.875</v>
      </c>
      <c r="L750" s="24">
        <v>19.341666666666665</v>
      </c>
      <c r="M750" s="10">
        <v>0.51660529275050193</v>
      </c>
      <c r="N750" s="25">
        <v>0.4236666666666668</v>
      </c>
      <c r="O750" s="25">
        <v>0.54366666666666685</v>
      </c>
      <c r="P750" s="25">
        <v>0.59058333333333335</v>
      </c>
      <c r="Q750" s="25">
        <v>0.61208333333333353</v>
      </c>
      <c r="R750" s="25">
        <v>0.48918749999999983</v>
      </c>
      <c r="S750" s="25">
        <v>0.40583333333333327</v>
      </c>
      <c r="T750" s="25">
        <v>0.36704166666666643</v>
      </c>
      <c r="U750" s="25">
        <v>0.33554166666666668</v>
      </c>
      <c r="V750" s="25">
        <v>-14.267291666666667</v>
      </c>
      <c r="W750" s="25">
        <v>-28.241249999999997</v>
      </c>
      <c r="X750" s="25">
        <v>-12.313541666666666</v>
      </c>
      <c r="Y750" s="25">
        <v>-12.669166666666671</v>
      </c>
      <c r="Z750" s="25">
        <v>-12.369375000000003</v>
      </c>
      <c r="AA750" s="25">
        <v>-12.643333333333333</v>
      </c>
      <c r="AB750" s="25">
        <v>-13.268958333333336</v>
      </c>
      <c r="AC750" s="25">
        <v>-13.615416666666667</v>
      </c>
      <c r="AD750" s="25">
        <v>-9.7499999999999982</v>
      </c>
      <c r="AE750" s="25">
        <v>-11.245833333333332</v>
      </c>
      <c r="AF750" s="25">
        <v>-11.83749999999999</v>
      </c>
      <c r="AG750" s="25">
        <v>-12.210416666666669</v>
      </c>
      <c r="AH750" s="25">
        <v>-12.431249999999999</v>
      </c>
      <c r="AI750" s="25">
        <v>-10.46875</v>
      </c>
      <c r="AJ750" s="25">
        <v>-10.591666666666677</v>
      </c>
      <c r="AK750" s="25">
        <v>-11.352083333333335</v>
      </c>
      <c r="AL750" s="25">
        <v>21.831250000000001</v>
      </c>
      <c r="AM750" s="25">
        <v>21.481249999999992</v>
      </c>
      <c r="AN750" s="25">
        <v>21.143750000000008</v>
      </c>
      <c r="AO750" s="25">
        <v>21.085416666666678</v>
      </c>
      <c r="AP750" s="25">
        <v>21.641666666666666</v>
      </c>
      <c r="AQ750" s="25">
        <v>21.460416666666671</v>
      </c>
      <c r="AR750" s="25">
        <v>21.172916666666673</v>
      </c>
      <c r="AS750" s="25">
        <v>21.054166666666674</v>
      </c>
      <c r="AT750" s="25">
        <v>0.45110416666666664</v>
      </c>
      <c r="AU750" s="25">
        <v>0.31185714285714283</v>
      </c>
      <c r="AV750" s="25">
        <v>0.47425</v>
      </c>
      <c r="AW750" s="25">
        <v>-31.375833333333322</v>
      </c>
      <c r="AX750" s="25">
        <v>-15.694166666666673</v>
      </c>
      <c r="AY750" s="25">
        <v>-14.378750000000002</v>
      </c>
      <c r="AZ750" s="25"/>
      <c r="BA750" s="25">
        <v>-10.083333333333343</v>
      </c>
      <c r="BB750" s="25"/>
      <c r="BC750" s="25"/>
      <c r="BD750" s="25">
        <v>22.237499999999997</v>
      </c>
      <c r="BE750" s="25"/>
    </row>
    <row r="751" spans="1:57" x14ac:dyDescent="0.25">
      <c r="A751" s="1">
        <v>21.3</v>
      </c>
      <c r="B751" s="1">
        <v>16.100000000000001</v>
      </c>
      <c r="C751" s="22"/>
      <c r="D751" s="23">
        <v>44458</v>
      </c>
      <c r="E751" s="24">
        <v>68.354166666666671</v>
      </c>
      <c r="F751" s="24">
        <v>89.681249999999977</v>
      </c>
      <c r="G751" s="24">
        <v>18.985416666666662</v>
      </c>
      <c r="H751" s="24">
        <v>5.7000000000000011</v>
      </c>
      <c r="I751" s="24">
        <v>282.47916666666669</v>
      </c>
      <c r="J751" s="24">
        <v>4.9375</v>
      </c>
      <c r="K751" s="24">
        <v>0.375</v>
      </c>
      <c r="L751" s="24">
        <v>17.235416666666669</v>
      </c>
      <c r="M751" s="10">
        <v>0.23431647646704559</v>
      </c>
      <c r="N751" s="25">
        <v>0.41216666666666657</v>
      </c>
      <c r="O751" s="25">
        <v>0.53039583333333329</v>
      </c>
      <c r="P751" s="25">
        <v>0.58341666666666614</v>
      </c>
      <c r="Q751" s="25">
        <v>0.60041666666666693</v>
      </c>
      <c r="R751" s="25">
        <v>0.48802083333333296</v>
      </c>
      <c r="S751" s="25">
        <v>0.4008333333333331</v>
      </c>
      <c r="T751" s="25">
        <v>0.3768958333333336</v>
      </c>
      <c r="U751" s="25">
        <v>0.3683958333333332</v>
      </c>
      <c r="V751" s="25">
        <v>-14.291666666666671</v>
      </c>
      <c r="W751" s="25">
        <v>-29.375624999999999</v>
      </c>
      <c r="X751" s="25">
        <v>-12.474999999999994</v>
      </c>
      <c r="Y751" s="25">
        <v>-12.792916666666665</v>
      </c>
      <c r="Z751" s="25">
        <v>-12.321250000000001</v>
      </c>
      <c r="AA751" s="25">
        <v>-13.143333333333331</v>
      </c>
      <c r="AB751" s="25">
        <v>-13.60416666666667</v>
      </c>
      <c r="AC751" s="25">
        <v>-14.026458333333332</v>
      </c>
      <c r="AD751" s="25">
        <v>-9.7104166666666654</v>
      </c>
      <c r="AE751" s="25">
        <v>-11.199999999999996</v>
      </c>
      <c r="AF751" s="25">
        <v>-11.385416666666657</v>
      </c>
      <c r="AG751" s="25">
        <v>-12.200000000000001</v>
      </c>
      <c r="AH751" s="25">
        <v>-12.312500000000002</v>
      </c>
      <c r="AI751" s="25">
        <v>-10.460416666666658</v>
      </c>
      <c r="AJ751" s="25">
        <v>-10.539583333333333</v>
      </c>
      <c r="AK751" s="25">
        <v>-11.375</v>
      </c>
      <c r="AL751" s="25">
        <v>21.254166666666666</v>
      </c>
      <c r="AM751" s="25">
        <v>21.381249999999998</v>
      </c>
      <c r="AN751" s="25">
        <v>21.147916666666674</v>
      </c>
      <c r="AO751" s="25">
        <v>21.07500000000001</v>
      </c>
      <c r="AP751" s="25">
        <v>20.991666666666653</v>
      </c>
      <c r="AQ751" s="25">
        <v>21.327083333333338</v>
      </c>
      <c r="AR751" s="25">
        <v>21.175000000000008</v>
      </c>
      <c r="AS751" s="25">
        <v>21.093750000000004</v>
      </c>
      <c r="AT751" s="25">
        <v>0.44385416666666661</v>
      </c>
      <c r="AU751" s="25">
        <v>0.31325000000000003</v>
      </c>
      <c r="AV751" s="25">
        <v>0.46889583333333346</v>
      </c>
      <c r="AW751" s="25">
        <v>-39.685416666666661</v>
      </c>
      <c r="AX751" s="25">
        <v>-15.534374999999985</v>
      </c>
      <c r="AY751" s="25">
        <v>-14.519374999999998</v>
      </c>
      <c r="AZ751" s="25"/>
      <c r="BA751" s="25">
        <v>-10.010416666666661</v>
      </c>
      <c r="BB751" s="25"/>
      <c r="BC751" s="25"/>
      <c r="BD751" s="25">
        <v>20.908333333333331</v>
      </c>
      <c r="BE751" s="25"/>
    </row>
    <row r="752" spans="1:57" x14ac:dyDescent="0.25">
      <c r="A752" s="1">
        <v>29.4</v>
      </c>
      <c r="B752" s="1">
        <v>13.8</v>
      </c>
      <c r="C752" s="22"/>
      <c r="D752" s="23">
        <v>44459</v>
      </c>
      <c r="E752" s="24">
        <v>264</v>
      </c>
      <c r="F752" s="24">
        <v>75.420833333333334</v>
      </c>
      <c r="G752" s="24">
        <v>20.418750000000003</v>
      </c>
      <c r="H752" s="24">
        <v>0</v>
      </c>
      <c r="I752" s="24">
        <v>292.375</v>
      </c>
      <c r="J752" s="24">
        <v>2.8958333333333335</v>
      </c>
      <c r="K752" s="24">
        <v>0.125</v>
      </c>
      <c r="L752" s="24">
        <v>15.089583333333337</v>
      </c>
      <c r="M752" s="10">
        <v>0.80904150398719299</v>
      </c>
      <c r="N752" s="25">
        <v>0.40510416666666682</v>
      </c>
      <c r="O752" s="25">
        <v>0.52366666666666684</v>
      </c>
      <c r="P752" s="25">
        <v>0.57770833333333349</v>
      </c>
      <c r="Q752" s="25">
        <v>0.59475</v>
      </c>
      <c r="R752" s="25">
        <v>0.48677083333333365</v>
      </c>
      <c r="S752" s="25">
        <v>0.39660416666666681</v>
      </c>
      <c r="T752" s="25">
        <v>0.38627083333333356</v>
      </c>
      <c r="U752" s="25">
        <v>0.37791666666666668</v>
      </c>
      <c r="V752" s="25">
        <v>-14.382916666666668</v>
      </c>
      <c r="W752" s="25">
        <v>-34.981874999999995</v>
      </c>
      <c r="X752" s="25">
        <v>-12.61</v>
      </c>
      <c r="Y752" s="25">
        <v>-13.097708333333332</v>
      </c>
      <c r="Z752" s="25">
        <v>-12.404791666666666</v>
      </c>
      <c r="AA752" s="25">
        <v>-14.38</v>
      </c>
      <c r="AB752" s="25">
        <v>-14.556666666666665</v>
      </c>
      <c r="AC752" s="25">
        <v>-14.803333333333336</v>
      </c>
      <c r="AD752" s="25">
        <v>-9.6958333333333329</v>
      </c>
      <c r="AE752" s="25">
        <v>-11.387499999999998</v>
      </c>
      <c r="AF752" s="25">
        <v>-11.385416666666666</v>
      </c>
      <c r="AG752" s="25">
        <v>-12.256249999999993</v>
      </c>
      <c r="AH752" s="25">
        <v>-12.306249999999993</v>
      </c>
      <c r="AI752" s="25">
        <v>-10.481250000000001</v>
      </c>
      <c r="AJ752" s="25">
        <v>-10.531250000000009</v>
      </c>
      <c r="AK752" s="25">
        <v>-11.84166666666667</v>
      </c>
      <c r="AL752" s="25">
        <v>20.712499999999999</v>
      </c>
      <c r="AM752" s="25">
        <v>20.825000000000006</v>
      </c>
      <c r="AN752" s="25">
        <v>20.829166666666676</v>
      </c>
      <c r="AO752" s="25">
        <v>20.891666666666641</v>
      </c>
      <c r="AP752" s="25">
        <v>20.391666666666669</v>
      </c>
      <c r="AQ752" s="25">
        <v>20.649999999999995</v>
      </c>
      <c r="AR752" s="25">
        <v>20.631250000000005</v>
      </c>
      <c r="AS752" s="25">
        <v>20.652083333333341</v>
      </c>
      <c r="AT752" s="25">
        <v>0.4357083333333332</v>
      </c>
      <c r="AU752" s="25">
        <v>0.28123529411764703</v>
      </c>
      <c r="AV752" s="25">
        <v>0.45993750000000005</v>
      </c>
      <c r="AW752" s="25">
        <v>-49.528749999999981</v>
      </c>
      <c r="AX752" s="25">
        <v>-15.459791666666669</v>
      </c>
      <c r="AY752" s="25">
        <v>-14.517291666666665</v>
      </c>
      <c r="AZ752" s="25"/>
      <c r="BA752" s="25">
        <v>-9.9750000000000085</v>
      </c>
      <c r="BB752" s="25"/>
      <c r="BC752" s="25"/>
      <c r="BD752" s="25">
        <v>20.833333333333332</v>
      </c>
      <c r="BE752" s="25"/>
    </row>
    <row r="753" spans="1:57" x14ac:dyDescent="0.25">
      <c r="A753" s="1">
        <v>28.9</v>
      </c>
      <c r="B753" s="1">
        <v>15.2</v>
      </c>
      <c r="C753" s="22"/>
      <c r="D753" s="23">
        <v>44460</v>
      </c>
      <c r="E753" s="24">
        <v>264.66666666666669</v>
      </c>
      <c r="F753" s="24">
        <v>75.46250000000002</v>
      </c>
      <c r="G753" s="24">
        <v>21.810416666666669</v>
      </c>
      <c r="H753" s="24">
        <v>0</v>
      </c>
      <c r="I753" s="24">
        <v>218.5625</v>
      </c>
      <c r="J753" s="24">
        <v>4.645833333333333</v>
      </c>
      <c r="K753" s="24">
        <v>0.5</v>
      </c>
      <c r="L753" s="24">
        <v>16.860416666666669</v>
      </c>
      <c r="M753" s="10">
        <v>0.78409174008427251</v>
      </c>
      <c r="N753" s="25">
        <v>0.38256249999999997</v>
      </c>
      <c r="O753" s="25">
        <v>0.50812500000000027</v>
      </c>
      <c r="P753" s="25">
        <v>0.56447916666666664</v>
      </c>
      <c r="Q753" s="25">
        <v>0.58683333333333298</v>
      </c>
      <c r="R753" s="25">
        <v>0.48297916666666713</v>
      </c>
      <c r="S753" s="25">
        <v>0.38950000000000012</v>
      </c>
      <c r="T753" s="25">
        <v>0.39195833333333324</v>
      </c>
      <c r="U753" s="25">
        <v>0.3719375000000002</v>
      </c>
      <c r="V753" s="25">
        <v>-14.610625000000004</v>
      </c>
      <c r="W753" s="25">
        <v>-48.654583333333342</v>
      </c>
      <c r="X753" s="25">
        <v>-13.480833333333335</v>
      </c>
      <c r="Y753" s="25">
        <v>-14.417291666666666</v>
      </c>
      <c r="Z753" s="25">
        <v>-13.380833333333337</v>
      </c>
      <c r="AA753" s="25">
        <v>-17.945000000000004</v>
      </c>
      <c r="AB753" s="25">
        <v>-16.784999999999997</v>
      </c>
      <c r="AC753" s="25">
        <v>-17.705625000000001</v>
      </c>
      <c r="AD753" s="25">
        <v>-10.09375</v>
      </c>
      <c r="AE753" s="25">
        <v>-12.425000000000002</v>
      </c>
      <c r="AF753" s="25">
        <v>-12.24375</v>
      </c>
      <c r="AG753" s="25">
        <v>-12.575000000000001</v>
      </c>
      <c r="AH753" s="25">
        <v>-12.841666666666669</v>
      </c>
      <c r="AI753" s="25">
        <v>-11.28125</v>
      </c>
      <c r="AJ753" s="25">
        <v>-10.914583333333333</v>
      </c>
      <c r="AK753" s="25">
        <v>-14.31666666666667</v>
      </c>
      <c r="AL753" s="25">
        <v>21.247916666666658</v>
      </c>
      <c r="AM753" s="25">
        <v>20.995833333333326</v>
      </c>
      <c r="AN753" s="25">
        <v>20.768750000000008</v>
      </c>
      <c r="AO753" s="25">
        <v>20.772916666666671</v>
      </c>
      <c r="AP753" s="25">
        <v>20.912499999999994</v>
      </c>
      <c r="AQ753" s="25">
        <v>20.870833333333341</v>
      </c>
      <c r="AR753" s="25">
        <v>20.679166666666671</v>
      </c>
      <c r="AS753" s="25">
        <v>20.606250000000006</v>
      </c>
      <c r="AT753" s="25">
        <v>0.41697916666666662</v>
      </c>
      <c r="AU753" s="25">
        <v>0.26496296296296296</v>
      </c>
      <c r="AV753" s="25">
        <v>0.42491666666666678</v>
      </c>
      <c r="AW753" s="25">
        <v>-33.997500000000009</v>
      </c>
      <c r="AX753" s="25">
        <v>-15.47479166666667</v>
      </c>
      <c r="AY753" s="25">
        <v>-14.829583333333332</v>
      </c>
      <c r="AZ753" s="25"/>
      <c r="BA753" s="25">
        <v>-10.174999999999999</v>
      </c>
      <c r="BB753" s="25"/>
      <c r="BC753" s="25"/>
      <c r="BD753" s="25">
        <v>21.28541666666667</v>
      </c>
      <c r="BE753" s="25"/>
    </row>
    <row r="754" spans="1:57" x14ac:dyDescent="0.25">
      <c r="A754" s="1">
        <v>28.4</v>
      </c>
      <c r="B754" s="1">
        <v>18.100000000000001</v>
      </c>
      <c r="C754" s="22"/>
      <c r="D754" s="23">
        <v>44461</v>
      </c>
      <c r="E754" s="24">
        <v>210.52083333333334</v>
      </c>
      <c r="F754" s="24">
        <v>76.30625000000002</v>
      </c>
      <c r="G754" s="24">
        <v>22.581250000000008</v>
      </c>
      <c r="H754" s="24">
        <v>0</v>
      </c>
      <c r="I754" s="24">
        <v>218.64583333333334</v>
      </c>
      <c r="J754" s="24">
        <v>9.9583333333333339</v>
      </c>
      <c r="K754" s="24">
        <v>1.4791666666666667</v>
      </c>
      <c r="L754" s="24">
        <v>18.016666666666666</v>
      </c>
      <c r="M754" s="10">
        <v>0.71647136452995452</v>
      </c>
      <c r="N754" s="25">
        <v>0.35681249999999992</v>
      </c>
      <c r="O754" s="25">
        <v>0.49254166666666693</v>
      </c>
      <c r="P754" s="25">
        <v>0.54929166666666662</v>
      </c>
      <c r="Q754" s="25">
        <v>0.57772916666666652</v>
      </c>
      <c r="R754" s="25">
        <v>0.47510416666666666</v>
      </c>
      <c r="S754" s="25">
        <v>0.38089583333333343</v>
      </c>
      <c r="T754" s="25">
        <v>0.39141666666666652</v>
      </c>
      <c r="U754" s="25">
        <v>0.36339583333333342</v>
      </c>
      <c r="V754" s="25">
        <v>-16.36645833333333</v>
      </c>
      <c r="W754" s="25">
        <v>-66.008958333333339</v>
      </c>
      <c r="X754" s="25">
        <v>-16.307500000000001</v>
      </c>
      <c r="Y754" s="25">
        <v>-18.021041666666672</v>
      </c>
      <c r="Z754" s="25">
        <v>-15.643541666666664</v>
      </c>
      <c r="AA754" s="25">
        <v>-22.401250000000005</v>
      </c>
      <c r="AB754" s="25">
        <v>-19.623749999999998</v>
      </c>
      <c r="AC754" s="25">
        <v>-24.832291666666674</v>
      </c>
      <c r="AD754" s="25">
        <v>-12.697916666666666</v>
      </c>
      <c r="AE754" s="25">
        <v>-16.918749999999999</v>
      </c>
      <c r="AF754" s="25">
        <v>-17.641666666666669</v>
      </c>
      <c r="AG754" s="25">
        <v>-14.433333333333332</v>
      </c>
      <c r="AH754" s="25">
        <v>-15.55208333333333</v>
      </c>
      <c r="AI754" s="25">
        <v>-14.354166666666666</v>
      </c>
      <c r="AJ754" s="25">
        <v>-13.091666666666669</v>
      </c>
      <c r="AK754" s="25">
        <v>-25.735416666666666</v>
      </c>
      <c r="AL754" s="25">
        <v>21.658333333333335</v>
      </c>
      <c r="AM754" s="25">
        <v>21.250000000000004</v>
      </c>
      <c r="AN754" s="25">
        <v>20.895833333333318</v>
      </c>
      <c r="AO754" s="25">
        <v>20.799999999999979</v>
      </c>
      <c r="AP754" s="25">
        <v>21.347916666666666</v>
      </c>
      <c r="AQ754" s="25">
        <v>21.152083333333326</v>
      </c>
      <c r="AR754" s="25">
        <v>20.860416666666666</v>
      </c>
      <c r="AS754" s="25">
        <v>20.725000000000005</v>
      </c>
      <c r="AT754" s="25">
        <v>0.37833333333333341</v>
      </c>
      <c r="AU754" s="25">
        <v>0.22927272727272729</v>
      </c>
      <c r="AV754" s="25">
        <v>0.39522916666666658</v>
      </c>
      <c r="AW754" s="25">
        <v>-62.517083333333311</v>
      </c>
      <c r="AX754" s="25">
        <v>-18.615208333333335</v>
      </c>
      <c r="AY754" s="25">
        <v>-16.956041666666668</v>
      </c>
      <c r="AZ754" s="25"/>
      <c r="BA754" s="25">
        <v>-11.808333333333332</v>
      </c>
      <c r="BB754" s="25"/>
      <c r="BC754" s="25"/>
      <c r="BD754" s="25">
        <v>21.810416666666665</v>
      </c>
      <c r="BE754" s="25"/>
    </row>
    <row r="755" spans="1:57" x14ac:dyDescent="0.25">
      <c r="A755" s="1">
        <v>27.2</v>
      </c>
      <c r="B755" s="1">
        <v>18.899999999999999</v>
      </c>
      <c r="C755" s="22"/>
      <c r="D755" s="23">
        <v>44462</v>
      </c>
      <c r="E755" s="24">
        <v>171.27083333333334</v>
      </c>
      <c r="F755" s="24">
        <v>77.683333333333323</v>
      </c>
      <c r="G755" s="24">
        <v>22.022916666666664</v>
      </c>
      <c r="H755" s="24">
        <v>0</v>
      </c>
      <c r="I755" s="24">
        <v>229.14583333333334</v>
      </c>
      <c r="J755" s="24">
        <v>9.9375</v>
      </c>
      <c r="K755" s="24">
        <v>0.91666666666666663</v>
      </c>
      <c r="L755" s="24">
        <v>17.825000000000006</v>
      </c>
      <c r="M755" s="10">
        <v>0.63005966000585178</v>
      </c>
      <c r="N755" s="25">
        <v>0.329625</v>
      </c>
      <c r="O755" s="25">
        <v>0.47379166666666667</v>
      </c>
      <c r="P755" s="25">
        <v>0.53208333333333313</v>
      </c>
      <c r="Q755" s="25">
        <v>0.56518749999999984</v>
      </c>
      <c r="R755" s="25">
        <v>0.46470833333333306</v>
      </c>
      <c r="S755" s="25">
        <v>0.37172916666666672</v>
      </c>
      <c r="T755" s="25">
        <v>0.38783333333333342</v>
      </c>
      <c r="U755" s="25">
        <v>0.35499999999999993</v>
      </c>
      <c r="V755" s="25">
        <v>-20.506874999999997</v>
      </c>
      <c r="W755" s="25">
        <v>-87.694583333333313</v>
      </c>
      <c r="X755" s="25">
        <v>-20.774791666666669</v>
      </c>
      <c r="Y755" s="25">
        <v>-22.628750000000007</v>
      </c>
      <c r="Z755" s="25">
        <v>-19.666041666666668</v>
      </c>
      <c r="AA755" s="25">
        <v>-26.633749999999996</v>
      </c>
      <c r="AB755" s="25">
        <v>-23.410416666666674</v>
      </c>
      <c r="AC755" s="25">
        <v>-34.885833333333331</v>
      </c>
      <c r="AD755" s="25">
        <v>-23.383333333333329</v>
      </c>
      <c r="AE755" s="25">
        <v>-24.468749999999996</v>
      </c>
      <c r="AF755" s="25">
        <v>-28.739583333333343</v>
      </c>
      <c r="AG755" s="25">
        <v>-21.795833333333331</v>
      </c>
      <c r="AH755" s="25">
        <v>-26.577083333333338</v>
      </c>
      <c r="AI755" s="25">
        <v>-28.185416666666669</v>
      </c>
      <c r="AJ755" s="25">
        <v>-21.170833333333331</v>
      </c>
      <c r="AK755" s="25">
        <v>-39.520833333333336</v>
      </c>
      <c r="AL755" s="25">
        <v>21.681250000000006</v>
      </c>
      <c r="AM755" s="25">
        <v>21.352083333333336</v>
      </c>
      <c r="AN755" s="25">
        <v>20.981249999999996</v>
      </c>
      <c r="AO755" s="25">
        <v>20.893749999999986</v>
      </c>
      <c r="AP755" s="25">
        <v>21.304166666666664</v>
      </c>
      <c r="AQ755" s="25">
        <v>21.214583333333334</v>
      </c>
      <c r="AR755" s="25">
        <v>20.95208333333332</v>
      </c>
      <c r="AS755" s="25">
        <v>20.829166666666655</v>
      </c>
      <c r="AT755" s="25">
        <v>0.3517291666666667</v>
      </c>
      <c r="AU755" s="25">
        <v>0.20795454545454548</v>
      </c>
      <c r="AV755" s="25">
        <v>0.36079166666666668</v>
      </c>
      <c r="AW755" s="25">
        <v>-131.19250000000008</v>
      </c>
      <c r="AX755" s="25">
        <v>-31.383125000000007</v>
      </c>
      <c r="AY755" s="25">
        <v>-20.623541666666672</v>
      </c>
      <c r="AZ755" s="25"/>
      <c r="BA755" s="25">
        <v>-21.745833333333334</v>
      </c>
      <c r="BB755" s="25"/>
      <c r="BC755" s="25"/>
      <c r="BD755" s="25">
        <v>21.768750000000001</v>
      </c>
      <c r="BE755" s="25"/>
    </row>
    <row r="756" spans="1:57" x14ac:dyDescent="0.25">
      <c r="A756" s="1">
        <v>27.1</v>
      </c>
      <c r="B756" s="1">
        <v>18.3</v>
      </c>
      <c r="C756" s="22"/>
      <c r="D756" s="23">
        <v>44463</v>
      </c>
      <c r="E756" s="24">
        <v>180.83333333333334</v>
      </c>
      <c r="F756" s="24">
        <v>77.181249999999991</v>
      </c>
      <c r="G756" s="24">
        <v>21.920833333333338</v>
      </c>
      <c r="H756" s="24">
        <v>0.2</v>
      </c>
      <c r="I756" s="24">
        <v>235.79166666666666</v>
      </c>
      <c r="J756" s="24">
        <v>12.541666666666666</v>
      </c>
      <c r="K756" s="24">
        <v>2.3958333333333335</v>
      </c>
      <c r="L756" s="24">
        <v>17.59791666666667</v>
      </c>
      <c r="M756" s="10">
        <v>0.6463845860666072</v>
      </c>
      <c r="N756" s="25">
        <v>0.30487499999999995</v>
      </c>
      <c r="O756" s="25">
        <v>0.45297916666666665</v>
      </c>
      <c r="P756" s="25">
        <v>0.5122916666666667</v>
      </c>
      <c r="Q756" s="25">
        <v>0.54920833333333341</v>
      </c>
      <c r="R756" s="25">
        <v>0.45558333333333362</v>
      </c>
      <c r="S756" s="25">
        <v>0.36349999999999999</v>
      </c>
      <c r="T756" s="25">
        <v>0.38245833333333329</v>
      </c>
      <c r="U756" s="25">
        <v>0.34706250000000005</v>
      </c>
      <c r="V756" s="25">
        <v>-24.766666666666666</v>
      </c>
      <c r="W756" s="25">
        <v>-112.13749999999999</v>
      </c>
      <c r="X756" s="25">
        <v>-25.833749999999998</v>
      </c>
      <c r="Y756" s="25">
        <v>-27.121458333333322</v>
      </c>
      <c r="Z756" s="25">
        <v>-26.227083333333336</v>
      </c>
      <c r="AA756" s="25">
        <v>-31.135625000000005</v>
      </c>
      <c r="AB756" s="25">
        <v>-27.700624999999999</v>
      </c>
      <c r="AC756" s="25">
        <v>-43.571041666666673</v>
      </c>
      <c r="AD756" s="25">
        <v>-37.839583333333344</v>
      </c>
      <c r="AE756" s="25">
        <v>-31.041666666666661</v>
      </c>
      <c r="AF756" s="25">
        <v>-43.095833333333339</v>
      </c>
      <c r="AG756" s="25">
        <v>-32.852083333333347</v>
      </c>
      <c r="AH756" s="25">
        <v>-47.691666666666663</v>
      </c>
      <c r="AI756" s="25">
        <v>-56.28125</v>
      </c>
      <c r="AJ756" s="25">
        <v>-37.862500000000004</v>
      </c>
      <c r="AK756" s="25">
        <v>-63.606250000000017</v>
      </c>
      <c r="AL756" s="25">
        <v>21.700000000000003</v>
      </c>
      <c r="AM756" s="25">
        <v>21.354166666666671</v>
      </c>
      <c r="AN756" s="25">
        <v>20.989583333333332</v>
      </c>
      <c r="AO756" s="25">
        <v>20.899999999999984</v>
      </c>
      <c r="AP756" s="25">
        <v>21.162500000000005</v>
      </c>
      <c r="AQ756" s="25">
        <v>21.149999999999995</v>
      </c>
      <c r="AR756" s="25">
        <v>20.914583333333315</v>
      </c>
      <c r="AS756" s="25">
        <v>20.804166666666671</v>
      </c>
      <c r="AT756" s="25">
        <v>0.33745833333333342</v>
      </c>
      <c r="AU756" s="25">
        <v>0.19619999999999999</v>
      </c>
      <c r="AV756" s="25">
        <v>0.32320833333333338</v>
      </c>
      <c r="AW756" s="25">
        <v>-170.58124999999995</v>
      </c>
      <c r="AX756" s="25">
        <v>-47.606041666666663</v>
      </c>
      <c r="AY756" s="25">
        <v>-24.713125000000005</v>
      </c>
      <c r="AZ756" s="25"/>
      <c r="BA756" s="25">
        <v>-36.354166666666664</v>
      </c>
      <c r="BB756" s="25"/>
      <c r="BC756" s="25"/>
      <c r="BD756" s="25">
        <v>21.810416666666665</v>
      </c>
      <c r="BE756" s="25"/>
    </row>
    <row r="757" spans="1:57" x14ac:dyDescent="0.25">
      <c r="A757" s="1">
        <v>27.7</v>
      </c>
      <c r="B757" s="1">
        <v>19.3</v>
      </c>
      <c r="C757" s="22"/>
      <c r="D757" s="23">
        <v>44464</v>
      </c>
      <c r="E757" s="24">
        <v>198.91666666666666</v>
      </c>
      <c r="F757" s="24">
        <v>76.052083333333343</v>
      </c>
      <c r="G757" s="24">
        <v>22.322916666666668</v>
      </c>
      <c r="H757" s="24">
        <v>0</v>
      </c>
      <c r="I757" s="24">
        <v>236.75</v>
      </c>
      <c r="J757" s="24">
        <v>11.916666666666666</v>
      </c>
      <c r="K757" s="24">
        <v>1.75</v>
      </c>
      <c r="L757" s="24">
        <v>17.768750000000001</v>
      </c>
      <c r="M757" s="10">
        <v>0.69565695176932918</v>
      </c>
      <c r="N757" s="25">
        <v>0.28306250000000005</v>
      </c>
      <c r="O757" s="25">
        <v>0.43002083333333346</v>
      </c>
      <c r="P757" s="25">
        <v>0.49062500000000031</v>
      </c>
      <c r="Q757" s="25">
        <v>0.52920833333333328</v>
      </c>
      <c r="R757" s="25">
        <v>0.44672916666666662</v>
      </c>
      <c r="S757" s="25">
        <v>0.35520833333333313</v>
      </c>
      <c r="T757" s="25">
        <v>0.37543749999999987</v>
      </c>
      <c r="U757" s="25">
        <v>0.33852083333333333</v>
      </c>
      <c r="V757" s="25">
        <v>-30.165000000000006</v>
      </c>
      <c r="W757" s="25">
        <v>-136.84999999999997</v>
      </c>
      <c r="X757" s="25">
        <v>-31.414583333333336</v>
      </c>
      <c r="Y757" s="25">
        <v>-31.838750000000005</v>
      </c>
      <c r="Z757" s="25">
        <v>-34.128958333333337</v>
      </c>
      <c r="AA757" s="25">
        <v>-35.726250000000007</v>
      </c>
      <c r="AB757" s="25">
        <v>-32.158333333333339</v>
      </c>
      <c r="AC757" s="25">
        <v>-50.860416666666673</v>
      </c>
      <c r="AD757" s="25">
        <v>-63.75</v>
      </c>
      <c r="AE757" s="25">
        <v>-48.770833333333336</v>
      </c>
      <c r="AF757" s="25">
        <v>-76.595833333333346</v>
      </c>
      <c r="AG757" s="25">
        <v>-52.085416666666674</v>
      </c>
      <c r="AH757" s="25">
        <v>-91.3</v>
      </c>
      <c r="AI757" s="25">
        <v>-110.28541666666668</v>
      </c>
      <c r="AJ757" s="25">
        <v>-74.114583333333329</v>
      </c>
      <c r="AK757" s="25">
        <v>-143.63541666666666</v>
      </c>
      <c r="AL757" s="25">
        <v>21.916666666666671</v>
      </c>
      <c r="AM757" s="25">
        <v>21.420833333333338</v>
      </c>
      <c r="AN757" s="25">
        <v>21.016666666666666</v>
      </c>
      <c r="AO757" s="25">
        <v>20.899999999999984</v>
      </c>
      <c r="AP757" s="25">
        <v>21.270833333333339</v>
      </c>
      <c r="AQ757" s="25">
        <v>21.14791666666666</v>
      </c>
      <c r="AR757" s="25">
        <v>20.887499999999992</v>
      </c>
      <c r="AS757" s="25">
        <v>20.758333333333344</v>
      </c>
      <c r="AT757" s="25">
        <v>0.3202916666666667</v>
      </c>
      <c r="AU757" s="25">
        <v>0.16666666666666666</v>
      </c>
      <c r="AV757" s="25">
        <v>0.28533333333333338</v>
      </c>
      <c r="AW757" s="25">
        <v>-194.89565217391302</v>
      </c>
      <c r="AX757" s="25">
        <v>-62.919166666666662</v>
      </c>
      <c r="AY757" s="25">
        <v>-32.959374999999987</v>
      </c>
      <c r="AZ757" s="25"/>
      <c r="BA757" s="25">
        <v>-97.16249999999998</v>
      </c>
      <c r="BB757" s="25"/>
      <c r="BC757" s="25"/>
      <c r="BD757" s="25">
        <v>22.045833333333331</v>
      </c>
      <c r="BE757" s="25"/>
    </row>
    <row r="758" spans="1:57" x14ac:dyDescent="0.25">
      <c r="A758" s="1">
        <v>28.1</v>
      </c>
      <c r="B758" s="1">
        <v>18.600000000000001</v>
      </c>
      <c r="C758" s="22"/>
      <c r="D758" s="23">
        <v>44465</v>
      </c>
      <c r="E758" s="24">
        <v>211.20833333333334</v>
      </c>
      <c r="F758" s="24">
        <v>74.212499999999991</v>
      </c>
      <c r="G758" s="24">
        <v>22.545833333333334</v>
      </c>
      <c r="H758" s="24">
        <v>0</v>
      </c>
      <c r="I758" s="24">
        <v>235.3125</v>
      </c>
      <c r="J758" s="24">
        <v>9.875</v>
      </c>
      <c r="K758" s="24">
        <v>1.2083333333333333</v>
      </c>
      <c r="L758" s="24">
        <v>17.543749999999996</v>
      </c>
      <c r="M758" s="10">
        <v>0.7684428053186676</v>
      </c>
      <c r="N758" s="25">
        <v>0.26722916666666657</v>
      </c>
      <c r="O758" s="25">
        <v>0.40620833333333328</v>
      </c>
      <c r="P758" s="25">
        <v>0.47122916666666642</v>
      </c>
      <c r="Q758" s="25">
        <v>0.50693749999999993</v>
      </c>
      <c r="R758" s="25">
        <v>0.43895833333333362</v>
      </c>
      <c r="S758" s="25">
        <v>0.34831250000000008</v>
      </c>
      <c r="T758" s="25">
        <v>0.36810416666666684</v>
      </c>
      <c r="U758" s="25">
        <v>0.32941666666666669</v>
      </c>
      <c r="V758" s="25">
        <v>-36.915833333333325</v>
      </c>
      <c r="W758" s="25">
        <v>-162.50416666666669</v>
      </c>
      <c r="X758" s="25">
        <v>-37.350416666666675</v>
      </c>
      <c r="Y758" s="25">
        <v>-36.473958333333336</v>
      </c>
      <c r="Z758" s="25">
        <v>-41.998958333333327</v>
      </c>
      <c r="AA758" s="25">
        <v>-40.431249999999999</v>
      </c>
      <c r="AB758" s="25">
        <v>-36.612499999999997</v>
      </c>
      <c r="AC758" s="25">
        <v>-57.17270833333334</v>
      </c>
      <c r="AD758" s="25">
        <v>-118.39791666666666</v>
      </c>
      <c r="AE758" s="25">
        <v>-83.897916666666646</v>
      </c>
      <c r="AF758" s="25">
        <v>-141.76666666666665</v>
      </c>
      <c r="AG758" s="25">
        <v>-98.65000000000002</v>
      </c>
      <c r="AH758" s="25">
        <v>-213.6479166666667</v>
      </c>
      <c r="AI758" s="25">
        <v>-243.96249999999998</v>
      </c>
      <c r="AJ758" s="25">
        <v>-166.24999999999997</v>
      </c>
      <c r="AK758" s="25">
        <v>-378.93958333333336</v>
      </c>
      <c r="AL758" s="25">
        <v>22.122916666666665</v>
      </c>
      <c r="AM758" s="25">
        <v>21.583333333333325</v>
      </c>
      <c r="AN758" s="25">
        <v>21.104166666666682</v>
      </c>
      <c r="AO758" s="25">
        <v>20.989583333333332</v>
      </c>
      <c r="AP758" s="25">
        <v>21.379166666666674</v>
      </c>
      <c r="AQ758" s="25">
        <v>21.224999999999998</v>
      </c>
      <c r="AR758" s="25">
        <v>20.95208333333332</v>
      </c>
      <c r="AS758" s="25">
        <v>20.810416666666669</v>
      </c>
      <c r="AT758" s="25">
        <v>0.29845833333333338</v>
      </c>
      <c r="AU758" s="25">
        <v>0.15049999999999997</v>
      </c>
      <c r="AV758" s="25">
        <v>0.25537500000000002</v>
      </c>
      <c r="AW758" s="25">
        <v>-249.39787234042566</v>
      </c>
      <c r="AX758" s="25">
        <v>-77.964583333333351</v>
      </c>
      <c r="AY758" s="25">
        <v>-48.792291666666678</v>
      </c>
      <c r="AZ758" s="25"/>
      <c r="BA758" s="25">
        <v>-352.87916666666666</v>
      </c>
      <c r="BB758" s="25"/>
      <c r="BC758" s="25"/>
      <c r="BD758" s="25">
        <v>22.164583333333329</v>
      </c>
      <c r="BE758" s="25"/>
    </row>
    <row r="759" spans="1:57" x14ac:dyDescent="0.25">
      <c r="A759" s="1">
        <v>29.6</v>
      </c>
      <c r="B759" s="1">
        <v>17.3</v>
      </c>
      <c r="C759" s="22"/>
      <c r="D759" s="23">
        <v>44466</v>
      </c>
      <c r="E759" s="24">
        <v>238.10416666666666</v>
      </c>
      <c r="F759" s="24">
        <v>71.781249999999986</v>
      </c>
      <c r="G759" s="24">
        <v>22.822916666666668</v>
      </c>
      <c r="H759" s="24">
        <v>0</v>
      </c>
      <c r="I759" s="24">
        <v>225.79166666666666</v>
      </c>
      <c r="J759" s="24">
        <v>6.354166666666667</v>
      </c>
      <c r="K759" s="24">
        <v>0.72916666666666663</v>
      </c>
      <c r="L759" s="24">
        <v>17.222916666666663</v>
      </c>
      <c r="M759" s="10">
        <v>0.87158836159411512</v>
      </c>
      <c r="N759" s="25">
        <v>0.25493749999999998</v>
      </c>
      <c r="O759" s="25">
        <v>0.3826458333333333</v>
      </c>
      <c r="P759" s="25">
        <v>0.45287499999999992</v>
      </c>
      <c r="Q759" s="25">
        <v>0.48304166666666654</v>
      </c>
      <c r="R759" s="25">
        <v>0.43295833333333333</v>
      </c>
      <c r="S759" s="25">
        <v>0.34164583333333337</v>
      </c>
      <c r="T759" s="25">
        <v>0.36002083333333329</v>
      </c>
      <c r="U759" s="25">
        <v>0.31991666666666668</v>
      </c>
      <c r="V759" s="25">
        <v>-44.475833333333334</v>
      </c>
      <c r="W759" s="25">
        <v>-189.00416666666669</v>
      </c>
      <c r="X759" s="25">
        <v>-44.044583333333321</v>
      </c>
      <c r="Y759" s="25">
        <v>-41.220833333333317</v>
      </c>
      <c r="Z759" s="25">
        <v>-49.544166666666662</v>
      </c>
      <c r="AA759" s="25">
        <v>-45.414375</v>
      </c>
      <c r="AB759" s="25">
        <v>-41.318958333333335</v>
      </c>
      <c r="AC759" s="25">
        <v>-63.113333333333344</v>
      </c>
      <c r="AD759" s="25">
        <v>-220.56874999999999</v>
      </c>
      <c r="AE759" s="25">
        <v>-163.25208333333333</v>
      </c>
      <c r="AF759" s="25">
        <v>-250.2166666666667</v>
      </c>
      <c r="AG759" s="25">
        <v>-181.32500000000005</v>
      </c>
      <c r="AH759" s="25">
        <v>-389.72708333333344</v>
      </c>
      <c r="AI759" s="25">
        <v>-447.30000000000018</v>
      </c>
      <c r="AJ759" s="25">
        <v>-400.32916666666671</v>
      </c>
      <c r="AK759" s="25">
        <v>-773.63541666666663</v>
      </c>
      <c r="AL759" s="25">
        <v>22.418750000000003</v>
      </c>
      <c r="AM759" s="25">
        <v>21.729166666666668</v>
      </c>
      <c r="AN759" s="25">
        <v>21.185416666666676</v>
      </c>
      <c r="AO759" s="25">
        <v>21.027083333333341</v>
      </c>
      <c r="AP759" s="25">
        <v>21.537500000000005</v>
      </c>
      <c r="AQ759" s="25">
        <v>21.316666666666677</v>
      </c>
      <c r="AR759" s="25">
        <v>21.004166666666659</v>
      </c>
      <c r="AS759" s="25">
        <v>20.858333333333313</v>
      </c>
      <c r="AT759" s="25">
        <v>0.27164583333333336</v>
      </c>
      <c r="AU759" s="25">
        <v>0.14405000000000001</v>
      </c>
      <c r="AV759" s="25">
        <v>0.23497916666666663</v>
      </c>
      <c r="AW759" s="25">
        <v>-291.21111111111117</v>
      </c>
      <c r="AX759" s="25">
        <v>-92.204166666666652</v>
      </c>
      <c r="AY759" s="25">
        <v>-67.392291666666665</v>
      </c>
      <c r="AZ759" s="25"/>
      <c r="BA759" s="25">
        <v>-686.15625</v>
      </c>
      <c r="BB759" s="25"/>
      <c r="BC759" s="25"/>
      <c r="BD759" s="25">
        <v>22.197916666666668</v>
      </c>
      <c r="BE759" s="25"/>
    </row>
    <row r="760" spans="1:57" x14ac:dyDescent="0.25">
      <c r="A760" s="1">
        <v>31.5</v>
      </c>
      <c r="B760" s="1">
        <v>16.8</v>
      </c>
      <c r="C760" s="22"/>
      <c r="D760" s="23">
        <v>44467</v>
      </c>
      <c r="E760" s="24">
        <v>219.22916666666666</v>
      </c>
      <c r="F760" s="24">
        <v>76.329166666666666</v>
      </c>
      <c r="G760" s="24">
        <v>22.366666666666671</v>
      </c>
      <c r="H760" s="24">
        <v>1.0999999999999999</v>
      </c>
      <c r="I760" s="24">
        <v>212.9375</v>
      </c>
      <c r="J760" s="24">
        <v>3.9166666666666665</v>
      </c>
      <c r="K760" s="24">
        <v>2.0833333333333332E-2</v>
      </c>
      <c r="L760" s="24">
        <v>17.672916666666669</v>
      </c>
      <c r="M760" s="10">
        <v>0.76738611977222071</v>
      </c>
      <c r="N760" s="25">
        <v>0.24514583333333362</v>
      </c>
      <c r="O760" s="25">
        <v>0.36277083333333349</v>
      </c>
      <c r="P760" s="25">
        <v>0.43724999999999975</v>
      </c>
      <c r="Q760" s="25">
        <v>0.46004166666666668</v>
      </c>
      <c r="R760" s="25">
        <v>0.42585416666666637</v>
      </c>
      <c r="S760" s="25">
        <v>0.33616666666666672</v>
      </c>
      <c r="T760" s="25">
        <v>0.35235416666666675</v>
      </c>
      <c r="U760" s="25">
        <v>0.31066666666666648</v>
      </c>
      <c r="V760" s="25">
        <v>-53.195833333333326</v>
      </c>
      <c r="W760" s="25">
        <v>-209.92083333333335</v>
      </c>
      <c r="X760" s="25">
        <v>-51.842916666666667</v>
      </c>
      <c r="Y760" s="25">
        <v>-46.061874999999986</v>
      </c>
      <c r="Z760" s="25">
        <v>-56.843333333333334</v>
      </c>
      <c r="AA760" s="25">
        <v>-50.992916666666652</v>
      </c>
      <c r="AB760" s="25">
        <v>-46.131458333333335</v>
      </c>
      <c r="AC760" s="25">
        <v>-68.588541666666657</v>
      </c>
      <c r="AD760" s="25">
        <v>-363.20000000000005</v>
      </c>
      <c r="AE760" s="25">
        <v>-293.81458333333342</v>
      </c>
      <c r="AF760" s="25">
        <v>-394.9041666666667</v>
      </c>
      <c r="AG760" s="25">
        <v>-259.77291666666662</v>
      </c>
      <c r="AH760" s="25">
        <v>-532.10624999999993</v>
      </c>
      <c r="AI760" s="25">
        <v>-621.92083333333346</v>
      </c>
      <c r="AJ760" s="25">
        <v>-677.66250000000025</v>
      </c>
      <c r="AK760" s="25">
        <v>-1141.9791666666667</v>
      </c>
      <c r="AL760" s="25">
        <v>22.520833333333329</v>
      </c>
      <c r="AM760" s="25">
        <v>21.902083333333341</v>
      </c>
      <c r="AN760" s="25">
        <v>21.331249999999979</v>
      </c>
      <c r="AO760" s="25">
        <v>21.102083333333347</v>
      </c>
      <c r="AP760" s="25">
        <v>21.537500000000005</v>
      </c>
      <c r="AQ760" s="25">
        <v>21.366666666666678</v>
      </c>
      <c r="AR760" s="25">
        <v>21.068750000000005</v>
      </c>
      <c r="AS760" s="25">
        <v>20.918749999999982</v>
      </c>
      <c r="AT760" s="25">
        <v>0.23406250000000003</v>
      </c>
      <c r="AU760" s="25">
        <v>0.13592307692307692</v>
      </c>
      <c r="AV760" s="25">
        <v>0.22056249999999999</v>
      </c>
      <c r="AW760" s="25">
        <v>-316.83414634146357</v>
      </c>
      <c r="AX760" s="25">
        <v>-105.91458333333334</v>
      </c>
      <c r="AY760" s="25">
        <v>-104.58723404255318</v>
      </c>
      <c r="AZ760" s="25"/>
      <c r="BA760" s="25">
        <v>-1028.5520833333333</v>
      </c>
      <c r="BB760" s="25"/>
      <c r="BC760" s="25"/>
      <c r="BD760" s="25">
        <v>22.150000000000006</v>
      </c>
      <c r="BE760" s="25"/>
    </row>
    <row r="761" spans="1:57" x14ac:dyDescent="0.25">
      <c r="A761" s="1">
        <v>32.700000000000003</v>
      </c>
      <c r="B761" s="1">
        <v>14.8</v>
      </c>
      <c r="C761" s="22"/>
      <c r="D761" s="23">
        <v>44468</v>
      </c>
      <c r="E761" s="24">
        <v>258.33333333333331</v>
      </c>
      <c r="F761" s="24">
        <v>65.950000000000017</v>
      </c>
      <c r="G761" s="24">
        <v>22.600000000000005</v>
      </c>
      <c r="H761" s="24">
        <v>0.2</v>
      </c>
      <c r="I761" s="24">
        <v>220.83333333333334</v>
      </c>
      <c r="J761" s="24">
        <v>1.0208333333333333</v>
      </c>
      <c r="K761" s="24">
        <v>0</v>
      </c>
      <c r="L761" s="24">
        <v>14.610416666666666</v>
      </c>
      <c r="M761" s="10">
        <v>1.210576295633232</v>
      </c>
      <c r="N761" s="25">
        <v>0.23912500000000006</v>
      </c>
      <c r="O761" s="25">
        <v>0.34987499999999999</v>
      </c>
      <c r="P761" s="25">
        <v>0.42570833333333341</v>
      </c>
      <c r="Q761" s="25">
        <v>0.44304166666666672</v>
      </c>
      <c r="R761" s="25">
        <v>0.42056250000000023</v>
      </c>
      <c r="S761" s="25">
        <v>0.33172916666666674</v>
      </c>
      <c r="T761" s="25">
        <v>0.34633333333333344</v>
      </c>
      <c r="U761" s="25">
        <v>0.30368750000000005</v>
      </c>
      <c r="V761" s="25">
        <v>-62.423125000000006</v>
      </c>
      <c r="W761" s="25">
        <v>-230.16041666666663</v>
      </c>
      <c r="X761" s="25">
        <v>-59.786666666666662</v>
      </c>
      <c r="Y761" s="25">
        <v>-50.62166666666667</v>
      </c>
      <c r="Z761" s="25">
        <v>-61.694166666666682</v>
      </c>
      <c r="AA761" s="25">
        <v>-56.705833333333338</v>
      </c>
      <c r="AB761" s="25">
        <v>-50.697708333333345</v>
      </c>
      <c r="AC761" s="25">
        <v>-72.55854166666667</v>
      </c>
      <c r="AD761" s="25">
        <v>-498.69166666666678</v>
      </c>
      <c r="AE761" s="25">
        <v>-407.42291666666665</v>
      </c>
      <c r="AF761" s="25">
        <v>-505.21250000000003</v>
      </c>
      <c r="AG761" s="25">
        <v>-302.32708333333335</v>
      </c>
      <c r="AH761" s="25">
        <v>-622.88541666666652</v>
      </c>
      <c r="AI761" s="25">
        <v>-735.2833333333333</v>
      </c>
      <c r="AJ761" s="25">
        <v>-897.6875</v>
      </c>
      <c r="AK761" s="25">
        <v>-1673.3541666666667</v>
      </c>
      <c r="AL761" s="25">
        <v>22.514583333333334</v>
      </c>
      <c r="AM761" s="25">
        <v>21.849999999999998</v>
      </c>
      <c r="AN761" s="25">
        <v>21.331249999999994</v>
      </c>
      <c r="AO761" s="25">
        <v>21.162500000000012</v>
      </c>
      <c r="AP761" s="25">
        <v>21.385416666666668</v>
      </c>
      <c r="AQ761" s="25">
        <v>21.287500000000005</v>
      </c>
      <c r="AR761" s="25">
        <v>21.014583333333324</v>
      </c>
      <c r="AS761" s="25">
        <v>20.883333333333319</v>
      </c>
      <c r="AT761" s="25">
        <v>0.21164583333333345</v>
      </c>
      <c r="AU761" s="25">
        <v>0.13130000000000003</v>
      </c>
      <c r="AV761" s="25">
        <v>0.21220833333333333</v>
      </c>
      <c r="AW761" s="25">
        <v>-313.62731707317079</v>
      </c>
      <c r="AX761" s="25">
        <v>-116.49999999999999</v>
      </c>
      <c r="AY761" s="25">
        <v>-120.97413793103452</v>
      </c>
      <c r="AZ761" s="25"/>
      <c r="BA761" s="25">
        <v>-1321.2083333333333</v>
      </c>
      <c r="BB761" s="25"/>
      <c r="BC761" s="25"/>
      <c r="BD761" s="25">
        <v>21.827083333333331</v>
      </c>
      <c r="BE761" s="25"/>
    </row>
    <row r="762" spans="1:57" x14ac:dyDescent="0.25">
      <c r="A762" s="1">
        <v>31.7</v>
      </c>
      <c r="B762" s="1">
        <v>14.7</v>
      </c>
      <c r="C762" s="22"/>
      <c r="D762" s="23">
        <v>44469</v>
      </c>
      <c r="E762" s="24">
        <v>245.04166666666666</v>
      </c>
      <c r="F762" s="24">
        <v>65.902083333333351</v>
      </c>
      <c r="G762" s="24">
        <v>22.814583333333331</v>
      </c>
      <c r="H762" s="24">
        <v>0</v>
      </c>
      <c r="I762" s="24">
        <v>227.8125</v>
      </c>
      <c r="J762" s="24">
        <v>3</v>
      </c>
      <c r="K762" s="24">
        <v>0.16666666666666666</v>
      </c>
      <c r="L762" s="24">
        <v>15.631249999999996</v>
      </c>
      <c r="M762" s="10">
        <v>1.1234496868251027</v>
      </c>
      <c r="N762" s="25">
        <v>0.23414583333333341</v>
      </c>
      <c r="O762" s="25">
        <v>0.33693750000000017</v>
      </c>
      <c r="P762" s="25">
        <v>0.41343749999999996</v>
      </c>
      <c r="Q762" s="25">
        <v>0.42610416666666673</v>
      </c>
      <c r="R762" s="25">
        <v>0.41560416666666655</v>
      </c>
      <c r="S762" s="25">
        <v>0.32733333333333337</v>
      </c>
      <c r="T762" s="25">
        <v>0.3396249999999999</v>
      </c>
      <c r="U762" s="25">
        <v>0.29612499999999997</v>
      </c>
      <c r="V762" s="25">
        <v>-70.915833333333339</v>
      </c>
      <c r="W762" s="25">
        <v>-253.61041666666668</v>
      </c>
      <c r="X762" s="25">
        <v>-66.791458333333324</v>
      </c>
      <c r="Y762" s="25">
        <v>-55.149166666666673</v>
      </c>
      <c r="Z762" s="25">
        <v>-68.89562500000001</v>
      </c>
      <c r="AA762" s="25">
        <v>-62.53</v>
      </c>
      <c r="AB762" s="25">
        <v>-54.96875</v>
      </c>
      <c r="AC762" s="25">
        <v>-76.316250000000011</v>
      </c>
      <c r="AD762" s="25">
        <v>-622.48333333333335</v>
      </c>
      <c r="AE762" s="25">
        <v>-545.12916666666661</v>
      </c>
      <c r="AF762" s="25">
        <v>-682.00208333333319</v>
      </c>
      <c r="AG762" s="25">
        <v>-361.82083333333327</v>
      </c>
      <c r="AH762" s="25">
        <v>-704.20416666666654</v>
      </c>
      <c r="AI762" s="25">
        <v>-860.5625</v>
      </c>
      <c r="AJ762" s="25">
        <v>-1160.8958333333333</v>
      </c>
      <c r="AK762" s="25">
        <v>-2177.75</v>
      </c>
      <c r="AL762" s="25">
        <v>22.727083333333336</v>
      </c>
      <c r="AM762" s="25">
        <v>21.970833333333331</v>
      </c>
      <c r="AN762" s="25">
        <v>21.391666666666648</v>
      </c>
      <c r="AO762" s="25">
        <v>21.200000000000021</v>
      </c>
      <c r="AP762" s="25">
        <v>21.383333333333336</v>
      </c>
      <c r="AQ762" s="25">
        <v>21.233333333333334</v>
      </c>
      <c r="AR762" s="25">
        <v>20.962499999999999</v>
      </c>
      <c r="AS762" s="25">
        <v>20.812500000000007</v>
      </c>
      <c r="AT762" s="25">
        <v>0.19295833333333326</v>
      </c>
      <c r="AU762" s="25">
        <v>0.126</v>
      </c>
      <c r="AV762" s="25">
        <v>0.20429166666666662</v>
      </c>
      <c r="AW762" s="25">
        <v>-300.55333333333334</v>
      </c>
      <c r="AX762" s="25">
        <v>-127.04583333333341</v>
      </c>
      <c r="AY762" s="25">
        <v>-247.72499999999994</v>
      </c>
      <c r="AZ762" s="25"/>
      <c r="BA762" s="25">
        <v>-1593.375</v>
      </c>
      <c r="BB762" s="25"/>
      <c r="BC762" s="25"/>
      <c r="BD762" s="25">
        <v>21.856249999999999</v>
      </c>
      <c r="BE762" s="25"/>
    </row>
    <row r="763" spans="1:57" x14ac:dyDescent="0.25">
      <c r="A763" s="1">
        <v>31.3</v>
      </c>
      <c r="B763" s="1">
        <v>16.899999999999999</v>
      </c>
      <c r="C763" s="22"/>
      <c r="D763" s="23">
        <v>44470</v>
      </c>
      <c r="E763" s="24">
        <v>231.60416666666666</v>
      </c>
      <c r="F763" s="24">
        <v>72.654166666666683</v>
      </c>
      <c r="G763" s="24">
        <v>23.333333333333332</v>
      </c>
      <c r="H763" s="24">
        <v>0</v>
      </c>
      <c r="I763" s="24">
        <v>233.64583333333334</v>
      </c>
      <c r="J763" s="24">
        <v>5.166666666666667</v>
      </c>
      <c r="K763" s="24">
        <v>0.52083333333333337</v>
      </c>
      <c r="L763" s="24">
        <v>17.737500000000001</v>
      </c>
      <c r="M763" s="10">
        <v>0.92083704684426293</v>
      </c>
      <c r="N763" s="25">
        <v>0.23114583333333349</v>
      </c>
      <c r="O763" s="25">
        <v>0.32752083333333321</v>
      </c>
      <c r="P763" s="25">
        <v>0.40604166666666647</v>
      </c>
      <c r="Q763" s="25">
        <v>0.41439583333333313</v>
      </c>
      <c r="R763" s="25">
        <v>0.41249999999999987</v>
      </c>
      <c r="S763" s="25">
        <v>0.32452083333333337</v>
      </c>
      <c r="T763" s="25">
        <v>0.33408333333333334</v>
      </c>
      <c r="U763" s="25">
        <v>0.29027083333333353</v>
      </c>
      <c r="V763" s="25">
        <v>-76.239375000000024</v>
      </c>
      <c r="W763" s="25">
        <v>-278.74791666666675</v>
      </c>
      <c r="X763" s="25">
        <v>-74.104583333333309</v>
      </c>
      <c r="Y763" s="25">
        <v>-58.793958333333336</v>
      </c>
      <c r="Z763" s="25">
        <v>-77.763958333333335</v>
      </c>
      <c r="AA763" s="25">
        <v>-67.198750000000004</v>
      </c>
      <c r="AB763" s="25">
        <v>-58.568333333333328</v>
      </c>
      <c r="AC763" s="25">
        <v>-81.036666666666676</v>
      </c>
      <c r="AD763" s="25">
        <v>-706.01874999999984</v>
      </c>
      <c r="AE763" s="25">
        <v>-635.27916666666681</v>
      </c>
      <c r="AF763" s="25">
        <v>-819.07291666666663</v>
      </c>
      <c r="AG763" s="25">
        <v>-398.8104166666667</v>
      </c>
      <c r="AH763" s="25">
        <v>-793.4041666666667</v>
      </c>
      <c r="AI763" s="25">
        <v>-947.39583333333337</v>
      </c>
      <c r="AJ763" s="25">
        <v>-1358.1875</v>
      </c>
      <c r="AK763" s="25">
        <v>-2597.8333333333335</v>
      </c>
      <c r="AL763" s="25">
        <v>23.21875</v>
      </c>
      <c r="AM763" s="25">
        <v>22.195833333333329</v>
      </c>
      <c r="AN763" s="25">
        <v>21.481249999999992</v>
      </c>
      <c r="AO763" s="25">
        <v>21.274999999999988</v>
      </c>
      <c r="AP763" s="25">
        <v>21.883333333333329</v>
      </c>
      <c r="AQ763" s="25">
        <v>21.464583333333337</v>
      </c>
      <c r="AR763" s="25">
        <v>21.077083333333331</v>
      </c>
      <c r="AS763" s="25">
        <v>20.883333333333315</v>
      </c>
      <c r="AT763" s="25">
        <v>0.17864583333333331</v>
      </c>
      <c r="AU763" s="25">
        <v>0.12252777777777782</v>
      </c>
      <c r="AV763" s="25">
        <v>0.19860416666666672</v>
      </c>
      <c r="AW763" s="25">
        <v>-223.78461538461534</v>
      </c>
      <c r="AX763" s="25">
        <v>-147.73333333333332</v>
      </c>
      <c r="AY763" s="25">
        <v>-258.9666666666667</v>
      </c>
      <c r="AZ763" s="25"/>
      <c r="BA763" s="25">
        <v>-1698.4375</v>
      </c>
      <c r="BB763" s="25"/>
      <c r="BC763" s="25"/>
      <c r="BD763" s="25">
        <v>22.606250000000003</v>
      </c>
      <c r="BE763" s="25"/>
    </row>
    <row r="764" spans="1:57" x14ac:dyDescent="0.25">
      <c r="A764" s="1">
        <v>29.9</v>
      </c>
      <c r="B764" s="1">
        <v>19.899999999999999</v>
      </c>
      <c r="C764" s="22"/>
      <c r="D764" s="23">
        <v>44471</v>
      </c>
      <c r="E764" s="24">
        <v>200.41666666666666</v>
      </c>
      <c r="F764" s="24">
        <v>74.218749999999986</v>
      </c>
      <c r="G764" s="24">
        <v>23.633333333333336</v>
      </c>
      <c r="H764" s="24">
        <v>0</v>
      </c>
      <c r="I764" s="24">
        <v>233.79166666666666</v>
      </c>
      <c r="J764" s="24">
        <v>9.1041666666666661</v>
      </c>
      <c r="K764" s="24">
        <v>1.2291666666666667</v>
      </c>
      <c r="L764" s="24">
        <v>18.547916666666673</v>
      </c>
      <c r="M764" s="10">
        <v>0.82914898722517083</v>
      </c>
      <c r="N764" s="25">
        <v>0.2288958333333333</v>
      </c>
      <c r="O764" s="25">
        <v>0.3204583333333334</v>
      </c>
      <c r="P764" s="25">
        <v>0.40118750000000031</v>
      </c>
      <c r="Q764" s="25">
        <v>0.40689583333333307</v>
      </c>
      <c r="R764" s="25">
        <v>0.40945833333333331</v>
      </c>
      <c r="S764" s="25">
        <v>0.32212499999999999</v>
      </c>
      <c r="T764" s="25">
        <v>0.32933333333333342</v>
      </c>
      <c r="U764" s="25">
        <v>0.28543749999999984</v>
      </c>
      <c r="V764" s="25">
        <v>-86.566666666666677</v>
      </c>
      <c r="W764" s="25">
        <v>-309.10416666666669</v>
      </c>
      <c r="X764" s="25">
        <v>-83.001041666666694</v>
      </c>
      <c r="Y764" s="25">
        <v>-61.677916666666668</v>
      </c>
      <c r="Z764" s="25">
        <v>-90.874999999999957</v>
      </c>
      <c r="AA764" s="25">
        <v>-72.290416666666658</v>
      </c>
      <c r="AB764" s="25">
        <v>-61.030416666666639</v>
      </c>
      <c r="AC764" s="25">
        <v>-86.162500000000023</v>
      </c>
      <c r="AD764" s="25">
        <v>-773.125</v>
      </c>
      <c r="AE764" s="25">
        <v>-701.51875000000007</v>
      </c>
      <c r="AF764" s="25">
        <v>-931.14583333333337</v>
      </c>
      <c r="AG764" s="25">
        <v>-427.31249999999983</v>
      </c>
      <c r="AH764" s="25">
        <v>-841.29583333333323</v>
      </c>
      <c r="AI764" s="25">
        <v>-1002.125</v>
      </c>
      <c r="AJ764" s="25">
        <v>-1510.1875</v>
      </c>
      <c r="AK764" s="25">
        <v>-2983.3541666666665</v>
      </c>
      <c r="AL764" s="25">
        <v>23.481249999999999</v>
      </c>
      <c r="AM764" s="25">
        <v>22.447916666666671</v>
      </c>
      <c r="AN764" s="25">
        <v>21.666666666666682</v>
      </c>
      <c r="AO764" s="25">
        <v>21.385416666666654</v>
      </c>
      <c r="AP764" s="25">
        <v>22.17916666666666</v>
      </c>
      <c r="AQ764" s="25">
        <v>21.758333333333336</v>
      </c>
      <c r="AR764" s="25">
        <v>21.331250000000008</v>
      </c>
      <c r="AS764" s="25">
        <v>21.102083333333351</v>
      </c>
      <c r="AT764" s="25">
        <v>0.16718750000000004</v>
      </c>
      <c r="AU764" s="25">
        <v>0.12151428571428571</v>
      </c>
      <c r="AV764" s="25">
        <v>0.19362500000000002</v>
      </c>
      <c r="AW764" s="25">
        <v>-96.588000000000022</v>
      </c>
      <c r="AX764" s="25">
        <v>-177.19583333333335</v>
      </c>
      <c r="AY764" s="25">
        <v>-314.60000000000002</v>
      </c>
      <c r="AZ764" s="25"/>
      <c r="BA764" s="25">
        <v>-1761.9375</v>
      </c>
      <c r="BB764" s="25"/>
      <c r="BC764" s="25"/>
      <c r="BD764" s="25">
        <v>23.027083333333334</v>
      </c>
      <c r="BE764" s="25"/>
    </row>
    <row r="765" spans="1:57" x14ac:dyDescent="0.25">
      <c r="A765" s="1">
        <v>28.1</v>
      </c>
      <c r="B765" s="1">
        <v>18.8</v>
      </c>
      <c r="C765" s="22"/>
      <c r="D765" s="23">
        <v>44472</v>
      </c>
      <c r="E765" s="24">
        <v>169.8125</v>
      </c>
      <c r="F765" s="24">
        <v>75.635416666666671</v>
      </c>
      <c r="G765" s="24">
        <v>22.258333333333336</v>
      </c>
      <c r="H765" s="24">
        <v>0</v>
      </c>
      <c r="I765" s="24">
        <v>229.97916666666666</v>
      </c>
      <c r="J765" s="24">
        <v>16.604166666666668</v>
      </c>
      <c r="K765" s="24">
        <v>4.4375</v>
      </c>
      <c r="L765" s="24">
        <v>17.65208333333333</v>
      </c>
      <c r="M765" s="10">
        <v>0.69231985283720154</v>
      </c>
      <c r="N765" s="25">
        <v>0.22643750000000018</v>
      </c>
      <c r="O765" s="25">
        <v>0.31454166666666672</v>
      </c>
      <c r="P765" s="25">
        <v>0.39716666666666667</v>
      </c>
      <c r="Q765" s="25">
        <v>0.40177083333333347</v>
      </c>
      <c r="R765" s="25">
        <v>0.40518750000000009</v>
      </c>
      <c r="S765" s="25">
        <v>0.31906249999999997</v>
      </c>
      <c r="T765" s="25">
        <v>0.32441666666666641</v>
      </c>
      <c r="U765" s="25">
        <v>0.28185416666666657</v>
      </c>
      <c r="V765" s="25">
        <v>-101.84583333333335</v>
      </c>
      <c r="W765" s="25">
        <v>-316.22708333333338</v>
      </c>
      <c r="X765" s="25">
        <v>-95.012499999999989</v>
      </c>
      <c r="Y765" s="25">
        <v>-65.744791666666686</v>
      </c>
      <c r="Z765" s="25">
        <v>-112.30416666666667</v>
      </c>
      <c r="AA765" s="25">
        <v>-79.697916666666671</v>
      </c>
      <c r="AB765" s="25">
        <v>-64.504375000000024</v>
      </c>
      <c r="AC765" s="25">
        <v>-92.304166666666632</v>
      </c>
      <c r="AD765" s="25">
        <v>-844.125</v>
      </c>
      <c r="AE765" s="25">
        <v>-765.8729166666667</v>
      </c>
      <c r="AF765" s="25">
        <v>-1035.3958333333333</v>
      </c>
      <c r="AG765" s="25">
        <v>-446.12916666666655</v>
      </c>
      <c r="AH765" s="25">
        <v>-867.66666666666663</v>
      </c>
      <c r="AI765" s="25">
        <v>-1060.125</v>
      </c>
      <c r="AJ765" s="25">
        <v>-1634.6041666666667</v>
      </c>
      <c r="AK765" s="25">
        <v>-3375.625</v>
      </c>
      <c r="AL765" s="25">
        <v>23.043749999999992</v>
      </c>
      <c r="AM765" s="25">
        <v>22.385416666666671</v>
      </c>
      <c r="AN765" s="25">
        <v>21.733333333333359</v>
      </c>
      <c r="AO765" s="25">
        <v>21.472916666666663</v>
      </c>
      <c r="AP765" s="25">
        <v>21.779166666666672</v>
      </c>
      <c r="AQ765" s="25">
        <v>21.666666666666661</v>
      </c>
      <c r="AR765" s="25">
        <v>21.354166666666668</v>
      </c>
      <c r="AS765" s="25">
        <v>21.187500000000011</v>
      </c>
      <c r="AT765" s="25">
        <v>0.15868749999999995</v>
      </c>
      <c r="AU765" s="25">
        <v>0.11811111111111111</v>
      </c>
      <c r="AV765" s="25">
        <v>0.18929166666666666</v>
      </c>
      <c r="AW765" s="25">
        <v>-77.385535714285695</v>
      </c>
      <c r="AX765" s="25">
        <v>-204.68333333333325</v>
      </c>
      <c r="AY765" s="25">
        <v>-284.49285714285713</v>
      </c>
      <c r="AZ765" s="25"/>
      <c r="BA765" s="25">
        <v>-1899.9375</v>
      </c>
      <c r="BB765" s="25"/>
      <c r="BC765" s="25"/>
      <c r="BD765" s="25">
        <v>22.787499999999994</v>
      </c>
      <c r="BE765" s="25"/>
    </row>
    <row r="766" spans="1:57" x14ac:dyDescent="0.25">
      <c r="A766" s="1">
        <v>25.9</v>
      </c>
      <c r="B766" s="1">
        <v>19.5</v>
      </c>
      <c r="C766" s="22"/>
      <c r="D766" s="23">
        <v>44473</v>
      </c>
      <c r="E766" s="24">
        <v>132.0625</v>
      </c>
      <c r="F766" s="24">
        <v>76.312499999999986</v>
      </c>
      <c r="G766" s="24">
        <v>21.881249999999998</v>
      </c>
      <c r="H766" s="24">
        <v>0</v>
      </c>
      <c r="I766" s="24">
        <v>231.77083333333334</v>
      </c>
      <c r="J766" s="24">
        <v>16.5</v>
      </c>
      <c r="K766" s="24">
        <v>3.6875</v>
      </c>
      <c r="L766" s="24">
        <v>17.477083333333333</v>
      </c>
      <c r="M766" s="10">
        <v>0.6406294546545942</v>
      </c>
      <c r="N766" s="25">
        <v>0.22441666666666671</v>
      </c>
      <c r="O766" s="25">
        <v>0.31016666666666637</v>
      </c>
      <c r="P766" s="25">
        <v>0.39408333333333351</v>
      </c>
      <c r="Q766" s="25">
        <v>0.39816666666666661</v>
      </c>
      <c r="R766" s="25">
        <v>0.40114583333333326</v>
      </c>
      <c r="S766" s="25">
        <v>0.31624999999999998</v>
      </c>
      <c r="T766" s="25">
        <v>0.31979166666666664</v>
      </c>
      <c r="U766" s="25">
        <v>0.27868749999999981</v>
      </c>
      <c r="V766" s="25">
        <v>-123.31041666666668</v>
      </c>
      <c r="W766" s="25">
        <v>-169.26186046511629</v>
      </c>
      <c r="X766" s="25">
        <v>-111.49583333333334</v>
      </c>
      <c r="Y766" s="25">
        <v>-70.30416666666666</v>
      </c>
      <c r="Z766" s="25">
        <v>-144.97916666666666</v>
      </c>
      <c r="AA766" s="25">
        <v>-88.531250000000014</v>
      </c>
      <c r="AB766" s="25">
        <v>-69.034583333333345</v>
      </c>
      <c r="AC766" s="25">
        <v>-99.870833333333351</v>
      </c>
      <c r="AD766" s="25">
        <v>-907.64583333333337</v>
      </c>
      <c r="AE766" s="25">
        <v>-818.9666666666667</v>
      </c>
      <c r="AF766" s="25">
        <v>-1105</v>
      </c>
      <c r="AG766" s="25">
        <v>-457.67500000000001</v>
      </c>
      <c r="AH766" s="25">
        <v>-891.14583333333337</v>
      </c>
      <c r="AI766" s="25">
        <v>-1084.9583333333333</v>
      </c>
      <c r="AJ766" s="25">
        <v>-1752.3125</v>
      </c>
      <c r="AK766" s="25">
        <v>-3578.75</v>
      </c>
      <c r="AL766" s="25">
        <v>22.558333333333326</v>
      </c>
      <c r="AM766" s="25">
        <v>22.145833333333339</v>
      </c>
      <c r="AN766" s="25">
        <v>21.631250000000005</v>
      </c>
      <c r="AO766" s="25">
        <v>21.449999999999989</v>
      </c>
      <c r="AP766" s="25">
        <v>21.435416666666669</v>
      </c>
      <c r="AQ766" s="25">
        <v>21.456250000000001</v>
      </c>
      <c r="AR766" s="25">
        <v>21.222916666666681</v>
      </c>
      <c r="AS766" s="25">
        <v>21.091666666666672</v>
      </c>
      <c r="AT766" s="25">
        <v>0.15272916666666664</v>
      </c>
      <c r="AU766" s="25"/>
      <c r="AV766" s="25">
        <v>0.18572916666666664</v>
      </c>
      <c r="AW766" s="25">
        <v>-25.633333333333336</v>
      </c>
      <c r="AX766" s="25">
        <v>-240.46875000000003</v>
      </c>
      <c r="AY766" s="25">
        <v>-91.841249999999988</v>
      </c>
      <c r="AZ766" s="25"/>
      <c r="BA766" s="25">
        <v>-2012.6875</v>
      </c>
      <c r="BB766" s="25"/>
      <c r="BC766" s="25"/>
      <c r="BD766" s="25">
        <v>22.09375</v>
      </c>
      <c r="BE766" s="25"/>
    </row>
    <row r="767" spans="1:57" x14ac:dyDescent="0.25">
      <c r="A767" s="1">
        <v>29.3</v>
      </c>
      <c r="B767" s="1">
        <v>17.899999999999999</v>
      </c>
      <c r="C767" s="22"/>
      <c r="D767" s="23">
        <v>44474</v>
      </c>
      <c r="E767" s="24">
        <v>236.35416666666666</v>
      </c>
      <c r="F767" s="24">
        <v>69.177083333333329</v>
      </c>
      <c r="G767" s="24">
        <v>23.047916666666662</v>
      </c>
      <c r="H767" s="24">
        <v>0</v>
      </c>
      <c r="I767" s="24">
        <v>232.02083333333334</v>
      </c>
      <c r="J767" s="24">
        <v>14.020833333333334</v>
      </c>
      <c r="K767" s="24">
        <v>3</v>
      </c>
      <c r="L767" s="24">
        <v>16.758333333333329</v>
      </c>
      <c r="M767" s="10">
        <v>0.96966430727233044</v>
      </c>
      <c r="N767" s="25">
        <v>0.22277083333333356</v>
      </c>
      <c r="O767" s="25">
        <v>0.30633333333333324</v>
      </c>
      <c r="P767" s="25">
        <v>0.39085416666666667</v>
      </c>
      <c r="Q767" s="25">
        <v>0.39495833333333347</v>
      </c>
      <c r="R767" s="25">
        <v>0.39922916666666647</v>
      </c>
      <c r="S767" s="25">
        <v>0.31383333333333335</v>
      </c>
      <c r="T767" s="25">
        <v>0.31512500000000021</v>
      </c>
      <c r="U767" s="25">
        <v>0.2750416666666668</v>
      </c>
      <c r="V767" s="25">
        <v>-156.63124999999999</v>
      </c>
      <c r="W767" s="25"/>
      <c r="X767" s="25">
        <v>-135.12708333333333</v>
      </c>
      <c r="Y767" s="25">
        <v>-75.522291666666646</v>
      </c>
      <c r="Z767" s="25">
        <v>-177.86250000000007</v>
      </c>
      <c r="AA767" s="25">
        <v>-98.36875000000002</v>
      </c>
      <c r="AB767" s="25">
        <v>-73.924999999999997</v>
      </c>
      <c r="AC767" s="25">
        <v>-108.78958333333333</v>
      </c>
      <c r="AD767" s="25">
        <v>-919.64583333333337</v>
      </c>
      <c r="AE767" s="25">
        <v>-866.41666666666663</v>
      </c>
      <c r="AF767" s="25">
        <v>-1197.8958333333333</v>
      </c>
      <c r="AG767" s="25">
        <v>-476.15208333333339</v>
      </c>
      <c r="AH767" s="25">
        <v>-898</v>
      </c>
      <c r="AI767" s="25">
        <v>-1122.25</v>
      </c>
      <c r="AJ767" s="25">
        <v>-1813.5625</v>
      </c>
      <c r="AK767" s="25">
        <v>-3798.1041666666665</v>
      </c>
      <c r="AL767" s="25">
        <v>22.904166666666665</v>
      </c>
      <c r="AM767" s="25">
        <v>22.022916666666671</v>
      </c>
      <c r="AN767" s="25">
        <v>21.506249999999994</v>
      </c>
      <c r="AO767" s="25">
        <v>21.352083333333308</v>
      </c>
      <c r="AP767" s="25">
        <v>21.627083333333335</v>
      </c>
      <c r="AQ767" s="25">
        <v>21.393749999999997</v>
      </c>
      <c r="AR767" s="25">
        <v>21.122916666666669</v>
      </c>
      <c r="AS767" s="25">
        <v>20.999999999999996</v>
      </c>
      <c r="AT767" s="25">
        <v>0.1483541666666667</v>
      </c>
      <c r="AU767" s="25">
        <v>0.11327272727272729</v>
      </c>
      <c r="AV767" s="25">
        <v>0.1841249999999999</v>
      </c>
      <c r="AW767" s="25">
        <v>-17.920777777777776</v>
      </c>
      <c r="AX767" s="25">
        <v>-272.1854166666667</v>
      </c>
      <c r="AY767" s="25"/>
      <c r="AZ767" s="25"/>
      <c r="BA767" s="25">
        <v>-1953.3541666666667</v>
      </c>
      <c r="BB767" s="25"/>
      <c r="BC767" s="25"/>
      <c r="BD767" s="25">
        <v>22.912499999999998</v>
      </c>
      <c r="BE767" s="25"/>
    </row>
    <row r="768" spans="1:57" x14ac:dyDescent="0.25">
      <c r="A768" s="1">
        <v>28.3</v>
      </c>
      <c r="B768" s="1">
        <v>19.600000000000001</v>
      </c>
      <c r="C768" s="22"/>
      <c r="D768" s="23">
        <v>44475</v>
      </c>
      <c r="E768" s="24">
        <v>166</v>
      </c>
      <c r="F768" s="24">
        <v>71.347916666666649</v>
      </c>
      <c r="G768" s="24">
        <v>22.900000000000002</v>
      </c>
      <c r="H768" s="24">
        <v>0</v>
      </c>
      <c r="I768" s="24">
        <v>234.54166666666666</v>
      </c>
      <c r="J768" s="24">
        <v>8.4791666666666661</v>
      </c>
      <c r="K768" s="24">
        <v>1.1875</v>
      </c>
      <c r="L768" s="24">
        <v>17.272916666666664</v>
      </c>
      <c r="M768" s="10">
        <v>0.85812654559213897</v>
      </c>
      <c r="N768" s="25">
        <v>0.22116666666666665</v>
      </c>
      <c r="O768" s="25">
        <v>0.30354166666666682</v>
      </c>
      <c r="P768" s="25">
        <v>0.38831250000000023</v>
      </c>
      <c r="Q768" s="25">
        <v>0.39172916666666674</v>
      </c>
      <c r="R768" s="25">
        <v>0.39664583333333353</v>
      </c>
      <c r="S768" s="25">
        <v>0.31195833333333328</v>
      </c>
      <c r="T768" s="25">
        <v>0.31127083333333333</v>
      </c>
      <c r="U768" s="25">
        <v>0.27174999999999994</v>
      </c>
      <c r="V768" s="25">
        <v>-211.97708333333333</v>
      </c>
      <c r="W768" s="25"/>
      <c r="X768" s="25">
        <v>-169.71250000000001</v>
      </c>
      <c r="Y768" s="25">
        <v>-81.767499999999984</v>
      </c>
      <c r="Z768" s="25">
        <v>-209.40416666666661</v>
      </c>
      <c r="AA768" s="25">
        <v>-111.75624999999998</v>
      </c>
      <c r="AB768" s="25">
        <v>-78.470833333333346</v>
      </c>
      <c r="AC768" s="25">
        <v>-118.67083333333335</v>
      </c>
      <c r="AD768" s="25">
        <v>-969.875</v>
      </c>
      <c r="AE768" s="25">
        <v>-919.5625</v>
      </c>
      <c r="AF768" s="25">
        <v>-1295.3125</v>
      </c>
      <c r="AG768" s="25">
        <v>-492.8541666666668</v>
      </c>
      <c r="AH768" s="25">
        <v>-922.8125</v>
      </c>
      <c r="AI768" s="25">
        <v>-1154.5</v>
      </c>
      <c r="AJ768" s="25">
        <v>-1911.0833333333333</v>
      </c>
      <c r="AK768" s="25">
        <v>-4050.4166666666665</v>
      </c>
      <c r="AL768" s="25">
        <v>22.808333333333337</v>
      </c>
      <c r="AM768" s="25">
        <v>22.233333333333334</v>
      </c>
      <c r="AN768" s="25">
        <v>21.635416666666675</v>
      </c>
      <c r="AO768" s="25">
        <v>21.391666666666652</v>
      </c>
      <c r="AP768" s="25">
        <v>21.697916666666668</v>
      </c>
      <c r="AQ768" s="25">
        <v>21.539583333333329</v>
      </c>
      <c r="AR768" s="25">
        <v>21.241666666666671</v>
      </c>
      <c r="AS768" s="25">
        <v>21.070833333333344</v>
      </c>
      <c r="AT768" s="25">
        <v>0.14375000000000002</v>
      </c>
      <c r="AU768" s="25">
        <v>0.1096</v>
      </c>
      <c r="AV768" s="25">
        <v>0.17981250000000001</v>
      </c>
      <c r="AW768" s="25"/>
      <c r="AX768" s="25">
        <v>-296.33541666666662</v>
      </c>
      <c r="AY768" s="25">
        <v>-45.646625</v>
      </c>
      <c r="AZ768" s="25"/>
      <c r="BA768" s="25">
        <v>-2050.0833333333335</v>
      </c>
      <c r="BB768" s="25"/>
      <c r="BC768" s="25"/>
      <c r="BD768" s="25">
        <v>22.3125</v>
      </c>
      <c r="BE768" s="25"/>
    </row>
    <row r="769" spans="1:57" x14ac:dyDescent="0.25">
      <c r="A769" s="1">
        <v>28.9</v>
      </c>
      <c r="B769" s="1">
        <v>17.899999999999999</v>
      </c>
      <c r="C769" s="22"/>
      <c r="D769" s="23">
        <v>44476</v>
      </c>
      <c r="E769" s="24">
        <v>111.33333333333333</v>
      </c>
      <c r="F769" s="24">
        <v>75.914583333333312</v>
      </c>
      <c r="G769" s="24">
        <v>21.589583333333326</v>
      </c>
      <c r="H769" s="24">
        <v>0</v>
      </c>
      <c r="I769" s="24">
        <v>216</v>
      </c>
      <c r="J769" s="24">
        <v>2.8541666666666665</v>
      </c>
      <c r="K769" s="24">
        <v>8.3333333333333329E-2</v>
      </c>
      <c r="L769" s="24">
        <v>17.056250000000002</v>
      </c>
      <c r="M769" s="10">
        <v>0.66044896499588523</v>
      </c>
      <c r="N769" s="25">
        <v>0.21968750000000012</v>
      </c>
      <c r="O769" s="25">
        <v>0.30127083333333343</v>
      </c>
      <c r="P769" s="25">
        <v>0.38641666666666646</v>
      </c>
      <c r="Q769" s="25">
        <v>0.38979166666666648</v>
      </c>
      <c r="R769" s="25">
        <v>0.39316666666666689</v>
      </c>
      <c r="S769" s="25">
        <v>0.30966666666666631</v>
      </c>
      <c r="T769" s="25">
        <v>0.30735416666666643</v>
      </c>
      <c r="U769" s="25">
        <v>0.26958333333333334</v>
      </c>
      <c r="V769" s="25">
        <v>-270.63958333333335</v>
      </c>
      <c r="W769" s="25"/>
      <c r="X769" s="25">
        <v>-210.66874999999996</v>
      </c>
      <c r="Y769" s="25">
        <v>-89.75</v>
      </c>
      <c r="Z769" s="25">
        <v>-229.53333333333342</v>
      </c>
      <c r="AA769" s="25">
        <v>-131.42916666666665</v>
      </c>
      <c r="AB769" s="25">
        <v>-84.822916666666671</v>
      </c>
      <c r="AC769" s="25">
        <v>-131.20833333333329</v>
      </c>
      <c r="AD769" s="25">
        <v>-1009.4583333333334</v>
      </c>
      <c r="AE769" s="25">
        <v>-963.41666666666663</v>
      </c>
      <c r="AF769" s="25">
        <v>-1366.3125</v>
      </c>
      <c r="AG769" s="25">
        <v>-502.05625000000009</v>
      </c>
      <c r="AH769" s="25">
        <v>-947.25</v>
      </c>
      <c r="AI769" s="25">
        <v>-1170.5625</v>
      </c>
      <c r="AJ769" s="25">
        <v>-1985.5833333333333</v>
      </c>
      <c r="AK769" s="25">
        <v>-4334.479166666667</v>
      </c>
      <c r="AL769" s="25">
        <v>22.254166666666663</v>
      </c>
      <c r="AM769" s="25">
        <v>21.966666666666654</v>
      </c>
      <c r="AN769" s="25">
        <v>21.545833333333338</v>
      </c>
      <c r="AO769" s="25">
        <v>21.366666666666646</v>
      </c>
      <c r="AP769" s="25">
        <v>21.570833333333344</v>
      </c>
      <c r="AQ769" s="25">
        <v>21.493749999999995</v>
      </c>
      <c r="AR769" s="25">
        <v>21.233333333333338</v>
      </c>
      <c r="AS769" s="25">
        <v>21.095833333333342</v>
      </c>
      <c r="AT769" s="25">
        <v>0.14014583333333333</v>
      </c>
      <c r="AU769" s="25">
        <v>0.108</v>
      </c>
      <c r="AV769" s="25">
        <v>0.17689583333333334</v>
      </c>
      <c r="AW769" s="25"/>
      <c r="AX769" s="25">
        <v>-304.31874999999997</v>
      </c>
      <c r="AY769" s="25"/>
      <c r="AZ769" s="25"/>
      <c r="BA769" s="25">
        <v>-2116.1041666666665</v>
      </c>
      <c r="BB769" s="25"/>
      <c r="BC769" s="25"/>
      <c r="BD769" s="25">
        <v>21.789583333333336</v>
      </c>
      <c r="BE769" s="25"/>
    </row>
    <row r="770" spans="1:57" x14ac:dyDescent="0.25">
      <c r="A770" s="1">
        <v>28.3</v>
      </c>
      <c r="B770" s="1">
        <v>14.4</v>
      </c>
      <c r="C770" s="22"/>
      <c r="D770" s="23">
        <v>44477</v>
      </c>
      <c r="E770" s="24">
        <v>208.89583333333334</v>
      </c>
      <c r="F770" s="24">
        <v>73.32083333333334</v>
      </c>
      <c r="G770" s="24">
        <v>19.837499999999999</v>
      </c>
      <c r="H770" s="24">
        <v>0.89999999999999991</v>
      </c>
      <c r="I770" s="24">
        <v>235.58333333333334</v>
      </c>
      <c r="J770" s="24">
        <v>5.520833333333333</v>
      </c>
      <c r="K770" s="24">
        <v>0.1875</v>
      </c>
      <c r="L770" s="24">
        <v>14.437500000000002</v>
      </c>
      <c r="M770" s="10">
        <v>0.73644561989090762</v>
      </c>
      <c r="N770" s="25">
        <v>0.21816666666666659</v>
      </c>
      <c r="O770" s="25">
        <v>0.2988541666666667</v>
      </c>
      <c r="P770" s="25">
        <v>0.38479166666666681</v>
      </c>
      <c r="Q770" s="25">
        <v>0.38806249999999992</v>
      </c>
      <c r="R770" s="25">
        <v>0.39066666666666655</v>
      </c>
      <c r="S770" s="25">
        <v>0.30747916666666647</v>
      </c>
      <c r="T770" s="25">
        <v>0.30393749999999992</v>
      </c>
      <c r="U770" s="25">
        <v>0.26779166666666665</v>
      </c>
      <c r="V770" s="25">
        <v>-304.88749999999999</v>
      </c>
      <c r="W770" s="25"/>
      <c r="X770" s="25">
        <v>-239.61666666666656</v>
      </c>
      <c r="Y770" s="25">
        <v>-99.924999999999969</v>
      </c>
      <c r="Z770" s="25">
        <v>-237.01250000000002</v>
      </c>
      <c r="AA770" s="25">
        <v>-156.80208333333331</v>
      </c>
      <c r="AB770" s="25">
        <v>-92.610416666666694</v>
      </c>
      <c r="AC770" s="25">
        <v>-146.49791666666667</v>
      </c>
      <c r="AD770" s="25">
        <v>-1031.3125</v>
      </c>
      <c r="AE770" s="25">
        <v>-1009.6875</v>
      </c>
      <c r="AF770" s="25">
        <v>-1433.2291666666667</v>
      </c>
      <c r="AG770" s="25">
        <v>-511.47499999999991</v>
      </c>
      <c r="AH770" s="25">
        <v>-946.3125</v>
      </c>
      <c r="AI770" s="25">
        <v>-1187.6458333333333</v>
      </c>
      <c r="AJ770" s="25">
        <v>-2064.25</v>
      </c>
      <c r="AK770" s="25">
        <v>-4604.416666666667</v>
      </c>
      <c r="AL770" s="25">
        <v>21.987500000000001</v>
      </c>
      <c r="AM770" s="25">
        <v>21.635416666666657</v>
      </c>
      <c r="AN770" s="25">
        <v>21.341666666666665</v>
      </c>
      <c r="AO770" s="25">
        <v>21.254166666666688</v>
      </c>
      <c r="AP770" s="25">
        <v>21.116666666666671</v>
      </c>
      <c r="AQ770" s="25">
        <v>21.212499999999995</v>
      </c>
      <c r="AR770" s="25">
        <v>21.047916666666662</v>
      </c>
      <c r="AS770" s="25">
        <v>20.958333333333318</v>
      </c>
      <c r="AT770" s="25">
        <v>0.13737500000000005</v>
      </c>
      <c r="AU770" s="25">
        <v>0.10627777777777779</v>
      </c>
      <c r="AV770" s="25">
        <v>0.17662499999999992</v>
      </c>
      <c r="AW770" s="25"/>
      <c r="AX770" s="25">
        <v>-303.35833333333341</v>
      </c>
      <c r="AY770" s="25">
        <v>-116.28975</v>
      </c>
      <c r="AZ770" s="25"/>
      <c r="BA770" s="25">
        <v>-2197.3125</v>
      </c>
      <c r="BB770" s="25"/>
      <c r="BC770" s="25"/>
      <c r="BD770" s="25">
        <v>21.787499999999994</v>
      </c>
      <c r="BE770" s="25"/>
    </row>
    <row r="771" spans="1:57" x14ac:dyDescent="0.25">
      <c r="A771" s="1">
        <v>26.3</v>
      </c>
      <c r="B771" s="1">
        <v>15.4</v>
      </c>
      <c r="C771" s="22"/>
      <c r="D771" s="23">
        <v>44478</v>
      </c>
      <c r="E771" s="24">
        <v>107.02083333333333</v>
      </c>
      <c r="F771" s="24">
        <v>81.902083333333323</v>
      </c>
      <c r="G771" s="24">
        <v>18.279166666666665</v>
      </c>
      <c r="H771" s="24">
        <v>1.2</v>
      </c>
      <c r="I771" s="24">
        <v>237.33333333333334</v>
      </c>
      <c r="J771" s="24">
        <v>4.6875</v>
      </c>
      <c r="K771" s="24">
        <v>2.0833333333333332E-2</v>
      </c>
      <c r="L771" s="24">
        <v>14.954166666666667</v>
      </c>
      <c r="M771" s="10">
        <v>0.43639121965116173</v>
      </c>
      <c r="N771" s="25">
        <v>0.21645833333333322</v>
      </c>
      <c r="O771" s="25">
        <v>0.29627083333333321</v>
      </c>
      <c r="P771" s="25">
        <v>0.3829375000000001</v>
      </c>
      <c r="Q771" s="25">
        <v>0.38620833333333349</v>
      </c>
      <c r="R771" s="25">
        <v>0.38627083333333351</v>
      </c>
      <c r="S771" s="25">
        <v>0.30537500000000001</v>
      </c>
      <c r="T771" s="25">
        <v>0.30100000000000021</v>
      </c>
      <c r="U771" s="25">
        <v>0.26600000000000018</v>
      </c>
      <c r="V771" s="25">
        <v>-317.33333333333343</v>
      </c>
      <c r="W771" s="25"/>
      <c r="X771" s="25">
        <v>-254.21250000000009</v>
      </c>
      <c r="Y771" s="25">
        <v>-114.12708333333332</v>
      </c>
      <c r="Z771" s="25">
        <v>-248.45208333333335</v>
      </c>
      <c r="AA771" s="25">
        <v>-186.39791666666659</v>
      </c>
      <c r="AB771" s="25">
        <v>-102.46875</v>
      </c>
      <c r="AC771" s="25">
        <v>-162.62916666666663</v>
      </c>
      <c r="AD771" s="25">
        <v>-1091.2916666666667</v>
      </c>
      <c r="AE771" s="25">
        <v>-1059.5</v>
      </c>
      <c r="AF771" s="25">
        <v>-1498.0625</v>
      </c>
      <c r="AG771" s="25">
        <v>-523.0062499999998</v>
      </c>
      <c r="AH771" s="25">
        <v>-946.27083333333337</v>
      </c>
      <c r="AI771" s="25">
        <v>-1223.1458333333333</v>
      </c>
      <c r="AJ771" s="25">
        <v>-2130</v>
      </c>
      <c r="AK771" s="25">
        <v>-4747.3125</v>
      </c>
      <c r="AL771" s="25">
        <v>21.333333333333332</v>
      </c>
      <c r="AM771" s="25">
        <v>21.443749999999994</v>
      </c>
      <c r="AN771" s="25">
        <v>21.20833333333335</v>
      </c>
      <c r="AO771" s="25">
        <v>21.141666666666673</v>
      </c>
      <c r="AP771" s="25">
        <v>20.445833333333333</v>
      </c>
      <c r="AQ771" s="25">
        <v>20.841666666666661</v>
      </c>
      <c r="AR771" s="25">
        <v>20.783333333333349</v>
      </c>
      <c r="AS771" s="25">
        <v>20.737500000000015</v>
      </c>
      <c r="AT771" s="25">
        <v>0.12095833333333339</v>
      </c>
      <c r="AU771" s="25">
        <v>0.10356521739130439</v>
      </c>
      <c r="AV771" s="25">
        <v>0.15689583333333332</v>
      </c>
      <c r="AW771" s="25"/>
      <c r="AX771" s="25">
        <v>-301.79791666666671</v>
      </c>
      <c r="AY771" s="25">
        <v>-97.660624999999996</v>
      </c>
      <c r="AZ771" s="25"/>
      <c r="BA771" s="25">
        <v>-2434.25</v>
      </c>
      <c r="BB771" s="25"/>
      <c r="BC771" s="25"/>
      <c r="BD771" s="25">
        <v>20.477083333333336</v>
      </c>
      <c r="BE771" s="25"/>
    </row>
    <row r="772" spans="1:57" x14ac:dyDescent="0.25">
      <c r="A772" s="1">
        <v>16.399999999999999</v>
      </c>
      <c r="B772" s="1">
        <v>14.1</v>
      </c>
      <c r="C772" s="22"/>
      <c r="D772" s="23">
        <v>44479</v>
      </c>
      <c r="E772" s="24">
        <v>42.75</v>
      </c>
      <c r="F772" s="24">
        <v>95.064583333333317</v>
      </c>
      <c r="G772" s="24">
        <v>15.652083333333335</v>
      </c>
      <c r="H772" s="24">
        <v>21.599999999999994</v>
      </c>
      <c r="I772" s="24">
        <v>254.85416666666666</v>
      </c>
      <c r="J772" s="24">
        <v>5.854166666666667</v>
      </c>
      <c r="K772" s="24">
        <v>0</v>
      </c>
      <c r="L772" s="24">
        <v>14.862499999999997</v>
      </c>
      <c r="M772" s="10">
        <v>8.8088862599063941E-2</v>
      </c>
      <c r="N772" s="25">
        <v>0.2157083333333332</v>
      </c>
      <c r="O772" s="25">
        <v>0.29493750000000002</v>
      </c>
      <c r="P772" s="25">
        <v>0.38089583333333343</v>
      </c>
      <c r="Q772" s="25">
        <v>0.38650000000000023</v>
      </c>
      <c r="R772" s="25">
        <v>0.39050000000000007</v>
      </c>
      <c r="S772" s="25">
        <v>0.30052083333333324</v>
      </c>
      <c r="T772" s="25">
        <v>0.29868750000000005</v>
      </c>
      <c r="U772" s="25">
        <v>0.26352083333333337</v>
      </c>
      <c r="V772" s="25">
        <v>-323.18541666666653</v>
      </c>
      <c r="W772" s="25"/>
      <c r="X772" s="25">
        <v>-262.48124999999999</v>
      </c>
      <c r="Y772" s="25">
        <v>-127.34375</v>
      </c>
      <c r="Z772" s="25">
        <v>-230.89999999999995</v>
      </c>
      <c r="AA772" s="25">
        <v>-212</v>
      </c>
      <c r="AB772" s="25">
        <v>-114.74374999999998</v>
      </c>
      <c r="AC772" s="25">
        <v>-178.76666666666665</v>
      </c>
      <c r="AD772" s="25">
        <v>-1174.625</v>
      </c>
      <c r="AE772" s="25">
        <v>-1096.6666666666667</v>
      </c>
      <c r="AF772" s="25">
        <v>-1541.7291666666667</v>
      </c>
      <c r="AG772" s="25">
        <v>-527.45624999999984</v>
      </c>
      <c r="AH772" s="25">
        <v>-551.43958333333342</v>
      </c>
      <c r="AI772" s="25">
        <v>-1284.2291666666667</v>
      </c>
      <c r="AJ772" s="25">
        <v>-2191.1041666666665</v>
      </c>
      <c r="AK772" s="25">
        <v>-5078.020833333333</v>
      </c>
      <c r="AL772" s="25">
        <v>20.104166666666661</v>
      </c>
      <c r="AM772" s="25">
        <v>20.781250000000004</v>
      </c>
      <c r="AN772" s="25">
        <v>20.868749999999999</v>
      </c>
      <c r="AO772" s="25">
        <v>20.906249999999986</v>
      </c>
      <c r="AP772" s="25">
        <v>19.381249999999998</v>
      </c>
      <c r="AQ772" s="25">
        <v>20.264583333333334</v>
      </c>
      <c r="AR772" s="25">
        <v>20.364583333333336</v>
      </c>
      <c r="AS772" s="25">
        <v>20.404166666666661</v>
      </c>
      <c r="AT772" s="25">
        <v>0.13839583333333336</v>
      </c>
      <c r="AU772" s="25">
        <v>0.17321875</v>
      </c>
      <c r="AV772" s="25">
        <v>0.25256250000000002</v>
      </c>
      <c r="AW772" s="25">
        <v>-122.15263157894735</v>
      </c>
      <c r="AX772" s="25">
        <v>-160.70208333333338</v>
      </c>
      <c r="AY772" s="25"/>
      <c r="AZ772" s="25"/>
      <c r="BA772" s="25">
        <v>-1472.4937499999994</v>
      </c>
      <c r="BB772" s="25"/>
      <c r="BC772" s="25"/>
      <c r="BD772" s="25">
        <v>19.006250000000005</v>
      </c>
      <c r="BE772" s="25"/>
    </row>
    <row r="773" spans="1:57" x14ac:dyDescent="0.25">
      <c r="A773" s="1">
        <v>15.3</v>
      </c>
      <c r="B773" s="1">
        <v>12.7</v>
      </c>
      <c r="C773" s="22"/>
      <c r="D773" s="23">
        <v>44480</v>
      </c>
      <c r="E773" s="24">
        <v>47.375</v>
      </c>
      <c r="F773" s="24">
        <v>93.168750000000031</v>
      </c>
      <c r="G773" s="24">
        <v>13.643749999999999</v>
      </c>
      <c r="H773" s="24">
        <v>2.3000000000000003</v>
      </c>
      <c r="I773" s="24">
        <v>210.58333333333334</v>
      </c>
      <c r="J773" s="24">
        <v>4.666666666666667</v>
      </c>
      <c r="K773" s="24">
        <v>0</v>
      </c>
      <c r="L773" s="24">
        <v>12.552083333333329</v>
      </c>
      <c r="M773" s="10">
        <v>0.10788223566266177</v>
      </c>
      <c r="N773" s="25">
        <v>0.21599999999999997</v>
      </c>
      <c r="O773" s="25">
        <v>0.29397916666666674</v>
      </c>
      <c r="P773" s="25">
        <v>0.37968750000000023</v>
      </c>
      <c r="Q773" s="25">
        <v>0.38733333333333353</v>
      </c>
      <c r="R773" s="25">
        <v>0.4225000000000001</v>
      </c>
      <c r="S773" s="25">
        <v>0.29906249999999984</v>
      </c>
      <c r="T773" s="25">
        <v>0.29737500000000022</v>
      </c>
      <c r="U773" s="25">
        <v>0.26299999999999996</v>
      </c>
      <c r="V773" s="25">
        <v>-304.59166666666675</v>
      </c>
      <c r="W773" s="25"/>
      <c r="X773" s="25">
        <v>-262.83749999999992</v>
      </c>
      <c r="Y773" s="25">
        <v>-129.65</v>
      </c>
      <c r="Z773" s="25">
        <v>-12.954375000000001</v>
      </c>
      <c r="AA773" s="25">
        <v>-224.63958333333323</v>
      </c>
      <c r="AB773" s="25">
        <v>-129.95624999999998</v>
      </c>
      <c r="AC773" s="25">
        <v>-193.44791666666666</v>
      </c>
      <c r="AD773" s="25">
        <v>-528.31666666666706</v>
      </c>
      <c r="AE773" s="25">
        <v>-1155.1458333333333</v>
      </c>
      <c r="AF773" s="25">
        <v>-1618.5625</v>
      </c>
      <c r="AG773" s="25">
        <v>-529.97500000000002</v>
      </c>
      <c r="AH773" s="25">
        <v>-12.670833333333334</v>
      </c>
      <c r="AI773" s="25">
        <v>-1318.3333333333333</v>
      </c>
      <c r="AJ773" s="25">
        <v>-2329.2708333333335</v>
      </c>
      <c r="AK773" s="25">
        <v>-5922.9375</v>
      </c>
      <c r="AL773" s="25">
        <v>18.560416666666665</v>
      </c>
      <c r="AM773" s="25">
        <v>19.797916666666669</v>
      </c>
      <c r="AN773" s="25">
        <v>20.281250000000007</v>
      </c>
      <c r="AO773" s="25">
        <v>20.499999999999989</v>
      </c>
      <c r="AP773" s="25">
        <v>17.966666666666665</v>
      </c>
      <c r="AQ773" s="25">
        <v>19.222916666666666</v>
      </c>
      <c r="AR773" s="25">
        <v>19.583333333333325</v>
      </c>
      <c r="AS773" s="25">
        <v>19.768750000000004</v>
      </c>
      <c r="AT773" s="25">
        <v>0.2197500000000002</v>
      </c>
      <c r="AU773" s="25">
        <v>0.2479166666666667</v>
      </c>
      <c r="AV773" s="25">
        <v>0.4140625</v>
      </c>
      <c r="AW773" s="25">
        <v>-92.823750000000004</v>
      </c>
      <c r="AX773" s="25">
        <v>-18.518958333333334</v>
      </c>
      <c r="AY773" s="25"/>
      <c r="AZ773" s="25"/>
      <c r="BA773" s="25">
        <v>-10.656250000000002</v>
      </c>
      <c r="BB773" s="25"/>
      <c r="BC773" s="25"/>
      <c r="BD773" s="25">
        <v>17.920833333333338</v>
      </c>
      <c r="BE773" s="25"/>
    </row>
    <row r="774" spans="1:57" x14ac:dyDescent="0.25">
      <c r="A774" s="1">
        <v>19.2</v>
      </c>
      <c r="B774" s="1">
        <v>12.7</v>
      </c>
      <c r="C774" s="22"/>
      <c r="D774" s="23">
        <v>44481</v>
      </c>
      <c r="E774" s="24">
        <v>81.229166666666671</v>
      </c>
      <c r="F774" s="24">
        <v>87.866666666666674</v>
      </c>
      <c r="G774" s="24">
        <v>14.514583333333334</v>
      </c>
      <c r="H774" s="24">
        <v>0.2</v>
      </c>
      <c r="I774" s="24">
        <v>212.35416666666666</v>
      </c>
      <c r="J774" s="24">
        <v>4.25</v>
      </c>
      <c r="K774" s="24">
        <v>4.1666666666666664E-2</v>
      </c>
      <c r="L774" s="24">
        <v>12.460416666666667</v>
      </c>
      <c r="M774" s="10">
        <v>0.2178841865181016</v>
      </c>
      <c r="N774" s="25">
        <v>0.21647916666666681</v>
      </c>
      <c r="O774" s="25">
        <v>0.29302083333333306</v>
      </c>
      <c r="P774" s="25">
        <v>0.37837500000000007</v>
      </c>
      <c r="Q774" s="25">
        <v>0.38647916666666643</v>
      </c>
      <c r="R774" s="25">
        <v>0.41320833333333357</v>
      </c>
      <c r="S774" s="25">
        <v>0.29793750000000002</v>
      </c>
      <c r="T774" s="25">
        <v>0.29622916666666649</v>
      </c>
      <c r="U774" s="25">
        <v>0.26299999999999996</v>
      </c>
      <c r="V774" s="25">
        <v>-281.49583333333334</v>
      </c>
      <c r="W774" s="25"/>
      <c r="X774" s="25">
        <v>-262.26666666666671</v>
      </c>
      <c r="Y774" s="25">
        <v>-135.80208333333337</v>
      </c>
      <c r="Z774" s="25">
        <v>-13.547916666666667</v>
      </c>
      <c r="AA774" s="25">
        <v>-224.31874999999999</v>
      </c>
      <c r="AB774" s="25">
        <v>-145.46666666666673</v>
      </c>
      <c r="AC774" s="25">
        <v>-202.94374999999994</v>
      </c>
      <c r="AD774" s="25">
        <v>-303.79583333333341</v>
      </c>
      <c r="AE774" s="25">
        <v>-1193.0208333333333</v>
      </c>
      <c r="AF774" s="25">
        <v>-1687.125</v>
      </c>
      <c r="AG774" s="25">
        <v>-533.39999999999986</v>
      </c>
      <c r="AH774" s="25">
        <v>-12.847916666666663</v>
      </c>
      <c r="AI774" s="25">
        <v>-1305.0208333333333</v>
      </c>
      <c r="AJ774" s="25">
        <v>-2469.2291666666665</v>
      </c>
      <c r="AK774" s="25">
        <v>-6082.854166666667</v>
      </c>
      <c r="AL774" s="25">
        <v>17.970833333333335</v>
      </c>
      <c r="AM774" s="25">
        <v>18.999999999999986</v>
      </c>
      <c r="AN774" s="25">
        <v>19.649999999999995</v>
      </c>
      <c r="AO774" s="25">
        <v>19.997916666666654</v>
      </c>
      <c r="AP774" s="25">
        <v>17.545833333333338</v>
      </c>
      <c r="AQ774" s="25">
        <v>18.543749999999999</v>
      </c>
      <c r="AR774" s="25">
        <v>18.891666666666655</v>
      </c>
      <c r="AS774" s="25">
        <v>19.122916666666672</v>
      </c>
      <c r="AT774" s="25">
        <v>0.21818750000000001</v>
      </c>
      <c r="AU774" s="25">
        <v>0.22733333333333336</v>
      </c>
      <c r="AV774" s="25">
        <v>0.38116666666666671</v>
      </c>
      <c r="AW774" s="25">
        <v>-89.17895833333337</v>
      </c>
      <c r="AX774" s="25">
        <v>-18.2775</v>
      </c>
      <c r="AY774" s="25"/>
      <c r="AZ774" s="25"/>
      <c r="BA774" s="25">
        <v>-10.683333333333328</v>
      </c>
      <c r="BB774" s="25"/>
      <c r="BC774" s="25"/>
      <c r="BD774" s="25">
        <v>17.916666666666668</v>
      </c>
      <c r="BE774" s="25"/>
    </row>
    <row r="775" spans="1:57" x14ac:dyDescent="0.25">
      <c r="A775" s="1">
        <v>16</v>
      </c>
      <c r="B775" s="1">
        <v>12.4</v>
      </c>
      <c r="C775" s="22"/>
      <c r="D775" s="23">
        <v>44482</v>
      </c>
      <c r="E775" s="24">
        <v>42.125</v>
      </c>
      <c r="F775" s="24">
        <v>88.470833333333317</v>
      </c>
      <c r="G775" s="24">
        <v>14.283333333333337</v>
      </c>
      <c r="H775" s="24">
        <v>0</v>
      </c>
      <c r="I775" s="24">
        <v>250.75</v>
      </c>
      <c r="J775" s="24">
        <v>6.645833333333333</v>
      </c>
      <c r="K775" s="24">
        <v>0.125</v>
      </c>
      <c r="L775" s="24">
        <v>12.383333333333331</v>
      </c>
      <c r="M775" s="10">
        <v>0.19316117406423305</v>
      </c>
      <c r="N775" s="25">
        <v>0.21718749999999998</v>
      </c>
      <c r="O775" s="25">
        <v>0.2924166666666666</v>
      </c>
      <c r="P775" s="25">
        <v>0.37781250000000011</v>
      </c>
      <c r="Q775" s="25">
        <v>0.38589583333333316</v>
      </c>
      <c r="R775" s="25">
        <v>0.4066666666666669</v>
      </c>
      <c r="S775" s="25">
        <v>0.29741666666666688</v>
      </c>
      <c r="T775" s="25">
        <v>0.29558333333333325</v>
      </c>
      <c r="U775" s="25">
        <v>0.26281250000000006</v>
      </c>
      <c r="V775" s="25">
        <v>-262.75625000000002</v>
      </c>
      <c r="W775" s="25"/>
      <c r="X775" s="25">
        <v>-259.15624999999994</v>
      </c>
      <c r="Y775" s="25">
        <v>-149.18958333333336</v>
      </c>
      <c r="Z775" s="25">
        <v>-15.653125000000003</v>
      </c>
      <c r="AA775" s="25">
        <v>-221.01041666666666</v>
      </c>
      <c r="AB775" s="25">
        <v>-158.81458333333333</v>
      </c>
      <c r="AC775" s="25">
        <v>-207.26874999999998</v>
      </c>
      <c r="AD775" s="25">
        <v>-355.52083333333331</v>
      </c>
      <c r="AE775" s="25">
        <v>-1198.9791666666667</v>
      </c>
      <c r="AF775" s="25">
        <v>-1727.0208333333333</v>
      </c>
      <c r="AG775" s="25">
        <v>-535.68333333333328</v>
      </c>
      <c r="AH775" s="25">
        <v>-13.297916666666666</v>
      </c>
      <c r="AI775" s="25">
        <v>-1271.3958333333333</v>
      </c>
      <c r="AJ775" s="25">
        <v>-2494.8541666666665</v>
      </c>
      <c r="AK775" s="25">
        <v>-6428.916666666667</v>
      </c>
      <c r="AL775" s="25">
        <v>17.581250000000001</v>
      </c>
      <c r="AM775" s="25">
        <v>18.635416666666671</v>
      </c>
      <c r="AN775" s="25">
        <v>19.227083333333347</v>
      </c>
      <c r="AO775" s="25">
        <v>19.608333333333331</v>
      </c>
      <c r="AP775" s="25">
        <v>17.181250000000009</v>
      </c>
      <c r="AQ775" s="25">
        <v>18.237500000000011</v>
      </c>
      <c r="AR775" s="25">
        <v>18.566666666666659</v>
      </c>
      <c r="AS775" s="25">
        <v>18.758333333333347</v>
      </c>
      <c r="AT775" s="25">
        <v>0.21397916666666669</v>
      </c>
      <c r="AU775" s="25">
        <v>0.20938461538461542</v>
      </c>
      <c r="AV775" s="25">
        <v>0.35720833333333318</v>
      </c>
      <c r="AW775" s="25">
        <v>-69.108333333333334</v>
      </c>
      <c r="AX775" s="25">
        <v>-24.610416666666666</v>
      </c>
      <c r="AY775" s="25"/>
      <c r="AZ775" s="25"/>
      <c r="BA775" s="25">
        <v>-10.731249999999998</v>
      </c>
      <c r="BB775" s="25"/>
      <c r="BC775" s="25"/>
      <c r="BD775" s="25">
        <v>17.441666666666659</v>
      </c>
      <c r="BE775" s="25"/>
    </row>
    <row r="776" spans="1:57" x14ac:dyDescent="0.25">
      <c r="A776" s="1">
        <v>16.7</v>
      </c>
      <c r="B776" s="1">
        <v>13.9</v>
      </c>
      <c r="C776" s="22"/>
      <c r="D776" s="23">
        <v>44483</v>
      </c>
      <c r="E776" s="24">
        <v>44.25</v>
      </c>
      <c r="F776" s="24">
        <v>91.756250000000023</v>
      </c>
      <c r="G776" s="24">
        <v>14.837499999999999</v>
      </c>
      <c r="H776" s="24">
        <v>2.2000000000000002</v>
      </c>
      <c r="I776" s="24">
        <v>216.64583333333334</v>
      </c>
      <c r="J776" s="24">
        <v>5.229166666666667</v>
      </c>
      <c r="K776" s="24">
        <v>0</v>
      </c>
      <c r="L776" s="24">
        <v>13.506250000000003</v>
      </c>
      <c r="M776" s="10">
        <v>0.13917713859079131</v>
      </c>
      <c r="N776" s="25">
        <v>0.21737499999999996</v>
      </c>
      <c r="O776" s="25">
        <v>0.29158333333333342</v>
      </c>
      <c r="P776" s="25">
        <v>0.37708333333333344</v>
      </c>
      <c r="Q776" s="25">
        <v>0.38514583333333335</v>
      </c>
      <c r="R776" s="25">
        <v>0.40260416666666665</v>
      </c>
      <c r="S776" s="25">
        <v>0.29691666666666677</v>
      </c>
      <c r="T776" s="25">
        <v>0.29502083333333329</v>
      </c>
      <c r="U776" s="25">
        <v>0.26174999999999998</v>
      </c>
      <c r="V776" s="25">
        <v>-245.56458333333322</v>
      </c>
      <c r="W776" s="25"/>
      <c r="X776" s="25">
        <v>-257.67083333333329</v>
      </c>
      <c r="Y776" s="25">
        <v>-163.29791666666668</v>
      </c>
      <c r="Z776" s="25">
        <v>-17.569791666666664</v>
      </c>
      <c r="AA776" s="25">
        <v>-217.49583333333339</v>
      </c>
      <c r="AB776" s="25">
        <v>-170.35416666666666</v>
      </c>
      <c r="AC776" s="25">
        <v>-210.11875000000009</v>
      </c>
      <c r="AD776" s="25">
        <v>-383.06666666666666</v>
      </c>
      <c r="AE776" s="25">
        <v>-1201.5625</v>
      </c>
      <c r="AF776" s="25">
        <v>-1743.1875</v>
      </c>
      <c r="AG776" s="25">
        <v>-538.43541666666658</v>
      </c>
      <c r="AH776" s="25">
        <v>-14.714583333333337</v>
      </c>
      <c r="AI776" s="25">
        <v>-1239.1458333333333</v>
      </c>
      <c r="AJ776" s="25">
        <v>-2515.0416666666665</v>
      </c>
      <c r="AK776" s="25">
        <v>-6491.375</v>
      </c>
      <c r="AL776" s="25">
        <v>17.477083333333347</v>
      </c>
      <c r="AM776" s="25">
        <v>18.318749999999998</v>
      </c>
      <c r="AN776" s="25">
        <v>18.881249999999977</v>
      </c>
      <c r="AO776" s="25">
        <v>19.241666666666685</v>
      </c>
      <c r="AP776" s="25">
        <v>17.129166666666656</v>
      </c>
      <c r="AQ776" s="25">
        <v>17.972916666666659</v>
      </c>
      <c r="AR776" s="25">
        <v>18.260416666666689</v>
      </c>
      <c r="AS776" s="25">
        <v>18.406249999999979</v>
      </c>
      <c r="AT776" s="25">
        <v>0.21172916666666655</v>
      </c>
      <c r="AU776" s="25">
        <v>0.20688571428571431</v>
      </c>
      <c r="AV776" s="25">
        <v>0.34329166666666677</v>
      </c>
      <c r="AW776" s="25">
        <v>-171.96166666666667</v>
      </c>
      <c r="AX776" s="25">
        <v>-36.521875000000001</v>
      </c>
      <c r="AY776" s="25"/>
      <c r="AZ776" s="25"/>
      <c r="BA776" s="25">
        <v>-10.889583333333325</v>
      </c>
      <c r="BB776" s="25"/>
      <c r="BC776" s="25"/>
      <c r="BD776" s="25">
        <v>17.587500000000002</v>
      </c>
      <c r="BE776" s="25"/>
    </row>
    <row r="777" spans="1:57" x14ac:dyDescent="0.25">
      <c r="A777" s="1">
        <v>16.3</v>
      </c>
      <c r="B777" s="1">
        <v>12.2</v>
      </c>
      <c r="C777" s="22"/>
      <c r="D777" s="23">
        <v>44484</v>
      </c>
      <c r="E777" s="24">
        <v>43.916666666666664</v>
      </c>
      <c r="F777" s="24">
        <v>89.893749999999997</v>
      </c>
      <c r="G777" s="24">
        <v>14.068749999999996</v>
      </c>
      <c r="H777" s="24">
        <v>1.4</v>
      </c>
      <c r="I777" s="24">
        <v>231.3125</v>
      </c>
      <c r="J777" s="24">
        <v>5.229166666666667</v>
      </c>
      <c r="K777" s="24">
        <v>0</v>
      </c>
      <c r="L777" s="24">
        <v>12.422916666666666</v>
      </c>
      <c r="M777" s="10">
        <v>0.16260612155931461</v>
      </c>
      <c r="N777" s="25">
        <v>0.218</v>
      </c>
      <c r="O777" s="25">
        <v>0.29125000000000018</v>
      </c>
      <c r="P777" s="25">
        <v>0.37662499999999993</v>
      </c>
      <c r="Q777" s="25">
        <v>0.38502083333333337</v>
      </c>
      <c r="R777" s="25">
        <v>0.40000000000000019</v>
      </c>
      <c r="S777" s="25">
        <v>0.29700000000000021</v>
      </c>
      <c r="T777" s="25">
        <v>0.29504166666666665</v>
      </c>
      <c r="U777" s="25">
        <v>0.26127083333333317</v>
      </c>
      <c r="V777" s="25">
        <v>-235.62708333333339</v>
      </c>
      <c r="W777" s="25"/>
      <c r="X777" s="25">
        <v>-257.12083333333334</v>
      </c>
      <c r="Y777" s="25">
        <v>-175.98125000000002</v>
      </c>
      <c r="Z777" s="25">
        <v>-19.860624999999995</v>
      </c>
      <c r="AA777" s="25">
        <v>-214.67499999999998</v>
      </c>
      <c r="AB777" s="25">
        <v>-179.12708333333333</v>
      </c>
      <c r="AC777" s="25">
        <v>-211.03541666666669</v>
      </c>
      <c r="AD777" s="25">
        <v>-410.17500000000001</v>
      </c>
      <c r="AE777" s="25">
        <v>-1200.4791666666667</v>
      </c>
      <c r="AF777" s="25">
        <v>-1765.75</v>
      </c>
      <c r="AG777" s="25">
        <v>-541.95624999999984</v>
      </c>
      <c r="AH777" s="25">
        <v>-16.856249999999999</v>
      </c>
      <c r="AI777" s="25">
        <v>-1200.6875</v>
      </c>
      <c r="AJ777" s="25">
        <v>-2520.8958333333335</v>
      </c>
      <c r="AK777" s="25">
        <v>-6812.604166666667</v>
      </c>
      <c r="AL777" s="25">
        <v>17.366666666666667</v>
      </c>
      <c r="AM777" s="25">
        <v>18.170833333333345</v>
      </c>
      <c r="AN777" s="25">
        <v>18.668750000000006</v>
      </c>
      <c r="AO777" s="25">
        <v>19.018749999999997</v>
      </c>
      <c r="AP777" s="25">
        <v>17.006250000000001</v>
      </c>
      <c r="AQ777" s="25">
        <v>17.854166666666654</v>
      </c>
      <c r="AR777" s="25">
        <v>18.089583333333337</v>
      </c>
      <c r="AS777" s="25">
        <v>18.235416666666683</v>
      </c>
      <c r="AT777" s="25">
        <v>0.21247916666666675</v>
      </c>
      <c r="AU777" s="25">
        <v>0.21226470588235297</v>
      </c>
      <c r="AV777" s="25">
        <v>0.34102083333333316</v>
      </c>
      <c r="AW777" s="25">
        <v>-131.0785106382979</v>
      </c>
      <c r="AX777" s="25">
        <v>-41.623958333333341</v>
      </c>
      <c r="AY777" s="25"/>
      <c r="AZ777" s="25"/>
      <c r="BA777" s="25">
        <v>-10.837500000000007</v>
      </c>
      <c r="BB777" s="25"/>
      <c r="BC777" s="25"/>
      <c r="BD777" s="25">
        <v>17.289583333333336</v>
      </c>
      <c r="BE777" s="25"/>
    </row>
    <row r="778" spans="1:57" x14ac:dyDescent="0.25">
      <c r="A778" s="1">
        <v>13.2</v>
      </c>
      <c r="B778" s="1">
        <v>9.9</v>
      </c>
      <c r="C778" s="22"/>
      <c r="D778" s="23">
        <v>44485</v>
      </c>
      <c r="E778" s="24">
        <v>43.979166666666664</v>
      </c>
      <c r="F778" s="24">
        <v>84.61666666666666</v>
      </c>
      <c r="G778" s="24">
        <v>11.516666666666667</v>
      </c>
      <c r="H778" s="24">
        <v>0.2</v>
      </c>
      <c r="I778" s="24">
        <v>251.10416666666666</v>
      </c>
      <c r="J778" s="24">
        <v>5.291666666666667</v>
      </c>
      <c r="K778" s="24">
        <v>6.25E-2</v>
      </c>
      <c r="L778" s="24">
        <v>8.997916666666665</v>
      </c>
      <c r="M778" s="10">
        <v>0.21130365239483226</v>
      </c>
      <c r="N778" s="25">
        <v>0.21674999999999986</v>
      </c>
      <c r="O778" s="25">
        <v>0.28999999999999976</v>
      </c>
      <c r="P778" s="25">
        <v>0.37547916666666664</v>
      </c>
      <c r="Q778" s="25">
        <v>0.38458333333333333</v>
      </c>
      <c r="R778" s="25">
        <v>0.39441666666666664</v>
      </c>
      <c r="S778" s="25">
        <v>0.29679166666666662</v>
      </c>
      <c r="T778" s="25">
        <v>0.29452083333333351</v>
      </c>
      <c r="U778" s="25">
        <v>0.26110416666666642</v>
      </c>
      <c r="V778" s="25">
        <v>-232.58125000000004</v>
      </c>
      <c r="W778" s="25"/>
      <c r="X778" s="25">
        <v>-257.04375000000005</v>
      </c>
      <c r="Y778" s="25">
        <v>-186.76041666666666</v>
      </c>
      <c r="Z778" s="25">
        <v>-23.397083333333331</v>
      </c>
      <c r="AA778" s="25">
        <v>-213.76666666666665</v>
      </c>
      <c r="AB778" s="25">
        <v>-186.3958333333334</v>
      </c>
      <c r="AC778" s="25">
        <v>-212.13958333333335</v>
      </c>
      <c r="AD778" s="25">
        <v>-455.70416666666671</v>
      </c>
      <c r="AE778" s="25">
        <v>-1210.375</v>
      </c>
      <c r="AF778" s="25">
        <v>-1786.7083333333333</v>
      </c>
      <c r="AG778" s="25">
        <v>-546.35416666666652</v>
      </c>
      <c r="AH778" s="25">
        <v>-19.768750000000001</v>
      </c>
      <c r="AI778" s="25">
        <v>-1211.5208333333333</v>
      </c>
      <c r="AJ778" s="25">
        <v>-2574.8958333333335</v>
      </c>
      <c r="AK778" s="25">
        <v>-7351.0425531914898</v>
      </c>
      <c r="AL778" s="25">
        <v>16.364583333333336</v>
      </c>
      <c r="AM778" s="25">
        <v>17.689583333333331</v>
      </c>
      <c r="AN778" s="25">
        <v>18.393749999999997</v>
      </c>
      <c r="AO778" s="25">
        <v>18.770833333333353</v>
      </c>
      <c r="AP778" s="25">
        <v>15.910416666666661</v>
      </c>
      <c r="AQ778" s="25">
        <v>17.260416666666668</v>
      </c>
      <c r="AR778" s="25">
        <v>17.685416666666665</v>
      </c>
      <c r="AS778" s="25">
        <v>17.891666666666666</v>
      </c>
      <c r="AT778" s="25">
        <v>0.20927083333333332</v>
      </c>
      <c r="AU778" s="25">
        <v>0.20600000000000002</v>
      </c>
      <c r="AV778" s="25">
        <v>0.3340625000000001</v>
      </c>
      <c r="AW778" s="25">
        <v>-139.68577083333335</v>
      </c>
      <c r="AX778" s="25">
        <v>-51.935208333333328</v>
      </c>
      <c r="AY778" s="25"/>
      <c r="AZ778" s="25"/>
      <c r="BA778" s="25">
        <v>-11.064583333333337</v>
      </c>
      <c r="BB778" s="25"/>
      <c r="BC778" s="25"/>
      <c r="BD778" s="25">
        <v>16.108333333333331</v>
      </c>
      <c r="BE778" s="25"/>
    </row>
    <row r="779" spans="1:57" x14ac:dyDescent="0.25">
      <c r="A779" s="1">
        <v>15.8</v>
      </c>
      <c r="B779" s="1">
        <v>8.6999999999999993</v>
      </c>
      <c r="C779" s="22"/>
      <c r="D779" s="23">
        <v>44486</v>
      </c>
      <c r="E779" s="24">
        <v>88.9375</v>
      </c>
      <c r="F779" s="24">
        <v>83.708333333333329</v>
      </c>
      <c r="G779" s="24">
        <v>11.2875</v>
      </c>
      <c r="H779" s="24">
        <v>0</v>
      </c>
      <c r="I779" s="24">
        <v>241.08333333333334</v>
      </c>
      <c r="J779" s="24">
        <v>4.395833333333333</v>
      </c>
      <c r="K779" s="24">
        <v>0.27083333333333331</v>
      </c>
      <c r="L779" s="24">
        <v>8.5708333333333311</v>
      </c>
      <c r="M779" s="10">
        <v>0.23138127693421309</v>
      </c>
      <c r="N779" s="25">
        <v>0.21483333333333343</v>
      </c>
      <c r="O779" s="25">
        <v>0.28768750000000032</v>
      </c>
      <c r="P779" s="25">
        <v>0.37293749999999992</v>
      </c>
      <c r="Q779" s="25">
        <v>0.38262499999999999</v>
      </c>
      <c r="R779" s="25">
        <v>0.38877083333333345</v>
      </c>
      <c r="S779" s="25">
        <v>0.29514583333333333</v>
      </c>
      <c r="T779" s="25">
        <v>0.29347916666666629</v>
      </c>
      <c r="U779" s="25">
        <v>0.26093749999999982</v>
      </c>
      <c r="V779" s="25">
        <v>-228.23125000000007</v>
      </c>
      <c r="W779" s="25"/>
      <c r="X779" s="25">
        <v>-261.57083333333338</v>
      </c>
      <c r="Y779" s="25">
        <v>-196.92083333333338</v>
      </c>
      <c r="Z779" s="25">
        <v>-27.365416666666661</v>
      </c>
      <c r="AA779" s="25">
        <v>-213.78958333333335</v>
      </c>
      <c r="AB779" s="25">
        <v>-193.98333333333323</v>
      </c>
      <c r="AC779" s="25">
        <v>-216.15625000000014</v>
      </c>
      <c r="AD779" s="25">
        <v>-517.19583333333333</v>
      </c>
      <c r="AE779" s="25">
        <v>-1233.1666666666667</v>
      </c>
      <c r="AF779" s="25">
        <v>-1835.5833333333333</v>
      </c>
      <c r="AG779" s="25">
        <v>-553.86875000000009</v>
      </c>
      <c r="AH779" s="25">
        <v>-24.814583333333335</v>
      </c>
      <c r="AI779" s="25">
        <v>-1252.7291666666667</v>
      </c>
      <c r="AJ779" s="25">
        <v>-2655.75</v>
      </c>
      <c r="AK779" s="25">
        <v>-7535.0967741935483</v>
      </c>
      <c r="AL779" s="25">
        <v>15.660416666666668</v>
      </c>
      <c r="AM779" s="25">
        <v>17.006249999999987</v>
      </c>
      <c r="AN779" s="25">
        <v>17.902083333333334</v>
      </c>
      <c r="AO779" s="25">
        <v>18.391666666666662</v>
      </c>
      <c r="AP779" s="25">
        <v>15.21875</v>
      </c>
      <c r="AQ779" s="25">
        <v>16.531249999999996</v>
      </c>
      <c r="AR779" s="25">
        <v>17.041666666666657</v>
      </c>
      <c r="AS779" s="25">
        <v>17.306250000000009</v>
      </c>
      <c r="AT779" s="25">
        <v>0.19475000000000006</v>
      </c>
      <c r="AU779" s="25"/>
      <c r="AV779" s="25">
        <v>0.32324999999999998</v>
      </c>
      <c r="AW779" s="25">
        <v>-185.54992857142858</v>
      </c>
      <c r="AX779" s="25">
        <v>-67.065208333333345</v>
      </c>
      <c r="AY779" s="25"/>
      <c r="AZ779" s="25"/>
      <c r="BA779" s="25">
        <v>-13.22916666666667</v>
      </c>
      <c r="BB779" s="25"/>
      <c r="BC779" s="25"/>
      <c r="BD779" s="25">
        <v>15.860416666666666</v>
      </c>
      <c r="BE779" s="25"/>
    </row>
    <row r="780" spans="1:57" x14ac:dyDescent="0.25">
      <c r="A780" s="1">
        <v>25</v>
      </c>
      <c r="B780" s="1">
        <v>10.1</v>
      </c>
      <c r="C780" s="22"/>
      <c r="D780" s="23">
        <v>44487</v>
      </c>
      <c r="E780" s="24">
        <v>135.33333333333334</v>
      </c>
      <c r="F780" s="24">
        <v>83.985416666666652</v>
      </c>
      <c r="G780" s="24">
        <v>14.381249999999996</v>
      </c>
      <c r="H780" s="24">
        <v>0</v>
      </c>
      <c r="I780" s="24">
        <v>242.08333333333334</v>
      </c>
      <c r="J780" s="24">
        <v>4.4375</v>
      </c>
      <c r="K780" s="24">
        <v>0.16666666666666666</v>
      </c>
      <c r="L780" s="24">
        <v>11.514583333333336</v>
      </c>
      <c r="M780" s="10">
        <v>0.33493215851641162</v>
      </c>
      <c r="N780" s="25">
        <v>0.21447916666666667</v>
      </c>
      <c r="O780" s="25">
        <v>0.28658333333333336</v>
      </c>
      <c r="P780" s="25">
        <v>0.37189583333333348</v>
      </c>
      <c r="Q780" s="25">
        <v>0.38102083333333331</v>
      </c>
      <c r="R780" s="25">
        <v>0.38664583333333341</v>
      </c>
      <c r="S780" s="25">
        <v>0.29485416666666664</v>
      </c>
      <c r="T780" s="25">
        <v>0.29277083333333315</v>
      </c>
      <c r="U780" s="25">
        <v>0.26016666666666655</v>
      </c>
      <c r="V780" s="25">
        <v>-211.97916666666666</v>
      </c>
      <c r="W780" s="25"/>
      <c r="X780" s="25">
        <v>-263.48958333333326</v>
      </c>
      <c r="Y780" s="25">
        <v>-204.82083333333335</v>
      </c>
      <c r="Z780" s="25">
        <v>-31.441875000000007</v>
      </c>
      <c r="AA780" s="25">
        <v>-212.30208333333317</v>
      </c>
      <c r="AB780" s="25">
        <v>-198.10624999999996</v>
      </c>
      <c r="AC780" s="25">
        <v>-217.75208333333345</v>
      </c>
      <c r="AD780" s="25">
        <v>-593.52916666666681</v>
      </c>
      <c r="AE780" s="25">
        <v>-1241.0208333333333</v>
      </c>
      <c r="AF780" s="25">
        <v>-1898.8541666666667</v>
      </c>
      <c r="AG780" s="25">
        <v>-562.07499999999993</v>
      </c>
      <c r="AH780" s="25">
        <v>-33.354166666666664</v>
      </c>
      <c r="AI780" s="25">
        <v>-1251.25</v>
      </c>
      <c r="AJ780" s="25">
        <v>-2719.6875</v>
      </c>
      <c r="AK780" s="25">
        <v>-7532.1702127659573</v>
      </c>
      <c r="AL780" s="25">
        <v>16.175000000000001</v>
      </c>
      <c r="AM780" s="25">
        <v>16.862500000000004</v>
      </c>
      <c r="AN780" s="25">
        <v>17.583333333333339</v>
      </c>
      <c r="AO780" s="25">
        <v>18.056250000000002</v>
      </c>
      <c r="AP780" s="25">
        <v>15.741666666666662</v>
      </c>
      <c r="AQ780" s="25">
        <v>16.479166666666664</v>
      </c>
      <c r="AR780" s="25">
        <v>16.806250000000002</v>
      </c>
      <c r="AS780" s="25">
        <v>16.997916666666658</v>
      </c>
      <c r="AT780" s="25">
        <v>0.18414583333333326</v>
      </c>
      <c r="AU780" s="25">
        <v>0.17879999999999999</v>
      </c>
      <c r="AV780" s="25">
        <v>0.3147916666666668</v>
      </c>
      <c r="AW780" s="25">
        <v>-236.48181818181817</v>
      </c>
      <c r="AX780" s="25">
        <v>-80.543541666666641</v>
      </c>
      <c r="AY780" s="25">
        <v>-25.71</v>
      </c>
      <c r="AZ780" s="25"/>
      <c r="BA780" s="25">
        <v>-19.44583333333334</v>
      </c>
      <c r="BB780" s="25"/>
      <c r="BC780" s="25"/>
      <c r="BD780" s="25">
        <v>17.406250000000004</v>
      </c>
      <c r="BE780" s="25"/>
    </row>
    <row r="781" spans="1:57" x14ac:dyDescent="0.25">
      <c r="A781" s="1">
        <v>22.1</v>
      </c>
      <c r="B781" s="1">
        <v>10.9</v>
      </c>
      <c r="C781" s="22"/>
      <c r="D781" s="23">
        <v>44488</v>
      </c>
      <c r="E781" s="24">
        <v>69.208333333333329</v>
      </c>
      <c r="F781" s="24">
        <v>89.424999999999969</v>
      </c>
      <c r="G781" s="24">
        <v>15.558333333333335</v>
      </c>
      <c r="H781" s="24">
        <v>0.4</v>
      </c>
      <c r="I781" s="24">
        <v>223.52083333333334</v>
      </c>
      <c r="J781" s="24">
        <v>5.395833333333333</v>
      </c>
      <c r="K781" s="24">
        <v>0.35416666666666669</v>
      </c>
      <c r="L781" s="24">
        <v>13.756250000000003</v>
      </c>
      <c r="M781" s="10">
        <v>0.21910551725581071</v>
      </c>
      <c r="N781" s="25">
        <v>0.21560416666666649</v>
      </c>
      <c r="O781" s="25">
        <v>0.28706250000000028</v>
      </c>
      <c r="P781" s="25">
        <v>0.37299999999999994</v>
      </c>
      <c r="Q781" s="25">
        <v>0.38089583333333349</v>
      </c>
      <c r="R781" s="25">
        <v>0.38602083333333326</v>
      </c>
      <c r="S781" s="25">
        <v>0.29633333333333339</v>
      </c>
      <c r="T781" s="25">
        <v>0.29356249999999989</v>
      </c>
      <c r="U781" s="25">
        <v>0.25991666666666652</v>
      </c>
      <c r="V781" s="25">
        <v>-198.57500000000005</v>
      </c>
      <c r="W781" s="25"/>
      <c r="X781" s="25">
        <v>-263.03958333333344</v>
      </c>
      <c r="Y781" s="25">
        <v>-212.18125000000012</v>
      </c>
      <c r="Z781" s="25">
        <v>-36.960208333333327</v>
      </c>
      <c r="AA781" s="25">
        <v>-212.24374999999995</v>
      </c>
      <c r="AB781" s="25">
        <v>-198.96874999999997</v>
      </c>
      <c r="AC781" s="25">
        <v>-216.80416666666676</v>
      </c>
      <c r="AD781" s="25">
        <v>-719.0645833333333</v>
      </c>
      <c r="AE781" s="25">
        <v>-1219.6875</v>
      </c>
      <c r="AF781" s="25">
        <v>-1912.0625</v>
      </c>
      <c r="AG781" s="25">
        <v>-564.40833333333319</v>
      </c>
      <c r="AH781" s="25">
        <v>-48.614583333333343</v>
      </c>
      <c r="AI781" s="25">
        <v>-1212.5833333333333</v>
      </c>
      <c r="AJ781" s="25">
        <v>-2676.3125</v>
      </c>
      <c r="AK781" s="25">
        <v>-7316.208333333333</v>
      </c>
      <c r="AL781" s="25">
        <v>16.831250000000001</v>
      </c>
      <c r="AM781" s="25">
        <v>17.239583333333336</v>
      </c>
      <c r="AN781" s="25">
        <v>17.641666666666673</v>
      </c>
      <c r="AO781" s="25">
        <v>17.997916666666665</v>
      </c>
      <c r="AP781" s="25">
        <v>16.445833333333333</v>
      </c>
      <c r="AQ781" s="25">
        <v>16.908333333333335</v>
      </c>
      <c r="AR781" s="25">
        <v>17.037500000000001</v>
      </c>
      <c r="AS781" s="25">
        <v>17.100000000000016</v>
      </c>
      <c r="AT781" s="25">
        <v>0.18220833333333333</v>
      </c>
      <c r="AU781" s="25">
        <v>0.168625</v>
      </c>
      <c r="AV781" s="25">
        <v>0.30325000000000008</v>
      </c>
      <c r="AW781" s="25">
        <v>-270.86666666666656</v>
      </c>
      <c r="AX781" s="25">
        <v>-93.485416666666666</v>
      </c>
      <c r="AY781" s="25"/>
      <c r="AZ781" s="25"/>
      <c r="BA781" s="25">
        <v>-24.091666666666669</v>
      </c>
      <c r="BB781" s="25"/>
      <c r="BC781" s="25"/>
      <c r="BD781" s="25">
        <v>17.289583333333336</v>
      </c>
      <c r="BE781" s="25"/>
    </row>
    <row r="782" spans="1:57" x14ac:dyDescent="0.25">
      <c r="A782" s="1">
        <v>18.600000000000001</v>
      </c>
      <c r="B782" s="1">
        <v>10</v>
      </c>
      <c r="C782" s="22"/>
      <c r="D782" s="23">
        <v>44489</v>
      </c>
      <c r="E782" s="24">
        <v>20.3125</v>
      </c>
      <c r="F782" s="24">
        <v>93.941666666666677</v>
      </c>
      <c r="G782" s="24">
        <v>11.579166666666667</v>
      </c>
      <c r="H782" s="24">
        <v>5.3000000000000007</v>
      </c>
      <c r="I782" s="24">
        <v>242.27083333333334</v>
      </c>
      <c r="J782" s="24">
        <v>3.2291666666666665</v>
      </c>
      <c r="K782" s="24">
        <v>0</v>
      </c>
      <c r="L782" s="24">
        <v>10.62708333333333</v>
      </c>
      <c r="M782" s="10">
        <v>8.5840228983713449E-2</v>
      </c>
      <c r="N782" s="25">
        <v>0.21591666666666676</v>
      </c>
      <c r="O782" s="25">
        <v>0.28756250000000039</v>
      </c>
      <c r="P782" s="25">
        <v>0.37349999999999994</v>
      </c>
      <c r="Q782" s="25">
        <v>0.38100000000000017</v>
      </c>
      <c r="R782" s="25">
        <v>0.38499999999999984</v>
      </c>
      <c r="S782" s="25">
        <v>0.29627083333333321</v>
      </c>
      <c r="T782" s="25">
        <v>0.29395833333333343</v>
      </c>
      <c r="U782" s="25">
        <v>0.25958333333333333</v>
      </c>
      <c r="V782" s="25">
        <v>-197.16250000000002</v>
      </c>
      <c r="W782" s="25"/>
      <c r="X782" s="25">
        <v>-261.04583333333335</v>
      </c>
      <c r="Y782" s="25">
        <v>-216.96250000000009</v>
      </c>
      <c r="Z782" s="25">
        <v>-43.765833333333347</v>
      </c>
      <c r="AA782" s="25">
        <v>-213.66250000000005</v>
      </c>
      <c r="AB782" s="25">
        <v>-199.63750000000005</v>
      </c>
      <c r="AC782" s="25">
        <v>-214.62916666666669</v>
      </c>
      <c r="AD782" s="25">
        <v>-825.43333333333339</v>
      </c>
      <c r="AE782" s="25">
        <v>-1211.3958333333333</v>
      </c>
      <c r="AF782" s="25">
        <v>-1866.1041666666667</v>
      </c>
      <c r="AG782" s="25">
        <v>-563.39166666666665</v>
      </c>
      <c r="AH782" s="25">
        <v>-65.531250000000014</v>
      </c>
      <c r="AI782" s="25">
        <v>-1205.9166666666667</v>
      </c>
      <c r="AJ782" s="25">
        <v>-2636.2083333333335</v>
      </c>
      <c r="AK782" s="25">
        <v>-7568.5925925925922</v>
      </c>
      <c r="AL782" s="25">
        <v>16.65208333333333</v>
      </c>
      <c r="AM782" s="25">
        <v>17.393750000000001</v>
      </c>
      <c r="AN782" s="25">
        <v>17.741666666666681</v>
      </c>
      <c r="AO782" s="25">
        <v>18</v>
      </c>
      <c r="AP782" s="25">
        <v>16.254166666666663</v>
      </c>
      <c r="AQ782" s="25">
        <v>17.085416666666667</v>
      </c>
      <c r="AR782" s="25">
        <v>17.202083333333345</v>
      </c>
      <c r="AS782" s="25">
        <v>17.243750000000013</v>
      </c>
      <c r="AT782" s="25">
        <v>0.18102083333333327</v>
      </c>
      <c r="AU782" s="25">
        <v>0.16400000000000001</v>
      </c>
      <c r="AV782" s="25">
        <v>0.2960833333333332</v>
      </c>
      <c r="AW782" s="25">
        <v>-288.96666666666658</v>
      </c>
      <c r="AX782" s="25">
        <v>-105.53749999999997</v>
      </c>
      <c r="AY782" s="25"/>
      <c r="AZ782" s="25"/>
      <c r="BA782" s="25">
        <v>-32.374999999999993</v>
      </c>
      <c r="BB782" s="25"/>
      <c r="BC782" s="25"/>
      <c r="BD782" s="25">
        <v>16.260416666666668</v>
      </c>
      <c r="BE782" s="25"/>
    </row>
    <row r="783" spans="1:57" x14ac:dyDescent="0.25">
      <c r="A783" s="1">
        <v>12.4</v>
      </c>
      <c r="B783" s="1">
        <v>8.9</v>
      </c>
      <c r="C783" s="22"/>
      <c r="D783" s="23">
        <v>44490</v>
      </c>
      <c r="E783" s="24">
        <v>47.145833333333336</v>
      </c>
      <c r="F783" s="24">
        <v>91.585416666666688</v>
      </c>
      <c r="G783" s="24">
        <v>10.412499999999996</v>
      </c>
      <c r="H783" s="24">
        <v>1</v>
      </c>
      <c r="I783" s="24">
        <v>264.89583333333331</v>
      </c>
      <c r="J783" s="24">
        <v>1.9583333333333333</v>
      </c>
      <c r="K783" s="24">
        <v>0</v>
      </c>
      <c r="L783" s="24">
        <v>9.0791666666666675</v>
      </c>
      <c r="M783" s="10">
        <v>0.11055649452751226</v>
      </c>
      <c r="N783" s="25">
        <v>0.21402083333333358</v>
      </c>
      <c r="O783" s="25">
        <v>0.2855625</v>
      </c>
      <c r="P783" s="25">
        <v>0.37106250000000013</v>
      </c>
      <c r="Q783" s="25">
        <v>0.38039583333333366</v>
      </c>
      <c r="R783" s="25">
        <v>0.38106250000000003</v>
      </c>
      <c r="S783" s="25">
        <v>0.29400000000000009</v>
      </c>
      <c r="T783" s="25">
        <v>0.2930833333333332</v>
      </c>
      <c r="U783" s="25">
        <v>0.25883333333333342</v>
      </c>
      <c r="V783" s="25">
        <v>-206.47291666666663</v>
      </c>
      <c r="W783" s="25"/>
      <c r="X783" s="25">
        <v>-264.65833333333336</v>
      </c>
      <c r="Y783" s="25">
        <v>-221.81458333333333</v>
      </c>
      <c r="Z783" s="25">
        <v>-49.790416666666665</v>
      </c>
      <c r="AA783" s="25">
        <v>-217.41666666666677</v>
      </c>
      <c r="AB783" s="25">
        <v>-204.30833333333331</v>
      </c>
      <c r="AC783" s="25">
        <v>-217.33541666666679</v>
      </c>
      <c r="AD783" s="25">
        <v>-900.10416666666663</v>
      </c>
      <c r="AE783" s="25">
        <v>-1239.5</v>
      </c>
      <c r="AF783" s="25">
        <v>-1936.3541666666667</v>
      </c>
      <c r="AG783" s="25">
        <v>-565.32916666666654</v>
      </c>
      <c r="AH783" s="25">
        <v>-18.339583333333326</v>
      </c>
      <c r="AI783" s="25">
        <v>-1293.5833333333333</v>
      </c>
      <c r="AJ783" s="25">
        <v>-2797.2916666666665</v>
      </c>
      <c r="AK783" s="25">
        <v>-7895</v>
      </c>
      <c r="AL783" s="25">
        <v>15.345833333333331</v>
      </c>
      <c r="AM783" s="25">
        <v>16.664583333333336</v>
      </c>
      <c r="AN783" s="25">
        <v>17.418749999999989</v>
      </c>
      <c r="AO783" s="25">
        <v>17.833333333333339</v>
      </c>
      <c r="AP783" s="25">
        <v>14.829166666666666</v>
      </c>
      <c r="AQ783" s="25">
        <v>16.143750000000001</v>
      </c>
      <c r="AR783" s="25">
        <v>16.593749999999996</v>
      </c>
      <c r="AS783" s="25">
        <v>16.806250000000009</v>
      </c>
      <c r="AT783" s="25">
        <v>0.20172916666666676</v>
      </c>
      <c r="AU783" s="25">
        <v>0.19866666666666669</v>
      </c>
      <c r="AV783" s="25">
        <v>0.32354166666666678</v>
      </c>
      <c r="AW783" s="25">
        <v>-69.231666666666655</v>
      </c>
      <c r="AX783" s="25">
        <v>-53.654166666666661</v>
      </c>
      <c r="AY783" s="25"/>
      <c r="AZ783" s="25"/>
      <c r="BA783" s="25">
        <v>-12.637499999999996</v>
      </c>
      <c r="BB783" s="25"/>
      <c r="BC783" s="25"/>
      <c r="BD783" s="25">
        <v>15.204166666666667</v>
      </c>
      <c r="BE783" s="25"/>
    </row>
    <row r="784" spans="1:57" x14ac:dyDescent="0.25">
      <c r="A784" s="1">
        <v>11.4</v>
      </c>
      <c r="B784" s="1">
        <v>5.6</v>
      </c>
      <c r="C784" s="22"/>
      <c r="D784" s="23">
        <v>44491</v>
      </c>
      <c r="E784" s="24">
        <v>78.5625</v>
      </c>
      <c r="F784" s="24">
        <v>84.722916666666649</v>
      </c>
      <c r="G784" s="24">
        <v>8.5770833333333325</v>
      </c>
      <c r="H784" s="24">
        <v>2.5000000000000004</v>
      </c>
      <c r="I784" s="24">
        <v>243.29166666666666</v>
      </c>
      <c r="J784" s="24">
        <v>4.5</v>
      </c>
      <c r="K784" s="24">
        <v>0.33333333333333331</v>
      </c>
      <c r="L784" s="24">
        <v>6.0875000000000012</v>
      </c>
      <c r="M784" s="10">
        <v>0.17726568296863307</v>
      </c>
      <c r="N784" s="25">
        <v>0.2129166666666665</v>
      </c>
      <c r="O784" s="25">
        <v>0.28370833333333306</v>
      </c>
      <c r="P784" s="25">
        <v>0.3688958333333332</v>
      </c>
      <c r="Q784" s="25">
        <v>0.37872916666666651</v>
      </c>
      <c r="R784" s="25">
        <v>0.3779583333333334</v>
      </c>
      <c r="S784" s="25">
        <v>0.29233333333333322</v>
      </c>
      <c r="T784" s="25">
        <v>0.29141666666666682</v>
      </c>
      <c r="U784" s="25">
        <v>0.25802083333333309</v>
      </c>
      <c r="V784" s="25">
        <v>-210.42083333333332</v>
      </c>
      <c r="W784" s="25"/>
      <c r="X784" s="25">
        <v>-269.46249999999998</v>
      </c>
      <c r="Y784" s="25">
        <v>-226.01666666666665</v>
      </c>
      <c r="Z784" s="25">
        <v>-54.927916666666675</v>
      </c>
      <c r="AA784" s="25">
        <v>-220.2437500000002</v>
      </c>
      <c r="AB784" s="25">
        <v>-208.62708333333333</v>
      </c>
      <c r="AC784" s="25">
        <v>-221.0500000000001</v>
      </c>
      <c r="AD784" s="25">
        <v>-937.77083333333337</v>
      </c>
      <c r="AE784" s="25">
        <v>-1294.8333333333333</v>
      </c>
      <c r="AF784" s="25">
        <v>-1997.3541666666667</v>
      </c>
      <c r="AG784" s="25">
        <v>-569.53958333333333</v>
      </c>
      <c r="AH784" s="25">
        <v>-14.087499999999993</v>
      </c>
      <c r="AI784" s="25">
        <v>-1328.8333333333333</v>
      </c>
      <c r="AJ784" s="25">
        <v>-3051.6666666666665</v>
      </c>
      <c r="AK784" s="25"/>
      <c r="AL784" s="25">
        <v>14.445833333333333</v>
      </c>
      <c r="AM784" s="25">
        <v>16.029166666666651</v>
      </c>
      <c r="AN784" s="25">
        <v>16.974999999999991</v>
      </c>
      <c r="AO784" s="25">
        <v>17.48333333333332</v>
      </c>
      <c r="AP784" s="25">
        <v>13.866666666666665</v>
      </c>
      <c r="AQ784" s="25">
        <v>15.437500000000002</v>
      </c>
      <c r="AR784" s="25">
        <v>16.004166666666659</v>
      </c>
      <c r="AS784" s="25">
        <v>16.275000000000002</v>
      </c>
      <c r="AT784" s="25">
        <v>0.20745833333333333</v>
      </c>
      <c r="AU784" s="25">
        <v>0.21049999999999996</v>
      </c>
      <c r="AV784" s="25">
        <v>0.35527083333333337</v>
      </c>
      <c r="AW784" s="25">
        <v>-117.60895833333331</v>
      </c>
      <c r="AX784" s="25">
        <v>-30.311458333333324</v>
      </c>
      <c r="AY784" s="25"/>
      <c r="AZ784" s="25"/>
      <c r="BA784" s="25">
        <v>-10.781249999999998</v>
      </c>
      <c r="BB784" s="25"/>
      <c r="BC784" s="25"/>
      <c r="BD784" s="25">
        <v>14.256250000000001</v>
      </c>
      <c r="BE784" s="25"/>
    </row>
    <row r="785" spans="1:57" x14ac:dyDescent="0.25">
      <c r="A785" s="1">
        <v>16.600000000000001</v>
      </c>
      <c r="B785" s="1">
        <v>6.7</v>
      </c>
      <c r="C785" s="22"/>
      <c r="D785" s="23">
        <v>44492</v>
      </c>
      <c r="E785" s="24">
        <v>116.22916666666667</v>
      </c>
      <c r="F785" s="24">
        <v>78.749999999999986</v>
      </c>
      <c r="G785" s="24">
        <v>11.202083333333334</v>
      </c>
      <c r="H785" s="24">
        <v>0</v>
      </c>
      <c r="I785" s="24">
        <v>242.60416666666666</v>
      </c>
      <c r="J785" s="24">
        <v>1.9791666666666667</v>
      </c>
      <c r="K785" s="24">
        <v>0</v>
      </c>
      <c r="L785" s="24">
        <v>7.5249999999999977</v>
      </c>
      <c r="M785" s="10">
        <v>0.31381204751249286</v>
      </c>
      <c r="N785" s="25">
        <v>0.21237499999999979</v>
      </c>
      <c r="O785" s="25">
        <v>0.28237499999999988</v>
      </c>
      <c r="P785" s="25">
        <v>0.36706250000000024</v>
      </c>
      <c r="Q785" s="25">
        <v>0.37656249999999997</v>
      </c>
      <c r="R785" s="25">
        <v>0.37660416666666668</v>
      </c>
      <c r="S785" s="25">
        <v>0.29122916666666671</v>
      </c>
      <c r="T785" s="25">
        <v>0.29006249999999961</v>
      </c>
      <c r="U785" s="25">
        <v>0.2573541666666665</v>
      </c>
      <c r="V785" s="25">
        <v>-206.60625000000013</v>
      </c>
      <c r="W785" s="25"/>
      <c r="X785" s="25">
        <v>-275.12916666666661</v>
      </c>
      <c r="Y785" s="25">
        <v>-233.04999999999998</v>
      </c>
      <c r="Z785" s="25">
        <v>-57.907291666666673</v>
      </c>
      <c r="AA785" s="25">
        <v>-222.03125000000003</v>
      </c>
      <c r="AB785" s="25">
        <v>-212.79166666666671</v>
      </c>
      <c r="AC785" s="25">
        <v>-225.12083333333325</v>
      </c>
      <c r="AD785" s="25">
        <v>-955.4375</v>
      </c>
      <c r="AE785" s="25">
        <v>-1337.9375</v>
      </c>
      <c r="AF785" s="25">
        <v>-2081.4166666666665</v>
      </c>
      <c r="AG785" s="25">
        <v>-573.06249999999989</v>
      </c>
      <c r="AH785" s="25">
        <v>-13.493750000000004</v>
      </c>
      <c r="AI785" s="25">
        <v>-1351.1875</v>
      </c>
      <c r="AJ785" s="25">
        <v>-3265.1875</v>
      </c>
      <c r="AK785" s="25"/>
      <c r="AL785" s="25">
        <v>14.247916666666661</v>
      </c>
      <c r="AM785" s="25">
        <v>15.535416666666665</v>
      </c>
      <c r="AN785" s="25">
        <v>16.516666666666659</v>
      </c>
      <c r="AO785" s="25">
        <v>17.087499999999999</v>
      </c>
      <c r="AP785" s="25">
        <v>13.850000000000003</v>
      </c>
      <c r="AQ785" s="25">
        <v>15.035416666666663</v>
      </c>
      <c r="AR785" s="25">
        <v>15.516666666666659</v>
      </c>
      <c r="AS785" s="25">
        <v>15.793750000000015</v>
      </c>
      <c r="AT785" s="25">
        <v>0.20733333333333326</v>
      </c>
      <c r="AU785" s="25">
        <v>0.1998421052631579</v>
      </c>
      <c r="AV785" s="25">
        <v>0.35593749999999996</v>
      </c>
      <c r="AW785" s="25">
        <v>-98.512916666666683</v>
      </c>
      <c r="AX785" s="25">
        <v>-41.193125000000009</v>
      </c>
      <c r="AY785" s="25"/>
      <c r="AZ785" s="25"/>
      <c r="BA785" s="25">
        <v>-10.8375</v>
      </c>
      <c r="BB785" s="25"/>
      <c r="BC785" s="25"/>
      <c r="BD785" s="25">
        <v>14.614583333333336</v>
      </c>
      <c r="BE785" s="25"/>
    </row>
    <row r="786" spans="1:57" x14ac:dyDescent="0.25">
      <c r="A786" s="1">
        <v>18.3</v>
      </c>
      <c r="B786" s="1">
        <v>8.3000000000000007</v>
      </c>
      <c r="C786" s="22"/>
      <c r="D786" s="23">
        <v>44493</v>
      </c>
      <c r="E786" s="24">
        <v>97.729166666666671</v>
      </c>
      <c r="F786" s="24">
        <v>79.88333333333334</v>
      </c>
      <c r="G786" s="24">
        <v>12.193750000000001</v>
      </c>
      <c r="H786" s="24">
        <v>0</v>
      </c>
      <c r="I786" s="24">
        <v>251.08333333333334</v>
      </c>
      <c r="J786" s="24">
        <v>2.2708333333333335</v>
      </c>
      <c r="K786" s="24">
        <v>0</v>
      </c>
      <c r="L786" s="24">
        <v>8.7145833333333336</v>
      </c>
      <c r="M786" s="10">
        <v>0.3107960999148609</v>
      </c>
      <c r="N786" s="25">
        <v>0.21272916666666644</v>
      </c>
      <c r="O786" s="25">
        <v>0.28260416666666655</v>
      </c>
      <c r="P786" s="25">
        <v>0.36718750000000028</v>
      </c>
      <c r="Q786" s="25">
        <v>0.37547916666666664</v>
      </c>
      <c r="R786" s="25">
        <v>0.37760416666666674</v>
      </c>
      <c r="S786" s="25">
        <v>0.29197916666666651</v>
      </c>
      <c r="T786" s="25">
        <v>0.28999999999999965</v>
      </c>
      <c r="U786" s="25">
        <v>0.25693749999999987</v>
      </c>
      <c r="V786" s="25">
        <v>-199.05833333333337</v>
      </c>
      <c r="W786" s="25"/>
      <c r="X786" s="25">
        <v>-276.41458333333333</v>
      </c>
      <c r="Y786" s="25">
        <v>-237.55208333333334</v>
      </c>
      <c r="Z786" s="25">
        <v>-61.184583333333329</v>
      </c>
      <c r="AA786" s="25">
        <v>-222.87083333333337</v>
      </c>
      <c r="AB786" s="25">
        <v>-213.89791666666676</v>
      </c>
      <c r="AC786" s="25">
        <v>-225.60208333333321</v>
      </c>
      <c r="AD786" s="25">
        <v>-991.25</v>
      </c>
      <c r="AE786" s="25">
        <v>-1341.875</v>
      </c>
      <c r="AF786" s="25">
        <v>-2116.4583333333335</v>
      </c>
      <c r="AG786" s="25">
        <v>-575.14583333333337</v>
      </c>
      <c r="AH786" s="25">
        <v>-19.031249999999996</v>
      </c>
      <c r="AI786" s="25">
        <v>-1342.4583333333333</v>
      </c>
      <c r="AJ786" s="25">
        <v>-3292.0416666666665</v>
      </c>
      <c r="AK786" s="25"/>
      <c r="AL786" s="25">
        <v>14.816666666666668</v>
      </c>
      <c r="AM786" s="25">
        <v>15.63541666666667</v>
      </c>
      <c r="AN786" s="25">
        <v>16.360416666666648</v>
      </c>
      <c r="AO786" s="25">
        <v>16.866666666666646</v>
      </c>
      <c r="AP786" s="25">
        <v>14.489583333333334</v>
      </c>
      <c r="AQ786" s="25">
        <v>15.270833333333334</v>
      </c>
      <c r="AR786" s="25">
        <v>15.562500000000005</v>
      </c>
      <c r="AS786" s="25">
        <v>15.712500000000013</v>
      </c>
      <c r="AT786" s="25">
        <v>0.20260416666666667</v>
      </c>
      <c r="AU786" s="25">
        <v>0.1910869565217391</v>
      </c>
      <c r="AV786" s="25">
        <v>0.34231250000000008</v>
      </c>
      <c r="AW786" s="25">
        <v>-102.41458333333334</v>
      </c>
      <c r="AX786" s="25">
        <v>-65.216250000000016</v>
      </c>
      <c r="AY786" s="25"/>
      <c r="AZ786" s="25"/>
      <c r="BA786" s="25">
        <v>-12.083333333333337</v>
      </c>
      <c r="BB786" s="25"/>
      <c r="BC786" s="25"/>
      <c r="BD786" s="25">
        <v>15.270833333333334</v>
      </c>
      <c r="BE786" s="25"/>
    </row>
    <row r="787" spans="1:57" x14ac:dyDescent="0.25">
      <c r="A787" s="1">
        <v>14.8</v>
      </c>
      <c r="B787" s="1">
        <v>11.2</v>
      </c>
      <c r="C787" s="22"/>
      <c r="D787" s="23">
        <v>44494</v>
      </c>
      <c r="E787" s="24">
        <v>68.416666666666671</v>
      </c>
      <c r="F787" s="24">
        <v>83.870833333333351</v>
      </c>
      <c r="G787" s="24">
        <v>12.600000000000001</v>
      </c>
      <c r="H787" s="24">
        <v>0</v>
      </c>
      <c r="I787" s="24">
        <v>232.375</v>
      </c>
      <c r="J787" s="24">
        <v>5.5</v>
      </c>
      <c r="K787" s="24">
        <v>0.41666666666666669</v>
      </c>
      <c r="L787" s="24">
        <v>9.9208333333333325</v>
      </c>
      <c r="M787" s="10">
        <v>0.23897778895482968</v>
      </c>
      <c r="N787" s="25">
        <v>0.21297916666666653</v>
      </c>
      <c r="O787" s="25">
        <v>0.28299999999999986</v>
      </c>
      <c r="P787" s="25">
        <v>0.36795833333333339</v>
      </c>
      <c r="Q787" s="25">
        <v>0.375</v>
      </c>
      <c r="R787" s="25">
        <v>0.37758333333333355</v>
      </c>
      <c r="S787" s="25">
        <v>0.29272916666666643</v>
      </c>
      <c r="T787" s="25">
        <v>0.28999999999999965</v>
      </c>
      <c r="U787" s="25">
        <v>0.2564583333333334</v>
      </c>
      <c r="V787" s="25">
        <v>-194.16875000000002</v>
      </c>
      <c r="W787" s="25"/>
      <c r="X787" s="25">
        <v>-276.16249999999997</v>
      </c>
      <c r="Y787" s="25">
        <v>-240.31250000000011</v>
      </c>
      <c r="Z787" s="25">
        <v>-65.997083333333322</v>
      </c>
      <c r="AA787" s="25">
        <v>-225.23749999999995</v>
      </c>
      <c r="AB787" s="25">
        <v>-214.26666666666674</v>
      </c>
      <c r="AC787" s="25">
        <v>-224.68749999999997</v>
      </c>
      <c r="AD787" s="25">
        <v>-1037.9791666666667</v>
      </c>
      <c r="AE787" s="25">
        <v>-1335.5</v>
      </c>
      <c r="AF787" s="25">
        <v>-2122.375</v>
      </c>
      <c r="AG787" s="25">
        <v>-575.7083333333336</v>
      </c>
      <c r="AH787" s="25">
        <v>-41.797916666666673</v>
      </c>
      <c r="AI787" s="25">
        <v>-1338.25</v>
      </c>
      <c r="AJ787" s="25">
        <v>-3271.1666666666665</v>
      </c>
      <c r="AK787" s="25"/>
      <c r="AL787" s="25">
        <v>15.122916666666663</v>
      </c>
      <c r="AM787" s="25">
        <v>15.827083333333327</v>
      </c>
      <c r="AN787" s="25">
        <v>16.399999999999988</v>
      </c>
      <c r="AO787" s="25">
        <v>16.799999999999986</v>
      </c>
      <c r="AP787" s="25">
        <v>14.808333333333332</v>
      </c>
      <c r="AQ787" s="25">
        <v>15.491666666666665</v>
      </c>
      <c r="AR787" s="25">
        <v>15.679166666666681</v>
      </c>
      <c r="AS787" s="25">
        <v>15.783333333333331</v>
      </c>
      <c r="AT787" s="25">
        <v>0.19762500000000008</v>
      </c>
      <c r="AU787" s="25"/>
      <c r="AV787" s="25">
        <v>0.32916666666666666</v>
      </c>
      <c r="AW787" s="25">
        <v>-136.55524999999997</v>
      </c>
      <c r="AX787" s="25">
        <v>-85.131875000000008</v>
      </c>
      <c r="AY787" s="25"/>
      <c r="AZ787" s="25"/>
      <c r="BA787" s="25">
        <v>-19.0625</v>
      </c>
      <c r="BB787" s="25"/>
      <c r="BC787" s="25"/>
      <c r="BD787" s="25">
        <v>15.422916666666664</v>
      </c>
      <c r="BE787" s="25"/>
    </row>
    <row r="788" spans="1:57" x14ac:dyDescent="0.25">
      <c r="A788" s="1">
        <v>15.2</v>
      </c>
      <c r="B788" s="1">
        <v>10.6</v>
      </c>
      <c r="C788" s="22"/>
      <c r="D788" s="23">
        <v>44495</v>
      </c>
      <c r="E788" s="24">
        <v>48.104166666666664</v>
      </c>
      <c r="F788" s="24">
        <v>90.491666666666688</v>
      </c>
      <c r="G788" s="24">
        <v>12.083333333333334</v>
      </c>
      <c r="H788" s="24">
        <v>1.7</v>
      </c>
      <c r="I788" s="24">
        <v>235.27083333333334</v>
      </c>
      <c r="J788" s="24">
        <v>5.291666666666667</v>
      </c>
      <c r="K788" s="24">
        <v>0.4375</v>
      </c>
      <c r="L788" s="24">
        <v>10.547916666666666</v>
      </c>
      <c r="M788" s="10">
        <v>0.1371237374116408</v>
      </c>
      <c r="N788" s="25">
        <v>0.21272916666666644</v>
      </c>
      <c r="O788" s="25">
        <v>0.28299999999999986</v>
      </c>
      <c r="P788" s="25">
        <v>0.36733333333333379</v>
      </c>
      <c r="Q788" s="25">
        <v>0.375</v>
      </c>
      <c r="R788" s="25">
        <v>0.37716666666666671</v>
      </c>
      <c r="S788" s="25">
        <v>0.29185416666666675</v>
      </c>
      <c r="T788" s="25">
        <v>0.28999999999999965</v>
      </c>
      <c r="U788" s="25">
        <v>0.25566666666666676</v>
      </c>
      <c r="V788" s="25">
        <v>-197.26249999999993</v>
      </c>
      <c r="W788" s="25"/>
      <c r="X788" s="25">
        <v>-277.07916666666665</v>
      </c>
      <c r="Y788" s="25">
        <v>-243.0645833333333</v>
      </c>
      <c r="Z788" s="25">
        <v>-71.22166666666665</v>
      </c>
      <c r="AA788" s="25">
        <v>-228.53749999999999</v>
      </c>
      <c r="AB788" s="25">
        <v>-215.48125000000007</v>
      </c>
      <c r="AC788" s="25">
        <v>-224.71666666666661</v>
      </c>
      <c r="AD788" s="25">
        <v>-1075.0833333333333</v>
      </c>
      <c r="AE788" s="25">
        <v>-1344.9375</v>
      </c>
      <c r="AF788" s="25">
        <v>-2135.25</v>
      </c>
      <c r="AG788" s="25">
        <v>-576.41875000000005</v>
      </c>
      <c r="AH788" s="25">
        <v>-81.595833333333346</v>
      </c>
      <c r="AI788" s="25">
        <v>-1341.5625</v>
      </c>
      <c r="AJ788" s="25">
        <v>-3281.0625</v>
      </c>
      <c r="AK788" s="25"/>
      <c r="AL788" s="25">
        <v>15.108333333333329</v>
      </c>
      <c r="AM788" s="25">
        <v>15.816666666666658</v>
      </c>
      <c r="AN788" s="25">
        <v>16.372916666666647</v>
      </c>
      <c r="AO788" s="25">
        <v>16.770833333333346</v>
      </c>
      <c r="AP788" s="25">
        <v>14.791666666666666</v>
      </c>
      <c r="AQ788" s="25">
        <v>15.489583333333329</v>
      </c>
      <c r="AR788" s="25">
        <v>15.695833333333342</v>
      </c>
      <c r="AS788" s="25">
        <v>15.779166666666674</v>
      </c>
      <c r="AT788" s="25">
        <v>0.19495833333333337</v>
      </c>
      <c r="AU788" s="25"/>
      <c r="AV788" s="25">
        <v>0.32020833333333343</v>
      </c>
      <c r="AW788" s="25">
        <v>-163.08013513513512</v>
      </c>
      <c r="AX788" s="25">
        <v>-101.5604166666667</v>
      </c>
      <c r="AY788" s="25"/>
      <c r="AZ788" s="25"/>
      <c r="BA788" s="25">
        <v>-24.214583333333334</v>
      </c>
      <c r="BB788" s="25"/>
      <c r="BC788" s="25"/>
      <c r="BD788" s="25">
        <v>15.325000000000001</v>
      </c>
      <c r="BE788" s="25"/>
    </row>
    <row r="789" spans="1:57" x14ac:dyDescent="0.25">
      <c r="A789" s="1">
        <v>12.9</v>
      </c>
      <c r="B789" s="1">
        <v>9.8000000000000007</v>
      </c>
      <c r="C789" s="22"/>
      <c r="D789" s="23">
        <v>44496</v>
      </c>
      <c r="E789" s="24">
        <v>34.604166666666664</v>
      </c>
      <c r="F789" s="24">
        <v>90.316666666666663</v>
      </c>
      <c r="G789" s="24">
        <v>11.189583333333333</v>
      </c>
      <c r="H789" s="24">
        <v>0.8</v>
      </c>
      <c r="I789" s="24">
        <v>245.875</v>
      </c>
      <c r="J789" s="24">
        <v>0.8125</v>
      </c>
      <c r="K789" s="24">
        <v>0</v>
      </c>
      <c r="L789" s="24">
        <v>9.6437500000000025</v>
      </c>
      <c r="M789" s="10">
        <v>0.13228199069336832</v>
      </c>
      <c r="N789" s="25">
        <v>0.2120624999999999</v>
      </c>
      <c r="O789" s="25">
        <v>0.28220833333333334</v>
      </c>
      <c r="P789" s="25">
        <v>0.36683333333333357</v>
      </c>
      <c r="Q789" s="25">
        <v>0.37462500000000004</v>
      </c>
      <c r="R789" s="25">
        <v>0.37570833333333326</v>
      </c>
      <c r="S789" s="25">
        <v>0.29150000000000015</v>
      </c>
      <c r="T789" s="25">
        <v>0.28962499999999985</v>
      </c>
      <c r="U789" s="25">
        <v>0.25583333333333358</v>
      </c>
      <c r="V789" s="25">
        <v>-202.57916666666662</v>
      </c>
      <c r="W789" s="25"/>
      <c r="X789" s="25">
        <v>-278.27499999999992</v>
      </c>
      <c r="Y789" s="25">
        <v>-245.3541666666666</v>
      </c>
      <c r="Z789" s="25">
        <v>-76.546666666666695</v>
      </c>
      <c r="AA789" s="25">
        <v>-231.11041666666668</v>
      </c>
      <c r="AB789" s="25">
        <v>-217.03541666666683</v>
      </c>
      <c r="AC789" s="25">
        <v>-225.5749999999999</v>
      </c>
      <c r="AD789" s="25">
        <v>-1105.9166666666667</v>
      </c>
      <c r="AE789" s="25">
        <v>-1353.625</v>
      </c>
      <c r="AF789" s="25">
        <v>-2157.8333333333335</v>
      </c>
      <c r="AG789" s="25">
        <v>-577.57083333333333</v>
      </c>
      <c r="AH789" s="25">
        <v>-124.28541666666668</v>
      </c>
      <c r="AI789" s="25">
        <v>-1358.125</v>
      </c>
      <c r="AJ789" s="25">
        <v>-3317.5208333333335</v>
      </c>
      <c r="AK789" s="25"/>
      <c r="AL789" s="25">
        <v>14.683333333333337</v>
      </c>
      <c r="AM789" s="25">
        <v>15.654166666666676</v>
      </c>
      <c r="AN789" s="25">
        <v>16.266666666666687</v>
      </c>
      <c r="AO789" s="25">
        <v>16.672916666666673</v>
      </c>
      <c r="AP789" s="25">
        <v>14.324999999999996</v>
      </c>
      <c r="AQ789" s="25">
        <v>15.256250000000016</v>
      </c>
      <c r="AR789" s="25">
        <v>15.518749999999992</v>
      </c>
      <c r="AS789" s="25">
        <v>15.65833333333334</v>
      </c>
      <c r="AT789" s="25">
        <v>0.19233333333333344</v>
      </c>
      <c r="AU789" s="25"/>
      <c r="AV789" s="25">
        <v>0.31335416666666677</v>
      </c>
      <c r="AW789" s="25">
        <v>-229.33749999999998</v>
      </c>
      <c r="AX789" s="25">
        <v>-113.79166666666664</v>
      </c>
      <c r="AY789" s="25"/>
      <c r="AZ789" s="25"/>
      <c r="BA789" s="25">
        <v>-30.777083333333326</v>
      </c>
      <c r="BB789" s="25"/>
      <c r="BC789" s="25"/>
      <c r="BD789" s="25">
        <v>14.791666666666663</v>
      </c>
      <c r="BE789" s="25"/>
    </row>
    <row r="790" spans="1:57" x14ac:dyDescent="0.25">
      <c r="A790" s="1">
        <v>12.3</v>
      </c>
      <c r="B790" s="1">
        <v>10.7</v>
      </c>
      <c r="C790" s="22"/>
      <c r="D790" s="23">
        <v>44497</v>
      </c>
      <c r="E790" s="24">
        <v>22.1875</v>
      </c>
      <c r="F790" s="24">
        <v>96.004166666666663</v>
      </c>
      <c r="G790" s="24">
        <v>11.30625</v>
      </c>
      <c r="H790" s="24">
        <v>6.0000000000000009</v>
      </c>
      <c r="I790" s="24">
        <v>222.39583333333334</v>
      </c>
      <c r="J790" s="24">
        <v>2.2083333333333335</v>
      </c>
      <c r="K790" s="24">
        <v>0</v>
      </c>
      <c r="L790" s="24">
        <v>10.69166666666667</v>
      </c>
      <c r="M790" s="10">
        <v>5.3695145894106643E-2</v>
      </c>
      <c r="N790" s="25">
        <v>0.21199999999999988</v>
      </c>
      <c r="O790" s="25">
        <v>0.28152083333333344</v>
      </c>
      <c r="P790" s="25">
        <v>0.3657708333333331</v>
      </c>
      <c r="Q790" s="25">
        <v>0.37404166666666677</v>
      </c>
      <c r="R790" s="25">
        <v>0.37535416666666666</v>
      </c>
      <c r="S790" s="25">
        <v>0.28966666666666646</v>
      </c>
      <c r="T790" s="25">
        <v>0.28899999999999981</v>
      </c>
      <c r="U790" s="25">
        <v>0.2548125</v>
      </c>
      <c r="V790" s="25">
        <v>-204.59583333333333</v>
      </c>
      <c r="W790" s="25"/>
      <c r="X790" s="25">
        <v>-279.67916666666662</v>
      </c>
      <c r="Y790" s="25">
        <v>-248.37916666666658</v>
      </c>
      <c r="Z790" s="25">
        <v>-79.383333333333312</v>
      </c>
      <c r="AA790" s="25">
        <v>-232.65208333333331</v>
      </c>
      <c r="AB790" s="25">
        <v>-219.03750000000011</v>
      </c>
      <c r="AC790" s="25">
        <v>-226.81041666666661</v>
      </c>
      <c r="AD790" s="25">
        <v>-1118.1041666666667</v>
      </c>
      <c r="AE790" s="25">
        <v>-1361.7708333333333</v>
      </c>
      <c r="AF790" s="25">
        <v>-2187.7083333333335</v>
      </c>
      <c r="AG790" s="25">
        <v>-579.66875000000005</v>
      </c>
      <c r="AH790" s="25">
        <v>-149.44374999999994</v>
      </c>
      <c r="AI790" s="25">
        <v>-1372.5625</v>
      </c>
      <c r="AJ790" s="25">
        <v>-3343.8958333333335</v>
      </c>
      <c r="AK790" s="25"/>
      <c r="AL790" s="25">
        <v>14.587500000000011</v>
      </c>
      <c r="AM790" s="25">
        <v>15.443749999999987</v>
      </c>
      <c r="AN790" s="25">
        <v>16.125000000000014</v>
      </c>
      <c r="AO790" s="25">
        <v>16.545833333333334</v>
      </c>
      <c r="AP790" s="25">
        <v>14.24791666666666</v>
      </c>
      <c r="AQ790" s="25">
        <v>15.093750000000009</v>
      </c>
      <c r="AR790" s="25">
        <v>15.341666666666656</v>
      </c>
      <c r="AS790" s="25">
        <v>15.46666666666666</v>
      </c>
      <c r="AT790" s="25">
        <v>0.20141666666666661</v>
      </c>
      <c r="AU790" s="25"/>
      <c r="AV790" s="25">
        <v>0.31987500000000002</v>
      </c>
      <c r="AW790" s="25">
        <v>-221.84127659574474</v>
      </c>
      <c r="AX790" s="25">
        <v>-114.40958333333334</v>
      </c>
      <c r="AY790" s="25"/>
      <c r="AZ790" s="25"/>
      <c r="BA790" s="25">
        <v>-34.333333333333329</v>
      </c>
      <c r="BB790" s="25"/>
      <c r="BC790" s="25"/>
      <c r="BD790" s="25">
        <v>14.81875</v>
      </c>
      <c r="BE790" s="25"/>
    </row>
    <row r="791" spans="1:57" x14ac:dyDescent="0.25">
      <c r="A791" s="1">
        <v>14.4</v>
      </c>
      <c r="B791" s="1">
        <v>9.6999999999999993</v>
      </c>
      <c r="C791" s="22"/>
      <c r="D791" s="23">
        <v>44498</v>
      </c>
      <c r="E791" s="24">
        <v>48.604166666666664</v>
      </c>
      <c r="F791" s="24">
        <v>92.38124999999998</v>
      </c>
      <c r="G791" s="24">
        <v>11.62083333333333</v>
      </c>
      <c r="H791" s="24">
        <v>1.6999999999999997</v>
      </c>
      <c r="I791" s="24">
        <v>187.8125</v>
      </c>
      <c r="J791" s="24">
        <v>2.6875</v>
      </c>
      <c r="K791" s="24">
        <v>0</v>
      </c>
      <c r="L791" s="24">
        <v>10.387499999999998</v>
      </c>
      <c r="M791" s="10">
        <v>0.10953391150034596</v>
      </c>
      <c r="N791" s="25">
        <v>0.21239583333333314</v>
      </c>
      <c r="O791" s="25">
        <v>0.28104166666666686</v>
      </c>
      <c r="P791" s="25">
        <v>0.36537499999999984</v>
      </c>
      <c r="Q791" s="25">
        <v>0.37400000000000005</v>
      </c>
      <c r="R791" s="25">
        <v>0.37754166666666672</v>
      </c>
      <c r="S791" s="25">
        <v>0.28974999999999967</v>
      </c>
      <c r="T791" s="25">
        <v>0.28899999999999981</v>
      </c>
      <c r="U791" s="25">
        <v>0.25487500000000024</v>
      </c>
      <c r="V791" s="25">
        <v>-205.23541666666657</v>
      </c>
      <c r="W791" s="25"/>
      <c r="X791" s="25">
        <v>-279.7374999999999</v>
      </c>
      <c r="Y791" s="25">
        <v>-250.66458333333347</v>
      </c>
      <c r="Z791" s="25">
        <v>-81.627083333333317</v>
      </c>
      <c r="AA791" s="25">
        <v>-232.98541666666668</v>
      </c>
      <c r="AB791" s="25">
        <v>-219.75416666666683</v>
      </c>
      <c r="AC791" s="25">
        <v>-227.32916666666662</v>
      </c>
      <c r="AD791" s="25">
        <v>-1097.25</v>
      </c>
      <c r="AE791" s="25">
        <v>-1363.4166666666667</v>
      </c>
      <c r="AF791" s="25">
        <v>-2195.7083333333335</v>
      </c>
      <c r="AG791" s="25">
        <v>-580.82083333333344</v>
      </c>
      <c r="AH791" s="25">
        <v>-13.412500000000016</v>
      </c>
      <c r="AI791" s="25">
        <v>-1366.1041666666667</v>
      </c>
      <c r="AJ791" s="25">
        <v>-3350.2708333333335</v>
      </c>
      <c r="AK791" s="25"/>
      <c r="AL791" s="25">
        <v>14.531249999999998</v>
      </c>
      <c r="AM791" s="25">
        <v>15.358333333333329</v>
      </c>
      <c r="AN791" s="25">
        <v>15.979166666666659</v>
      </c>
      <c r="AO791" s="25">
        <v>16.424999999999986</v>
      </c>
      <c r="AP791" s="25">
        <v>14.17916666666666</v>
      </c>
      <c r="AQ791" s="25">
        <v>14.993749999999999</v>
      </c>
      <c r="AR791" s="25">
        <v>15.235416666666678</v>
      </c>
      <c r="AS791" s="25">
        <v>15.347916666666654</v>
      </c>
      <c r="AT791" s="25">
        <v>0.25781249999999994</v>
      </c>
      <c r="AU791" s="25"/>
      <c r="AV791" s="25">
        <v>0.40404166666666658</v>
      </c>
      <c r="AW791" s="25">
        <v>-54.708124999999988</v>
      </c>
      <c r="AX791" s="25">
        <v>-21.161458333333329</v>
      </c>
      <c r="AY791" s="25"/>
      <c r="AZ791" s="25"/>
      <c r="BA791" s="25">
        <v>-11.102127659574476</v>
      </c>
      <c r="BB791" s="25"/>
      <c r="BC791" s="25"/>
      <c r="BD791" s="25">
        <v>14.885106382978725</v>
      </c>
      <c r="BE791" s="25"/>
    </row>
    <row r="792" spans="1:57" x14ac:dyDescent="0.25">
      <c r="A792" s="1">
        <v>14.7</v>
      </c>
      <c r="B792" s="1">
        <v>10.1</v>
      </c>
      <c r="C792" s="22"/>
      <c r="D792" s="23">
        <v>44499</v>
      </c>
      <c r="E792" s="24">
        <v>60.708333333333336</v>
      </c>
      <c r="F792" s="24">
        <v>88.633333333333312</v>
      </c>
      <c r="G792" s="24">
        <v>12.422916666666664</v>
      </c>
      <c r="H792" s="24">
        <v>1.4999999999999998</v>
      </c>
      <c r="I792" s="24">
        <v>237.0625</v>
      </c>
      <c r="J792" s="24">
        <v>2.0416666666666665</v>
      </c>
      <c r="K792" s="24">
        <v>2.0833333333333332E-2</v>
      </c>
      <c r="L792" s="24">
        <v>10.541666666666666</v>
      </c>
      <c r="M792" s="10">
        <v>0.17498184570036315</v>
      </c>
      <c r="N792" s="25">
        <v>0.21337500000000018</v>
      </c>
      <c r="O792" s="25">
        <v>0.28116666666666673</v>
      </c>
      <c r="P792" s="25">
        <v>0.36552083333333324</v>
      </c>
      <c r="Q792" s="25">
        <v>0.37400000000000005</v>
      </c>
      <c r="R792" s="25">
        <v>0.37950000000000012</v>
      </c>
      <c r="S792" s="25">
        <v>0.29033333333333328</v>
      </c>
      <c r="T792" s="25">
        <v>0.28899999999999981</v>
      </c>
      <c r="U792" s="25">
        <v>0.25493750000000015</v>
      </c>
      <c r="V792" s="25">
        <v>-200.00833333333335</v>
      </c>
      <c r="W792" s="25"/>
      <c r="X792" s="25">
        <v>-278.72916666666669</v>
      </c>
      <c r="Y792" s="25">
        <v>-251.81666666666672</v>
      </c>
      <c r="Z792" s="25">
        <v>-79.514166666666668</v>
      </c>
      <c r="AA792" s="25">
        <v>-228.81666666666663</v>
      </c>
      <c r="AB792" s="25">
        <v>-219.25416666666663</v>
      </c>
      <c r="AC792" s="25">
        <v>-225.90833333333322</v>
      </c>
      <c r="AD792" s="25">
        <v>-1030.304347826087</v>
      </c>
      <c r="AE792" s="25">
        <v>-1345.7708333333333</v>
      </c>
      <c r="AF792" s="25">
        <v>-2225.5625</v>
      </c>
      <c r="AG792" s="25">
        <v>-582.75625000000014</v>
      </c>
      <c r="AH792" s="25">
        <v>-12.712499999999999</v>
      </c>
      <c r="AI792" s="25">
        <v>-1350.9166666666667</v>
      </c>
      <c r="AJ792" s="25">
        <v>-3363.2708333333335</v>
      </c>
      <c r="AK792" s="25"/>
      <c r="AL792" s="25"/>
      <c r="AM792" s="25">
        <v>15.51041666666667</v>
      </c>
      <c r="AN792" s="25">
        <v>15.914583333333324</v>
      </c>
      <c r="AO792" s="25">
        <v>16.312499999999989</v>
      </c>
      <c r="AP792" s="25">
        <v>14.343750000000009</v>
      </c>
      <c r="AQ792" s="25">
        <v>15.020833333333336</v>
      </c>
      <c r="AR792" s="25">
        <v>15.200000000000005</v>
      </c>
      <c r="AS792" s="25">
        <v>15.299999999999992</v>
      </c>
      <c r="AT792" s="25">
        <v>0.25664583333333352</v>
      </c>
      <c r="AU792" s="25"/>
      <c r="AV792" s="25">
        <v>0.39541666666666675</v>
      </c>
      <c r="AW792" s="25">
        <v>-51.701041666666669</v>
      </c>
      <c r="AX792" s="25">
        <v>-22.712708333333328</v>
      </c>
      <c r="AY792" s="25"/>
      <c r="AZ792" s="25"/>
      <c r="BA792" s="25">
        <v>-10.783333333333339</v>
      </c>
      <c r="BB792" s="25"/>
      <c r="BC792" s="25"/>
      <c r="BD792" s="25">
        <v>15.045833333333334</v>
      </c>
      <c r="BE792" s="25"/>
    </row>
    <row r="793" spans="1:57" x14ac:dyDescent="0.25">
      <c r="A793" s="1">
        <v>12.6</v>
      </c>
      <c r="B793" s="1">
        <v>10.8</v>
      </c>
      <c r="C793" s="22"/>
      <c r="D793" s="23">
        <v>44500</v>
      </c>
      <c r="E793" s="24">
        <v>33.125</v>
      </c>
      <c r="F793" s="24">
        <v>95.447916666666643</v>
      </c>
      <c r="G793" s="24">
        <v>11.64583333333333</v>
      </c>
      <c r="H793" s="24">
        <v>4.9000000000000004</v>
      </c>
      <c r="I793" s="24">
        <v>247</v>
      </c>
      <c r="J793" s="24">
        <v>2.25</v>
      </c>
      <c r="K793" s="24">
        <v>4.1666666666666664E-2</v>
      </c>
      <c r="L793" s="24">
        <v>10.952083333333334</v>
      </c>
      <c r="M793" s="10">
        <v>6.2350211295016528E-2</v>
      </c>
      <c r="N793" s="25">
        <v>0.21497916666666653</v>
      </c>
      <c r="O793" s="25">
        <v>0.28199999999999997</v>
      </c>
      <c r="P793" s="25">
        <v>0.36562499999999992</v>
      </c>
      <c r="Q793" s="25">
        <v>0.37400000000000005</v>
      </c>
      <c r="R793" s="25">
        <v>0.38985416666666667</v>
      </c>
      <c r="S793" s="25">
        <v>0.2904166666666666</v>
      </c>
      <c r="T793" s="25">
        <v>0.28939583333333291</v>
      </c>
      <c r="U793" s="25">
        <v>0.25424999999999998</v>
      </c>
      <c r="V793" s="25">
        <v>-197.0854166666667</v>
      </c>
      <c r="W793" s="25"/>
      <c r="X793" s="25">
        <v>-278.08333333333331</v>
      </c>
      <c r="Y793" s="25">
        <v>-251.99166666666667</v>
      </c>
      <c r="Z793" s="25">
        <v>-78.708749999999995</v>
      </c>
      <c r="AA793" s="25">
        <v>-222.68333333333342</v>
      </c>
      <c r="AB793" s="25">
        <v>-214.66666666666666</v>
      </c>
      <c r="AC793" s="25">
        <v>-224.73541666666665</v>
      </c>
      <c r="AD793" s="25"/>
      <c r="AE793" s="25">
        <v>-1275.25</v>
      </c>
      <c r="AF793" s="25">
        <v>-2172.3958333333335</v>
      </c>
      <c r="AG793" s="25">
        <v>-581.71458333333339</v>
      </c>
      <c r="AH793" s="25">
        <v>-12.435416666666676</v>
      </c>
      <c r="AI793" s="25">
        <v>-1335.9583333333333</v>
      </c>
      <c r="AJ793" s="25">
        <v>-3325.2916666666665</v>
      </c>
      <c r="AK793" s="25"/>
      <c r="AL793" s="25"/>
      <c r="AM793" s="25">
        <v>16.112500000000018</v>
      </c>
      <c r="AN793" s="25">
        <v>16.083333333333346</v>
      </c>
      <c r="AO793" s="25">
        <v>16.354166666666657</v>
      </c>
      <c r="AP793" s="25">
        <v>14.412499999999996</v>
      </c>
      <c r="AQ793" s="25">
        <v>15.100000000000009</v>
      </c>
      <c r="AR793" s="25">
        <v>15.245833333333346</v>
      </c>
      <c r="AS793" s="25">
        <v>15.299999999999992</v>
      </c>
      <c r="AT793" s="25">
        <v>0.27491666666666675</v>
      </c>
      <c r="AU793" s="25"/>
      <c r="AV793" s="25">
        <v>0.41431250000000003</v>
      </c>
      <c r="AW793" s="25">
        <v>-85.34520833333336</v>
      </c>
      <c r="AX793" s="25">
        <v>-22.706666666666663</v>
      </c>
      <c r="AY793" s="25"/>
      <c r="AZ793" s="25"/>
      <c r="BA793" s="25">
        <v>-10.522916666666655</v>
      </c>
      <c r="BB793" s="25"/>
      <c r="BC793" s="25"/>
      <c r="BD793" s="25">
        <v>14.96875</v>
      </c>
      <c r="BE793" s="25"/>
    </row>
    <row r="794" spans="1:57" x14ac:dyDescent="0.25">
      <c r="A794" s="1">
        <v>13.4</v>
      </c>
      <c r="B794" s="1">
        <v>10.5</v>
      </c>
      <c r="C794" s="22"/>
      <c r="D794" s="23">
        <v>44501</v>
      </c>
      <c r="E794" s="24">
        <v>32.145833333333336</v>
      </c>
      <c r="F794" s="24">
        <v>94.237499999999969</v>
      </c>
      <c r="G794" s="24">
        <v>11.747916666666669</v>
      </c>
      <c r="H794" s="24">
        <v>0.8</v>
      </c>
      <c r="I794" s="24">
        <v>222.60416666666666</v>
      </c>
      <c r="J794" s="24">
        <v>1.6875</v>
      </c>
      <c r="K794" s="24">
        <v>0</v>
      </c>
      <c r="L794" s="24">
        <v>10.841666666666669</v>
      </c>
      <c r="M794" s="10">
        <v>8.1149465863885453E-2</v>
      </c>
      <c r="N794" s="25">
        <v>0.21622916666666689</v>
      </c>
      <c r="O794" s="25">
        <v>0.28199999999999997</v>
      </c>
      <c r="P794" s="25">
        <v>0.36579166666666652</v>
      </c>
      <c r="Q794" s="25">
        <v>0.3739791666666667</v>
      </c>
      <c r="R794" s="25">
        <v>0.39672916666666702</v>
      </c>
      <c r="S794" s="25">
        <v>0.29131250000000014</v>
      </c>
      <c r="T794" s="25">
        <v>0.28989583333333302</v>
      </c>
      <c r="U794" s="25">
        <v>0.25487500000000007</v>
      </c>
      <c r="V794" s="25">
        <v>-193.47291666666672</v>
      </c>
      <c r="W794" s="25"/>
      <c r="X794" s="25">
        <v>-277.46041666666673</v>
      </c>
      <c r="Y794" s="25">
        <v>-251.79375000000002</v>
      </c>
      <c r="Z794" s="25">
        <v>-73.765625000000014</v>
      </c>
      <c r="AA794" s="25">
        <v>-224.48958333333323</v>
      </c>
      <c r="AB794" s="25">
        <v>-213.19166666666675</v>
      </c>
      <c r="AC794" s="25">
        <v>-223.92708333333334</v>
      </c>
      <c r="AD794" s="25"/>
      <c r="AE794" s="25">
        <v>-1295.875</v>
      </c>
      <c r="AF794" s="25">
        <v>-2176.0416666666665</v>
      </c>
      <c r="AG794" s="25">
        <v>-581.56458333333319</v>
      </c>
      <c r="AH794" s="25">
        <v>-12.197916666666666</v>
      </c>
      <c r="AI794" s="25">
        <v>-1323.0208333333333</v>
      </c>
      <c r="AJ794" s="25">
        <v>-3335.9166666666665</v>
      </c>
      <c r="AK794" s="25"/>
      <c r="AL794" s="25"/>
      <c r="AM794" s="25">
        <v>16.072916666666675</v>
      </c>
      <c r="AN794" s="25">
        <v>16.100000000000012</v>
      </c>
      <c r="AO794" s="25">
        <v>16.337499999999988</v>
      </c>
      <c r="AP794" s="25">
        <v>14.160416666666658</v>
      </c>
      <c r="AQ794" s="25">
        <v>14.897916666666662</v>
      </c>
      <c r="AR794" s="25">
        <v>15.131250000000014</v>
      </c>
      <c r="AS794" s="25">
        <v>15.23125000000001</v>
      </c>
      <c r="AT794" s="25">
        <v>0.27864583333333331</v>
      </c>
      <c r="AU794" s="25"/>
      <c r="AV794" s="25">
        <v>0.41379166666666672</v>
      </c>
      <c r="AW794" s="25">
        <v>-84.52062500000001</v>
      </c>
      <c r="AX794" s="25">
        <v>-18.767708333333335</v>
      </c>
      <c r="AY794" s="25">
        <v>-119.1</v>
      </c>
      <c r="AZ794" s="25"/>
      <c r="BA794" s="25">
        <v>-10.39999999999999</v>
      </c>
      <c r="BB794" s="25"/>
      <c r="BC794" s="25"/>
      <c r="BD794" s="25">
        <v>14.816666666666668</v>
      </c>
      <c r="BE794" s="25"/>
    </row>
    <row r="795" spans="1:57" x14ac:dyDescent="0.25">
      <c r="A795" s="1">
        <v>12.5</v>
      </c>
      <c r="B795" s="1">
        <v>10.7</v>
      </c>
      <c r="C795" s="22"/>
      <c r="D795" s="23">
        <v>44502</v>
      </c>
      <c r="E795" s="24">
        <v>25.395833333333332</v>
      </c>
      <c r="F795" s="24">
        <v>95.18125000000002</v>
      </c>
      <c r="G795" s="24">
        <v>11.697916666666664</v>
      </c>
      <c r="H795" s="24">
        <v>1.4</v>
      </c>
      <c r="I795" s="24">
        <v>228.20833333333334</v>
      </c>
      <c r="J795" s="24">
        <v>2.125</v>
      </c>
      <c r="K795" s="24">
        <v>0</v>
      </c>
      <c r="L795" s="24">
        <v>10.945833333333331</v>
      </c>
      <c r="M795" s="10">
        <v>6.670173917171289E-2</v>
      </c>
      <c r="N795" s="25">
        <v>0.21727083333333322</v>
      </c>
      <c r="O795" s="25">
        <v>0.28199999999999997</v>
      </c>
      <c r="P795" s="25">
        <v>0.3655416666666666</v>
      </c>
      <c r="Q795" s="25">
        <v>0.37400000000000005</v>
      </c>
      <c r="R795" s="25">
        <v>0.39762499999999984</v>
      </c>
      <c r="S795" s="25">
        <v>0.29122916666666671</v>
      </c>
      <c r="T795" s="25">
        <v>0.28999999999999965</v>
      </c>
      <c r="U795" s="25">
        <v>0.25414583333333313</v>
      </c>
      <c r="V795" s="25">
        <v>-184.25625000000002</v>
      </c>
      <c r="W795" s="25"/>
      <c r="X795" s="25">
        <v>-276.56249999999994</v>
      </c>
      <c r="Y795" s="25">
        <v>-251.96666666666661</v>
      </c>
      <c r="Z795" s="25">
        <v>-70.397916666666688</v>
      </c>
      <c r="AA795" s="25">
        <v>-226.59166666666658</v>
      </c>
      <c r="AB795" s="25">
        <v>-212.44791666666666</v>
      </c>
      <c r="AC795" s="25">
        <v>-223.32916666666665</v>
      </c>
      <c r="AD795" s="25"/>
      <c r="AE795" s="25">
        <v>-1304.7291666666667</v>
      </c>
      <c r="AF795" s="25">
        <v>-2186.3958333333335</v>
      </c>
      <c r="AG795" s="25">
        <v>-582.99375000000009</v>
      </c>
      <c r="AH795" s="25">
        <v>-12.10000000000001</v>
      </c>
      <c r="AI795" s="25">
        <v>-1272.875</v>
      </c>
      <c r="AJ795" s="25">
        <v>-3328.5208333333335</v>
      </c>
      <c r="AK795" s="25"/>
      <c r="AL795" s="25"/>
      <c r="AM795" s="25">
        <v>16.079166666666676</v>
      </c>
      <c r="AN795" s="25">
        <v>16.05</v>
      </c>
      <c r="AO795" s="25">
        <v>16.293749999999996</v>
      </c>
      <c r="AP795" s="25">
        <v>14.20625000000001</v>
      </c>
      <c r="AQ795" s="25">
        <v>14.89374999999999</v>
      </c>
      <c r="AR795" s="25">
        <v>15.06041666666667</v>
      </c>
      <c r="AS795" s="25">
        <v>15.154166666666674</v>
      </c>
      <c r="AT795" s="25">
        <v>0.27718749999999986</v>
      </c>
      <c r="AU795" s="25"/>
      <c r="AV795" s="25">
        <v>0.41397916666666662</v>
      </c>
      <c r="AW795" s="25">
        <v>-56.182708333333359</v>
      </c>
      <c r="AX795" s="25">
        <v>-18.341875000000002</v>
      </c>
      <c r="AY795" s="25">
        <v>-68.76062499999999</v>
      </c>
      <c r="AZ795" s="25"/>
      <c r="BA795" s="25">
        <v>-10.320833333333342</v>
      </c>
      <c r="BB795" s="25"/>
      <c r="BC795" s="25"/>
      <c r="BD795" s="25">
        <v>14.808333333333321</v>
      </c>
      <c r="BE795" s="25"/>
    </row>
    <row r="796" spans="1:57" x14ac:dyDescent="0.25">
      <c r="A796" s="1">
        <v>18.7</v>
      </c>
      <c r="B796" s="1">
        <v>11.9</v>
      </c>
      <c r="C796" s="22"/>
      <c r="D796" s="23">
        <v>44503</v>
      </c>
      <c r="E796" s="24">
        <v>56.229166666666664</v>
      </c>
      <c r="F796" s="24">
        <v>94.485416666666652</v>
      </c>
      <c r="G796" s="24">
        <v>14.022916666666658</v>
      </c>
      <c r="H796" s="24">
        <v>1</v>
      </c>
      <c r="I796" s="24">
        <v>234.52083333333334</v>
      </c>
      <c r="J796" s="24">
        <v>5.791666666666667</v>
      </c>
      <c r="K796" s="24">
        <v>0.375</v>
      </c>
      <c r="L796" s="24">
        <v>13.135416666666671</v>
      </c>
      <c r="M796" s="10">
        <v>9.5656113672304019E-2</v>
      </c>
      <c r="N796" s="25">
        <v>0.21841666666666662</v>
      </c>
      <c r="O796" s="25">
        <v>0.28247916666666656</v>
      </c>
      <c r="P796" s="25">
        <v>0.36583333333333318</v>
      </c>
      <c r="Q796" s="25">
        <v>0.37400000000000005</v>
      </c>
      <c r="R796" s="25">
        <v>0.41370833333333357</v>
      </c>
      <c r="S796" s="25">
        <v>0.29160416666666655</v>
      </c>
      <c r="T796" s="25">
        <v>0.28999999999999965</v>
      </c>
      <c r="U796" s="25">
        <v>0.25402083333333308</v>
      </c>
      <c r="V796" s="25">
        <v>-171.39583333333329</v>
      </c>
      <c r="W796" s="25"/>
      <c r="X796" s="25">
        <v>-275.06666666666655</v>
      </c>
      <c r="Y796" s="25">
        <v>-250.41875000000007</v>
      </c>
      <c r="Z796" s="25">
        <v>-26.079583333333346</v>
      </c>
      <c r="AA796" s="25">
        <v>-226.73958333333329</v>
      </c>
      <c r="AB796" s="25">
        <v>-212.15625000000003</v>
      </c>
      <c r="AC796" s="25">
        <v>-223.01666666666668</v>
      </c>
      <c r="AD796" s="25"/>
      <c r="AE796" s="25">
        <v>-1305.1666666666667</v>
      </c>
      <c r="AF796" s="25">
        <v>-2175.4791666666665</v>
      </c>
      <c r="AG796" s="25">
        <v>-582.78541666666672</v>
      </c>
      <c r="AH796" s="25">
        <v>-12.008333333333333</v>
      </c>
      <c r="AI796" s="25">
        <v>-1195.7083333333333</v>
      </c>
      <c r="AJ796" s="25">
        <v>-3308.7291666666665</v>
      </c>
      <c r="AK796" s="25"/>
      <c r="AL796" s="25"/>
      <c r="AM796" s="25">
        <v>16.087500000000002</v>
      </c>
      <c r="AN796" s="25">
        <v>16.004166666666666</v>
      </c>
      <c r="AO796" s="25">
        <v>16.20000000000001</v>
      </c>
      <c r="AP796" s="25">
        <v>14.635416666666652</v>
      </c>
      <c r="AQ796" s="25">
        <v>14.956249999999999</v>
      </c>
      <c r="AR796" s="25">
        <v>15.047916666666675</v>
      </c>
      <c r="AS796" s="25">
        <v>15.11458333333335</v>
      </c>
      <c r="AT796" s="25">
        <v>0.28316666666666679</v>
      </c>
      <c r="AU796" s="25"/>
      <c r="AV796" s="25">
        <v>0.42047916666666674</v>
      </c>
      <c r="AW796" s="25">
        <v>-44.859791666666673</v>
      </c>
      <c r="AX796" s="25">
        <v>-17.923958333333331</v>
      </c>
      <c r="AY796" s="25">
        <v>-63.928750000000008</v>
      </c>
      <c r="AZ796" s="25"/>
      <c r="BA796" s="25">
        <v>-10.222916666666658</v>
      </c>
      <c r="BB796" s="25"/>
      <c r="BC796" s="25"/>
      <c r="BD796" s="25">
        <v>15.552083333333334</v>
      </c>
      <c r="BE796" s="25"/>
    </row>
    <row r="797" spans="1:57" x14ac:dyDescent="0.25">
      <c r="A797" s="1">
        <v>21.3</v>
      </c>
      <c r="B797" s="1">
        <v>13.2</v>
      </c>
      <c r="C797" s="22"/>
      <c r="D797" s="23">
        <v>44504</v>
      </c>
      <c r="E797" s="24">
        <v>109.85416666666667</v>
      </c>
      <c r="F797" s="24">
        <v>88.929166666666674</v>
      </c>
      <c r="G797" s="24">
        <v>16.835416666666671</v>
      </c>
      <c r="H797" s="24">
        <v>0.2</v>
      </c>
      <c r="I797" s="24">
        <v>235.0625</v>
      </c>
      <c r="J797" s="24">
        <v>7.416666666666667</v>
      </c>
      <c r="K797" s="24">
        <v>0.72916666666666663</v>
      </c>
      <c r="L797" s="24">
        <v>14.914583333333331</v>
      </c>
      <c r="M797" s="10">
        <v>0.23679353814954784</v>
      </c>
      <c r="N797" s="25">
        <v>0.22070833333333326</v>
      </c>
      <c r="O797" s="25">
        <v>0.28456249999999988</v>
      </c>
      <c r="P797" s="25">
        <v>0.36764583333333345</v>
      </c>
      <c r="Q797" s="25">
        <v>0.37443750000000015</v>
      </c>
      <c r="R797" s="25">
        <v>0.41604166666666687</v>
      </c>
      <c r="S797" s="25">
        <v>0.29424999999999985</v>
      </c>
      <c r="T797" s="25">
        <v>0.29093750000000013</v>
      </c>
      <c r="U797" s="25">
        <v>0.25483333333333352</v>
      </c>
      <c r="V797" s="25">
        <v>-150.21041666666665</v>
      </c>
      <c r="W797" s="25"/>
      <c r="X797" s="25">
        <v>-269.79791666666665</v>
      </c>
      <c r="Y797" s="25">
        <v>-246.96458333333337</v>
      </c>
      <c r="Z797" s="25">
        <v>-13.544375</v>
      </c>
      <c r="AA797" s="25">
        <v>-224.97500000000002</v>
      </c>
      <c r="AB797" s="25">
        <v>-209.29374999999993</v>
      </c>
      <c r="AC797" s="25">
        <v>-220.47291666666675</v>
      </c>
      <c r="AD797" s="25"/>
      <c r="AE797" s="25">
        <v>-1233.375</v>
      </c>
      <c r="AF797" s="25">
        <v>-2156.5208333333335</v>
      </c>
      <c r="AG797" s="25">
        <v>-580.0875000000002</v>
      </c>
      <c r="AH797" s="25">
        <v>-12.035416666666675</v>
      </c>
      <c r="AI797" s="25">
        <v>-1095.5416666666667</v>
      </c>
      <c r="AJ797" s="25">
        <v>-3189.375</v>
      </c>
      <c r="AK797" s="25">
        <v>-7671.875</v>
      </c>
      <c r="AL797" s="25"/>
      <c r="AM797" s="25">
        <v>16.62916666666667</v>
      </c>
      <c r="AN797" s="25">
        <v>16.202083333333324</v>
      </c>
      <c r="AO797" s="25">
        <v>16.30416666666666</v>
      </c>
      <c r="AP797" s="25">
        <v>15.912500000000003</v>
      </c>
      <c r="AQ797" s="25">
        <v>15.666666666666673</v>
      </c>
      <c r="AR797" s="25">
        <v>15.487499999999997</v>
      </c>
      <c r="AS797" s="25">
        <v>15.40625</v>
      </c>
      <c r="AT797" s="25">
        <v>0.28254166666666658</v>
      </c>
      <c r="AU797" s="25"/>
      <c r="AV797" s="25">
        <v>0.41491666666666677</v>
      </c>
      <c r="AW797" s="25">
        <v>-36.172500000000007</v>
      </c>
      <c r="AX797" s="25">
        <v>-17.579166666666666</v>
      </c>
      <c r="AY797" s="25">
        <v>-64.717083333333321</v>
      </c>
      <c r="AZ797" s="25"/>
      <c r="BA797" s="25">
        <v>-10.237500000000001</v>
      </c>
      <c r="BB797" s="25"/>
      <c r="BC797" s="25"/>
      <c r="BD797" s="25">
        <v>16.743749999999999</v>
      </c>
      <c r="BE797" s="25"/>
    </row>
    <row r="798" spans="1:57" x14ac:dyDescent="0.25">
      <c r="A798" s="1">
        <v>25.1</v>
      </c>
      <c r="B798" s="1">
        <v>15.1</v>
      </c>
      <c r="C798" s="22"/>
      <c r="D798" s="23">
        <v>44505</v>
      </c>
      <c r="E798" s="24">
        <v>133.625</v>
      </c>
      <c r="F798" s="24">
        <v>84.252083333333346</v>
      </c>
      <c r="G798" s="24">
        <v>18.462500000000009</v>
      </c>
      <c r="H798" s="24">
        <v>0</v>
      </c>
      <c r="I798" s="24">
        <v>227.375</v>
      </c>
      <c r="J798" s="24">
        <v>5.708333333333333</v>
      </c>
      <c r="K798" s="24">
        <v>0.375</v>
      </c>
      <c r="L798" s="24">
        <v>15.591666666666661</v>
      </c>
      <c r="M798" s="10">
        <v>0.38168800473613679</v>
      </c>
      <c r="N798" s="25">
        <v>0.22275000000000014</v>
      </c>
      <c r="O798" s="25">
        <v>0.28716666666666685</v>
      </c>
      <c r="P798" s="25">
        <v>0.37037499999999995</v>
      </c>
      <c r="Q798" s="25">
        <v>0.37587499999999996</v>
      </c>
      <c r="R798" s="25">
        <v>0.41287500000000027</v>
      </c>
      <c r="S798" s="25">
        <v>0.29716666666666663</v>
      </c>
      <c r="T798" s="25">
        <v>0.29293749999999991</v>
      </c>
      <c r="U798" s="25">
        <v>0.25575000000000009</v>
      </c>
      <c r="V798" s="25">
        <v>-129.67500000000001</v>
      </c>
      <c r="W798" s="25"/>
      <c r="X798" s="25">
        <v>-262.62916666666678</v>
      </c>
      <c r="Y798" s="25">
        <v>-241.93541666666667</v>
      </c>
      <c r="Z798" s="25">
        <v>-16.310000000000002</v>
      </c>
      <c r="AA798" s="25">
        <v>-224.14375000000007</v>
      </c>
      <c r="AB798" s="25">
        <v>-205.0708333333333</v>
      </c>
      <c r="AC798" s="25">
        <v>-216.07916666666668</v>
      </c>
      <c r="AD798" s="25"/>
      <c r="AE798" s="25">
        <v>-1186.9375</v>
      </c>
      <c r="AF798" s="25">
        <v>-2068.9166666666665</v>
      </c>
      <c r="AG798" s="25">
        <v>-575.9041666666667</v>
      </c>
      <c r="AH798" s="25">
        <v>-12.25625</v>
      </c>
      <c r="AI798" s="25">
        <v>-1023.375</v>
      </c>
      <c r="AJ798" s="25">
        <v>-2830</v>
      </c>
      <c r="AK798" s="25">
        <v>-7355.4883720930229</v>
      </c>
      <c r="AL798" s="25"/>
      <c r="AM798" s="25">
        <v>17.36249999999999</v>
      </c>
      <c r="AN798" s="25">
        <v>16.625000000000007</v>
      </c>
      <c r="AO798" s="25">
        <v>16.575000000000021</v>
      </c>
      <c r="AP798" s="25">
        <v>17.058333333333337</v>
      </c>
      <c r="AQ798" s="25">
        <v>16.510416666666671</v>
      </c>
      <c r="AR798" s="25">
        <v>16.141666666666673</v>
      </c>
      <c r="AS798" s="25">
        <v>15.941666666666668</v>
      </c>
      <c r="AT798" s="25">
        <v>0.27579166666666671</v>
      </c>
      <c r="AU798" s="25">
        <v>0.22550000000000001</v>
      </c>
      <c r="AV798" s="25">
        <v>0.40237499999999993</v>
      </c>
      <c r="AW798" s="25">
        <v>-75.811875000000001</v>
      </c>
      <c r="AX798" s="25">
        <v>-18.493750000000002</v>
      </c>
      <c r="AY798" s="25">
        <v>-70.712708333333325</v>
      </c>
      <c r="AZ798" s="25"/>
      <c r="BA798" s="25">
        <v>-10.356250000000003</v>
      </c>
      <c r="BB798" s="25"/>
      <c r="BC798" s="25"/>
      <c r="BD798" s="25">
        <v>17.781250000000004</v>
      </c>
      <c r="BE798" s="25"/>
    </row>
    <row r="799" spans="1:57" x14ac:dyDescent="0.25">
      <c r="A799" s="1">
        <v>26.7</v>
      </c>
      <c r="B799" s="1">
        <v>14.8</v>
      </c>
      <c r="C799" s="22"/>
      <c r="D799" s="23">
        <v>44506</v>
      </c>
      <c r="E799" s="24">
        <v>172.95833333333334</v>
      </c>
      <c r="F799" s="24">
        <v>78.845833333333346</v>
      </c>
      <c r="G799" s="24">
        <v>18.925000000000001</v>
      </c>
      <c r="H799" s="24">
        <v>0</v>
      </c>
      <c r="I799" s="24">
        <v>221.22916666666666</v>
      </c>
      <c r="J799" s="24">
        <v>4.104166666666667</v>
      </c>
      <c r="K799" s="24">
        <v>0.20833333333333334</v>
      </c>
      <c r="L799" s="24">
        <v>14.54791666666666</v>
      </c>
      <c r="M799" s="10">
        <v>0.58810271569958228</v>
      </c>
      <c r="N799" s="25">
        <v>0.22377083333333336</v>
      </c>
      <c r="O799" s="25">
        <v>0.28933333333333294</v>
      </c>
      <c r="P799" s="25">
        <v>0.37333333333333324</v>
      </c>
      <c r="Q799" s="25">
        <v>0.37785416666666682</v>
      </c>
      <c r="R799" s="25">
        <v>0.4073958333333334</v>
      </c>
      <c r="S799" s="25">
        <v>0.29966666666666669</v>
      </c>
      <c r="T799" s="25">
        <v>0.29466666666666658</v>
      </c>
      <c r="U799" s="25">
        <v>0.25747916666666643</v>
      </c>
      <c r="V799" s="25">
        <v>-115.85833333333329</v>
      </c>
      <c r="W799" s="25"/>
      <c r="X799" s="25">
        <v>-255.23750000000004</v>
      </c>
      <c r="Y799" s="25">
        <v>-237.22291666666669</v>
      </c>
      <c r="Z799" s="25">
        <v>-22.05749999999999</v>
      </c>
      <c r="AA799" s="25">
        <v>-224.89166666666668</v>
      </c>
      <c r="AB799" s="25">
        <v>-200.56250000000003</v>
      </c>
      <c r="AC799" s="25">
        <v>-210.87708333333327</v>
      </c>
      <c r="AD799" s="25"/>
      <c r="AE799" s="25">
        <v>-1119.1458333333333</v>
      </c>
      <c r="AF799" s="25">
        <v>-1944.5625</v>
      </c>
      <c r="AG799" s="25">
        <v>-571.5250000000002</v>
      </c>
      <c r="AH799" s="25">
        <v>-13.166666666666664</v>
      </c>
      <c r="AI799" s="25">
        <v>-975.58333333333337</v>
      </c>
      <c r="AJ799" s="25">
        <v>-2579.25</v>
      </c>
      <c r="AK799" s="25">
        <v>-6977.7906976744189</v>
      </c>
      <c r="AL799" s="25"/>
      <c r="AM799" s="25">
        <v>18.116666666666667</v>
      </c>
      <c r="AN799" s="25">
        <v>17.125000000000011</v>
      </c>
      <c r="AO799" s="25">
        <v>16.947916666666668</v>
      </c>
      <c r="AP799" s="25">
        <v>17.839583333333334</v>
      </c>
      <c r="AQ799" s="25">
        <v>17.216666666666672</v>
      </c>
      <c r="AR799" s="25">
        <v>16.766666666666662</v>
      </c>
      <c r="AS799" s="25">
        <v>16.506250000000005</v>
      </c>
      <c r="AT799" s="25">
        <v>0.26854166666666673</v>
      </c>
      <c r="AU799" s="25">
        <v>0.20670588235294124</v>
      </c>
      <c r="AV799" s="25">
        <v>0.38854166666666679</v>
      </c>
      <c r="AW799" s="25">
        <v>-169.79395833333328</v>
      </c>
      <c r="AX799" s="25">
        <v>-24.930624999999992</v>
      </c>
      <c r="AY799" s="25">
        <v>-73.011290322580649</v>
      </c>
      <c r="AZ799" s="25"/>
      <c r="BA799" s="25">
        <v>-10.895833333333334</v>
      </c>
      <c r="BB799" s="25"/>
      <c r="BC799" s="25"/>
      <c r="BD799" s="25">
        <v>18.577083333333334</v>
      </c>
      <c r="BE799" s="25"/>
    </row>
    <row r="800" spans="1:57" x14ac:dyDescent="0.25">
      <c r="A800" s="1">
        <v>14.7</v>
      </c>
      <c r="B800" s="1">
        <v>4.8</v>
      </c>
      <c r="C800" s="22"/>
      <c r="D800" s="23">
        <v>44507</v>
      </c>
      <c r="E800" s="24">
        <v>76.333333333333329</v>
      </c>
      <c r="F800" s="24">
        <v>77.989583333333357</v>
      </c>
      <c r="G800" s="24">
        <v>10.543749999999999</v>
      </c>
      <c r="H800" s="24">
        <v>0</v>
      </c>
      <c r="I800" s="24">
        <v>248.125</v>
      </c>
      <c r="J800" s="24">
        <v>7.375</v>
      </c>
      <c r="K800" s="24">
        <v>0.20833333333333334</v>
      </c>
      <c r="L800" s="24">
        <v>6.8104166666666694</v>
      </c>
      <c r="M800" s="10">
        <v>0.2683729990951122</v>
      </c>
      <c r="N800" s="25">
        <v>0.22204166666666669</v>
      </c>
      <c r="O800" s="25">
        <v>0.28964583333333316</v>
      </c>
      <c r="P800" s="25">
        <v>0.3746458333333334</v>
      </c>
      <c r="Q800" s="25">
        <v>0.37962500000000016</v>
      </c>
      <c r="R800" s="25">
        <v>0.39733333333333337</v>
      </c>
      <c r="S800" s="25">
        <v>0.30097916666666685</v>
      </c>
      <c r="T800" s="25">
        <v>0.2959374999999998</v>
      </c>
      <c r="U800" s="25">
        <v>0.25839583333333344</v>
      </c>
      <c r="V800" s="25">
        <v>-118.69583333333334</v>
      </c>
      <c r="W800" s="25"/>
      <c r="X800" s="25">
        <v>-251.72499999999999</v>
      </c>
      <c r="Y800" s="25">
        <v>-234.13541666666666</v>
      </c>
      <c r="Z800" s="25">
        <v>-35.049999999999997</v>
      </c>
      <c r="AA800" s="25">
        <v>-231.39791666666665</v>
      </c>
      <c r="AB800" s="25">
        <v>-198.92708333333326</v>
      </c>
      <c r="AC800" s="25">
        <v>-207.54583333333335</v>
      </c>
      <c r="AD800" s="25"/>
      <c r="AE800" s="25">
        <v>-1127.9583333333333</v>
      </c>
      <c r="AF800" s="25">
        <v>-1853.8958333333333</v>
      </c>
      <c r="AG800" s="25">
        <v>-566.80000000000007</v>
      </c>
      <c r="AH800" s="25">
        <v>-16.731249999999999</v>
      </c>
      <c r="AI800" s="25">
        <v>-992.16666666666663</v>
      </c>
      <c r="AJ800" s="25">
        <v>-2507.8125</v>
      </c>
      <c r="AK800" s="25">
        <v>-7834</v>
      </c>
      <c r="AL800" s="25"/>
      <c r="AM800" s="25">
        <v>18.341666666666665</v>
      </c>
      <c r="AN800" s="25">
        <v>17.53958333333334</v>
      </c>
      <c r="AO800" s="25">
        <v>17.335416666666656</v>
      </c>
      <c r="AP800" s="25">
        <v>16.504166666666666</v>
      </c>
      <c r="AQ800" s="25">
        <v>17.095833333333328</v>
      </c>
      <c r="AR800" s="25">
        <v>16.958333333333332</v>
      </c>
      <c r="AS800" s="25">
        <v>16.81666666666667</v>
      </c>
      <c r="AT800" s="25">
        <v>0.25639583333333338</v>
      </c>
      <c r="AU800" s="25">
        <v>0.19648936170212769</v>
      </c>
      <c r="AV800" s="25">
        <v>0.36920833333333336</v>
      </c>
      <c r="AW800" s="25">
        <v>-229.57291666666677</v>
      </c>
      <c r="AX800" s="25">
        <v>-43.561875000000015</v>
      </c>
      <c r="AY800" s="25"/>
      <c r="AZ800" s="25"/>
      <c r="BA800" s="25">
        <v>-16.548936170212766</v>
      </c>
      <c r="BB800" s="25"/>
      <c r="BC800" s="25"/>
      <c r="BD800" s="25">
        <v>15.859574468085103</v>
      </c>
      <c r="BE800" s="25"/>
    </row>
    <row r="801" spans="1:57" x14ac:dyDescent="0.25">
      <c r="A801" s="1">
        <v>15.3</v>
      </c>
      <c r="B801" s="1">
        <v>2.7</v>
      </c>
      <c r="C801" s="22"/>
      <c r="D801" s="23">
        <v>44508</v>
      </c>
      <c r="E801" s="24">
        <v>145.41666666666666</v>
      </c>
      <c r="F801" s="24">
        <v>63.789583333333333</v>
      </c>
      <c r="G801" s="24">
        <v>8.0374999999999979</v>
      </c>
      <c r="H801" s="24">
        <v>0</v>
      </c>
      <c r="I801" s="24">
        <v>242.5625</v>
      </c>
      <c r="J801" s="24">
        <v>3.8958333333333335</v>
      </c>
      <c r="K801" s="24">
        <v>0</v>
      </c>
      <c r="L801" s="24">
        <v>1.3979166666666665</v>
      </c>
      <c r="M801" s="10">
        <v>0.42454339627103388</v>
      </c>
      <c r="N801" s="25">
        <v>0.21700000000000016</v>
      </c>
      <c r="O801" s="25">
        <v>0.28558333333333347</v>
      </c>
      <c r="P801" s="25">
        <v>0.37031249999999988</v>
      </c>
      <c r="Q801" s="25">
        <v>0.37799999999999995</v>
      </c>
      <c r="R801" s="25">
        <v>0.3848541666666665</v>
      </c>
      <c r="S801" s="25">
        <v>0.29672916666666643</v>
      </c>
      <c r="T801" s="25">
        <v>0.29339583333333313</v>
      </c>
      <c r="U801" s="25">
        <v>0.25824999999999976</v>
      </c>
      <c r="V801" s="25">
        <v>-127.21874999999999</v>
      </c>
      <c r="W801" s="25"/>
      <c r="X801" s="25">
        <v>-258.98124999999999</v>
      </c>
      <c r="Y801" s="25">
        <v>-236.60416666666671</v>
      </c>
      <c r="Z801" s="25">
        <v>-49.455624999999998</v>
      </c>
      <c r="AA801" s="25">
        <v>-240.59166666666658</v>
      </c>
      <c r="AB801" s="25">
        <v>-207.32291666666663</v>
      </c>
      <c r="AC801" s="25">
        <v>-213.50208333333339</v>
      </c>
      <c r="AD801" s="25"/>
      <c r="AE801" s="25">
        <v>-1283.7916666666667</v>
      </c>
      <c r="AF801" s="25">
        <v>-2005.125</v>
      </c>
      <c r="AG801" s="25">
        <v>-569.32499999999993</v>
      </c>
      <c r="AH801" s="25">
        <v>-25.612499999999994</v>
      </c>
      <c r="AI801" s="25">
        <v>-1089.875</v>
      </c>
      <c r="AJ801" s="25">
        <v>-2717.875</v>
      </c>
      <c r="AK801" s="25"/>
      <c r="AL801" s="25"/>
      <c r="AM801" s="25">
        <v>16.908333333333342</v>
      </c>
      <c r="AN801" s="25">
        <v>16.987500000000008</v>
      </c>
      <c r="AO801" s="25">
        <v>17.12083333333333</v>
      </c>
      <c r="AP801" s="25">
        <v>13.777083333333335</v>
      </c>
      <c r="AQ801" s="25">
        <v>15.231250000000008</v>
      </c>
      <c r="AR801" s="25">
        <v>15.731249999999989</v>
      </c>
      <c r="AS801" s="25">
        <v>15.964583333333342</v>
      </c>
      <c r="AT801" s="25">
        <v>0.2456666666666667</v>
      </c>
      <c r="AU801" s="25">
        <v>0.18568750000000003</v>
      </c>
      <c r="AV801" s="25">
        <v>0.34889583333333335</v>
      </c>
      <c r="AW801" s="25">
        <v>-148.17854166666669</v>
      </c>
      <c r="AX801" s="25">
        <v>-63.338333333333331</v>
      </c>
      <c r="AY801" s="25">
        <v>-232.44500000000002</v>
      </c>
      <c r="AZ801" s="25"/>
      <c r="BA801" s="25">
        <v>-24.778723404255317</v>
      </c>
      <c r="BB801" s="25"/>
      <c r="BC801" s="25"/>
      <c r="BD801" s="25">
        <v>13.482978723404257</v>
      </c>
      <c r="BE801" s="25"/>
    </row>
    <row r="802" spans="1:57" x14ac:dyDescent="0.25">
      <c r="A802" s="1">
        <v>9.3000000000000007</v>
      </c>
      <c r="B802" s="1">
        <v>6.1</v>
      </c>
      <c r="C802" s="22"/>
      <c r="D802" s="23">
        <v>44509</v>
      </c>
      <c r="E802" s="24">
        <v>41.729166666666664</v>
      </c>
      <c r="F802" s="24">
        <v>71.391666666666637</v>
      </c>
      <c r="G802" s="24">
        <v>7.4854166666666684</v>
      </c>
      <c r="H802" s="24">
        <v>0</v>
      </c>
      <c r="I802" s="24">
        <v>228.64583333333334</v>
      </c>
      <c r="J802" s="24">
        <v>4.104166666666667</v>
      </c>
      <c r="K802" s="24">
        <v>0</v>
      </c>
      <c r="L802" s="24">
        <v>2.6124999999999998</v>
      </c>
      <c r="M802" s="10">
        <v>0.29948533341611233</v>
      </c>
      <c r="N802" s="25">
        <v>0.21537500000000007</v>
      </c>
      <c r="O802" s="25">
        <v>0.28366666666666646</v>
      </c>
      <c r="P802" s="25">
        <v>0.36754166666666688</v>
      </c>
      <c r="Q802" s="25">
        <v>0.37545833333333328</v>
      </c>
      <c r="R802" s="25">
        <v>0.37906250000000014</v>
      </c>
      <c r="S802" s="25">
        <v>0.29460416666666672</v>
      </c>
      <c r="T802" s="25">
        <v>0.29120833333333324</v>
      </c>
      <c r="U802" s="25">
        <v>0.25672916666666662</v>
      </c>
      <c r="V802" s="25">
        <v>-128.12916666666669</v>
      </c>
      <c r="W802" s="25"/>
      <c r="X802" s="25">
        <v>-266.01249999999999</v>
      </c>
      <c r="Y802" s="25">
        <v>-242.72916666666663</v>
      </c>
      <c r="Z802" s="25">
        <v>-63.038541666666667</v>
      </c>
      <c r="AA802" s="25">
        <v>-247.85416666666666</v>
      </c>
      <c r="AB802" s="25">
        <v>-214.33333333333334</v>
      </c>
      <c r="AC802" s="25">
        <v>-220.30625000000001</v>
      </c>
      <c r="AD802" s="25"/>
      <c r="AE802" s="25">
        <v>-1359.8333333333333</v>
      </c>
      <c r="AF802" s="25">
        <v>-2107.4791666666665</v>
      </c>
      <c r="AG802" s="25">
        <v>-574.30208333333348</v>
      </c>
      <c r="AH802" s="25">
        <v>-40.383333333333319</v>
      </c>
      <c r="AI802" s="25">
        <v>-1147.1875</v>
      </c>
      <c r="AJ802" s="25">
        <v>-2992.5</v>
      </c>
      <c r="AK802" s="25"/>
      <c r="AL802" s="25"/>
      <c r="AM802" s="25">
        <v>16.233333333333331</v>
      </c>
      <c r="AN802" s="25">
        <v>16.408333333333335</v>
      </c>
      <c r="AO802" s="25">
        <v>16.664583333333336</v>
      </c>
      <c r="AP802" s="25">
        <v>13.035416666666668</v>
      </c>
      <c r="AQ802" s="25">
        <v>14.545833333333333</v>
      </c>
      <c r="AR802" s="25">
        <v>15.04791666666666</v>
      </c>
      <c r="AS802" s="25">
        <v>15.295833333333336</v>
      </c>
      <c r="AT802" s="25">
        <v>0.23704166666666657</v>
      </c>
      <c r="AU802" s="25"/>
      <c r="AV802" s="25">
        <v>0.33050000000000002</v>
      </c>
      <c r="AW802" s="25">
        <v>-193.03124999999997</v>
      </c>
      <c r="AX802" s="25">
        <v>-84.274583333333354</v>
      </c>
      <c r="AY802" s="25">
        <v>-141.40454545454548</v>
      </c>
      <c r="AZ802" s="25"/>
      <c r="BA802" s="25">
        <v>-43.010416666666664</v>
      </c>
      <c r="BB802" s="25"/>
      <c r="BC802" s="25"/>
      <c r="BD802" s="25">
        <v>12.83958333333333</v>
      </c>
      <c r="BE802" s="25"/>
    </row>
    <row r="803" spans="1:57" x14ac:dyDescent="0.25">
      <c r="A803" s="1">
        <v>19.899999999999999</v>
      </c>
      <c r="B803" s="1">
        <v>4.2</v>
      </c>
      <c r="C803" s="22"/>
      <c r="D803" s="23">
        <v>44510</v>
      </c>
      <c r="E803" s="24">
        <v>184.9375</v>
      </c>
      <c r="F803" s="24">
        <v>63.302083333333336</v>
      </c>
      <c r="G803" s="24">
        <v>11.027083333333335</v>
      </c>
      <c r="H803" s="24">
        <v>0</v>
      </c>
      <c r="I803" s="24">
        <v>276.35416666666669</v>
      </c>
      <c r="J803" s="24">
        <v>2.9166666666666665</v>
      </c>
      <c r="K803" s="24">
        <v>2.0833333333333332E-2</v>
      </c>
      <c r="L803" s="24">
        <v>3.9187499999999997</v>
      </c>
      <c r="M803" s="10">
        <v>0.56338182536644588</v>
      </c>
      <c r="N803" s="25">
        <v>0.21420833333333331</v>
      </c>
      <c r="O803" s="25">
        <v>0.28179166666666661</v>
      </c>
      <c r="P803" s="25">
        <v>0.36510416666666679</v>
      </c>
      <c r="Q803" s="25">
        <v>0.3731041666666664</v>
      </c>
      <c r="R803" s="25">
        <v>0.37606249999999997</v>
      </c>
      <c r="S803" s="25">
        <v>0.29195833333333315</v>
      </c>
      <c r="T803" s="25">
        <v>0.28935416666666652</v>
      </c>
      <c r="U803" s="25">
        <v>0.2552291666666669</v>
      </c>
      <c r="V803" s="25">
        <v>-126.83125000000003</v>
      </c>
      <c r="W803" s="25"/>
      <c r="X803" s="25">
        <v>-271.9395833333333</v>
      </c>
      <c r="Y803" s="25">
        <v>-248.95416666666668</v>
      </c>
      <c r="Z803" s="25">
        <v>-71.564166666666679</v>
      </c>
      <c r="AA803" s="25">
        <v>-254.88541666666666</v>
      </c>
      <c r="AB803" s="25">
        <v>-220.48125000000007</v>
      </c>
      <c r="AC803" s="25">
        <v>-226.7604166666666</v>
      </c>
      <c r="AD803" s="25"/>
      <c r="AE803" s="25">
        <v>-1410.5</v>
      </c>
      <c r="AF803" s="25">
        <v>-2280.9375</v>
      </c>
      <c r="AG803" s="25">
        <v>-582.60208333333344</v>
      </c>
      <c r="AH803" s="25">
        <v>-56.247916666666669</v>
      </c>
      <c r="AI803" s="25">
        <v>-1190.7708333333333</v>
      </c>
      <c r="AJ803" s="25">
        <v>-3223.8333333333335</v>
      </c>
      <c r="AK803" s="25"/>
      <c r="AL803" s="25"/>
      <c r="AM803" s="25">
        <v>15.629166666666665</v>
      </c>
      <c r="AN803" s="25">
        <v>15.85833333333334</v>
      </c>
      <c r="AO803" s="25">
        <v>16.225000000000009</v>
      </c>
      <c r="AP803" s="25">
        <v>13.133333333333333</v>
      </c>
      <c r="AQ803" s="25">
        <v>14.006250000000009</v>
      </c>
      <c r="AR803" s="25">
        <v>14.454166666666667</v>
      </c>
      <c r="AS803" s="25">
        <v>14.716666666666677</v>
      </c>
      <c r="AT803" s="25">
        <v>0.2305625</v>
      </c>
      <c r="AU803" s="25">
        <v>0.159</v>
      </c>
      <c r="AV803" s="25">
        <v>0.31487500000000007</v>
      </c>
      <c r="AW803" s="25">
        <v>-232.94042553191483</v>
      </c>
      <c r="AX803" s="25">
        <v>-101.56458333333332</v>
      </c>
      <c r="AY803" s="25">
        <v>-111.66785714285713</v>
      </c>
      <c r="AZ803" s="25"/>
      <c r="BA803" s="25">
        <v>-68.987500000000011</v>
      </c>
      <c r="BB803" s="25"/>
      <c r="BC803" s="25"/>
      <c r="BD803" s="25">
        <v>14.004166666666668</v>
      </c>
      <c r="BE803" s="25"/>
    </row>
    <row r="804" spans="1:57" x14ac:dyDescent="0.25">
      <c r="A804" s="1">
        <v>12.8</v>
      </c>
      <c r="B804" s="1">
        <v>7.1</v>
      </c>
      <c r="C804" s="22"/>
      <c r="D804" s="23">
        <v>44511</v>
      </c>
      <c r="E804" s="24">
        <v>41.666666666666664</v>
      </c>
      <c r="F804" s="24">
        <v>72.133333333333283</v>
      </c>
      <c r="G804" s="24">
        <v>9.4104166666666664</v>
      </c>
      <c r="H804" s="24">
        <v>0</v>
      </c>
      <c r="I804" s="24">
        <v>217.33333333333334</v>
      </c>
      <c r="J804" s="24">
        <v>2.7083333333333335</v>
      </c>
      <c r="K804" s="24">
        <v>0</v>
      </c>
      <c r="L804" s="24">
        <v>4.5937500000000009</v>
      </c>
      <c r="M804" s="10">
        <v>0.33683895062899327</v>
      </c>
      <c r="N804" s="25">
        <v>0.21427083333333355</v>
      </c>
      <c r="O804" s="25">
        <v>0.28235416666666674</v>
      </c>
      <c r="P804" s="25">
        <v>0.36545833333333322</v>
      </c>
      <c r="Q804" s="25">
        <v>0.37199999999999994</v>
      </c>
      <c r="R804" s="25">
        <v>0.37541666666666668</v>
      </c>
      <c r="S804" s="25">
        <v>0.29304166666666648</v>
      </c>
      <c r="T804" s="25">
        <v>0.28893749999999985</v>
      </c>
      <c r="U804" s="25">
        <v>0.25497916666666692</v>
      </c>
      <c r="V804" s="25">
        <v>-122.35625</v>
      </c>
      <c r="W804" s="25"/>
      <c r="X804" s="25">
        <v>-271.25624999999997</v>
      </c>
      <c r="Y804" s="25">
        <v>-251.625</v>
      </c>
      <c r="Z804" s="25">
        <v>-78.536249999999981</v>
      </c>
      <c r="AA804" s="25">
        <v>-259.52708333333328</v>
      </c>
      <c r="AB804" s="25">
        <v>-220.71250000000001</v>
      </c>
      <c r="AC804" s="25">
        <v>-227.45208333333323</v>
      </c>
      <c r="AD804" s="25"/>
      <c r="AE804" s="25">
        <v>-1394.7708333333333</v>
      </c>
      <c r="AF804" s="25">
        <v>-2312.2291666666665</v>
      </c>
      <c r="AG804" s="25">
        <v>-586.84583333333342</v>
      </c>
      <c r="AH804" s="25">
        <v>-93.418750000000031</v>
      </c>
      <c r="AI804" s="25">
        <v>-1193.9791666666667</v>
      </c>
      <c r="AJ804" s="25">
        <v>-3259.3125</v>
      </c>
      <c r="AK804" s="25"/>
      <c r="AL804" s="25"/>
      <c r="AM804" s="25">
        <v>15.974999999999985</v>
      </c>
      <c r="AN804" s="25">
        <v>15.858333333333313</v>
      </c>
      <c r="AO804" s="25">
        <v>16.087500000000009</v>
      </c>
      <c r="AP804" s="25">
        <v>13.43541666666667</v>
      </c>
      <c r="AQ804" s="25">
        <v>14.410416666666663</v>
      </c>
      <c r="AR804" s="25">
        <v>14.668750000000008</v>
      </c>
      <c r="AS804" s="25">
        <v>14.762500000000017</v>
      </c>
      <c r="AT804" s="25">
        <v>0.22035416666666666</v>
      </c>
      <c r="AU804" s="25">
        <v>0.1474736842105262</v>
      </c>
      <c r="AV804" s="25">
        <v>0.29529166666666662</v>
      </c>
      <c r="AW804" s="25">
        <v>-278.10638297872339</v>
      </c>
      <c r="AX804" s="25">
        <v>-121.12083333333329</v>
      </c>
      <c r="AY804" s="25">
        <v>-82.981458333333322</v>
      </c>
      <c r="AZ804" s="25"/>
      <c r="BA804" s="25">
        <v>-181.07708333333335</v>
      </c>
      <c r="BB804" s="25"/>
      <c r="BC804" s="25"/>
      <c r="BD804" s="25">
        <v>13.252083333333337</v>
      </c>
      <c r="BE804" s="25"/>
    </row>
  </sheetData>
  <mergeCells count="19">
    <mergeCell ref="AL1:AS1"/>
    <mergeCell ref="AW1:AY1"/>
    <mergeCell ref="AW3:AY3"/>
    <mergeCell ref="AZ3:BB3"/>
    <mergeCell ref="BC3:BE3"/>
    <mergeCell ref="AZ1:BB1"/>
    <mergeCell ref="BC1:BE1"/>
    <mergeCell ref="A2:B3"/>
    <mergeCell ref="N2:Q2"/>
    <mergeCell ref="R2:U2"/>
    <mergeCell ref="N3:U3"/>
    <mergeCell ref="V3:AC3"/>
    <mergeCell ref="AD3:AK3"/>
    <mergeCell ref="AL3:AS3"/>
    <mergeCell ref="AT3:AV3"/>
    <mergeCell ref="C1:D3"/>
    <mergeCell ref="N1:U1"/>
    <mergeCell ref="V1:AC1"/>
    <mergeCell ref="AD1:AK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7288-21C0-40FC-8DE9-E5E4DE6020B4}">
  <dimension ref="A1:AG804"/>
  <sheetViews>
    <sheetView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L42" sqref="L42"/>
    </sheetView>
  </sheetViews>
  <sheetFormatPr defaultRowHeight="13.8" x14ac:dyDescent="0.25"/>
  <cols>
    <col min="1" max="1" width="16.33203125" customWidth="1"/>
    <col min="10" max="10" width="10.44140625" customWidth="1"/>
    <col min="33" max="33" width="14.33203125" style="27" customWidth="1"/>
  </cols>
  <sheetData>
    <row r="1" spans="1:33" x14ac:dyDescent="0.25">
      <c r="A1" s="7"/>
      <c r="B1" s="32" t="s">
        <v>4</v>
      </c>
      <c r="C1" s="32"/>
      <c r="D1" s="32"/>
      <c r="E1" s="32"/>
      <c r="F1" s="32"/>
      <c r="G1" s="32"/>
      <c r="H1" s="32"/>
      <c r="I1" s="32"/>
      <c r="J1" s="37" t="s">
        <v>64</v>
      </c>
      <c r="K1" s="40" t="s">
        <v>65</v>
      </c>
      <c r="L1" s="31"/>
      <c r="M1" s="31"/>
      <c r="N1" s="31"/>
      <c r="O1" s="31"/>
      <c r="P1" s="31"/>
      <c r="Q1" s="31"/>
      <c r="R1" s="31"/>
      <c r="S1" s="31"/>
      <c r="T1" s="38" t="s">
        <v>40</v>
      </c>
      <c r="U1" s="38"/>
      <c r="V1" s="38"/>
      <c r="W1" s="38"/>
      <c r="X1" s="38"/>
      <c r="Y1" s="38"/>
      <c r="Z1" s="38"/>
      <c r="AA1" s="38"/>
      <c r="AB1" s="11"/>
      <c r="AC1" s="11"/>
      <c r="AD1" s="11"/>
    </row>
    <row r="2" spans="1:33" ht="16.8" x14ac:dyDescent="0.25">
      <c r="A2" s="1" t="s">
        <v>0</v>
      </c>
      <c r="B2" s="31" t="s">
        <v>1</v>
      </c>
      <c r="C2" s="31"/>
      <c r="D2" s="31"/>
      <c r="E2" s="31"/>
      <c r="F2" s="5"/>
      <c r="G2" s="5"/>
      <c r="H2" s="5" t="s">
        <v>2</v>
      </c>
      <c r="I2" s="5"/>
      <c r="J2" s="37"/>
      <c r="K2" s="31"/>
      <c r="L2" s="31"/>
      <c r="M2" s="31"/>
      <c r="N2" s="31"/>
      <c r="O2" s="31"/>
      <c r="P2" s="31"/>
      <c r="Q2" s="31"/>
      <c r="R2" s="31"/>
      <c r="S2" s="31"/>
      <c r="T2" s="35" t="s">
        <v>47</v>
      </c>
      <c r="U2" s="35"/>
      <c r="V2" s="35"/>
      <c r="W2" s="35"/>
      <c r="X2" s="35" t="s">
        <v>48</v>
      </c>
      <c r="Y2" s="35"/>
      <c r="Z2" s="35"/>
      <c r="AA2" s="35"/>
      <c r="AB2" s="13" t="s">
        <v>49</v>
      </c>
      <c r="AC2" s="13">
        <v>3</v>
      </c>
      <c r="AD2" s="13">
        <v>4</v>
      </c>
    </row>
    <row r="3" spans="1:33" x14ac:dyDescent="0.25">
      <c r="A3" s="1"/>
      <c r="B3" s="5">
        <v>1</v>
      </c>
      <c r="C3" s="5">
        <v>2</v>
      </c>
      <c r="D3" s="5">
        <v>3</v>
      </c>
      <c r="E3" s="5">
        <v>4</v>
      </c>
      <c r="F3" s="5">
        <v>7</v>
      </c>
      <c r="G3" s="5">
        <v>8</v>
      </c>
      <c r="H3" s="5">
        <v>5</v>
      </c>
      <c r="I3" s="5">
        <v>6</v>
      </c>
      <c r="J3" s="37"/>
      <c r="K3" s="31"/>
      <c r="L3" s="31"/>
      <c r="M3" s="31"/>
      <c r="N3" s="31"/>
      <c r="O3" s="31"/>
      <c r="P3" s="31"/>
      <c r="Q3" s="31"/>
      <c r="R3" s="31"/>
      <c r="S3" s="31"/>
      <c r="T3" s="35" t="s">
        <v>50</v>
      </c>
      <c r="U3" s="35"/>
      <c r="V3" s="35"/>
      <c r="W3" s="35"/>
      <c r="X3" s="35"/>
      <c r="Y3" s="35"/>
      <c r="Z3" s="35"/>
      <c r="AA3" s="35"/>
      <c r="AB3" s="31" t="s">
        <v>53</v>
      </c>
      <c r="AC3" s="31"/>
      <c r="AD3" s="31"/>
      <c r="AE3" s="43" t="s">
        <v>2</v>
      </c>
      <c r="AF3" s="43"/>
      <c r="AG3" s="43"/>
    </row>
    <row r="4" spans="1:33" ht="41.4" x14ac:dyDescent="0.25">
      <c r="A4" s="6" t="s">
        <v>3</v>
      </c>
      <c r="B4" s="1">
        <v>3.8000000000000002E-4</v>
      </c>
      <c r="C4" s="1">
        <v>6.0999999999999997E-4</v>
      </c>
      <c r="D4" s="1">
        <v>3.8000000000000002E-4</v>
      </c>
      <c r="E4" s="1">
        <v>4.4999999999999999E-4</v>
      </c>
      <c r="F4" s="1">
        <v>1.9599999999999999E-3</v>
      </c>
      <c r="G4" s="1">
        <v>1.9599999999999999E-3</v>
      </c>
      <c r="H4" s="1">
        <v>3.0100000000000001E-3</v>
      </c>
      <c r="I4" s="1">
        <v>3.0100000000000001E-3</v>
      </c>
      <c r="J4" s="16" t="s">
        <v>58</v>
      </c>
      <c r="K4" s="17" t="s">
        <v>5</v>
      </c>
      <c r="L4" s="18" t="s">
        <v>6</v>
      </c>
      <c r="M4" s="18" t="s">
        <v>7</v>
      </c>
      <c r="N4" s="18" t="s">
        <v>8</v>
      </c>
      <c r="O4" s="17" t="s">
        <v>9</v>
      </c>
      <c r="P4" s="17" t="s">
        <v>10</v>
      </c>
      <c r="Q4" s="18" t="s">
        <v>11</v>
      </c>
      <c r="R4" s="18" t="s">
        <v>12</v>
      </c>
      <c r="S4" s="19" t="s">
        <v>59</v>
      </c>
      <c r="T4" s="1">
        <v>1</v>
      </c>
      <c r="U4" s="1">
        <v>2</v>
      </c>
      <c r="V4" s="1">
        <v>3</v>
      </c>
      <c r="W4" s="1">
        <v>4</v>
      </c>
      <c r="X4" s="1">
        <v>5</v>
      </c>
      <c r="Y4" s="1">
        <v>6</v>
      </c>
      <c r="Z4" s="1">
        <v>7</v>
      </c>
      <c r="AA4" s="1">
        <v>8</v>
      </c>
      <c r="AB4" s="14" t="s">
        <v>34</v>
      </c>
      <c r="AC4" s="14" t="s">
        <v>35</v>
      </c>
      <c r="AD4" s="14" t="s">
        <v>36</v>
      </c>
      <c r="AE4" s="30" t="s">
        <v>73</v>
      </c>
      <c r="AF4" s="30" t="s">
        <v>74</v>
      </c>
      <c r="AG4" s="30" t="s">
        <v>75</v>
      </c>
    </row>
    <row r="5" spans="1:33" x14ac:dyDescent="0.25">
      <c r="A5" s="8">
        <v>43712</v>
      </c>
      <c r="B5" s="1"/>
      <c r="C5" s="1"/>
      <c r="D5" s="1"/>
      <c r="E5" s="1"/>
      <c r="F5" s="1"/>
      <c r="G5" s="1"/>
      <c r="H5" s="1"/>
      <c r="I5" s="1"/>
      <c r="J5" s="23">
        <v>43712</v>
      </c>
      <c r="K5" s="24">
        <v>184.5</v>
      </c>
      <c r="L5" s="24">
        <v>71.618750000000006</v>
      </c>
      <c r="M5" s="24">
        <v>22.220833333333335</v>
      </c>
      <c r="N5" s="24">
        <v>0</v>
      </c>
      <c r="O5" s="24">
        <v>159.16666666666666</v>
      </c>
      <c r="P5" s="24">
        <v>3.2291666666666665</v>
      </c>
      <c r="Q5" s="24">
        <v>6.25E-2</v>
      </c>
      <c r="R5" s="24">
        <v>16.360416666666666</v>
      </c>
      <c r="S5" s="10">
        <v>0.88186226544367818</v>
      </c>
      <c r="T5" s="25">
        <v>0.25610416666666697</v>
      </c>
      <c r="U5" s="25">
        <v>0.34916666666666679</v>
      </c>
      <c r="V5" s="25">
        <v>0.43210416666666673</v>
      </c>
      <c r="W5" s="25">
        <v>0.42829166666666657</v>
      </c>
      <c r="X5" s="25">
        <v>0.43002083333333313</v>
      </c>
      <c r="Y5" s="25">
        <v>0.31618750000000001</v>
      </c>
      <c r="Z5" s="25">
        <v>0.32089583333333355</v>
      </c>
      <c r="AA5" s="25">
        <v>0.28377083333333331</v>
      </c>
      <c r="AB5" s="25">
        <v>0.18448611111111105</v>
      </c>
      <c r="AC5" s="25">
        <v>0.12792361111111114</v>
      </c>
      <c r="AD5" s="25">
        <v>0.2492291666666667</v>
      </c>
      <c r="AE5" s="27">
        <f>AVERAGE(T5,X5)</f>
        <v>0.34306250000000005</v>
      </c>
      <c r="AF5" s="27">
        <f>AVERAGE(U5:W5,Y5:AA5)</f>
        <v>0.35506944444444449</v>
      </c>
      <c r="AG5" s="27">
        <f>(AE5*10+AF5*45)/55</f>
        <v>0.35288636363636366</v>
      </c>
    </row>
    <row r="6" spans="1:33" x14ac:dyDescent="0.25">
      <c r="A6" s="9">
        <v>43713</v>
      </c>
      <c r="B6" s="2">
        <v>61.18119559299322</v>
      </c>
      <c r="C6" s="3">
        <v>305.24293879635371</v>
      </c>
      <c r="D6" s="3">
        <v>156.67399639690964</v>
      </c>
      <c r="E6" s="3">
        <v>420.40189858794116</v>
      </c>
      <c r="F6" s="3">
        <v>162.82053118589448</v>
      </c>
      <c r="G6" s="3">
        <v>238.22503262457087</v>
      </c>
      <c r="H6" s="3">
        <v>255.22930799751802</v>
      </c>
      <c r="I6" s="3">
        <v>170.0535629535508</v>
      </c>
      <c r="J6" s="23">
        <v>43713</v>
      </c>
      <c r="K6" s="24">
        <v>182.25</v>
      </c>
      <c r="L6" s="24">
        <v>68.768750000000011</v>
      </c>
      <c r="M6" s="24">
        <v>23.229166666666671</v>
      </c>
      <c r="N6" s="24">
        <v>0</v>
      </c>
      <c r="O6" s="24">
        <v>142.66666666666666</v>
      </c>
      <c r="P6" s="24">
        <v>4.916666666666667</v>
      </c>
      <c r="Q6" s="24">
        <v>0.33333333333333331</v>
      </c>
      <c r="R6" s="24">
        <v>16.922916666666673</v>
      </c>
      <c r="S6" s="10">
        <v>0.96945504132439053</v>
      </c>
      <c r="T6" s="25">
        <v>0.25387500000000002</v>
      </c>
      <c r="U6" s="25">
        <v>0.34710416666666655</v>
      </c>
      <c r="V6" s="25">
        <v>0.43006249999999963</v>
      </c>
      <c r="W6" s="25">
        <v>0.42489583333333297</v>
      </c>
      <c r="X6" s="25">
        <v>0.42829166666666713</v>
      </c>
      <c r="Y6" s="25">
        <v>0.31452083333333342</v>
      </c>
      <c r="Z6" s="25">
        <v>0.31787500000000013</v>
      </c>
      <c r="AA6" s="25">
        <v>0.28110416666666638</v>
      </c>
      <c r="AB6" s="25">
        <v>0.17868055555555554</v>
      </c>
      <c r="AC6" s="25">
        <v>0.12035416666666669</v>
      </c>
      <c r="AD6" s="25">
        <v>0.24099305555555553</v>
      </c>
      <c r="AE6" s="27">
        <f t="shared" ref="AE6:AE69" si="0">AVERAGE(T6,X6)</f>
        <v>0.34108333333333357</v>
      </c>
      <c r="AF6" s="27">
        <f t="shared" ref="AF6:AF69" si="1">AVERAGE(U6:W6,Y6:AA6)</f>
        <v>0.35259374999999982</v>
      </c>
      <c r="AG6" s="27">
        <f t="shared" ref="AG6:AG69" si="2">(AE6*10+AF6*45)/55</f>
        <v>0.35050094696969686</v>
      </c>
    </row>
    <row r="7" spans="1:33" x14ac:dyDescent="0.25">
      <c r="A7" s="9">
        <v>43714</v>
      </c>
      <c r="B7" s="2">
        <v>54.618961772252284</v>
      </c>
      <c r="C7" s="3">
        <v>260.10971435228902</v>
      </c>
      <c r="D7" s="3">
        <v>139.86930031306602</v>
      </c>
      <c r="E7" s="3">
        <v>279.30977000767541</v>
      </c>
      <c r="F7" s="3">
        <v>99.771387173991926</v>
      </c>
      <c r="G7" s="3">
        <v>152.23788136461275</v>
      </c>
      <c r="H7" s="3">
        <v>172.95997856254013</v>
      </c>
      <c r="I7" s="3">
        <v>110.17258839902671</v>
      </c>
      <c r="J7" s="23">
        <v>43714</v>
      </c>
      <c r="K7" s="24">
        <v>140.58333333333334</v>
      </c>
      <c r="L7" s="24">
        <v>80.458333333333357</v>
      </c>
      <c r="M7" s="24">
        <v>22.091666666666658</v>
      </c>
      <c r="N7" s="24">
        <v>15.899999999999999</v>
      </c>
      <c r="O7" s="24">
        <v>137</v>
      </c>
      <c r="P7" s="24">
        <v>3.75</v>
      </c>
      <c r="Q7" s="24">
        <v>8.3333333333333329E-2</v>
      </c>
      <c r="R7" s="24">
        <v>18.289583333333336</v>
      </c>
      <c r="S7" s="10">
        <v>0.59260902481603017</v>
      </c>
      <c r="T7" s="25">
        <v>0.29885416666666659</v>
      </c>
      <c r="U7" s="25">
        <v>0.34593750000000006</v>
      </c>
      <c r="V7" s="25">
        <v>0.42925000000000008</v>
      </c>
      <c r="W7" s="25">
        <v>0.42370833333333308</v>
      </c>
      <c r="X7" s="25">
        <v>0.43154166666666649</v>
      </c>
      <c r="Y7" s="25">
        <v>0.31474999999999997</v>
      </c>
      <c r="Z7" s="25">
        <v>0.31589583333333349</v>
      </c>
      <c r="AA7" s="25">
        <v>0.27999999999999986</v>
      </c>
      <c r="AB7" s="25">
        <v>0.21402777777777768</v>
      </c>
      <c r="AC7" s="25">
        <v>0.19688888888888889</v>
      </c>
      <c r="AD7" s="25">
        <v>0.35933333333333328</v>
      </c>
      <c r="AE7" s="27">
        <f t="shared" si="0"/>
        <v>0.36519791666666657</v>
      </c>
      <c r="AF7" s="27">
        <f t="shared" si="1"/>
        <v>0.35159027777777779</v>
      </c>
      <c r="AG7" s="27">
        <f t="shared" si="2"/>
        <v>0.35406439393939393</v>
      </c>
    </row>
    <row r="8" spans="1:33" x14ac:dyDescent="0.25">
      <c r="A8" s="9">
        <v>43715</v>
      </c>
      <c r="B8" s="2">
        <v>60.196280357521424</v>
      </c>
      <c r="C8" s="3">
        <v>457.04727616669271</v>
      </c>
      <c r="D8" s="3">
        <v>154.15180629326869</v>
      </c>
      <c r="E8" s="3">
        <v>357.63609986300889</v>
      </c>
      <c r="F8" s="3">
        <v>129.30236246327354</v>
      </c>
      <c r="G8" s="3">
        <v>157.94738533489172</v>
      </c>
      <c r="H8" s="3">
        <v>178.60610113283565</v>
      </c>
      <c r="I8" s="3">
        <v>86.980453573685168</v>
      </c>
      <c r="J8" s="23">
        <v>43715</v>
      </c>
      <c r="K8" s="24">
        <v>144.79166666666666</v>
      </c>
      <c r="L8" s="24">
        <v>80.443749999999994</v>
      </c>
      <c r="M8" s="24">
        <v>22.537500000000005</v>
      </c>
      <c r="N8" s="24">
        <v>6.3000000000000007</v>
      </c>
      <c r="O8" s="24">
        <v>136.66666666666666</v>
      </c>
      <c r="P8" s="24">
        <v>7.166666666666667</v>
      </c>
      <c r="Q8" s="24">
        <v>0.66666666666666663</v>
      </c>
      <c r="R8" s="24">
        <v>18.820833333333336</v>
      </c>
      <c r="S8" s="10">
        <v>0.58873222368155165</v>
      </c>
      <c r="T8" s="25">
        <v>0.28904166666666681</v>
      </c>
      <c r="U8" s="25">
        <v>0.34724999999999989</v>
      </c>
      <c r="V8" s="25">
        <v>0.43097916666666647</v>
      </c>
      <c r="W8" s="25">
        <v>0.42537499999999984</v>
      </c>
      <c r="X8" s="25">
        <v>0.43668749999999967</v>
      </c>
      <c r="Y8" s="25">
        <v>0.31627083333333339</v>
      </c>
      <c r="Z8" s="25">
        <v>0.31602083333333358</v>
      </c>
      <c r="AA8" s="25">
        <v>0.27999999999999986</v>
      </c>
      <c r="AB8" s="25">
        <v>0.22297916666666664</v>
      </c>
      <c r="AC8" s="25">
        <v>0.2050694444444445</v>
      </c>
      <c r="AD8" s="25">
        <v>0.3784861111111113</v>
      </c>
      <c r="AE8" s="27">
        <f t="shared" si="0"/>
        <v>0.36286458333333327</v>
      </c>
      <c r="AF8" s="27">
        <f t="shared" si="1"/>
        <v>0.35264930555555551</v>
      </c>
      <c r="AG8" s="27">
        <f t="shared" si="2"/>
        <v>0.35450662878787875</v>
      </c>
    </row>
    <row r="9" spans="1:33" x14ac:dyDescent="0.25">
      <c r="A9" s="9">
        <v>43716</v>
      </c>
      <c r="B9" s="2">
        <v>23.1765097080388</v>
      </c>
      <c r="C9" s="3">
        <v>644.46133991587112</v>
      </c>
      <c r="D9" s="3">
        <v>59.350857126859921</v>
      </c>
      <c r="E9" s="3">
        <v>0.63087818905910109</v>
      </c>
      <c r="F9" s="3">
        <v>29.589802536156409</v>
      </c>
      <c r="G9" s="3">
        <v>24.14487707050802</v>
      </c>
      <c r="H9" s="3">
        <v>52.998638122448696</v>
      </c>
      <c r="I9" s="3">
        <v>63.133772128052016</v>
      </c>
      <c r="J9" s="23">
        <v>43716</v>
      </c>
      <c r="K9" s="24">
        <v>54.354166666666664</v>
      </c>
      <c r="L9" s="24">
        <v>90.585416666666674</v>
      </c>
      <c r="M9" s="24">
        <v>21.299999999999994</v>
      </c>
      <c r="N9" s="24">
        <v>49.699999999999996</v>
      </c>
      <c r="O9" s="24">
        <v>122.47916666666667</v>
      </c>
      <c r="P9" s="24">
        <v>11.4375</v>
      </c>
      <c r="Q9" s="24">
        <v>2.625</v>
      </c>
      <c r="R9" s="24">
        <v>19.685416666666661</v>
      </c>
      <c r="S9" s="10">
        <v>0.24241613472018383</v>
      </c>
      <c r="T9" s="25">
        <v>0.38635416666666661</v>
      </c>
      <c r="U9" s="25">
        <v>0.37945833333333318</v>
      </c>
      <c r="V9" s="25">
        <v>0.45279166666666693</v>
      </c>
      <c r="W9" s="25">
        <v>0.44766666666666682</v>
      </c>
      <c r="X9" s="25">
        <v>0.4847708333333336</v>
      </c>
      <c r="Y9" s="25">
        <v>0.42904166666666654</v>
      </c>
      <c r="Z9" s="25">
        <v>0.35604166666666676</v>
      </c>
      <c r="AA9" s="25">
        <v>0.28077083333333358</v>
      </c>
      <c r="AB9" s="25">
        <v>0.36522916666666672</v>
      </c>
      <c r="AC9" s="25">
        <v>0.26509722222222226</v>
      </c>
      <c r="AD9" s="25">
        <v>0.4617430555555555</v>
      </c>
      <c r="AE9" s="27">
        <f t="shared" si="0"/>
        <v>0.43556250000000007</v>
      </c>
      <c r="AF9" s="27">
        <f t="shared" si="1"/>
        <v>0.39096180555555565</v>
      </c>
      <c r="AG9" s="27">
        <f t="shared" si="2"/>
        <v>0.3990710227272728</v>
      </c>
    </row>
    <row r="10" spans="1:33" x14ac:dyDescent="0.25">
      <c r="A10" s="9">
        <v>43717</v>
      </c>
      <c r="B10" s="2">
        <v>64.831906951941718</v>
      </c>
      <c r="C10" s="3">
        <v>165.70089431006943</v>
      </c>
      <c r="D10" s="3">
        <v>166.02280909588148</v>
      </c>
      <c r="E10" s="3">
        <v>47.697049195632275</v>
      </c>
      <c r="F10" s="3">
        <v>77.0236581710314</v>
      </c>
      <c r="G10" s="3">
        <v>114.93427161047288</v>
      </c>
      <c r="H10" s="3">
        <v>80.166788937585537</v>
      </c>
      <c r="I10" s="3">
        <v>231.48488882658131</v>
      </c>
      <c r="J10" s="23">
        <v>43717</v>
      </c>
      <c r="K10" s="24">
        <v>101.22916666666667</v>
      </c>
      <c r="L10" s="24">
        <v>92.183333333333323</v>
      </c>
      <c r="M10" s="24">
        <v>20.220833333333335</v>
      </c>
      <c r="N10" s="24">
        <v>116.60000000000001</v>
      </c>
      <c r="O10" s="24">
        <v>120.89583333333333</v>
      </c>
      <c r="P10" s="24">
        <v>7.25</v>
      </c>
      <c r="Q10" s="24">
        <v>0.70833333333333337</v>
      </c>
      <c r="R10" s="24">
        <v>18.860416666666669</v>
      </c>
      <c r="S10" s="10">
        <v>0.19833580748646221</v>
      </c>
      <c r="T10" s="25">
        <v>0.49383333333333318</v>
      </c>
      <c r="U10" s="25">
        <v>0.56999999999999995</v>
      </c>
      <c r="V10" s="25">
        <v>0.60508333333333331</v>
      </c>
      <c r="W10" s="25">
        <v>0.63681249999999967</v>
      </c>
      <c r="X10" s="25">
        <v>0.61777083333333327</v>
      </c>
      <c r="Y10" s="25">
        <v>0.53808333333333347</v>
      </c>
      <c r="Z10" s="25">
        <v>0.49272916666666683</v>
      </c>
      <c r="AA10" s="25">
        <v>0.44747916666666671</v>
      </c>
      <c r="AB10" s="25">
        <v>0.48722222222222228</v>
      </c>
      <c r="AC10" s="25">
        <v>0.43150694444444437</v>
      </c>
      <c r="AD10" s="25">
        <v>0.51505555555555571</v>
      </c>
      <c r="AE10" s="27">
        <f t="shared" si="0"/>
        <v>0.55580208333333325</v>
      </c>
      <c r="AF10" s="27">
        <f t="shared" si="1"/>
        <v>0.54836458333333338</v>
      </c>
      <c r="AG10" s="27">
        <f t="shared" si="2"/>
        <v>0.54971685606060616</v>
      </c>
    </row>
    <row r="11" spans="1:33" x14ac:dyDescent="0.25">
      <c r="A11" s="9">
        <v>43718</v>
      </c>
      <c r="B11" s="2">
        <v>52.841164488893355</v>
      </c>
      <c r="C11" s="3">
        <v>274.18740268507963</v>
      </c>
      <c r="D11" s="3">
        <v>135.31668242994456</v>
      </c>
      <c r="E11" s="3">
        <v>30.665344140274549</v>
      </c>
      <c r="F11" s="3">
        <v>94.043411242799664</v>
      </c>
      <c r="G11" s="3">
        <v>131.53532069034236</v>
      </c>
      <c r="H11" s="3">
        <v>143.61073756381194</v>
      </c>
      <c r="I11" s="3">
        <v>138.30128216842445</v>
      </c>
      <c r="J11" s="23">
        <v>43718</v>
      </c>
      <c r="K11" s="24">
        <v>114.10416666666667</v>
      </c>
      <c r="L11" s="24">
        <v>90.752083333333317</v>
      </c>
      <c r="M11" s="24">
        <v>20.681250000000002</v>
      </c>
      <c r="N11" s="24">
        <v>7.7</v>
      </c>
      <c r="O11" s="24">
        <v>115.9375</v>
      </c>
      <c r="P11" s="24">
        <v>9.0833333333333339</v>
      </c>
      <c r="Q11" s="24">
        <v>1.2708333333333333</v>
      </c>
      <c r="R11" s="24">
        <v>19.077083333333338</v>
      </c>
      <c r="S11" s="10">
        <v>0.23573704986871347</v>
      </c>
      <c r="T11" s="25">
        <v>0.47243750000000001</v>
      </c>
      <c r="U11" s="25">
        <v>0.56989583333333338</v>
      </c>
      <c r="V11" s="25">
        <v>0.60054166666666675</v>
      </c>
      <c r="W11" s="25">
        <v>0.61754166666666654</v>
      </c>
      <c r="X11" s="25">
        <v>0.62239583333333315</v>
      </c>
      <c r="Y11" s="25">
        <v>0.50866666666666671</v>
      </c>
      <c r="Z11" s="25">
        <v>0.4781458333333331</v>
      </c>
      <c r="AA11" s="25">
        <v>0.43577083333333327</v>
      </c>
      <c r="AB11" s="25">
        <v>0.45350694444444462</v>
      </c>
      <c r="AC11" s="25">
        <v>0.28952083333333323</v>
      </c>
      <c r="AD11" s="25">
        <v>0.4963055555555555</v>
      </c>
      <c r="AE11" s="27">
        <f t="shared" si="0"/>
        <v>0.54741666666666655</v>
      </c>
      <c r="AF11" s="27">
        <f t="shared" si="1"/>
        <v>0.53509374999999992</v>
      </c>
      <c r="AG11" s="27">
        <f t="shared" si="2"/>
        <v>0.53733428030303021</v>
      </c>
    </row>
    <row r="12" spans="1:33" x14ac:dyDescent="0.25">
      <c r="A12" s="9">
        <v>43719</v>
      </c>
      <c r="B12" s="2">
        <v>92.82901196091116</v>
      </c>
      <c r="C12" s="3">
        <v>99.630213524542697</v>
      </c>
      <c r="D12" s="3">
        <v>237.718340488889</v>
      </c>
      <c r="E12" s="3">
        <v>163.27885950130943</v>
      </c>
      <c r="F12" s="3">
        <v>164.65576475375178</v>
      </c>
      <c r="G12" s="3">
        <v>153.77778541664404</v>
      </c>
      <c r="H12" s="3">
        <v>205.57406224994412</v>
      </c>
      <c r="I12" s="3">
        <v>246.2068972360774</v>
      </c>
      <c r="J12" s="23">
        <v>43719</v>
      </c>
      <c r="K12" s="24">
        <v>158.33333333333334</v>
      </c>
      <c r="L12" s="24">
        <v>84.372916666666654</v>
      </c>
      <c r="M12" s="24">
        <v>21.187500000000004</v>
      </c>
      <c r="N12" s="24">
        <v>2.3000000000000003</v>
      </c>
      <c r="O12" s="24">
        <v>129.77083333333334</v>
      </c>
      <c r="P12" s="24">
        <v>12.5625</v>
      </c>
      <c r="Q12" s="24">
        <v>2.8333333333333335</v>
      </c>
      <c r="R12" s="24">
        <v>18.379166666666659</v>
      </c>
      <c r="S12" s="10">
        <v>0.41639100088324327</v>
      </c>
      <c r="T12" s="25">
        <v>0.46116666666666656</v>
      </c>
      <c r="U12" s="25">
        <v>0.5635416666666665</v>
      </c>
      <c r="V12" s="25">
        <v>0.5972291666666667</v>
      </c>
      <c r="W12" s="25">
        <v>0.60756250000000034</v>
      </c>
      <c r="X12" s="25">
        <v>0.61895833333333283</v>
      </c>
      <c r="Y12" s="25">
        <v>0.49814583333333307</v>
      </c>
      <c r="Z12" s="25">
        <v>0.47410416666666677</v>
      </c>
      <c r="AA12" s="25">
        <v>0.4265624999999999</v>
      </c>
      <c r="AB12" s="25">
        <v>0.44064583333333335</v>
      </c>
      <c r="AC12" s="25">
        <v>0.27033333333333326</v>
      </c>
      <c r="AD12" s="25">
        <v>0.48590277777777779</v>
      </c>
      <c r="AE12" s="27">
        <f t="shared" si="0"/>
        <v>0.54006249999999967</v>
      </c>
      <c r="AF12" s="27">
        <f t="shared" si="1"/>
        <v>0.52785763888888881</v>
      </c>
      <c r="AG12" s="27">
        <f t="shared" si="2"/>
        <v>0.53007670454545441</v>
      </c>
    </row>
    <row r="13" spans="1:33" x14ac:dyDescent="0.25">
      <c r="A13" s="9">
        <v>43720</v>
      </c>
      <c r="B13" s="2">
        <v>120.16836032647406</v>
      </c>
      <c r="C13" s="3">
        <v>9.7326483098986678</v>
      </c>
      <c r="D13" s="3">
        <v>307.72947586805134</v>
      </c>
      <c r="E13" s="3">
        <v>252.87200160162453</v>
      </c>
      <c r="F13" s="3">
        <v>239.55295354813643</v>
      </c>
      <c r="G13" s="3">
        <v>275.9314528535478</v>
      </c>
      <c r="H13" s="3">
        <v>274.9470584328954</v>
      </c>
      <c r="I13" s="3">
        <v>301.44130226650617</v>
      </c>
      <c r="J13" s="23">
        <v>43720</v>
      </c>
      <c r="K13" s="24">
        <v>174.125</v>
      </c>
      <c r="L13" s="24">
        <v>78.895833333333343</v>
      </c>
      <c r="M13" s="24">
        <v>22.375</v>
      </c>
      <c r="N13" s="24">
        <v>0</v>
      </c>
      <c r="O13" s="24">
        <v>151.75</v>
      </c>
      <c r="P13" s="24">
        <v>10.708333333333334</v>
      </c>
      <c r="Q13" s="24">
        <v>1.3541666666666667</v>
      </c>
      <c r="R13" s="24">
        <v>18.381249999999998</v>
      </c>
      <c r="S13" s="10">
        <v>0.61606613419564316</v>
      </c>
      <c r="T13" s="25">
        <v>0.44339583333333343</v>
      </c>
      <c r="U13" s="25">
        <v>0.55031250000000032</v>
      </c>
      <c r="V13" s="25">
        <v>0.59054166666666685</v>
      </c>
      <c r="W13" s="25">
        <v>0.59929166666666689</v>
      </c>
      <c r="X13" s="25">
        <v>0.61125000000000052</v>
      </c>
      <c r="Y13" s="25">
        <v>0.48552083333333368</v>
      </c>
      <c r="Z13" s="25">
        <v>0.46916666666666645</v>
      </c>
      <c r="AA13" s="25">
        <v>0.41952083333333362</v>
      </c>
      <c r="AB13" s="25">
        <v>0.42286111111111091</v>
      </c>
      <c r="AC13" s="25">
        <v>0.24975000000000003</v>
      </c>
      <c r="AD13" s="25">
        <v>0.45774305555555567</v>
      </c>
      <c r="AE13" s="27">
        <f t="shared" si="0"/>
        <v>0.52732291666666697</v>
      </c>
      <c r="AF13" s="27">
        <f t="shared" si="1"/>
        <v>0.5190590277777779</v>
      </c>
      <c r="AG13" s="27">
        <f t="shared" si="2"/>
        <v>0.52056155303030316</v>
      </c>
    </row>
    <row r="14" spans="1:33" x14ac:dyDescent="0.25">
      <c r="A14" s="9">
        <v>43721</v>
      </c>
      <c r="B14" s="2">
        <v>114.62883165037987</v>
      </c>
      <c r="C14" s="3">
        <v>57.579570188124329</v>
      </c>
      <c r="D14" s="3">
        <v>293.5437430227397</v>
      </c>
      <c r="E14" s="3">
        <v>279.38819177172098</v>
      </c>
      <c r="F14" s="3">
        <v>240.36657705219636</v>
      </c>
      <c r="G14" s="3">
        <v>211.59130188041902</v>
      </c>
      <c r="H14" s="3">
        <v>274.28932263308616</v>
      </c>
      <c r="I14" s="3">
        <v>251.57666941552969</v>
      </c>
      <c r="J14" s="23">
        <v>43721</v>
      </c>
      <c r="K14" s="24">
        <v>237.10416666666666</v>
      </c>
      <c r="L14" s="24">
        <v>74.779166666666683</v>
      </c>
      <c r="M14" s="24">
        <v>23.452083333333324</v>
      </c>
      <c r="N14" s="24">
        <v>0</v>
      </c>
      <c r="O14" s="24">
        <v>155.77083333333334</v>
      </c>
      <c r="P14" s="24">
        <v>9.7708333333333339</v>
      </c>
      <c r="Q14" s="24">
        <v>1.3125</v>
      </c>
      <c r="R14" s="24">
        <v>18.466666666666665</v>
      </c>
      <c r="S14" s="10">
        <v>0.80873882521636287</v>
      </c>
      <c r="T14" s="25">
        <v>0.43858333333333349</v>
      </c>
      <c r="U14" s="25">
        <v>0.54087499999999988</v>
      </c>
      <c r="V14" s="25">
        <v>0.5859166666666662</v>
      </c>
      <c r="W14" s="25">
        <v>0.59510416666666666</v>
      </c>
      <c r="X14" s="25">
        <v>0.60497916666666707</v>
      </c>
      <c r="Y14" s="25">
        <v>0.47808333333333342</v>
      </c>
      <c r="Z14" s="25">
        <v>0.46564583333333337</v>
      </c>
      <c r="AA14" s="25">
        <v>0.4152499999999999</v>
      </c>
      <c r="AB14" s="25">
        <v>0.4080425531914893</v>
      </c>
      <c r="AC14" s="25">
        <v>0.23235416666666664</v>
      </c>
      <c r="AD14" s="25">
        <v>0.43372916666666655</v>
      </c>
      <c r="AE14" s="27">
        <f t="shared" si="0"/>
        <v>0.52178125000000031</v>
      </c>
      <c r="AF14" s="27">
        <f t="shared" si="1"/>
        <v>0.5134791666666666</v>
      </c>
      <c r="AG14" s="27">
        <f t="shared" si="2"/>
        <v>0.51498863636363634</v>
      </c>
    </row>
    <row r="15" spans="1:33" x14ac:dyDescent="0.25">
      <c r="A15" s="9">
        <v>43722</v>
      </c>
      <c r="B15" s="2">
        <v>117.007756587315</v>
      </c>
      <c r="C15" s="3">
        <v>87.063259590924432</v>
      </c>
      <c r="D15" s="3">
        <v>299.63574030042253</v>
      </c>
      <c r="E15" s="3">
        <v>305.46570474254486</v>
      </c>
      <c r="F15" s="3">
        <v>227.91059172019396</v>
      </c>
      <c r="G15" s="3">
        <v>316.42473698023502</v>
      </c>
      <c r="H15" s="3">
        <v>261.53114871650365</v>
      </c>
      <c r="I15" s="3">
        <v>205.79994106071092</v>
      </c>
      <c r="J15" s="23">
        <v>43722</v>
      </c>
      <c r="K15" s="24">
        <v>253.85416666666666</v>
      </c>
      <c r="L15" s="24">
        <v>69.139583333333334</v>
      </c>
      <c r="M15" s="24">
        <v>23.904166666666665</v>
      </c>
      <c r="N15" s="24">
        <v>0</v>
      </c>
      <c r="O15" s="24">
        <v>134.0625</v>
      </c>
      <c r="P15" s="24">
        <v>7.708333333333333</v>
      </c>
      <c r="Q15" s="24">
        <v>1.2916666666666667</v>
      </c>
      <c r="R15" s="24">
        <v>17.435416666666669</v>
      </c>
      <c r="S15" s="10">
        <v>1.0239300479339237</v>
      </c>
      <c r="T15" s="25">
        <v>0.43512499999999993</v>
      </c>
      <c r="U15" s="25">
        <v>0.53172916666666681</v>
      </c>
      <c r="V15" s="25">
        <v>0.58093749999999966</v>
      </c>
      <c r="W15" s="25">
        <v>0.59147916666666656</v>
      </c>
      <c r="X15" s="25">
        <v>0.59647916666666678</v>
      </c>
      <c r="Y15" s="25">
        <v>0.47054166666666664</v>
      </c>
      <c r="Z15" s="25">
        <v>0.46197916666666661</v>
      </c>
      <c r="AA15" s="25">
        <v>0.41106250000000033</v>
      </c>
      <c r="AB15" s="25">
        <v>0.39343055555555556</v>
      </c>
      <c r="AC15" s="25">
        <v>0.21504861111111109</v>
      </c>
      <c r="AD15" s="25">
        <v>0.40547222222222223</v>
      </c>
      <c r="AE15" s="27">
        <f t="shared" si="0"/>
        <v>0.51580208333333333</v>
      </c>
      <c r="AF15" s="27">
        <f t="shared" si="1"/>
        <v>0.5079548611111111</v>
      </c>
      <c r="AG15" s="27">
        <f t="shared" si="2"/>
        <v>0.50938162878787874</v>
      </c>
    </row>
    <row r="16" spans="1:33" x14ac:dyDescent="0.25">
      <c r="A16" s="9">
        <v>43723</v>
      </c>
      <c r="B16" s="2">
        <v>113.78283475887832</v>
      </c>
      <c r="C16" s="3">
        <v>165.39406500977049</v>
      </c>
      <c r="D16" s="3">
        <v>291.37729771799826</v>
      </c>
      <c r="E16" s="3">
        <v>343.46578292590743</v>
      </c>
      <c r="F16" s="3">
        <v>174.3469938596221</v>
      </c>
      <c r="G16" s="3">
        <v>336.07711949499702</v>
      </c>
      <c r="H16" s="3">
        <v>175.59573456818052</v>
      </c>
      <c r="I16" s="3">
        <v>157.95194725617517</v>
      </c>
      <c r="J16" s="23">
        <v>43723</v>
      </c>
      <c r="K16" s="24">
        <v>254.14583333333334</v>
      </c>
      <c r="L16" s="24">
        <v>69.441666666666649</v>
      </c>
      <c r="M16" s="24">
        <v>23.231249999999999</v>
      </c>
      <c r="N16" s="24">
        <v>0</v>
      </c>
      <c r="O16" s="24">
        <v>138.16666666666666</v>
      </c>
      <c r="P16" s="24">
        <v>5.958333333333333</v>
      </c>
      <c r="Q16" s="24">
        <v>0.60416666666666663</v>
      </c>
      <c r="R16" s="24">
        <v>16.929166666666667</v>
      </c>
      <c r="S16" s="10">
        <v>0.99045577232761473</v>
      </c>
      <c r="T16" s="25">
        <v>0.41831249999999992</v>
      </c>
      <c r="U16" s="25">
        <v>0.51914583333333375</v>
      </c>
      <c r="V16" s="25">
        <v>0.57270833333333371</v>
      </c>
      <c r="W16" s="25">
        <v>0.58710416666666654</v>
      </c>
      <c r="X16" s="25">
        <v>0.58100000000000018</v>
      </c>
      <c r="Y16" s="25">
        <v>0.4585416666666669</v>
      </c>
      <c r="Z16" s="25">
        <v>0.45589583333333356</v>
      </c>
      <c r="AA16" s="25">
        <v>0.40556250000000021</v>
      </c>
      <c r="AB16" s="25">
        <v>0.37813888888888886</v>
      </c>
      <c r="AC16" s="25">
        <v>0.19675694444444447</v>
      </c>
      <c r="AD16" s="25">
        <v>0.36841666666666667</v>
      </c>
      <c r="AE16" s="27">
        <f t="shared" si="0"/>
        <v>0.49965625000000002</v>
      </c>
      <c r="AF16" s="27">
        <f t="shared" si="1"/>
        <v>0.49982638888888914</v>
      </c>
      <c r="AG16" s="27">
        <f t="shared" si="2"/>
        <v>0.49979545454545471</v>
      </c>
    </row>
    <row r="17" spans="1:33" x14ac:dyDescent="0.25">
      <c r="A17" s="9">
        <v>43724</v>
      </c>
      <c r="B17" s="2">
        <v>55.007684460168775</v>
      </c>
      <c r="C17" s="3">
        <v>90.347129945601338</v>
      </c>
      <c r="D17" s="3">
        <v>140.86474893769213</v>
      </c>
      <c r="E17" s="3">
        <v>201.14427318979367</v>
      </c>
      <c r="F17" s="3">
        <v>168.75116748101016</v>
      </c>
      <c r="G17" s="3">
        <v>253.59845831364268</v>
      </c>
      <c r="H17" s="3">
        <v>194.60186741355625</v>
      </c>
      <c r="I17" s="3">
        <v>248.53427387773965</v>
      </c>
      <c r="J17" s="23">
        <v>43724</v>
      </c>
      <c r="K17" s="24">
        <v>146.02083333333334</v>
      </c>
      <c r="L17" s="24">
        <v>79.733333333333306</v>
      </c>
      <c r="M17" s="24">
        <v>20.093749999999996</v>
      </c>
      <c r="N17" s="24">
        <v>1.7</v>
      </c>
      <c r="O17" s="24">
        <v>185.72916666666666</v>
      </c>
      <c r="P17" s="24">
        <v>3.375</v>
      </c>
      <c r="Q17" s="24">
        <v>6.25E-2</v>
      </c>
      <c r="R17" s="24">
        <v>16.320833333333333</v>
      </c>
      <c r="S17" s="10">
        <v>0.52871269649274466</v>
      </c>
      <c r="T17" s="25">
        <v>0.39064583333333336</v>
      </c>
      <c r="U17" s="25">
        <v>0.50650000000000028</v>
      </c>
      <c r="V17" s="25">
        <v>0.56341666666666679</v>
      </c>
      <c r="W17" s="25">
        <v>0.58310416666666631</v>
      </c>
      <c r="X17" s="25">
        <v>0.56420833333333331</v>
      </c>
      <c r="Y17" s="25">
        <v>0.4475208333333332</v>
      </c>
      <c r="Z17" s="25">
        <v>0.44945833333333352</v>
      </c>
      <c r="AA17" s="25">
        <v>0.3999791666666665</v>
      </c>
      <c r="AB17" s="25">
        <v>0.36539492753623187</v>
      </c>
      <c r="AC17" s="25">
        <v>0.18083333333333337</v>
      </c>
      <c r="AD17" s="25">
        <v>0.3368680555555556</v>
      </c>
      <c r="AE17" s="27">
        <f t="shared" si="0"/>
        <v>0.47742708333333334</v>
      </c>
      <c r="AF17" s="27">
        <f t="shared" si="1"/>
        <v>0.49166319444444434</v>
      </c>
      <c r="AG17" s="27">
        <f t="shared" si="2"/>
        <v>0.48907481060606051</v>
      </c>
    </row>
    <row r="18" spans="1:33" x14ac:dyDescent="0.25">
      <c r="A18" s="9">
        <v>43725</v>
      </c>
      <c r="B18" s="2">
        <v>73.699868273810878</v>
      </c>
      <c r="C18" s="3">
        <v>169.59946939160761</v>
      </c>
      <c r="D18" s="3">
        <v>188.73205703920837</v>
      </c>
      <c r="E18" s="3">
        <v>259.448675787441</v>
      </c>
      <c r="F18" s="3">
        <v>237.93485771682657</v>
      </c>
      <c r="G18" s="3">
        <v>250.9228528407875</v>
      </c>
      <c r="H18" s="3">
        <v>206.81993403700309</v>
      </c>
      <c r="I18" s="3">
        <v>221.10658318633483</v>
      </c>
      <c r="J18" s="23">
        <v>43725</v>
      </c>
      <c r="K18" s="24">
        <v>169.47916666666666</v>
      </c>
      <c r="L18" s="24">
        <v>77.00624999999998</v>
      </c>
      <c r="M18" s="24">
        <v>21.797916666666676</v>
      </c>
      <c r="N18" s="24">
        <v>0</v>
      </c>
      <c r="O18" s="24">
        <v>143.8125</v>
      </c>
      <c r="P18" s="24">
        <v>6.666666666666667</v>
      </c>
      <c r="Q18" s="24">
        <v>0.47916666666666669</v>
      </c>
      <c r="R18" s="24">
        <v>17.364583333333332</v>
      </c>
      <c r="S18" s="10">
        <v>0.66831989735542818</v>
      </c>
      <c r="T18" s="25">
        <v>0.36216666666666658</v>
      </c>
      <c r="U18" s="25">
        <v>0.49324999999999997</v>
      </c>
      <c r="V18" s="25">
        <v>0.5523125000000001</v>
      </c>
      <c r="W18" s="25">
        <v>0.57843749999999983</v>
      </c>
      <c r="X18" s="25">
        <v>0.54887500000000022</v>
      </c>
      <c r="Y18" s="25">
        <v>0.4371666666666667</v>
      </c>
      <c r="Z18" s="25">
        <v>0.44293749999999982</v>
      </c>
      <c r="AA18" s="25">
        <v>0.39400000000000013</v>
      </c>
      <c r="AB18" s="25">
        <v>0.35551063829787233</v>
      </c>
      <c r="AC18" s="25">
        <v>0.17097916666666671</v>
      </c>
      <c r="AD18" s="25">
        <v>0.31674305555555554</v>
      </c>
      <c r="AE18" s="27">
        <f t="shared" si="0"/>
        <v>0.45552083333333337</v>
      </c>
      <c r="AF18" s="27">
        <f t="shared" si="1"/>
        <v>0.48301736111111104</v>
      </c>
      <c r="AG18" s="27">
        <f t="shared" si="2"/>
        <v>0.47801799242424231</v>
      </c>
    </row>
    <row r="19" spans="1:33" x14ac:dyDescent="0.25">
      <c r="A19" s="9">
        <v>43726</v>
      </c>
      <c r="B19" s="2">
        <v>14.473936967934334</v>
      </c>
      <c r="C19" s="3">
        <v>39.741625666612585</v>
      </c>
      <c r="D19" s="3">
        <v>37.065139482546307</v>
      </c>
      <c r="E19" s="3">
        <v>124.71808452583406</v>
      </c>
      <c r="F19" s="3">
        <v>62.406619121085946</v>
      </c>
      <c r="G19" s="3">
        <v>156.70997916363171</v>
      </c>
      <c r="H19" s="3">
        <v>83.173440504841253</v>
      </c>
      <c r="I19" s="3">
        <v>173.15426922305301</v>
      </c>
      <c r="J19" s="23">
        <v>43726</v>
      </c>
      <c r="K19" s="24">
        <v>78.645833333333329</v>
      </c>
      <c r="L19" s="24">
        <v>81.414583333333368</v>
      </c>
      <c r="M19" s="24">
        <v>17.931249999999995</v>
      </c>
      <c r="N19" s="24">
        <v>0.4</v>
      </c>
      <c r="O19" s="24">
        <v>211.66666666666666</v>
      </c>
      <c r="P19" s="24">
        <v>4.1875</v>
      </c>
      <c r="Q19" s="24">
        <v>6.25E-2</v>
      </c>
      <c r="R19" s="24">
        <v>14.670833333333333</v>
      </c>
      <c r="S19" s="10">
        <v>0.38986425873090225</v>
      </c>
      <c r="T19" s="25">
        <v>0.33931250000000013</v>
      </c>
      <c r="U19" s="25">
        <v>0.47845833333333315</v>
      </c>
      <c r="V19" s="25">
        <v>0.54164583333333327</v>
      </c>
      <c r="W19" s="25">
        <v>0.57285416666666678</v>
      </c>
      <c r="X19" s="25">
        <v>0.53212500000000007</v>
      </c>
      <c r="Y19" s="25">
        <v>0.4261875</v>
      </c>
      <c r="Z19" s="25">
        <v>0.43520833333333325</v>
      </c>
      <c r="AA19" s="25">
        <v>0.38750000000000001</v>
      </c>
      <c r="AB19" s="25">
        <v>0.34340972222222227</v>
      </c>
      <c r="AC19" s="25">
        <v>0.15910416666666671</v>
      </c>
      <c r="AD19" s="25">
        <v>0.29816666666666669</v>
      </c>
      <c r="AE19" s="27">
        <f t="shared" si="0"/>
        <v>0.4357187500000001</v>
      </c>
      <c r="AF19" s="27">
        <f t="shared" si="1"/>
        <v>0.47364236111111113</v>
      </c>
      <c r="AG19" s="27">
        <f t="shared" si="2"/>
        <v>0.46674715909090919</v>
      </c>
    </row>
    <row r="20" spans="1:33" x14ac:dyDescent="0.25">
      <c r="A20" s="9">
        <v>43727</v>
      </c>
      <c r="B20" s="2">
        <v>2.1784576785682193</v>
      </c>
      <c r="C20" s="3">
        <v>27.523683562091286</v>
      </c>
      <c r="D20" s="3">
        <v>5.5786368209173345</v>
      </c>
      <c r="E20" s="3">
        <v>44.501622409071906</v>
      </c>
      <c r="F20" s="3">
        <v>76.245148565122875</v>
      </c>
      <c r="G20" s="3">
        <v>38.996534918107031</v>
      </c>
      <c r="H20" s="3">
        <v>75.507148279192236</v>
      </c>
      <c r="I20" s="3">
        <v>107.88446692154209</v>
      </c>
      <c r="J20" s="23">
        <v>43727</v>
      </c>
      <c r="K20" s="24">
        <v>57.5</v>
      </c>
      <c r="L20" s="24">
        <v>90.995833333333337</v>
      </c>
      <c r="M20" s="24">
        <v>18.152083333333344</v>
      </c>
      <c r="N20" s="24">
        <v>1.4</v>
      </c>
      <c r="O20" s="24">
        <v>119.0625</v>
      </c>
      <c r="P20" s="24">
        <v>1.875</v>
      </c>
      <c r="Q20" s="24">
        <v>2.0833333333333332E-2</v>
      </c>
      <c r="R20" s="24">
        <v>16.622916666666669</v>
      </c>
      <c r="S20" s="10">
        <v>0.1995172620719329</v>
      </c>
      <c r="T20" s="25">
        <v>0.32833333333333325</v>
      </c>
      <c r="U20" s="25">
        <v>0.4677291666666667</v>
      </c>
      <c r="V20" s="25">
        <v>0.53431250000000019</v>
      </c>
      <c r="W20" s="25">
        <v>0.56802083333333309</v>
      </c>
      <c r="X20" s="25">
        <v>0.52270833333333333</v>
      </c>
      <c r="Y20" s="25">
        <v>0.42052083333333329</v>
      </c>
      <c r="Z20" s="25">
        <v>0.43112499999999976</v>
      </c>
      <c r="AA20" s="25">
        <v>0.38439583333333305</v>
      </c>
      <c r="AB20" s="25">
        <v>0.33535416666666701</v>
      </c>
      <c r="AC20" s="25">
        <v>0.16098611111111105</v>
      </c>
      <c r="AD20" s="25">
        <v>0.29142361111111115</v>
      </c>
      <c r="AE20" s="27">
        <f t="shared" si="0"/>
        <v>0.42552083333333329</v>
      </c>
      <c r="AF20" s="27">
        <f t="shared" si="1"/>
        <v>0.46768402777777768</v>
      </c>
      <c r="AG20" s="27">
        <f t="shared" si="2"/>
        <v>0.46001799242424229</v>
      </c>
    </row>
    <row r="21" spans="1:33" x14ac:dyDescent="0.25">
      <c r="A21" s="9">
        <v>43728</v>
      </c>
      <c r="B21" s="2">
        <v>39.919641797003614</v>
      </c>
      <c r="C21" s="3">
        <v>47.964861413383311</v>
      </c>
      <c r="D21" s="3">
        <v>102.2269956389337</v>
      </c>
      <c r="E21" s="3">
        <v>174.51794303146031</v>
      </c>
      <c r="F21" s="3">
        <v>306.95241922178735</v>
      </c>
      <c r="G21" s="3">
        <v>59.477474916043619</v>
      </c>
      <c r="H21" s="3">
        <v>126.09550117085816</v>
      </c>
      <c r="I21" s="3">
        <v>121.34787925496128</v>
      </c>
      <c r="J21" s="23">
        <v>43728</v>
      </c>
      <c r="K21" s="24">
        <v>85.75</v>
      </c>
      <c r="L21" s="24">
        <v>80.874999999999986</v>
      </c>
      <c r="M21" s="24">
        <v>16.810416666666669</v>
      </c>
      <c r="N21" s="24">
        <v>0.2</v>
      </c>
      <c r="O21" s="24">
        <v>221.91666666666666</v>
      </c>
      <c r="P21" s="24">
        <v>5.645833333333333</v>
      </c>
      <c r="Q21" s="24">
        <v>0</v>
      </c>
      <c r="R21" s="24">
        <v>13.431249999999999</v>
      </c>
      <c r="S21" s="10">
        <v>0.37091707540141688</v>
      </c>
      <c r="T21" s="25">
        <v>0.3199583333333334</v>
      </c>
      <c r="U21" s="25">
        <v>0.45935416666666656</v>
      </c>
      <c r="V21" s="25">
        <v>0.52818749999999992</v>
      </c>
      <c r="W21" s="25">
        <v>0.56306249999999991</v>
      </c>
      <c r="X21" s="25">
        <v>0.51564583333333369</v>
      </c>
      <c r="Y21" s="25">
        <v>0.41556250000000006</v>
      </c>
      <c r="Z21" s="25">
        <v>0.42677083333333315</v>
      </c>
      <c r="AA21" s="25">
        <v>0.38014583333333324</v>
      </c>
      <c r="AB21" s="25">
        <v>0.32881944444444455</v>
      </c>
      <c r="AC21" s="25">
        <v>0.15718055555555552</v>
      </c>
      <c r="AD21" s="25">
        <v>0.28765972222222219</v>
      </c>
      <c r="AE21" s="27">
        <f t="shared" si="0"/>
        <v>0.41780208333333357</v>
      </c>
      <c r="AF21" s="27">
        <f t="shared" si="1"/>
        <v>0.46218055555555554</v>
      </c>
      <c r="AG21" s="27">
        <f t="shared" si="2"/>
        <v>0.4541117424242424</v>
      </c>
    </row>
    <row r="22" spans="1:33" x14ac:dyDescent="0.25">
      <c r="A22" s="9">
        <v>43729</v>
      </c>
      <c r="B22" s="2">
        <v>122.85438078261906</v>
      </c>
      <c r="C22" s="3">
        <v>242.0820084144936</v>
      </c>
      <c r="D22" s="3">
        <v>314.60788932808975</v>
      </c>
      <c r="E22" s="3">
        <v>421.00542348180977</v>
      </c>
      <c r="F22" s="3">
        <v>463.26285357682951</v>
      </c>
      <c r="G22" s="3">
        <v>172.28894282045817</v>
      </c>
      <c r="H22" s="3">
        <v>276.4953538745475</v>
      </c>
      <c r="I22" s="3">
        <v>161.19613700031096</v>
      </c>
      <c r="J22" s="23">
        <v>43729</v>
      </c>
      <c r="K22" s="24">
        <v>158.72916666666666</v>
      </c>
      <c r="L22" s="24">
        <v>63.56458333333331</v>
      </c>
      <c r="M22" s="24">
        <v>17.377083333333335</v>
      </c>
      <c r="N22" s="24">
        <v>0</v>
      </c>
      <c r="O22" s="24">
        <v>226.85416666666666</v>
      </c>
      <c r="P22" s="24">
        <v>5.958333333333333</v>
      </c>
      <c r="Q22" s="24">
        <v>6.25E-2</v>
      </c>
      <c r="R22" s="24">
        <v>10.141666666666667</v>
      </c>
      <c r="S22" s="10">
        <v>0.77102237544459762</v>
      </c>
      <c r="T22" s="25">
        <v>0.30506250000000007</v>
      </c>
      <c r="U22" s="25">
        <v>0.44341666666666674</v>
      </c>
      <c r="V22" s="25">
        <v>0.5152916666666667</v>
      </c>
      <c r="W22" s="25">
        <v>0.55452083333333324</v>
      </c>
      <c r="X22" s="25">
        <v>0.50022916666666661</v>
      </c>
      <c r="Y22" s="25">
        <v>0.40375000000000005</v>
      </c>
      <c r="Z22" s="25">
        <v>0.41677083333333331</v>
      </c>
      <c r="AA22" s="25">
        <v>0.37210416666666685</v>
      </c>
      <c r="AB22" s="25">
        <v>0.31510507246376812</v>
      </c>
      <c r="AC22" s="25">
        <v>0.14757638888888891</v>
      </c>
      <c r="AD22" s="25">
        <v>0.27804861111111118</v>
      </c>
      <c r="AE22" s="27">
        <f t="shared" si="0"/>
        <v>0.40264583333333337</v>
      </c>
      <c r="AF22" s="27">
        <f t="shared" si="1"/>
        <v>0.45097569444444452</v>
      </c>
      <c r="AG22" s="27">
        <f t="shared" si="2"/>
        <v>0.44218844696969706</v>
      </c>
    </row>
    <row r="23" spans="1:33" x14ac:dyDescent="0.25">
      <c r="A23" s="9">
        <v>43730</v>
      </c>
      <c r="B23" s="2">
        <v>123.11462801616887</v>
      </c>
      <c r="C23" s="3">
        <v>299.8707301316187</v>
      </c>
      <c r="D23" s="3">
        <v>315.27433550875509</v>
      </c>
      <c r="E23" s="3">
        <v>439.73358998602123</v>
      </c>
      <c r="F23" s="3">
        <v>225.86725278495049</v>
      </c>
      <c r="G23" s="3">
        <v>182.7344861584653</v>
      </c>
      <c r="H23" s="3">
        <v>194.2906439075031</v>
      </c>
      <c r="I23" s="3">
        <v>170.39837601385011</v>
      </c>
      <c r="J23" s="23">
        <v>43730</v>
      </c>
      <c r="K23" s="24">
        <v>176.29166666666666</v>
      </c>
      <c r="L23" s="24">
        <v>63.989583333333321</v>
      </c>
      <c r="M23" s="24">
        <v>17.012499999999992</v>
      </c>
      <c r="N23" s="24">
        <v>0</v>
      </c>
      <c r="O23" s="24">
        <v>184.58333333333334</v>
      </c>
      <c r="P23" s="24">
        <v>3.375</v>
      </c>
      <c r="Q23" s="24">
        <v>6.25E-2</v>
      </c>
      <c r="R23" s="24">
        <v>9.8687500000000021</v>
      </c>
      <c r="S23" s="10">
        <v>0.76926874498538378</v>
      </c>
      <c r="T23" s="25">
        <v>0.2913541666666668</v>
      </c>
      <c r="U23" s="25">
        <v>0.42650000000000016</v>
      </c>
      <c r="V23" s="25">
        <v>0.50162499999999988</v>
      </c>
      <c r="W23" s="25">
        <v>0.54337500000000005</v>
      </c>
      <c r="X23" s="25">
        <v>0.4852708333333336</v>
      </c>
      <c r="Y23" s="25">
        <v>0.3887916666666667</v>
      </c>
      <c r="Z23" s="25">
        <v>0.40362499999999985</v>
      </c>
      <c r="AA23" s="25">
        <v>0.36208333333333348</v>
      </c>
      <c r="AB23" s="25">
        <v>0.29963888888888884</v>
      </c>
      <c r="AC23" s="25">
        <v>0.13909027777777785</v>
      </c>
      <c r="AD23" s="25">
        <v>0.26709722222222226</v>
      </c>
      <c r="AE23" s="27">
        <f t="shared" si="0"/>
        <v>0.38831250000000017</v>
      </c>
      <c r="AF23" s="27">
        <f t="shared" si="1"/>
        <v>0.4376666666666667</v>
      </c>
      <c r="AG23" s="27">
        <f t="shared" si="2"/>
        <v>0.42869318181818183</v>
      </c>
    </row>
    <row r="24" spans="1:33" x14ac:dyDescent="0.25">
      <c r="A24" s="9">
        <v>43731</v>
      </c>
      <c r="B24" s="2">
        <v>129.21574631645242</v>
      </c>
      <c r="C24" s="3">
        <v>370.10392049772446</v>
      </c>
      <c r="D24" s="3">
        <v>330.89819799347612</v>
      </c>
      <c r="E24" s="3">
        <v>451.74658008967083</v>
      </c>
      <c r="F24" s="3">
        <v>247.81604519295962</v>
      </c>
      <c r="G24" s="3">
        <v>216.16551984329863</v>
      </c>
      <c r="H24" s="3">
        <v>183.84298052976436</v>
      </c>
      <c r="I24" s="3">
        <v>203.58479402639648</v>
      </c>
      <c r="J24" s="23">
        <v>43731</v>
      </c>
      <c r="K24" s="24">
        <v>234.79166666666666</v>
      </c>
      <c r="L24" s="24">
        <v>59.095833333333331</v>
      </c>
      <c r="M24" s="24">
        <v>17.879166666666663</v>
      </c>
      <c r="N24" s="24">
        <v>0</v>
      </c>
      <c r="O24" s="24">
        <v>135.39583333333334</v>
      </c>
      <c r="P24" s="24">
        <v>3.5</v>
      </c>
      <c r="Q24" s="24">
        <v>0.10416666666666667</v>
      </c>
      <c r="R24" s="24">
        <v>8.9187500000000011</v>
      </c>
      <c r="S24" s="10">
        <v>0.96526494631767956</v>
      </c>
      <c r="T24" s="25">
        <v>0.2812708333333333</v>
      </c>
      <c r="U24" s="25">
        <v>0.41024999999999984</v>
      </c>
      <c r="V24" s="25">
        <v>0.4899583333333335</v>
      </c>
      <c r="W24" s="25">
        <v>0.53179166666666655</v>
      </c>
      <c r="X24" s="25">
        <v>0.47316666666666696</v>
      </c>
      <c r="Y24" s="25">
        <v>0.37624999999999997</v>
      </c>
      <c r="Z24" s="25">
        <v>0.39170833333333355</v>
      </c>
      <c r="AA24" s="25">
        <v>0.35291666666666677</v>
      </c>
      <c r="AB24" s="25">
        <v>0.2803134920634921</v>
      </c>
      <c r="AC24" s="25">
        <v>0.13290277777777779</v>
      </c>
      <c r="AD24" s="25">
        <v>0.25847222222222216</v>
      </c>
      <c r="AE24" s="27">
        <f t="shared" si="0"/>
        <v>0.37721875000000016</v>
      </c>
      <c r="AF24" s="27">
        <f t="shared" si="1"/>
        <v>0.42547916666666669</v>
      </c>
      <c r="AG24" s="27">
        <f t="shared" si="2"/>
        <v>0.41670454545454549</v>
      </c>
    </row>
    <row r="25" spans="1:33" x14ac:dyDescent="0.25">
      <c r="A25" s="9">
        <v>43732</v>
      </c>
      <c r="B25" s="2">
        <v>110.76440919029405</v>
      </c>
      <c r="C25" s="3">
        <v>330.64254430670451</v>
      </c>
      <c r="D25" s="3">
        <v>283.64765477668129</v>
      </c>
      <c r="E25" s="3">
        <v>422.05308158874232</v>
      </c>
      <c r="F25" s="3">
        <v>200.83854275082552</v>
      </c>
      <c r="G25" s="3">
        <v>241.9870538635046</v>
      </c>
      <c r="H25" s="3">
        <v>154.68600203133852</v>
      </c>
      <c r="I25" s="3">
        <v>189.87013782781722</v>
      </c>
      <c r="J25" s="23">
        <v>43732</v>
      </c>
      <c r="K25" s="24">
        <v>215.625</v>
      </c>
      <c r="L25" s="24">
        <v>55.829166666666652</v>
      </c>
      <c r="M25" s="24">
        <v>17.902083333333337</v>
      </c>
      <c r="N25" s="24">
        <v>0</v>
      </c>
      <c r="O25" s="24">
        <v>149.45833333333334</v>
      </c>
      <c r="P25" s="24">
        <v>3.625</v>
      </c>
      <c r="Q25" s="24">
        <v>6.25E-2</v>
      </c>
      <c r="R25" s="24">
        <v>8.4729166666666682</v>
      </c>
      <c r="S25" s="10">
        <v>1.0088886127981549</v>
      </c>
      <c r="T25" s="25">
        <v>0.27243749999999994</v>
      </c>
      <c r="U25" s="25">
        <v>0.39362499999999989</v>
      </c>
      <c r="V25" s="25">
        <v>0.47820833333333296</v>
      </c>
      <c r="W25" s="25">
        <v>0.51895833333333352</v>
      </c>
      <c r="X25" s="25">
        <v>0.46189583333333312</v>
      </c>
      <c r="Y25" s="25">
        <v>0.36435416666666676</v>
      </c>
      <c r="Z25" s="25">
        <v>0.38066666666666671</v>
      </c>
      <c r="AA25" s="25">
        <v>0.34318749999999998</v>
      </c>
      <c r="AB25" s="25">
        <v>0.25768217054263565</v>
      </c>
      <c r="AC25" s="25">
        <v>0.12647222222222218</v>
      </c>
      <c r="AD25" s="25">
        <v>0.25015277777777772</v>
      </c>
      <c r="AE25" s="27">
        <f t="shared" si="0"/>
        <v>0.36716666666666653</v>
      </c>
      <c r="AF25" s="27">
        <f t="shared" si="1"/>
        <v>0.41316666666666668</v>
      </c>
      <c r="AG25" s="27">
        <f t="shared" si="2"/>
        <v>0.40480303030303033</v>
      </c>
    </row>
    <row r="26" spans="1:33" x14ac:dyDescent="0.25">
      <c r="A26" s="9">
        <v>43733</v>
      </c>
      <c r="B26" s="2">
        <v>48.372550472264585</v>
      </c>
      <c r="C26" s="3">
        <v>105.3630257634825</v>
      </c>
      <c r="D26" s="3">
        <v>123.87336868697716</v>
      </c>
      <c r="E26" s="3">
        <v>204.95296870285532</v>
      </c>
      <c r="F26" s="3">
        <v>153.79172314664635</v>
      </c>
      <c r="G26" s="3">
        <v>208.88202929273925</v>
      </c>
      <c r="H26" s="3">
        <v>100.59301573372758</v>
      </c>
      <c r="I26" s="3">
        <v>248.61086684250694</v>
      </c>
      <c r="J26" s="23">
        <v>43733</v>
      </c>
      <c r="K26" s="24">
        <v>99.125</v>
      </c>
      <c r="L26" s="24">
        <v>74.489583333333329</v>
      </c>
      <c r="M26" s="24">
        <v>16.41041666666667</v>
      </c>
      <c r="N26" s="24">
        <v>0.2</v>
      </c>
      <c r="O26" s="24">
        <v>209.70833333333334</v>
      </c>
      <c r="P26" s="24">
        <v>1.8541666666666667</v>
      </c>
      <c r="Q26" s="24">
        <v>0</v>
      </c>
      <c r="R26" s="24">
        <v>11.695833333333335</v>
      </c>
      <c r="S26" s="10">
        <v>0.50482454455497494</v>
      </c>
      <c r="T26" s="25">
        <v>0.26637500000000014</v>
      </c>
      <c r="U26" s="25">
        <v>0.37997916666666659</v>
      </c>
      <c r="V26" s="25">
        <v>0.46827083333333325</v>
      </c>
      <c r="W26" s="25">
        <v>0.50756250000000014</v>
      </c>
      <c r="X26" s="25">
        <v>0.45422916666666696</v>
      </c>
      <c r="Y26" s="25">
        <v>0.35608333333333325</v>
      </c>
      <c r="Z26" s="25">
        <v>0.37231249999999982</v>
      </c>
      <c r="AA26" s="25">
        <v>0.33522916666666686</v>
      </c>
      <c r="AB26" s="25">
        <v>0.23704347826086961</v>
      </c>
      <c r="AC26" s="25">
        <v>0.12169444444444444</v>
      </c>
      <c r="AD26" s="25">
        <v>0.24490277777777769</v>
      </c>
      <c r="AE26" s="27">
        <f t="shared" si="0"/>
        <v>0.36030208333333358</v>
      </c>
      <c r="AF26" s="27">
        <f t="shared" si="1"/>
        <v>0.40323958333333326</v>
      </c>
      <c r="AG26" s="27">
        <f t="shared" si="2"/>
        <v>0.3954327651515151</v>
      </c>
    </row>
    <row r="27" spans="1:33" x14ac:dyDescent="0.25">
      <c r="A27" s="9">
        <v>43734</v>
      </c>
      <c r="B27" s="2">
        <v>76.461435405917229</v>
      </c>
      <c r="C27" s="3">
        <v>219.11465642713773</v>
      </c>
      <c r="D27" s="3">
        <v>195.80393189735526</v>
      </c>
      <c r="E27" s="3">
        <v>311.33484673655863</v>
      </c>
      <c r="F27" s="3">
        <v>270.64989681735727</v>
      </c>
      <c r="G27" s="3">
        <v>250.08237536703703</v>
      </c>
      <c r="H27" s="3">
        <v>187.12407463412495</v>
      </c>
      <c r="I27" s="3">
        <v>289.4738482291217</v>
      </c>
      <c r="J27" s="23">
        <v>43734</v>
      </c>
      <c r="K27" s="24">
        <v>146.35416666666666</v>
      </c>
      <c r="L27" s="24">
        <v>75.202083333333334</v>
      </c>
      <c r="M27" s="24">
        <v>17.518749999999994</v>
      </c>
      <c r="N27" s="24">
        <v>0.2</v>
      </c>
      <c r="O27" s="24">
        <v>215.75</v>
      </c>
      <c r="P27" s="24">
        <v>3</v>
      </c>
      <c r="Q27" s="24">
        <v>0.10416666666666667</v>
      </c>
      <c r="R27" s="24">
        <v>12.70833333333333</v>
      </c>
      <c r="S27" s="10">
        <v>0.57264237716381439</v>
      </c>
      <c r="T27" s="25">
        <v>0.26210416666666642</v>
      </c>
      <c r="U27" s="25">
        <v>0.36897916666666658</v>
      </c>
      <c r="V27" s="25">
        <v>0.46020833333333355</v>
      </c>
      <c r="W27" s="25">
        <v>0.49799999999999994</v>
      </c>
      <c r="X27" s="25">
        <v>0.44933333333333336</v>
      </c>
      <c r="Y27" s="25">
        <v>0.35052083333333345</v>
      </c>
      <c r="Z27" s="25">
        <v>0.36689583333333342</v>
      </c>
      <c r="AA27" s="25">
        <v>0.32947916666666682</v>
      </c>
      <c r="AB27" s="25">
        <v>0.22374074074074071</v>
      </c>
      <c r="AC27" s="25">
        <v>0.11978472222222229</v>
      </c>
      <c r="AD27" s="25">
        <v>0.24318055555555559</v>
      </c>
      <c r="AE27" s="27">
        <f t="shared" si="0"/>
        <v>0.35571874999999986</v>
      </c>
      <c r="AF27" s="27">
        <f t="shared" si="1"/>
        <v>0.39568055555555559</v>
      </c>
      <c r="AG27" s="27">
        <f t="shared" si="2"/>
        <v>0.38841477272727276</v>
      </c>
    </row>
    <row r="28" spans="1:33" x14ac:dyDescent="0.25">
      <c r="A28" s="9">
        <v>43735</v>
      </c>
      <c r="B28" s="2">
        <v>86.447930488502237</v>
      </c>
      <c r="C28" s="3">
        <v>279.66760201977849</v>
      </c>
      <c r="D28" s="3">
        <v>221.37754286428228</v>
      </c>
      <c r="E28" s="3">
        <v>412.92257800561498</v>
      </c>
      <c r="F28" s="3">
        <v>331.27302053209797</v>
      </c>
      <c r="G28" s="3">
        <v>313.26592657850694</v>
      </c>
      <c r="H28" s="3">
        <v>272.35274129648491</v>
      </c>
      <c r="I28" s="3">
        <v>244.73789150460368</v>
      </c>
      <c r="J28" s="23">
        <v>43735</v>
      </c>
      <c r="K28" s="24">
        <v>189.4375</v>
      </c>
      <c r="L28" s="24">
        <v>70.277083333333337</v>
      </c>
      <c r="M28" s="24">
        <v>18.497916666666661</v>
      </c>
      <c r="N28" s="24">
        <v>0</v>
      </c>
      <c r="O28" s="24">
        <v>154.9375</v>
      </c>
      <c r="P28" s="24">
        <v>2.8333333333333335</v>
      </c>
      <c r="Q28" s="24">
        <v>4.1666666666666664E-2</v>
      </c>
      <c r="R28" s="24">
        <v>12.406250000000002</v>
      </c>
      <c r="S28" s="10">
        <v>0.7514161818546925</v>
      </c>
      <c r="T28" s="25">
        <v>0.25879166666666636</v>
      </c>
      <c r="U28" s="25">
        <v>0.36010416666666661</v>
      </c>
      <c r="V28" s="25">
        <v>0.45318749999999991</v>
      </c>
      <c r="W28" s="25">
        <v>0.48779166666666701</v>
      </c>
      <c r="X28" s="25">
        <v>0.44477083333333362</v>
      </c>
      <c r="Y28" s="25">
        <v>0.34527083333333336</v>
      </c>
      <c r="Z28" s="25">
        <v>0.36102083333333335</v>
      </c>
      <c r="AA28" s="25">
        <v>0.32335416666666672</v>
      </c>
      <c r="AB28" s="25">
        <v>0.21190873015873007</v>
      </c>
      <c r="AC28" s="25">
        <v>0.11728472222222219</v>
      </c>
      <c r="AD28" s="25">
        <v>0.24097916666666683</v>
      </c>
      <c r="AE28" s="27">
        <f t="shared" si="0"/>
        <v>0.35178124999999999</v>
      </c>
      <c r="AF28" s="27">
        <f t="shared" si="1"/>
        <v>0.38845486111111122</v>
      </c>
      <c r="AG28" s="27">
        <f t="shared" si="2"/>
        <v>0.38178693181818191</v>
      </c>
    </row>
    <row r="29" spans="1:33" x14ac:dyDescent="0.25">
      <c r="A29" s="9">
        <v>43736</v>
      </c>
      <c r="B29" s="2">
        <v>97.177620930585832</v>
      </c>
      <c r="C29" s="3">
        <v>376.34894397216738</v>
      </c>
      <c r="D29" s="3">
        <v>248.85434297205077</v>
      </c>
      <c r="E29" s="3">
        <v>486.09305946267983</v>
      </c>
      <c r="F29" s="3">
        <v>363.10057104686075</v>
      </c>
      <c r="G29" s="3">
        <v>334.58074710157621</v>
      </c>
      <c r="H29" s="3">
        <v>323.51593698708393</v>
      </c>
      <c r="I29" s="3">
        <v>298.70697951547021</v>
      </c>
      <c r="J29" s="23">
        <v>43736</v>
      </c>
      <c r="K29" s="24">
        <v>237.97916666666666</v>
      </c>
      <c r="L29" s="24">
        <v>62.831250000000011</v>
      </c>
      <c r="M29" s="24">
        <v>19.14791666666666</v>
      </c>
      <c r="N29" s="24">
        <v>0</v>
      </c>
      <c r="O29" s="24">
        <v>127.29166666666667</v>
      </c>
      <c r="P29" s="24">
        <v>4.166666666666667</v>
      </c>
      <c r="Q29" s="24">
        <v>0.16666666666666666</v>
      </c>
      <c r="R29" s="24">
        <v>11.035416666666665</v>
      </c>
      <c r="S29" s="10">
        <v>1.0047445943660289</v>
      </c>
      <c r="T29" s="25">
        <v>0.25504166666666656</v>
      </c>
      <c r="U29" s="25">
        <v>0.35235416666666669</v>
      </c>
      <c r="V29" s="25">
        <v>0.44533333333333319</v>
      </c>
      <c r="W29" s="25">
        <v>0.47745833333333326</v>
      </c>
      <c r="X29" s="25">
        <v>0.4389375000000002</v>
      </c>
      <c r="Y29" s="25">
        <v>0.33977083333333319</v>
      </c>
      <c r="Z29" s="25">
        <v>0.35447916666666668</v>
      </c>
      <c r="AA29" s="25">
        <v>0.31691666666666674</v>
      </c>
      <c r="AB29" s="25">
        <v>0.20055434782608689</v>
      </c>
      <c r="AC29" s="25">
        <v>0.11454166666666672</v>
      </c>
      <c r="AD29" s="25">
        <v>0.23824305555555556</v>
      </c>
      <c r="AE29" s="27">
        <f t="shared" si="0"/>
        <v>0.34698958333333341</v>
      </c>
      <c r="AF29" s="27">
        <f t="shared" si="1"/>
        <v>0.38105208333333329</v>
      </c>
      <c r="AG29" s="27">
        <f t="shared" si="2"/>
        <v>0.37485890151515144</v>
      </c>
    </row>
    <row r="30" spans="1:33" x14ac:dyDescent="0.25">
      <c r="A30" s="9">
        <v>43737</v>
      </c>
      <c r="B30" s="2">
        <v>94.385197971909776</v>
      </c>
      <c r="C30" s="3">
        <v>395.67709278440969</v>
      </c>
      <c r="D30" s="3">
        <v>241.7034519127011</v>
      </c>
      <c r="E30" s="3">
        <v>459.64482058362881</v>
      </c>
      <c r="F30" s="3">
        <v>329.40098061757413</v>
      </c>
      <c r="G30" s="3">
        <v>281.8688208453965</v>
      </c>
      <c r="H30" s="3">
        <v>267.71089971132898</v>
      </c>
      <c r="I30" s="3">
        <v>270.57007460082315</v>
      </c>
      <c r="J30" s="23">
        <v>43737</v>
      </c>
      <c r="K30" s="24">
        <v>242.375</v>
      </c>
      <c r="L30" s="24">
        <v>60.160416666666656</v>
      </c>
      <c r="M30" s="24">
        <v>19.920833333333331</v>
      </c>
      <c r="N30" s="24">
        <v>0</v>
      </c>
      <c r="O30" s="24">
        <v>149.85416666666666</v>
      </c>
      <c r="P30" s="24">
        <v>4.6875</v>
      </c>
      <c r="Q30" s="24">
        <v>0.33333333333333331</v>
      </c>
      <c r="R30" s="24">
        <v>11.212500000000004</v>
      </c>
      <c r="S30" s="10">
        <v>1.0988046699013785</v>
      </c>
      <c r="T30" s="25">
        <v>0.25162499999999988</v>
      </c>
      <c r="U30" s="25">
        <v>0.34520833333333334</v>
      </c>
      <c r="V30" s="25">
        <v>0.43697916666666686</v>
      </c>
      <c r="W30" s="25">
        <v>0.46599999999999991</v>
      </c>
      <c r="X30" s="25">
        <v>0.43381249999999971</v>
      </c>
      <c r="Y30" s="25">
        <v>0.33433333333333359</v>
      </c>
      <c r="Z30" s="25">
        <v>0.34756250000000005</v>
      </c>
      <c r="AA30" s="25">
        <v>0.3101875</v>
      </c>
      <c r="AB30" s="25">
        <v>0.19010370370370372</v>
      </c>
      <c r="AC30" s="25">
        <v>0.11177083333333339</v>
      </c>
      <c r="AD30" s="25">
        <v>0.235048611111111</v>
      </c>
      <c r="AE30" s="27">
        <f t="shared" si="0"/>
        <v>0.34271874999999979</v>
      </c>
      <c r="AF30" s="27">
        <f t="shared" si="1"/>
        <v>0.37337847222222226</v>
      </c>
      <c r="AG30" s="27">
        <f t="shared" si="2"/>
        <v>0.36780397727272729</v>
      </c>
    </row>
    <row r="31" spans="1:33" x14ac:dyDescent="0.25">
      <c r="A31" s="9">
        <v>43738</v>
      </c>
      <c r="B31" s="2">
        <v>96.318083409127738</v>
      </c>
      <c r="C31" s="3">
        <v>308.82249080222533</v>
      </c>
      <c r="D31" s="3">
        <v>246.65322255858575</v>
      </c>
      <c r="E31" s="3">
        <v>432.66223447051703</v>
      </c>
      <c r="F31" s="3">
        <v>282.27203397865247</v>
      </c>
      <c r="G31" s="3">
        <v>211.95163398299439</v>
      </c>
      <c r="H31" s="3">
        <v>162.21638693098615</v>
      </c>
      <c r="I31" s="3">
        <v>165.37448299613479</v>
      </c>
      <c r="J31" s="23">
        <v>43738</v>
      </c>
      <c r="K31" s="24">
        <v>184.72916666666666</v>
      </c>
      <c r="L31" s="24">
        <v>61.862499999999983</v>
      </c>
      <c r="M31" s="24">
        <v>20.799999999999994</v>
      </c>
      <c r="N31" s="24">
        <v>0</v>
      </c>
      <c r="O31" s="24">
        <v>133.20833333333334</v>
      </c>
      <c r="P31" s="24">
        <v>7.041666666666667</v>
      </c>
      <c r="Q31" s="24">
        <v>0.5625</v>
      </c>
      <c r="R31" s="24">
        <v>12.94791666666667</v>
      </c>
      <c r="S31" s="10">
        <v>1.0107989586155188</v>
      </c>
      <c r="T31" s="25">
        <v>0.24877083333333314</v>
      </c>
      <c r="U31" s="25">
        <v>0.33920833333333333</v>
      </c>
      <c r="V31" s="25">
        <v>0.43056250000000013</v>
      </c>
      <c r="W31" s="25">
        <v>0.45483333333333337</v>
      </c>
      <c r="X31" s="25">
        <v>0.43018749999999978</v>
      </c>
      <c r="Y31" s="25">
        <v>0.3305416666666669</v>
      </c>
      <c r="Z31" s="25">
        <v>0.34170833333333328</v>
      </c>
      <c r="AA31" s="25">
        <v>0.30370833333333336</v>
      </c>
      <c r="AB31" s="25">
        <v>0.18259782608695649</v>
      </c>
      <c r="AC31" s="25">
        <v>0.10891666666666661</v>
      </c>
      <c r="AD31" s="25">
        <v>0.23222222222222219</v>
      </c>
      <c r="AE31" s="27">
        <f t="shared" si="0"/>
        <v>0.33947916666666644</v>
      </c>
      <c r="AF31" s="27">
        <f t="shared" si="1"/>
        <v>0.36676041666666676</v>
      </c>
      <c r="AG31" s="27">
        <f t="shared" si="2"/>
        <v>0.36180018939393943</v>
      </c>
    </row>
    <row r="32" spans="1:33" x14ac:dyDescent="0.25">
      <c r="A32" s="9">
        <v>43739</v>
      </c>
      <c r="B32" s="2">
        <v>95.699705786850672</v>
      </c>
      <c r="C32" s="3">
        <v>268.9513127887426</v>
      </c>
      <c r="D32" s="3">
        <v>245.06966910845242</v>
      </c>
      <c r="E32" s="3">
        <v>396.13222577293971</v>
      </c>
      <c r="F32" s="3">
        <v>282.67373245099168</v>
      </c>
      <c r="G32" s="3">
        <v>210.21229714609871</v>
      </c>
      <c r="H32" s="3">
        <v>158.8229213169746</v>
      </c>
      <c r="I32" s="3">
        <v>138.39198851743296</v>
      </c>
      <c r="J32" s="23">
        <v>43739</v>
      </c>
      <c r="K32" s="24">
        <v>187.29166666666666</v>
      </c>
      <c r="L32" s="24">
        <v>63.193750000000001</v>
      </c>
      <c r="M32" s="24">
        <v>21.889583333333334</v>
      </c>
      <c r="N32" s="24">
        <v>0</v>
      </c>
      <c r="O32" s="24">
        <v>139.70833333333334</v>
      </c>
      <c r="P32" s="24">
        <v>11.395833333333334</v>
      </c>
      <c r="Q32" s="24">
        <v>1.9166666666666667</v>
      </c>
      <c r="R32" s="24">
        <v>14.460416666666662</v>
      </c>
      <c r="S32" s="10">
        <v>1.0059413324838318</v>
      </c>
      <c r="T32" s="25">
        <v>0.24647916666666689</v>
      </c>
      <c r="U32" s="25">
        <v>0.33320833333333327</v>
      </c>
      <c r="V32" s="25">
        <v>0.42516666666666625</v>
      </c>
      <c r="W32" s="25">
        <v>0.44439583333333349</v>
      </c>
      <c r="X32" s="25">
        <v>0.42720833333333325</v>
      </c>
      <c r="Y32" s="25">
        <v>0.3277500000000001</v>
      </c>
      <c r="Z32" s="25">
        <v>0.33660416666666687</v>
      </c>
      <c r="AA32" s="25">
        <v>0.29862499999999997</v>
      </c>
      <c r="AB32" s="25">
        <v>0.17684420289855063</v>
      </c>
      <c r="AC32" s="25">
        <v>0.10688194444444447</v>
      </c>
      <c r="AD32" s="25">
        <v>0.23017361111111112</v>
      </c>
      <c r="AE32" s="27">
        <f t="shared" si="0"/>
        <v>0.33684375000000005</v>
      </c>
      <c r="AF32" s="27">
        <f t="shared" si="1"/>
        <v>0.36095833333333333</v>
      </c>
      <c r="AG32" s="27">
        <f t="shared" si="2"/>
        <v>0.35657386363636362</v>
      </c>
    </row>
    <row r="33" spans="1:33" x14ac:dyDescent="0.25">
      <c r="A33" s="9">
        <v>43740</v>
      </c>
      <c r="B33" s="2">
        <v>50.096425156098462</v>
      </c>
      <c r="C33" s="3">
        <v>209.49368286961203</v>
      </c>
      <c r="D33" s="3">
        <v>128.28790052778095</v>
      </c>
      <c r="E33" s="3">
        <v>263.75889112243669</v>
      </c>
      <c r="F33" s="3">
        <v>178.38261400911861</v>
      </c>
      <c r="G33" s="3">
        <v>187.92790025741817</v>
      </c>
      <c r="H33" s="3">
        <v>160.95207523497788</v>
      </c>
      <c r="I33" s="3">
        <v>120.72196497856042</v>
      </c>
      <c r="J33" s="23">
        <v>43740</v>
      </c>
      <c r="K33" s="24">
        <v>172.60416666666666</v>
      </c>
      <c r="L33" s="24">
        <v>73.185416666666654</v>
      </c>
      <c r="M33" s="24">
        <v>21.708333333333332</v>
      </c>
      <c r="N33" s="24">
        <v>4.2</v>
      </c>
      <c r="O33" s="24">
        <v>131.625</v>
      </c>
      <c r="P33" s="24">
        <v>8.6666666666666661</v>
      </c>
      <c r="Q33" s="24">
        <v>1.2291666666666667</v>
      </c>
      <c r="R33" s="24">
        <v>16.418750000000003</v>
      </c>
      <c r="S33" s="10">
        <v>0.77859383471472887</v>
      </c>
      <c r="T33" s="25">
        <v>0.24499999999999977</v>
      </c>
      <c r="U33" s="25">
        <v>0.32895833333333319</v>
      </c>
      <c r="V33" s="25">
        <v>0.42164583333333355</v>
      </c>
      <c r="W33" s="25">
        <v>0.43660416666666674</v>
      </c>
      <c r="X33" s="25">
        <v>0.4265416666666666</v>
      </c>
      <c r="Y33" s="25">
        <v>0.32914583333333325</v>
      </c>
      <c r="Z33" s="25">
        <v>0.33331250000000007</v>
      </c>
      <c r="AA33" s="25">
        <v>0.29481249999999992</v>
      </c>
      <c r="AB33" s="25">
        <v>0.17777777777777773</v>
      </c>
      <c r="AC33" s="25">
        <v>0.11659027777777776</v>
      </c>
      <c r="AD33" s="25">
        <v>0.23370138888888881</v>
      </c>
      <c r="AE33" s="27">
        <f t="shared" si="0"/>
        <v>0.33577083333333319</v>
      </c>
      <c r="AF33" s="27">
        <f t="shared" si="1"/>
        <v>0.35741319444444447</v>
      </c>
      <c r="AG33" s="27">
        <f t="shared" si="2"/>
        <v>0.35347821969696969</v>
      </c>
    </row>
    <row r="34" spans="1:33" x14ac:dyDescent="0.25">
      <c r="A34" s="9">
        <v>43741</v>
      </c>
      <c r="B34" s="2">
        <v>50.380990319651829</v>
      </c>
      <c r="C34" s="3">
        <v>175.06433240375591</v>
      </c>
      <c r="D34" s="3">
        <v>129.01662053688048</v>
      </c>
      <c r="E34" s="3">
        <v>202.37371958839438</v>
      </c>
      <c r="F34" s="3">
        <v>165.73099699950751</v>
      </c>
      <c r="G34" s="3">
        <v>178.06901438330954</v>
      </c>
      <c r="H34" s="3">
        <v>165.12227363112177</v>
      </c>
      <c r="I34" s="3">
        <v>151.48180047870071</v>
      </c>
      <c r="J34" s="23">
        <v>43741</v>
      </c>
      <c r="K34" s="24">
        <v>136.45833333333334</v>
      </c>
      <c r="L34" s="24">
        <v>79.19374999999998</v>
      </c>
      <c r="M34" s="24">
        <v>21.474999999999998</v>
      </c>
      <c r="N34" s="24">
        <v>0.5</v>
      </c>
      <c r="O34" s="24">
        <v>120.77083333333333</v>
      </c>
      <c r="P34" s="24">
        <v>13.916666666666666</v>
      </c>
      <c r="Q34" s="24">
        <v>3.5208333333333335</v>
      </c>
      <c r="R34" s="24">
        <v>17.612500000000001</v>
      </c>
      <c r="S34" s="10">
        <v>0.56484445487089141</v>
      </c>
      <c r="T34" s="25">
        <v>0.24395833333333319</v>
      </c>
      <c r="U34" s="25">
        <v>0.32545833333333313</v>
      </c>
      <c r="V34" s="25">
        <v>0.41970833333333341</v>
      </c>
      <c r="W34" s="25">
        <v>0.43066666666666675</v>
      </c>
      <c r="X34" s="25">
        <v>0.42637499999999995</v>
      </c>
      <c r="Y34" s="25">
        <v>0.32714583333333352</v>
      </c>
      <c r="Z34" s="25">
        <v>0.330166666666667</v>
      </c>
      <c r="AA34" s="25">
        <v>0.29183333333333317</v>
      </c>
      <c r="AB34" s="25">
        <v>0.17453260869565215</v>
      </c>
      <c r="AC34" s="25">
        <v>0.11163194444444448</v>
      </c>
      <c r="AD34" s="25">
        <v>0.23290277777777782</v>
      </c>
      <c r="AE34" s="27">
        <f t="shared" si="0"/>
        <v>0.33516666666666656</v>
      </c>
      <c r="AF34" s="27">
        <f t="shared" si="1"/>
        <v>0.3541631944444445</v>
      </c>
      <c r="AG34" s="27">
        <f t="shared" si="2"/>
        <v>0.35070928030303028</v>
      </c>
    </row>
    <row r="35" spans="1:33" x14ac:dyDescent="0.25">
      <c r="A35" s="9">
        <v>43742</v>
      </c>
      <c r="B35" s="2">
        <v>18.581321124048184</v>
      </c>
      <c r="C35" s="3">
        <v>165.0415647371336</v>
      </c>
      <c r="D35" s="3">
        <v>47.583408768369225</v>
      </c>
      <c r="E35" s="3">
        <v>159.50754100747216</v>
      </c>
      <c r="F35" s="3">
        <v>170.64195671378528</v>
      </c>
      <c r="G35" s="3">
        <v>198.21516360840198</v>
      </c>
      <c r="H35" s="3">
        <v>187.63591541247868</v>
      </c>
      <c r="I35" s="3">
        <v>180.2810670342603</v>
      </c>
      <c r="J35" s="23">
        <v>43742</v>
      </c>
      <c r="K35" s="24">
        <v>155.625</v>
      </c>
      <c r="L35" s="24">
        <v>78.966666666666669</v>
      </c>
      <c r="M35" s="24">
        <v>21.206249999999997</v>
      </c>
      <c r="N35" s="24">
        <v>1.7</v>
      </c>
      <c r="O35" s="24">
        <v>129.08333333333334</v>
      </c>
      <c r="P35" s="24">
        <v>9.9791666666666661</v>
      </c>
      <c r="Q35" s="24">
        <v>2.0416666666666665</v>
      </c>
      <c r="R35" s="24">
        <v>17.268750000000001</v>
      </c>
      <c r="S35" s="10">
        <v>0.57311159791718536</v>
      </c>
      <c r="T35" s="25">
        <v>0.24308333333333346</v>
      </c>
      <c r="U35" s="25">
        <v>0.3232291666666664</v>
      </c>
      <c r="V35" s="25">
        <v>0.41812499999999991</v>
      </c>
      <c r="W35" s="25">
        <v>0.42583333333333301</v>
      </c>
      <c r="X35" s="25">
        <v>0.42570833333333319</v>
      </c>
      <c r="Y35" s="25">
        <v>0.32562499999999966</v>
      </c>
      <c r="Z35" s="25">
        <v>0.32760416666666681</v>
      </c>
      <c r="AA35" s="25">
        <v>0.28931250000000003</v>
      </c>
      <c r="AB35" s="25">
        <v>0.17269629629629629</v>
      </c>
      <c r="AC35" s="25">
        <v>0.10975694444444445</v>
      </c>
      <c r="AD35" s="25">
        <v>0.23223611111111106</v>
      </c>
      <c r="AE35" s="27">
        <f t="shared" si="0"/>
        <v>0.33439583333333334</v>
      </c>
      <c r="AF35" s="27">
        <f t="shared" si="1"/>
        <v>0.35162152777777761</v>
      </c>
      <c r="AG35" s="27">
        <f t="shared" si="2"/>
        <v>0.34848958333333324</v>
      </c>
    </row>
    <row r="36" spans="1:33" x14ac:dyDescent="0.25">
      <c r="A36" s="9">
        <v>43743</v>
      </c>
      <c r="B36" s="2">
        <v>34.584416740885764</v>
      </c>
      <c r="C36" s="3">
        <v>121.80766411288234</v>
      </c>
      <c r="D36" s="3">
        <v>88.564447479861116</v>
      </c>
      <c r="E36" s="3">
        <v>97.890921867010903</v>
      </c>
      <c r="F36" s="3">
        <v>146.63296273576307</v>
      </c>
      <c r="G36" s="3">
        <v>193.26062726957053</v>
      </c>
      <c r="H36" s="3">
        <v>160.641430901223</v>
      </c>
      <c r="I36" s="3">
        <v>195.28588778395778</v>
      </c>
      <c r="J36" s="23">
        <v>43743</v>
      </c>
      <c r="K36" s="24">
        <v>113.70833333333333</v>
      </c>
      <c r="L36" s="24">
        <v>84.887500000000017</v>
      </c>
      <c r="M36" s="24">
        <v>19.425000000000001</v>
      </c>
      <c r="N36" s="24">
        <v>39.100000000000016</v>
      </c>
      <c r="O36" s="24">
        <v>139.875</v>
      </c>
      <c r="P36" s="24">
        <v>3.8958333333333335</v>
      </c>
      <c r="Q36" s="24">
        <v>0.375</v>
      </c>
      <c r="R36" s="24">
        <v>16.681250000000002</v>
      </c>
      <c r="S36" s="10">
        <v>0.38017897771856551</v>
      </c>
      <c r="T36" s="25">
        <v>0.35985416666666675</v>
      </c>
      <c r="U36" s="25">
        <v>0.34185416666666663</v>
      </c>
      <c r="V36" s="25">
        <v>0.42264583333333311</v>
      </c>
      <c r="W36" s="25">
        <v>0.42739583333333342</v>
      </c>
      <c r="X36" s="25">
        <v>0.4695625000000001</v>
      </c>
      <c r="Y36" s="25">
        <v>0.40879166666666672</v>
      </c>
      <c r="Z36" s="25">
        <v>0.33585416666666673</v>
      </c>
      <c r="AA36" s="25">
        <v>0.28872916666666654</v>
      </c>
      <c r="AB36" s="25">
        <v>0.33419858156028365</v>
      </c>
      <c r="AC36" s="25">
        <v>0.23367361111111115</v>
      </c>
      <c r="AD36" s="25">
        <v>0.42076388888888877</v>
      </c>
      <c r="AE36" s="27">
        <f t="shared" si="0"/>
        <v>0.41470833333333346</v>
      </c>
      <c r="AF36" s="27">
        <f t="shared" si="1"/>
        <v>0.3708784722222222</v>
      </c>
      <c r="AG36" s="27">
        <f t="shared" si="2"/>
        <v>0.37884753787878789</v>
      </c>
    </row>
    <row r="37" spans="1:33" x14ac:dyDescent="0.25">
      <c r="A37" s="9">
        <v>43744</v>
      </c>
      <c r="B37" s="2">
        <v>115.54599291589601</v>
      </c>
      <c r="C37" s="3">
        <v>320.24839693518544</v>
      </c>
      <c r="D37" s="3">
        <v>295.89242744147504</v>
      </c>
      <c r="E37" s="3">
        <v>296.4617748717618</v>
      </c>
      <c r="F37" s="3">
        <v>359.44224492077694</v>
      </c>
      <c r="G37" s="3">
        <v>587.49103411017074</v>
      </c>
      <c r="H37" s="3">
        <v>253.564277430766</v>
      </c>
      <c r="I37" s="3">
        <v>420.10939472128064</v>
      </c>
      <c r="J37" s="23">
        <v>43744</v>
      </c>
      <c r="K37" s="24">
        <v>199.47916666666666</v>
      </c>
      <c r="L37" s="24">
        <v>75.691666666666663</v>
      </c>
      <c r="M37" s="24">
        <v>21.327083333333331</v>
      </c>
      <c r="N37" s="24">
        <v>0</v>
      </c>
      <c r="O37" s="24">
        <v>143.54166666666666</v>
      </c>
      <c r="P37" s="24">
        <v>10.1875</v>
      </c>
      <c r="Q37" s="24">
        <v>1.3541666666666667</v>
      </c>
      <c r="R37" s="24">
        <v>16.572916666666675</v>
      </c>
      <c r="S37" s="10">
        <v>0.68912256674568229</v>
      </c>
      <c r="T37" s="25">
        <v>0.34085416666666668</v>
      </c>
      <c r="U37" s="25">
        <v>0.34629166666666672</v>
      </c>
      <c r="V37" s="25">
        <v>0.42868750000000005</v>
      </c>
      <c r="W37" s="25">
        <v>0.43179166666666657</v>
      </c>
      <c r="X37" s="25">
        <v>0.47931250000000031</v>
      </c>
      <c r="Y37" s="25">
        <v>0.40239583333333312</v>
      </c>
      <c r="Z37" s="25">
        <v>0.34331250000000008</v>
      </c>
      <c r="AA37" s="25">
        <v>0.28933333333333305</v>
      </c>
      <c r="AB37" s="25">
        <v>0.3655193798449613</v>
      </c>
      <c r="AC37" s="25">
        <v>0.21178472222222225</v>
      </c>
      <c r="AD37" s="25">
        <v>0.40127777777777779</v>
      </c>
      <c r="AE37" s="27">
        <f t="shared" si="0"/>
        <v>0.41008333333333347</v>
      </c>
      <c r="AF37" s="27">
        <f t="shared" si="1"/>
        <v>0.37363541666666661</v>
      </c>
      <c r="AG37" s="27">
        <f t="shared" si="2"/>
        <v>0.38026231060606058</v>
      </c>
    </row>
    <row r="38" spans="1:33" x14ac:dyDescent="0.25">
      <c r="A38" s="9">
        <v>43745</v>
      </c>
      <c r="B38" s="2">
        <v>89.624730632590698</v>
      </c>
      <c r="C38" s="3">
        <v>377.04416797781971</v>
      </c>
      <c r="D38" s="3">
        <v>229.51275450087246</v>
      </c>
      <c r="E38" s="3">
        <v>424.51104472506455</v>
      </c>
      <c r="F38" s="3">
        <v>611.82137934127707</v>
      </c>
      <c r="G38" s="3">
        <v>444.09559796568476</v>
      </c>
      <c r="H38" s="3">
        <v>237.64819853389102</v>
      </c>
      <c r="I38" s="3">
        <v>500.37894083479426</v>
      </c>
      <c r="J38" s="23">
        <v>43745</v>
      </c>
      <c r="K38" s="24">
        <v>232.0625</v>
      </c>
      <c r="L38" s="24">
        <v>67.52291666666666</v>
      </c>
      <c r="M38" s="24">
        <v>21.656250000000004</v>
      </c>
      <c r="N38" s="24">
        <v>0</v>
      </c>
      <c r="O38" s="24">
        <v>139.20833333333334</v>
      </c>
      <c r="P38" s="24">
        <v>8.125</v>
      </c>
      <c r="Q38" s="24">
        <v>0.9375</v>
      </c>
      <c r="R38" s="24">
        <v>14.931249999999999</v>
      </c>
      <c r="S38" s="10">
        <v>0.9350068007456761</v>
      </c>
      <c r="T38" s="25">
        <v>0.31377083333333339</v>
      </c>
      <c r="U38" s="25">
        <v>0.34327083333333358</v>
      </c>
      <c r="V38" s="25">
        <v>0.43056249999999996</v>
      </c>
      <c r="W38" s="25">
        <v>0.43308333333333321</v>
      </c>
      <c r="X38" s="25">
        <v>0.47416666666666663</v>
      </c>
      <c r="Y38" s="25">
        <v>0.38147916666666665</v>
      </c>
      <c r="Z38" s="25">
        <v>0.34204166666666658</v>
      </c>
      <c r="AA38" s="25">
        <v>0.28981249999999975</v>
      </c>
      <c r="AB38" s="25">
        <v>0.34971621621621629</v>
      </c>
      <c r="AC38" s="25">
        <v>0.19380555555555559</v>
      </c>
      <c r="AD38" s="25">
        <v>0.3630902777777778</v>
      </c>
      <c r="AE38" s="27">
        <f t="shared" si="0"/>
        <v>0.39396874999999998</v>
      </c>
      <c r="AF38" s="27">
        <f t="shared" si="1"/>
        <v>0.3700416666666666</v>
      </c>
      <c r="AG38" s="27">
        <f t="shared" si="2"/>
        <v>0.37439204545454535</v>
      </c>
    </row>
    <row r="39" spans="1:33" x14ac:dyDescent="0.25">
      <c r="A39" s="9">
        <v>43746</v>
      </c>
      <c r="B39" s="2">
        <v>61.151709163116173</v>
      </c>
      <c r="C39" s="3">
        <v>61.297139896063634</v>
      </c>
      <c r="D39" s="3">
        <v>156.59848697340888</v>
      </c>
      <c r="E39" s="3">
        <v>33.029279358536868</v>
      </c>
      <c r="F39" s="3">
        <v>133.62915369432017</v>
      </c>
      <c r="G39" s="3">
        <v>70.270413388852347</v>
      </c>
      <c r="H39" s="3">
        <v>150.85344733330658</v>
      </c>
      <c r="I39" s="3">
        <v>177.48450876875424</v>
      </c>
      <c r="J39" s="23">
        <v>43746</v>
      </c>
      <c r="K39" s="24">
        <v>76.729166666666671</v>
      </c>
      <c r="L39" s="24">
        <v>86.260416666666671</v>
      </c>
      <c r="M39" s="24">
        <v>18.379166666666666</v>
      </c>
      <c r="N39" s="24">
        <v>11.899999999999997</v>
      </c>
      <c r="O39" s="24">
        <v>118.625</v>
      </c>
      <c r="P39" s="24">
        <v>7.75</v>
      </c>
      <c r="Q39" s="24">
        <v>1.3333333333333333</v>
      </c>
      <c r="R39" s="24">
        <v>16.006250000000005</v>
      </c>
      <c r="S39" s="10">
        <v>0.29908267637661518</v>
      </c>
      <c r="T39" s="25">
        <v>0.29627083333333332</v>
      </c>
      <c r="U39" s="25">
        <v>0.34145833333333303</v>
      </c>
      <c r="V39" s="25">
        <v>0.4308749999999999</v>
      </c>
      <c r="W39" s="25">
        <v>0.43402083333333347</v>
      </c>
      <c r="X39" s="25">
        <v>0.47595833333333354</v>
      </c>
      <c r="Y39" s="25">
        <v>0.36910416666666679</v>
      </c>
      <c r="Z39" s="25">
        <v>0.34074999999999983</v>
      </c>
      <c r="AA39" s="25">
        <v>0.28997916666666629</v>
      </c>
      <c r="AB39" s="25">
        <v>0.37513414634146347</v>
      </c>
      <c r="AC39" s="25">
        <v>0.23127083333333334</v>
      </c>
      <c r="AD39" s="25">
        <v>0.40032638888888888</v>
      </c>
      <c r="AE39" s="27">
        <f t="shared" si="0"/>
        <v>0.38611458333333343</v>
      </c>
      <c r="AF39" s="27">
        <f t="shared" si="1"/>
        <v>0.36769791666666657</v>
      </c>
      <c r="AG39" s="27">
        <f t="shared" si="2"/>
        <v>0.3710464015151515</v>
      </c>
    </row>
    <row r="40" spans="1:33" x14ac:dyDescent="0.25">
      <c r="A40" s="9">
        <v>43747</v>
      </c>
      <c r="B40" s="2">
        <v>116.59346919183255</v>
      </c>
      <c r="C40" s="3">
        <v>248.07596440498756</v>
      </c>
      <c r="D40" s="3">
        <v>298.57482507511537</v>
      </c>
      <c r="E40" s="3">
        <v>246.70209938389667</v>
      </c>
      <c r="F40" s="3">
        <v>250.51606423282797</v>
      </c>
      <c r="G40" s="3">
        <v>279.39893729257983</v>
      </c>
      <c r="H40" s="3">
        <v>252.63338876966378</v>
      </c>
      <c r="I40" s="3">
        <v>327.60615046149513</v>
      </c>
      <c r="J40" s="23">
        <v>43747</v>
      </c>
      <c r="K40" s="24">
        <v>161.0625</v>
      </c>
      <c r="L40" s="24">
        <v>79.739583333333329</v>
      </c>
      <c r="M40" s="24">
        <v>19.793749999999999</v>
      </c>
      <c r="N40" s="24">
        <v>1.7</v>
      </c>
      <c r="O40" s="24">
        <v>158.47916666666666</v>
      </c>
      <c r="P40" s="24">
        <v>17.479166666666668</v>
      </c>
      <c r="Q40" s="24">
        <v>3.6875</v>
      </c>
      <c r="R40" s="24">
        <v>16.054166666666671</v>
      </c>
      <c r="S40" s="10">
        <v>0.50624929356971693</v>
      </c>
      <c r="T40" s="25">
        <v>0.28779166666666672</v>
      </c>
      <c r="U40" s="25">
        <v>0.33981250000000013</v>
      </c>
      <c r="V40" s="25">
        <v>0.4298958333333332</v>
      </c>
      <c r="W40" s="25">
        <v>0.43362499999999987</v>
      </c>
      <c r="X40" s="25">
        <v>0.47739583333333319</v>
      </c>
      <c r="Y40" s="25">
        <v>0.36414583333333345</v>
      </c>
      <c r="Z40" s="25">
        <v>0.33960416666666676</v>
      </c>
      <c r="AA40" s="25">
        <v>0.28999999999999965</v>
      </c>
      <c r="AB40" s="25">
        <v>0.38489189189189188</v>
      </c>
      <c r="AC40" s="25">
        <v>0.22726388888888885</v>
      </c>
      <c r="AD40" s="25">
        <v>0.41288888888888886</v>
      </c>
      <c r="AE40" s="27">
        <f t="shared" si="0"/>
        <v>0.38259374999999995</v>
      </c>
      <c r="AF40" s="27">
        <f t="shared" si="1"/>
        <v>0.36618055555555551</v>
      </c>
      <c r="AG40" s="27">
        <f t="shared" si="2"/>
        <v>0.36916477272727266</v>
      </c>
    </row>
    <row r="41" spans="1:33" x14ac:dyDescent="0.25">
      <c r="A41" s="9">
        <v>43748</v>
      </c>
      <c r="B41" s="2">
        <v>66.991155867442217</v>
      </c>
      <c r="C41" s="3">
        <v>233.26089298102781</v>
      </c>
      <c r="D41" s="3">
        <v>171.55225574248968</v>
      </c>
      <c r="E41" s="3">
        <v>249.8036541679696</v>
      </c>
      <c r="F41" s="3">
        <v>279.89822118020044</v>
      </c>
      <c r="G41" s="3">
        <v>248.44891704920772</v>
      </c>
      <c r="H41" s="3">
        <v>213.87161510873966</v>
      </c>
      <c r="I41" s="3">
        <v>298.38745623261156</v>
      </c>
      <c r="J41" s="23">
        <v>43748</v>
      </c>
      <c r="K41" s="24">
        <v>108.89583333333333</v>
      </c>
      <c r="L41" s="24">
        <v>80.045833333333334</v>
      </c>
      <c r="M41" s="24">
        <v>19.693749999999998</v>
      </c>
      <c r="N41" s="24">
        <v>50.099999999999994</v>
      </c>
      <c r="O41" s="24">
        <v>146.16666666666666</v>
      </c>
      <c r="P41" s="24">
        <v>9.6458333333333339</v>
      </c>
      <c r="Q41" s="24">
        <v>1.5625</v>
      </c>
      <c r="R41" s="24">
        <v>16.05</v>
      </c>
      <c r="S41" s="10">
        <v>0.4836194442908523</v>
      </c>
      <c r="T41" s="25">
        <v>0.29414583333333327</v>
      </c>
      <c r="U41" s="25">
        <v>0.34725000000000006</v>
      </c>
      <c r="V41" s="25">
        <v>0.43447916666666647</v>
      </c>
      <c r="W41" s="25">
        <v>0.44739583333333321</v>
      </c>
      <c r="X41" s="25">
        <v>0.47570833333333323</v>
      </c>
      <c r="Y41" s="25">
        <v>0.37277083333333344</v>
      </c>
      <c r="Z41" s="25">
        <v>0.34720833333333312</v>
      </c>
      <c r="AA41" s="25">
        <v>0.29212499999999975</v>
      </c>
      <c r="AB41" s="25">
        <v>0.38683771929824545</v>
      </c>
      <c r="AC41" s="25">
        <v>0.23088888888888889</v>
      </c>
      <c r="AD41" s="25">
        <v>0.39401388888888883</v>
      </c>
      <c r="AE41" s="27">
        <f t="shared" si="0"/>
        <v>0.38492708333333325</v>
      </c>
      <c r="AF41" s="27">
        <f t="shared" si="1"/>
        <v>0.3735381944444443</v>
      </c>
      <c r="AG41" s="27">
        <f t="shared" si="2"/>
        <v>0.37560890151515136</v>
      </c>
    </row>
    <row r="42" spans="1:33" x14ac:dyDescent="0.25">
      <c r="A42" s="9">
        <v>43749</v>
      </c>
      <c r="B42" s="2">
        <v>7.0912095379858942</v>
      </c>
      <c r="C42" s="3">
        <v>34.67806416755559</v>
      </c>
      <c r="D42" s="3">
        <v>18.159307395610483</v>
      </c>
      <c r="E42" s="3">
        <v>49.869101614783304</v>
      </c>
      <c r="F42" s="3">
        <v>35.240800053760367</v>
      </c>
      <c r="G42" s="3">
        <v>12.922902235922285</v>
      </c>
      <c r="H42" s="3">
        <v>26.807039418026509</v>
      </c>
      <c r="I42" s="3">
        <v>40.338214176444069</v>
      </c>
      <c r="J42" s="23">
        <v>43749</v>
      </c>
      <c r="K42" s="24">
        <v>48.020833333333336</v>
      </c>
      <c r="L42" s="24">
        <v>91.24375000000002</v>
      </c>
      <c r="M42" s="24">
        <v>15.216666666666669</v>
      </c>
      <c r="N42" s="24">
        <v>30.299999999999997</v>
      </c>
      <c r="O42" s="24">
        <v>214.25</v>
      </c>
      <c r="P42" s="24">
        <v>3.1875</v>
      </c>
      <c r="Q42" s="24">
        <v>0</v>
      </c>
      <c r="R42" s="24">
        <v>13.774999999999999</v>
      </c>
      <c r="S42" s="10">
        <v>0.15346426798467469</v>
      </c>
      <c r="T42" s="25">
        <v>0.43931249999999994</v>
      </c>
      <c r="U42" s="25">
        <v>0.54285416666666664</v>
      </c>
      <c r="V42" s="25">
        <v>0.57870833333333327</v>
      </c>
      <c r="W42" s="25">
        <v>0.61170833333333341</v>
      </c>
      <c r="X42" s="25">
        <v>0.56714583333333346</v>
      </c>
      <c r="Y42" s="25">
        <v>0.49708333333333338</v>
      </c>
      <c r="Z42" s="25">
        <v>0.4718958333333334</v>
      </c>
      <c r="AA42" s="25">
        <v>0.42412500000000009</v>
      </c>
      <c r="AB42" s="25">
        <v>0.45176984126984127</v>
      </c>
      <c r="AC42" s="25">
        <v>0.30038194444444438</v>
      </c>
      <c r="AD42" s="25">
        <v>0.47398611111111094</v>
      </c>
      <c r="AE42" s="27">
        <f t="shared" si="0"/>
        <v>0.50322916666666673</v>
      </c>
      <c r="AF42" s="27">
        <f t="shared" si="1"/>
        <v>0.5210625000000001</v>
      </c>
      <c r="AG42" s="27">
        <f t="shared" si="2"/>
        <v>0.51782007575757583</v>
      </c>
    </row>
    <row r="43" spans="1:33" x14ac:dyDescent="0.25">
      <c r="A43" s="9">
        <v>43750</v>
      </c>
      <c r="B43" s="2">
        <v>95.068913363915655</v>
      </c>
      <c r="C43" s="3">
        <v>76.693462198484127</v>
      </c>
      <c r="D43" s="3">
        <v>243.45432359517451</v>
      </c>
      <c r="E43" s="3">
        <v>77.197896366621336</v>
      </c>
      <c r="F43" s="3">
        <v>166.40127624557979</v>
      </c>
      <c r="G43" s="3">
        <v>116.88585205606768</v>
      </c>
      <c r="H43" s="3">
        <v>131.59154338558901</v>
      </c>
      <c r="I43" s="3">
        <v>158.40569559366591</v>
      </c>
      <c r="J43" s="23">
        <v>43750</v>
      </c>
      <c r="K43" s="24">
        <v>68.729166666666671</v>
      </c>
      <c r="L43" s="24">
        <v>85.225000000000009</v>
      </c>
      <c r="M43" s="24">
        <v>14.814583333333333</v>
      </c>
      <c r="N43" s="24">
        <v>0.2</v>
      </c>
      <c r="O43" s="24">
        <v>216.85416666666666</v>
      </c>
      <c r="P43" s="24">
        <v>3.125</v>
      </c>
      <c r="Q43" s="24">
        <v>0</v>
      </c>
      <c r="R43" s="24">
        <v>12.310416666666667</v>
      </c>
      <c r="S43" s="10">
        <v>0.25981954673796992</v>
      </c>
      <c r="T43" s="25">
        <v>0.41281250000000042</v>
      </c>
      <c r="U43" s="25">
        <v>0.5306249999999999</v>
      </c>
      <c r="V43" s="25">
        <v>0.57454166666666662</v>
      </c>
      <c r="W43" s="25">
        <v>0.58956249999999977</v>
      </c>
      <c r="X43" s="25">
        <v>0.56668750000000045</v>
      </c>
      <c r="Y43" s="25">
        <v>0.47218750000000026</v>
      </c>
      <c r="Z43" s="25">
        <v>0.4625833333333329</v>
      </c>
      <c r="AA43" s="25">
        <v>0.41389583333333319</v>
      </c>
      <c r="AB43" s="25">
        <v>0.42155555555555563</v>
      </c>
      <c r="AC43" s="25">
        <v>0.25272222222222235</v>
      </c>
      <c r="AD43" s="25">
        <v>0.44561111111111118</v>
      </c>
      <c r="AE43" s="27">
        <f t="shared" si="0"/>
        <v>0.48975000000000046</v>
      </c>
      <c r="AF43" s="27">
        <f t="shared" si="1"/>
        <v>0.5072326388888887</v>
      </c>
      <c r="AG43" s="27">
        <f t="shared" si="2"/>
        <v>0.50405397727272716</v>
      </c>
    </row>
    <row r="44" spans="1:33" x14ac:dyDescent="0.25">
      <c r="A44" s="9">
        <v>43751</v>
      </c>
      <c r="B44" s="2">
        <v>6.5568226440341242</v>
      </c>
      <c r="C44" s="3">
        <v>9.8162317296535182</v>
      </c>
      <c r="D44" s="3">
        <v>16.790839037219268</v>
      </c>
      <c r="E44" s="3">
        <v>0.11794753323239113</v>
      </c>
      <c r="F44" s="3">
        <v>47.034767930302486</v>
      </c>
      <c r="G44" s="3">
        <v>25.640546930461468</v>
      </c>
      <c r="H44" s="3">
        <v>45.370689059516096</v>
      </c>
      <c r="I44" s="3">
        <v>74.114035897413473</v>
      </c>
      <c r="J44" s="23">
        <v>43751</v>
      </c>
      <c r="K44" s="24">
        <v>57.270833333333336</v>
      </c>
      <c r="L44" s="24">
        <v>88.364583333333329</v>
      </c>
      <c r="M44" s="24">
        <v>14.27708333333333</v>
      </c>
      <c r="N44" s="24">
        <v>3.2000000000000006</v>
      </c>
      <c r="O44" s="24">
        <v>193.83333333333334</v>
      </c>
      <c r="P44" s="24">
        <v>2.75</v>
      </c>
      <c r="Q44" s="24">
        <v>0</v>
      </c>
      <c r="R44" s="24">
        <v>12.364583333333334</v>
      </c>
      <c r="S44" s="10">
        <v>0.19143727603215976</v>
      </c>
      <c r="T44" s="25">
        <v>0.40383333333333366</v>
      </c>
      <c r="U44" s="25">
        <v>0.52149999999999952</v>
      </c>
      <c r="V44" s="25">
        <v>0.5697916666666667</v>
      </c>
      <c r="W44" s="25">
        <v>0.58418749999999953</v>
      </c>
      <c r="X44" s="25">
        <v>0.56295833333333367</v>
      </c>
      <c r="Y44" s="25">
        <v>0.46620833333333306</v>
      </c>
      <c r="Z44" s="25">
        <v>0.45960416666666665</v>
      </c>
      <c r="AA44" s="25">
        <v>0.41081249999999986</v>
      </c>
      <c r="AB44" s="25">
        <v>0.41389430894308954</v>
      </c>
      <c r="AC44" s="25">
        <v>0.24794444444444441</v>
      </c>
      <c r="AD44" s="25">
        <v>0.4351597222222221</v>
      </c>
      <c r="AE44" s="27">
        <f t="shared" si="0"/>
        <v>0.48339583333333369</v>
      </c>
      <c r="AF44" s="27">
        <f t="shared" si="1"/>
        <v>0.50201736111111095</v>
      </c>
      <c r="AG44" s="27">
        <f t="shared" si="2"/>
        <v>0.4986316287878787</v>
      </c>
    </row>
    <row r="45" spans="1:33" x14ac:dyDescent="0.25">
      <c r="A45" s="9">
        <v>43752</v>
      </c>
      <c r="B45" s="2">
        <v>5.4867767480387055</v>
      </c>
      <c r="C45" s="3">
        <v>15.427551871971309</v>
      </c>
      <c r="D45" s="3">
        <v>14.050644681277095</v>
      </c>
      <c r="E45" s="3">
        <v>16.274858655914148</v>
      </c>
      <c r="F45" s="3">
        <v>35.17108799068788</v>
      </c>
      <c r="G45" s="3">
        <v>13.598664827884205</v>
      </c>
      <c r="H45" s="3">
        <v>34.82338122413082</v>
      </c>
      <c r="I45" s="3">
        <v>63.767199877271445</v>
      </c>
      <c r="J45" s="23">
        <v>43752</v>
      </c>
      <c r="K45" s="24">
        <v>38</v>
      </c>
      <c r="L45" s="24">
        <v>91.922916666666694</v>
      </c>
      <c r="M45" s="24">
        <v>14.127083333333331</v>
      </c>
      <c r="N45" s="24">
        <v>4.6000000000000005</v>
      </c>
      <c r="O45" s="24">
        <v>151.97916666666666</v>
      </c>
      <c r="P45" s="24">
        <v>2.4166666666666665</v>
      </c>
      <c r="Q45" s="24">
        <v>0</v>
      </c>
      <c r="R45" s="24">
        <v>12.822916666666666</v>
      </c>
      <c r="S45" s="10">
        <v>0.13339731980143324</v>
      </c>
      <c r="T45" s="25">
        <v>0.42087499999999989</v>
      </c>
      <c r="U45" s="25">
        <v>0.52970833333333367</v>
      </c>
      <c r="V45" s="25">
        <v>0.57481250000000006</v>
      </c>
      <c r="W45" s="25">
        <v>0.58743749999999983</v>
      </c>
      <c r="X45" s="25">
        <v>0.56679166666666636</v>
      </c>
      <c r="Y45" s="25">
        <v>0.46522916666666636</v>
      </c>
      <c r="Z45" s="25">
        <v>0.45797916666666655</v>
      </c>
      <c r="AA45" s="25">
        <v>0.40962500000000007</v>
      </c>
      <c r="AB45" s="25">
        <v>0.42752482269503539</v>
      </c>
      <c r="AC45" s="25">
        <v>0.2597430555555556</v>
      </c>
      <c r="AD45" s="25">
        <v>0.4646805555555556</v>
      </c>
      <c r="AE45" s="27">
        <f t="shared" si="0"/>
        <v>0.49383333333333312</v>
      </c>
      <c r="AF45" s="27">
        <f t="shared" si="1"/>
        <v>0.50413194444444442</v>
      </c>
      <c r="AG45" s="27">
        <f t="shared" si="2"/>
        <v>0.50225946969696955</v>
      </c>
    </row>
    <row r="46" spans="1:33" x14ac:dyDescent="0.25">
      <c r="A46" s="9">
        <v>43753</v>
      </c>
      <c r="B46" s="2">
        <v>0.70929924470589556</v>
      </c>
      <c r="C46" s="3">
        <v>11.837394152268031</v>
      </c>
      <c r="D46" s="3">
        <v>1.8163873103864163</v>
      </c>
      <c r="E46" s="3">
        <v>4.0595179556135177</v>
      </c>
      <c r="F46" s="3">
        <v>21.513611748913313</v>
      </c>
      <c r="G46" s="3">
        <v>17.328854858128402</v>
      </c>
      <c r="H46" s="3">
        <v>46.565762394118764</v>
      </c>
      <c r="I46" s="3">
        <v>73.030444377481032</v>
      </c>
      <c r="J46" s="23">
        <v>43753</v>
      </c>
      <c r="K46" s="24">
        <v>33.625</v>
      </c>
      <c r="L46" s="24">
        <v>91.475000000000009</v>
      </c>
      <c r="M46" s="24">
        <v>14.206250000000002</v>
      </c>
      <c r="N46" s="24">
        <v>1.2</v>
      </c>
      <c r="O46" s="24">
        <v>132.72916666666666</v>
      </c>
      <c r="P46" s="24">
        <v>7.145833333333333</v>
      </c>
      <c r="Q46" s="24">
        <v>1.1041666666666667</v>
      </c>
      <c r="R46" s="24">
        <v>12.820833333333335</v>
      </c>
      <c r="S46" s="10">
        <v>0.14058578267494343</v>
      </c>
      <c r="T46" s="25">
        <v>0.42297916666666646</v>
      </c>
      <c r="U46" s="25">
        <v>0.53281250000000013</v>
      </c>
      <c r="V46" s="25">
        <v>0.57591666666666674</v>
      </c>
      <c r="W46" s="25">
        <v>0.59037499999999976</v>
      </c>
      <c r="X46" s="25">
        <v>0.56893749999999954</v>
      </c>
      <c r="Y46" s="25">
        <v>0.46731249999999996</v>
      </c>
      <c r="Z46" s="25">
        <v>0.45760416666666698</v>
      </c>
      <c r="AA46" s="25">
        <v>0.40947916666666667</v>
      </c>
      <c r="AB46" s="25">
        <v>0.42224822695035469</v>
      </c>
      <c r="AC46" s="25">
        <v>0.25052777777777779</v>
      </c>
      <c r="AD46" s="25">
        <v>0.45743749999999994</v>
      </c>
      <c r="AE46" s="27">
        <f t="shared" si="0"/>
        <v>0.495958333333333</v>
      </c>
      <c r="AF46" s="27">
        <f t="shared" si="1"/>
        <v>0.50558333333333338</v>
      </c>
      <c r="AG46" s="27">
        <f t="shared" si="2"/>
        <v>0.50383333333333336</v>
      </c>
    </row>
    <row r="47" spans="1:33" x14ac:dyDescent="0.25">
      <c r="A47" s="9">
        <v>43754</v>
      </c>
      <c r="B47" s="2">
        <v>1.3237087090210784</v>
      </c>
      <c r="C47" s="3">
        <v>12.559900099491317</v>
      </c>
      <c r="D47" s="3">
        <v>3.3897790243817627</v>
      </c>
      <c r="E47" s="3">
        <v>57.440686187915716</v>
      </c>
      <c r="F47" s="3">
        <v>16.228839751512027</v>
      </c>
      <c r="G47" s="3">
        <v>4.9839115911953487</v>
      </c>
      <c r="H47" s="3">
        <v>14.62029988019574</v>
      </c>
      <c r="I47" s="3">
        <v>39.290600108043918</v>
      </c>
      <c r="J47" s="23">
        <v>43754</v>
      </c>
      <c r="K47" s="24">
        <v>45.3125</v>
      </c>
      <c r="L47" s="24">
        <v>93.197916666666643</v>
      </c>
      <c r="M47" s="24">
        <v>14.518750000000004</v>
      </c>
      <c r="N47" s="24">
        <v>9.9999999999999964</v>
      </c>
      <c r="O47" s="24">
        <v>183.41666666666666</v>
      </c>
      <c r="P47" s="24">
        <v>5.458333333333333</v>
      </c>
      <c r="Q47" s="24">
        <v>0.52083333333333337</v>
      </c>
      <c r="R47" s="24">
        <v>13.424999999999999</v>
      </c>
      <c r="S47" s="10">
        <v>0.11286266982109644</v>
      </c>
      <c r="T47" s="25">
        <v>0.43881249999999999</v>
      </c>
      <c r="U47" s="25">
        <v>0.54131249999999997</v>
      </c>
      <c r="V47" s="25">
        <v>0.58074999999999977</v>
      </c>
      <c r="W47" s="25">
        <v>0.60075000000000001</v>
      </c>
      <c r="X47" s="25">
        <v>0.57835416666666617</v>
      </c>
      <c r="Y47" s="25">
        <v>0.48145833333333332</v>
      </c>
      <c r="Z47" s="25">
        <v>0.46089583333333334</v>
      </c>
      <c r="AA47" s="25">
        <v>0.41152083333333339</v>
      </c>
      <c r="AB47" s="25">
        <v>0.43351851851851841</v>
      </c>
      <c r="AC47" s="25">
        <v>0.26696527777777773</v>
      </c>
      <c r="AD47" s="25">
        <v>0.47070138888888891</v>
      </c>
      <c r="AE47" s="27">
        <f t="shared" si="0"/>
        <v>0.50858333333333305</v>
      </c>
      <c r="AF47" s="27">
        <f t="shared" si="1"/>
        <v>0.51278124999999997</v>
      </c>
      <c r="AG47" s="27">
        <f t="shared" si="2"/>
        <v>0.5120179924242424</v>
      </c>
    </row>
    <row r="48" spans="1:33" x14ac:dyDescent="0.25">
      <c r="A48" s="9">
        <v>43755</v>
      </c>
      <c r="B48" s="2">
        <v>3.5224307130181147E-2</v>
      </c>
      <c r="C48" s="3">
        <v>14.486848886039757</v>
      </c>
      <c r="D48" s="3">
        <v>9.0203091242461328E-2</v>
      </c>
      <c r="E48" s="3">
        <v>101.13494682013005</v>
      </c>
      <c r="F48" s="3">
        <v>14.121419479334598</v>
      </c>
      <c r="G48" s="3">
        <v>5.1413881739975835</v>
      </c>
      <c r="H48" s="3">
        <v>35.164560561613719</v>
      </c>
      <c r="I48" s="3">
        <v>45.392059618776592</v>
      </c>
      <c r="J48" s="23">
        <v>43755</v>
      </c>
      <c r="K48" s="24">
        <v>52.729166666666664</v>
      </c>
      <c r="L48" s="24">
        <v>92.393750000000011</v>
      </c>
      <c r="M48" s="24">
        <v>12.731249999999998</v>
      </c>
      <c r="N48" s="24">
        <v>10.299999999999995</v>
      </c>
      <c r="O48" s="24">
        <v>127.3125</v>
      </c>
      <c r="P48" s="24">
        <v>4.895833333333333</v>
      </c>
      <c r="Q48" s="24">
        <v>0.125</v>
      </c>
      <c r="R48" s="24">
        <v>11.520833333333334</v>
      </c>
      <c r="S48" s="10">
        <v>0.11273536146222267</v>
      </c>
      <c r="T48" s="25">
        <v>0.44983333333333331</v>
      </c>
      <c r="U48" s="25">
        <v>0.54858333333333353</v>
      </c>
      <c r="V48" s="25">
        <v>0.58462499999999962</v>
      </c>
      <c r="W48" s="25">
        <v>0.60879166666666673</v>
      </c>
      <c r="X48" s="25">
        <v>0.59562500000000007</v>
      </c>
      <c r="Y48" s="25">
        <v>0.49295833333333317</v>
      </c>
      <c r="Z48" s="25">
        <v>0.4687083333333335</v>
      </c>
      <c r="AA48" s="25">
        <v>0.422375</v>
      </c>
      <c r="AB48" s="25">
        <v>0.44095555555555566</v>
      </c>
      <c r="AC48" s="25">
        <v>0.27507638888888891</v>
      </c>
      <c r="AD48" s="25">
        <v>0.48016666666666669</v>
      </c>
      <c r="AE48" s="27">
        <f t="shared" si="0"/>
        <v>0.52272916666666669</v>
      </c>
      <c r="AF48" s="27">
        <f t="shared" si="1"/>
        <v>0.52100694444444451</v>
      </c>
      <c r="AG48" s="27">
        <f t="shared" si="2"/>
        <v>0.52132007575757577</v>
      </c>
    </row>
    <row r="49" spans="1:33" x14ac:dyDescent="0.25">
      <c r="A49" s="9">
        <v>43756</v>
      </c>
      <c r="B49" s="2">
        <v>121.23903795862543</v>
      </c>
      <c r="C49" s="3">
        <v>101.24354550474871</v>
      </c>
      <c r="D49" s="3">
        <v>310.47128798623669</v>
      </c>
      <c r="E49" s="3">
        <v>273.65126108609337</v>
      </c>
      <c r="F49" s="3">
        <v>216.96232493434846</v>
      </c>
      <c r="G49" s="3">
        <v>271.72212992904917</v>
      </c>
      <c r="H49" s="3">
        <v>320.7677490414834</v>
      </c>
      <c r="I49" s="3">
        <v>235.24818396996642</v>
      </c>
      <c r="J49" s="23">
        <v>43756</v>
      </c>
      <c r="K49" s="24">
        <v>96.770833333333329</v>
      </c>
      <c r="L49" s="24">
        <v>83.75833333333334</v>
      </c>
      <c r="M49" s="24">
        <v>13.274999999999999</v>
      </c>
      <c r="N49" s="24">
        <v>0</v>
      </c>
      <c r="O49" s="24">
        <v>163.60416666666666</v>
      </c>
      <c r="P49" s="24">
        <v>1.5208333333333333</v>
      </c>
      <c r="Q49" s="24">
        <v>0</v>
      </c>
      <c r="R49" s="24">
        <v>10.441666666666665</v>
      </c>
      <c r="S49" s="10">
        <v>0.276642321359368</v>
      </c>
      <c r="T49" s="25">
        <v>0.4268333333333334</v>
      </c>
      <c r="U49" s="25">
        <v>0.53522916666666653</v>
      </c>
      <c r="V49" s="25">
        <v>0.57531250000000012</v>
      </c>
      <c r="W49" s="25">
        <v>0.59099999999999997</v>
      </c>
      <c r="X49" s="25">
        <v>0.59083333333333299</v>
      </c>
      <c r="Y49" s="25">
        <v>0.47733333333333317</v>
      </c>
      <c r="Z49" s="25">
        <v>0.46389583333333295</v>
      </c>
      <c r="AA49" s="25">
        <v>0.41756249999999984</v>
      </c>
      <c r="AB49" s="25">
        <v>0.42410476190476187</v>
      </c>
      <c r="AC49" s="25">
        <v>0.25320138888888882</v>
      </c>
      <c r="AD49" s="25">
        <v>0.46204861111111101</v>
      </c>
      <c r="AE49" s="27">
        <f t="shared" si="0"/>
        <v>0.50883333333333325</v>
      </c>
      <c r="AF49" s="27">
        <f t="shared" si="1"/>
        <v>0.51005555555555537</v>
      </c>
      <c r="AG49" s="27">
        <f t="shared" si="2"/>
        <v>0.50983333333333314</v>
      </c>
    </row>
    <row r="50" spans="1:33" x14ac:dyDescent="0.25">
      <c r="A50" s="9">
        <v>43757</v>
      </c>
      <c r="B50" s="2">
        <v>82.604740982062197</v>
      </c>
      <c r="C50" s="3">
        <v>99.931583072601313</v>
      </c>
      <c r="D50" s="3">
        <v>211.53582837916056</v>
      </c>
      <c r="E50" s="3">
        <v>155.69442577955908</v>
      </c>
      <c r="F50" s="3">
        <v>169.87845358507647</v>
      </c>
      <c r="G50" s="3">
        <v>209.95845974033975</v>
      </c>
      <c r="H50" s="3">
        <v>227.94428336618546</v>
      </c>
      <c r="I50" s="3">
        <v>196.59378098186662</v>
      </c>
      <c r="J50" s="23">
        <v>43757</v>
      </c>
      <c r="K50" s="24">
        <v>63.125</v>
      </c>
      <c r="L50" s="24">
        <v>87.647916666666674</v>
      </c>
      <c r="M50" s="24">
        <v>14.202083333333329</v>
      </c>
      <c r="N50" s="24">
        <v>0</v>
      </c>
      <c r="O50" s="24">
        <v>128.75</v>
      </c>
      <c r="P50" s="24">
        <v>3.7291666666666665</v>
      </c>
      <c r="Q50" s="24">
        <v>0.10416666666666667</v>
      </c>
      <c r="R50" s="24">
        <v>12.120833333333332</v>
      </c>
      <c r="S50" s="10">
        <v>0.21801398911277289</v>
      </c>
      <c r="T50" s="25">
        <v>0.41614583333333349</v>
      </c>
      <c r="U50" s="25">
        <v>0.52645833333333358</v>
      </c>
      <c r="V50" s="25">
        <v>0.57039583333333288</v>
      </c>
      <c r="W50" s="25">
        <v>0.58520833333333322</v>
      </c>
      <c r="X50" s="25">
        <v>0.58597916666666683</v>
      </c>
      <c r="Y50" s="25">
        <v>0.46952083333333322</v>
      </c>
      <c r="Z50" s="25">
        <v>0.45993750000000011</v>
      </c>
      <c r="AA50" s="25">
        <v>0.41306249999999994</v>
      </c>
      <c r="AB50" s="25">
        <v>0.4174594594594595</v>
      </c>
      <c r="AC50" s="25">
        <v>0.24588888888888882</v>
      </c>
      <c r="AD50" s="25">
        <v>0.44686805555555553</v>
      </c>
      <c r="AE50" s="27">
        <f t="shared" si="0"/>
        <v>0.50106250000000019</v>
      </c>
      <c r="AF50" s="27">
        <f t="shared" si="1"/>
        <v>0.5040972222222222</v>
      </c>
      <c r="AG50" s="27">
        <f t="shared" si="2"/>
        <v>0.50354545454545452</v>
      </c>
    </row>
    <row r="51" spans="1:33" x14ac:dyDescent="0.25">
      <c r="A51" s="9">
        <v>43758</v>
      </c>
      <c r="B51" s="2">
        <v>0.38288717889731061</v>
      </c>
      <c r="C51" s="3">
        <v>9.1680978107566631</v>
      </c>
      <c r="D51" s="3">
        <v>0.98050493955777362</v>
      </c>
      <c r="E51" s="3">
        <v>5.3374530701802669</v>
      </c>
      <c r="F51" s="3">
        <v>5.6467555167578309</v>
      </c>
      <c r="G51" s="3">
        <v>1.2176813541634313</v>
      </c>
      <c r="H51" s="3">
        <v>1.9569343250649907</v>
      </c>
      <c r="I51" s="3">
        <v>3.8072371719417077</v>
      </c>
      <c r="J51" s="23">
        <v>43758</v>
      </c>
      <c r="K51" s="24">
        <v>22.395833333333332</v>
      </c>
      <c r="L51" s="24">
        <v>94.777083333333337</v>
      </c>
      <c r="M51" s="24">
        <v>14.639583333333333</v>
      </c>
      <c r="N51" s="24">
        <v>1.7999999999999998</v>
      </c>
      <c r="O51" s="24">
        <v>123.22916666666667</v>
      </c>
      <c r="P51" s="24">
        <v>3.4583333333333335</v>
      </c>
      <c r="Q51" s="24">
        <v>4.1666666666666664E-2</v>
      </c>
      <c r="R51" s="24">
        <v>13.808333333333328</v>
      </c>
      <c r="S51" s="10">
        <v>8.6950544517182607E-2</v>
      </c>
      <c r="T51" s="25">
        <v>0.41370833333333357</v>
      </c>
      <c r="U51" s="25">
        <v>0.52322916666666652</v>
      </c>
      <c r="V51" s="25">
        <v>0.5689999999999994</v>
      </c>
      <c r="W51" s="25">
        <v>0.58289583333333295</v>
      </c>
      <c r="X51" s="25">
        <v>0.58468750000000014</v>
      </c>
      <c r="Y51" s="25">
        <v>0.46737499999999971</v>
      </c>
      <c r="Z51" s="25">
        <v>0.45885416666666629</v>
      </c>
      <c r="AA51" s="25">
        <v>0.41112500000000002</v>
      </c>
      <c r="AB51" s="25">
        <v>0.41572666666666663</v>
      </c>
      <c r="AC51" s="25">
        <v>0.24630555555555542</v>
      </c>
      <c r="AD51" s="25">
        <v>0.44045138888888896</v>
      </c>
      <c r="AE51" s="27">
        <f t="shared" si="0"/>
        <v>0.49919791666666685</v>
      </c>
      <c r="AF51" s="27">
        <f t="shared" si="1"/>
        <v>0.50207986111111091</v>
      </c>
      <c r="AG51" s="27">
        <f t="shared" si="2"/>
        <v>0.50155587121212097</v>
      </c>
    </row>
    <row r="52" spans="1:33" x14ac:dyDescent="0.25">
      <c r="A52" s="9">
        <v>43759</v>
      </c>
      <c r="B52" s="2">
        <v>19.506742670588874</v>
      </c>
      <c r="C52" s="3">
        <v>24.040754870051124</v>
      </c>
      <c r="D52" s="3">
        <v>49.953246275515681</v>
      </c>
      <c r="E52" s="3">
        <v>6.5309194981807419</v>
      </c>
      <c r="F52" s="3">
        <v>83.476488611120345</v>
      </c>
      <c r="G52" s="3">
        <v>63.383868601197683</v>
      </c>
      <c r="H52" s="3">
        <v>110.09626705166498</v>
      </c>
      <c r="I52" s="3">
        <v>123.27643939830678</v>
      </c>
      <c r="J52" s="23">
        <v>43759</v>
      </c>
      <c r="K52" s="24">
        <v>40.520833333333336</v>
      </c>
      <c r="L52" s="24">
        <v>91.770833333333357</v>
      </c>
      <c r="M52" s="24">
        <v>16.420833333333331</v>
      </c>
      <c r="N52" s="24">
        <v>5.7000000000000011</v>
      </c>
      <c r="O52" s="24">
        <v>119.875</v>
      </c>
      <c r="P52" s="24">
        <v>11.020833333333334</v>
      </c>
      <c r="Q52" s="24">
        <v>2.4166666666666665</v>
      </c>
      <c r="R52" s="24">
        <v>15.068749999999996</v>
      </c>
      <c r="S52" s="10">
        <v>0.15874243716037986</v>
      </c>
      <c r="T52" s="25">
        <v>0.44345833333333334</v>
      </c>
      <c r="U52" s="25">
        <v>0.53997916666666679</v>
      </c>
      <c r="V52" s="25">
        <v>0.57852083333333315</v>
      </c>
      <c r="W52" s="25">
        <v>0.59187500000000015</v>
      </c>
      <c r="X52" s="25">
        <v>0.59647916666666656</v>
      </c>
      <c r="Y52" s="25">
        <v>0.48487500000000011</v>
      </c>
      <c r="Z52" s="25">
        <v>0.46077083333333319</v>
      </c>
      <c r="AA52" s="25">
        <v>0.41214583333333343</v>
      </c>
      <c r="AB52" s="25">
        <v>0.43448611111111107</v>
      </c>
      <c r="AC52" s="25">
        <v>0.26059027777777782</v>
      </c>
      <c r="AD52" s="25">
        <v>0.47051388888888873</v>
      </c>
      <c r="AE52" s="27">
        <f t="shared" si="0"/>
        <v>0.51996874999999998</v>
      </c>
      <c r="AF52" s="27">
        <f t="shared" si="1"/>
        <v>0.51136111111111104</v>
      </c>
      <c r="AG52" s="27">
        <f t="shared" si="2"/>
        <v>0.51292613636363626</v>
      </c>
    </row>
    <row r="53" spans="1:33" x14ac:dyDescent="0.25">
      <c r="A53" s="9">
        <v>43760</v>
      </c>
      <c r="B53" s="2">
        <v>19.338642334927531</v>
      </c>
      <c r="C53" s="3">
        <v>4.0214037476909761</v>
      </c>
      <c r="D53" s="3">
        <v>49.522771664347069</v>
      </c>
      <c r="E53" s="3">
        <v>14.763841214117345</v>
      </c>
      <c r="F53" s="3">
        <v>95.05007701276341</v>
      </c>
      <c r="G53" s="3">
        <v>70.78962361636539</v>
      </c>
      <c r="H53" s="3">
        <v>135.05855957997409</v>
      </c>
      <c r="I53" s="3">
        <v>159.14216045839595</v>
      </c>
      <c r="J53" s="23">
        <v>43760</v>
      </c>
      <c r="K53" s="24">
        <v>39.395833333333336</v>
      </c>
      <c r="L53" s="24">
        <v>88.72708333333334</v>
      </c>
      <c r="M53" s="24">
        <v>16.168749999999996</v>
      </c>
      <c r="N53" s="24">
        <v>2</v>
      </c>
      <c r="O53" s="24">
        <v>157.16666666666666</v>
      </c>
      <c r="P53" s="24">
        <v>8.7916666666666661</v>
      </c>
      <c r="Q53" s="24">
        <v>1.1458333333333333</v>
      </c>
      <c r="R53" s="24">
        <v>14.293749999999996</v>
      </c>
      <c r="S53" s="10">
        <v>0.20863673937853264</v>
      </c>
      <c r="T53" s="25">
        <v>0.43374999999999969</v>
      </c>
      <c r="U53" s="25">
        <v>0.53716666666666701</v>
      </c>
      <c r="V53" s="25">
        <v>0.57706249999999981</v>
      </c>
      <c r="W53" s="25">
        <v>0.59083333333333288</v>
      </c>
      <c r="X53" s="25">
        <v>0.59668750000000004</v>
      </c>
      <c r="Y53" s="25">
        <v>0.48025000000000029</v>
      </c>
      <c r="Z53" s="25">
        <v>0.46197916666666644</v>
      </c>
      <c r="AA53" s="25">
        <v>0.41310416666666677</v>
      </c>
      <c r="AB53" s="25">
        <v>0.42830769230769228</v>
      </c>
      <c r="AC53" s="25">
        <v>0.25275694444444446</v>
      </c>
      <c r="AD53" s="25">
        <v>0.46822916666666653</v>
      </c>
      <c r="AE53" s="27">
        <f t="shared" si="0"/>
        <v>0.51521874999999984</v>
      </c>
      <c r="AF53" s="27">
        <f t="shared" si="1"/>
        <v>0.51006597222222227</v>
      </c>
      <c r="AG53" s="27">
        <f t="shared" si="2"/>
        <v>0.51100284090909087</v>
      </c>
    </row>
    <row r="54" spans="1:33" x14ac:dyDescent="0.25">
      <c r="A54" s="9">
        <v>43761</v>
      </c>
      <c r="B54" s="2">
        <v>52.710939691967255</v>
      </c>
      <c r="C54" s="3">
        <v>35.515274636209739</v>
      </c>
      <c r="D54" s="3">
        <v>134.98320023551153</v>
      </c>
      <c r="E54" s="3">
        <v>39.908509766496906</v>
      </c>
      <c r="F54" s="3">
        <v>136.52614696143786</v>
      </c>
      <c r="G54" s="3">
        <v>123.69488099707496</v>
      </c>
      <c r="H54" s="3">
        <v>150.78429130711956</v>
      </c>
      <c r="I54" s="3">
        <v>172.71643713183423</v>
      </c>
      <c r="J54" s="23">
        <v>43761</v>
      </c>
      <c r="K54" s="24">
        <v>41.645833333333336</v>
      </c>
      <c r="L54" s="24">
        <v>87.854166666666686</v>
      </c>
      <c r="M54" s="24">
        <v>14.085416666666667</v>
      </c>
      <c r="N54" s="24">
        <v>0</v>
      </c>
      <c r="O54" s="24">
        <v>155.875</v>
      </c>
      <c r="P54" s="24">
        <v>3.2291666666666665</v>
      </c>
      <c r="Q54" s="24">
        <v>0.125</v>
      </c>
      <c r="R54" s="24">
        <v>12.066666666666665</v>
      </c>
      <c r="S54" s="10">
        <v>0.20082782698713875</v>
      </c>
      <c r="T54" s="25">
        <v>0.42564583333333333</v>
      </c>
      <c r="U54" s="25">
        <v>0.5312916666666665</v>
      </c>
      <c r="V54" s="25">
        <v>0.57429166666666664</v>
      </c>
      <c r="W54" s="25">
        <v>0.58749999999999947</v>
      </c>
      <c r="X54" s="25">
        <v>0.59195833333333359</v>
      </c>
      <c r="Y54" s="25">
        <v>0.47452083333333345</v>
      </c>
      <c r="Z54" s="25">
        <v>0.46093750000000028</v>
      </c>
      <c r="AA54" s="25">
        <v>0.41262500000000002</v>
      </c>
      <c r="AB54" s="25">
        <v>0.42366666666666664</v>
      </c>
      <c r="AC54" s="25">
        <v>0.24770138888888907</v>
      </c>
      <c r="AD54" s="25">
        <v>0.45884027777777775</v>
      </c>
      <c r="AE54" s="27">
        <f t="shared" si="0"/>
        <v>0.50880208333333343</v>
      </c>
      <c r="AF54" s="27">
        <f t="shared" si="1"/>
        <v>0.5068611111111111</v>
      </c>
      <c r="AG54" s="27">
        <f t="shared" si="2"/>
        <v>0.50721401515151521</v>
      </c>
    </row>
    <row r="55" spans="1:33" x14ac:dyDescent="0.25">
      <c r="A55" s="9">
        <v>43762</v>
      </c>
      <c r="B55" s="2">
        <v>32.155514326570334</v>
      </c>
      <c r="C55" s="3">
        <v>14.088606191535614</v>
      </c>
      <c r="D55" s="3">
        <v>82.344466905429783</v>
      </c>
      <c r="E55" s="3">
        <v>1.7756133760524009</v>
      </c>
      <c r="F55" s="3">
        <v>55.873084992683587</v>
      </c>
      <c r="G55" s="3">
        <v>57.328952263624082</v>
      </c>
      <c r="H55" s="3">
        <v>74.603510038695688</v>
      </c>
      <c r="I55" s="3">
        <v>97.711271973367687</v>
      </c>
      <c r="J55" s="23">
        <v>43762</v>
      </c>
      <c r="K55" s="24">
        <v>35.916666666666664</v>
      </c>
      <c r="L55" s="24">
        <v>89.072916666666643</v>
      </c>
      <c r="M55" s="24">
        <v>13.091666666666669</v>
      </c>
      <c r="N55" s="24">
        <v>0.2</v>
      </c>
      <c r="O55" s="24">
        <v>113</v>
      </c>
      <c r="P55" s="24">
        <v>4.479166666666667</v>
      </c>
      <c r="Q55" s="24">
        <v>4.1666666666666664E-2</v>
      </c>
      <c r="R55" s="24">
        <v>11.333333333333336</v>
      </c>
      <c r="S55" s="10">
        <v>0.16525764956053701</v>
      </c>
      <c r="T55" s="25">
        <v>0.41756249999999978</v>
      </c>
      <c r="U55" s="25">
        <v>0.52468749999999997</v>
      </c>
      <c r="V55" s="25">
        <v>0.5703958333333331</v>
      </c>
      <c r="W55" s="25">
        <v>0.5842916666666661</v>
      </c>
      <c r="X55" s="25">
        <v>0.58729166666666599</v>
      </c>
      <c r="Y55" s="25">
        <v>0.46954166666666675</v>
      </c>
      <c r="Z55" s="25">
        <v>0.45943749999999989</v>
      </c>
      <c r="AA55" s="25">
        <v>0.41125000000000006</v>
      </c>
      <c r="AB55" s="25">
        <v>0.41926666666666668</v>
      </c>
      <c r="AC55" s="25">
        <v>0.24356250000000021</v>
      </c>
      <c r="AD55" s="25">
        <v>0.44661111111111107</v>
      </c>
      <c r="AE55" s="27">
        <f t="shared" si="0"/>
        <v>0.50242708333333286</v>
      </c>
      <c r="AF55" s="27">
        <f t="shared" si="1"/>
        <v>0.50326736111111103</v>
      </c>
      <c r="AG55" s="27">
        <f t="shared" si="2"/>
        <v>0.50311458333333325</v>
      </c>
    </row>
    <row r="56" spans="1:33" x14ac:dyDescent="0.25">
      <c r="A56" s="9">
        <v>43763</v>
      </c>
      <c r="B56" s="2">
        <v>6.720067756448123</v>
      </c>
      <c r="C56" s="3">
        <v>29.722009847778079</v>
      </c>
      <c r="D56" s="3">
        <v>17.208880298202619</v>
      </c>
      <c r="E56" s="3">
        <v>41.263732252669364</v>
      </c>
      <c r="F56" s="3">
        <v>0.17088534165619543</v>
      </c>
      <c r="G56" s="3">
        <v>2.6101799949557876</v>
      </c>
      <c r="H56" s="3">
        <v>1.1691303204187748</v>
      </c>
      <c r="I56" s="3">
        <v>1.8716798572161488</v>
      </c>
      <c r="J56" s="23">
        <v>43763</v>
      </c>
      <c r="K56" s="24">
        <v>31.791666666666668</v>
      </c>
      <c r="L56" s="24">
        <v>94.6875</v>
      </c>
      <c r="M56" s="24">
        <v>12.662500000000007</v>
      </c>
      <c r="N56" s="24">
        <v>3.600000000000001</v>
      </c>
      <c r="O56" s="24">
        <v>147.8125</v>
      </c>
      <c r="P56" s="24">
        <v>2.7916666666666665</v>
      </c>
      <c r="Q56" s="24">
        <v>0</v>
      </c>
      <c r="R56" s="24">
        <v>11.827083333333336</v>
      </c>
      <c r="S56" s="10">
        <v>7.7976691749552504E-2</v>
      </c>
      <c r="T56" s="25">
        <v>0.42149999999999999</v>
      </c>
      <c r="U56" s="25">
        <v>0.52224999999999999</v>
      </c>
      <c r="V56" s="25">
        <v>0.56860416666666658</v>
      </c>
      <c r="W56" s="25">
        <v>0.5819375</v>
      </c>
      <c r="X56" s="25">
        <v>0.58583333333333321</v>
      </c>
      <c r="Y56" s="25">
        <v>0.46754166666666647</v>
      </c>
      <c r="Z56" s="25">
        <v>0.45810416666666631</v>
      </c>
      <c r="AA56" s="25">
        <v>0.4102291666666667</v>
      </c>
      <c r="AB56" s="25">
        <v>0.42589166666666661</v>
      </c>
      <c r="AC56" s="25">
        <v>0.2500208333333333</v>
      </c>
      <c r="AD56" s="25">
        <v>0.45413888888888904</v>
      </c>
      <c r="AE56" s="27">
        <f t="shared" si="0"/>
        <v>0.5036666666666666</v>
      </c>
      <c r="AF56" s="27">
        <f t="shared" si="1"/>
        <v>0.50144444444444436</v>
      </c>
      <c r="AG56" s="27">
        <f t="shared" si="2"/>
        <v>0.50184848484848477</v>
      </c>
    </row>
    <row r="57" spans="1:33" x14ac:dyDescent="0.25">
      <c r="A57" s="9">
        <v>43764</v>
      </c>
      <c r="B57" s="2">
        <v>4.5525538963163523</v>
      </c>
      <c r="C57" s="3">
        <v>27.544475346998652</v>
      </c>
      <c r="D57" s="3">
        <v>11.65826862052843</v>
      </c>
      <c r="E57" s="3">
        <v>3.094838760296982</v>
      </c>
      <c r="F57" s="3">
        <v>5.901280419399753</v>
      </c>
      <c r="G57" s="3">
        <v>3.8111190290983652</v>
      </c>
      <c r="H57" s="3">
        <v>25.053980950003897</v>
      </c>
      <c r="I57" s="3">
        <v>42.360155752809817</v>
      </c>
      <c r="J57" s="23">
        <v>43764</v>
      </c>
      <c r="K57" s="24">
        <v>36.083333333333336</v>
      </c>
      <c r="L57" s="24">
        <v>95.00208333333336</v>
      </c>
      <c r="M57" s="24">
        <v>11.022916666666665</v>
      </c>
      <c r="N57" s="24">
        <v>1.2</v>
      </c>
      <c r="O57" s="24">
        <v>196.27083333333334</v>
      </c>
      <c r="P57" s="24">
        <v>2.1458333333333335</v>
      </c>
      <c r="Q57" s="24">
        <v>2.0833333333333332E-2</v>
      </c>
      <c r="R57" s="24">
        <v>10.243749999999997</v>
      </c>
      <c r="S57" s="10">
        <v>6.6807596068204564E-2</v>
      </c>
      <c r="T57" s="25">
        <v>0.43541666666666662</v>
      </c>
      <c r="U57" s="25">
        <v>0.5300208333333335</v>
      </c>
      <c r="V57" s="25">
        <v>0.57160416666666658</v>
      </c>
      <c r="W57" s="25">
        <v>0.58185416666666601</v>
      </c>
      <c r="X57" s="25">
        <v>0.58783333333333354</v>
      </c>
      <c r="Y57" s="25">
        <v>0.46775000000000011</v>
      </c>
      <c r="Z57" s="25">
        <v>0.4573125000000004</v>
      </c>
      <c r="AA57" s="25">
        <v>0.40983333333333344</v>
      </c>
      <c r="AB57" s="25">
        <v>0.42705072463768129</v>
      </c>
      <c r="AC57" s="25">
        <v>0.25022222222222218</v>
      </c>
      <c r="AD57" s="25">
        <v>0.46849305555555559</v>
      </c>
      <c r="AE57" s="27">
        <f t="shared" si="0"/>
        <v>0.51162500000000011</v>
      </c>
      <c r="AF57" s="27">
        <f t="shared" si="1"/>
        <v>0.50306249999999997</v>
      </c>
      <c r="AG57" s="27">
        <f t="shared" si="2"/>
        <v>0.50461931818181816</v>
      </c>
    </row>
    <row r="58" spans="1:33" x14ac:dyDescent="0.25">
      <c r="A58" s="9">
        <v>43765</v>
      </c>
      <c r="B58" s="2">
        <v>11.510038848287742</v>
      </c>
      <c r="C58" s="3">
        <v>68.999566213175555</v>
      </c>
      <c r="D58" s="3">
        <v>29.475131493694601</v>
      </c>
      <c r="E58" s="3">
        <v>3.0198934597690892</v>
      </c>
      <c r="F58" s="3">
        <v>25.04916282317738</v>
      </c>
      <c r="G58" s="3">
        <v>19.112542681807348</v>
      </c>
      <c r="H58" s="3">
        <v>40.847799629537427</v>
      </c>
      <c r="I58" s="3">
        <v>60.130652477015524</v>
      </c>
      <c r="J58" s="23">
        <v>43765</v>
      </c>
      <c r="K58" s="24">
        <v>40.604166666666664</v>
      </c>
      <c r="L58" s="24">
        <v>92.260416666666686</v>
      </c>
      <c r="M58" s="24">
        <v>10.350000000000001</v>
      </c>
      <c r="N58" s="24">
        <v>2.9000000000000004</v>
      </c>
      <c r="O58" s="24">
        <v>159.3125</v>
      </c>
      <c r="P58" s="24">
        <v>1.9375</v>
      </c>
      <c r="Q58" s="24">
        <v>0</v>
      </c>
      <c r="R58" s="24">
        <v>9.1291666666666664</v>
      </c>
      <c r="S58" s="10">
        <v>0.10070052315620774</v>
      </c>
      <c r="T58" s="25">
        <v>0.43977083333333339</v>
      </c>
      <c r="U58" s="25">
        <v>0.53514583333333343</v>
      </c>
      <c r="V58" s="25">
        <v>0.57416666666666683</v>
      </c>
      <c r="W58" s="25">
        <v>0.58710416666666676</v>
      </c>
      <c r="X58" s="25">
        <v>0.58891666666666675</v>
      </c>
      <c r="Y58" s="25">
        <v>0.47072916666666681</v>
      </c>
      <c r="Z58" s="25">
        <v>0.45647916666666649</v>
      </c>
      <c r="AA58" s="25">
        <v>0.40908333333333341</v>
      </c>
      <c r="AB58" s="25">
        <v>0.42774031007751945</v>
      </c>
      <c r="AC58" s="25">
        <v>0.25239583333333337</v>
      </c>
      <c r="AD58" s="25">
        <v>0.4740138888888889</v>
      </c>
      <c r="AE58" s="27">
        <f t="shared" si="0"/>
        <v>0.5143437500000001</v>
      </c>
      <c r="AF58" s="27">
        <f t="shared" si="1"/>
        <v>0.50545138888888885</v>
      </c>
      <c r="AG58" s="27">
        <f t="shared" si="2"/>
        <v>0.50706818181818181</v>
      </c>
    </row>
    <row r="59" spans="1:33" x14ac:dyDescent="0.25">
      <c r="A59" s="9">
        <v>43766</v>
      </c>
      <c r="B59" s="2">
        <v>151.99232821843657</v>
      </c>
      <c r="C59" s="3">
        <v>173.95775977570935</v>
      </c>
      <c r="D59" s="3">
        <v>389.22491221110516</v>
      </c>
      <c r="E59" s="3">
        <v>268.38308673981084</v>
      </c>
      <c r="F59" s="3">
        <v>319.46816075647217</v>
      </c>
      <c r="G59" s="3">
        <v>314.38944769175976</v>
      </c>
      <c r="H59" s="3">
        <v>335.26258651912008</v>
      </c>
      <c r="I59" s="3">
        <v>320.38075973784157</v>
      </c>
      <c r="J59" s="23">
        <v>43766</v>
      </c>
      <c r="K59" s="24">
        <v>139.10416666666666</v>
      </c>
      <c r="L59" s="24">
        <v>81.218750000000014</v>
      </c>
      <c r="M59" s="24">
        <v>12.020833333333336</v>
      </c>
      <c r="N59" s="24">
        <v>1.5999999999999999</v>
      </c>
      <c r="O59" s="24">
        <v>208.54166666666666</v>
      </c>
      <c r="P59" s="24">
        <v>3.8333333333333335</v>
      </c>
      <c r="Q59" s="24">
        <v>6.25E-2</v>
      </c>
      <c r="R59" s="24">
        <v>8.6624999999999996</v>
      </c>
      <c r="S59" s="10">
        <v>0.3061727811525578</v>
      </c>
      <c r="T59" s="25">
        <v>0.43185416666666659</v>
      </c>
      <c r="U59" s="25">
        <v>0.53062499999999979</v>
      </c>
      <c r="V59" s="25">
        <v>0.57099999999999951</v>
      </c>
      <c r="W59" s="25">
        <v>0.58672916666666619</v>
      </c>
      <c r="X59" s="25">
        <v>0.58795833333333325</v>
      </c>
      <c r="Y59" s="25">
        <v>0.47170833333333367</v>
      </c>
      <c r="Z59" s="25">
        <v>0.45541666666666653</v>
      </c>
      <c r="AA59" s="25">
        <v>0.40841666666666671</v>
      </c>
      <c r="AB59" s="25">
        <v>0.42613257575757579</v>
      </c>
      <c r="AC59" s="25">
        <v>0.24872916666666656</v>
      </c>
      <c r="AD59" s="25">
        <v>0.47161111111111115</v>
      </c>
      <c r="AE59" s="27">
        <f t="shared" si="0"/>
        <v>0.50990624999999989</v>
      </c>
      <c r="AF59" s="27">
        <f t="shared" si="1"/>
        <v>0.50398263888888872</v>
      </c>
      <c r="AG59" s="27">
        <f t="shared" si="2"/>
        <v>0.505059659090909</v>
      </c>
    </row>
    <row r="60" spans="1:33" x14ac:dyDescent="0.25">
      <c r="A60" s="9">
        <v>43767</v>
      </c>
      <c r="B60" s="2">
        <v>166.9035980963659</v>
      </c>
      <c r="C60" s="3">
        <v>342.36206066068667</v>
      </c>
      <c r="D60" s="3">
        <v>427.40998232103942</v>
      </c>
      <c r="E60" s="3">
        <v>744.14589500442401</v>
      </c>
      <c r="F60" s="3">
        <v>557.32663745618856</v>
      </c>
      <c r="G60" s="3">
        <v>534.26462486128401</v>
      </c>
      <c r="H60" s="3">
        <v>558.28927584788653</v>
      </c>
      <c r="I60" s="3">
        <v>506.80721394733035</v>
      </c>
      <c r="J60" s="23">
        <v>43767</v>
      </c>
      <c r="K60" s="24">
        <v>209.27083333333334</v>
      </c>
      <c r="L60" s="24">
        <v>65.891666666666666</v>
      </c>
      <c r="M60" s="24">
        <v>14.045833333333336</v>
      </c>
      <c r="N60" s="24">
        <v>0</v>
      </c>
      <c r="O60" s="24">
        <v>160.9375</v>
      </c>
      <c r="P60" s="24">
        <v>3.2083333333333335</v>
      </c>
      <c r="Q60" s="24">
        <v>0.125</v>
      </c>
      <c r="R60" s="24">
        <v>6.310416666666665</v>
      </c>
      <c r="S60" s="10">
        <v>0.73471087807759083</v>
      </c>
      <c r="T60" s="25">
        <v>0.41854166666666676</v>
      </c>
      <c r="U60" s="25">
        <v>0.52200000000000002</v>
      </c>
      <c r="V60" s="25">
        <v>0.56620833333333331</v>
      </c>
      <c r="W60" s="25">
        <v>0.58110416666666664</v>
      </c>
      <c r="X60" s="25">
        <v>0.5825416666666664</v>
      </c>
      <c r="Y60" s="25">
        <v>0.46489583333333301</v>
      </c>
      <c r="Z60" s="25">
        <v>0.45343750000000033</v>
      </c>
      <c r="AA60" s="25">
        <v>0.4062083333333335</v>
      </c>
      <c r="AB60" s="25">
        <v>0.41761111111111104</v>
      </c>
      <c r="AC60" s="25">
        <v>0.24072916666666658</v>
      </c>
      <c r="AD60" s="25">
        <v>0.45364583333333325</v>
      </c>
      <c r="AE60" s="27">
        <f t="shared" si="0"/>
        <v>0.50054166666666655</v>
      </c>
      <c r="AF60" s="27">
        <f t="shared" si="1"/>
        <v>0.49897569444444434</v>
      </c>
      <c r="AG60" s="27">
        <f t="shared" si="2"/>
        <v>0.49926041666666654</v>
      </c>
    </row>
    <row r="61" spans="1:33" x14ac:dyDescent="0.25">
      <c r="A61" s="9">
        <v>43768</v>
      </c>
      <c r="B61" s="2">
        <v>197.18941564659653</v>
      </c>
      <c r="C61" s="3">
        <v>407.93468435929469</v>
      </c>
      <c r="D61" s="3">
        <v>504.96649333315372</v>
      </c>
      <c r="E61" s="3">
        <v>760.60234285862532</v>
      </c>
      <c r="F61" s="3">
        <v>501.92140633110239</v>
      </c>
      <c r="G61" s="3">
        <v>492.55972021633983</v>
      </c>
      <c r="H61" s="3">
        <v>542.60585733874996</v>
      </c>
      <c r="I61" s="3">
        <v>503.50648136563171</v>
      </c>
      <c r="J61" s="23">
        <v>43768</v>
      </c>
      <c r="K61" s="24">
        <v>203.60416666666666</v>
      </c>
      <c r="L61" s="24">
        <v>64.683333333333351</v>
      </c>
      <c r="M61" s="24">
        <v>15.154166666666669</v>
      </c>
      <c r="N61" s="24">
        <v>0</v>
      </c>
      <c r="O61" s="24">
        <v>121.16666666666667</v>
      </c>
      <c r="P61" s="24">
        <v>3.8125</v>
      </c>
      <c r="Q61" s="24">
        <v>6.25E-2</v>
      </c>
      <c r="R61" s="24">
        <v>7.5750000000000002</v>
      </c>
      <c r="S61" s="10">
        <v>0.7733736450274562</v>
      </c>
      <c r="T61" s="25">
        <v>0.40906249999999994</v>
      </c>
      <c r="U61" s="25">
        <v>0.51433333333333353</v>
      </c>
      <c r="V61" s="25">
        <v>0.56143750000000014</v>
      </c>
      <c r="W61" s="25">
        <v>0.57631250000000012</v>
      </c>
      <c r="X61" s="25">
        <v>0.57785416666666622</v>
      </c>
      <c r="Y61" s="25">
        <v>0.45918750000000036</v>
      </c>
      <c r="Z61" s="25">
        <v>0.45047916666666704</v>
      </c>
      <c r="AA61" s="25">
        <v>0.4035208333333335</v>
      </c>
      <c r="AB61" s="25">
        <v>0.40304022988505744</v>
      </c>
      <c r="AC61" s="25">
        <v>0.23189583333333333</v>
      </c>
      <c r="AD61" s="25">
        <v>0.43329861111111106</v>
      </c>
      <c r="AE61" s="27">
        <f t="shared" si="0"/>
        <v>0.49345833333333311</v>
      </c>
      <c r="AF61" s="27">
        <f t="shared" si="1"/>
        <v>0.49421180555555583</v>
      </c>
      <c r="AG61" s="27">
        <f t="shared" si="2"/>
        <v>0.49407481060606079</v>
      </c>
    </row>
    <row r="62" spans="1:33" x14ac:dyDescent="0.25">
      <c r="A62" s="9">
        <v>43769</v>
      </c>
      <c r="B62" s="2">
        <v>197.23828383661291</v>
      </c>
      <c r="C62" s="3">
        <v>405.59159092128016</v>
      </c>
      <c r="D62" s="3">
        <v>505.09163594523153</v>
      </c>
      <c r="E62" s="3">
        <v>798.93051527475802</v>
      </c>
      <c r="F62" s="3">
        <v>568.00185532533703</v>
      </c>
      <c r="G62" s="3">
        <v>484.53669746497741</v>
      </c>
      <c r="H62" s="3">
        <v>557.34606883005779</v>
      </c>
      <c r="I62" s="3">
        <v>507.4226302480144</v>
      </c>
      <c r="J62" s="23">
        <v>43769</v>
      </c>
      <c r="K62" s="24">
        <v>206.60416666666666</v>
      </c>
      <c r="L62" s="24">
        <v>63.35</v>
      </c>
      <c r="M62" s="24">
        <v>15.610416666666664</v>
      </c>
      <c r="N62" s="24">
        <v>0</v>
      </c>
      <c r="O62" s="24">
        <v>125.16666666666667</v>
      </c>
      <c r="P62" s="24">
        <v>3.9791666666666665</v>
      </c>
      <c r="Q62" s="24">
        <v>0.20833333333333334</v>
      </c>
      <c r="R62" s="24">
        <v>7.1750000000000016</v>
      </c>
      <c r="S62" s="10">
        <v>0.81846006486643985</v>
      </c>
      <c r="T62" s="25">
        <v>0.40268749999999981</v>
      </c>
      <c r="U62" s="25">
        <v>0.50906250000000053</v>
      </c>
      <c r="V62" s="25">
        <v>0.5585833333333331</v>
      </c>
      <c r="W62" s="25">
        <v>0.57410416666666686</v>
      </c>
      <c r="X62" s="25">
        <v>0.57418749999999996</v>
      </c>
      <c r="Y62" s="25">
        <v>0.45516666666666716</v>
      </c>
      <c r="Z62" s="25">
        <v>0.44800000000000018</v>
      </c>
      <c r="AA62" s="25">
        <v>0.40056250000000015</v>
      </c>
      <c r="AB62" s="25">
        <v>0.39079523809523797</v>
      </c>
      <c r="AC62" s="25">
        <v>0.22230902777777781</v>
      </c>
      <c r="AD62" s="25">
        <v>0.41547222222222208</v>
      </c>
      <c r="AE62" s="27">
        <f t="shared" si="0"/>
        <v>0.48843749999999986</v>
      </c>
      <c r="AF62" s="27">
        <f t="shared" si="1"/>
        <v>0.49091319444444476</v>
      </c>
      <c r="AG62" s="27">
        <f t="shared" si="2"/>
        <v>0.4904630681818184</v>
      </c>
    </row>
    <row r="63" spans="1:33" x14ac:dyDescent="0.25">
      <c r="A63" s="9">
        <v>43770</v>
      </c>
      <c r="B63" s="2">
        <v>226.04915453369907</v>
      </c>
      <c r="C63" s="3">
        <v>404.27001584728856</v>
      </c>
      <c r="D63" s="3">
        <v>578.87107435006158</v>
      </c>
      <c r="E63" s="3">
        <v>749.24602370557625</v>
      </c>
      <c r="F63" s="3">
        <v>533.37236444885184</v>
      </c>
      <c r="G63" s="3">
        <v>478.56697002759671</v>
      </c>
      <c r="H63" s="3">
        <v>483.32662448116707</v>
      </c>
      <c r="I63" s="3">
        <v>441.45536985606554</v>
      </c>
      <c r="J63" s="23">
        <v>43770</v>
      </c>
      <c r="K63" s="24">
        <v>196.5</v>
      </c>
      <c r="L63" s="24">
        <v>68.693749999999994</v>
      </c>
      <c r="M63" s="24">
        <v>15.827083333333333</v>
      </c>
      <c r="N63" s="24">
        <v>0</v>
      </c>
      <c r="O63" s="24">
        <v>140.33333333333334</v>
      </c>
      <c r="P63" s="24">
        <v>5.166666666666667</v>
      </c>
      <c r="Q63" s="24">
        <v>0.58333333333333337</v>
      </c>
      <c r="R63" s="24">
        <v>9.6416666666666657</v>
      </c>
      <c r="S63" s="10">
        <v>0.64403681361812415</v>
      </c>
      <c r="T63" s="25">
        <v>0.39418749999999986</v>
      </c>
      <c r="U63" s="25">
        <v>0.50275000000000014</v>
      </c>
      <c r="V63" s="25">
        <v>0.55462500000000026</v>
      </c>
      <c r="W63" s="25">
        <v>0.57208333333333361</v>
      </c>
      <c r="X63" s="25">
        <v>0.5681666666666666</v>
      </c>
      <c r="Y63" s="25">
        <v>0.44960416666666642</v>
      </c>
      <c r="Z63" s="25">
        <v>0.44466666666666682</v>
      </c>
      <c r="AA63" s="25">
        <v>0.39702083333333332</v>
      </c>
      <c r="AB63" s="25">
        <v>0.37936842105263163</v>
      </c>
      <c r="AC63" s="25">
        <v>0.21088194444444441</v>
      </c>
      <c r="AD63" s="25">
        <v>0.39478472222222233</v>
      </c>
      <c r="AE63" s="27">
        <f t="shared" si="0"/>
        <v>0.4811770833333332</v>
      </c>
      <c r="AF63" s="27">
        <f t="shared" si="1"/>
        <v>0.48679166666666679</v>
      </c>
      <c r="AG63" s="27">
        <f t="shared" si="2"/>
        <v>0.48577083333333337</v>
      </c>
    </row>
    <row r="64" spans="1:33" x14ac:dyDescent="0.25">
      <c r="A64" s="9">
        <v>43771</v>
      </c>
      <c r="B64" s="2">
        <v>22.499764328151119</v>
      </c>
      <c r="C64" s="3">
        <v>20.779005916584605</v>
      </c>
      <c r="D64" s="3">
        <v>57.617834387070722</v>
      </c>
      <c r="E64" s="3">
        <v>16.510698692869607</v>
      </c>
      <c r="F64" s="3">
        <v>45.191003831659479</v>
      </c>
      <c r="G64" s="3">
        <v>20.470325056100158</v>
      </c>
      <c r="H64" s="3">
        <v>51.5364950189091</v>
      </c>
      <c r="I64" s="3">
        <v>45.289174401010733</v>
      </c>
      <c r="J64" s="23">
        <v>43771</v>
      </c>
      <c r="K64" s="24">
        <v>34.9375</v>
      </c>
      <c r="L64" s="24">
        <v>89.375</v>
      </c>
      <c r="M64" s="24">
        <v>13.864583333333334</v>
      </c>
      <c r="N64" s="24">
        <v>0.4</v>
      </c>
      <c r="O64" s="24">
        <v>167.85416666666666</v>
      </c>
      <c r="P64" s="24">
        <v>2.625</v>
      </c>
      <c r="Q64" s="24">
        <v>0</v>
      </c>
      <c r="R64" s="24">
        <v>12.122916666666663</v>
      </c>
      <c r="S64" s="10">
        <v>0.16970323655771993</v>
      </c>
      <c r="T64" s="25">
        <v>0.38939583333333333</v>
      </c>
      <c r="U64" s="25">
        <v>0.49933333333333357</v>
      </c>
      <c r="V64" s="25">
        <v>0.55333333333333357</v>
      </c>
      <c r="W64" s="25">
        <v>0.57108333333333372</v>
      </c>
      <c r="X64" s="25">
        <v>0.56479166666666647</v>
      </c>
      <c r="Y64" s="25">
        <v>0.44750000000000001</v>
      </c>
      <c r="Z64" s="25">
        <v>0.44360416666666697</v>
      </c>
      <c r="AA64" s="25">
        <v>0.39487499999999959</v>
      </c>
      <c r="AB64" s="25">
        <v>0.37153240740740728</v>
      </c>
      <c r="AC64" s="25">
        <v>0.20244444444444443</v>
      </c>
      <c r="AD64" s="25">
        <v>0.37887500000000002</v>
      </c>
      <c r="AE64" s="27">
        <f t="shared" si="0"/>
        <v>0.47709374999999987</v>
      </c>
      <c r="AF64" s="27">
        <f t="shared" si="1"/>
        <v>0.48495486111111119</v>
      </c>
      <c r="AG64" s="27">
        <f t="shared" si="2"/>
        <v>0.48352556818181824</v>
      </c>
    </row>
    <row r="65" spans="1:33" x14ac:dyDescent="0.25">
      <c r="A65" s="9">
        <v>43772</v>
      </c>
      <c r="B65" s="2">
        <v>162.67293538464438</v>
      </c>
      <c r="C65" s="3">
        <v>141.57553052598197</v>
      </c>
      <c r="D65" s="3">
        <v>416.57601891074103</v>
      </c>
      <c r="E65" s="3">
        <v>126.22768075890633</v>
      </c>
      <c r="F65" s="3">
        <v>215.3486877068336</v>
      </c>
      <c r="G65" s="3">
        <v>173.11446533119204</v>
      </c>
      <c r="H65" s="3">
        <v>198.62035184764605</v>
      </c>
      <c r="I65" s="3">
        <v>134.54895740919443</v>
      </c>
      <c r="J65" s="23">
        <v>43772</v>
      </c>
      <c r="K65" s="24">
        <v>84.791666666666671</v>
      </c>
      <c r="L65" s="24">
        <v>83.577083333333306</v>
      </c>
      <c r="M65" s="24">
        <v>12.591666666666669</v>
      </c>
      <c r="N65" s="24">
        <v>0.2</v>
      </c>
      <c r="O65" s="24">
        <v>206.64583333333334</v>
      </c>
      <c r="P65" s="24">
        <v>3.0208333333333335</v>
      </c>
      <c r="Q65" s="24">
        <v>0.10416666666666667</v>
      </c>
      <c r="R65" s="24">
        <v>9.8020833333333304</v>
      </c>
      <c r="S65" s="10">
        <v>0.25346100317309772</v>
      </c>
      <c r="T65" s="25">
        <v>0.38231250000000022</v>
      </c>
      <c r="U65" s="25">
        <v>0.49362500000000004</v>
      </c>
      <c r="V65" s="25">
        <v>0.54935416666666714</v>
      </c>
      <c r="W65" s="25">
        <v>0.56931250000000022</v>
      </c>
      <c r="X65" s="25">
        <v>0.55929166666666641</v>
      </c>
      <c r="Y65" s="25">
        <v>0.44456250000000019</v>
      </c>
      <c r="Z65" s="25">
        <v>0.44204166666666672</v>
      </c>
      <c r="AA65" s="25">
        <v>0.39337500000000003</v>
      </c>
      <c r="AB65" s="25">
        <v>0.36553819444444446</v>
      </c>
      <c r="AC65" s="25">
        <v>0.19625000000000001</v>
      </c>
      <c r="AD65" s="25">
        <v>0.36642361111111121</v>
      </c>
      <c r="AE65" s="27">
        <f t="shared" si="0"/>
        <v>0.47080208333333329</v>
      </c>
      <c r="AF65" s="27">
        <f t="shared" si="1"/>
        <v>0.48204513888888911</v>
      </c>
      <c r="AG65" s="27">
        <f t="shared" si="2"/>
        <v>0.48000094696969714</v>
      </c>
    </row>
    <row r="66" spans="1:33" x14ac:dyDescent="0.25">
      <c r="A66" s="9">
        <v>43773</v>
      </c>
      <c r="B66" s="2">
        <v>201.41165071475234</v>
      </c>
      <c r="C66" s="3">
        <v>252.53377751274161</v>
      </c>
      <c r="D66" s="3">
        <v>515.77887506978834</v>
      </c>
      <c r="E66" s="3">
        <v>422.23727510092118</v>
      </c>
      <c r="F66" s="3">
        <v>491.03257893872052</v>
      </c>
      <c r="G66" s="3">
        <v>390.8691795392777</v>
      </c>
      <c r="H66" s="3">
        <v>386.2535010608587</v>
      </c>
      <c r="I66" s="3">
        <v>175.29316277340092</v>
      </c>
      <c r="J66" s="23">
        <v>43773</v>
      </c>
      <c r="K66" s="24">
        <v>143.04166666666666</v>
      </c>
      <c r="L66" s="24">
        <v>66.55416666666666</v>
      </c>
      <c r="M66" s="24">
        <v>13.299999999999999</v>
      </c>
      <c r="N66" s="24">
        <v>0</v>
      </c>
      <c r="O66" s="24">
        <v>129.5</v>
      </c>
      <c r="P66" s="24">
        <v>4.041666666666667</v>
      </c>
      <c r="Q66" s="24">
        <v>0.41666666666666669</v>
      </c>
      <c r="R66" s="24">
        <v>6.5791666666666693</v>
      </c>
      <c r="S66" s="10">
        <v>0.58904358750742258</v>
      </c>
      <c r="T66" s="25">
        <v>0.37181250000000005</v>
      </c>
      <c r="U66" s="25">
        <v>0.48627083333333337</v>
      </c>
      <c r="V66" s="25">
        <v>0.5438333333333335</v>
      </c>
      <c r="W66" s="25">
        <v>0.56620833333333354</v>
      </c>
      <c r="X66" s="25">
        <v>0.55104166666666687</v>
      </c>
      <c r="Y66" s="25">
        <v>0.43849999999999967</v>
      </c>
      <c r="Z66" s="25">
        <v>0.43787499999999979</v>
      </c>
      <c r="AA66" s="25">
        <v>0.38979166666666676</v>
      </c>
      <c r="AB66" s="25">
        <v>0.35712698412698402</v>
      </c>
      <c r="AC66" s="25">
        <v>0.18721527777777772</v>
      </c>
      <c r="AD66" s="25">
        <v>0.35006944444444449</v>
      </c>
      <c r="AE66" s="27">
        <f t="shared" si="0"/>
        <v>0.46142708333333349</v>
      </c>
      <c r="AF66" s="27">
        <f t="shared" si="1"/>
        <v>0.47707986111111111</v>
      </c>
      <c r="AG66" s="27">
        <f t="shared" si="2"/>
        <v>0.47423390151515155</v>
      </c>
    </row>
    <row r="67" spans="1:33" x14ac:dyDescent="0.25">
      <c r="A67" s="9">
        <v>43774</v>
      </c>
      <c r="B67" s="2">
        <v>133.65315712191477</v>
      </c>
      <c r="C67" s="3">
        <v>95.339445575999704</v>
      </c>
      <c r="D67" s="3">
        <v>342.26160594600452</v>
      </c>
      <c r="E67" s="3">
        <v>92.347708509795979</v>
      </c>
      <c r="F67" s="3">
        <v>225.21850060863386</v>
      </c>
      <c r="G67" s="3">
        <v>147.33687765260257</v>
      </c>
      <c r="H67" s="3">
        <v>195.91068166577617</v>
      </c>
      <c r="I67" s="3">
        <v>95.850002389185008</v>
      </c>
      <c r="J67" s="23">
        <v>43774</v>
      </c>
      <c r="K67" s="24">
        <v>51.6875</v>
      </c>
      <c r="L67" s="24">
        <v>73.654166666666654</v>
      </c>
      <c r="M67" s="24">
        <v>12.352083333333333</v>
      </c>
      <c r="N67" s="24">
        <v>0.2</v>
      </c>
      <c r="O67" s="24">
        <v>128.125</v>
      </c>
      <c r="P67" s="24">
        <v>3.8333333333333335</v>
      </c>
      <c r="Q67" s="24">
        <v>6.25E-2</v>
      </c>
      <c r="R67" s="24">
        <v>7.7125000000000012</v>
      </c>
      <c r="S67" s="10">
        <v>0.38468004061654781</v>
      </c>
      <c r="T67" s="25">
        <v>0.35945833333333327</v>
      </c>
      <c r="U67" s="25">
        <v>0.47841666666666666</v>
      </c>
      <c r="V67" s="25">
        <v>0.53766666666666696</v>
      </c>
      <c r="W67" s="25">
        <v>0.5624166666666669</v>
      </c>
      <c r="X67" s="25">
        <v>0.54127083333333326</v>
      </c>
      <c r="Y67" s="25">
        <v>0.4314374999999997</v>
      </c>
      <c r="Z67" s="25">
        <v>0.43272916666666689</v>
      </c>
      <c r="AA67" s="25">
        <v>0.38545833333333329</v>
      </c>
      <c r="AB67" s="25">
        <v>0.34715277777777781</v>
      </c>
      <c r="AC67" s="25">
        <v>0.17752777777777765</v>
      </c>
      <c r="AD67" s="25">
        <v>0.3330555555555556</v>
      </c>
      <c r="AE67" s="27">
        <f t="shared" si="0"/>
        <v>0.45036458333333329</v>
      </c>
      <c r="AF67" s="27">
        <f t="shared" si="1"/>
        <v>0.47135416666666674</v>
      </c>
      <c r="AG67" s="27">
        <f t="shared" si="2"/>
        <v>0.46753787878787884</v>
      </c>
    </row>
    <row r="68" spans="1:33" x14ac:dyDescent="0.25">
      <c r="A68" s="9">
        <v>43775</v>
      </c>
      <c r="B68" s="2">
        <v>0.29232337027334881</v>
      </c>
      <c r="C68" s="3">
        <v>1.3413988150695835</v>
      </c>
      <c r="D68" s="3">
        <v>0.7485873758600482</v>
      </c>
      <c r="E68" s="3">
        <v>0.7647669000327838</v>
      </c>
      <c r="F68" s="3">
        <v>9.7558319647451448</v>
      </c>
      <c r="G68" s="3">
        <v>0.29767530741216713</v>
      </c>
      <c r="H68" s="3">
        <v>11.896534646498701</v>
      </c>
      <c r="I68" s="3">
        <v>21.714011389089254</v>
      </c>
      <c r="J68" s="23">
        <v>43775</v>
      </c>
      <c r="K68" s="24">
        <v>24.229166666666668</v>
      </c>
      <c r="L68" s="24">
        <v>88.606250000000003</v>
      </c>
      <c r="M68" s="24">
        <v>11.366666666666667</v>
      </c>
      <c r="N68" s="24">
        <v>1.5</v>
      </c>
      <c r="O68" s="24">
        <v>157.1875</v>
      </c>
      <c r="P68" s="24">
        <v>3.7083333333333335</v>
      </c>
      <c r="Q68" s="24">
        <v>0.16666666666666666</v>
      </c>
      <c r="R68" s="24">
        <v>9.5416666666666696</v>
      </c>
      <c r="S68" s="10">
        <v>0.15437951022229429</v>
      </c>
      <c r="T68" s="25">
        <v>0.35072916666666659</v>
      </c>
      <c r="U68" s="25">
        <v>0.47147916666666667</v>
      </c>
      <c r="V68" s="25">
        <v>0.53245833333333314</v>
      </c>
      <c r="W68" s="25">
        <v>0.55935416666666682</v>
      </c>
      <c r="X68" s="25">
        <v>0.53420833333333362</v>
      </c>
      <c r="Y68" s="25">
        <v>0.42710416666666634</v>
      </c>
      <c r="Z68" s="25">
        <v>0.42974999999999958</v>
      </c>
      <c r="AA68" s="25">
        <v>0.38306249999999992</v>
      </c>
      <c r="AB68" s="25">
        <v>0.34187499999999998</v>
      </c>
      <c r="AC68" s="25">
        <v>0.17272916666666663</v>
      </c>
      <c r="AD68" s="25">
        <v>0.32402777777777769</v>
      </c>
      <c r="AE68" s="27">
        <f t="shared" si="0"/>
        <v>0.44246875000000008</v>
      </c>
      <c r="AF68" s="27">
        <f t="shared" si="1"/>
        <v>0.46720138888888868</v>
      </c>
      <c r="AG68" s="27">
        <f t="shared" si="2"/>
        <v>0.46270454545454531</v>
      </c>
    </row>
    <row r="69" spans="1:33" x14ac:dyDescent="0.25">
      <c r="A69" s="9">
        <v>43776</v>
      </c>
      <c r="B69" s="2">
        <v>161.80759396678511</v>
      </c>
      <c r="C69" s="3">
        <v>132.06604677253682</v>
      </c>
      <c r="D69" s="3">
        <v>414.36003576641514</v>
      </c>
      <c r="E69" s="3">
        <v>155.0524565193102</v>
      </c>
      <c r="F69" s="3">
        <v>227.75432671129818</v>
      </c>
      <c r="G69" s="3">
        <v>169.35942480315677</v>
      </c>
      <c r="H69" s="3">
        <v>208.3629406946431</v>
      </c>
      <c r="I69" s="3">
        <v>196.44241108505722</v>
      </c>
      <c r="J69" s="23">
        <v>43776</v>
      </c>
      <c r="K69" s="24">
        <v>86.125</v>
      </c>
      <c r="L69" s="24">
        <v>78.141666666666637</v>
      </c>
      <c r="M69" s="24">
        <v>12.320833333333338</v>
      </c>
      <c r="N69" s="24">
        <v>0</v>
      </c>
      <c r="O69" s="24">
        <v>161.97916666666666</v>
      </c>
      <c r="P69" s="24">
        <v>3.4375</v>
      </c>
      <c r="Q69" s="24">
        <v>6.25E-2</v>
      </c>
      <c r="R69" s="24">
        <v>8.497916666666665</v>
      </c>
      <c r="S69" s="10">
        <v>0.33183548399559409</v>
      </c>
      <c r="T69" s="25">
        <v>0.34395833333333337</v>
      </c>
      <c r="U69" s="25">
        <v>0.4655416666666668</v>
      </c>
      <c r="V69" s="25">
        <v>0.52714583333333287</v>
      </c>
      <c r="W69" s="25">
        <v>0.55583333333333307</v>
      </c>
      <c r="X69" s="25">
        <v>0.52831250000000018</v>
      </c>
      <c r="Y69" s="25">
        <v>0.42250000000000032</v>
      </c>
      <c r="Z69" s="25">
        <v>0.42693750000000003</v>
      </c>
      <c r="AA69" s="25">
        <v>0.38014583333333335</v>
      </c>
      <c r="AB69" s="25">
        <v>0.34085416666666674</v>
      </c>
      <c r="AC69" s="25">
        <v>0.16910416666666664</v>
      </c>
      <c r="AD69" s="25">
        <v>0.31699999999999989</v>
      </c>
      <c r="AE69" s="27">
        <f t="shared" si="0"/>
        <v>0.43613541666666678</v>
      </c>
      <c r="AF69" s="27">
        <f t="shared" si="1"/>
        <v>0.46301736111111108</v>
      </c>
      <c r="AG69" s="27">
        <f t="shared" si="2"/>
        <v>0.4581297348484849</v>
      </c>
    </row>
    <row r="70" spans="1:33" x14ac:dyDescent="0.25">
      <c r="A70" s="9">
        <v>43777</v>
      </c>
      <c r="B70" s="2">
        <v>135.09051494091943</v>
      </c>
      <c r="C70" s="3">
        <v>101.29806909188586</v>
      </c>
      <c r="D70" s="3">
        <v>345.94241982309711</v>
      </c>
      <c r="E70" s="3">
        <v>100.19839200127103</v>
      </c>
      <c r="F70" s="3">
        <v>161.24984608441935</v>
      </c>
      <c r="G70" s="3">
        <v>105.80866726861919</v>
      </c>
      <c r="H70" s="3">
        <v>156.20321059564549</v>
      </c>
      <c r="I70" s="3">
        <v>155.96954633808653</v>
      </c>
      <c r="J70" s="23">
        <v>43777</v>
      </c>
      <c r="K70" s="24">
        <v>56.770833333333336</v>
      </c>
      <c r="L70" s="24">
        <v>78.389583333333306</v>
      </c>
      <c r="M70" s="24">
        <v>11.983333333333329</v>
      </c>
      <c r="N70" s="24">
        <v>0</v>
      </c>
      <c r="O70" s="24">
        <v>180.47916666666666</v>
      </c>
      <c r="P70" s="24">
        <v>2.75</v>
      </c>
      <c r="Q70" s="24">
        <v>4.1666666666666664E-2</v>
      </c>
      <c r="R70" s="24">
        <v>8.2854166666666664</v>
      </c>
      <c r="S70" s="10">
        <v>0.31158692943051569</v>
      </c>
      <c r="T70" s="25">
        <v>0.33408333333333334</v>
      </c>
      <c r="U70" s="25">
        <v>0.45902083333333349</v>
      </c>
      <c r="V70" s="25">
        <v>0.52216666666666656</v>
      </c>
      <c r="W70" s="25">
        <v>0.55224999999999969</v>
      </c>
      <c r="X70" s="25">
        <v>0.52154166666666624</v>
      </c>
      <c r="Y70" s="25">
        <v>0.41702083333333317</v>
      </c>
      <c r="Z70" s="25">
        <v>0.42206250000000028</v>
      </c>
      <c r="AA70" s="25">
        <v>0.37572916666666661</v>
      </c>
      <c r="AB70" s="25">
        <v>0.32931851851851857</v>
      </c>
      <c r="AC70" s="25">
        <v>0.16259027777777776</v>
      </c>
      <c r="AD70" s="25">
        <v>0.30680555555555555</v>
      </c>
      <c r="AE70" s="27">
        <f t="shared" ref="AE70:AE133" si="3">AVERAGE(T70,X70)</f>
        <v>0.42781249999999982</v>
      </c>
      <c r="AF70" s="27">
        <f t="shared" ref="AF70:AF133" si="4">AVERAGE(U70:W70,Y70:AA70)</f>
        <v>0.45804166666666662</v>
      </c>
      <c r="AG70" s="27">
        <f t="shared" ref="AG70:AG133" si="5">(AE70*10+AF70*45)/55</f>
        <v>0.45254545454545447</v>
      </c>
    </row>
    <row r="71" spans="1:33" x14ac:dyDescent="0.25">
      <c r="A71" s="9">
        <v>43778</v>
      </c>
      <c r="B71" s="2">
        <v>82.501331899977075</v>
      </c>
      <c r="C71" s="3">
        <v>62.87381608708268</v>
      </c>
      <c r="D71" s="3">
        <v>211.27101638918583</v>
      </c>
      <c r="E71" s="3">
        <v>47.878127886746917</v>
      </c>
      <c r="F71" s="3">
        <v>87.307430100906032</v>
      </c>
      <c r="G71" s="3">
        <v>49.474828263702577</v>
      </c>
      <c r="H71" s="3">
        <v>98.867473432006818</v>
      </c>
      <c r="I71" s="3">
        <v>94.465596470726794</v>
      </c>
      <c r="J71" s="23">
        <v>43778</v>
      </c>
      <c r="K71" s="24">
        <v>38.25</v>
      </c>
      <c r="L71" s="24">
        <v>83.05</v>
      </c>
      <c r="M71" s="24">
        <v>12.435416666666669</v>
      </c>
      <c r="N71" s="24">
        <v>1</v>
      </c>
      <c r="O71" s="24">
        <v>158.54166666666666</v>
      </c>
      <c r="P71" s="24">
        <v>3.8125</v>
      </c>
      <c r="Q71" s="24">
        <v>0.27083333333333331</v>
      </c>
      <c r="R71" s="24">
        <v>9.6166666666666689</v>
      </c>
      <c r="S71" s="10">
        <v>0.24896009249766529</v>
      </c>
      <c r="T71" s="25">
        <v>0.32568749999999991</v>
      </c>
      <c r="U71" s="25">
        <v>0.45293749999999999</v>
      </c>
      <c r="V71" s="25">
        <v>0.51783333333333326</v>
      </c>
      <c r="W71" s="25">
        <v>0.54870833333333335</v>
      </c>
      <c r="X71" s="25">
        <v>0.5158541666666665</v>
      </c>
      <c r="Y71" s="25">
        <v>0.41229166666666694</v>
      </c>
      <c r="Z71" s="25">
        <v>0.41835416666666686</v>
      </c>
      <c r="AA71" s="25">
        <v>0.37222916666666667</v>
      </c>
      <c r="AB71" s="25">
        <v>0.32198611111111108</v>
      </c>
      <c r="AC71" s="25">
        <v>0.15755555555555553</v>
      </c>
      <c r="AD71" s="25">
        <v>0.2997361111111112</v>
      </c>
      <c r="AE71" s="27">
        <f t="shared" si="3"/>
        <v>0.42077083333333321</v>
      </c>
      <c r="AF71" s="27">
        <f t="shared" si="4"/>
        <v>0.45372569444444455</v>
      </c>
      <c r="AG71" s="27">
        <f t="shared" si="5"/>
        <v>0.44773390151515158</v>
      </c>
    </row>
    <row r="72" spans="1:33" x14ac:dyDescent="0.25">
      <c r="A72" s="9">
        <v>43779</v>
      </c>
      <c r="B72" s="2">
        <v>24.069211794325742</v>
      </c>
      <c r="C72" s="3">
        <v>13.459023146958577</v>
      </c>
      <c r="D72" s="3">
        <v>61.636906003394984</v>
      </c>
      <c r="E72" s="3">
        <v>38.154849149779388</v>
      </c>
      <c r="F72" s="3">
        <v>40.177258446559051</v>
      </c>
      <c r="G72" s="3">
        <v>35.665834242402816</v>
      </c>
      <c r="H72" s="3">
        <v>92.562690701674683</v>
      </c>
      <c r="I72" s="3">
        <v>71.590222774431894</v>
      </c>
      <c r="J72" s="23">
        <v>43779</v>
      </c>
      <c r="K72" s="24">
        <v>44.229166666666664</v>
      </c>
      <c r="L72" s="24">
        <v>88.483333333333348</v>
      </c>
      <c r="M72" s="24">
        <v>11.799999999999999</v>
      </c>
      <c r="N72" s="24">
        <v>2.6</v>
      </c>
      <c r="O72" s="24">
        <v>174.60416666666666</v>
      </c>
      <c r="P72" s="24">
        <v>1.9166666666666667</v>
      </c>
      <c r="Q72" s="24">
        <v>4.1666666666666664E-2</v>
      </c>
      <c r="R72" s="24">
        <v>9.9270833333333321</v>
      </c>
      <c r="S72" s="10">
        <v>0.16664165370251585</v>
      </c>
      <c r="T72" s="25">
        <v>0.32072916666666684</v>
      </c>
      <c r="U72" s="25">
        <v>0.44827083333333312</v>
      </c>
      <c r="V72" s="25">
        <v>0.51460416666666686</v>
      </c>
      <c r="W72" s="25">
        <v>0.54610416666666706</v>
      </c>
      <c r="X72" s="25">
        <v>0.51216666666666677</v>
      </c>
      <c r="Y72" s="25">
        <v>0.40947916666666706</v>
      </c>
      <c r="Z72" s="25">
        <v>0.41604166666666648</v>
      </c>
      <c r="AA72" s="25">
        <v>0.36964583333333317</v>
      </c>
      <c r="AB72" s="25">
        <v>0.32344814814814804</v>
      </c>
      <c r="AC72" s="25">
        <v>0.16479861111111116</v>
      </c>
      <c r="AD72" s="25">
        <v>0.3020486111111112</v>
      </c>
      <c r="AE72" s="27">
        <f t="shared" si="3"/>
        <v>0.41644791666666681</v>
      </c>
      <c r="AF72" s="27">
        <f t="shared" si="4"/>
        <v>0.45069097222222232</v>
      </c>
      <c r="AG72" s="27">
        <f t="shared" si="5"/>
        <v>0.44446496212121217</v>
      </c>
    </row>
    <row r="73" spans="1:33" x14ac:dyDescent="0.25">
      <c r="A73" s="9">
        <v>43780</v>
      </c>
      <c r="B73" s="2">
        <v>151.41550714303105</v>
      </c>
      <c r="C73" s="3">
        <v>126.43099878398071</v>
      </c>
      <c r="D73" s="3">
        <v>387.7477775749835</v>
      </c>
      <c r="E73" s="3">
        <v>213.10549777316393</v>
      </c>
      <c r="F73" s="3">
        <v>208.9842240521757</v>
      </c>
      <c r="G73" s="3">
        <v>199.6846086224906</v>
      </c>
      <c r="H73" s="3">
        <v>241.3124516566954</v>
      </c>
      <c r="I73" s="3">
        <v>223.04475470269452</v>
      </c>
      <c r="J73" s="23">
        <v>43780</v>
      </c>
      <c r="K73" s="24">
        <v>78.604166666666671</v>
      </c>
      <c r="L73" s="24">
        <v>84.82083333333334</v>
      </c>
      <c r="M73" s="24">
        <v>13.693750000000001</v>
      </c>
      <c r="N73" s="24">
        <v>0</v>
      </c>
      <c r="O73" s="24">
        <v>138.39583333333334</v>
      </c>
      <c r="P73" s="24">
        <v>10.770833333333334</v>
      </c>
      <c r="Q73" s="24">
        <v>1.2708333333333333</v>
      </c>
      <c r="R73" s="24">
        <v>11.118749999999997</v>
      </c>
      <c r="S73" s="10">
        <v>0.25734532601014293</v>
      </c>
      <c r="T73" s="25">
        <v>0.31712500000000027</v>
      </c>
      <c r="U73" s="25">
        <v>0.44456250000000042</v>
      </c>
      <c r="V73" s="25">
        <v>0.51164583333333391</v>
      </c>
      <c r="W73" s="25">
        <v>0.5430416666666672</v>
      </c>
      <c r="X73" s="25">
        <v>0.50891666666666657</v>
      </c>
      <c r="Y73" s="25">
        <v>0.40679166666666688</v>
      </c>
      <c r="Z73" s="25">
        <v>0.41389583333333313</v>
      </c>
      <c r="AA73" s="25">
        <v>0.36785416666666659</v>
      </c>
      <c r="AB73" s="25">
        <v>0.31777131782945744</v>
      </c>
      <c r="AC73" s="25">
        <v>0.16674999999999998</v>
      </c>
      <c r="AD73" s="25">
        <v>0.29876388888888888</v>
      </c>
      <c r="AE73" s="27">
        <f t="shared" si="3"/>
        <v>0.41302083333333339</v>
      </c>
      <c r="AF73" s="27">
        <f t="shared" si="4"/>
        <v>0.44796527777777806</v>
      </c>
      <c r="AG73" s="27">
        <f t="shared" si="5"/>
        <v>0.44161174242424267</v>
      </c>
    </row>
    <row r="74" spans="1:33" x14ac:dyDescent="0.25">
      <c r="A74" s="9">
        <v>43781</v>
      </c>
      <c r="B74" s="2">
        <v>70.827273586875421</v>
      </c>
      <c r="C74" s="3">
        <v>54.154314209767463</v>
      </c>
      <c r="D74" s="3">
        <v>181.37586065781159</v>
      </c>
      <c r="E74" s="3">
        <v>100.51254347917904</v>
      </c>
      <c r="F74" s="3">
        <v>76.207011809841106</v>
      </c>
      <c r="G74" s="3">
        <v>92.212154041635003</v>
      </c>
      <c r="H74" s="3">
        <v>130.28924004945918</v>
      </c>
      <c r="I74" s="3">
        <v>117.62845573372363</v>
      </c>
      <c r="J74" s="23">
        <v>43781</v>
      </c>
      <c r="K74" s="24">
        <v>36.729166666666664</v>
      </c>
      <c r="L74" s="24">
        <v>86.537500000000009</v>
      </c>
      <c r="M74" s="24">
        <v>15.568750000000003</v>
      </c>
      <c r="N74" s="24">
        <v>0</v>
      </c>
      <c r="O74" s="24">
        <v>125.1875</v>
      </c>
      <c r="P74" s="24">
        <v>4.75</v>
      </c>
      <c r="Q74" s="24">
        <v>0.47916666666666669</v>
      </c>
      <c r="R74" s="24">
        <v>13.316666666666668</v>
      </c>
      <c r="S74" s="10">
        <v>0.24357103145475209</v>
      </c>
      <c r="T74" s="25">
        <v>0.31425000000000003</v>
      </c>
      <c r="U74" s="25">
        <v>0.44227083333333339</v>
      </c>
      <c r="V74" s="25">
        <v>0.50975000000000015</v>
      </c>
      <c r="W74" s="25">
        <v>0.54068749999999988</v>
      </c>
      <c r="X74" s="25">
        <v>0.50820833333333282</v>
      </c>
      <c r="Y74" s="25">
        <v>0.4046458333333332</v>
      </c>
      <c r="Z74" s="25">
        <v>0.4108124999999998</v>
      </c>
      <c r="AA74" s="25">
        <v>0.36479166666666701</v>
      </c>
      <c r="AB74" s="25">
        <v>0.31555913978494632</v>
      </c>
      <c r="AC74" s="25">
        <v>0.16144444444444439</v>
      </c>
      <c r="AD74" s="25">
        <v>0.29572222222222228</v>
      </c>
      <c r="AE74" s="27">
        <f t="shared" si="3"/>
        <v>0.41122916666666642</v>
      </c>
      <c r="AF74" s="27">
        <f t="shared" si="4"/>
        <v>0.44549305555555557</v>
      </c>
      <c r="AG74" s="27">
        <f t="shared" si="5"/>
        <v>0.43926325757575752</v>
      </c>
    </row>
    <row r="75" spans="1:33" x14ac:dyDescent="0.25">
      <c r="A75" s="9">
        <v>43782</v>
      </c>
      <c r="B75" s="2">
        <v>87.512715088472319</v>
      </c>
      <c r="C75" s="3">
        <v>29.212027064774954</v>
      </c>
      <c r="D75" s="3">
        <v>224.10426399096625</v>
      </c>
      <c r="E75" s="3">
        <v>120.03834185616556</v>
      </c>
      <c r="F75" s="3">
        <v>56.807329015481791</v>
      </c>
      <c r="G75" s="3">
        <v>72.305047681252617</v>
      </c>
      <c r="H75" s="3">
        <v>115.03249377211269</v>
      </c>
      <c r="I75" s="3">
        <v>96.025459995375527</v>
      </c>
      <c r="J75" s="23">
        <v>43782</v>
      </c>
      <c r="K75" s="24">
        <v>37</v>
      </c>
      <c r="L75" s="24">
        <v>82.82916666666668</v>
      </c>
      <c r="M75" s="24">
        <v>11.687500000000002</v>
      </c>
      <c r="N75" s="24">
        <v>0.9</v>
      </c>
      <c r="O75" s="24">
        <v>228.79166666666666</v>
      </c>
      <c r="P75" s="24">
        <v>7.979166666666667</v>
      </c>
      <c r="Q75" s="24">
        <v>0.10416666666666667</v>
      </c>
      <c r="R75" s="24">
        <v>8.8166666666666682</v>
      </c>
      <c r="S75" s="10">
        <v>0.23933565721813918</v>
      </c>
      <c r="T75" s="25">
        <v>0.31018749999999995</v>
      </c>
      <c r="U75" s="25">
        <v>0.43962499999999999</v>
      </c>
      <c r="V75" s="25">
        <v>0.50877083333333339</v>
      </c>
      <c r="W75" s="25">
        <v>0.53908333333333325</v>
      </c>
      <c r="X75" s="25">
        <v>0.50595833333333362</v>
      </c>
      <c r="Y75" s="25">
        <v>0.40266666666666645</v>
      </c>
      <c r="Z75" s="25">
        <v>0.40895833333333337</v>
      </c>
      <c r="AA75" s="25">
        <v>0.36281249999999998</v>
      </c>
      <c r="AB75" s="25">
        <v>0.31165185185185185</v>
      </c>
      <c r="AC75" s="25">
        <v>0.16090070921985816</v>
      </c>
      <c r="AD75" s="25">
        <v>0.29243749999999991</v>
      </c>
      <c r="AE75" s="27">
        <f t="shared" si="3"/>
        <v>0.40807291666666679</v>
      </c>
      <c r="AF75" s="27">
        <f t="shared" si="4"/>
        <v>0.44365277777777773</v>
      </c>
      <c r="AG75" s="27">
        <f t="shared" si="5"/>
        <v>0.4371837121212121</v>
      </c>
    </row>
    <row r="76" spans="1:33" x14ac:dyDescent="0.25">
      <c r="A76" s="9">
        <v>43783</v>
      </c>
      <c r="B76" s="2">
        <v>233.21775391920741</v>
      </c>
      <c r="C76" s="3">
        <v>314.99114889087554</v>
      </c>
      <c r="D76" s="3">
        <v>597.22856317338642</v>
      </c>
      <c r="E76" s="3">
        <v>715.36407443799726</v>
      </c>
      <c r="F76" s="3">
        <v>423.90133291410473</v>
      </c>
      <c r="G76" s="3">
        <v>391.6318773805454</v>
      </c>
      <c r="H76" s="3">
        <v>403.09875184951511</v>
      </c>
      <c r="I76" s="3">
        <v>384.01433444554999</v>
      </c>
      <c r="J76" s="23">
        <v>43783</v>
      </c>
      <c r="K76" s="24">
        <v>176.72916666666666</v>
      </c>
      <c r="L76" s="24">
        <v>63.006250000000016</v>
      </c>
      <c r="M76" s="24">
        <v>12.543750000000001</v>
      </c>
      <c r="N76" s="24">
        <v>0</v>
      </c>
      <c r="O76" s="24">
        <v>197.70833333333334</v>
      </c>
      <c r="P76" s="24">
        <v>4.6875</v>
      </c>
      <c r="Q76" s="24">
        <v>0.33333333333333331</v>
      </c>
      <c r="R76" s="24">
        <v>5.0125000000000002</v>
      </c>
      <c r="S76" s="10">
        <v>0.63732472269575469</v>
      </c>
      <c r="T76" s="25">
        <v>0.30239583333333336</v>
      </c>
      <c r="U76" s="25">
        <v>0.43289583333333342</v>
      </c>
      <c r="V76" s="25">
        <v>0.50231249999999972</v>
      </c>
      <c r="W76" s="25">
        <v>0.53443750000000012</v>
      </c>
      <c r="X76" s="25">
        <v>0.49866666666666698</v>
      </c>
      <c r="Y76" s="25">
        <v>0.39627083333333352</v>
      </c>
      <c r="Z76" s="25">
        <v>0.40329166666666666</v>
      </c>
      <c r="AA76" s="25">
        <v>0.35847916666666674</v>
      </c>
      <c r="AB76" s="25">
        <v>0.29904901960784308</v>
      </c>
      <c r="AC76" s="25">
        <v>0.15337499999999998</v>
      </c>
      <c r="AD76" s="25">
        <v>0.28583333333333338</v>
      </c>
      <c r="AE76" s="27">
        <f t="shared" si="3"/>
        <v>0.40053125000000017</v>
      </c>
      <c r="AF76" s="27">
        <f t="shared" si="4"/>
        <v>0.43794791666666671</v>
      </c>
      <c r="AG76" s="27">
        <f t="shared" si="5"/>
        <v>0.43114488636363646</v>
      </c>
    </row>
    <row r="77" spans="1:33" x14ac:dyDescent="0.25">
      <c r="A77" s="9">
        <v>43784</v>
      </c>
      <c r="B77" s="2">
        <v>186.97198923375294</v>
      </c>
      <c r="C77" s="3">
        <v>297.23305437103835</v>
      </c>
      <c r="D77" s="3">
        <v>478.80150892126227</v>
      </c>
      <c r="E77" s="3">
        <v>413.33099574206886</v>
      </c>
      <c r="F77" s="3">
        <v>358.68642682353357</v>
      </c>
      <c r="G77" s="3">
        <v>311.22038943396842</v>
      </c>
      <c r="H77" s="3">
        <v>324.71190504485281</v>
      </c>
      <c r="I77" s="3">
        <v>361.11561931742983</v>
      </c>
      <c r="J77" s="23">
        <v>43784</v>
      </c>
      <c r="K77" s="24">
        <v>121.60416666666667</v>
      </c>
      <c r="L77" s="24">
        <v>77.416666666666671</v>
      </c>
      <c r="M77" s="24">
        <v>13.80625</v>
      </c>
      <c r="N77" s="24">
        <v>0</v>
      </c>
      <c r="O77" s="24">
        <v>143.33333333333334</v>
      </c>
      <c r="P77" s="24">
        <v>3.5625</v>
      </c>
      <c r="Q77" s="24">
        <v>4.1666666666666664E-2</v>
      </c>
      <c r="R77" s="24">
        <v>9.7104166666666671</v>
      </c>
      <c r="S77" s="10">
        <v>0.42201480428965149</v>
      </c>
      <c r="T77" s="25">
        <v>0.29720833333333335</v>
      </c>
      <c r="U77" s="25">
        <v>0.42866666666666675</v>
      </c>
      <c r="V77" s="25">
        <v>0.49768749999999956</v>
      </c>
      <c r="W77" s="25">
        <v>0.52989583333333312</v>
      </c>
      <c r="X77" s="25">
        <v>0.4944583333333335</v>
      </c>
      <c r="Y77" s="25">
        <v>0.39056250000000015</v>
      </c>
      <c r="Z77" s="25">
        <v>0.39685416666666634</v>
      </c>
      <c r="AA77" s="25">
        <v>0.35335416666666641</v>
      </c>
      <c r="AB77" s="25">
        <v>0.28677916666666681</v>
      </c>
      <c r="AC77" s="25">
        <v>0.14622222222222217</v>
      </c>
      <c r="AD77" s="25">
        <v>0.27628472222222222</v>
      </c>
      <c r="AE77" s="27">
        <f t="shared" si="3"/>
        <v>0.39583333333333343</v>
      </c>
      <c r="AF77" s="27">
        <f t="shared" si="4"/>
        <v>0.43283680555555543</v>
      </c>
      <c r="AG77" s="27">
        <f t="shared" si="5"/>
        <v>0.42610890151515146</v>
      </c>
    </row>
    <row r="78" spans="1:33" x14ac:dyDescent="0.25">
      <c r="A78" s="9">
        <v>43785</v>
      </c>
      <c r="B78" s="3"/>
      <c r="C78" s="3"/>
      <c r="D78" s="3"/>
      <c r="E78" s="3"/>
      <c r="F78" s="3"/>
      <c r="G78" s="3"/>
      <c r="H78" s="3"/>
      <c r="I78" s="3"/>
      <c r="J78" s="23">
        <v>43785</v>
      </c>
      <c r="K78" s="24">
        <v>77.666666666666671</v>
      </c>
      <c r="L78" s="24">
        <v>82.770833333333343</v>
      </c>
      <c r="M78" s="24">
        <v>16.070833333333344</v>
      </c>
      <c r="N78" s="24">
        <v>0</v>
      </c>
      <c r="O78" s="24">
        <v>137.79166666666666</v>
      </c>
      <c r="P78" s="24">
        <v>12.8125</v>
      </c>
      <c r="Q78" s="24">
        <v>2.7083333333333335</v>
      </c>
      <c r="R78" s="24">
        <v>13.064583333333331</v>
      </c>
      <c r="S78" s="10">
        <v>0.33296608008814393</v>
      </c>
      <c r="T78" s="25">
        <v>0.29481250000000009</v>
      </c>
      <c r="U78" s="25">
        <v>0.42672916666666644</v>
      </c>
      <c r="V78" s="25">
        <v>0.49597916666666708</v>
      </c>
      <c r="W78" s="25">
        <v>0.52733333333333354</v>
      </c>
      <c r="X78" s="25">
        <v>0.49295833333333361</v>
      </c>
      <c r="Y78" s="25">
        <v>0.38735416666666644</v>
      </c>
      <c r="Z78" s="25">
        <v>0.39322916666666652</v>
      </c>
      <c r="AA78" s="25">
        <v>0.35014583333333332</v>
      </c>
      <c r="AB78" s="25">
        <v>0.27941666666666676</v>
      </c>
      <c r="AC78" s="25">
        <v>0.14191666666666664</v>
      </c>
      <c r="AD78" s="25">
        <v>0.27174305555555572</v>
      </c>
      <c r="AE78" s="27">
        <f t="shared" si="3"/>
        <v>0.39388541666666688</v>
      </c>
      <c r="AF78" s="27">
        <f t="shared" si="4"/>
        <v>0.43012847222222222</v>
      </c>
      <c r="AG78" s="27">
        <f t="shared" si="5"/>
        <v>0.42353882575757579</v>
      </c>
    </row>
    <row r="79" spans="1:33" x14ac:dyDescent="0.25">
      <c r="A79" s="9">
        <v>43786</v>
      </c>
      <c r="B79" s="3"/>
      <c r="C79" s="3"/>
      <c r="D79" s="3"/>
      <c r="E79" s="3"/>
      <c r="F79" s="3"/>
      <c r="G79" s="3"/>
      <c r="H79" s="3"/>
      <c r="I79" s="3"/>
      <c r="J79" s="23">
        <v>43786</v>
      </c>
      <c r="K79" s="24">
        <v>49.625</v>
      </c>
      <c r="L79" s="24">
        <v>83.033333333333374</v>
      </c>
      <c r="M79" s="24">
        <v>15.506250000000001</v>
      </c>
      <c r="N79" s="24">
        <v>0</v>
      </c>
      <c r="O79" s="24">
        <v>180.52083333333334</v>
      </c>
      <c r="P79" s="24">
        <v>5.770833333333333</v>
      </c>
      <c r="Q79" s="24">
        <v>0.375</v>
      </c>
      <c r="R79" s="24">
        <v>12.606249999999996</v>
      </c>
      <c r="S79" s="10">
        <v>0.30624105384558969</v>
      </c>
      <c r="T79" s="25">
        <v>0.29168750000000004</v>
      </c>
      <c r="U79" s="25">
        <v>0.4235208333333334</v>
      </c>
      <c r="V79" s="25">
        <v>0.49454166666666644</v>
      </c>
      <c r="W79" s="25">
        <v>0.5247916666666671</v>
      </c>
      <c r="X79" s="25">
        <v>0.49087499999999951</v>
      </c>
      <c r="Y79" s="25">
        <v>0.38464583333333335</v>
      </c>
      <c r="Z79" s="25">
        <v>0.3905833333333335</v>
      </c>
      <c r="AA79" s="25">
        <v>0.34770833333333323</v>
      </c>
      <c r="AB79" s="25">
        <v>0.27031981981981984</v>
      </c>
      <c r="AC79" s="25">
        <v>0.1384305555555557</v>
      </c>
      <c r="AD79" s="25">
        <v>0.26887500000000003</v>
      </c>
      <c r="AE79" s="27">
        <f t="shared" si="3"/>
        <v>0.3912812499999998</v>
      </c>
      <c r="AF79" s="27">
        <f t="shared" si="4"/>
        <v>0.42763194444444447</v>
      </c>
      <c r="AG79" s="27">
        <f t="shared" si="5"/>
        <v>0.42102272727272727</v>
      </c>
    </row>
    <row r="80" spans="1:33" x14ac:dyDescent="0.25">
      <c r="A80" s="9">
        <v>43787</v>
      </c>
      <c r="B80" s="3"/>
      <c r="C80" s="3"/>
      <c r="D80" s="3"/>
      <c r="E80" s="3"/>
      <c r="F80" s="3"/>
      <c r="G80" s="3"/>
      <c r="H80" s="3"/>
      <c r="I80" s="3"/>
      <c r="J80" s="23">
        <v>43787</v>
      </c>
      <c r="K80" s="24">
        <v>26.125</v>
      </c>
      <c r="L80" s="24">
        <v>83.216666666666683</v>
      </c>
      <c r="M80" s="24">
        <v>8.6354166666666696</v>
      </c>
      <c r="N80" s="24">
        <v>0.4</v>
      </c>
      <c r="O80" s="24">
        <v>193.91666666666666</v>
      </c>
      <c r="P80" s="24">
        <v>4.895833333333333</v>
      </c>
      <c r="Q80" s="24">
        <v>0</v>
      </c>
      <c r="R80" s="24">
        <v>5.9333333333333309</v>
      </c>
      <c r="S80" s="10">
        <v>0.19053829286795168</v>
      </c>
      <c r="T80" s="25">
        <v>0.28643750000000012</v>
      </c>
      <c r="U80" s="25">
        <v>0.41814583333333322</v>
      </c>
      <c r="V80" s="25">
        <v>0.4910208333333333</v>
      </c>
      <c r="W80" s="25">
        <v>0.52204166666666663</v>
      </c>
      <c r="X80" s="25">
        <v>0.48500000000000004</v>
      </c>
      <c r="Y80" s="25">
        <v>0.38093750000000021</v>
      </c>
      <c r="Z80" s="25">
        <v>0.38835416666666672</v>
      </c>
      <c r="AA80" s="25">
        <v>0.34600000000000009</v>
      </c>
      <c r="AB80" s="25">
        <v>0.25990070921985814</v>
      </c>
      <c r="AC80" s="25">
        <v>0.1336140350877193</v>
      </c>
      <c r="AD80" s="25">
        <v>0.26425000000000004</v>
      </c>
      <c r="AE80" s="27">
        <f t="shared" si="3"/>
        <v>0.38571875000000011</v>
      </c>
      <c r="AF80" s="27">
        <f t="shared" si="4"/>
        <v>0.42441666666666666</v>
      </c>
      <c r="AG80" s="27">
        <f t="shared" si="5"/>
        <v>0.41738068181818183</v>
      </c>
    </row>
    <row r="81" spans="1:33" x14ac:dyDescent="0.25">
      <c r="A81" s="9">
        <v>43788</v>
      </c>
      <c r="B81" s="3"/>
      <c r="C81" s="3"/>
      <c r="D81" s="3"/>
      <c r="E81" s="3"/>
      <c r="F81" s="3"/>
      <c r="G81" s="3"/>
      <c r="H81" s="3"/>
      <c r="I81" s="3"/>
      <c r="J81" s="23">
        <v>43788</v>
      </c>
      <c r="K81" s="24">
        <v>59.354166666666664</v>
      </c>
      <c r="L81" s="24">
        <v>79.249999999999986</v>
      </c>
      <c r="M81" s="24">
        <v>8.4583333333333357</v>
      </c>
      <c r="N81" s="24">
        <v>0</v>
      </c>
      <c r="O81" s="24">
        <v>137.91666666666666</v>
      </c>
      <c r="P81" s="24">
        <v>4.833333333333333</v>
      </c>
      <c r="Q81" s="24">
        <v>0.10416666666666667</v>
      </c>
      <c r="R81" s="24">
        <v>5.0187499999999998</v>
      </c>
      <c r="S81" s="10">
        <v>0.23953129942852178</v>
      </c>
      <c r="T81" s="25">
        <v>0.28110416666666649</v>
      </c>
      <c r="U81" s="25">
        <v>0.40964583333333326</v>
      </c>
      <c r="V81" s="25">
        <v>0.48460416666666656</v>
      </c>
      <c r="W81" s="25">
        <v>0.51664583333333325</v>
      </c>
      <c r="X81" s="25">
        <v>0.47727083333333309</v>
      </c>
      <c r="Y81" s="25">
        <v>0.37564583333333329</v>
      </c>
      <c r="Z81" s="25">
        <v>0.3851666666666666</v>
      </c>
      <c r="AA81" s="25">
        <v>0.34343750000000012</v>
      </c>
      <c r="AB81" s="25">
        <v>0.25129861111111113</v>
      </c>
      <c r="AC81" s="25">
        <v>0.13103472222222232</v>
      </c>
      <c r="AD81" s="25">
        <v>0.2603125</v>
      </c>
      <c r="AE81" s="27">
        <f t="shared" si="3"/>
        <v>0.37918749999999979</v>
      </c>
      <c r="AF81" s="27">
        <f t="shared" si="4"/>
        <v>0.41919097222222218</v>
      </c>
      <c r="AG81" s="27">
        <f t="shared" si="5"/>
        <v>0.41191761363636359</v>
      </c>
    </row>
    <row r="82" spans="1:33" x14ac:dyDescent="0.25">
      <c r="A82" s="9">
        <v>43789</v>
      </c>
      <c r="B82" s="3"/>
      <c r="C82" s="3"/>
      <c r="D82" s="3"/>
      <c r="E82" s="3"/>
      <c r="F82" s="3"/>
      <c r="G82" s="3"/>
      <c r="H82" s="3"/>
      <c r="I82" s="3"/>
      <c r="J82" s="23">
        <v>43789</v>
      </c>
      <c r="K82" s="24">
        <v>17.3125</v>
      </c>
      <c r="L82" s="24">
        <v>92.781249999999986</v>
      </c>
      <c r="M82" s="24">
        <v>6.8187500000000005</v>
      </c>
      <c r="N82" s="24">
        <v>1.9999999999999998</v>
      </c>
      <c r="O82" s="24">
        <v>128.4375</v>
      </c>
      <c r="P82" s="24">
        <v>3.375</v>
      </c>
      <c r="Q82" s="24">
        <v>0</v>
      </c>
      <c r="R82" s="24">
        <v>5.7208333333333323</v>
      </c>
      <c r="S82" s="10">
        <v>7.1576393273447586E-2</v>
      </c>
      <c r="T82" s="25">
        <v>0.27879166666666688</v>
      </c>
      <c r="U82" s="25">
        <v>0.40370833333333339</v>
      </c>
      <c r="V82" s="25">
        <v>0.47987500000000011</v>
      </c>
      <c r="W82" s="25">
        <v>0.51170833333333365</v>
      </c>
      <c r="X82" s="25">
        <v>0.47275000000000017</v>
      </c>
      <c r="Y82" s="25">
        <v>0.37189583333333337</v>
      </c>
      <c r="Z82" s="25">
        <v>0.3820208333333332</v>
      </c>
      <c r="AA82" s="25">
        <v>0.34089583333333318</v>
      </c>
      <c r="AB82" s="25">
        <v>0.24409027777777781</v>
      </c>
      <c r="AC82" s="25">
        <v>0.12854861111111116</v>
      </c>
      <c r="AD82" s="25">
        <v>0.25699305555555557</v>
      </c>
      <c r="AE82" s="27">
        <f t="shared" si="3"/>
        <v>0.3757708333333335</v>
      </c>
      <c r="AF82" s="27">
        <f t="shared" si="4"/>
        <v>0.41501736111111115</v>
      </c>
      <c r="AG82" s="27">
        <f t="shared" si="5"/>
        <v>0.40788162878787881</v>
      </c>
    </row>
    <row r="83" spans="1:33" x14ac:dyDescent="0.25">
      <c r="A83" s="9">
        <v>43790</v>
      </c>
      <c r="B83" s="3"/>
      <c r="C83" s="3"/>
      <c r="D83" s="3"/>
      <c r="E83" s="3"/>
      <c r="F83" s="3"/>
      <c r="G83" s="3"/>
      <c r="H83" s="3"/>
      <c r="I83" s="3"/>
      <c r="J83" s="23">
        <v>43790</v>
      </c>
      <c r="K83" s="24">
        <v>51.1875</v>
      </c>
      <c r="L83" s="24">
        <v>88.970833333333303</v>
      </c>
      <c r="M83" s="24">
        <v>8.3562499999999993</v>
      </c>
      <c r="N83" s="24">
        <v>0.4</v>
      </c>
      <c r="O83" s="24">
        <v>162.4375</v>
      </c>
      <c r="P83" s="24">
        <v>3.6041666666666665</v>
      </c>
      <c r="Q83" s="24">
        <v>8.3333333333333329E-2</v>
      </c>
      <c r="R83" s="24">
        <v>6.5958333333333314</v>
      </c>
      <c r="S83" s="10">
        <v>0.13024920217785271</v>
      </c>
      <c r="T83" s="25">
        <v>0.27718749999999986</v>
      </c>
      <c r="U83" s="25">
        <v>0.39877083333333313</v>
      </c>
      <c r="V83" s="25">
        <v>0.47591666666666693</v>
      </c>
      <c r="W83" s="25">
        <v>0.50741666666666663</v>
      </c>
      <c r="X83" s="25">
        <v>0.46908333333333352</v>
      </c>
      <c r="Y83" s="25">
        <v>0.36966666666666653</v>
      </c>
      <c r="Z83" s="25">
        <v>0.38018750000000034</v>
      </c>
      <c r="AA83" s="25">
        <v>0.3391458333333332</v>
      </c>
      <c r="AB83" s="25">
        <v>0.24165447154471534</v>
      </c>
      <c r="AC83" s="25">
        <v>0.13183333333333327</v>
      </c>
      <c r="AD83" s="25">
        <v>0.25603472222222218</v>
      </c>
      <c r="AE83" s="27">
        <f t="shared" si="3"/>
        <v>0.37313541666666672</v>
      </c>
      <c r="AF83" s="27">
        <f t="shared" si="4"/>
        <v>0.41185069444444444</v>
      </c>
      <c r="AG83" s="27">
        <f t="shared" si="5"/>
        <v>0.40481155303030303</v>
      </c>
    </row>
    <row r="84" spans="1:33" x14ac:dyDescent="0.25">
      <c r="A84" s="9">
        <v>43791</v>
      </c>
      <c r="B84" s="3"/>
      <c r="C84" s="3"/>
      <c r="D84" s="3"/>
      <c r="E84" s="3"/>
      <c r="F84" s="3"/>
      <c r="G84" s="3"/>
      <c r="H84" s="3"/>
      <c r="I84" s="3"/>
      <c r="J84" s="23">
        <v>43791</v>
      </c>
      <c r="K84" s="24">
        <v>31.791666666666668</v>
      </c>
      <c r="L84" s="24">
        <v>93.720833333333346</v>
      </c>
      <c r="M84" s="24">
        <v>10.914583333333331</v>
      </c>
      <c r="N84" s="24">
        <v>1</v>
      </c>
      <c r="O84" s="24">
        <v>139.6875</v>
      </c>
      <c r="P84" s="24">
        <v>8.4166666666666661</v>
      </c>
      <c r="Q84" s="24">
        <v>0.66666666666666663</v>
      </c>
      <c r="R84" s="24">
        <v>9.9375000000000018</v>
      </c>
      <c r="S84" s="10">
        <v>8.4437349349789526E-2</v>
      </c>
      <c r="T84" s="25">
        <v>0.27760416666666682</v>
      </c>
      <c r="U84" s="25">
        <v>0.3966875000000003</v>
      </c>
      <c r="V84" s="25">
        <v>0.47410416666666677</v>
      </c>
      <c r="W84" s="25">
        <v>0.50387499999999996</v>
      </c>
      <c r="X84" s="25">
        <v>0.46877083333333358</v>
      </c>
      <c r="Y84" s="25">
        <v>0.36899999999999983</v>
      </c>
      <c r="Z84" s="25">
        <v>0.37889583333333321</v>
      </c>
      <c r="AA84" s="25">
        <v>0.33754166666666646</v>
      </c>
      <c r="AB84" s="25">
        <v>0.24023888888888881</v>
      </c>
      <c r="AC84" s="25">
        <v>0.13252777777777783</v>
      </c>
      <c r="AD84" s="25">
        <v>0.25651388888888887</v>
      </c>
      <c r="AE84" s="27">
        <f t="shared" si="3"/>
        <v>0.37318750000000023</v>
      </c>
      <c r="AF84" s="27">
        <f t="shared" si="4"/>
        <v>0.41001736111111109</v>
      </c>
      <c r="AG84" s="27">
        <f t="shared" si="5"/>
        <v>0.40332102272727272</v>
      </c>
    </row>
    <row r="85" spans="1:33" x14ac:dyDescent="0.25">
      <c r="A85" s="9">
        <v>43792</v>
      </c>
      <c r="B85" s="3"/>
      <c r="C85" s="3"/>
      <c r="D85" s="3"/>
      <c r="E85" s="3"/>
      <c r="F85" s="3"/>
      <c r="G85" s="3"/>
      <c r="H85" s="3"/>
      <c r="I85" s="3"/>
      <c r="J85" s="23">
        <v>43792</v>
      </c>
      <c r="K85" s="24">
        <v>86.416666666666671</v>
      </c>
      <c r="L85" s="24">
        <v>82.50833333333334</v>
      </c>
      <c r="M85" s="24">
        <v>14.643749999999995</v>
      </c>
      <c r="N85" s="24">
        <v>0</v>
      </c>
      <c r="O85" s="24">
        <v>138.6875</v>
      </c>
      <c r="P85" s="24">
        <v>11.208333333333334</v>
      </c>
      <c r="Q85" s="24">
        <v>1.5</v>
      </c>
      <c r="R85" s="24">
        <v>11.58958333333333</v>
      </c>
      <c r="S85" s="10">
        <v>0.31199376510680116</v>
      </c>
      <c r="T85" s="25">
        <v>0.27945833333333331</v>
      </c>
      <c r="U85" s="25">
        <v>0.39631250000000007</v>
      </c>
      <c r="V85" s="25">
        <v>0.4741250000000003</v>
      </c>
      <c r="W85" s="25">
        <v>0.50166666666666726</v>
      </c>
      <c r="X85" s="25">
        <v>0.47047916666666662</v>
      </c>
      <c r="Y85" s="25">
        <v>0.36899999999999983</v>
      </c>
      <c r="Z85" s="25">
        <v>0.37810416666666663</v>
      </c>
      <c r="AA85" s="25">
        <v>0.33641666666666681</v>
      </c>
      <c r="AB85" s="25">
        <v>0.23799999999999996</v>
      </c>
      <c r="AC85" s="25">
        <v>0.13303985507246374</v>
      </c>
      <c r="AD85" s="25">
        <v>0.25818055555555547</v>
      </c>
      <c r="AE85" s="27">
        <f t="shared" si="3"/>
        <v>0.37496874999999996</v>
      </c>
      <c r="AF85" s="27">
        <f t="shared" si="4"/>
        <v>0.40927083333333353</v>
      </c>
      <c r="AG85" s="27">
        <f t="shared" si="5"/>
        <v>0.40303409090909104</v>
      </c>
    </row>
    <row r="86" spans="1:33" x14ac:dyDescent="0.25">
      <c r="A86" s="9">
        <v>43793</v>
      </c>
      <c r="B86" s="3"/>
      <c r="C86" s="3"/>
      <c r="D86" s="3"/>
      <c r="E86" s="3"/>
      <c r="F86" s="3"/>
      <c r="G86" s="3"/>
      <c r="H86" s="3"/>
      <c r="I86" s="3"/>
      <c r="J86" s="23">
        <v>43793</v>
      </c>
      <c r="K86" s="24">
        <v>23.833333333333332</v>
      </c>
      <c r="L86" s="24">
        <v>85.158333333333346</v>
      </c>
      <c r="M86" s="24">
        <v>11.862500000000004</v>
      </c>
      <c r="N86" s="24">
        <v>0.8</v>
      </c>
      <c r="O86" s="24">
        <v>190.85416666666666</v>
      </c>
      <c r="P86" s="24">
        <v>7.854166666666667</v>
      </c>
      <c r="Q86" s="24">
        <v>0.95833333333333337</v>
      </c>
      <c r="R86" s="24">
        <v>9.4416666666666682</v>
      </c>
      <c r="S86" s="10">
        <v>0.2076048614661363</v>
      </c>
      <c r="T86" s="25">
        <v>0.27985416666666663</v>
      </c>
      <c r="U86" s="25">
        <v>0.39695833333333358</v>
      </c>
      <c r="V86" s="25">
        <v>0.47539583333333341</v>
      </c>
      <c r="W86" s="25">
        <v>0.50075000000000003</v>
      </c>
      <c r="X86" s="25">
        <v>0.47229166666666678</v>
      </c>
      <c r="Y86" s="25">
        <v>0.36899999999999983</v>
      </c>
      <c r="Z86" s="25">
        <v>0.37741666666666668</v>
      </c>
      <c r="AA86" s="25">
        <v>0.33500000000000041</v>
      </c>
      <c r="AB86" s="25">
        <v>0.23306410256410257</v>
      </c>
      <c r="AC86" s="25">
        <v>0.13111764705882356</v>
      </c>
      <c r="AD86" s="25">
        <v>0.25713194444444443</v>
      </c>
      <c r="AE86" s="27">
        <f t="shared" si="3"/>
        <v>0.3760729166666667</v>
      </c>
      <c r="AF86" s="27">
        <f t="shared" si="4"/>
        <v>0.40908680555555565</v>
      </c>
      <c r="AG86" s="27">
        <f t="shared" si="5"/>
        <v>0.4030842803030304</v>
      </c>
    </row>
    <row r="87" spans="1:33" x14ac:dyDescent="0.25">
      <c r="A87" s="9">
        <v>43794</v>
      </c>
      <c r="B87" s="3"/>
      <c r="C87" s="3"/>
      <c r="D87" s="3"/>
      <c r="E87" s="3"/>
      <c r="F87" s="3"/>
      <c r="G87" s="3"/>
      <c r="H87" s="3"/>
      <c r="I87" s="3"/>
      <c r="J87" s="23">
        <v>43794</v>
      </c>
      <c r="K87" s="24">
        <v>41.104166666666664</v>
      </c>
      <c r="L87" s="24">
        <v>89.379166666666649</v>
      </c>
      <c r="M87" s="24">
        <v>7.1979166666666679</v>
      </c>
      <c r="N87" s="24">
        <v>2.7</v>
      </c>
      <c r="O87" s="24">
        <v>186.27083333333334</v>
      </c>
      <c r="P87" s="24">
        <v>3.8125</v>
      </c>
      <c r="Q87" s="24">
        <v>8.3333333333333329E-2</v>
      </c>
      <c r="R87" s="24">
        <v>5.55</v>
      </c>
      <c r="S87" s="10">
        <v>0.10938476689183986</v>
      </c>
      <c r="T87" s="25">
        <v>0.27670833333333328</v>
      </c>
      <c r="U87" s="25">
        <v>0.39312499999999978</v>
      </c>
      <c r="V87" s="25">
        <v>0.47243750000000007</v>
      </c>
      <c r="W87" s="25">
        <v>0.49866666666666676</v>
      </c>
      <c r="X87" s="25">
        <v>0.46787500000000004</v>
      </c>
      <c r="Y87" s="25">
        <v>0.3674583333333335</v>
      </c>
      <c r="Z87" s="25">
        <v>0.37666666666666676</v>
      </c>
      <c r="AA87" s="25">
        <v>0.33464583333333336</v>
      </c>
      <c r="AB87" s="25">
        <v>0.2317222222222223</v>
      </c>
      <c r="AC87" s="53">
        <f>AD87*0.5711-0.0033</f>
        <v>0.14209650763888887</v>
      </c>
      <c r="AD87" s="25">
        <v>0.25459027777777771</v>
      </c>
      <c r="AE87" s="27">
        <f t="shared" si="3"/>
        <v>0.37229166666666669</v>
      </c>
      <c r="AF87" s="27">
        <f t="shared" si="4"/>
        <v>0.40716666666666673</v>
      </c>
      <c r="AG87" s="27">
        <f t="shared" si="5"/>
        <v>0.40082575757575761</v>
      </c>
    </row>
    <row r="88" spans="1:33" x14ac:dyDescent="0.25">
      <c r="A88" s="9">
        <v>43795</v>
      </c>
      <c r="B88" s="3"/>
      <c r="C88" s="3"/>
      <c r="D88" s="3"/>
      <c r="E88" s="3"/>
      <c r="F88" s="3"/>
      <c r="G88" s="3"/>
      <c r="H88" s="3"/>
      <c r="I88" s="3"/>
      <c r="J88" s="23">
        <v>43795</v>
      </c>
      <c r="K88" s="24">
        <v>9.125</v>
      </c>
      <c r="L88" s="24">
        <v>95.99375000000002</v>
      </c>
      <c r="M88" s="24">
        <v>7.3020833333333348</v>
      </c>
      <c r="N88" s="24">
        <v>3.0000000000000009</v>
      </c>
      <c r="O88" s="24">
        <v>140.10416666666666</v>
      </c>
      <c r="P88" s="24">
        <v>6.333333333333333</v>
      </c>
      <c r="Q88" s="24">
        <v>0.27083333333333331</v>
      </c>
      <c r="R88" s="24">
        <v>6.7062500000000007</v>
      </c>
      <c r="S88" s="10">
        <v>4.0939112869724785E-2</v>
      </c>
      <c r="T88" s="25">
        <v>0.27450000000000019</v>
      </c>
      <c r="U88" s="25">
        <v>0.3889166666666668</v>
      </c>
      <c r="V88" s="25">
        <v>0.46874999999999983</v>
      </c>
      <c r="W88" s="25">
        <v>0.49506249999999974</v>
      </c>
      <c r="X88" s="25">
        <v>0.46429166666666671</v>
      </c>
      <c r="Y88" s="25">
        <v>0.36527083333333327</v>
      </c>
      <c r="Z88" s="25">
        <v>0.37533333333333335</v>
      </c>
      <c r="AA88" s="25">
        <v>0.33331250000000007</v>
      </c>
      <c r="AB88" s="25">
        <v>0.2307013888888888</v>
      </c>
      <c r="AC88" s="25">
        <v>0.20266666666666666</v>
      </c>
      <c r="AD88" s="25">
        <v>0.25427777777777771</v>
      </c>
      <c r="AE88" s="27">
        <f t="shared" si="3"/>
        <v>0.36939583333333348</v>
      </c>
      <c r="AF88" s="27">
        <f t="shared" si="4"/>
        <v>0.40444097222222214</v>
      </c>
      <c r="AG88" s="27">
        <f t="shared" si="5"/>
        <v>0.39806912878787876</v>
      </c>
    </row>
    <row r="89" spans="1:33" x14ac:dyDescent="0.25">
      <c r="A89" s="9">
        <v>43796</v>
      </c>
      <c r="B89" s="3"/>
      <c r="C89" s="3"/>
      <c r="D89" s="3"/>
      <c r="E89" s="3"/>
      <c r="F89" s="3"/>
      <c r="G89" s="3"/>
      <c r="H89" s="3"/>
      <c r="I89" s="3"/>
      <c r="J89" s="23">
        <v>43796</v>
      </c>
      <c r="K89" s="24">
        <v>33.270833333333336</v>
      </c>
      <c r="L89" s="24">
        <v>89.964583333333337</v>
      </c>
      <c r="M89" s="24">
        <v>6.3291666666666666</v>
      </c>
      <c r="N89" s="24">
        <v>0.4</v>
      </c>
      <c r="O89" s="24">
        <v>206.125</v>
      </c>
      <c r="P89" s="24">
        <v>2.0416666666666665</v>
      </c>
      <c r="Q89" s="24">
        <v>0</v>
      </c>
      <c r="R89" s="24">
        <v>4.7812499999999991</v>
      </c>
      <c r="S89" s="10">
        <v>0.10025410670178085</v>
      </c>
      <c r="T89" s="25">
        <v>0.27324999999999983</v>
      </c>
      <c r="U89" s="25">
        <v>0.38554166666666667</v>
      </c>
      <c r="V89" s="25">
        <v>0.46585416666666646</v>
      </c>
      <c r="W89" s="25">
        <v>0.49145833333333305</v>
      </c>
      <c r="X89" s="25">
        <v>0.46118749999999992</v>
      </c>
      <c r="Y89" s="25">
        <v>0.36372916666666649</v>
      </c>
      <c r="Z89" s="25">
        <v>0.37391666666666673</v>
      </c>
      <c r="AA89" s="25">
        <v>0.33245833333333363</v>
      </c>
      <c r="AB89" s="25">
        <v>0.23241489361702142</v>
      </c>
      <c r="AC89" s="25">
        <v>0.19801388888888891</v>
      </c>
      <c r="AD89" s="25">
        <v>0.2720763888888888</v>
      </c>
      <c r="AE89" s="27">
        <f t="shared" si="3"/>
        <v>0.36721874999999987</v>
      </c>
      <c r="AF89" s="27">
        <f t="shared" si="4"/>
        <v>0.40215972222222218</v>
      </c>
      <c r="AG89" s="27">
        <f t="shared" si="5"/>
        <v>0.39580681818181812</v>
      </c>
    </row>
    <row r="90" spans="1:33" x14ac:dyDescent="0.25">
      <c r="A90" s="9">
        <v>43797</v>
      </c>
      <c r="B90" s="3"/>
      <c r="C90" s="3"/>
      <c r="D90" s="3"/>
      <c r="E90" s="3"/>
      <c r="F90" s="3"/>
      <c r="G90" s="3"/>
      <c r="H90" s="3"/>
      <c r="I90" s="3"/>
      <c r="J90" s="23">
        <v>43797</v>
      </c>
      <c r="K90" s="24">
        <v>26.916666666666668</v>
      </c>
      <c r="L90" s="24">
        <v>91.456249999999997</v>
      </c>
      <c r="M90" s="24">
        <v>5.0395833333333337</v>
      </c>
      <c r="N90" s="24">
        <v>1</v>
      </c>
      <c r="O90" s="24">
        <v>117.75</v>
      </c>
      <c r="P90" s="24">
        <v>4.770833333333333</v>
      </c>
      <c r="Q90" s="24">
        <v>0.10416666666666667</v>
      </c>
      <c r="R90" s="24">
        <v>3.7583333333333329</v>
      </c>
      <c r="S90" s="10">
        <v>7.5083770823307527E-2</v>
      </c>
      <c r="T90" s="25">
        <v>0.27191666666666697</v>
      </c>
      <c r="U90" s="25">
        <v>0.38262499999999983</v>
      </c>
      <c r="V90" s="25">
        <v>0.46314583333333315</v>
      </c>
      <c r="W90" s="25">
        <v>0.48814583333333311</v>
      </c>
      <c r="X90" s="25">
        <v>0.45893749999999955</v>
      </c>
      <c r="Y90" s="25">
        <v>0.36191666666666683</v>
      </c>
      <c r="Z90" s="25">
        <v>0.3725416666666666</v>
      </c>
      <c r="AA90" s="25">
        <v>0.33099999999999991</v>
      </c>
      <c r="AB90" s="25">
        <v>0.23225793650793647</v>
      </c>
      <c r="AC90" s="25">
        <v>0.18247222222222223</v>
      </c>
      <c r="AD90" s="25">
        <v>0.26922222222222231</v>
      </c>
      <c r="AE90" s="27">
        <f t="shared" si="3"/>
        <v>0.36542708333333329</v>
      </c>
      <c r="AF90" s="27">
        <f t="shared" si="4"/>
        <v>0.39989583333333328</v>
      </c>
      <c r="AG90" s="27">
        <f t="shared" si="5"/>
        <v>0.3936287878787878</v>
      </c>
    </row>
    <row r="91" spans="1:33" x14ac:dyDescent="0.25">
      <c r="A91" s="9">
        <v>43798</v>
      </c>
      <c r="B91" s="3"/>
      <c r="C91" s="3"/>
      <c r="D91" s="3"/>
      <c r="E91" s="3"/>
      <c r="F91" s="3"/>
      <c r="G91" s="3"/>
      <c r="H91" s="3"/>
      <c r="I91" s="3"/>
      <c r="J91" s="23">
        <v>43798</v>
      </c>
      <c r="K91" s="24">
        <v>27.3125</v>
      </c>
      <c r="L91" s="24">
        <v>95.683333333333337</v>
      </c>
      <c r="M91" s="24">
        <v>5.3666666666666663</v>
      </c>
      <c r="N91" s="24">
        <v>3.2000000000000006</v>
      </c>
      <c r="O91" s="24">
        <v>108.35416666666667</v>
      </c>
      <c r="P91" s="24">
        <v>6.1875</v>
      </c>
      <c r="Q91" s="24">
        <v>0.64583333333333337</v>
      </c>
      <c r="R91" s="24">
        <v>4.7374999999999998</v>
      </c>
      <c r="S91" s="10">
        <v>3.8914709049390407E-2</v>
      </c>
      <c r="T91" s="25">
        <v>0.2710000000000003</v>
      </c>
      <c r="U91" s="25">
        <v>0.37989583333333349</v>
      </c>
      <c r="V91" s="25">
        <v>0.4600416666666669</v>
      </c>
      <c r="W91" s="25">
        <v>0.48458333333333342</v>
      </c>
      <c r="X91" s="25">
        <v>0.45662499999999989</v>
      </c>
      <c r="Y91" s="25">
        <v>0.36052083333333301</v>
      </c>
      <c r="Z91" s="25">
        <v>0.37108333333333349</v>
      </c>
      <c r="AA91" s="25">
        <v>0.32987500000000014</v>
      </c>
      <c r="AB91" s="25">
        <v>0.2372261904761904</v>
      </c>
      <c r="AC91" s="25">
        <v>0.20091666666666672</v>
      </c>
      <c r="AD91" s="25">
        <v>0.27945138888888887</v>
      </c>
      <c r="AE91" s="27">
        <f t="shared" si="3"/>
        <v>0.36381250000000009</v>
      </c>
      <c r="AF91" s="27">
        <f t="shared" si="4"/>
        <v>0.39766666666666667</v>
      </c>
      <c r="AG91" s="27">
        <f t="shared" si="5"/>
        <v>0.39151136363636369</v>
      </c>
    </row>
    <row r="92" spans="1:33" x14ac:dyDescent="0.25">
      <c r="A92" s="9">
        <v>43799</v>
      </c>
      <c r="B92" s="3"/>
      <c r="C92" s="3"/>
      <c r="D92" s="3"/>
      <c r="E92" s="3"/>
      <c r="F92" s="3"/>
      <c r="G92" s="3"/>
      <c r="H92" s="3"/>
      <c r="I92" s="3"/>
      <c r="J92" s="23">
        <v>43799</v>
      </c>
      <c r="K92" s="24">
        <v>32.270833333333336</v>
      </c>
      <c r="L92" s="24">
        <v>94.229166666666671</v>
      </c>
      <c r="M92" s="24">
        <v>5.0229166666666671</v>
      </c>
      <c r="N92" s="24">
        <v>1.7999999999999998</v>
      </c>
      <c r="O92" s="24">
        <v>156.45833333333334</v>
      </c>
      <c r="P92" s="24">
        <v>3.8958333333333335</v>
      </c>
      <c r="Q92" s="24">
        <v>0.10416666666666667</v>
      </c>
      <c r="R92" s="24">
        <v>4.1666666666666661</v>
      </c>
      <c r="S92" s="10">
        <v>5.2324868350467228E-2</v>
      </c>
      <c r="T92" s="25">
        <v>0.2710000000000003</v>
      </c>
      <c r="U92" s="25">
        <v>0.37808333333333333</v>
      </c>
      <c r="V92" s="25">
        <v>0.45824999999999977</v>
      </c>
      <c r="W92" s="25">
        <v>0.48191666666666694</v>
      </c>
      <c r="X92" s="25">
        <v>0.45599999999999979</v>
      </c>
      <c r="Y92" s="25">
        <v>0.35945833333333344</v>
      </c>
      <c r="Z92" s="25">
        <v>0.36997916666666636</v>
      </c>
      <c r="AA92" s="25">
        <v>0.32900000000000024</v>
      </c>
      <c r="AB92" s="25">
        <v>0.25616304347826091</v>
      </c>
      <c r="AC92" s="25">
        <v>0.22039393939393942</v>
      </c>
      <c r="AD92" s="25">
        <v>0.32277777777777772</v>
      </c>
      <c r="AE92" s="27">
        <f t="shared" si="3"/>
        <v>0.36350000000000005</v>
      </c>
      <c r="AF92" s="27">
        <f t="shared" si="4"/>
        <v>0.39611458333333333</v>
      </c>
      <c r="AG92" s="27">
        <f t="shared" si="5"/>
        <v>0.3901846590909091</v>
      </c>
    </row>
    <row r="93" spans="1:33" x14ac:dyDescent="0.25">
      <c r="A93" s="9">
        <v>43800</v>
      </c>
      <c r="B93" s="3"/>
      <c r="C93" s="3"/>
      <c r="D93" s="3"/>
      <c r="E93" s="3"/>
      <c r="F93" s="3"/>
      <c r="G93" s="3"/>
      <c r="H93" s="3"/>
      <c r="I93" s="3"/>
      <c r="J93" s="23">
        <v>43800</v>
      </c>
      <c r="K93" s="24">
        <v>44.416666666666664</v>
      </c>
      <c r="L93" s="24">
        <v>84.860416666666666</v>
      </c>
      <c r="M93" s="24">
        <v>4.8270833333333343</v>
      </c>
      <c r="N93" s="24">
        <v>0.2</v>
      </c>
      <c r="O93" s="24">
        <v>229.45833333333334</v>
      </c>
      <c r="P93" s="24">
        <v>3.9375</v>
      </c>
      <c r="Q93" s="24">
        <v>0</v>
      </c>
      <c r="R93" s="24">
        <v>2.4416666666666669</v>
      </c>
      <c r="S93" s="10">
        <v>0.13527654826790894</v>
      </c>
      <c r="T93" s="25">
        <v>0.27081250000000029</v>
      </c>
      <c r="U93" s="25">
        <v>0.37591666666666662</v>
      </c>
      <c r="V93" s="25">
        <v>0.45649999999999985</v>
      </c>
      <c r="W93" s="25">
        <v>0.4789791666666669</v>
      </c>
      <c r="X93" s="25">
        <v>0.45556249999999993</v>
      </c>
      <c r="Y93" s="25">
        <v>0.35843750000000024</v>
      </c>
      <c r="Z93" s="25">
        <v>0.36906249999999985</v>
      </c>
      <c r="AA93" s="25">
        <v>0.32835416666666639</v>
      </c>
      <c r="AB93" s="25">
        <v>0.25914227642276422</v>
      </c>
      <c r="AC93" s="25">
        <v>0.20940277777777783</v>
      </c>
      <c r="AD93" s="25">
        <v>0.33462500000000023</v>
      </c>
      <c r="AE93" s="27">
        <f t="shared" si="3"/>
        <v>0.36318750000000011</v>
      </c>
      <c r="AF93" s="27">
        <f t="shared" si="4"/>
        <v>0.39454166666666657</v>
      </c>
      <c r="AG93" s="27">
        <f t="shared" si="5"/>
        <v>0.38884090909090901</v>
      </c>
    </row>
    <row r="94" spans="1:33" x14ac:dyDescent="0.25">
      <c r="A94" s="9">
        <v>43801</v>
      </c>
      <c r="B94" s="3"/>
      <c r="C94" s="3"/>
      <c r="D94" s="3"/>
      <c r="E94" s="3"/>
      <c r="F94" s="3"/>
      <c r="G94" s="3"/>
      <c r="H94" s="3"/>
      <c r="I94" s="3"/>
      <c r="J94" s="23">
        <v>43801</v>
      </c>
      <c r="K94" s="24">
        <v>71.208333333333329</v>
      </c>
      <c r="L94" s="24">
        <v>76.168750000000031</v>
      </c>
      <c r="M94" s="24">
        <v>4.1916666666666682</v>
      </c>
      <c r="N94" s="24">
        <v>0</v>
      </c>
      <c r="O94" s="24">
        <v>183.6875</v>
      </c>
      <c r="P94" s="24">
        <v>6.4375</v>
      </c>
      <c r="Q94" s="24">
        <v>0.22916666666666666</v>
      </c>
      <c r="R94" s="24">
        <v>0.27291666666666659</v>
      </c>
      <c r="S94" s="10">
        <v>0.20608070790103158</v>
      </c>
      <c r="T94" s="25">
        <v>0.27020833333333349</v>
      </c>
      <c r="U94" s="25">
        <v>0.37368749999999978</v>
      </c>
      <c r="V94" s="25">
        <v>0.45424999999999988</v>
      </c>
      <c r="W94" s="25">
        <v>0.47610416666666694</v>
      </c>
      <c r="X94" s="25">
        <v>0.4548541666666665</v>
      </c>
      <c r="Y94" s="25">
        <v>0.35770833333333313</v>
      </c>
      <c r="Z94" s="25">
        <v>0.3683541666666667</v>
      </c>
      <c r="AA94" s="25">
        <v>0.32683333333333342</v>
      </c>
      <c r="AB94" s="25">
        <v>0.25708854166666656</v>
      </c>
      <c r="AC94" s="25">
        <v>0.19613194444444446</v>
      </c>
      <c r="AD94" s="25">
        <v>0.3300555555555556</v>
      </c>
      <c r="AE94" s="27">
        <f t="shared" si="3"/>
        <v>0.36253124999999997</v>
      </c>
      <c r="AF94" s="27">
        <f t="shared" si="4"/>
        <v>0.39282291666666663</v>
      </c>
      <c r="AG94" s="27">
        <f t="shared" si="5"/>
        <v>0.38731534090909087</v>
      </c>
    </row>
    <row r="95" spans="1:33" x14ac:dyDescent="0.25">
      <c r="A95" s="9">
        <v>43802</v>
      </c>
      <c r="B95" s="3"/>
      <c r="C95" s="3"/>
      <c r="D95" s="3"/>
      <c r="E95" s="3"/>
      <c r="F95" s="3"/>
      <c r="G95" s="3"/>
      <c r="H95" s="3"/>
      <c r="I95" s="3"/>
      <c r="J95" s="23">
        <v>43802</v>
      </c>
      <c r="K95" s="24">
        <v>59.729166666666664</v>
      </c>
      <c r="L95" s="24">
        <v>75.829166666666666</v>
      </c>
      <c r="M95" s="24">
        <v>4.9958333333333327</v>
      </c>
      <c r="N95" s="24">
        <v>0</v>
      </c>
      <c r="O95" s="24">
        <v>151.20833333333334</v>
      </c>
      <c r="P95" s="24">
        <v>2.7291666666666665</v>
      </c>
      <c r="Q95" s="24">
        <v>0</v>
      </c>
      <c r="R95" s="24">
        <v>0.96874999999999989</v>
      </c>
      <c r="S95" s="10">
        <v>0.22215286463172132</v>
      </c>
      <c r="T95" s="25">
        <v>0.27039583333333339</v>
      </c>
      <c r="U95" s="25">
        <v>0.37233333333333335</v>
      </c>
      <c r="V95" s="25">
        <v>0.45252083333333371</v>
      </c>
      <c r="W95" s="25">
        <v>0.47364583333333327</v>
      </c>
      <c r="X95" s="25">
        <v>0.45485416666666656</v>
      </c>
      <c r="Y95" s="25">
        <v>0.35702083333333307</v>
      </c>
      <c r="Z95" s="25">
        <v>0.36739583333333381</v>
      </c>
      <c r="AA95" s="25">
        <v>0.32574999999999987</v>
      </c>
      <c r="AB95" s="25">
        <v>0.25494999999999995</v>
      </c>
      <c r="AC95" s="25">
        <v>0.18775694444444432</v>
      </c>
      <c r="AD95" s="25">
        <v>0.32351388888888882</v>
      </c>
      <c r="AE95" s="27">
        <f t="shared" si="3"/>
        <v>0.36262499999999998</v>
      </c>
      <c r="AF95" s="27">
        <f t="shared" si="4"/>
        <v>0.39144444444444448</v>
      </c>
      <c r="AG95" s="27">
        <f t="shared" si="5"/>
        <v>0.38620454545454547</v>
      </c>
    </row>
    <row r="96" spans="1:33" x14ac:dyDescent="0.25">
      <c r="A96" s="9">
        <v>43803</v>
      </c>
      <c r="B96" s="3"/>
      <c r="C96" s="3"/>
      <c r="D96" s="3"/>
      <c r="E96" s="3"/>
      <c r="F96" s="3"/>
      <c r="G96" s="3"/>
      <c r="H96" s="3"/>
      <c r="I96" s="3"/>
      <c r="J96" s="23">
        <v>43803</v>
      </c>
      <c r="K96" s="24">
        <v>47.270833333333336</v>
      </c>
      <c r="L96" s="24">
        <v>77.158333333333331</v>
      </c>
      <c r="M96" s="24">
        <v>5.0770833333333325</v>
      </c>
      <c r="N96" s="24">
        <v>0.2</v>
      </c>
      <c r="O96" s="24">
        <v>234.8125</v>
      </c>
      <c r="P96" s="24">
        <v>3.6458333333333335</v>
      </c>
      <c r="Q96" s="24">
        <v>0</v>
      </c>
      <c r="R96" s="24">
        <v>1.325</v>
      </c>
      <c r="S96" s="10">
        <v>0.20987108502275686</v>
      </c>
      <c r="T96" s="25">
        <v>0.27052083333333338</v>
      </c>
      <c r="U96" s="25">
        <v>0.37127083333333344</v>
      </c>
      <c r="V96" s="25">
        <v>0.45158333333333361</v>
      </c>
      <c r="W96" s="25">
        <v>0.47108333333333302</v>
      </c>
      <c r="X96" s="25">
        <v>0.45497916666666643</v>
      </c>
      <c r="Y96" s="25">
        <v>0.35656250000000006</v>
      </c>
      <c r="Z96" s="25">
        <v>0.36660416666666662</v>
      </c>
      <c r="AA96" s="25">
        <v>0.32479166666666648</v>
      </c>
      <c r="AB96" s="25">
        <v>0.25448263888888883</v>
      </c>
      <c r="AC96" s="25">
        <v>0.18072916666666664</v>
      </c>
      <c r="AD96" s="25">
        <v>0.31869444444444461</v>
      </c>
      <c r="AE96" s="27">
        <f t="shared" si="3"/>
        <v>0.36274999999999991</v>
      </c>
      <c r="AF96" s="27">
        <f t="shared" si="4"/>
        <v>0.39031597222222225</v>
      </c>
      <c r="AG96" s="27">
        <f t="shared" si="5"/>
        <v>0.38530397727272725</v>
      </c>
    </row>
    <row r="97" spans="1:33" x14ac:dyDescent="0.25">
      <c r="A97" s="9">
        <v>43804</v>
      </c>
      <c r="B97" s="3"/>
      <c r="C97" s="3"/>
      <c r="D97" s="3"/>
      <c r="E97" s="3"/>
      <c r="F97" s="3"/>
      <c r="G97" s="3"/>
      <c r="H97" s="3"/>
      <c r="I97" s="3"/>
      <c r="J97" s="23">
        <v>43804</v>
      </c>
      <c r="K97" s="24">
        <v>41.520833333333336</v>
      </c>
      <c r="L97" s="24">
        <v>91.225000000000009</v>
      </c>
      <c r="M97" s="24">
        <v>2.5770833333333329</v>
      </c>
      <c r="N97" s="24">
        <v>6.3000000000000025</v>
      </c>
      <c r="O97" s="24">
        <v>224.66666666666666</v>
      </c>
      <c r="P97" s="24">
        <v>2.6041666666666665</v>
      </c>
      <c r="Q97" s="24">
        <v>0</v>
      </c>
      <c r="R97" s="24">
        <v>1.2729166666666667</v>
      </c>
      <c r="S97" s="10">
        <v>6.6338874138053103E-2</v>
      </c>
      <c r="T97" s="25">
        <v>0.27054166666666674</v>
      </c>
      <c r="U97" s="25">
        <v>0.37024999999999975</v>
      </c>
      <c r="V97" s="25">
        <v>0.4496875000000003</v>
      </c>
      <c r="W97" s="25">
        <v>0.46914583333333321</v>
      </c>
      <c r="X97" s="25">
        <v>0.45424999999999965</v>
      </c>
      <c r="Y97" s="25">
        <v>0.35612500000000008</v>
      </c>
      <c r="Z97" s="25">
        <v>0.36591666666666645</v>
      </c>
      <c r="AA97" s="25">
        <v>0.3239999999999999</v>
      </c>
      <c r="AB97" s="25">
        <v>0.26323404255319155</v>
      </c>
      <c r="AC97" s="25">
        <v>0.22281944444444446</v>
      </c>
      <c r="AD97" s="25">
        <v>0.36665972222222232</v>
      </c>
      <c r="AE97" s="27">
        <f t="shared" si="3"/>
        <v>0.36239583333333319</v>
      </c>
      <c r="AF97" s="27">
        <f t="shared" si="4"/>
        <v>0.38918749999999996</v>
      </c>
      <c r="AG97" s="27">
        <f t="shared" si="5"/>
        <v>0.3843162878787878</v>
      </c>
    </row>
    <row r="98" spans="1:33" x14ac:dyDescent="0.25">
      <c r="A98" s="9">
        <v>43805</v>
      </c>
      <c r="B98" s="3"/>
      <c r="C98" s="3"/>
      <c r="D98" s="3"/>
      <c r="E98" s="3"/>
      <c r="F98" s="3"/>
      <c r="G98" s="3"/>
      <c r="H98" s="3"/>
      <c r="I98" s="3"/>
      <c r="J98" s="23">
        <v>43805</v>
      </c>
      <c r="K98" s="24">
        <v>131.875</v>
      </c>
      <c r="L98" s="24">
        <v>76.579166666666666</v>
      </c>
      <c r="M98" s="24">
        <v>4.3312500000000016</v>
      </c>
      <c r="N98" s="24">
        <v>0</v>
      </c>
      <c r="O98" s="24">
        <v>237.58333333333334</v>
      </c>
      <c r="P98" s="24">
        <v>1.25</v>
      </c>
      <c r="Q98" s="24">
        <v>0</v>
      </c>
      <c r="R98" s="24">
        <v>0.26250000000000012</v>
      </c>
      <c r="S98" s="10">
        <v>0.2364398368767702</v>
      </c>
      <c r="T98" s="25">
        <v>0.27097916666666677</v>
      </c>
      <c r="U98" s="25">
        <v>0.3683125000000001</v>
      </c>
      <c r="V98" s="25">
        <v>0.44785416666666661</v>
      </c>
      <c r="W98" s="25">
        <v>0.46656249999999999</v>
      </c>
      <c r="X98" s="25">
        <v>0.45410416666666659</v>
      </c>
      <c r="Y98" s="25">
        <v>0.35470833333333324</v>
      </c>
      <c r="Z98" s="25">
        <v>0.36487500000000023</v>
      </c>
      <c r="AA98" s="25">
        <v>0.32364583333333341</v>
      </c>
      <c r="AB98" s="25">
        <v>0.26764236111111123</v>
      </c>
      <c r="AC98" s="25">
        <v>0.21180555555555558</v>
      </c>
      <c r="AD98" s="25">
        <v>0.39914583333333348</v>
      </c>
      <c r="AE98" s="27">
        <f t="shared" si="3"/>
        <v>0.36254166666666665</v>
      </c>
      <c r="AF98" s="27">
        <f t="shared" si="4"/>
        <v>0.38765972222222222</v>
      </c>
      <c r="AG98" s="27">
        <f t="shared" si="5"/>
        <v>0.38309280303030302</v>
      </c>
    </row>
    <row r="99" spans="1:33" x14ac:dyDescent="0.25">
      <c r="A99" s="9">
        <v>43806</v>
      </c>
      <c r="B99" s="3"/>
      <c r="C99" s="3"/>
      <c r="D99" s="3"/>
      <c r="E99" s="3"/>
      <c r="F99" s="3"/>
      <c r="G99" s="3"/>
      <c r="H99" s="3"/>
      <c r="I99" s="3"/>
      <c r="J99" s="23">
        <v>43806</v>
      </c>
      <c r="K99" s="24">
        <v>166.29166666666666</v>
      </c>
      <c r="L99" s="24">
        <v>65.64791666666666</v>
      </c>
      <c r="M99" s="24">
        <v>5.5833333333333348</v>
      </c>
      <c r="N99" s="24">
        <v>0.2</v>
      </c>
      <c r="O99" s="24">
        <v>191.52083333333334</v>
      </c>
      <c r="P99" s="24">
        <v>3.8125</v>
      </c>
      <c r="Q99" s="24">
        <v>0.35416666666666669</v>
      </c>
      <c r="R99" s="24">
        <v>-1.2479166666666668</v>
      </c>
      <c r="S99" s="10">
        <v>0.38853207317820559</v>
      </c>
      <c r="T99" s="25">
        <v>0.27331250000000001</v>
      </c>
      <c r="U99" s="25">
        <v>0.36891666666666673</v>
      </c>
      <c r="V99" s="25">
        <v>0.44868750000000018</v>
      </c>
      <c r="W99" s="25">
        <v>0.46491666666666637</v>
      </c>
      <c r="X99" s="25">
        <v>0.4579999999999998</v>
      </c>
      <c r="Y99" s="25">
        <v>0.35581250000000003</v>
      </c>
      <c r="Z99" s="25">
        <v>0.36458333333333348</v>
      </c>
      <c r="AA99" s="25">
        <v>0.32264583333333335</v>
      </c>
      <c r="AB99" s="25">
        <v>0.26716287878787875</v>
      </c>
      <c r="AC99" s="25">
        <v>0.1995416666666667</v>
      </c>
      <c r="AD99" s="25">
        <v>0.39172916666666668</v>
      </c>
      <c r="AE99" s="27">
        <f t="shared" si="3"/>
        <v>0.3656562499999999</v>
      </c>
      <c r="AF99" s="27">
        <f t="shared" si="4"/>
        <v>0.38759375000000001</v>
      </c>
      <c r="AG99" s="27">
        <f t="shared" si="5"/>
        <v>0.38360511363636363</v>
      </c>
    </row>
    <row r="100" spans="1:33" x14ac:dyDescent="0.25">
      <c r="A100" s="9">
        <v>43807</v>
      </c>
      <c r="B100" s="3"/>
      <c r="C100" s="3"/>
      <c r="D100" s="3"/>
      <c r="E100" s="3"/>
      <c r="F100" s="3"/>
      <c r="G100" s="3"/>
      <c r="H100" s="3"/>
      <c r="I100" s="3"/>
      <c r="J100" s="23">
        <v>43807</v>
      </c>
      <c r="K100" s="24">
        <v>162.77083333333334</v>
      </c>
      <c r="L100" s="24">
        <v>54.281249999999993</v>
      </c>
      <c r="M100" s="24">
        <v>7.4375</v>
      </c>
      <c r="N100" s="24">
        <v>0</v>
      </c>
      <c r="O100" s="24">
        <v>139.22916666666666</v>
      </c>
      <c r="P100" s="24">
        <v>2.8125</v>
      </c>
      <c r="Q100" s="24">
        <v>0</v>
      </c>
      <c r="R100" s="24">
        <v>-1.8</v>
      </c>
      <c r="S100" s="10">
        <v>0.54784763201593278</v>
      </c>
      <c r="T100" s="25">
        <v>0.27535416666666662</v>
      </c>
      <c r="U100" s="25">
        <v>0.37029166666666663</v>
      </c>
      <c r="V100" s="25">
        <v>0.45062499999999989</v>
      </c>
      <c r="W100" s="25">
        <v>0.46431250000000018</v>
      </c>
      <c r="X100" s="25">
        <v>0.46154166666666679</v>
      </c>
      <c r="Y100" s="25">
        <v>0.35737499999999994</v>
      </c>
      <c r="Z100" s="25">
        <v>0.36506250000000007</v>
      </c>
      <c r="AA100" s="25">
        <v>0.32222916666666651</v>
      </c>
      <c r="AB100" s="25">
        <v>0.26446527777777779</v>
      </c>
      <c r="AC100" s="25">
        <v>0.18979166666666661</v>
      </c>
      <c r="AD100" s="25">
        <v>0.38109722222222236</v>
      </c>
      <c r="AE100" s="27">
        <f t="shared" si="3"/>
        <v>0.36844791666666671</v>
      </c>
      <c r="AF100" s="27">
        <f t="shared" si="4"/>
        <v>0.38831597222222219</v>
      </c>
      <c r="AG100" s="27">
        <f t="shared" si="5"/>
        <v>0.38470359848484842</v>
      </c>
    </row>
    <row r="101" spans="1:33" x14ac:dyDescent="0.25">
      <c r="A101" s="9">
        <v>43808</v>
      </c>
      <c r="B101" s="3"/>
      <c r="C101" s="3"/>
      <c r="D101" s="3"/>
      <c r="E101" s="3"/>
      <c r="F101" s="3"/>
      <c r="G101" s="3"/>
      <c r="H101" s="3"/>
      <c r="I101" s="3"/>
      <c r="J101" s="23">
        <v>43808</v>
      </c>
      <c r="K101" s="24">
        <v>143.75</v>
      </c>
      <c r="L101" s="24">
        <v>62.560416666666647</v>
      </c>
      <c r="M101" s="24">
        <v>8.0833333333333339</v>
      </c>
      <c r="N101" s="24">
        <v>0</v>
      </c>
      <c r="O101" s="24">
        <v>164.54166666666666</v>
      </c>
      <c r="P101" s="24">
        <v>2.4375</v>
      </c>
      <c r="Q101" s="24">
        <v>4.1666666666666664E-2</v>
      </c>
      <c r="R101" s="24">
        <v>0.74583333333333324</v>
      </c>
      <c r="S101" s="10">
        <v>0.47920733289612666</v>
      </c>
      <c r="T101" s="25">
        <v>0.27585416666666673</v>
      </c>
      <c r="U101" s="25">
        <v>0.37079166666666669</v>
      </c>
      <c r="V101" s="25">
        <v>0.45189583333333366</v>
      </c>
      <c r="W101" s="25">
        <v>0.46131249999999979</v>
      </c>
      <c r="X101" s="25">
        <v>0.4531041666666667</v>
      </c>
      <c r="Y101" s="25">
        <v>0.33987500000000015</v>
      </c>
      <c r="Z101" s="25">
        <v>0.36133333333333334</v>
      </c>
      <c r="AA101" s="25">
        <v>0.31520833333333337</v>
      </c>
      <c r="AB101" s="25">
        <v>0.25921631205673745</v>
      </c>
      <c r="AC101" s="25">
        <v>0.18082638888888883</v>
      </c>
      <c r="AD101" s="25">
        <v>0.36940972222222213</v>
      </c>
      <c r="AE101" s="27">
        <f t="shared" si="3"/>
        <v>0.36447916666666669</v>
      </c>
      <c r="AF101" s="27">
        <f t="shared" si="4"/>
        <v>0.38340277777777781</v>
      </c>
      <c r="AG101" s="27">
        <f t="shared" si="5"/>
        <v>0.3799621212121212</v>
      </c>
    </row>
    <row r="102" spans="1:33" x14ac:dyDescent="0.25">
      <c r="A102" s="9">
        <v>43809</v>
      </c>
      <c r="B102" s="3"/>
      <c r="C102" s="3"/>
      <c r="D102" s="3"/>
      <c r="E102" s="3"/>
      <c r="F102" s="3"/>
      <c r="G102" s="3"/>
      <c r="H102" s="3"/>
      <c r="I102" s="3"/>
      <c r="J102" s="23">
        <v>43809</v>
      </c>
      <c r="K102" s="24">
        <v>150.72916666666666</v>
      </c>
      <c r="L102" s="24">
        <v>59.031250000000007</v>
      </c>
      <c r="M102" s="24">
        <v>8.8479166666666682</v>
      </c>
      <c r="N102" s="24">
        <v>0</v>
      </c>
      <c r="O102" s="24">
        <v>103.5</v>
      </c>
      <c r="P102" s="24">
        <v>2.5416666666666665</v>
      </c>
      <c r="Q102" s="24">
        <v>2.0833333333333332E-2</v>
      </c>
      <c r="R102" s="24">
        <v>0.65833333333333333</v>
      </c>
      <c r="S102" s="10">
        <v>0.55364841589333547</v>
      </c>
      <c r="T102" s="25">
        <v>0.27485416666666668</v>
      </c>
      <c r="U102" s="25">
        <v>0.36897916666666686</v>
      </c>
      <c r="V102" s="25">
        <v>0.45100000000000001</v>
      </c>
      <c r="W102" s="25">
        <v>0.45531249999999979</v>
      </c>
      <c r="X102" s="25">
        <v>0.45012500000000005</v>
      </c>
      <c r="Y102" s="25">
        <v>0.33145833333333341</v>
      </c>
      <c r="Z102" s="25">
        <v>0.35916666666666686</v>
      </c>
      <c r="AA102" s="25">
        <v>0.31112499999999998</v>
      </c>
      <c r="AB102" s="25">
        <v>0.25391666666666668</v>
      </c>
      <c r="AC102" s="25">
        <v>0.17166666666666666</v>
      </c>
      <c r="AD102" s="25">
        <v>0.35561805555555542</v>
      </c>
      <c r="AE102" s="27">
        <f t="shared" si="3"/>
        <v>0.36248958333333337</v>
      </c>
      <c r="AF102" s="27">
        <f t="shared" si="4"/>
        <v>0.37950694444444449</v>
      </c>
      <c r="AG102" s="27">
        <f t="shared" si="5"/>
        <v>0.37641287878787888</v>
      </c>
    </row>
    <row r="103" spans="1:33" x14ac:dyDescent="0.25">
      <c r="A103" s="9">
        <v>43810</v>
      </c>
      <c r="B103" s="3"/>
      <c r="C103" s="3"/>
      <c r="D103" s="3"/>
      <c r="E103" s="3"/>
      <c r="F103" s="3"/>
      <c r="G103" s="3"/>
      <c r="H103" s="3"/>
      <c r="I103" s="3"/>
      <c r="J103" s="23">
        <v>43810</v>
      </c>
      <c r="K103" s="24">
        <v>140.33333333333334</v>
      </c>
      <c r="L103" s="24">
        <v>62.012499999999982</v>
      </c>
      <c r="M103" s="24">
        <v>9.2583333333333346</v>
      </c>
      <c r="N103" s="24">
        <v>0</v>
      </c>
      <c r="O103" s="24">
        <v>148.625</v>
      </c>
      <c r="P103" s="24">
        <v>4.645833333333333</v>
      </c>
      <c r="Q103" s="24">
        <v>0.45833333333333331</v>
      </c>
      <c r="R103" s="24">
        <v>1.8083333333333329</v>
      </c>
      <c r="S103" s="10">
        <v>0.50691814062849605</v>
      </c>
      <c r="T103" s="25">
        <v>0.27647916666666666</v>
      </c>
      <c r="U103" s="25">
        <v>0.3712499999999998</v>
      </c>
      <c r="V103" s="25">
        <v>0.45366666666666644</v>
      </c>
      <c r="W103" s="25">
        <v>0.45549999999999963</v>
      </c>
      <c r="X103" s="25">
        <v>0.45293749999999977</v>
      </c>
      <c r="Y103" s="25">
        <v>0.33243750000000011</v>
      </c>
      <c r="Z103" s="25">
        <v>0.35916666666666658</v>
      </c>
      <c r="AA103" s="25">
        <v>0.31112499999999993</v>
      </c>
      <c r="AB103" s="25">
        <v>0.24790079365079362</v>
      </c>
      <c r="AC103" s="25">
        <v>0.16338194444444445</v>
      </c>
      <c r="AD103" s="25">
        <v>0.34369444444444436</v>
      </c>
      <c r="AE103" s="27">
        <f t="shared" si="3"/>
        <v>0.36470833333333319</v>
      </c>
      <c r="AF103" s="27">
        <f t="shared" si="4"/>
        <v>0.38052430555555544</v>
      </c>
      <c r="AG103" s="27">
        <f t="shared" si="5"/>
        <v>0.3776486742424241</v>
      </c>
    </row>
    <row r="104" spans="1:33" x14ac:dyDescent="0.25">
      <c r="A104" s="9">
        <v>43811</v>
      </c>
      <c r="B104" s="3"/>
      <c r="C104" s="3"/>
      <c r="D104" s="3"/>
      <c r="E104" s="3"/>
      <c r="F104" s="3"/>
      <c r="G104" s="3"/>
      <c r="H104" s="3"/>
      <c r="I104" s="3"/>
      <c r="J104" s="23">
        <v>43811</v>
      </c>
      <c r="K104" s="24">
        <v>144.52083333333334</v>
      </c>
      <c r="L104" s="24">
        <v>57.889583333333356</v>
      </c>
      <c r="M104" s="24">
        <v>10.379166666666666</v>
      </c>
      <c r="N104" s="24">
        <v>0</v>
      </c>
      <c r="O104" s="24">
        <v>126.47916666666667</v>
      </c>
      <c r="P104" s="24">
        <v>6.979166666666667</v>
      </c>
      <c r="Q104" s="24">
        <v>0.66666666666666663</v>
      </c>
      <c r="R104" s="24">
        <v>2.1729166666666662</v>
      </c>
      <c r="S104" s="10">
        <v>0.5690986462093296</v>
      </c>
      <c r="T104" s="25">
        <v>0.27756249999999988</v>
      </c>
      <c r="U104" s="25">
        <v>0.37300000000000022</v>
      </c>
      <c r="V104" s="25">
        <v>0.45545833333333313</v>
      </c>
      <c r="W104" s="25">
        <v>0.45631249999999995</v>
      </c>
      <c r="X104" s="25">
        <v>0.45581250000000012</v>
      </c>
      <c r="Y104" s="25">
        <v>0.33362500000000006</v>
      </c>
      <c r="Z104" s="25">
        <v>0.3599374999999998</v>
      </c>
      <c r="AA104" s="25">
        <v>0.31118749999999989</v>
      </c>
      <c r="AB104" s="25">
        <v>0.24140909090909088</v>
      </c>
      <c r="AC104" s="25">
        <v>0.1557708333333333</v>
      </c>
      <c r="AD104" s="25">
        <v>0.33345833333333341</v>
      </c>
      <c r="AE104" s="27">
        <f t="shared" si="3"/>
        <v>0.3666875</v>
      </c>
      <c r="AF104" s="27">
        <f t="shared" si="4"/>
        <v>0.38158680555555552</v>
      </c>
      <c r="AG104" s="27">
        <f t="shared" si="5"/>
        <v>0.37887784090909088</v>
      </c>
    </row>
    <row r="105" spans="1:33" x14ac:dyDescent="0.25">
      <c r="A105" s="9">
        <v>43812</v>
      </c>
      <c r="B105" s="3"/>
      <c r="C105" s="3"/>
      <c r="D105" s="3"/>
      <c r="E105" s="3"/>
      <c r="F105" s="3"/>
      <c r="G105" s="3"/>
      <c r="H105" s="3"/>
      <c r="I105" s="3"/>
      <c r="J105" s="23">
        <v>43812</v>
      </c>
      <c r="K105" s="24">
        <v>146.39583333333334</v>
      </c>
      <c r="L105" s="24">
        <v>66.891666666666666</v>
      </c>
      <c r="M105" s="24">
        <v>10.450000000000001</v>
      </c>
      <c r="N105" s="24">
        <v>0</v>
      </c>
      <c r="O105" s="24">
        <v>131.5</v>
      </c>
      <c r="P105" s="24">
        <v>5.604166666666667</v>
      </c>
      <c r="Q105" s="24">
        <v>0.1875</v>
      </c>
      <c r="R105" s="24">
        <v>4.3208333333333337</v>
      </c>
      <c r="S105" s="10">
        <v>0.46849576666960108</v>
      </c>
      <c r="T105" s="25">
        <v>0.27802083333333327</v>
      </c>
      <c r="U105" s="25">
        <v>0.37447916666666647</v>
      </c>
      <c r="V105" s="25">
        <v>0.45724999999999993</v>
      </c>
      <c r="W105" s="25">
        <v>0.45729166666666693</v>
      </c>
      <c r="X105" s="25">
        <v>0.45668749999999986</v>
      </c>
      <c r="Y105" s="25">
        <v>0.33450000000000002</v>
      </c>
      <c r="Z105" s="25">
        <v>0.36039583333333308</v>
      </c>
      <c r="AA105" s="25">
        <v>0.31149999999999983</v>
      </c>
      <c r="AB105" s="25">
        <v>0.23409999999999992</v>
      </c>
      <c r="AC105" s="25">
        <v>0.1484680851063829</v>
      </c>
      <c r="AD105" s="25">
        <v>0.32233333333333331</v>
      </c>
      <c r="AE105" s="27">
        <f t="shared" si="3"/>
        <v>0.36735416666666654</v>
      </c>
      <c r="AF105" s="27">
        <f t="shared" si="4"/>
        <v>0.38256944444444435</v>
      </c>
      <c r="AG105" s="27">
        <f t="shared" si="5"/>
        <v>0.3798030303030302</v>
      </c>
    </row>
    <row r="106" spans="1:33" x14ac:dyDescent="0.25">
      <c r="A106" s="9">
        <v>43813</v>
      </c>
      <c r="B106" s="3"/>
      <c r="C106" s="3"/>
      <c r="D106" s="3"/>
      <c r="E106" s="3"/>
      <c r="F106" s="3"/>
      <c r="G106" s="3"/>
      <c r="H106" s="3"/>
      <c r="I106" s="3"/>
      <c r="J106" s="23">
        <v>43813</v>
      </c>
      <c r="K106" s="24">
        <v>81.5625</v>
      </c>
      <c r="L106" s="24">
        <v>76.927083333333314</v>
      </c>
      <c r="M106" s="24">
        <v>12.043750000000001</v>
      </c>
      <c r="N106" s="24">
        <v>0</v>
      </c>
      <c r="O106" s="24">
        <v>165.9375</v>
      </c>
      <c r="P106" s="24">
        <v>12.479166666666666</v>
      </c>
      <c r="Q106" s="24">
        <v>1.375</v>
      </c>
      <c r="R106" s="24">
        <v>8.0291666666666668</v>
      </c>
      <c r="S106" s="10">
        <v>0.34213216167503901</v>
      </c>
      <c r="T106" s="25">
        <v>0.27831250000000002</v>
      </c>
      <c r="U106" s="25">
        <v>0.37585416666666682</v>
      </c>
      <c r="V106" s="25">
        <v>0.45912499999999978</v>
      </c>
      <c r="W106" s="25">
        <v>0.45858333333333295</v>
      </c>
      <c r="X106" s="25">
        <v>0.45756249999999965</v>
      </c>
      <c r="Y106" s="25">
        <v>0.33512500000000039</v>
      </c>
      <c r="Z106" s="25">
        <v>0.36100000000000027</v>
      </c>
      <c r="AA106" s="25">
        <v>0.31199999999999978</v>
      </c>
      <c r="AB106" s="25">
        <v>0.22895744680851074</v>
      </c>
      <c r="AC106" s="25">
        <v>0.14310416666666662</v>
      </c>
      <c r="AD106" s="25">
        <v>0.31247916666666653</v>
      </c>
      <c r="AE106" s="27">
        <f t="shared" si="3"/>
        <v>0.36793749999999981</v>
      </c>
      <c r="AF106" s="27">
        <f t="shared" si="4"/>
        <v>0.38361458333333331</v>
      </c>
      <c r="AG106" s="27">
        <f t="shared" si="5"/>
        <v>0.38076420454545445</v>
      </c>
    </row>
    <row r="107" spans="1:33" x14ac:dyDescent="0.25">
      <c r="A107" s="9">
        <v>43814</v>
      </c>
      <c r="B107" s="3"/>
      <c r="C107" s="3"/>
      <c r="D107" s="3"/>
      <c r="E107" s="3"/>
      <c r="F107" s="3"/>
      <c r="G107" s="3"/>
      <c r="H107" s="3"/>
      <c r="I107" s="3"/>
      <c r="J107" s="23">
        <v>43814</v>
      </c>
      <c r="K107" s="24">
        <v>151.375</v>
      </c>
      <c r="L107" s="24">
        <v>70.481250000000003</v>
      </c>
      <c r="M107" s="24">
        <v>14.002083333333331</v>
      </c>
      <c r="N107" s="24">
        <v>0</v>
      </c>
      <c r="O107" s="24">
        <v>174.60416666666666</v>
      </c>
      <c r="P107" s="24">
        <v>15.104166666666666</v>
      </c>
      <c r="Q107" s="24">
        <v>2.3125</v>
      </c>
      <c r="R107" s="24">
        <v>8.3541666666666625</v>
      </c>
      <c r="S107" s="10">
        <v>0.53718483039225995</v>
      </c>
      <c r="T107" s="25">
        <v>0.27829166666666666</v>
      </c>
      <c r="U107" s="25">
        <v>0.37602083333333342</v>
      </c>
      <c r="V107" s="25">
        <v>0.45916666666666667</v>
      </c>
      <c r="W107" s="25">
        <v>0.4588541666666664</v>
      </c>
      <c r="X107" s="25">
        <v>0.45793750000000033</v>
      </c>
      <c r="Y107" s="25">
        <v>0.3353541666666669</v>
      </c>
      <c r="Z107" s="25">
        <v>0.36104166666666687</v>
      </c>
      <c r="AA107" s="25">
        <v>0.31202083333333314</v>
      </c>
      <c r="AB107" s="25">
        <v>0.22465625000000003</v>
      </c>
      <c r="AC107" s="25">
        <v>0.13879069767441871</v>
      </c>
      <c r="AD107" s="25">
        <v>0.30416666666666664</v>
      </c>
      <c r="AE107" s="27">
        <f t="shared" si="3"/>
        <v>0.36811458333333347</v>
      </c>
      <c r="AF107" s="27">
        <f t="shared" si="4"/>
        <v>0.3837430555555556</v>
      </c>
      <c r="AG107" s="27">
        <f t="shared" si="5"/>
        <v>0.38090151515151521</v>
      </c>
    </row>
    <row r="108" spans="1:33" x14ac:dyDescent="0.25">
      <c r="A108" s="9">
        <v>43815</v>
      </c>
      <c r="B108" s="3"/>
      <c r="C108" s="3"/>
      <c r="D108" s="3"/>
      <c r="E108" s="3"/>
      <c r="F108" s="3"/>
      <c r="G108" s="3"/>
      <c r="H108" s="3"/>
      <c r="I108" s="3"/>
      <c r="J108" s="23">
        <v>43815</v>
      </c>
      <c r="K108" s="24">
        <v>153.75</v>
      </c>
      <c r="L108" s="24">
        <v>69.639583333333334</v>
      </c>
      <c r="M108" s="24">
        <v>15.124999999999998</v>
      </c>
      <c r="N108" s="24">
        <v>0</v>
      </c>
      <c r="O108" s="24">
        <v>171.47916666666666</v>
      </c>
      <c r="P108" s="24">
        <v>10.729166666666666</v>
      </c>
      <c r="Q108" s="24">
        <v>1.3125</v>
      </c>
      <c r="R108" s="24">
        <v>9.0374999999999996</v>
      </c>
      <c r="S108" s="10">
        <v>0.62070941135334989</v>
      </c>
      <c r="T108" s="25">
        <v>0.28039583333333351</v>
      </c>
      <c r="U108" s="25">
        <v>0.37972916666666651</v>
      </c>
      <c r="V108" s="25">
        <v>0.46277083333333341</v>
      </c>
      <c r="W108" s="25">
        <v>0.46066666666666661</v>
      </c>
      <c r="X108" s="25">
        <v>0.46193749999999967</v>
      </c>
      <c r="Y108" s="25">
        <v>0.33729166666666671</v>
      </c>
      <c r="Z108" s="25">
        <v>0.36216666666666669</v>
      </c>
      <c r="AA108" s="25">
        <v>0.31241666666666684</v>
      </c>
      <c r="AB108" s="25">
        <v>0.22061538461538474</v>
      </c>
      <c r="AC108" s="25">
        <v>0.13295454545454549</v>
      </c>
      <c r="AD108" s="25">
        <v>0.29435416666666642</v>
      </c>
      <c r="AE108" s="27">
        <f t="shared" si="3"/>
        <v>0.37116666666666659</v>
      </c>
      <c r="AF108" s="27">
        <f t="shared" si="4"/>
        <v>0.38584027777777785</v>
      </c>
      <c r="AG108" s="27">
        <f t="shared" si="5"/>
        <v>0.38317234848484855</v>
      </c>
    </row>
    <row r="109" spans="1:33" x14ac:dyDescent="0.25">
      <c r="A109" s="9">
        <v>43816</v>
      </c>
      <c r="B109" s="3"/>
      <c r="C109" s="3"/>
      <c r="D109" s="3"/>
      <c r="E109" s="3"/>
      <c r="F109" s="3"/>
      <c r="G109" s="3"/>
      <c r="H109" s="3"/>
      <c r="I109" s="3"/>
      <c r="J109" s="23">
        <v>43816</v>
      </c>
      <c r="K109" s="24">
        <v>105.39583333333333</v>
      </c>
      <c r="L109" s="24">
        <v>75.114583333333329</v>
      </c>
      <c r="M109" s="24">
        <v>13.664583333333333</v>
      </c>
      <c r="N109" s="24">
        <v>0</v>
      </c>
      <c r="O109" s="24">
        <v>130.89583333333334</v>
      </c>
      <c r="P109" s="24">
        <v>5.3125</v>
      </c>
      <c r="Q109" s="24">
        <v>0.4375</v>
      </c>
      <c r="R109" s="24">
        <v>9.0770833333333361</v>
      </c>
      <c r="S109" s="10">
        <v>0.43552373493399177</v>
      </c>
      <c r="T109" s="25">
        <v>0.28064583333333343</v>
      </c>
      <c r="U109" s="25">
        <v>0.38229166666666653</v>
      </c>
      <c r="V109" s="25">
        <v>0.46568749999999987</v>
      </c>
      <c r="W109" s="25">
        <v>0.46291666666666664</v>
      </c>
      <c r="X109" s="25">
        <v>0.46302083333333327</v>
      </c>
      <c r="Y109" s="25">
        <v>0.33877083333333341</v>
      </c>
      <c r="Z109" s="25">
        <v>0.3638958333333337</v>
      </c>
      <c r="AA109" s="25">
        <v>0.31320833333333348</v>
      </c>
      <c r="AB109" s="25">
        <v>0.21531578947368427</v>
      </c>
      <c r="AC109" s="25">
        <v>0.12912499999999999</v>
      </c>
      <c r="AD109" s="25">
        <v>0.28325000000000006</v>
      </c>
      <c r="AE109" s="27">
        <f t="shared" si="3"/>
        <v>0.37183333333333335</v>
      </c>
      <c r="AF109" s="27">
        <f t="shared" si="4"/>
        <v>0.38779513888888889</v>
      </c>
      <c r="AG109" s="27">
        <f t="shared" si="5"/>
        <v>0.38489299242424241</v>
      </c>
    </row>
    <row r="110" spans="1:33" x14ac:dyDescent="0.25">
      <c r="A110" s="9">
        <v>43817</v>
      </c>
      <c r="B110" s="3"/>
      <c r="C110" s="3"/>
      <c r="D110" s="3"/>
      <c r="E110" s="3"/>
      <c r="F110" s="3"/>
      <c r="G110" s="3"/>
      <c r="H110" s="3"/>
      <c r="I110" s="3"/>
      <c r="J110" s="23">
        <v>43817</v>
      </c>
      <c r="K110" s="24">
        <v>15.833333333333334</v>
      </c>
      <c r="L110" s="24">
        <v>85.527083333333323</v>
      </c>
      <c r="M110" s="24">
        <v>7.5791666666666666</v>
      </c>
      <c r="N110" s="24">
        <v>0.2</v>
      </c>
      <c r="O110" s="24">
        <v>207.1875</v>
      </c>
      <c r="P110" s="24">
        <v>4.645833333333333</v>
      </c>
      <c r="Q110" s="24">
        <v>0</v>
      </c>
      <c r="R110" s="24">
        <v>5.2875000000000005</v>
      </c>
      <c r="S110" s="10">
        <v>0.15724585348832035</v>
      </c>
      <c r="T110" s="25">
        <v>0.2777708333333333</v>
      </c>
      <c r="U110" s="25">
        <v>0.38033333333333325</v>
      </c>
      <c r="V110" s="25">
        <v>0.46477083333333336</v>
      </c>
      <c r="W110" s="25">
        <v>0.46414583333333354</v>
      </c>
      <c r="X110" s="25">
        <v>0.45839583333333328</v>
      </c>
      <c r="Y110" s="25">
        <v>0.33764583333333326</v>
      </c>
      <c r="Z110" s="25">
        <v>0.36381250000000015</v>
      </c>
      <c r="AA110" s="25">
        <v>0.31354166666666677</v>
      </c>
      <c r="AB110" s="25">
        <v>0.21002083333333332</v>
      </c>
      <c r="AC110" s="25">
        <v>0.12493749999999991</v>
      </c>
      <c r="AD110" s="25">
        <v>0.27393750000000017</v>
      </c>
      <c r="AE110" s="27">
        <f t="shared" si="3"/>
        <v>0.36808333333333332</v>
      </c>
      <c r="AF110" s="27">
        <f t="shared" si="4"/>
        <v>0.38737500000000002</v>
      </c>
      <c r="AG110" s="27">
        <f t="shared" si="5"/>
        <v>0.38386742424242426</v>
      </c>
    </row>
    <row r="111" spans="1:33" x14ac:dyDescent="0.25">
      <c r="A111" s="9">
        <v>43818</v>
      </c>
      <c r="B111" s="3"/>
      <c r="C111" s="3"/>
      <c r="D111" s="3"/>
      <c r="E111" s="3"/>
      <c r="F111" s="3"/>
      <c r="G111" s="3"/>
      <c r="H111" s="3"/>
      <c r="I111" s="3"/>
      <c r="J111" s="23">
        <v>43818</v>
      </c>
      <c r="K111" s="24">
        <v>31.354166666666668</v>
      </c>
      <c r="L111" s="24">
        <v>86.037500000000009</v>
      </c>
      <c r="M111" s="24">
        <v>4.989583333333333</v>
      </c>
      <c r="N111" s="24">
        <v>0.60000000000000009</v>
      </c>
      <c r="O111" s="24">
        <v>174.02083333333334</v>
      </c>
      <c r="P111" s="24">
        <v>3.6041666666666665</v>
      </c>
      <c r="Q111" s="24">
        <v>0</v>
      </c>
      <c r="R111" s="24">
        <v>2.8249999999999997</v>
      </c>
      <c r="S111" s="10">
        <v>0.1233671199391968</v>
      </c>
      <c r="T111" s="25">
        <v>0.27200000000000035</v>
      </c>
      <c r="U111" s="25">
        <v>0.37272916666666656</v>
      </c>
      <c r="V111" s="25">
        <v>0.45808333333333334</v>
      </c>
      <c r="W111" s="25">
        <v>0.46081250000000012</v>
      </c>
      <c r="X111" s="25">
        <v>0.44839583333333338</v>
      </c>
      <c r="Y111" s="25">
        <v>0.33397916666666666</v>
      </c>
      <c r="Z111" s="25">
        <v>0.36152083333333346</v>
      </c>
      <c r="AA111" s="25">
        <v>0.31289583333333332</v>
      </c>
      <c r="AB111" s="25">
        <v>0.20579166666666673</v>
      </c>
      <c r="AC111" s="25">
        <v>0.12224999999999993</v>
      </c>
      <c r="AD111" s="25">
        <v>0.26779166666666659</v>
      </c>
      <c r="AE111" s="27">
        <f t="shared" si="3"/>
        <v>0.3601979166666669</v>
      </c>
      <c r="AF111" s="27">
        <f t="shared" si="4"/>
        <v>0.38333680555555555</v>
      </c>
      <c r="AG111" s="27">
        <f t="shared" si="5"/>
        <v>0.37912973484848489</v>
      </c>
    </row>
    <row r="112" spans="1:33" x14ac:dyDescent="0.25">
      <c r="A112" s="9">
        <v>43819</v>
      </c>
      <c r="B112" s="3"/>
      <c r="C112" s="3"/>
      <c r="D112" s="3"/>
      <c r="E112" s="3"/>
      <c r="F112" s="3"/>
      <c r="G112" s="3"/>
      <c r="H112" s="3"/>
      <c r="I112" s="3"/>
      <c r="J112" s="23">
        <v>43819</v>
      </c>
      <c r="K112" s="24">
        <v>20.479166666666668</v>
      </c>
      <c r="L112" s="24">
        <v>93.84999999999998</v>
      </c>
      <c r="M112" s="24">
        <v>3.9479166666666661</v>
      </c>
      <c r="N112" s="24">
        <v>1.9999999999999998</v>
      </c>
      <c r="O112" s="24">
        <v>136.9375</v>
      </c>
      <c r="P112" s="24">
        <v>3.6875</v>
      </c>
      <c r="Q112" s="24">
        <v>6.25E-2</v>
      </c>
      <c r="R112" s="24">
        <v>3.0374999999999996</v>
      </c>
      <c r="S112" s="10">
        <v>4.9733485273686602E-2</v>
      </c>
      <c r="T112" s="25">
        <v>0.27033333333333309</v>
      </c>
      <c r="U112" s="25">
        <v>0.36862500000000015</v>
      </c>
      <c r="V112" s="25">
        <v>0.45310416666666686</v>
      </c>
      <c r="W112" s="25">
        <v>0.45760416666666687</v>
      </c>
      <c r="X112" s="25">
        <v>0.44274999999999992</v>
      </c>
      <c r="Y112" s="25">
        <v>0.33166666666666644</v>
      </c>
      <c r="Z112" s="25">
        <v>0.35895833333333343</v>
      </c>
      <c r="AA112" s="25">
        <v>0.31164583333333334</v>
      </c>
      <c r="AB112" s="25">
        <v>0.20429166666666668</v>
      </c>
      <c r="AC112" s="25">
        <v>0.121</v>
      </c>
      <c r="AD112" s="25">
        <v>0.26391666666666674</v>
      </c>
      <c r="AE112" s="27">
        <f t="shared" si="3"/>
        <v>0.35654166666666653</v>
      </c>
      <c r="AF112" s="27">
        <f t="shared" si="4"/>
        <v>0.38026736111111115</v>
      </c>
      <c r="AG112" s="27">
        <f t="shared" si="5"/>
        <v>0.37595359848484844</v>
      </c>
    </row>
    <row r="113" spans="1:33" x14ac:dyDescent="0.25">
      <c r="A113" s="9">
        <v>43820</v>
      </c>
      <c r="B113" s="3"/>
      <c r="C113" s="3"/>
      <c r="D113" s="3"/>
      <c r="E113" s="3"/>
      <c r="F113" s="3"/>
      <c r="G113" s="3"/>
      <c r="H113" s="3"/>
      <c r="I113" s="3"/>
      <c r="J113" s="23">
        <v>43820</v>
      </c>
      <c r="K113" s="24">
        <v>22.645833333333332</v>
      </c>
      <c r="L113" s="24">
        <v>92.856249999999989</v>
      </c>
      <c r="M113" s="24">
        <v>3.6229166666666681</v>
      </c>
      <c r="N113" s="24">
        <v>0.60000000000000009</v>
      </c>
      <c r="O113" s="24">
        <v>187.20833333333334</v>
      </c>
      <c r="P113" s="24">
        <v>2.1875</v>
      </c>
      <c r="Q113" s="24">
        <v>0</v>
      </c>
      <c r="R113" s="24">
        <v>2.5666666666666664</v>
      </c>
      <c r="S113" s="10">
        <v>5.7148074359968354E-2</v>
      </c>
      <c r="T113" s="25">
        <v>0.26906250000000009</v>
      </c>
      <c r="U113" s="25">
        <v>0.36552083333333346</v>
      </c>
      <c r="V113" s="25">
        <v>0.44945833333333352</v>
      </c>
      <c r="W113" s="25">
        <v>0.45454166666666662</v>
      </c>
      <c r="X113" s="25">
        <v>0.43820833333333359</v>
      </c>
      <c r="Y113" s="25">
        <v>0.3293958333333335</v>
      </c>
      <c r="Z113" s="25">
        <v>0.35735416666666636</v>
      </c>
      <c r="AA113" s="25">
        <v>0.31035416666666682</v>
      </c>
      <c r="AB113" s="25">
        <v>0.20410416666666673</v>
      </c>
      <c r="AC113" s="53">
        <f>AD113*0.5711-0.0033</f>
        <v>0.1460188541666666</v>
      </c>
      <c r="AD113" s="25">
        <v>0.26145833333333318</v>
      </c>
      <c r="AE113" s="27">
        <f t="shared" si="3"/>
        <v>0.35363541666666687</v>
      </c>
      <c r="AF113" s="27">
        <f t="shared" si="4"/>
        <v>0.37777083333333339</v>
      </c>
      <c r="AG113" s="27">
        <f t="shared" si="5"/>
        <v>0.37338257575757589</v>
      </c>
    </row>
    <row r="114" spans="1:33" x14ac:dyDescent="0.25">
      <c r="A114" s="9">
        <v>43821</v>
      </c>
      <c r="B114" s="3"/>
      <c r="C114" s="3"/>
      <c r="D114" s="3"/>
      <c r="E114" s="3"/>
      <c r="F114" s="3"/>
      <c r="G114" s="3"/>
      <c r="H114" s="3"/>
      <c r="I114" s="3"/>
      <c r="J114" s="23">
        <v>43821</v>
      </c>
      <c r="K114" s="24">
        <v>44.104166666666664</v>
      </c>
      <c r="L114" s="24">
        <v>89.606249999999989</v>
      </c>
      <c r="M114" s="24">
        <v>5.4499999999999984</v>
      </c>
      <c r="N114" s="24">
        <v>0.4</v>
      </c>
      <c r="O114" s="24">
        <v>144.5</v>
      </c>
      <c r="P114" s="24">
        <v>2</v>
      </c>
      <c r="Q114" s="24">
        <v>4.1666666666666664E-2</v>
      </c>
      <c r="R114" s="24">
        <v>3.8458333333333332</v>
      </c>
      <c r="S114" s="10">
        <v>9.7430571459313123E-2</v>
      </c>
      <c r="T114" s="25">
        <v>0.26856249999999998</v>
      </c>
      <c r="U114" s="25">
        <v>0.36318749999999972</v>
      </c>
      <c r="V114" s="25">
        <v>0.44718749999999957</v>
      </c>
      <c r="W114" s="25">
        <v>0.45166666666666688</v>
      </c>
      <c r="X114" s="25">
        <v>0.43581250000000016</v>
      </c>
      <c r="Y114" s="25">
        <v>0.32750000000000001</v>
      </c>
      <c r="Z114" s="25">
        <v>0.35550000000000015</v>
      </c>
      <c r="AA114" s="25">
        <v>0.30947916666666625</v>
      </c>
      <c r="AB114" s="25">
        <v>0.20356250000000006</v>
      </c>
      <c r="AC114" s="25">
        <v>0.12400000000000004</v>
      </c>
      <c r="AD114" s="25">
        <v>0.26029166666666642</v>
      </c>
      <c r="AE114" s="27">
        <f t="shared" si="3"/>
        <v>0.3521875000000001</v>
      </c>
      <c r="AF114" s="27">
        <f t="shared" si="4"/>
        <v>0.37575347222222216</v>
      </c>
      <c r="AG114" s="27">
        <f t="shared" si="5"/>
        <v>0.37146874999999996</v>
      </c>
    </row>
    <row r="115" spans="1:33" x14ac:dyDescent="0.25">
      <c r="A115" s="9">
        <v>43822</v>
      </c>
      <c r="B115" s="3"/>
      <c r="C115" s="3"/>
      <c r="D115" s="3"/>
      <c r="E115" s="3"/>
      <c r="F115" s="3"/>
      <c r="G115" s="3"/>
      <c r="H115" s="3"/>
      <c r="I115" s="3"/>
      <c r="J115" s="23">
        <v>43822</v>
      </c>
      <c r="K115" s="24">
        <v>40.5625</v>
      </c>
      <c r="L115" s="24">
        <v>90.672916666666652</v>
      </c>
      <c r="M115" s="24">
        <v>6.5874999999999995</v>
      </c>
      <c r="N115" s="24">
        <v>0.4</v>
      </c>
      <c r="O115" s="24">
        <v>119.14583333333333</v>
      </c>
      <c r="P115" s="24">
        <v>5.229166666666667</v>
      </c>
      <c r="Q115" s="24">
        <v>0.29166666666666669</v>
      </c>
      <c r="R115" s="24">
        <v>5.1229166666666677</v>
      </c>
      <c r="S115" s="10">
        <v>9.516057772828819E-2</v>
      </c>
      <c r="T115" s="25">
        <v>0.26924999999999993</v>
      </c>
      <c r="U115" s="25">
        <v>0.36387500000000023</v>
      </c>
      <c r="V115" s="25">
        <v>0.44687499999999952</v>
      </c>
      <c r="W115" s="25">
        <v>0.45043749999999966</v>
      </c>
      <c r="X115" s="25">
        <v>0.43616666666666698</v>
      </c>
      <c r="Y115" s="25">
        <v>0.32739583333333327</v>
      </c>
      <c r="Z115" s="25">
        <v>0.35468749999999999</v>
      </c>
      <c r="AA115" s="25">
        <v>0.30866666666666659</v>
      </c>
      <c r="AB115" s="25">
        <v>0.20393617021276589</v>
      </c>
      <c r="AC115" s="25">
        <v>0.12371428571428571</v>
      </c>
      <c r="AD115" s="25">
        <v>0.25960416666666664</v>
      </c>
      <c r="AE115" s="27">
        <f t="shared" si="3"/>
        <v>0.35270833333333346</v>
      </c>
      <c r="AF115" s="27">
        <f t="shared" si="4"/>
        <v>0.37532291666666656</v>
      </c>
      <c r="AG115" s="27">
        <f t="shared" si="5"/>
        <v>0.37121117424242411</v>
      </c>
    </row>
    <row r="116" spans="1:33" x14ac:dyDescent="0.25">
      <c r="A116" s="9">
        <v>43823</v>
      </c>
      <c r="B116" s="3"/>
      <c r="C116" s="3"/>
      <c r="D116" s="3"/>
      <c r="E116" s="3"/>
      <c r="F116" s="3"/>
      <c r="G116" s="3"/>
      <c r="H116" s="3"/>
      <c r="I116" s="3"/>
      <c r="J116" s="23">
        <v>43823</v>
      </c>
      <c r="K116" s="24">
        <v>28.041666666666668</v>
      </c>
      <c r="L116" s="24">
        <v>91.197916666666671</v>
      </c>
      <c r="M116" s="24">
        <v>6.7729166666666663</v>
      </c>
      <c r="N116" s="24">
        <v>0</v>
      </c>
      <c r="O116" s="24">
        <v>129.83333333333334</v>
      </c>
      <c r="P116" s="24">
        <v>6.729166666666667</v>
      </c>
      <c r="Q116" s="24">
        <v>0.47916666666666669</v>
      </c>
      <c r="R116" s="24">
        <v>5.4291666666666663</v>
      </c>
      <c r="S116" s="10">
        <v>8.6411627289565571E-2</v>
      </c>
      <c r="T116" s="25">
        <v>0.26929166666666671</v>
      </c>
      <c r="U116" s="25">
        <v>0.36339583333333308</v>
      </c>
      <c r="V116" s="25">
        <v>0.44650000000000017</v>
      </c>
      <c r="W116" s="25">
        <v>0.44954166666666695</v>
      </c>
      <c r="X116" s="25">
        <v>0.43554166666666677</v>
      </c>
      <c r="Y116" s="25">
        <v>0.32702083333333332</v>
      </c>
      <c r="Z116" s="25">
        <v>0.35406249999999967</v>
      </c>
      <c r="AA116" s="25">
        <v>0.30797916666666653</v>
      </c>
      <c r="AB116" s="25">
        <v>0.20287234042553204</v>
      </c>
      <c r="AC116" s="25">
        <v>0.12291666666666679</v>
      </c>
      <c r="AD116" s="25">
        <v>0.25818749999999974</v>
      </c>
      <c r="AE116" s="27">
        <f t="shared" si="3"/>
        <v>0.35241666666666671</v>
      </c>
      <c r="AF116" s="27">
        <f t="shared" si="4"/>
        <v>0.37474999999999997</v>
      </c>
      <c r="AG116" s="27">
        <f t="shared" si="5"/>
        <v>0.37068939393939393</v>
      </c>
    </row>
    <row r="117" spans="1:33" x14ac:dyDescent="0.25">
      <c r="A117" s="9">
        <v>43824</v>
      </c>
      <c r="B117" s="3"/>
      <c r="C117" s="3"/>
      <c r="D117" s="3"/>
      <c r="E117" s="3"/>
      <c r="F117" s="3"/>
      <c r="G117" s="3"/>
      <c r="H117" s="3"/>
      <c r="I117" s="3"/>
      <c r="J117" s="23">
        <v>43824</v>
      </c>
      <c r="K117" s="24">
        <v>146.1875</v>
      </c>
      <c r="L117" s="24">
        <v>81.264583333333306</v>
      </c>
      <c r="M117" s="24">
        <v>10.987499999999997</v>
      </c>
      <c r="N117" s="24">
        <v>0</v>
      </c>
      <c r="O117" s="24">
        <v>202.14583333333334</v>
      </c>
      <c r="P117" s="24">
        <v>12.208333333333334</v>
      </c>
      <c r="Q117" s="24">
        <v>1.0833333333333333</v>
      </c>
      <c r="R117" s="24">
        <v>7.4083333333333341</v>
      </c>
      <c r="S117" s="10">
        <v>0.33828917731474051</v>
      </c>
      <c r="T117" s="25">
        <v>0.27185416666666656</v>
      </c>
      <c r="U117" s="25">
        <v>0.36533333333333351</v>
      </c>
      <c r="V117" s="25">
        <v>0.44772916666666657</v>
      </c>
      <c r="W117" s="25">
        <v>0.44906250000000014</v>
      </c>
      <c r="X117" s="25">
        <v>0.43999999999999989</v>
      </c>
      <c r="Y117" s="25">
        <v>0.32835416666666684</v>
      </c>
      <c r="Z117" s="25">
        <v>0.35412499999999975</v>
      </c>
      <c r="AA117" s="25">
        <v>0.30768750000000006</v>
      </c>
      <c r="AB117" s="25">
        <v>0.20473333333333341</v>
      </c>
      <c r="AC117" s="25">
        <v>0.12337777777777785</v>
      </c>
      <c r="AD117" s="25">
        <v>0.26089583333333338</v>
      </c>
      <c r="AE117" s="27">
        <f t="shared" si="3"/>
        <v>0.35592708333333323</v>
      </c>
      <c r="AF117" s="27">
        <f t="shared" si="4"/>
        <v>0.37538194444444445</v>
      </c>
      <c r="AG117" s="27">
        <f t="shared" si="5"/>
        <v>0.37184469696969691</v>
      </c>
    </row>
    <row r="118" spans="1:33" x14ac:dyDescent="0.25">
      <c r="A118" s="9">
        <v>43825</v>
      </c>
      <c r="B118" s="3"/>
      <c r="C118" s="3"/>
      <c r="D118" s="3"/>
      <c r="E118" s="3"/>
      <c r="F118" s="3"/>
      <c r="G118" s="3"/>
      <c r="H118" s="3"/>
      <c r="I118" s="3"/>
      <c r="J118" s="23">
        <v>43825</v>
      </c>
      <c r="K118" s="24">
        <v>14.875</v>
      </c>
      <c r="L118" s="24">
        <v>81.287499999999994</v>
      </c>
      <c r="M118" s="24">
        <v>5.5833333333333321</v>
      </c>
      <c r="N118" s="24">
        <v>0</v>
      </c>
      <c r="O118" s="24">
        <v>232.3125</v>
      </c>
      <c r="P118" s="24">
        <v>4.8125</v>
      </c>
      <c r="Q118" s="24">
        <v>0</v>
      </c>
      <c r="R118" s="24">
        <v>2.6145833333333335</v>
      </c>
      <c r="S118" s="10">
        <v>0.17085806297348127</v>
      </c>
      <c r="T118" s="25">
        <v>0.27229166666666677</v>
      </c>
      <c r="U118" s="25">
        <v>0.36806250000000001</v>
      </c>
      <c r="V118" s="25">
        <v>0.45191666666666658</v>
      </c>
      <c r="W118" s="25">
        <v>0.45108333333333356</v>
      </c>
      <c r="X118" s="25">
        <v>0.44137499999999985</v>
      </c>
      <c r="Y118" s="25">
        <v>0.32972916666666696</v>
      </c>
      <c r="Z118" s="25">
        <v>0.35583333333333339</v>
      </c>
      <c r="AA118" s="25">
        <v>0.30791666666666656</v>
      </c>
      <c r="AB118" s="25">
        <v>0.20187096774193541</v>
      </c>
      <c r="AC118" s="25">
        <v>0.12058333333333338</v>
      </c>
      <c r="AD118" s="25">
        <v>0.25612500000000021</v>
      </c>
      <c r="AE118" s="27">
        <f t="shared" si="3"/>
        <v>0.35683333333333334</v>
      </c>
      <c r="AF118" s="27">
        <f t="shared" si="4"/>
        <v>0.37742361111111117</v>
      </c>
      <c r="AG118" s="27">
        <f t="shared" si="5"/>
        <v>0.3736799242424243</v>
      </c>
    </row>
    <row r="119" spans="1:33" x14ac:dyDescent="0.25">
      <c r="A119" s="9">
        <v>43826</v>
      </c>
      <c r="B119" s="3"/>
      <c r="C119" s="3"/>
      <c r="D119" s="3"/>
      <c r="E119" s="3"/>
      <c r="F119" s="3"/>
      <c r="G119" s="3"/>
      <c r="H119" s="3"/>
      <c r="I119" s="3"/>
      <c r="J119" s="23">
        <v>43826</v>
      </c>
      <c r="K119" s="24">
        <v>75.729166666666671</v>
      </c>
      <c r="L119" s="24">
        <v>72.525000000000006</v>
      </c>
      <c r="M119" s="24">
        <v>5.8687499999999986</v>
      </c>
      <c r="N119" s="24">
        <v>0.2</v>
      </c>
      <c r="O119" s="24">
        <v>151.83333333333334</v>
      </c>
      <c r="P119" s="24">
        <v>4.125</v>
      </c>
      <c r="Q119" s="24">
        <v>0.125</v>
      </c>
      <c r="R119" s="24">
        <v>1.0250000000000001</v>
      </c>
      <c r="S119" s="10">
        <v>0.27753989717262012</v>
      </c>
      <c r="T119" s="25">
        <v>0.26908333333333323</v>
      </c>
      <c r="U119" s="25">
        <v>0.36316666666666658</v>
      </c>
      <c r="V119" s="25">
        <v>0.44741666666666641</v>
      </c>
      <c r="W119" s="25">
        <v>0.44956250000000031</v>
      </c>
      <c r="X119" s="25">
        <v>0.43629166666666697</v>
      </c>
      <c r="Y119" s="25">
        <v>0.32777083333333323</v>
      </c>
      <c r="Z119" s="25">
        <v>0.35449999999999965</v>
      </c>
      <c r="AA119" s="25">
        <v>0.30768750000000006</v>
      </c>
      <c r="AB119" s="25">
        <v>0.19939534883720925</v>
      </c>
      <c r="AC119" s="25">
        <v>0.11943181818181813</v>
      </c>
      <c r="AD119" s="25">
        <v>0.25339583333333343</v>
      </c>
      <c r="AE119" s="27">
        <f t="shared" si="3"/>
        <v>0.3526875000000001</v>
      </c>
      <c r="AF119" s="27">
        <f t="shared" si="4"/>
        <v>0.375017361111111</v>
      </c>
      <c r="AG119" s="27">
        <f t="shared" si="5"/>
        <v>0.37095738636363629</v>
      </c>
    </row>
    <row r="120" spans="1:33" x14ac:dyDescent="0.25">
      <c r="A120" s="9">
        <v>43827</v>
      </c>
      <c r="B120" s="3"/>
      <c r="C120" s="3"/>
      <c r="D120" s="3"/>
      <c r="E120" s="3"/>
      <c r="F120" s="3"/>
      <c r="G120" s="3"/>
      <c r="H120" s="3"/>
      <c r="I120" s="3"/>
      <c r="J120" s="23">
        <v>43827</v>
      </c>
      <c r="K120" s="24">
        <v>18.333333333333332</v>
      </c>
      <c r="L120" s="24">
        <v>95.372916666666654</v>
      </c>
      <c r="M120" s="24">
        <v>5.2041666666666675</v>
      </c>
      <c r="N120" s="24">
        <v>3.3000000000000007</v>
      </c>
      <c r="O120" s="24">
        <v>195.35416666666666</v>
      </c>
      <c r="P120" s="24">
        <v>3.0833333333333335</v>
      </c>
      <c r="Q120" s="24">
        <v>0.10416666666666667</v>
      </c>
      <c r="R120" s="24">
        <v>4.5187499999999998</v>
      </c>
      <c r="S120" s="10">
        <v>4.0185311656929762E-2</v>
      </c>
      <c r="T120" s="25">
        <v>0.26870833333333349</v>
      </c>
      <c r="U120" s="25">
        <v>0.36200000000000015</v>
      </c>
      <c r="V120" s="25">
        <v>0.44560416666666652</v>
      </c>
      <c r="W120" s="25">
        <v>0.44845833333333346</v>
      </c>
      <c r="X120" s="25">
        <v>0.43454166666666655</v>
      </c>
      <c r="Y120" s="25">
        <v>0.32739583333333333</v>
      </c>
      <c r="Z120" s="25">
        <v>0.35370833333333324</v>
      </c>
      <c r="AA120" s="25">
        <v>0.30716666666666687</v>
      </c>
      <c r="AB120" s="25">
        <v>0.1995625</v>
      </c>
      <c r="AC120" s="25">
        <v>0.11933333333333336</v>
      </c>
      <c r="AD120" s="25">
        <v>0.25106249999999991</v>
      </c>
      <c r="AE120" s="27">
        <f t="shared" si="3"/>
        <v>0.35162500000000002</v>
      </c>
      <c r="AF120" s="27">
        <f t="shared" si="4"/>
        <v>0.37405555555555559</v>
      </c>
      <c r="AG120" s="27">
        <f t="shared" si="5"/>
        <v>0.36997727272727277</v>
      </c>
    </row>
    <row r="121" spans="1:33" x14ac:dyDescent="0.25">
      <c r="A121" s="9">
        <v>43828</v>
      </c>
      <c r="B121" s="3"/>
      <c r="C121" s="3"/>
      <c r="D121" s="3"/>
      <c r="E121" s="3"/>
      <c r="F121" s="3"/>
      <c r="G121" s="3"/>
      <c r="H121" s="3"/>
      <c r="I121" s="3"/>
      <c r="J121" s="23">
        <v>43828</v>
      </c>
      <c r="K121" s="24">
        <v>113.25</v>
      </c>
      <c r="L121" s="24">
        <v>84.960416666666688</v>
      </c>
      <c r="M121" s="24">
        <v>9.4479166666666661</v>
      </c>
      <c r="N121" s="24">
        <v>0.4</v>
      </c>
      <c r="O121" s="24">
        <v>172.14583333333334</v>
      </c>
      <c r="P121" s="24">
        <v>2.5833333333333335</v>
      </c>
      <c r="Q121" s="24">
        <v>2.0833333333333332E-2</v>
      </c>
      <c r="R121" s="24">
        <v>6.7208333333333323</v>
      </c>
      <c r="S121" s="10">
        <v>0.22826212902880313</v>
      </c>
      <c r="T121" s="25">
        <v>0.26966666666666661</v>
      </c>
      <c r="U121" s="25">
        <v>0.36177083333333332</v>
      </c>
      <c r="V121" s="25">
        <v>0.44487500000000035</v>
      </c>
      <c r="W121" s="25">
        <v>0.44712499999999961</v>
      </c>
      <c r="X121" s="25">
        <v>0.43585416666666638</v>
      </c>
      <c r="Y121" s="25">
        <v>0.32733333333333331</v>
      </c>
      <c r="Z121" s="25">
        <v>0.3529166666666666</v>
      </c>
      <c r="AA121" s="25">
        <v>0.30660416666666651</v>
      </c>
      <c r="AB121" s="25">
        <v>0.20483333333333337</v>
      </c>
      <c r="AC121" s="25">
        <v>0.12572340425531911</v>
      </c>
      <c r="AD121" s="25">
        <v>0.25354166666666661</v>
      </c>
      <c r="AE121" s="27">
        <f t="shared" si="3"/>
        <v>0.35276041666666647</v>
      </c>
      <c r="AF121" s="27">
        <f t="shared" si="4"/>
        <v>0.37343749999999992</v>
      </c>
      <c r="AG121" s="27">
        <f t="shared" si="5"/>
        <v>0.36967803030303026</v>
      </c>
    </row>
    <row r="122" spans="1:33" x14ac:dyDescent="0.25">
      <c r="A122" s="9">
        <v>43829</v>
      </c>
      <c r="B122" s="3"/>
      <c r="C122" s="3"/>
      <c r="D122" s="3"/>
      <c r="E122" s="3"/>
      <c r="F122" s="3"/>
      <c r="G122" s="3"/>
      <c r="H122" s="3"/>
      <c r="I122" s="3"/>
      <c r="J122" s="23">
        <v>43829</v>
      </c>
      <c r="K122" s="24">
        <v>95.5625</v>
      </c>
      <c r="L122" s="24">
        <v>83.077083333333348</v>
      </c>
      <c r="M122" s="24">
        <v>9.7583333333333311</v>
      </c>
      <c r="N122" s="24">
        <v>0</v>
      </c>
      <c r="O122" s="24">
        <v>153.22916666666666</v>
      </c>
      <c r="P122" s="24">
        <v>5.6875</v>
      </c>
      <c r="Q122" s="24">
        <v>0.125</v>
      </c>
      <c r="R122" s="24">
        <v>6.8291666666666657</v>
      </c>
      <c r="S122" s="10">
        <v>0.23399680745060458</v>
      </c>
      <c r="T122" s="25">
        <v>0.27218750000000025</v>
      </c>
      <c r="U122" s="25">
        <v>0.36522916666666699</v>
      </c>
      <c r="V122" s="25">
        <v>0.44883333333333347</v>
      </c>
      <c r="W122" s="25">
        <v>0.44812500000000038</v>
      </c>
      <c r="X122" s="25">
        <v>0.44081249999999983</v>
      </c>
      <c r="Y122" s="25">
        <v>0.32916666666666683</v>
      </c>
      <c r="Z122" s="25">
        <v>0.35391666666666627</v>
      </c>
      <c r="AA122" s="25">
        <v>0.30629166666666652</v>
      </c>
      <c r="AB122" s="25">
        <v>0.20397674418604642</v>
      </c>
      <c r="AC122" s="25">
        <v>0.12704166666666664</v>
      </c>
      <c r="AD122" s="25">
        <v>0.25406250000000002</v>
      </c>
      <c r="AE122" s="27">
        <f t="shared" si="3"/>
        <v>0.35650000000000004</v>
      </c>
      <c r="AF122" s="27">
        <f t="shared" si="4"/>
        <v>0.37526041666666671</v>
      </c>
      <c r="AG122" s="27">
        <f t="shared" si="5"/>
        <v>0.37184943181818192</v>
      </c>
    </row>
    <row r="123" spans="1:33" x14ac:dyDescent="0.25">
      <c r="A123" s="9">
        <v>43830</v>
      </c>
      <c r="B123" s="3"/>
      <c r="C123" s="3"/>
      <c r="D123" s="3"/>
      <c r="E123" s="3"/>
      <c r="F123" s="3"/>
      <c r="G123" s="3"/>
      <c r="H123" s="3"/>
      <c r="I123" s="3"/>
      <c r="J123" s="23">
        <v>43830</v>
      </c>
      <c r="K123" s="24">
        <v>19.75</v>
      </c>
      <c r="L123" s="24">
        <v>94.612500000000011</v>
      </c>
      <c r="M123" s="24">
        <v>7.2416666666666645</v>
      </c>
      <c r="N123" s="24">
        <v>0.8</v>
      </c>
      <c r="O123" s="24">
        <v>134.6875</v>
      </c>
      <c r="P123" s="24">
        <v>8.4375</v>
      </c>
      <c r="Q123" s="24">
        <v>1.375</v>
      </c>
      <c r="R123" s="24">
        <v>6.429166666666668</v>
      </c>
      <c r="S123" s="10">
        <v>5.6365654908941458E-2</v>
      </c>
      <c r="T123" s="25">
        <v>0.27127083333333329</v>
      </c>
      <c r="U123" s="25">
        <v>0.36612499999999976</v>
      </c>
      <c r="V123" s="25">
        <v>0.44956249999999992</v>
      </c>
      <c r="W123" s="25">
        <v>0.44939583333333361</v>
      </c>
      <c r="X123" s="25">
        <v>0.4395416666666665</v>
      </c>
      <c r="Y123" s="25">
        <v>0.32964583333333358</v>
      </c>
      <c r="Z123" s="25">
        <v>0.35487500000000022</v>
      </c>
      <c r="AA123" s="25">
        <v>0.30697916666666691</v>
      </c>
      <c r="AB123" s="25">
        <v>0.20216666666666663</v>
      </c>
      <c r="AC123" s="25">
        <v>0.12443750000000003</v>
      </c>
      <c r="AD123" s="25">
        <v>0.2513749999999999</v>
      </c>
      <c r="AE123" s="27">
        <f t="shared" si="3"/>
        <v>0.35540624999999992</v>
      </c>
      <c r="AF123" s="27">
        <f t="shared" si="4"/>
        <v>0.37609722222222236</v>
      </c>
      <c r="AG123" s="27">
        <f t="shared" si="5"/>
        <v>0.37233522727272739</v>
      </c>
    </row>
    <row r="124" spans="1:33" x14ac:dyDescent="0.25">
      <c r="A124" s="9">
        <v>43831</v>
      </c>
      <c r="B124" s="3"/>
      <c r="C124" s="3"/>
      <c r="D124" s="3"/>
      <c r="E124" s="3"/>
      <c r="F124" s="3"/>
      <c r="G124" s="3"/>
      <c r="H124" s="3"/>
      <c r="I124" s="3"/>
      <c r="J124" s="23">
        <v>43831</v>
      </c>
      <c r="K124" s="24">
        <v>105.45833333333333</v>
      </c>
      <c r="L124" s="24">
        <v>79.981250000000003</v>
      </c>
      <c r="M124" s="24">
        <v>13.700000000000003</v>
      </c>
      <c r="N124" s="24">
        <v>0</v>
      </c>
      <c r="O124" s="24">
        <v>170.64583333333334</v>
      </c>
      <c r="P124" s="24">
        <v>18.4375</v>
      </c>
      <c r="Q124" s="24">
        <v>3.0416666666666665</v>
      </c>
      <c r="R124" s="24">
        <v>10.135416666666666</v>
      </c>
      <c r="S124" s="10">
        <v>0.35280575231979</v>
      </c>
      <c r="T124" s="25">
        <v>0.27137500000000009</v>
      </c>
      <c r="U124" s="25">
        <v>0.36556250000000018</v>
      </c>
      <c r="V124" s="25">
        <v>0.44833333333333342</v>
      </c>
      <c r="W124" s="25">
        <v>0.44843750000000032</v>
      </c>
      <c r="X124" s="25">
        <v>0.44043750000000031</v>
      </c>
      <c r="Y124" s="25">
        <v>0.32935416666666673</v>
      </c>
      <c r="Z124" s="25">
        <v>0.35406249999999967</v>
      </c>
      <c r="AA124" s="25">
        <v>0.3068125000000001</v>
      </c>
      <c r="AB124" s="25">
        <v>0.20193939393939395</v>
      </c>
      <c r="AC124" s="25">
        <v>0.12545833333333331</v>
      </c>
      <c r="AD124" s="25">
        <v>0.25325000000000009</v>
      </c>
      <c r="AE124" s="27">
        <f t="shared" si="3"/>
        <v>0.3559062500000002</v>
      </c>
      <c r="AF124" s="27">
        <f t="shared" si="4"/>
        <v>0.37542708333333347</v>
      </c>
      <c r="AG124" s="27">
        <f t="shared" si="5"/>
        <v>0.3718778409090911</v>
      </c>
    </row>
    <row r="125" spans="1:33" x14ac:dyDescent="0.25">
      <c r="A125" s="9">
        <v>43832</v>
      </c>
      <c r="B125" s="3"/>
      <c r="C125" s="3"/>
      <c r="D125" s="3"/>
      <c r="E125" s="3"/>
      <c r="F125" s="3"/>
      <c r="G125" s="3"/>
      <c r="H125" s="3"/>
      <c r="I125" s="3"/>
      <c r="J125" s="23">
        <v>43832</v>
      </c>
      <c r="K125" s="24">
        <v>126.39583333333333</v>
      </c>
      <c r="L125" s="24">
        <v>74.695833333333326</v>
      </c>
      <c r="M125" s="24">
        <v>14.779166666666663</v>
      </c>
      <c r="N125" s="24">
        <v>0</v>
      </c>
      <c r="O125" s="24">
        <v>171.04166666666666</v>
      </c>
      <c r="P125" s="24">
        <v>8.0625</v>
      </c>
      <c r="Q125" s="24">
        <v>0.3125</v>
      </c>
      <c r="R125" s="24">
        <v>9.9500000000000028</v>
      </c>
      <c r="S125" s="10">
        <v>0.49489900884368171</v>
      </c>
      <c r="T125" s="25">
        <v>0.27472916666666641</v>
      </c>
      <c r="U125" s="25">
        <v>0.36981249999999993</v>
      </c>
      <c r="V125" s="25">
        <v>0.45274999999999982</v>
      </c>
      <c r="W125" s="25">
        <v>0.45010416666666653</v>
      </c>
      <c r="X125" s="25">
        <v>0.44624999999999998</v>
      </c>
      <c r="Y125" s="25">
        <v>0.33166666666666689</v>
      </c>
      <c r="Z125" s="25">
        <v>0.3555416666666667</v>
      </c>
      <c r="AA125" s="25">
        <v>0.30689583333333359</v>
      </c>
      <c r="AB125" s="25">
        <v>0.20244117647058818</v>
      </c>
      <c r="AC125" s="25">
        <v>0.12407692307692313</v>
      </c>
      <c r="AD125" s="25">
        <v>0.2544791666666667</v>
      </c>
      <c r="AE125" s="27">
        <f t="shared" si="3"/>
        <v>0.3604895833333332</v>
      </c>
      <c r="AF125" s="27">
        <f t="shared" si="4"/>
        <v>0.37779513888888894</v>
      </c>
      <c r="AG125" s="27">
        <f t="shared" si="5"/>
        <v>0.37464867424242426</v>
      </c>
    </row>
    <row r="126" spans="1:33" x14ac:dyDescent="0.25">
      <c r="A126" s="9">
        <v>43833</v>
      </c>
      <c r="B126" s="3"/>
      <c r="C126" s="3"/>
      <c r="D126" s="3"/>
      <c r="E126" s="3"/>
      <c r="F126" s="3"/>
      <c r="G126" s="3"/>
      <c r="H126" s="3"/>
      <c r="I126" s="3"/>
      <c r="J126" s="23">
        <v>43833</v>
      </c>
      <c r="K126" s="24">
        <v>36.75</v>
      </c>
      <c r="L126" s="24">
        <v>89.999999999999986</v>
      </c>
      <c r="M126" s="24">
        <v>8.3520833333333329</v>
      </c>
      <c r="N126" s="24">
        <v>0</v>
      </c>
      <c r="O126" s="24">
        <v>143.52083333333334</v>
      </c>
      <c r="P126" s="24">
        <v>5.291666666666667</v>
      </c>
      <c r="Q126" s="24">
        <v>0</v>
      </c>
      <c r="R126" s="24">
        <v>6.7895833333333329</v>
      </c>
      <c r="S126" s="10">
        <v>0.11282535381469111</v>
      </c>
      <c r="T126" s="25">
        <v>0.27358333333333335</v>
      </c>
      <c r="U126" s="25">
        <v>0.37066666666666653</v>
      </c>
      <c r="V126" s="25">
        <v>0.45458333333333328</v>
      </c>
      <c r="W126" s="25">
        <v>0.45222916666666696</v>
      </c>
      <c r="X126" s="25">
        <v>0.44535416666666677</v>
      </c>
      <c r="Y126" s="25">
        <v>0.3322291666666668</v>
      </c>
      <c r="Z126" s="25">
        <v>0.3569791666666664</v>
      </c>
      <c r="AA126" s="25">
        <v>0.30764583333333329</v>
      </c>
      <c r="AB126" s="25">
        <v>0.1992727272727273</v>
      </c>
      <c r="AC126" s="25">
        <v>0.12131250000000011</v>
      </c>
      <c r="AD126" s="25">
        <v>0.25118749999999995</v>
      </c>
      <c r="AE126" s="27">
        <f t="shared" si="3"/>
        <v>0.35946875000000006</v>
      </c>
      <c r="AF126" s="27">
        <f t="shared" si="4"/>
        <v>0.37905555555555553</v>
      </c>
      <c r="AG126" s="27">
        <f t="shared" si="5"/>
        <v>0.37549431818181811</v>
      </c>
    </row>
    <row r="127" spans="1:33" x14ac:dyDescent="0.25">
      <c r="A127" s="9">
        <v>43834</v>
      </c>
      <c r="B127" s="3"/>
      <c r="C127" s="3"/>
      <c r="D127" s="3"/>
      <c r="E127" s="3"/>
      <c r="F127" s="3"/>
      <c r="G127" s="3"/>
      <c r="H127" s="3"/>
      <c r="I127" s="3"/>
      <c r="J127" s="23">
        <v>43834</v>
      </c>
      <c r="K127" s="24">
        <v>25.0625</v>
      </c>
      <c r="L127" s="24">
        <v>94.875000000000014</v>
      </c>
      <c r="M127" s="24">
        <v>9.0770833333333343</v>
      </c>
      <c r="N127" s="24">
        <v>20.799999999999997</v>
      </c>
      <c r="O127" s="24">
        <v>147.27083333333334</v>
      </c>
      <c r="P127" s="24">
        <v>7.604166666666667</v>
      </c>
      <c r="Q127" s="24">
        <v>1.7083333333333333</v>
      </c>
      <c r="R127" s="24">
        <v>8.2937499999999975</v>
      </c>
      <c r="S127" s="10">
        <v>6.5517627000271098E-2</v>
      </c>
      <c r="T127" s="25">
        <v>0.27891666666666648</v>
      </c>
      <c r="U127" s="25">
        <v>0.37814583333333335</v>
      </c>
      <c r="V127" s="25">
        <v>0.45635416666666634</v>
      </c>
      <c r="W127" s="25">
        <v>0.4603541666666669</v>
      </c>
      <c r="X127" s="25">
        <v>0.44750000000000006</v>
      </c>
      <c r="Y127" s="25">
        <v>0.33102083333333349</v>
      </c>
      <c r="Z127" s="25">
        <v>0.35604166666666676</v>
      </c>
      <c r="AA127" s="25">
        <v>0.30793749999999992</v>
      </c>
      <c r="AB127" s="25">
        <v>0.20454285714285728</v>
      </c>
      <c r="AC127" s="25">
        <v>0.13985416666666675</v>
      </c>
      <c r="AD127" s="25">
        <v>0.27533333333333337</v>
      </c>
      <c r="AE127" s="27">
        <f t="shared" si="3"/>
        <v>0.36320833333333324</v>
      </c>
      <c r="AF127" s="27">
        <f t="shared" si="4"/>
        <v>0.38164236111111111</v>
      </c>
      <c r="AG127" s="27">
        <f t="shared" si="5"/>
        <v>0.37829071969696959</v>
      </c>
    </row>
    <row r="128" spans="1:33" x14ac:dyDescent="0.25">
      <c r="A128" s="9">
        <v>43835</v>
      </c>
      <c r="B128" s="3"/>
      <c r="C128" s="3"/>
      <c r="D128" s="3"/>
      <c r="E128" s="3"/>
      <c r="F128" s="3"/>
      <c r="G128" s="3"/>
      <c r="H128" s="3"/>
      <c r="I128" s="3"/>
      <c r="J128" s="23">
        <v>43835</v>
      </c>
      <c r="K128" s="24">
        <v>103</v>
      </c>
      <c r="L128" s="24">
        <v>83.954166666666666</v>
      </c>
      <c r="M128" s="24">
        <v>13.337500000000004</v>
      </c>
      <c r="N128" s="24">
        <v>4.2</v>
      </c>
      <c r="O128" s="24">
        <v>190.0625</v>
      </c>
      <c r="P128" s="24">
        <v>20.3125</v>
      </c>
      <c r="Q128" s="24">
        <v>4.0625</v>
      </c>
      <c r="R128" s="24">
        <v>10.624999999999998</v>
      </c>
      <c r="S128" s="10">
        <v>0.2590665067805426</v>
      </c>
      <c r="T128" s="25">
        <v>0.31033333333333313</v>
      </c>
      <c r="U128" s="25">
        <v>0.43258333333333315</v>
      </c>
      <c r="V128" s="25">
        <v>0.49974999999999997</v>
      </c>
      <c r="W128" s="25">
        <v>0.49362499999999976</v>
      </c>
      <c r="X128" s="25">
        <v>0.48289583333333358</v>
      </c>
      <c r="Y128" s="25">
        <v>0.33514583333333353</v>
      </c>
      <c r="Z128" s="25">
        <v>0.35599999999999993</v>
      </c>
      <c r="AA128" s="25">
        <v>0.30781249999999999</v>
      </c>
      <c r="AB128" s="25">
        <v>0.3607499999999999</v>
      </c>
      <c r="AC128" s="25">
        <v>0.21812765957446822</v>
      </c>
      <c r="AD128" s="25">
        <v>0.40335416666666662</v>
      </c>
      <c r="AE128" s="27">
        <f t="shared" si="3"/>
        <v>0.39661458333333333</v>
      </c>
      <c r="AF128" s="27">
        <f t="shared" si="4"/>
        <v>0.40415277777777775</v>
      </c>
      <c r="AG128" s="27">
        <f t="shared" si="5"/>
        <v>0.40278219696969692</v>
      </c>
    </row>
    <row r="129" spans="1:33" x14ac:dyDescent="0.25">
      <c r="A129" s="9">
        <v>43836</v>
      </c>
      <c r="B129" s="3"/>
      <c r="C129" s="3"/>
      <c r="D129" s="3"/>
      <c r="E129" s="3"/>
      <c r="F129" s="3"/>
      <c r="G129" s="3"/>
      <c r="H129" s="3"/>
      <c r="I129" s="3"/>
      <c r="J129" s="23">
        <v>43836</v>
      </c>
      <c r="K129" s="24">
        <v>80.875</v>
      </c>
      <c r="L129" s="24">
        <v>85.020833333333343</v>
      </c>
      <c r="M129" s="24">
        <v>14.012499999999996</v>
      </c>
      <c r="N129" s="24">
        <v>22</v>
      </c>
      <c r="O129" s="24">
        <v>155.4375</v>
      </c>
      <c r="P129" s="24">
        <v>21.604166666666668</v>
      </c>
      <c r="Q129" s="24">
        <v>5.270833333333333</v>
      </c>
      <c r="R129" s="24">
        <v>11.477083333333331</v>
      </c>
      <c r="S129" s="10">
        <v>0.24728457018609684</v>
      </c>
      <c r="T129" s="25">
        <v>0.3356041666666667</v>
      </c>
      <c r="U129" s="25">
        <v>0.47391666666666671</v>
      </c>
      <c r="V129" s="25">
        <v>0.53716666666666646</v>
      </c>
      <c r="W129" s="25">
        <v>0.53618749999999993</v>
      </c>
      <c r="X129" s="25">
        <v>0.50906249999999997</v>
      </c>
      <c r="Y129" s="25">
        <v>0.38139583333333338</v>
      </c>
      <c r="Z129" s="25">
        <v>0.36808333333333326</v>
      </c>
      <c r="AA129" s="25">
        <v>0.31464583333333335</v>
      </c>
      <c r="AB129" s="25">
        <v>0.40748275862068961</v>
      </c>
      <c r="AC129" s="25">
        <v>0.25981250000000011</v>
      </c>
      <c r="AD129" s="25">
        <v>0.43816666666666676</v>
      </c>
      <c r="AE129" s="27">
        <f t="shared" si="3"/>
        <v>0.42233333333333334</v>
      </c>
      <c r="AF129" s="27">
        <f t="shared" si="4"/>
        <v>0.43523263888888891</v>
      </c>
      <c r="AG129" s="27">
        <f t="shared" si="5"/>
        <v>0.43288731060606062</v>
      </c>
    </row>
    <row r="130" spans="1:33" x14ac:dyDescent="0.25">
      <c r="A130" s="9">
        <v>43837</v>
      </c>
      <c r="B130" s="3"/>
      <c r="C130" s="3"/>
      <c r="D130" s="3"/>
      <c r="E130" s="3"/>
      <c r="F130" s="3"/>
      <c r="G130" s="3"/>
      <c r="H130" s="3"/>
      <c r="I130" s="3"/>
      <c r="J130" s="23">
        <v>43837</v>
      </c>
      <c r="K130" s="24">
        <v>145.875</v>
      </c>
      <c r="L130" s="24">
        <v>76.416666666666686</v>
      </c>
      <c r="M130" s="24">
        <v>10.625000000000002</v>
      </c>
      <c r="N130" s="24">
        <v>0</v>
      </c>
      <c r="O130" s="24">
        <v>166.52083333333334</v>
      </c>
      <c r="P130" s="24">
        <v>5.4375</v>
      </c>
      <c r="Q130" s="24">
        <v>0.8125</v>
      </c>
      <c r="R130" s="24">
        <v>6.3187500000000014</v>
      </c>
      <c r="S130" s="10">
        <v>0.3654156346206559</v>
      </c>
      <c r="T130" s="25">
        <v>0.36862499999999992</v>
      </c>
      <c r="U130" s="25">
        <v>0.49552083333333347</v>
      </c>
      <c r="V130" s="25">
        <v>0.55008333333333337</v>
      </c>
      <c r="W130" s="25">
        <v>0.55864583333333329</v>
      </c>
      <c r="X130" s="25">
        <v>0.50793750000000015</v>
      </c>
      <c r="Y130" s="25">
        <v>0.39304166666666668</v>
      </c>
      <c r="Z130" s="25">
        <v>0.3897916666666667</v>
      </c>
      <c r="AA130" s="25">
        <v>0.33097916666666677</v>
      </c>
      <c r="AB130" s="25">
        <v>0.40448387096774185</v>
      </c>
      <c r="AC130" s="25">
        <v>0.24021739130434785</v>
      </c>
      <c r="AD130" s="25">
        <v>0.43254166666666638</v>
      </c>
      <c r="AE130" s="27">
        <f t="shared" si="3"/>
        <v>0.43828125000000007</v>
      </c>
      <c r="AF130" s="27">
        <f t="shared" si="4"/>
        <v>0.45301041666666669</v>
      </c>
      <c r="AG130" s="27">
        <f t="shared" si="5"/>
        <v>0.45033238636363637</v>
      </c>
    </row>
    <row r="131" spans="1:33" x14ac:dyDescent="0.25">
      <c r="A131" s="9">
        <v>43838</v>
      </c>
      <c r="B131" s="3"/>
      <c r="C131" s="3"/>
      <c r="D131" s="3"/>
      <c r="E131" s="3"/>
      <c r="F131" s="3"/>
      <c r="G131" s="3"/>
      <c r="H131" s="3"/>
      <c r="I131" s="3"/>
      <c r="J131" s="23">
        <v>43838</v>
      </c>
      <c r="K131" s="24">
        <v>98.979166666666671</v>
      </c>
      <c r="L131" s="24">
        <v>79.933333333333323</v>
      </c>
      <c r="M131" s="24">
        <v>15.154166666666667</v>
      </c>
      <c r="N131" s="24">
        <v>0</v>
      </c>
      <c r="O131" s="24">
        <v>152</v>
      </c>
      <c r="P131" s="24">
        <v>23.5</v>
      </c>
      <c r="Q131" s="24">
        <v>6.145833333333333</v>
      </c>
      <c r="R131" s="24">
        <v>11.635416666666664</v>
      </c>
      <c r="S131" s="10">
        <v>0.36366265148312588</v>
      </c>
      <c r="T131" s="25">
        <v>0.36499999999999999</v>
      </c>
      <c r="U131" s="25">
        <v>0.49325000000000019</v>
      </c>
      <c r="V131" s="25">
        <v>0.54827083333333348</v>
      </c>
      <c r="W131" s="25">
        <v>0.55516666666666625</v>
      </c>
      <c r="X131" s="25">
        <v>0.50920833333333348</v>
      </c>
      <c r="Y131" s="25">
        <v>0.39187500000000003</v>
      </c>
      <c r="Z131" s="25">
        <v>0.39533333333333348</v>
      </c>
      <c r="AA131" s="25">
        <v>0.3394375</v>
      </c>
      <c r="AB131" s="25">
        <v>0.39550000000000002</v>
      </c>
      <c r="AC131" s="25">
        <v>0.23010416666666678</v>
      </c>
      <c r="AD131" s="25">
        <v>0.41564583333333321</v>
      </c>
      <c r="AE131" s="27">
        <f t="shared" si="3"/>
        <v>0.43710416666666674</v>
      </c>
      <c r="AF131" s="27">
        <f t="shared" si="4"/>
        <v>0.45388888888888884</v>
      </c>
      <c r="AG131" s="27">
        <f t="shared" si="5"/>
        <v>0.45083712121212116</v>
      </c>
    </row>
    <row r="132" spans="1:33" x14ac:dyDescent="0.25">
      <c r="A132" s="9">
        <v>43839</v>
      </c>
      <c r="B132" s="3"/>
      <c r="C132" s="3"/>
      <c r="D132" s="3"/>
      <c r="E132" s="3"/>
      <c r="F132" s="3"/>
      <c r="G132" s="3"/>
      <c r="H132" s="3"/>
      <c r="I132" s="3"/>
      <c r="J132" s="23">
        <v>43839</v>
      </c>
      <c r="K132" s="24">
        <v>120.08333333333333</v>
      </c>
      <c r="L132" s="24">
        <v>82.958333333333329</v>
      </c>
      <c r="M132" s="24">
        <v>12.266666666666667</v>
      </c>
      <c r="N132" s="24">
        <v>0</v>
      </c>
      <c r="O132" s="24">
        <v>153.35416666666666</v>
      </c>
      <c r="P132" s="24">
        <v>9.4583333333333339</v>
      </c>
      <c r="Q132" s="24">
        <v>1.0208333333333333</v>
      </c>
      <c r="R132" s="24">
        <v>9.3250000000000011</v>
      </c>
      <c r="S132" s="10">
        <v>0.26759487535920545</v>
      </c>
      <c r="T132" s="25">
        <v>0.36433333333333318</v>
      </c>
      <c r="U132" s="25">
        <v>0.49222916666666655</v>
      </c>
      <c r="V132" s="25">
        <v>0.54835416666666681</v>
      </c>
      <c r="W132" s="25">
        <v>0.55460416666666601</v>
      </c>
      <c r="X132" s="25">
        <v>0.51108333333333333</v>
      </c>
      <c r="Y132" s="25">
        <v>0.3930833333333334</v>
      </c>
      <c r="Z132" s="25">
        <v>0.40216666666666678</v>
      </c>
      <c r="AA132" s="25">
        <v>0.34952083333333323</v>
      </c>
      <c r="AB132" s="25">
        <v>0.38914285714285712</v>
      </c>
      <c r="AC132" s="25">
        <v>0.22362499999999993</v>
      </c>
      <c r="AD132" s="25">
        <v>0.40491666666666654</v>
      </c>
      <c r="AE132" s="27">
        <f t="shared" si="3"/>
        <v>0.43770833333333325</v>
      </c>
      <c r="AF132" s="27">
        <f t="shared" si="4"/>
        <v>0.45665972222222212</v>
      </c>
      <c r="AG132" s="27">
        <f t="shared" si="5"/>
        <v>0.45321401515151499</v>
      </c>
    </row>
    <row r="133" spans="1:33" x14ac:dyDescent="0.25">
      <c r="A133" s="9">
        <v>43840</v>
      </c>
      <c r="B133" s="3"/>
      <c r="C133" s="3"/>
      <c r="D133" s="3"/>
      <c r="E133" s="3"/>
      <c r="F133" s="3"/>
      <c r="G133" s="3"/>
      <c r="H133" s="3"/>
      <c r="I133" s="3"/>
      <c r="J133" s="23">
        <v>43840</v>
      </c>
      <c r="K133" s="24">
        <v>32</v>
      </c>
      <c r="L133" s="24">
        <v>92.827083333333334</v>
      </c>
      <c r="M133" s="24">
        <v>5.8500000000000014</v>
      </c>
      <c r="N133" s="24">
        <v>0</v>
      </c>
      <c r="O133" s="24">
        <v>166.375</v>
      </c>
      <c r="P133" s="24">
        <v>6</v>
      </c>
      <c r="Q133" s="24">
        <v>4.1666666666666664E-2</v>
      </c>
      <c r="R133" s="24">
        <v>4.772916666666668</v>
      </c>
      <c r="S133" s="10">
        <v>6.6255597615316283E-2</v>
      </c>
      <c r="T133" s="25">
        <v>0.36010416666666673</v>
      </c>
      <c r="U133" s="25">
        <v>0.48827083333333343</v>
      </c>
      <c r="V133" s="25">
        <v>0.54662500000000025</v>
      </c>
      <c r="W133" s="25">
        <v>0.55431249999999987</v>
      </c>
      <c r="X133" s="25">
        <v>0.50735416666666666</v>
      </c>
      <c r="Y133" s="25">
        <v>0.39583333333333365</v>
      </c>
      <c r="Z133" s="25">
        <v>0.40816666666666679</v>
      </c>
      <c r="AA133" s="25">
        <v>0.35652083333333334</v>
      </c>
      <c r="AB133" s="25">
        <v>0.38276595744680841</v>
      </c>
      <c r="AC133" s="25">
        <v>0.21689583333333318</v>
      </c>
      <c r="AD133" s="25">
        <v>0.39156250000000009</v>
      </c>
      <c r="AE133" s="27">
        <f t="shared" si="3"/>
        <v>0.43372916666666672</v>
      </c>
      <c r="AF133" s="27">
        <f t="shared" si="4"/>
        <v>0.45828819444444452</v>
      </c>
      <c r="AG133" s="27">
        <f t="shared" si="5"/>
        <v>0.45382291666666674</v>
      </c>
    </row>
    <row r="134" spans="1:33" x14ac:dyDescent="0.25">
      <c r="A134" s="9">
        <v>43841</v>
      </c>
      <c r="B134" s="3"/>
      <c r="C134" s="3"/>
      <c r="D134" s="3"/>
      <c r="E134" s="3"/>
      <c r="F134" s="3"/>
      <c r="G134" s="3"/>
      <c r="H134" s="3"/>
      <c r="I134" s="3"/>
      <c r="J134" s="23">
        <v>43841</v>
      </c>
      <c r="K134" s="24">
        <v>153.0625</v>
      </c>
      <c r="L134" s="24">
        <v>73.216666666666654</v>
      </c>
      <c r="M134" s="24">
        <v>7.5020833333333314</v>
      </c>
      <c r="N134" s="24">
        <v>0</v>
      </c>
      <c r="O134" s="24">
        <v>200.89583333333334</v>
      </c>
      <c r="P134" s="24">
        <v>7.5</v>
      </c>
      <c r="Q134" s="24">
        <v>0.79166666666666663</v>
      </c>
      <c r="R134" s="24">
        <v>2.4750000000000001</v>
      </c>
      <c r="S134" s="10">
        <v>0.35348727747869274</v>
      </c>
      <c r="T134" s="25">
        <v>0.35552083333333323</v>
      </c>
      <c r="U134" s="25">
        <v>0.48137500000000005</v>
      </c>
      <c r="V134" s="25">
        <v>0.5403541666666668</v>
      </c>
      <c r="W134" s="25">
        <v>0.55035416666666659</v>
      </c>
      <c r="X134" s="25">
        <v>0.50333333333333352</v>
      </c>
      <c r="Y134" s="25">
        <v>0.39625000000000005</v>
      </c>
      <c r="Z134" s="25">
        <v>0.41016666666666696</v>
      </c>
      <c r="AA134" s="25">
        <v>0.35843750000000002</v>
      </c>
      <c r="AB134" s="25">
        <v>0.37714634146341464</v>
      </c>
      <c r="AC134" s="25">
        <v>0.21134782608695662</v>
      </c>
      <c r="AD134" s="25">
        <v>0.38275000000000009</v>
      </c>
      <c r="AE134" s="27">
        <f t="shared" ref="AE134:AE197" si="6">AVERAGE(T134,X134)</f>
        <v>0.42942708333333335</v>
      </c>
      <c r="AF134" s="27">
        <f t="shared" ref="AF134:AF197" si="7">AVERAGE(U134:W134,Y134:AA134)</f>
        <v>0.45615625000000004</v>
      </c>
      <c r="AG134" s="27">
        <f t="shared" ref="AG134:AG197" si="8">(AE134*10+AF134*45)/55</f>
        <v>0.45129640151515155</v>
      </c>
    </row>
    <row r="135" spans="1:33" x14ac:dyDescent="0.25">
      <c r="A135" s="9">
        <v>43842</v>
      </c>
      <c r="B135" s="3"/>
      <c r="C135" s="3"/>
      <c r="D135" s="3"/>
      <c r="E135" s="3"/>
      <c r="F135" s="3"/>
      <c r="G135" s="3"/>
      <c r="H135" s="3"/>
      <c r="I135" s="3"/>
      <c r="J135" s="23">
        <v>43842</v>
      </c>
      <c r="K135" s="24">
        <v>113.54166666666667</v>
      </c>
      <c r="L135" s="24">
        <v>79.606250000000003</v>
      </c>
      <c r="M135" s="24">
        <v>7.1729166666666684</v>
      </c>
      <c r="N135" s="24">
        <v>0</v>
      </c>
      <c r="O135" s="24">
        <v>147.08333333333334</v>
      </c>
      <c r="P135" s="24">
        <v>5.333333333333333</v>
      </c>
      <c r="Q135" s="24">
        <v>0.25</v>
      </c>
      <c r="R135" s="24">
        <v>3.6500000000000008</v>
      </c>
      <c r="S135" s="10">
        <v>0.24912856384269302</v>
      </c>
      <c r="T135" s="25">
        <v>0.35666666666666669</v>
      </c>
      <c r="U135" s="25">
        <v>0.4817291666666666</v>
      </c>
      <c r="V135" s="25">
        <v>0.54043750000000002</v>
      </c>
      <c r="W135" s="25">
        <v>0.54916666666666691</v>
      </c>
      <c r="X135" s="25">
        <v>0.50466666666666682</v>
      </c>
      <c r="Y135" s="25">
        <v>0.39904166666666668</v>
      </c>
      <c r="Z135" s="25">
        <v>0.4124791666666669</v>
      </c>
      <c r="AA135" s="25">
        <v>0.35962499999999969</v>
      </c>
      <c r="AB135" s="25">
        <v>0.36927499999999991</v>
      </c>
      <c r="AC135" s="25">
        <v>0.20374999999999996</v>
      </c>
      <c r="AD135" s="25">
        <v>0.37164583333333306</v>
      </c>
      <c r="AE135" s="27">
        <f t="shared" si="6"/>
        <v>0.43066666666666675</v>
      </c>
      <c r="AF135" s="27">
        <f t="shared" si="7"/>
        <v>0.45707986111111115</v>
      </c>
      <c r="AG135" s="27">
        <f t="shared" si="8"/>
        <v>0.45227746212121217</v>
      </c>
    </row>
    <row r="136" spans="1:33" x14ac:dyDescent="0.25">
      <c r="A136" s="9">
        <v>43843</v>
      </c>
      <c r="B136" s="3"/>
      <c r="C136" s="3"/>
      <c r="D136" s="3"/>
      <c r="E136" s="3"/>
      <c r="F136" s="3"/>
      <c r="G136" s="3"/>
      <c r="H136" s="3"/>
      <c r="I136" s="3"/>
      <c r="J136" s="23">
        <v>43843</v>
      </c>
      <c r="K136" s="24">
        <v>56.75</v>
      </c>
      <c r="L136" s="24">
        <v>86.077083333333363</v>
      </c>
      <c r="M136" s="24">
        <v>8.4666666666666668</v>
      </c>
      <c r="N136" s="24">
        <v>0.8</v>
      </c>
      <c r="O136" s="24">
        <v>164.4375</v>
      </c>
      <c r="P136" s="24">
        <v>8.625</v>
      </c>
      <c r="Q136" s="24">
        <v>0.66666666666666663</v>
      </c>
      <c r="R136" s="24">
        <v>6.197916666666667</v>
      </c>
      <c r="S136" s="10">
        <v>0.16582481419749126</v>
      </c>
      <c r="T136" s="25">
        <v>0.35616666666666691</v>
      </c>
      <c r="U136" s="25">
        <v>0.48052083333333312</v>
      </c>
      <c r="V136" s="25">
        <v>0.53935416666666669</v>
      </c>
      <c r="W136" s="25">
        <v>0.54833333333333367</v>
      </c>
      <c r="X136" s="25">
        <v>0.50337500000000013</v>
      </c>
      <c r="Y136" s="25">
        <v>0.40137499999999987</v>
      </c>
      <c r="Z136" s="25">
        <v>0.4137083333333334</v>
      </c>
      <c r="AA136" s="25">
        <v>0.36056250000000017</v>
      </c>
      <c r="AB136" s="25">
        <v>0.36599999999999966</v>
      </c>
      <c r="AC136" s="25">
        <v>0.19832558139534881</v>
      </c>
      <c r="AD136" s="25">
        <v>0.36333333333333329</v>
      </c>
      <c r="AE136" s="27">
        <f t="shared" si="6"/>
        <v>0.42977083333333355</v>
      </c>
      <c r="AF136" s="27">
        <f t="shared" si="7"/>
        <v>0.45730902777777788</v>
      </c>
      <c r="AG136" s="27">
        <f t="shared" si="8"/>
        <v>0.45230208333333344</v>
      </c>
    </row>
    <row r="137" spans="1:33" x14ac:dyDescent="0.25">
      <c r="A137" s="9">
        <v>43844</v>
      </c>
      <c r="B137" s="3"/>
      <c r="C137" s="3"/>
      <c r="D137" s="3"/>
      <c r="E137" s="3"/>
      <c r="F137" s="3"/>
      <c r="G137" s="3"/>
      <c r="H137" s="3"/>
      <c r="I137" s="3"/>
      <c r="J137" s="23">
        <v>43844</v>
      </c>
      <c r="K137" s="24">
        <v>16.708333333333332</v>
      </c>
      <c r="L137" s="24">
        <v>95.033333333333317</v>
      </c>
      <c r="M137" s="24">
        <v>3.6708333333333338</v>
      </c>
      <c r="N137" s="24">
        <v>2.1999999999999997</v>
      </c>
      <c r="O137" s="24">
        <v>127.3125</v>
      </c>
      <c r="P137" s="24">
        <v>4.854166666666667</v>
      </c>
      <c r="Q137" s="24">
        <v>4.1666666666666664E-2</v>
      </c>
      <c r="R137" s="24">
        <v>2.9479166666666661</v>
      </c>
      <c r="S137" s="10">
        <v>3.9334162101446517E-2</v>
      </c>
      <c r="T137" s="25">
        <v>0.3526458333333331</v>
      </c>
      <c r="U137" s="25">
        <v>0.47681250000000025</v>
      </c>
      <c r="V137" s="25">
        <v>0.53604166666666664</v>
      </c>
      <c r="W137" s="25">
        <v>0.54639583333333341</v>
      </c>
      <c r="X137" s="25">
        <v>0.49854166666666644</v>
      </c>
      <c r="Y137" s="25">
        <v>0.39991666666666698</v>
      </c>
      <c r="Z137" s="25">
        <v>0.41350000000000003</v>
      </c>
      <c r="AA137" s="25">
        <v>0.3607291666666666</v>
      </c>
      <c r="AB137" s="25">
        <v>0.36510416666666684</v>
      </c>
      <c r="AC137" s="25">
        <v>0.19560416666666655</v>
      </c>
      <c r="AD137" s="25">
        <v>0.3544166666666666</v>
      </c>
      <c r="AE137" s="27">
        <f t="shared" si="6"/>
        <v>0.42559374999999977</v>
      </c>
      <c r="AF137" s="27">
        <f t="shared" si="7"/>
        <v>0.45556597222222234</v>
      </c>
      <c r="AG137" s="27">
        <f t="shared" si="8"/>
        <v>0.45011647727272736</v>
      </c>
    </row>
    <row r="138" spans="1:33" x14ac:dyDescent="0.25">
      <c r="A138" s="9">
        <v>43845</v>
      </c>
      <c r="B138" s="3"/>
      <c r="C138" s="3"/>
      <c r="D138" s="3"/>
      <c r="E138" s="3"/>
      <c r="F138" s="3"/>
      <c r="G138" s="3"/>
      <c r="H138" s="3"/>
      <c r="I138" s="3"/>
      <c r="J138" s="23">
        <v>43845</v>
      </c>
      <c r="K138" s="24">
        <v>20.770833333333332</v>
      </c>
      <c r="L138" s="24">
        <v>96.458333333333314</v>
      </c>
      <c r="M138" s="24">
        <v>3.1645833333333324</v>
      </c>
      <c r="N138" s="24">
        <v>2.1999999999999997</v>
      </c>
      <c r="O138" s="24">
        <v>177.91666666666666</v>
      </c>
      <c r="P138" s="24">
        <v>4.958333333333333</v>
      </c>
      <c r="Q138" s="24">
        <v>2.0833333333333332E-2</v>
      </c>
      <c r="R138" s="24">
        <v>2.6520833333333336</v>
      </c>
      <c r="S138" s="10">
        <v>2.7132557163293384E-2</v>
      </c>
      <c r="T138" s="25">
        <v>0.34937500000000005</v>
      </c>
      <c r="U138" s="25">
        <v>0.47160416666666638</v>
      </c>
      <c r="V138" s="25">
        <v>0.53110416666666693</v>
      </c>
      <c r="W138" s="25">
        <v>0.5430833333333337</v>
      </c>
      <c r="X138" s="25">
        <v>0.49283333333333362</v>
      </c>
      <c r="Y138" s="25">
        <v>0.39697916666666694</v>
      </c>
      <c r="Z138" s="25">
        <v>0.41195833333333381</v>
      </c>
      <c r="AA138" s="25">
        <v>0.35997916666666646</v>
      </c>
      <c r="AB138" s="25">
        <v>0.37702083333333336</v>
      </c>
      <c r="AC138" s="25">
        <v>0.22018749999999998</v>
      </c>
      <c r="AD138" s="25">
        <v>0.35181250000000008</v>
      </c>
      <c r="AE138" s="27">
        <f t="shared" si="6"/>
        <v>0.42110416666666683</v>
      </c>
      <c r="AF138" s="27">
        <f t="shared" si="7"/>
        <v>0.45245138888888903</v>
      </c>
      <c r="AG138" s="27">
        <f t="shared" si="8"/>
        <v>0.44675189393939407</v>
      </c>
    </row>
    <row r="139" spans="1:33" x14ac:dyDescent="0.25">
      <c r="A139" s="9">
        <v>43846</v>
      </c>
      <c r="B139" s="3"/>
      <c r="C139" s="3"/>
      <c r="D139" s="3"/>
      <c r="E139" s="3"/>
      <c r="F139" s="3"/>
      <c r="G139" s="3"/>
      <c r="H139" s="3"/>
      <c r="I139" s="3"/>
      <c r="J139" s="23">
        <v>43846</v>
      </c>
      <c r="K139" s="24">
        <v>34.708333333333336</v>
      </c>
      <c r="L139" s="24">
        <v>86.956249999999997</v>
      </c>
      <c r="M139" s="24">
        <v>4.3145833333333332</v>
      </c>
      <c r="N139" s="24">
        <v>0</v>
      </c>
      <c r="O139" s="24">
        <v>186.45833333333334</v>
      </c>
      <c r="P139" s="24">
        <v>3.9375</v>
      </c>
      <c r="Q139" s="24">
        <v>0.20833333333333334</v>
      </c>
      <c r="R139" s="24">
        <v>2.3020833333333335</v>
      </c>
      <c r="S139" s="10">
        <v>0.1125814916994264</v>
      </c>
      <c r="T139" s="25">
        <v>0.34745833333333326</v>
      </c>
      <c r="U139" s="25">
        <v>0.46762499999999979</v>
      </c>
      <c r="V139" s="25">
        <v>0.52685416666666629</v>
      </c>
      <c r="W139" s="25">
        <v>0.53949999999999998</v>
      </c>
      <c r="X139" s="25">
        <v>0.49149999999999977</v>
      </c>
      <c r="Y139" s="25">
        <v>0.39464583333333308</v>
      </c>
      <c r="Z139" s="25">
        <v>0.41039583333333329</v>
      </c>
      <c r="AA139" s="25">
        <v>0.35860416666666683</v>
      </c>
      <c r="AB139" s="25">
        <v>0.38277083333333323</v>
      </c>
      <c r="AC139" s="25">
        <v>0.221</v>
      </c>
      <c r="AD139" s="25">
        <v>0.35314583333333327</v>
      </c>
      <c r="AE139" s="27">
        <f t="shared" si="6"/>
        <v>0.41947916666666651</v>
      </c>
      <c r="AF139" s="27">
        <f t="shared" si="7"/>
        <v>0.44960416666666658</v>
      </c>
      <c r="AG139" s="27">
        <f t="shared" si="8"/>
        <v>0.44412689393939386</v>
      </c>
    </row>
    <row r="140" spans="1:33" x14ac:dyDescent="0.25">
      <c r="A140" s="9">
        <v>43847</v>
      </c>
      <c r="B140" s="3"/>
      <c r="C140" s="3"/>
      <c r="D140" s="3"/>
      <c r="E140" s="3"/>
      <c r="F140" s="3"/>
      <c r="G140" s="3"/>
      <c r="H140" s="3"/>
      <c r="I140" s="3"/>
      <c r="J140" s="23">
        <v>43847</v>
      </c>
      <c r="K140" s="24">
        <v>27.375</v>
      </c>
      <c r="L140" s="24">
        <v>90.293749999999974</v>
      </c>
      <c r="M140" s="24">
        <v>4.0375000000000023</v>
      </c>
      <c r="N140" s="24">
        <v>0.4</v>
      </c>
      <c r="O140" s="24">
        <v>135.0625</v>
      </c>
      <c r="P140" s="24">
        <v>3.2291666666666665</v>
      </c>
      <c r="Q140" s="24">
        <v>0</v>
      </c>
      <c r="R140" s="24">
        <v>2.5666666666666669</v>
      </c>
      <c r="S140" s="10">
        <v>8.1380660999319135E-2</v>
      </c>
      <c r="T140" s="25">
        <v>0.34724999999999978</v>
      </c>
      <c r="U140" s="25">
        <v>0.46599999999999997</v>
      </c>
      <c r="V140" s="25">
        <v>0.52454166666666724</v>
      </c>
      <c r="W140" s="25">
        <v>0.5370833333333338</v>
      </c>
      <c r="X140" s="25">
        <v>0.49210416666666718</v>
      </c>
      <c r="Y140" s="25">
        <v>0.39402083333333321</v>
      </c>
      <c r="Z140" s="25">
        <v>0.40956250000000005</v>
      </c>
      <c r="AA140" s="25">
        <v>0.35800000000000015</v>
      </c>
      <c r="AB140" s="25">
        <v>0.37904166666666644</v>
      </c>
      <c r="AC140" s="25">
        <v>0.21437499999999998</v>
      </c>
      <c r="AD140" s="25">
        <v>0.35268749999999999</v>
      </c>
      <c r="AE140" s="27">
        <f t="shared" si="6"/>
        <v>0.41967708333333348</v>
      </c>
      <c r="AF140" s="27">
        <f t="shared" si="7"/>
        <v>0.44820138888888911</v>
      </c>
      <c r="AG140" s="27">
        <f t="shared" si="8"/>
        <v>0.44301515151515175</v>
      </c>
    </row>
    <row r="141" spans="1:33" x14ac:dyDescent="0.25">
      <c r="A141" s="9">
        <v>43848</v>
      </c>
      <c r="B141" s="3"/>
      <c r="C141" s="3"/>
      <c r="D141" s="3"/>
      <c r="E141" s="3"/>
      <c r="F141" s="3"/>
      <c r="G141" s="3"/>
      <c r="H141" s="3"/>
      <c r="I141" s="3"/>
      <c r="J141" s="23">
        <v>43848</v>
      </c>
      <c r="K141" s="24">
        <v>23.229166666666668</v>
      </c>
      <c r="L141" s="24">
        <v>93.499999999999957</v>
      </c>
      <c r="M141" s="24">
        <v>2.8249999999999993</v>
      </c>
      <c r="N141" s="24">
        <v>0.60000000000000009</v>
      </c>
      <c r="O141" s="24">
        <v>159.625</v>
      </c>
      <c r="P141" s="24">
        <v>4.270833333333333</v>
      </c>
      <c r="Q141" s="24">
        <v>0</v>
      </c>
      <c r="R141" s="24">
        <v>1.8812500000000003</v>
      </c>
      <c r="S141" s="10">
        <v>4.9252687963927837E-2</v>
      </c>
      <c r="T141" s="25">
        <v>0.3462083333333334</v>
      </c>
      <c r="U141" s="25">
        <v>0.46391666666666675</v>
      </c>
      <c r="V141" s="25">
        <v>0.52266666666666606</v>
      </c>
      <c r="W141" s="25">
        <v>0.5352291666666662</v>
      </c>
      <c r="X141" s="25">
        <v>0.49104166666666654</v>
      </c>
      <c r="Y141" s="25">
        <v>0.39339583333333367</v>
      </c>
      <c r="Z141" s="25">
        <v>0.40881250000000025</v>
      </c>
      <c r="AA141" s="25">
        <v>0.35797916666666679</v>
      </c>
      <c r="AB141" s="25">
        <v>0.37608333333333316</v>
      </c>
      <c r="AC141" s="25">
        <v>0.21308333333333351</v>
      </c>
      <c r="AD141" s="25">
        <v>0.35052083333333323</v>
      </c>
      <c r="AE141" s="27">
        <f t="shared" si="6"/>
        <v>0.41862499999999997</v>
      </c>
      <c r="AF141" s="27">
        <f t="shared" si="7"/>
        <v>0.44700000000000001</v>
      </c>
      <c r="AG141" s="27">
        <f t="shared" si="8"/>
        <v>0.44184090909090917</v>
      </c>
    </row>
    <row r="142" spans="1:33" x14ac:dyDescent="0.25">
      <c r="A142" s="9">
        <v>43849</v>
      </c>
      <c r="B142" s="3"/>
      <c r="C142" s="3"/>
      <c r="D142" s="3"/>
      <c r="E142" s="3"/>
      <c r="F142" s="3"/>
      <c r="G142" s="3"/>
      <c r="H142" s="3"/>
      <c r="I142" s="3"/>
      <c r="J142" s="23">
        <v>43849</v>
      </c>
      <c r="K142" s="24">
        <v>32.958333333333336</v>
      </c>
      <c r="L142" s="24">
        <v>84.193750000000009</v>
      </c>
      <c r="M142" s="24">
        <v>4.260416666666667</v>
      </c>
      <c r="N142" s="24">
        <v>0</v>
      </c>
      <c r="O142" s="24">
        <v>159.52083333333334</v>
      </c>
      <c r="P142" s="24">
        <v>3.3125</v>
      </c>
      <c r="Q142" s="24">
        <v>4.1666666666666664E-2</v>
      </c>
      <c r="R142" s="24">
        <v>1.79375</v>
      </c>
      <c r="S142" s="10">
        <v>0.13391264409100045</v>
      </c>
      <c r="T142" s="25">
        <v>0.34543750000000006</v>
      </c>
      <c r="U142" s="25">
        <v>0.46187499999999981</v>
      </c>
      <c r="V142" s="25">
        <v>0.52006249999999954</v>
      </c>
      <c r="W142" s="25">
        <v>0.53297916666666667</v>
      </c>
      <c r="X142" s="25">
        <v>0.49085416666666676</v>
      </c>
      <c r="Y142" s="25">
        <v>0.39262499999999995</v>
      </c>
      <c r="Z142" s="25">
        <v>0.4078958333333334</v>
      </c>
      <c r="AA142" s="25">
        <v>0.35714583333333305</v>
      </c>
      <c r="AB142" s="25">
        <v>0.37441666666666662</v>
      </c>
      <c r="AC142" s="25">
        <v>0.21231249999999999</v>
      </c>
      <c r="AD142" s="25">
        <v>0.34877083333333347</v>
      </c>
      <c r="AE142" s="27">
        <f t="shared" si="6"/>
        <v>0.41814583333333344</v>
      </c>
      <c r="AF142" s="27">
        <f t="shared" si="7"/>
        <v>0.44543055555555539</v>
      </c>
      <c r="AG142" s="27">
        <f t="shared" si="8"/>
        <v>0.44046969696969684</v>
      </c>
    </row>
    <row r="143" spans="1:33" x14ac:dyDescent="0.25">
      <c r="A143" s="9">
        <v>43850</v>
      </c>
      <c r="B143" s="3"/>
      <c r="C143" s="3"/>
      <c r="D143" s="3"/>
      <c r="E143" s="3"/>
      <c r="F143" s="3"/>
      <c r="G143" s="3"/>
      <c r="H143" s="3"/>
      <c r="I143" s="3"/>
      <c r="J143" s="23">
        <v>43850</v>
      </c>
      <c r="K143" s="24">
        <v>21.5</v>
      </c>
      <c r="L143" s="24">
        <v>96.597916666666677</v>
      </c>
      <c r="M143" s="24">
        <v>5.6687499999999993</v>
      </c>
      <c r="N143" s="24">
        <v>1.7999999999999998</v>
      </c>
      <c r="O143" s="24">
        <v>127.97916666666667</v>
      </c>
      <c r="P143" s="24">
        <v>4.666666666666667</v>
      </c>
      <c r="Q143" s="24">
        <v>0.125</v>
      </c>
      <c r="R143" s="24">
        <v>5.1645833333333337</v>
      </c>
      <c r="S143" s="10">
        <v>3.0709342761305273E-2</v>
      </c>
      <c r="T143" s="25">
        <v>0.34624999999999995</v>
      </c>
      <c r="U143" s="25">
        <v>0.46162499999999995</v>
      </c>
      <c r="V143" s="25">
        <v>0.51933333333333276</v>
      </c>
      <c r="W143" s="25">
        <v>0.53193749999999995</v>
      </c>
      <c r="X143" s="25">
        <v>0.4936875</v>
      </c>
      <c r="Y143" s="25">
        <v>0.3933124999999999</v>
      </c>
      <c r="Z143" s="25">
        <v>0.40725000000000006</v>
      </c>
      <c r="AA143" s="25">
        <v>0.35702083333333307</v>
      </c>
      <c r="AB143" s="25">
        <v>0.3777500000000002</v>
      </c>
      <c r="AC143" s="25">
        <v>0.21508333333333332</v>
      </c>
      <c r="AD143" s="25">
        <v>0.34874999999999995</v>
      </c>
      <c r="AE143" s="27">
        <f t="shared" si="6"/>
        <v>0.41996875</v>
      </c>
      <c r="AF143" s="27">
        <f t="shared" si="7"/>
        <v>0.44507986111111092</v>
      </c>
      <c r="AG143" s="27">
        <f t="shared" si="8"/>
        <v>0.44051420454545437</v>
      </c>
    </row>
    <row r="144" spans="1:33" x14ac:dyDescent="0.25">
      <c r="A144" s="9">
        <v>43851</v>
      </c>
      <c r="B144" s="3"/>
      <c r="C144" s="3"/>
      <c r="D144" s="3"/>
      <c r="E144" s="3"/>
      <c r="F144" s="3"/>
      <c r="G144" s="3"/>
      <c r="H144" s="3"/>
      <c r="I144" s="3"/>
      <c r="J144" s="23">
        <v>43851</v>
      </c>
      <c r="K144" s="24">
        <v>119.70833333333333</v>
      </c>
      <c r="L144" s="24">
        <v>86.106249999999989</v>
      </c>
      <c r="M144" s="24">
        <v>11.65625</v>
      </c>
      <c r="N144" s="24">
        <v>0</v>
      </c>
      <c r="O144" s="24">
        <v>184</v>
      </c>
      <c r="P144" s="24">
        <v>14.229166666666666</v>
      </c>
      <c r="Q144" s="24">
        <v>1.9166666666666667</v>
      </c>
      <c r="R144" s="24">
        <v>9.2729166666666671</v>
      </c>
      <c r="S144" s="10">
        <v>0.22257481358977671</v>
      </c>
      <c r="T144" s="25">
        <v>0.34974999999999995</v>
      </c>
      <c r="U144" s="25">
        <v>0.46435416666666657</v>
      </c>
      <c r="V144" s="25">
        <v>0.52081249999999979</v>
      </c>
      <c r="W144" s="25">
        <v>0.53149999999999997</v>
      </c>
      <c r="X144" s="25">
        <v>0.50864583333333357</v>
      </c>
      <c r="Y144" s="25">
        <v>0.39725000000000005</v>
      </c>
      <c r="Z144" s="25">
        <v>0.40764583333333321</v>
      </c>
      <c r="AA144" s="25">
        <v>0.3567708333333332</v>
      </c>
      <c r="AB144" s="25">
        <v>0.38662790697674421</v>
      </c>
      <c r="AC144" s="25">
        <v>0.22445454545454546</v>
      </c>
      <c r="AD144" s="25">
        <v>0.3691875</v>
      </c>
      <c r="AE144" s="27">
        <f t="shared" si="6"/>
        <v>0.42919791666666673</v>
      </c>
      <c r="AF144" s="27">
        <f t="shared" si="7"/>
        <v>0.44638888888888872</v>
      </c>
      <c r="AG144" s="27">
        <f t="shared" si="8"/>
        <v>0.44326325757575746</v>
      </c>
    </row>
    <row r="145" spans="1:33" x14ac:dyDescent="0.25">
      <c r="A145" s="9">
        <v>43852</v>
      </c>
      <c r="B145" s="3"/>
      <c r="C145" s="3"/>
      <c r="D145" s="3"/>
      <c r="E145" s="3"/>
      <c r="F145" s="3"/>
      <c r="G145" s="3"/>
      <c r="H145" s="3"/>
      <c r="I145" s="3"/>
      <c r="J145" s="23">
        <v>43852</v>
      </c>
      <c r="K145" s="24">
        <v>169.77083333333334</v>
      </c>
      <c r="L145" s="24">
        <v>72.097916666666663</v>
      </c>
      <c r="M145" s="24">
        <v>14.039583333333333</v>
      </c>
      <c r="N145" s="24">
        <v>0</v>
      </c>
      <c r="O145" s="24">
        <v>164.75</v>
      </c>
      <c r="P145" s="24">
        <v>12.229166666666666</v>
      </c>
      <c r="Q145" s="24">
        <v>2.2083333333333335</v>
      </c>
      <c r="R145" s="24">
        <v>8.2354166666666675</v>
      </c>
      <c r="S145" s="10">
        <v>0.58902826960099686</v>
      </c>
      <c r="T145" s="25">
        <v>0.35604166666666665</v>
      </c>
      <c r="U145" s="25">
        <v>0.47156250000000011</v>
      </c>
      <c r="V145" s="25">
        <v>0.5273333333333331</v>
      </c>
      <c r="W145" s="25">
        <v>0.53429166666666683</v>
      </c>
      <c r="X145" s="25">
        <v>0.51656249999999992</v>
      </c>
      <c r="Y145" s="25">
        <v>0.40616666666666656</v>
      </c>
      <c r="Z145" s="25">
        <v>0.4106249999999998</v>
      </c>
      <c r="AA145" s="25">
        <v>0.35758333333333359</v>
      </c>
      <c r="AB145" s="25">
        <v>0.38763157894736844</v>
      </c>
      <c r="AC145" s="25">
        <v>0.21675675675675674</v>
      </c>
      <c r="AD145" s="25">
        <v>0.38270833333333343</v>
      </c>
      <c r="AE145" s="27">
        <f t="shared" si="6"/>
        <v>0.43630208333333331</v>
      </c>
      <c r="AF145" s="27">
        <f t="shared" si="7"/>
        <v>0.45126041666666666</v>
      </c>
      <c r="AG145" s="27">
        <f t="shared" si="8"/>
        <v>0.44854071969696968</v>
      </c>
    </row>
    <row r="146" spans="1:33" x14ac:dyDescent="0.25">
      <c r="A146" s="9">
        <v>43853</v>
      </c>
      <c r="B146" s="3"/>
      <c r="C146" s="3"/>
      <c r="D146" s="3"/>
      <c r="E146" s="3"/>
      <c r="F146" s="3"/>
      <c r="G146" s="3"/>
      <c r="H146" s="3"/>
      <c r="I146" s="3"/>
      <c r="J146" s="23">
        <v>43853</v>
      </c>
      <c r="K146" s="24">
        <v>60.3125</v>
      </c>
      <c r="L146" s="24">
        <v>85.891666666666666</v>
      </c>
      <c r="M146" s="24">
        <v>8.0270833333333353</v>
      </c>
      <c r="N146" s="24">
        <v>0</v>
      </c>
      <c r="O146" s="24">
        <v>187.08333333333334</v>
      </c>
      <c r="P146" s="24">
        <v>6.416666666666667</v>
      </c>
      <c r="Q146" s="24">
        <v>0.1875</v>
      </c>
      <c r="R146" s="24">
        <v>5.7791666666666686</v>
      </c>
      <c r="S146" s="10">
        <v>0.15751896998571593</v>
      </c>
      <c r="T146" s="25">
        <v>0.35672916666666676</v>
      </c>
      <c r="U146" s="25">
        <v>0.47518749999999993</v>
      </c>
      <c r="V146" s="25">
        <v>0.53152083333333311</v>
      </c>
      <c r="W146" s="25">
        <v>0.53839583333333374</v>
      </c>
      <c r="X146" s="25">
        <v>0.51668750000000008</v>
      </c>
      <c r="Y146" s="25">
        <v>0.40925000000000028</v>
      </c>
      <c r="Z146" s="25">
        <v>0.41379166666666678</v>
      </c>
      <c r="AA146" s="25">
        <v>0.35864583333333339</v>
      </c>
      <c r="AB146" s="25">
        <v>0.38308333333333333</v>
      </c>
      <c r="AC146" s="25">
        <v>0.21019444444444435</v>
      </c>
      <c r="AD146" s="25">
        <v>0.37681249999999983</v>
      </c>
      <c r="AE146" s="27">
        <f t="shared" si="6"/>
        <v>0.43670833333333342</v>
      </c>
      <c r="AF146" s="27">
        <f t="shared" si="7"/>
        <v>0.45446527777777795</v>
      </c>
      <c r="AG146" s="27">
        <f t="shared" si="8"/>
        <v>0.45123674242424261</v>
      </c>
    </row>
    <row r="147" spans="1:33" x14ac:dyDescent="0.25">
      <c r="A147" s="9">
        <v>43854</v>
      </c>
      <c r="B147" s="3"/>
      <c r="C147" s="3"/>
      <c r="D147" s="3"/>
      <c r="E147" s="3"/>
      <c r="F147" s="3"/>
      <c r="G147" s="3"/>
      <c r="H147" s="3"/>
      <c r="I147" s="3"/>
      <c r="J147" s="23">
        <v>43854</v>
      </c>
      <c r="K147" s="24">
        <v>28.770833333333332</v>
      </c>
      <c r="L147" s="24">
        <v>88.975000000000009</v>
      </c>
      <c r="M147" s="24">
        <v>5.6145833333333321</v>
      </c>
      <c r="N147" s="24">
        <v>7.5</v>
      </c>
      <c r="O147" s="24">
        <v>215.45833333333334</v>
      </c>
      <c r="P147" s="24">
        <v>5.625</v>
      </c>
      <c r="Q147" s="24">
        <v>0</v>
      </c>
      <c r="R147" s="24">
        <v>3.9229166666666679</v>
      </c>
      <c r="S147" s="10">
        <v>0.10301094729844347</v>
      </c>
      <c r="T147" s="25">
        <v>0.35220833333333307</v>
      </c>
      <c r="U147" s="25">
        <v>0.4706041666666671</v>
      </c>
      <c r="V147" s="25">
        <v>0.5281250000000004</v>
      </c>
      <c r="W147" s="25">
        <v>0.53814583333333343</v>
      </c>
      <c r="X147" s="25">
        <v>0.51150000000000007</v>
      </c>
      <c r="Y147" s="25">
        <v>0.40691666666666659</v>
      </c>
      <c r="Z147" s="25">
        <v>0.41397916666666673</v>
      </c>
      <c r="AA147" s="25">
        <v>0.35924999999999985</v>
      </c>
      <c r="AB147" s="25">
        <v>0.38089473684210534</v>
      </c>
      <c r="AC147" s="25">
        <v>0.22663157894736843</v>
      </c>
      <c r="AD147" s="25">
        <v>0.37272916666666672</v>
      </c>
      <c r="AE147" s="27">
        <f t="shared" si="6"/>
        <v>0.43185416666666654</v>
      </c>
      <c r="AF147" s="27">
        <f t="shared" si="7"/>
        <v>0.45283680555555567</v>
      </c>
      <c r="AG147" s="27">
        <f t="shared" si="8"/>
        <v>0.44902178030303036</v>
      </c>
    </row>
    <row r="148" spans="1:33" x14ac:dyDescent="0.25">
      <c r="A148" s="9">
        <v>43855</v>
      </c>
      <c r="B148" s="3"/>
      <c r="C148" s="3"/>
      <c r="D148" s="3"/>
      <c r="E148" s="3"/>
      <c r="F148" s="3"/>
      <c r="G148" s="3"/>
      <c r="H148" s="3"/>
      <c r="I148" s="3"/>
      <c r="J148" s="23">
        <v>43855</v>
      </c>
      <c r="K148" s="24">
        <v>38.604166666666664</v>
      </c>
      <c r="L148" s="24">
        <v>92.091666666666654</v>
      </c>
      <c r="M148" s="24">
        <v>2.0791666666666666</v>
      </c>
      <c r="N148" s="24">
        <v>18.799999999999997</v>
      </c>
      <c r="O148" s="24">
        <v>238.3125</v>
      </c>
      <c r="P148" s="24">
        <v>4.6875</v>
      </c>
      <c r="Q148" s="24">
        <v>0</v>
      </c>
      <c r="R148" s="24">
        <v>0.90416666666666623</v>
      </c>
      <c r="S148" s="10">
        <v>5.7365329301678585E-2</v>
      </c>
      <c r="T148" s="25">
        <v>0.40260416666666665</v>
      </c>
      <c r="U148" s="25">
        <v>0.5102500000000002</v>
      </c>
      <c r="V148" s="25">
        <v>0.55218750000000005</v>
      </c>
      <c r="W148" s="25">
        <v>0.5847083333333335</v>
      </c>
      <c r="X148" s="25">
        <v>0.54679166666666668</v>
      </c>
      <c r="Y148" s="25">
        <v>0.45445833333333358</v>
      </c>
      <c r="Z148" s="25">
        <v>0.43358333333333338</v>
      </c>
      <c r="AA148" s="25">
        <v>0.37725000000000009</v>
      </c>
      <c r="AB148" s="25">
        <v>0.42081250000000009</v>
      </c>
      <c r="AC148" s="25">
        <v>0.26478723404255317</v>
      </c>
      <c r="AD148" s="25">
        <v>0.43993749999999993</v>
      </c>
      <c r="AE148" s="27">
        <f t="shared" si="6"/>
        <v>0.47469791666666666</v>
      </c>
      <c r="AF148" s="27">
        <f t="shared" si="7"/>
        <v>0.48540625000000009</v>
      </c>
      <c r="AG148" s="27">
        <f t="shared" si="8"/>
        <v>0.48345928030303037</v>
      </c>
    </row>
    <row r="149" spans="1:33" x14ac:dyDescent="0.25">
      <c r="A149" s="9">
        <v>43856</v>
      </c>
      <c r="B149" s="3"/>
      <c r="C149" s="3"/>
      <c r="D149" s="3"/>
      <c r="E149" s="3"/>
      <c r="F149" s="3"/>
      <c r="G149" s="3"/>
      <c r="H149" s="3"/>
      <c r="I149" s="3"/>
      <c r="J149" s="23">
        <v>43856</v>
      </c>
      <c r="K149" s="24">
        <v>127.41666666666667</v>
      </c>
      <c r="L149" s="24">
        <v>78.279166666666683</v>
      </c>
      <c r="M149" s="24">
        <v>3.9166666666666661</v>
      </c>
      <c r="N149" s="24">
        <v>0</v>
      </c>
      <c r="O149" s="24">
        <v>179.22916666666666</v>
      </c>
      <c r="P149" s="24">
        <v>5.4375</v>
      </c>
      <c r="Q149" s="24">
        <v>0.83333333333333337</v>
      </c>
      <c r="R149" s="24">
        <v>0.21875</v>
      </c>
      <c r="S149" s="10">
        <v>0.20529213437089369</v>
      </c>
      <c r="T149" s="25">
        <v>0.39816666666666672</v>
      </c>
      <c r="U149" s="25">
        <v>0.50166666666666693</v>
      </c>
      <c r="V149" s="25">
        <v>0.54064583333333327</v>
      </c>
      <c r="W149" s="25">
        <v>0.55420833333333308</v>
      </c>
      <c r="X149" s="25">
        <v>0.54483333333333328</v>
      </c>
      <c r="Y149" s="25">
        <v>0.43791666666666668</v>
      </c>
      <c r="Z149" s="25">
        <v>0.4323541666666666</v>
      </c>
      <c r="AA149" s="25">
        <v>0.37918750000000001</v>
      </c>
      <c r="AB149" s="25">
        <v>0.40487499999999998</v>
      </c>
      <c r="AC149" s="25">
        <v>0.23736111111111105</v>
      </c>
      <c r="AD149" s="25">
        <v>0.42856249999999996</v>
      </c>
      <c r="AE149" s="27">
        <f t="shared" si="6"/>
        <v>0.47150000000000003</v>
      </c>
      <c r="AF149" s="27">
        <f t="shared" si="7"/>
        <v>0.47432986111111108</v>
      </c>
      <c r="AG149" s="27">
        <f t="shared" si="8"/>
        <v>0.47381534090909089</v>
      </c>
    </row>
    <row r="150" spans="1:33" x14ac:dyDescent="0.25">
      <c r="A150" s="9">
        <v>43857</v>
      </c>
      <c r="B150" s="3"/>
      <c r="C150" s="3"/>
      <c r="D150" s="3"/>
      <c r="E150" s="3"/>
      <c r="F150" s="3"/>
      <c r="G150" s="3"/>
      <c r="H150" s="3"/>
      <c r="I150" s="3"/>
      <c r="J150" s="23">
        <v>43857</v>
      </c>
      <c r="K150" s="24">
        <v>34.729166666666664</v>
      </c>
      <c r="L150" s="24">
        <v>85.322916666666671</v>
      </c>
      <c r="M150" s="24">
        <v>3.0187500000000003</v>
      </c>
      <c r="N150" s="24">
        <v>0.2</v>
      </c>
      <c r="O150" s="24">
        <v>136.875</v>
      </c>
      <c r="P150" s="24">
        <v>5.041666666666667</v>
      </c>
      <c r="Q150" s="24">
        <v>0.16666666666666666</v>
      </c>
      <c r="R150" s="24">
        <v>0.75416666666666687</v>
      </c>
      <c r="S150" s="10">
        <v>0.11592212190716973</v>
      </c>
      <c r="T150" s="25">
        <v>0.39064583333333341</v>
      </c>
      <c r="U150" s="25">
        <v>0.49718750000000028</v>
      </c>
      <c r="V150" s="25">
        <v>0.53818749999999971</v>
      </c>
      <c r="W150" s="25">
        <v>0.5486458333333335</v>
      </c>
      <c r="X150" s="25">
        <v>0.54149999999999998</v>
      </c>
      <c r="Y150" s="25">
        <v>0.43129166666666641</v>
      </c>
      <c r="Z150" s="25">
        <v>0.42922916666666683</v>
      </c>
      <c r="AA150" s="25">
        <v>0.37541666666666657</v>
      </c>
      <c r="AB150" s="25">
        <v>0.39364583333333353</v>
      </c>
      <c r="AC150" s="25">
        <v>0.22888888888888895</v>
      </c>
      <c r="AD150" s="25">
        <v>0.41577083333333315</v>
      </c>
      <c r="AE150" s="27">
        <f t="shared" si="6"/>
        <v>0.46607291666666673</v>
      </c>
      <c r="AF150" s="27">
        <f t="shared" si="7"/>
        <v>0.46999305555555559</v>
      </c>
      <c r="AG150" s="27">
        <f t="shared" si="8"/>
        <v>0.46928030303030305</v>
      </c>
    </row>
    <row r="151" spans="1:33" x14ac:dyDescent="0.25">
      <c r="A151" s="9">
        <v>43858</v>
      </c>
      <c r="B151" s="3"/>
      <c r="C151" s="3"/>
      <c r="D151" s="3"/>
      <c r="E151" s="3"/>
      <c r="F151" s="3"/>
      <c r="G151" s="3"/>
      <c r="H151" s="3"/>
      <c r="I151" s="3"/>
      <c r="J151" s="23">
        <v>43858</v>
      </c>
      <c r="K151" s="24">
        <v>51.104166666666664</v>
      </c>
      <c r="L151" s="24">
        <v>88.333333333333329</v>
      </c>
      <c r="M151" s="24">
        <v>2.1333333333333333</v>
      </c>
      <c r="N151" s="24">
        <v>2.2000000000000002</v>
      </c>
      <c r="O151" s="24">
        <v>136</v>
      </c>
      <c r="P151" s="24">
        <v>4.3125</v>
      </c>
      <c r="Q151" s="24">
        <v>0.16666666666666666</v>
      </c>
      <c r="R151" s="24">
        <v>0.36666666666666664</v>
      </c>
      <c r="S151" s="10">
        <v>8.8413013788560632E-2</v>
      </c>
      <c r="T151" s="25">
        <v>0.38618749999999996</v>
      </c>
      <c r="U151" s="25">
        <v>0.49231250000000015</v>
      </c>
      <c r="V151" s="25">
        <v>0.53491666666666637</v>
      </c>
      <c r="W151" s="25">
        <v>0.54452083333333323</v>
      </c>
      <c r="X151" s="25">
        <v>0.53822916666666709</v>
      </c>
      <c r="Y151" s="25">
        <v>0.42629166666666657</v>
      </c>
      <c r="Z151" s="25">
        <v>0.42679166666666629</v>
      </c>
      <c r="AA151" s="25">
        <v>0.37377083333333333</v>
      </c>
      <c r="AB151" s="25">
        <v>0.39472916666666674</v>
      </c>
      <c r="AC151" s="25">
        <v>0.23122916666666662</v>
      </c>
      <c r="AD151" s="25">
        <v>0.41656249999999995</v>
      </c>
      <c r="AE151" s="27">
        <f t="shared" si="6"/>
        <v>0.46220833333333355</v>
      </c>
      <c r="AF151" s="27">
        <f t="shared" si="7"/>
        <v>0.46643402777777765</v>
      </c>
      <c r="AG151" s="27">
        <f t="shared" si="8"/>
        <v>0.46566571969696968</v>
      </c>
    </row>
    <row r="152" spans="1:33" x14ac:dyDescent="0.25">
      <c r="A152" s="9">
        <v>43859</v>
      </c>
      <c r="B152" s="3"/>
      <c r="C152" s="3"/>
      <c r="D152" s="3"/>
      <c r="E152" s="3"/>
      <c r="F152" s="3"/>
      <c r="G152" s="3"/>
      <c r="H152" s="3"/>
      <c r="I152" s="3"/>
      <c r="J152" s="23">
        <v>43859</v>
      </c>
      <c r="K152" s="24">
        <v>123.02083333333333</v>
      </c>
      <c r="L152" s="24">
        <v>77.947916666666643</v>
      </c>
      <c r="M152" s="24">
        <v>4.7749999999999995</v>
      </c>
      <c r="N152" s="24">
        <v>0.60000000000000009</v>
      </c>
      <c r="O152" s="24">
        <v>196.54166666666666</v>
      </c>
      <c r="P152" s="24">
        <v>3.1875</v>
      </c>
      <c r="Q152" s="24">
        <v>0.16666666666666666</v>
      </c>
      <c r="R152" s="24">
        <v>0.94583333333333341</v>
      </c>
      <c r="S152" s="10">
        <v>0.22970067111419878</v>
      </c>
      <c r="T152" s="25">
        <v>0.3894791666666666</v>
      </c>
      <c r="U152" s="25">
        <v>0.4926458333333335</v>
      </c>
      <c r="V152" s="25">
        <v>0.53414583333333354</v>
      </c>
      <c r="W152" s="25">
        <v>0.5418333333333335</v>
      </c>
      <c r="X152" s="25">
        <v>0.53956250000000017</v>
      </c>
      <c r="Y152" s="25">
        <v>0.42566666666666669</v>
      </c>
      <c r="Z152" s="25">
        <v>0.4244583333333331</v>
      </c>
      <c r="AA152" s="25">
        <v>0.37229166666666652</v>
      </c>
      <c r="AB152" s="25">
        <v>0.3936818181818183</v>
      </c>
      <c r="AC152" s="25">
        <v>0.22842553191489362</v>
      </c>
      <c r="AD152" s="25">
        <v>0.41862500000000002</v>
      </c>
      <c r="AE152" s="27">
        <f t="shared" si="6"/>
        <v>0.46452083333333338</v>
      </c>
      <c r="AF152" s="27">
        <f t="shared" si="7"/>
        <v>0.46517361111111111</v>
      </c>
      <c r="AG152" s="27">
        <f t="shared" si="8"/>
        <v>0.46505492424242423</v>
      </c>
    </row>
    <row r="153" spans="1:33" x14ac:dyDescent="0.25">
      <c r="A153" s="9">
        <v>43860</v>
      </c>
      <c r="B153" s="3"/>
      <c r="C153" s="3"/>
      <c r="D153" s="3"/>
      <c r="E153" s="3"/>
      <c r="F153" s="3"/>
      <c r="G153" s="3"/>
      <c r="H153" s="3"/>
      <c r="I153" s="3"/>
      <c r="J153" s="23">
        <v>43860</v>
      </c>
      <c r="K153" s="24">
        <v>68.25</v>
      </c>
      <c r="L153" s="24">
        <v>71.791666666666643</v>
      </c>
      <c r="M153" s="24">
        <v>5.5770833333333334</v>
      </c>
      <c r="N153" s="24">
        <v>0</v>
      </c>
      <c r="O153" s="24">
        <v>156.45833333333334</v>
      </c>
      <c r="P153" s="24">
        <v>4.895833333333333</v>
      </c>
      <c r="Q153" s="24">
        <v>0.375</v>
      </c>
      <c r="R153" s="24">
        <v>0.8416666666666669</v>
      </c>
      <c r="S153" s="10">
        <v>0.26352078709272414</v>
      </c>
      <c r="T153" s="25">
        <v>0.38972916666666646</v>
      </c>
      <c r="U153" s="25">
        <v>0.49335416666666659</v>
      </c>
      <c r="V153" s="25">
        <v>0.53570833333333334</v>
      </c>
      <c r="W153" s="25">
        <v>0.5420416666666672</v>
      </c>
      <c r="X153" s="25">
        <v>0.53987499999999977</v>
      </c>
      <c r="Y153" s="25">
        <v>0.42649999999999966</v>
      </c>
      <c r="Z153" s="25">
        <v>0.42416666666666641</v>
      </c>
      <c r="AA153" s="25">
        <v>0.37108333333333349</v>
      </c>
      <c r="AB153" s="25">
        <v>0.3894999999999999</v>
      </c>
      <c r="AC153" s="25">
        <v>0.22512499999999991</v>
      </c>
      <c r="AD153" s="25">
        <v>0.41149999999999981</v>
      </c>
      <c r="AE153" s="27">
        <f t="shared" si="6"/>
        <v>0.46480208333333312</v>
      </c>
      <c r="AF153" s="27">
        <f t="shared" si="7"/>
        <v>0.46547569444444448</v>
      </c>
      <c r="AG153" s="27">
        <f t="shared" si="8"/>
        <v>0.46535321969696969</v>
      </c>
    </row>
    <row r="154" spans="1:33" x14ac:dyDescent="0.25">
      <c r="A154" s="9">
        <v>43861</v>
      </c>
      <c r="B154" s="3"/>
      <c r="C154" s="3"/>
      <c r="D154" s="3"/>
      <c r="E154" s="3"/>
      <c r="F154" s="3"/>
      <c r="G154" s="3"/>
      <c r="H154" s="3"/>
      <c r="I154" s="3"/>
      <c r="J154" s="23">
        <v>43861</v>
      </c>
      <c r="K154" s="24">
        <v>16.916666666666668</v>
      </c>
      <c r="L154" s="24">
        <v>83.874999999999986</v>
      </c>
      <c r="M154" s="24">
        <v>4.9833333333333325</v>
      </c>
      <c r="N154" s="24">
        <v>0.4</v>
      </c>
      <c r="O154" s="24">
        <v>113.54166666666667</v>
      </c>
      <c r="P154" s="24">
        <v>7.625</v>
      </c>
      <c r="Q154" s="24">
        <v>1.0208333333333333</v>
      </c>
      <c r="R154" s="24">
        <v>2.4374999999999996</v>
      </c>
      <c r="S154" s="10">
        <v>0.14290283884501026</v>
      </c>
      <c r="T154" s="25">
        <v>0.38704166666666645</v>
      </c>
      <c r="U154" s="25">
        <v>0.49110416666666606</v>
      </c>
      <c r="V154" s="25">
        <v>0.53443750000000001</v>
      </c>
      <c r="W154" s="25">
        <v>0.54183333333333372</v>
      </c>
      <c r="X154" s="25">
        <v>0.53762499999999991</v>
      </c>
      <c r="Y154" s="25">
        <v>0.42410416666666612</v>
      </c>
      <c r="Z154" s="25">
        <v>0.42395833333333305</v>
      </c>
      <c r="AA154" s="25">
        <v>0.37102083333333352</v>
      </c>
      <c r="AB154" s="25">
        <v>0.38572916666666668</v>
      </c>
      <c r="AC154" s="25">
        <v>0.22297916666666676</v>
      </c>
      <c r="AD154" s="25">
        <v>0.40431250000000002</v>
      </c>
      <c r="AE154" s="27">
        <f t="shared" si="6"/>
        <v>0.46233333333333315</v>
      </c>
      <c r="AF154" s="27">
        <f t="shared" si="7"/>
        <v>0.4644097222222221</v>
      </c>
      <c r="AG154" s="27">
        <f t="shared" si="8"/>
        <v>0.46403219696969683</v>
      </c>
    </row>
    <row r="155" spans="1:33" x14ac:dyDescent="0.25">
      <c r="A155" s="9">
        <v>43862</v>
      </c>
      <c r="B155" s="3"/>
      <c r="C155" s="3"/>
      <c r="D155" s="3"/>
      <c r="E155" s="3"/>
      <c r="F155" s="3"/>
      <c r="G155" s="3"/>
      <c r="H155" s="3"/>
      <c r="I155" s="3"/>
      <c r="J155" s="23">
        <v>43862</v>
      </c>
      <c r="K155" s="24">
        <v>18.1875</v>
      </c>
      <c r="L155" s="24">
        <v>90.833333333333329</v>
      </c>
      <c r="M155" s="24">
        <v>5.0624999999999973</v>
      </c>
      <c r="N155" s="24">
        <v>2.4</v>
      </c>
      <c r="O155" s="24">
        <v>105.02083333333333</v>
      </c>
      <c r="P155" s="24">
        <v>3.7291666666666665</v>
      </c>
      <c r="Q155" s="24">
        <v>0</v>
      </c>
      <c r="R155" s="24">
        <v>3.660416666666666</v>
      </c>
      <c r="S155" s="10">
        <v>7.9539448108763414E-2</v>
      </c>
      <c r="T155" s="25">
        <v>0.38485416666666689</v>
      </c>
      <c r="U155" s="25">
        <v>0.4885833333333332</v>
      </c>
      <c r="V155" s="25">
        <v>0.53275000000000006</v>
      </c>
      <c r="W155" s="25">
        <v>0.54039583333333285</v>
      </c>
      <c r="X155" s="25">
        <v>0.53602083333333372</v>
      </c>
      <c r="Y155" s="25">
        <v>0.42225000000000029</v>
      </c>
      <c r="Z155" s="25">
        <v>0.42302083333333296</v>
      </c>
      <c r="AA155" s="25">
        <v>0.37062499999999998</v>
      </c>
      <c r="AB155" s="25">
        <v>0.3852708333333334</v>
      </c>
      <c r="AC155" s="25">
        <v>0.22258333333333347</v>
      </c>
      <c r="AD155" s="25">
        <v>0.40018750000000014</v>
      </c>
      <c r="AE155" s="27">
        <f t="shared" si="6"/>
        <v>0.46043750000000028</v>
      </c>
      <c r="AF155" s="27">
        <f t="shared" si="7"/>
        <v>0.46293749999999984</v>
      </c>
      <c r="AG155" s="27">
        <f t="shared" si="8"/>
        <v>0.46248295454545441</v>
      </c>
    </row>
    <row r="156" spans="1:33" x14ac:dyDescent="0.25">
      <c r="A156" s="9">
        <v>43863</v>
      </c>
      <c r="B156" s="3"/>
      <c r="C156" s="3"/>
      <c r="D156" s="3"/>
      <c r="E156" s="3"/>
      <c r="F156" s="3"/>
      <c r="G156" s="3"/>
      <c r="H156" s="3"/>
      <c r="I156" s="3"/>
      <c r="J156" s="23">
        <v>43863</v>
      </c>
      <c r="K156" s="24">
        <v>31.416666666666668</v>
      </c>
      <c r="L156" s="24">
        <v>91.381250000000009</v>
      </c>
      <c r="M156" s="24">
        <v>5.3229166666666661</v>
      </c>
      <c r="N156" s="24">
        <v>0.60000000000000009</v>
      </c>
      <c r="O156" s="24">
        <v>208.77083333333334</v>
      </c>
      <c r="P156" s="24">
        <v>2.9583333333333335</v>
      </c>
      <c r="Q156" s="24">
        <v>0</v>
      </c>
      <c r="R156" s="24">
        <v>4.0020833333333323</v>
      </c>
      <c r="S156" s="10">
        <v>7.9458697887127422E-2</v>
      </c>
      <c r="T156" s="25">
        <v>0.38652083333333315</v>
      </c>
      <c r="U156" s="25">
        <v>0.48918749999999989</v>
      </c>
      <c r="V156" s="25">
        <v>0.53222916666666686</v>
      </c>
      <c r="W156" s="25">
        <v>0.53962500000000024</v>
      </c>
      <c r="X156" s="25">
        <v>0.53956250000000017</v>
      </c>
      <c r="Y156" s="25">
        <v>0.42293750000000002</v>
      </c>
      <c r="Z156" s="25">
        <v>0.42283333333333317</v>
      </c>
      <c r="AA156" s="25">
        <v>0.37022916666666655</v>
      </c>
      <c r="AB156" s="25">
        <v>0.3953750000000002</v>
      </c>
      <c r="AC156" s="25">
        <v>0.2322708333333332</v>
      </c>
      <c r="AD156" s="25">
        <v>0.41827083333333337</v>
      </c>
      <c r="AE156" s="27">
        <f t="shared" si="6"/>
        <v>0.46304166666666668</v>
      </c>
      <c r="AF156" s="27">
        <f t="shared" si="7"/>
        <v>0.46284027777777775</v>
      </c>
      <c r="AG156" s="27">
        <f t="shared" si="8"/>
        <v>0.46287689393939396</v>
      </c>
    </row>
    <row r="157" spans="1:33" x14ac:dyDescent="0.25">
      <c r="A157" s="9">
        <v>43864</v>
      </c>
      <c r="B157" s="3"/>
      <c r="C157" s="3"/>
      <c r="D157" s="3"/>
      <c r="E157" s="3"/>
      <c r="F157" s="3"/>
      <c r="G157" s="3"/>
      <c r="H157" s="3"/>
      <c r="I157" s="3"/>
      <c r="J157" s="23">
        <v>43864</v>
      </c>
      <c r="K157" s="24">
        <v>46.875</v>
      </c>
      <c r="L157" s="24">
        <v>87.9375</v>
      </c>
      <c r="M157" s="24">
        <v>4.6083333333333334</v>
      </c>
      <c r="N157" s="24">
        <v>1.4</v>
      </c>
      <c r="O157" s="24">
        <v>183.45833333333334</v>
      </c>
      <c r="P157" s="24">
        <v>3.6458333333333335</v>
      </c>
      <c r="Q157" s="24">
        <v>0</v>
      </c>
      <c r="R157" s="24">
        <v>2.7562499999999996</v>
      </c>
      <c r="S157" s="10">
        <v>0.10523471125634559</v>
      </c>
      <c r="T157" s="25">
        <v>0.3911666666666665</v>
      </c>
      <c r="U157" s="25">
        <v>0.49133333333333318</v>
      </c>
      <c r="V157" s="25">
        <v>0.53300000000000025</v>
      </c>
      <c r="W157" s="25">
        <v>0.53935416666666713</v>
      </c>
      <c r="X157" s="25">
        <v>0.54127083333333359</v>
      </c>
      <c r="Y157" s="25">
        <v>0.4263333333333334</v>
      </c>
      <c r="Z157" s="25">
        <v>0.42285416666666648</v>
      </c>
      <c r="AA157" s="25">
        <v>0.37010416666666651</v>
      </c>
      <c r="AB157" s="25">
        <v>0.39379166666666648</v>
      </c>
      <c r="AC157" s="25">
        <v>0.22837499999999991</v>
      </c>
      <c r="AD157" s="25">
        <v>0.42118749999999977</v>
      </c>
      <c r="AE157" s="27">
        <f t="shared" si="6"/>
        <v>0.46621875000000002</v>
      </c>
      <c r="AF157" s="27">
        <f t="shared" si="7"/>
        <v>0.46382986111111113</v>
      </c>
      <c r="AG157" s="27">
        <f t="shared" si="8"/>
        <v>0.46426420454545453</v>
      </c>
    </row>
    <row r="158" spans="1:33" x14ac:dyDescent="0.25">
      <c r="A158" s="9">
        <v>43865</v>
      </c>
      <c r="B158" s="3"/>
      <c r="C158" s="3"/>
      <c r="D158" s="3"/>
      <c r="E158" s="3"/>
      <c r="F158" s="3"/>
      <c r="G158" s="3"/>
      <c r="H158" s="3"/>
      <c r="I158" s="3"/>
      <c r="J158" s="23">
        <v>43865</v>
      </c>
      <c r="K158" s="24">
        <v>54.520833333333336</v>
      </c>
      <c r="L158" s="24">
        <v>85.454166666666652</v>
      </c>
      <c r="M158" s="24">
        <v>6.0645833333333341</v>
      </c>
      <c r="N158" s="24">
        <v>0</v>
      </c>
      <c r="O158" s="24">
        <v>131.45833333333334</v>
      </c>
      <c r="P158" s="24">
        <v>2.1875</v>
      </c>
      <c r="Q158" s="24">
        <v>0</v>
      </c>
      <c r="R158" s="24">
        <v>3.7416666666666685</v>
      </c>
      <c r="S158" s="10">
        <v>0.14787732369230425</v>
      </c>
      <c r="T158" s="25">
        <v>0.39577083333333318</v>
      </c>
      <c r="U158" s="25">
        <v>0.49418750000000006</v>
      </c>
      <c r="V158" s="25">
        <v>0.5340625</v>
      </c>
      <c r="W158" s="25">
        <v>0.5389375000000004</v>
      </c>
      <c r="X158" s="25">
        <v>0.54154166666666714</v>
      </c>
      <c r="Y158" s="25">
        <v>0.4273958333333332</v>
      </c>
      <c r="Z158" s="25">
        <v>0.42262500000000008</v>
      </c>
      <c r="AA158" s="25">
        <v>0.36997916666666636</v>
      </c>
      <c r="AB158" s="25">
        <v>0.39258333333333334</v>
      </c>
      <c r="AC158" s="25">
        <v>0.22690000000000018</v>
      </c>
      <c r="AD158" s="25">
        <v>0.41981249999999998</v>
      </c>
      <c r="AE158" s="27">
        <f t="shared" si="6"/>
        <v>0.46865625000000016</v>
      </c>
      <c r="AF158" s="27">
        <f t="shared" si="7"/>
        <v>0.46453125000000006</v>
      </c>
      <c r="AG158" s="27">
        <f t="shared" si="8"/>
        <v>0.46528125000000004</v>
      </c>
    </row>
    <row r="159" spans="1:33" x14ac:dyDescent="0.25">
      <c r="A159" s="9">
        <v>43866</v>
      </c>
      <c r="B159" s="3"/>
      <c r="C159" s="3"/>
      <c r="D159" s="3"/>
      <c r="E159" s="3"/>
      <c r="F159" s="3"/>
      <c r="G159" s="3"/>
      <c r="H159" s="3"/>
      <c r="I159" s="3"/>
      <c r="J159" s="23">
        <v>43866</v>
      </c>
      <c r="K159" s="24">
        <v>16.979166666666668</v>
      </c>
      <c r="L159" s="24">
        <v>96.231250000000003</v>
      </c>
      <c r="M159" s="24">
        <v>6.2166666666666659</v>
      </c>
      <c r="N159" s="24">
        <v>1.2</v>
      </c>
      <c r="O159" s="24">
        <v>119.39583333333333</v>
      </c>
      <c r="P159" s="24">
        <v>7.520833333333333</v>
      </c>
      <c r="Q159" s="24">
        <v>0.625</v>
      </c>
      <c r="R159" s="24">
        <v>5.6562500000000009</v>
      </c>
      <c r="S159" s="10">
        <v>3.5480628476141106E-2</v>
      </c>
      <c r="T159" s="25">
        <v>0.39431250000000001</v>
      </c>
      <c r="U159" s="25">
        <v>0.49495833333333317</v>
      </c>
      <c r="V159" s="25">
        <v>0.53597916666666701</v>
      </c>
      <c r="W159" s="25">
        <v>0.53995833333333276</v>
      </c>
      <c r="X159" s="25">
        <v>0.54147916666666684</v>
      </c>
      <c r="Y159" s="25">
        <v>0.42724999999999969</v>
      </c>
      <c r="Z159" s="25">
        <v>0.42293749999999969</v>
      </c>
      <c r="AA159" s="25">
        <v>0.37004166666666632</v>
      </c>
      <c r="AB159" s="25">
        <v>0.39054166666666679</v>
      </c>
      <c r="AC159" s="25">
        <v>0.22614583333333349</v>
      </c>
      <c r="AD159" s="25">
        <v>0.4163541666666668</v>
      </c>
      <c r="AE159" s="27">
        <f t="shared" si="6"/>
        <v>0.4678958333333334</v>
      </c>
      <c r="AF159" s="27">
        <f t="shared" si="7"/>
        <v>0.46518749999999981</v>
      </c>
      <c r="AG159" s="27">
        <f t="shared" si="8"/>
        <v>0.4656799242424241</v>
      </c>
    </row>
    <row r="160" spans="1:33" x14ac:dyDescent="0.25">
      <c r="A160" s="9">
        <v>43867</v>
      </c>
      <c r="B160" s="3"/>
      <c r="C160" s="3"/>
      <c r="D160" s="3"/>
      <c r="E160" s="3"/>
      <c r="F160" s="3"/>
      <c r="G160" s="3"/>
      <c r="H160" s="3"/>
      <c r="I160" s="3"/>
      <c r="J160" s="23">
        <v>43867</v>
      </c>
      <c r="K160" s="24">
        <v>79.083333333333329</v>
      </c>
      <c r="L160" s="24">
        <v>87.202083333333334</v>
      </c>
      <c r="M160" s="24">
        <v>6.9208333333333334</v>
      </c>
      <c r="N160" s="24">
        <v>4.7</v>
      </c>
      <c r="O160" s="24">
        <v>161.875</v>
      </c>
      <c r="P160" s="24">
        <v>6.645833333333333</v>
      </c>
      <c r="Q160" s="24">
        <v>0.3125</v>
      </c>
      <c r="R160" s="24">
        <v>4.8458333333333341</v>
      </c>
      <c r="S160" s="10">
        <v>0.13499181432346724</v>
      </c>
      <c r="T160" s="25">
        <v>0.41052083333333339</v>
      </c>
      <c r="U160" s="25">
        <v>0.50385416666666683</v>
      </c>
      <c r="V160" s="25">
        <v>0.54393750000000018</v>
      </c>
      <c r="W160" s="25">
        <v>0.55389583333333337</v>
      </c>
      <c r="X160" s="25">
        <v>0.55222916666666666</v>
      </c>
      <c r="Y160" s="25">
        <v>0.44341666666666674</v>
      </c>
      <c r="Z160" s="25">
        <v>0.4259374999999998</v>
      </c>
      <c r="AA160" s="25">
        <v>0.37118750000000017</v>
      </c>
      <c r="AB160" s="25">
        <v>0.40358139534883725</v>
      </c>
      <c r="AC160" s="25">
        <v>0.2406388888888889</v>
      </c>
      <c r="AD160" s="25">
        <v>0.4374583333333335</v>
      </c>
      <c r="AE160" s="27">
        <f t="shared" si="6"/>
        <v>0.481375</v>
      </c>
      <c r="AF160" s="27">
        <f t="shared" si="7"/>
        <v>0.47370486111111115</v>
      </c>
      <c r="AG160" s="27">
        <f t="shared" si="8"/>
        <v>0.47509943181818187</v>
      </c>
    </row>
    <row r="161" spans="1:33" x14ac:dyDescent="0.25">
      <c r="A161" s="9">
        <v>43868</v>
      </c>
      <c r="B161" s="3"/>
      <c r="C161" s="3"/>
      <c r="D161" s="3"/>
      <c r="E161" s="3"/>
      <c r="F161" s="3"/>
      <c r="G161" s="3"/>
      <c r="H161" s="3"/>
      <c r="I161" s="3"/>
      <c r="J161" s="23">
        <v>43868</v>
      </c>
      <c r="K161" s="24">
        <v>45.1875</v>
      </c>
      <c r="L161" s="24">
        <v>86.233333333333348</v>
      </c>
      <c r="M161" s="24">
        <v>6.4708333333333323</v>
      </c>
      <c r="N161" s="24">
        <v>1.4</v>
      </c>
      <c r="O161" s="24">
        <v>150.64583333333334</v>
      </c>
      <c r="P161" s="24">
        <v>3.5833333333333335</v>
      </c>
      <c r="Q161" s="24">
        <v>0</v>
      </c>
      <c r="R161" s="24">
        <v>4.2958333333333334</v>
      </c>
      <c r="S161" s="10">
        <v>0.13848499978837556</v>
      </c>
      <c r="T161" s="25">
        <v>0.40343749999999984</v>
      </c>
      <c r="U161" s="25">
        <v>0.50147916666666659</v>
      </c>
      <c r="V161" s="25">
        <v>0.5427500000000004</v>
      </c>
      <c r="W161" s="25">
        <v>0.55025000000000046</v>
      </c>
      <c r="X161" s="25">
        <v>0.54929166666666662</v>
      </c>
      <c r="Y161" s="25">
        <v>0.43914583333333351</v>
      </c>
      <c r="Z161" s="25">
        <v>0.42858333333333376</v>
      </c>
      <c r="AA161" s="25">
        <v>0.37297916666666658</v>
      </c>
      <c r="AB161" s="25">
        <v>0.39895833333333314</v>
      </c>
      <c r="AC161" s="25">
        <v>0.23305882352941185</v>
      </c>
      <c r="AD161" s="25">
        <v>0.43166666666666642</v>
      </c>
      <c r="AE161" s="27">
        <f t="shared" si="6"/>
        <v>0.4763645833333332</v>
      </c>
      <c r="AF161" s="27">
        <f t="shared" si="7"/>
        <v>0.47253125000000024</v>
      </c>
      <c r="AG161" s="27">
        <f t="shared" si="8"/>
        <v>0.47322821969696988</v>
      </c>
    </row>
    <row r="162" spans="1:33" x14ac:dyDescent="0.25">
      <c r="A162" s="9">
        <v>43869</v>
      </c>
      <c r="B162" s="3"/>
      <c r="C162" s="3"/>
      <c r="D162" s="3"/>
      <c r="E162" s="3"/>
      <c r="F162" s="3"/>
      <c r="G162" s="3"/>
      <c r="H162" s="3"/>
      <c r="I162" s="3"/>
      <c r="J162" s="23">
        <v>43869</v>
      </c>
      <c r="K162" s="24">
        <v>44.875</v>
      </c>
      <c r="L162" s="24">
        <v>89.074999999999974</v>
      </c>
      <c r="M162" s="24">
        <v>4.9833333333333325</v>
      </c>
      <c r="N162" s="24">
        <v>1.9</v>
      </c>
      <c r="O162" s="24">
        <v>195.89583333333334</v>
      </c>
      <c r="P162" s="24">
        <v>3.9166666666666665</v>
      </c>
      <c r="Q162" s="24">
        <v>0</v>
      </c>
      <c r="R162" s="24">
        <v>3.2833333333333337</v>
      </c>
      <c r="S162" s="10">
        <v>0.10081766224995285</v>
      </c>
      <c r="T162" s="25">
        <v>0.40352083333333338</v>
      </c>
      <c r="U162" s="25">
        <v>0.49949999999999989</v>
      </c>
      <c r="V162" s="25">
        <v>0.54114583333333366</v>
      </c>
      <c r="W162" s="25">
        <v>0.54654166666666648</v>
      </c>
      <c r="X162" s="25">
        <v>0.54995833333333322</v>
      </c>
      <c r="Y162" s="25">
        <v>0.43806250000000008</v>
      </c>
      <c r="Z162" s="25">
        <v>0.42800000000000044</v>
      </c>
      <c r="AA162" s="25">
        <v>0.37283333333333335</v>
      </c>
      <c r="AB162" s="25">
        <v>0.40029787234042569</v>
      </c>
      <c r="AC162" s="25">
        <v>0.23520454545454539</v>
      </c>
      <c r="AD162" s="25">
        <v>0.4362916666666668</v>
      </c>
      <c r="AE162" s="27">
        <f t="shared" si="6"/>
        <v>0.47673958333333333</v>
      </c>
      <c r="AF162" s="27">
        <f t="shared" si="7"/>
        <v>0.47101388888888901</v>
      </c>
      <c r="AG162" s="27">
        <f t="shared" si="8"/>
        <v>0.47205492424242435</v>
      </c>
    </row>
    <row r="163" spans="1:33" x14ac:dyDescent="0.25">
      <c r="A163" s="9">
        <v>43870</v>
      </c>
      <c r="B163" s="3"/>
      <c r="C163" s="3"/>
      <c r="D163" s="3"/>
      <c r="E163" s="3"/>
      <c r="F163" s="3"/>
      <c r="G163" s="3"/>
      <c r="H163" s="3"/>
      <c r="I163" s="3"/>
      <c r="J163" s="23">
        <v>43870</v>
      </c>
      <c r="K163" s="24">
        <v>51.104166666666664</v>
      </c>
      <c r="L163" s="24">
        <v>82.858333333333334</v>
      </c>
      <c r="M163" s="24">
        <v>5.6354166666666643</v>
      </c>
      <c r="N163" s="24">
        <v>0</v>
      </c>
      <c r="O163" s="24">
        <v>189.35416666666666</v>
      </c>
      <c r="P163" s="24">
        <v>3.9583333333333335</v>
      </c>
      <c r="Q163" s="24">
        <v>4.1666666666666664E-2</v>
      </c>
      <c r="R163" s="24">
        <v>2.8687500000000004</v>
      </c>
      <c r="S163" s="10">
        <v>0.16660694999250078</v>
      </c>
      <c r="T163" s="25">
        <v>0.40656250000000016</v>
      </c>
      <c r="U163" s="25">
        <v>0.50187500000000018</v>
      </c>
      <c r="V163" s="25">
        <v>0.54300000000000059</v>
      </c>
      <c r="W163" s="25">
        <v>0.54866666666666652</v>
      </c>
      <c r="X163" s="25">
        <v>0.54881250000000015</v>
      </c>
      <c r="Y163" s="25">
        <v>0.43772916666666672</v>
      </c>
      <c r="Z163" s="25">
        <v>0.42747916666666658</v>
      </c>
      <c r="AA163" s="25">
        <v>0.3725</v>
      </c>
      <c r="AB163" s="25">
        <v>0.39914583333333337</v>
      </c>
      <c r="AC163" s="25">
        <v>0.23356249999999976</v>
      </c>
      <c r="AD163" s="25">
        <v>0.43566666666666681</v>
      </c>
      <c r="AE163" s="27">
        <f t="shared" si="6"/>
        <v>0.47768750000000015</v>
      </c>
      <c r="AF163" s="27">
        <f t="shared" si="7"/>
        <v>0.4718750000000001</v>
      </c>
      <c r="AG163" s="27">
        <f t="shared" si="8"/>
        <v>0.47293181818181823</v>
      </c>
    </row>
    <row r="164" spans="1:33" x14ac:dyDescent="0.25">
      <c r="A164" s="9">
        <v>43871</v>
      </c>
      <c r="B164" s="3"/>
      <c r="C164" s="3"/>
      <c r="D164" s="3"/>
      <c r="E164" s="3"/>
      <c r="F164" s="3"/>
      <c r="G164" s="3"/>
      <c r="H164" s="3"/>
      <c r="I164" s="3"/>
      <c r="J164" s="23">
        <v>43871</v>
      </c>
      <c r="K164" s="24">
        <v>19.375</v>
      </c>
      <c r="L164" s="24">
        <v>93.027083333333351</v>
      </c>
      <c r="M164" s="24">
        <v>5.7020833333333334</v>
      </c>
      <c r="N164" s="24">
        <v>0.4</v>
      </c>
      <c r="O164" s="24">
        <v>174.95833333333334</v>
      </c>
      <c r="P164" s="24">
        <v>6.3125</v>
      </c>
      <c r="Q164" s="24">
        <v>0.3125</v>
      </c>
      <c r="R164" s="24">
        <v>4.6416666666666666</v>
      </c>
      <c r="S164" s="10">
        <v>6.3333855439905759E-2</v>
      </c>
      <c r="T164" s="25">
        <v>0.40033333333333365</v>
      </c>
      <c r="U164" s="25">
        <v>0.49768749999999962</v>
      </c>
      <c r="V164" s="25">
        <v>0.5406666666666663</v>
      </c>
      <c r="W164" s="25">
        <v>0.54691666666666661</v>
      </c>
      <c r="X164" s="25">
        <v>0.54543750000000057</v>
      </c>
      <c r="Y164" s="25">
        <v>0.43372916666666628</v>
      </c>
      <c r="Z164" s="25">
        <v>0.4266874999999995</v>
      </c>
      <c r="AA164" s="25">
        <v>0.37199999999999994</v>
      </c>
      <c r="AB164" s="25">
        <v>0.39497916666666638</v>
      </c>
      <c r="AC164" s="25">
        <v>0.23054166666666678</v>
      </c>
      <c r="AD164" s="25">
        <v>0.42839583333333359</v>
      </c>
      <c r="AE164" s="27">
        <f t="shared" si="6"/>
        <v>0.47288541666666711</v>
      </c>
      <c r="AF164" s="27">
        <f t="shared" si="7"/>
        <v>0.469614583333333</v>
      </c>
      <c r="AG164" s="27">
        <f t="shared" si="8"/>
        <v>0.47020928030303016</v>
      </c>
    </row>
    <row r="165" spans="1:33" x14ac:dyDescent="0.25">
      <c r="A165" s="9">
        <v>43872</v>
      </c>
      <c r="B165" s="3"/>
      <c r="C165" s="3"/>
      <c r="D165" s="3"/>
      <c r="E165" s="3"/>
      <c r="F165" s="3"/>
      <c r="G165" s="3"/>
      <c r="H165" s="3"/>
      <c r="I165" s="3"/>
      <c r="J165" s="23">
        <v>43872</v>
      </c>
      <c r="K165" s="24">
        <v>40.958333333333336</v>
      </c>
      <c r="L165" s="24">
        <v>95.162499999999966</v>
      </c>
      <c r="M165" s="24">
        <v>8.4458333333333346</v>
      </c>
      <c r="N165" s="24">
        <v>2.4</v>
      </c>
      <c r="O165" s="24">
        <v>185.58333333333334</v>
      </c>
      <c r="P165" s="24">
        <v>2.5416666666666665</v>
      </c>
      <c r="Q165" s="24">
        <v>2.0833333333333332E-2</v>
      </c>
      <c r="R165" s="24">
        <v>7.7062499999999998</v>
      </c>
      <c r="S165" s="10">
        <v>5.870345652444061E-2</v>
      </c>
      <c r="T165" s="25">
        <v>0.41083333333333344</v>
      </c>
      <c r="U165" s="25">
        <v>0.50093750000000015</v>
      </c>
      <c r="V165" s="25">
        <v>0.54212499999999986</v>
      </c>
      <c r="W165" s="25">
        <v>0.54606250000000012</v>
      </c>
      <c r="X165" s="25">
        <v>0.55060416666666623</v>
      </c>
      <c r="Y165" s="25">
        <v>0.43760416666666657</v>
      </c>
      <c r="Z165" s="25">
        <v>0.42641666666666672</v>
      </c>
      <c r="AA165" s="25">
        <v>0.3720416666666666</v>
      </c>
      <c r="AB165" s="25">
        <v>0.4022708333333333</v>
      </c>
      <c r="AC165" s="25">
        <v>0.2380833333333334</v>
      </c>
      <c r="AD165" s="25">
        <v>0.44093749999999998</v>
      </c>
      <c r="AE165" s="27">
        <f t="shared" si="6"/>
        <v>0.48071874999999986</v>
      </c>
      <c r="AF165" s="27">
        <f t="shared" si="7"/>
        <v>0.47086458333333336</v>
      </c>
      <c r="AG165" s="27">
        <f t="shared" si="8"/>
        <v>0.47265625</v>
      </c>
    </row>
    <row r="166" spans="1:33" x14ac:dyDescent="0.25">
      <c r="A166" s="9">
        <v>43873</v>
      </c>
      <c r="B166" s="3"/>
      <c r="C166" s="3"/>
      <c r="D166" s="3"/>
      <c r="E166" s="3"/>
      <c r="F166" s="3"/>
      <c r="G166" s="3"/>
      <c r="H166" s="3"/>
      <c r="I166" s="3"/>
      <c r="J166" s="23">
        <v>43873</v>
      </c>
      <c r="K166" s="24">
        <v>119.97916666666667</v>
      </c>
      <c r="L166" s="24">
        <v>86.024999999999991</v>
      </c>
      <c r="M166" s="24">
        <v>11.887499999999998</v>
      </c>
      <c r="N166" s="24">
        <v>0.2</v>
      </c>
      <c r="O166" s="24">
        <v>135.22916666666666</v>
      </c>
      <c r="P166" s="24">
        <v>5.9375</v>
      </c>
      <c r="Q166" s="24">
        <v>0.41666666666666669</v>
      </c>
      <c r="R166" s="24">
        <v>9.4520833333333325</v>
      </c>
      <c r="S166" s="10">
        <v>0.22953131315622702</v>
      </c>
      <c r="T166" s="25">
        <v>0.41283333333333316</v>
      </c>
      <c r="U166" s="25">
        <v>0.50504166666666683</v>
      </c>
      <c r="V166" s="25">
        <v>0.54625000000000001</v>
      </c>
      <c r="W166" s="25">
        <v>0.5500416666666671</v>
      </c>
      <c r="X166" s="25">
        <v>0.55474999999999997</v>
      </c>
      <c r="Y166" s="25">
        <v>0.44181250000000022</v>
      </c>
      <c r="Z166" s="25">
        <v>0.42812500000000014</v>
      </c>
      <c r="AA166" s="25">
        <v>0.37266666666666642</v>
      </c>
      <c r="AB166" s="25">
        <v>0.40290624999999997</v>
      </c>
      <c r="AC166" s="25">
        <v>0.23446666666666671</v>
      </c>
      <c r="AD166" s="25">
        <v>0.44041666666666668</v>
      </c>
      <c r="AE166" s="27">
        <f t="shared" si="6"/>
        <v>0.48379166666666656</v>
      </c>
      <c r="AF166" s="27">
        <f t="shared" si="7"/>
        <v>0.47398958333333341</v>
      </c>
      <c r="AG166" s="27">
        <f t="shared" si="8"/>
        <v>0.4757717803030303</v>
      </c>
    </row>
    <row r="167" spans="1:33" x14ac:dyDescent="0.25">
      <c r="A167" s="9">
        <v>43874</v>
      </c>
      <c r="B167" s="3"/>
      <c r="C167" s="3"/>
      <c r="D167" s="3"/>
      <c r="E167" s="3"/>
      <c r="F167" s="3"/>
      <c r="G167" s="3"/>
      <c r="H167" s="3"/>
      <c r="I167" s="3"/>
      <c r="J167" s="23">
        <v>43874</v>
      </c>
      <c r="K167" s="24">
        <v>174.45833333333334</v>
      </c>
      <c r="L167" s="24">
        <v>72.664583333333354</v>
      </c>
      <c r="M167" s="24">
        <v>15.256249999999996</v>
      </c>
      <c r="N167" s="24">
        <v>0</v>
      </c>
      <c r="O167" s="24">
        <v>146.29166666666666</v>
      </c>
      <c r="P167" s="24">
        <v>9.125</v>
      </c>
      <c r="Q167" s="24">
        <v>0.77083333333333337</v>
      </c>
      <c r="R167" s="24">
        <v>9.8958333333333339</v>
      </c>
      <c r="S167" s="10">
        <v>0.54801060509336741</v>
      </c>
      <c r="T167" s="25">
        <v>0.41225000000000006</v>
      </c>
      <c r="U167" s="25">
        <v>0.50712500000000016</v>
      </c>
      <c r="V167" s="25">
        <v>0.54939583333333319</v>
      </c>
      <c r="W167" s="25">
        <v>0.55104166666666621</v>
      </c>
      <c r="X167" s="25">
        <v>0.55820833333333331</v>
      </c>
      <c r="Y167" s="25">
        <v>0.4408958333333331</v>
      </c>
      <c r="Z167" s="25">
        <v>0.42983333333333323</v>
      </c>
      <c r="AA167" s="25">
        <v>0.37299999999999994</v>
      </c>
      <c r="AB167" s="25">
        <v>0.4003600000000001</v>
      </c>
      <c r="AC167" s="25">
        <v>0.23204166666666662</v>
      </c>
      <c r="AD167" s="25">
        <v>0.43543749999999992</v>
      </c>
      <c r="AE167" s="27">
        <f t="shared" si="6"/>
        <v>0.48522916666666671</v>
      </c>
      <c r="AF167" s="27">
        <f t="shared" si="7"/>
        <v>0.47521527777777761</v>
      </c>
      <c r="AG167" s="27">
        <f t="shared" si="8"/>
        <v>0.4770359848484847</v>
      </c>
    </row>
    <row r="168" spans="1:33" x14ac:dyDescent="0.25">
      <c r="A168" s="9">
        <v>43875</v>
      </c>
      <c r="B168" s="3"/>
      <c r="C168" s="3"/>
      <c r="D168" s="3"/>
      <c r="E168" s="3"/>
      <c r="F168" s="3"/>
      <c r="G168" s="3"/>
      <c r="H168" s="3"/>
      <c r="I168" s="3"/>
      <c r="J168" s="23">
        <v>43875</v>
      </c>
      <c r="K168" s="24">
        <v>158.39583333333334</v>
      </c>
      <c r="L168" s="24">
        <v>69.564583333333331</v>
      </c>
      <c r="M168" s="24">
        <v>16.452083333333331</v>
      </c>
      <c r="N168" s="24">
        <v>0</v>
      </c>
      <c r="O168" s="24">
        <v>177.45833333333334</v>
      </c>
      <c r="P168" s="24">
        <v>9.1458333333333339</v>
      </c>
      <c r="Q168" s="24">
        <v>0.60416666666666663</v>
      </c>
      <c r="R168" s="24">
        <v>10.441666666666666</v>
      </c>
      <c r="S168" s="10">
        <v>0.62599014779918571</v>
      </c>
      <c r="T168" s="25">
        <v>0.41260416666666694</v>
      </c>
      <c r="U168" s="25">
        <v>0.5091458333333333</v>
      </c>
      <c r="V168" s="25">
        <v>0.5529791666666668</v>
      </c>
      <c r="W168" s="25">
        <v>0.55354166666666649</v>
      </c>
      <c r="X168" s="25">
        <v>0.56095833333333289</v>
      </c>
      <c r="Y168" s="25">
        <v>0.44089583333333304</v>
      </c>
      <c r="Z168" s="25">
        <v>0.43187500000000001</v>
      </c>
      <c r="AA168" s="25">
        <v>0.37372916666666672</v>
      </c>
      <c r="AB168" s="25">
        <v>0.39826666666666666</v>
      </c>
      <c r="AC168" s="25">
        <v>0.22802439024390239</v>
      </c>
      <c r="AD168" s="25">
        <v>0.4267291666666666</v>
      </c>
      <c r="AE168" s="27">
        <f t="shared" si="6"/>
        <v>0.48678124999999994</v>
      </c>
      <c r="AF168" s="27">
        <f t="shared" si="7"/>
        <v>0.47702777777777761</v>
      </c>
      <c r="AG168" s="27">
        <f t="shared" si="8"/>
        <v>0.47880113636363619</v>
      </c>
    </row>
    <row r="169" spans="1:33" x14ac:dyDescent="0.25">
      <c r="A169" s="9">
        <v>43876</v>
      </c>
      <c r="B169" s="3"/>
      <c r="C169" s="3"/>
      <c r="D169" s="3"/>
      <c r="E169" s="3"/>
      <c r="F169" s="3"/>
      <c r="G169" s="3"/>
      <c r="H169" s="3"/>
      <c r="I169" s="3"/>
      <c r="J169" s="23">
        <v>43876</v>
      </c>
      <c r="K169" s="24">
        <v>30.041666666666668</v>
      </c>
      <c r="L169" s="24">
        <v>82.391666666666652</v>
      </c>
      <c r="M169" s="24">
        <v>6.9625000000000021</v>
      </c>
      <c r="N169" s="24">
        <v>0.4</v>
      </c>
      <c r="O169" s="24">
        <v>207.75</v>
      </c>
      <c r="P169" s="24">
        <v>8.125</v>
      </c>
      <c r="Q169" s="24">
        <v>0.27083333333333331</v>
      </c>
      <c r="R169" s="24">
        <v>4.1416666666666666</v>
      </c>
      <c r="S169" s="10">
        <v>0.18273976619109319</v>
      </c>
      <c r="T169" s="25">
        <v>0.40877083333333331</v>
      </c>
      <c r="U169" s="25">
        <v>0.50735416666666666</v>
      </c>
      <c r="V169" s="25">
        <v>0.55393749999999975</v>
      </c>
      <c r="W169" s="25">
        <v>0.55491666666666639</v>
      </c>
      <c r="X169" s="25">
        <v>0.55820833333333308</v>
      </c>
      <c r="Y169" s="25">
        <v>0.43908333333333355</v>
      </c>
      <c r="Z169" s="25">
        <v>0.43324999999999986</v>
      </c>
      <c r="AA169" s="25">
        <v>0.37439583333333343</v>
      </c>
      <c r="AB169" s="25">
        <v>0.39064864864864857</v>
      </c>
      <c r="AC169" s="25">
        <v>0.2217777777777778</v>
      </c>
      <c r="AD169" s="25">
        <v>0.41470833333333323</v>
      </c>
      <c r="AE169" s="27">
        <f t="shared" si="6"/>
        <v>0.48348958333333319</v>
      </c>
      <c r="AF169" s="27">
        <f t="shared" si="7"/>
        <v>0.47715624999999989</v>
      </c>
      <c r="AG169" s="27">
        <f t="shared" si="8"/>
        <v>0.47830776515151496</v>
      </c>
    </row>
    <row r="170" spans="1:33" x14ac:dyDescent="0.25">
      <c r="A170" s="9">
        <v>43877</v>
      </c>
      <c r="B170" s="3"/>
      <c r="C170" s="3"/>
      <c r="D170" s="3"/>
      <c r="E170" s="3"/>
      <c r="F170" s="3"/>
      <c r="G170" s="3"/>
      <c r="H170" s="3"/>
      <c r="I170" s="3"/>
      <c r="J170" s="23">
        <v>43877</v>
      </c>
      <c r="K170" s="24">
        <v>116</v>
      </c>
      <c r="L170" s="24">
        <v>67.57708333333332</v>
      </c>
      <c r="M170" s="24">
        <v>3.3645833333333321</v>
      </c>
      <c r="N170" s="24">
        <v>0.2</v>
      </c>
      <c r="O170" s="24">
        <v>191.85416666666666</v>
      </c>
      <c r="P170" s="24">
        <v>7.3125</v>
      </c>
      <c r="Q170" s="24">
        <v>0.33333333333333331</v>
      </c>
      <c r="R170" s="24">
        <v>-2.2687500000000003</v>
      </c>
      <c r="S170" s="10">
        <v>0.27574136805233468</v>
      </c>
      <c r="T170" s="25">
        <v>0.39641666666666664</v>
      </c>
      <c r="U170" s="25">
        <v>0.49639583333333331</v>
      </c>
      <c r="V170" s="25">
        <v>0.54560416666666633</v>
      </c>
      <c r="W170" s="25">
        <v>0.55122916666666666</v>
      </c>
      <c r="X170" s="25">
        <v>0.54737500000000017</v>
      </c>
      <c r="Y170" s="25">
        <v>0.43235416666666676</v>
      </c>
      <c r="Z170" s="25">
        <v>0.43097916666666641</v>
      </c>
      <c r="AA170" s="25">
        <v>0.3736458333333334</v>
      </c>
      <c r="AB170" s="25">
        <v>0.38259523809523799</v>
      </c>
      <c r="AC170" s="25">
        <v>0.217282608695652</v>
      </c>
      <c r="AD170" s="25">
        <v>0.40268749999999986</v>
      </c>
      <c r="AE170" s="27">
        <f t="shared" si="6"/>
        <v>0.4718958333333334</v>
      </c>
      <c r="AF170" s="27">
        <f t="shared" si="7"/>
        <v>0.4717013888888888</v>
      </c>
      <c r="AG170" s="27">
        <f t="shared" si="8"/>
        <v>0.47173674242424235</v>
      </c>
    </row>
    <row r="171" spans="1:33" x14ac:dyDescent="0.25">
      <c r="A171" s="9">
        <v>43878</v>
      </c>
      <c r="B171" s="3"/>
      <c r="C171" s="3"/>
      <c r="D171" s="3"/>
      <c r="E171" s="3"/>
      <c r="F171" s="3"/>
      <c r="G171" s="3"/>
      <c r="H171" s="3"/>
      <c r="I171" s="3"/>
      <c r="J171" s="23">
        <v>43878</v>
      </c>
      <c r="K171" s="24">
        <v>85.916666666666671</v>
      </c>
      <c r="L171" s="24">
        <v>67.570833333333326</v>
      </c>
      <c r="M171" s="24">
        <v>4.7583333333333329</v>
      </c>
      <c r="N171" s="24">
        <v>0</v>
      </c>
      <c r="O171" s="24">
        <v>197.14583333333334</v>
      </c>
      <c r="P171" s="24">
        <v>5.875</v>
      </c>
      <c r="Q171" s="24">
        <v>8.3333333333333329E-2</v>
      </c>
      <c r="R171" s="24">
        <v>-0.95416666666666705</v>
      </c>
      <c r="S171" s="10">
        <v>0.29768601118069388</v>
      </c>
      <c r="T171" s="25">
        <v>0.39314583333333336</v>
      </c>
      <c r="U171" s="25">
        <v>0.4920624999999999</v>
      </c>
      <c r="V171" s="25">
        <v>0.54141666666666655</v>
      </c>
      <c r="W171" s="25">
        <v>0.54710416666666661</v>
      </c>
      <c r="X171" s="25">
        <v>0.54335416666666647</v>
      </c>
      <c r="Y171" s="25">
        <v>0.42887500000000039</v>
      </c>
      <c r="Z171" s="25">
        <v>0.42852083333333374</v>
      </c>
      <c r="AA171" s="25">
        <v>0.37210416666666662</v>
      </c>
      <c r="AB171" s="25">
        <v>0.37734782608695666</v>
      </c>
      <c r="AC171" s="25">
        <v>0.21321276595744681</v>
      </c>
      <c r="AD171" s="25">
        <v>0.39527083333333324</v>
      </c>
      <c r="AE171" s="27">
        <f t="shared" si="6"/>
        <v>0.46824999999999994</v>
      </c>
      <c r="AF171" s="27">
        <f t="shared" si="7"/>
        <v>0.4683472222222223</v>
      </c>
      <c r="AG171" s="27">
        <f t="shared" si="8"/>
        <v>0.46832954545454547</v>
      </c>
    </row>
    <row r="172" spans="1:33" x14ac:dyDescent="0.25">
      <c r="A172" s="9">
        <v>43879</v>
      </c>
      <c r="B172" s="3"/>
      <c r="C172" s="3"/>
      <c r="D172" s="3"/>
      <c r="E172" s="3"/>
      <c r="F172" s="3"/>
      <c r="G172" s="3"/>
      <c r="H172" s="3"/>
      <c r="I172" s="3"/>
      <c r="J172" s="23">
        <v>43879</v>
      </c>
      <c r="K172" s="24">
        <v>94.083333333333329</v>
      </c>
      <c r="L172" s="24">
        <v>67.020833333333329</v>
      </c>
      <c r="M172" s="24">
        <v>6.533333333333335</v>
      </c>
      <c r="N172" s="24">
        <v>0</v>
      </c>
      <c r="O172" s="24">
        <v>144.8125</v>
      </c>
      <c r="P172" s="24">
        <v>6.958333333333333</v>
      </c>
      <c r="Q172" s="24">
        <v>0.29166666666666669</v>
      </c>
      <c r="R172" s="24">
        <v>0.70625000000000016</v>
      </c>
      <c r="S172" s="10">
        <v>0.33872037259814713</v>
      </c>
      <c r="T172" s="25">
        <v>0.39179166666666693</v>
      </c>
      <c r="U172" s="25">
        <v>0.48977083333333349</v>
      </c>
      <c r="V172" s="25">
        <v>0.53908333333333347</v>
      </c>
      <c r="W172" s="25">
        <v>0.54495833333333366</v>
      </c>
      <c r="X172" s="25">
        <v>0.54116666666666691</v>
      </c>
      <c r="Y172" s="25">
        <v>0.42691666666666639</v>
      </c>
      <c r="Z172" s="25">
        <v>0.42693749999999958</v>
      </c>
      <c r="AA172" s="25">
        <v>0.37114583333333351</v>
      </c>
      <c r="AB172" s="25">
        <v>0.37375609756097561</v>
      </c>
      <c r="AC172" s="25">
        <v>0.20945714285714279</v>
      </c>
      <c r="AD172" s="25">
        <v>0.38945833333333346</v>
      </c>
      <c r="AE172" s="27">
        <f t="shared" si="6"/>
        <v>0.46647916666666689</v>
      </c>
      <c r="AF172" s="27">
        <f t="shared" si="7"/>
        <v>0.46646875000000004</v>
      </c>
      <c r="AG172" s="27">
        <f t="shared" si="8"/>
        <v>0.46647064393939403</v>
      </c>
    </row>
    <row r="173" spans="1:33" x14ac:dyDescent="0.25">
      <c r="A173" s="9">
        <v>43880</v>
      </c>
      <c r="B173" s="3"/>
      <c r="C173" s="3"/>
      <c r="D173" s="3"/>
      <c r="E173" s="3"/>
      <c r="F173" s="3"/>
      <c r="G173" s="3"/>
      <c r="H173" s="3"/>
      <c r="I173" s="3"/>
      <c r="J173" s="23">
        <v>43880</v>
      </c>
      <c r="K173" s="24">
        <v>143.75</v>
      </c>
      <c r="L173" s="24">
        <v>64.831250000000011</v>
      </c>
      <c r="M173" s="24">
        <v>9.9354166666666668</v>
      </c>
      <c r="N173" s="24">
        <v>0</v>
      </c>
      <c r="O173" s="24">
        <v>156.9375</v>
      </c>
      <c r="P173" s="24">
        <v>5.354166666666667</v>
      </c>
      <c r="Q173" s="24">
        <v>0.22916666666666666</v>
      </c>
      <c r="R173" s="24">
        <v>3.433333333333334</v>
      </c>
      <c r="S173" s="10">
        <v>0.47100592738463493</v>
      </c>
      <c r="T173" s="25">
        <v>0.39335416666666667</v>
      </c>
      <c r="U173" s="25">
        <v>0.49010416666666679</v>
      </c>
      <c r="V173" s="25">
        <v>0.53914583333333344</v>
      </c>
      <c r="W173" s="25">
        <v>0.54366666666666663</v>
      </c>
      <c r="X173" s="25">
        <v>0.54218749999999993</v>
      </c>
      <c r="Y173" s="25">
        <v>0.42660416666666684</v>
      </c>
      <c r="Z173" s="25">
        <v>0.42608333333333309</v>
      </c>
      <c r="AA173" s="25">
        <v>0.37060416666666679</v>
      </c>
      <c r="AB173" s="25">
        <v>0.37146666666666667</v>
      </c>
      <c r="AC173" s="25">
        <v>0.20572972972972983</v>
      </c>
      <c r="AD173" s="25">
        <v>0.38612500000000005</v>
      </c>
      <c r="AE173" s="27">
        <f t="shared" si="6"/>
        <v>0.4677708333333333</v>
      </c>
      <c r="AF173" s="27">
        <f t="shared" si="7"/>
        <v>0.46603472222222231</v>
      </c>
      <c r="AG173" s="27">
        <f t="shared" si="8"/>
        <v>0.46635037878787888</v>
      </c>
    </row>
    <row r="174" spans="1:33" x14ac:dyDescent="0.25">
      <c r="A174" s="9">
        <v>43881</v>
      </c>
      <c r="B174" s="3"/>
      <c r="C174" s="3"/>
      <c r="D174" s="3"/>
      <c r="E174" s="3"/>
      <c r="F174" s="3"/>
      <c r="G174" s="3"/>
      <c r="H174" s="3"/>
      <c r="I174" s="3"/>
      <c r="J174" s="23">
        <v>43881</v>
      </c>
      <c r="K174" s="24">
        <v>29.5625</v>
      </c>
      <c r="L174" s="24">
        <v>87.577083333333334</v>
      </c>
      <c r="M174" s="24">
        <v>7.5375000000000005</v>
      </c>
      <c r="N174" s="24">
        <v>1.2999999999999998</v>
      </c>
      <c r="O174" s="24">
        <v>138</v>
      </c>
      <c r="P174" s="24">
        <v>7.458333333333333</v>
      </c>
      <c r="Q174" s="24">
        <v>0.75</v>
      </c>
      <c r="R174" s="24">
        <v>5.5874999999999986</v>
      </c>
      <c r="S174" s="10">
        <v>0.12938957432736412</v>
      </c>
      <c r="T174" s="25">
        <v>0.3958333333333332</v>
      </c>
      <c r="U174" s="25">
        <v>0.49229166666666663</v>
      </c>
      <c r="V174" s="25">
        <v>0.54210416666666716</v>
      </c>
      <c r="W174" s="25">
        <v>0.54502083333333384</v>
      </c>
      <c r="X174" s="25">
        <v>0.54318750000000038</v>
      </c>
      <c r="Y174" s="25">
        <v>0.42775000000000002</v>
      </c>
      <c r="Z174" s="25">
        <v>0.42697916666666641</v>
      </c>
      <c r="AA174" s="25">
        <v>0.37041666666666656</v>
      </c>
      <c r="AB174" s="25">
        <v>0.36793750000000003</v>
      </c>
      <c r="AC174" s="25">
        <v>0.20107407407407402</v>
      </c>
      <c r="AD174" s="25">
        <v>0.38054166666666678</v>
      </c>
      <c r="AE174" s="27">
        <f t="shared" si="6"/>
        <v>0.46951041666666682</v>
      </c>
      <c r="AF174" s="27">
        <f t="shared" si="7"/>
        <v>0.46742708333333344</v>
      </c>
      <c r="AG174" s="27">
        <f t="shared" si="8"/>
        <v>0.46780587121212136</v>
      </c>
    </row>
    <row r="175" spans="1:33" x14ac:dyDescent="0.25">
      <c r="A175" s="9">
        <v>43882</v>
      </c>
      <c r="B175" s="3"/>
      <c r="C175" s="3"/>
      <c r="D175" s="3"/>
      <c r="E175" s="3"/>
      <c r="F175" s="3"/>
      <c r="G175" s="3"/>
      <c r="H175" s="3"/>
      <c r="I175" s="3"/>
      <c r="J175" s="23">
        <v>43882</v>
      </c>
      <c r="K175" s="24">
        <v>83.333333333333329</v>
      </c>
      <c r="L175" s="24">
        <v>81.039583333333312</v>
      </c>
      <c r="M175" s="24">
        <v>7.5500000000000016</v>
      </c>
      <c r="N175" s="24">
        <v>0.2</v>
      </c>
      <c r="O175" s="24">
        <v>202.16666666666666</v>
      </c>
      <c r="P175" s="24">
        <v>4.9375</v>
      </c>
      <c r="Q175" s="24">
        <v>0.14583333333333334</v>
      </c>
      <c r="R175" s="24">
        <v>4.3166666666666647</v>
      </c>
      <c r="S175" s="10">
        <v>0.22482212523893919</v>
      </c>
      <c r="T175" s="25">
        <v>0.39341666666666647</v>
      </c>
      <c r="U175" s="25">
        <v>0.4898541666666667</v>
      </c>
      <c r="V175" s="25">
        <v>0.54020833333333329</v>
      </c>
      <c r="W175" s="25">
        <v>0.5445000000000001</v>
      </c>
      <c r="X175" s="25">
        <v>0.54102083333333351</v>
      </c>
      <c r="Y175" s="25">
        <v>0.42608333333333315</v>
      </c>
      <c r="Z175" s="25">
        <v>0.42654166666666621</v>
      </c>
      <c r="AA175" s="25">
        <v>0.37047916666666653</v>
      </c>
      <c r="AB175" s="25">
        <v>0.36942499999999984</v>
      </c>
      <c r="AC175" s="25">
        <v>0.2013809523809523</v>
      </c>
      <c r="AD175" s="25">
        <v>0.3761458333333334</v>
      </c>
      <c r="AE175" s="27">
        <f t="shared" si="6"/>
        <v>0.46721875000000002</v>
      </c>
      <c r="AF175" s="27">
        <f t="shared" si="7"/>
        <v>0.46627777777777774</v>
      </c>
      <c r="AG175" s="27">
        <f t="shared" si="8"/>
        <v>0.46644886363636362</v>
      </c>
    </row>
    <row r="176" spans="1:33" x14ac:dyDescent="0.25">
      <c r="A176" s="9">
        <v>43883</v>
      </c>
      <c r="B176" s="3"/>
      <c r="C176" s="3"/>
      <c r="D176" s="3"/>
      <c r="E176" s="3"/>
      <c r="F176" s="3"/>
      <c r="G176" s="3"/>
      <c r="H176" s="3"/>
      <c r="I176" s="3"/>
      <c r="J176" s="23">
        <v>43883</v>
      </c>
      <c r="K176" s="24">
        <v>41.104166666666664</v>
      </c>
      <c r="L176" s="24">
        <v>92.91249999999998</v>
      </c>
      <c r="M176" s="24">
        <v>8.1562499999999982</v>
      </c>
      <c r="N176" s="24">
        <v>0.8</v>
      </c>
      <c r="O176" s="24">
        <v>143.8125</v>
      </c>
      <c r="P176" s="24">
        <v>4.166666666666667</v>
      </c>
      <c r="Q176" s="24">
        <v>0.16666666666666666</v>
      </c>
      <c r="R176" s="24">
        <v>7.0666666666666673</v>
      </c>
      <c r="S176" s="10">
        <v>8.0952786934369941E-2</v>
      </c>
      <c r="T176" s="25">
        <v>0.3931666666666665</v>
      </c>
      <c r="U176" s="25">
        <v>0.48933333333333384</v>
      </c>
      <c r="V176" s="25">
        <v>0.53993749999999963</v>
      </c>
      <c r="W176" s="25">
        <v>0.54414583333333344</v>
      </c>
      <c r="X176" s="25">
        <v>0.54085416666666664</v>
      </c>
      <c r="Y176" s="25">
        <v>0.42604166666666643</v>
      </c>
      <c r="Z176" s="25">
        <v>0.42599999999999971</v>
      </c>
      <c r="AA176" s="25">
        <v>0.37012499999999965</v>
      </c>
      <c r="AB176" s="25">
        <v>0.36904651162790669</v>
      </c>
      <c r="AC176" s="25">
        <v>0.20024242424242419</v>
      </c>
      <c r="AD176" s="25">
        <v>0.37170833333333336</v>
      </c>
      <c r="AE176" s="27">
        <f t="shared" si="6"/>
        <v>0.46701041666666654</v>
      </c>
      <c r="AF176" s="27">
        <f t="shared" si="7"/>
        <v>0.46593055555555546</v>
      </c>
      <c r="AG176" s="27">
        <f t="shared" si="8"/>
        <v>0.46612689393939383</v>
      </c>
    </row>
    <row r="177" spans="1:33" x14ac:dyDescent="0.25">
      <c r="A177" s="9">
        <v>43884</v>
      </c>
      <c r="B177" s="3"/>
      <c r="C177" s="3"/>
      <c r="D177" s="3"/>
      <c r="E177" s="3"/>
      <c r="F177" s="3"/>
      <c r="G177" s="3"/>
      <c r="H177" s="3"/>
      <c r="I177" s="3"/>
      <c r="J177" s="23">
        <v>43884</v>
      </c>
      <c r="K177" s="24"/>
      <c r="L177" s="24"/>
      <c r="M177" s="24"/>
      <c r="N177" s="24"/>
      <c r="O177" s="24"/>
      <c r="P177" s="24"/>
      <c r="Q177" s="24"/>
      <c r="R177" s="24"/>
      <c r="S177" s="10"/>
      <c r="T177" s="25">
        <v>0.39437500000000014</v>
      </c>
      <c r="U177" s="25">
        <v>0.48945833333333316</v>
      </c>
      <c r="V177" s="25">
        <v>0.54020833333333307</v>
      </c>
      <c r="W177" s="25">
        <v>0.54391666666666694</v>
      </c>
      <c r="X177" s="25">
        <v>0.54164583333333349</v>
      </c>
      <c r="Y177" s="25">
        <v>0.42618749999999994</v>
      </c>
      <c r="Z177" s="25">
        <v>0.42599999999999971</v>
      </c>
      <c r="AA177" s="25">
        <v>0.3700833333333331</v>
      </c>
      <c r="AB177" s="25">
        <v>0.37159999999999993</v>
      </c>
      <c r="AC177" s="25">
        <v>0.20100000000000001</v>
      </c>
      <c r="AD177" s="25">
        <v>0.37016666666666648</v>
      </c>
      <c r="AE177" s="27">
        <f t="shared" si="6"/>
        <v>0.46801041666666682</v>
      </c>
      <c r="AF177" s="27">
        <f t="shared" si="7"/>
        <v>0.46597569444444437</v>
      </c>
      <c r="AG177" s="27">
        <f t="shared" si="8"/>
        <v>0.46634564393939387</v>
      </c>
    </row>
    <row r="178" spans="1:33" x14ac:dyDescent="0.25">
      <c r="A178" s="9">
        <v>43885</v>
      </c>
      <c r="B178" s="3"/>
      <c r="C178" s="3"/>
      <c r="D178" s="3"/>
      <c r="E178" s="3"/>
      <c r="F178" s="3"/>
      <c r="G178" s="3"/>
      <c r="H178" s="3"/>
      <c r="I178" s="3"/>
      <c r="J178" s="23">
        <v>43885</v>
      </c>
      <c r="K178" s="24"/>
      <c r="L178" s="24"/>
      <c r="M178" s="24"/>
      <c r="N178" s="24"/>
      <c r="O178" s="24"/>
      <c r="P178" s="24"/>
      <c r="Q178" s="24"/>
      <c r="R178" s="24"/>
      <c r="S178" s="10"/>
      <c r="T178" s="25">
        <v>0.39658333333333345</v>
      </c>
      <c r="U178" s="25">
        <v>0.49129166666666668</v>
      </c>
      <c r="V178" s="25">
        <v>0.54170833333333368</v>
      </c>
      <c r="W178" s="25">
        <v>0.54464583333333383</v>
      </c>
      <c r="X178" s="25">
        <v>0.54475000000000007</v>
      </c>
      <c r="Y178" s="25">
        <v>0.42766666666666636</v>
      </c>
      <c r="Z178" s="25">
        <v>0.42645833333333316</v>
      </c>
      <c r="AA178" s="25">
        <v>0.37002083333333308</v>
      </c>
      <c r="AB178" s="25">
        <v>0.37031578947368399</v>
      </c>
      <c r="AC178" s="25">
        <v>0.19507999999999992</v>
      </c>
      <c r="AD178" s="25">
        <v>0.36818749999999995</v>
      </c>
      <c r="AE178" s="27">
        <f t="shared" si="6"/>
        <v>0.47066666666666679</v>
      </c>
      <c r="AF178" s="27">
        <f t="shared" si="7"/>
        <v>0.4669652777777778</v>
      </c>
      <c r="AG178" s="27">
        <f t="shared" si="8"/>
        <v>0.46763825757575761</v>
      </c>
    </row>
    <row r="179" spans="1:33" x14ac:dyDescent="0.25">
      <c r="A179" s="9">
        <v>43886</v>
      </c>
      <c r="B179" s="3"/>
      <c r="C179" s="3"/>
      <c r="D179" s="3"/>
      <c r="E179" s="3"/>
      <c r="F179" s="3"/>
      <c r="G179" s="3"/>
      <c r="H179" s="3"/>
      <c r="I179" s="3"/>
      <c r="J179" s="23">
        <v>43886</v>
      </c>
      <c r="K179" s="24"/>
      <c r="L179" s="24"/>
      <c r="M179" s="24"/>
      <c r="N179" s="24"/>
      <c r="O179" s="24"/>
      <c r="P179" s="24"/>
      <c r="Q179" s="24"/>
      <c r="R179" s="24"/>
      <c r="S179" s="10"/>
      <c r="T179" s="25">
        <v>0.40160416666666676</v>
      </c>
      <c r="U179" s="25">
        <v>0.49685416666666687</v>
      </c>
      <c r="V179" s="25">
        <v>0.54679166666666656</v>
      </c>
      <c r="W179" s="25">
        <v>0.54764583333333361</v>
      </c>
      <c r="X179" s="25">
        <v>0.55112499999999986</v>
      </c>
      <c r="Y179" s="25">
        <v>0.4310833333333331</v>
      </c>
      <c r="Z179" s="25">
        <v>0.42862499999999987</v>
      </c>
      <c r="AA179" s="25">
        <v>0.37054166666666671</v>
      </c>
      <c r="AB179" s="25">
        <v>0.36820512820512818</v>
      </c>
      <c r="AC179" s="25">
        <v>0.19008333333333335</v>
      </c>
      <c r="AD179" s="25">
        <v>0.36491666666666661</v>
      </c>
      <c r="AE179" s="27">
        <f t="shared" si="6"/>
        <v>0.47636458333333331</v>
      </c>
      <c r="AF179" s="27">
        <f t="shared" si="7"/>
        <v>0.47025694444444444</v>
      </c>
      <c r="AG179" s="27">
        <f t="shared" si="8"/>
        <v>0.47136742424242417</v>
      </c>
    </row>
    <row r="180" spans="1:33" x14ac:dyDescent="0.25">
      <c r="A180" s="9">
        <v>43887</v>
      </c>
      <c r="B180" s="3"/>
      <c r="C180" s="3"/>
      <c r="D180" s="3"/>
      <c r="E180" s="3"/>
      <c r="F180" s="3"/>
      <c r="G180" s="3"/>
      <c r="H180" s="3"/>
      <c r="I180" s="3"/>
      <c r="J180" s="23">
        <v>43887</v>
      </c>
      <c r="K180" s="24"/>
      <c r="L180" s="24"/>
      <c r="M180" s="24"/>
      <c r="N180" s="24"/>
      <c r="O180" s="24"/>
      <c r="P180" s="24"/>
      <c r="Q180" s="24"/>
      <c r="R180" s="24"/>
      <c r="S180" s="10"/>
      <c r="T180" s="25">
        <v>0.40391666666666631</v>
      </c>
      <c r="U180" s="25">
        <v>0.50102083333333336</v>
      </c>
      <c r="V180" s="25">
        <v>0.5516249999999997</v>
      </c>
      <c r="W180" s="25">
        <v>0.551875</v>
      </c>
      <c r="X180" s="25">
        <v>0.55533333333333335</v>
      </c>
      <c r="Y180" s="25">
        <v>0.43439583333333304</v>
      </c>
      <c r="Z180" s="25">
        <v>0.43116666666666631</v>
      </c>
      <c r="AA180" s="25">
        <v>0.37164583333333329</v>
      </c>
      <c r="AB180" s="25">
        <v>0.36422857142857162</v>
      </c>
      <c r="AC180" s="25">
        <v>0.18278124999999998</v>
      </c>
      <c r="AD180" s="25">
        <v>0.35902083333333351</v>
      </c>
      <c r="AE180" s="27">
        <f t="shared" si="6"/>
        <v>0.47962499999999986</v>
      </c>
      <c r="AF180" s="27">
        <f t="shared" si="7"/>
        <v>0.47362152777777761</v>
      </c>
      <c r="AG180" s="27">
        <f t="shared" si="8"/>
        <v>0.47471306818181797</v>
      </c>
    </row>
    <row r="181" spans="1:33" x14ac:dyDescent="0.25">
      <c r="A181" s="9">
        <v>43888</v>
      </c>
      <c r="B181" s="3"/>
      <c r="C181" s="3"/>
      <c r="D181" s="3"/>
      <c r="E181" s="3"/>
      <c r="F181" s="3"/>
      <c r="G181" s="3"/>
      <c r="H181" s="3"/>
      <c r="I181" s="3"/>
      <c r="J181" s="23">
        <v>43888</v>
      </c>
      <c r="K181" s="24"/>
      <c r="L181" s="24"/>
      <c r="M181" s="24"/>
      <c r="N181" s="24"/>
      <c r="O181" s="24"/>
      <c r="P181" s="24"/>
      <c r="Q181" s="24"/>
      <c r="R181" s="24"/>
      <c r="S181" s="10"/>
      <c r="T181" s="25">
        <v>0.40429166666666694</v>
      </c>
      <c r="U181" s="25">
        <v>0.50243750000000009</v>
      </c>
      <c r="V181" s="25">
        <v>0.55410416666666651</v>
      </c>
      <c r="W181" s="25">
        <v>0.55491666666666661</v>
      </c>
      <c r="X181" s="25">
        <v>0.55662499999999981</v>
      </c>
      <c r="Y181" s="25">
        <v>0.43568750000000017</v>
      </c>
      <c r="Z181" s="25">
        <v>0.433</v>
      </c>
      <c r="AA181" s="25">
        <v>0.3727083333333332</v>
      </c>
      <c r="AB181" s="25">
        <v>0.35916666666666663</v>
      </c>
      <c r="AC181" s="25">
        <v>0.17728571428571432</v>
      </c>
      <c r="AD181" s="25">
        <v>0.35139583333333313</v>
      </c>
      <c r="AE181" s="27">
        <f t="shared" si="6"/>
        <v>0.48045833333333338</v>
      </c>
      <c r="AF181" s="27">
        <f t="shared" si="7"/>
        <v>0.47547569444444443</v>
      </c>
      <c r="AG181" s="27">
        <f t="shared" si="8"/>
        <v>0.47638162878787876</v>
      </c>
    </row>
    <row r="182" spans="1:33" x14ac:dyDescent="0.25">
      <c r="A182" s="9">
        <v>43889</v>
      </c>
      <c r="B182" s="3"/>
      <c r="C182" s="3"/>
      <c r="D182" s="3"/>
      <c r="E182" s="3"/>
      <c r="F182" s="3"/>
      <c r="G182" s="3"/>
      <c r="H182" s="3"/>
      <c r="I182" s="3"/>
      <c r="J182" s="23">
        <v>43889</v>
      </c>
      <c r="K182" s="24"/>
      <c r="L182" s="24"/>
      <c r="M182" s="24"/>
      <c r="N182" s="24"/>
      <c r="O182" s="24"/>
      <c r="P182" s="24"/>
      <c r="Q182" s="24"/>
      <c r="R182" s="24"/>
      <c r="S182" s="10"/>
      <c r="T182" s="25">
        <v>0.40172916666666653</v>
      </c>
      <c r="U182" s="25">
        <v>0.50068749999999962</v>
      </c>
      <c r="V182" s="25">
        <v>0.55400000000000016</v>
      </c>
      <c r="W182" s="25">
        <v>0.55695833333333289</v>
      </c>
      <c r="X182" s="25">
        <v>0.55812499999999998</v>
      </c>
      <c r="Y182" s="25">
        <v>0.43514583333333362</v>
      </c>
      <c r="Z182" s="25">
        <v>0.43393749999999992</v>
      </c>
      <c r="AA182" s="25">
        <v>0.37360416666666679</v>
      </c>
      <c r="AB182" s="25">
        <v>0.36600000000000005</v>
      </c>
      <c r="AC182" s="25">
        <v>0.20804761904761909</v>
      </c>
      <c r="AD182" s="25">
        <v>0.36372916666666644</v>
      </c>
      <c r="AE182" s="27">
        <f t="shared" si="6"/>
        <v>0.47992708333333323</v>
      </c>
      <c r="AF182" s="27">
        <f t="shared" si="7"/>
        <v>0.47572222222222221</v>
      </c>
      <c r="AG182" s="27">
        <f t="shared" si="8"/>
        <v>0.47648674242424238</v>
      </c>
    </row>
    <row r="183" spans="1:33" x14ac:dyDescent="0.25">
      <c r="A183" s="9">
        <v>43890</v>
      </c>
      <c r="B183" s="3"/>
      <c r="C183" s="3"/>
      <c r="D183" s="3"/>
      <c r="E183" s="3"/>
      <c r="F183" s="3"/>
      <c r="G183" s="3"/>
      <c r="H183" s="3"/>
      <c r="I183" s="3"/>
      <c r="J183" s="23">
        <v>43890</v>
      </c>
      <c r="K183" s="24"/>
      <c r="L183" s="24"/>
      <c r="M183" s="24"/>
      <c r="N183" s="24"/>
      <c r="O183" s="24"/>
      <c r="P183" s="24"/>
      <c r="Q183" s="24"/>
      <c r="R183" s="24"/>
      <c r="S183" s="10"/>
      <c r="T183" s="25">
        <v>0.40045833333333342</v>
      </c>
      <c r="U183" s="25">
        <v>0.49804166666666677</v>
      </c>
      <c r="V183" s="25">
        <v>0.551958333333333</v>
      </c>
      <c r="W183" s="25">
        <v>0.55589583333333348</v>
      </c>
      <c r="X183" s="25">
        <v>0.56002083333333363</v>
      </c>
      <c r="Y183" s="25">
        <v>0.43454166666666655</v>
      </c>
      <c r="Z183" s="25">
        <v>0.43322916666666672</v>
      </c>
      <c r="AA183" s="25">
        <v>0.37383333333333346</v>
      </c>
      <c r="AB183" s="25">
        <v>0.37763636363636355</v>
      </c>
      <c r="AC183" s="25">
        <v>0.21674468085106388</v>
      </c>
      <c r="AD183" s="25">
        <v>0.37222916666666667</v>
      </c>
      <c r="AE183" s="27">
        <f t="shared" si="6"/>
        <v>0.4802395833333335</v>
      </c>
      <c r="AF183" s="27">
        <f t="shared" si="7"/>
        <v>0.47458333333333336</v>
      </c>
      <c r="AG183" s="27">
        <f t="shared" si="8"/>
        <v>0.47561174242424253</v>
      </c>
    </row>
    <row r="184" spans="1:33" x14ac:dyDescent="0.25">
      <c r="A184" s="9">
        <v>43891</v>
      </c>
      <c r="B184" s="3"/>
      <c r="C184" s="3"/>
      <c r="D184" s="3"/>
      <c r="E184" s="3"/>
      <c r="F184" s="3"/>
      <c r="G184" s="3"/>
      <c r="H184" s="3"/>
      <c r="I184" s="3"/>
      <c r="J184" s="23">
        <v>43891</v>
      </c>
      <c r="K184" s="24"/>
      <c r="L184" s="24"/>
      <c r="M184" s="24"/>
      <c r="N184" s="24"/>
      <c r="O184" s="24"/>
      <c r="P184" s="24"/>
      <c r="Q184" s="24"/>
      <c r="R184" s="24"/>
      <c r="S184" s="10"/>
      <c r="T184" s="25">
        <v>0.40070833333333322</v>
      </c>
      <c r="U184" s="25">
        <v>0.49916666666666698</v>
      </c>
      <c r="V184" s="25">
        <v>0.55372916666666705</v>
      </c>
      <c r="W184" s="25">
        <v>0.55729166666666619</v>
      </c>
      <c r="X184" s="25">
        <v>0.55977083333333344</v>
      </c>
      <c r="Y184" s="25">
        <v>0.43606249999999996</v>
      </c>
      <c r="Z184" s="25">
        <v>0.43450000000000016</v>
      </c>
      <c r="AA184" s="25">
        <v>0.3739791666666667</v>
      </c>
      <c r="AB184" s="25">
        <v>0.3726666666666667</v>
      </c>
      <c r="AC184" s="25">
        <v>0.20468750000000002</v>
      </c>
      <c r="AD184" s="25">
        <v>0.36002083333333351</v>
      </c>
      <c r="AE184" s="27">
        <f t="shared" si="6"/>
        <v>0.48023958333333333</v>
      </c>
      <c r="AF184" s="27">
        <f t="shared" si="7"/>
        <v>0.47578819444444448</v>
      </c>
      <c r="AG184" s="27">
        <f t="shared" si="8"/>
        <v>0.47659753787878789</v>
      </c>
    </row>
    <row r="185" spans="1:33" x14ac:dyDescent="0.25">
      <c r="A185" s="9">
        <v>43892</v>
      </c>
      <c r="B185" s="3"/>
      <c r="C185" s="3"/>
      <c r="D185" s="3"/>
      <c r="E185" s="3"/>
      <c r="F185" s="3"/>
      <c r="G185" s="3"/>
      <c r="H185" s="3"/>
      <c r="I185" s="3"/>
      <c r="J185" s="23">
        <v>43892</v>
      </c>
      <c r="K185" s="24"/>
      <c r="L185" s="24"/>
      <c r="M185" s="24"/>
      <c r="N185" s="24"/>
      <c r="O185" s="24"/>
      <c r="P185" s="24"/>
      <c r="Q185" s="24"/>
      <c r="R185" s="24"/>
      <c r="S185" s="10"/>
      <c r="T185" s="25">
        <v>0.39954166666666674</v>
      </c>
      <c r="U185" s="25">
        <v>0.49691666666666684</v>
      </c>
      <c r="V185" s="25">
        <v>0.55177083333333321</v>
      </c>
      <c r="W185" s="25">
        <v>0.55689583333333315</v>
      </c>
      <c r="X185" s="25">
        <v>0.5577916666666668</v>
      </c>
      <c r="Y185" s="25">
        <v>0.43489583333333309</v>
      </c>
      <c r="Z185" s="25">
        <v>0.43406249999999996</v>
      </c>
      <c r="AA185" s="25">
        <v>0.37393749999999998</v>
      </c>
      <c r="AB185" s="25">
        <v>0.37135483870967728</v>
      </c>
      <c r="AC185" s="25">
        <v>0.19802127659574476</v>
      </c>
      <c r="AD185" s="25">
        <v>0.35208333333333347</v>
      </c>
      <c r="AE185" s="27">
        <f t="shared" si="6"/>
        <v>0.4786666666666668</v>
      </c>
      <c r="AF185" s="27">
        <f t="shared" si="7"/>
        <v>0.47474652777777765</v>
      </c>
      <c r="AG185" s="27">
        <f t="shared" si="8"/>
        <v>0.4754592803030302</v>
      </c>
    </row>
    <row r="186" spans="1:33" x14ac:dyDescent="0.25">
      <c r="A186" s="9">
        <v>43893</v>
      </c>
      <c r="B186" s="3"/>
      <c r="C186" s="3"/>
      <c r="D186" s="3"/>
      <c r="E186" s="3"/>
      <c r="F186" s="3"/>
      <c r="G186" s="3"/>
      <c r="H186" s="3"/>
      <c r="I186" s="3"/>
      <c r="J186" s="23">
        <v>43893</v>
      </c>
      <c r="K186" s="24"/>
      <c r="L186" s="24"/>
      <c r="M186" s="24"/>
      <c r="N186" s="24"/>
      <c r="O186" s="24"/>
      <c r="P186" s="24"/>
      <c r="Q186" s="24"/>
      <c r="R186" s="24"/>
      <c r="S186" s="10"/>
      <c r="T186" s="25">
        <v>0.39645833333333319</v>
      </c>
      <c r="U186" s="25">
        <v>0.49514583333333323</v>
      </c>
      <c r="V186" s="25">
        <v>0.55085416666666676</v>
      </c>
      <c r="W186" s="25">
        <v>0.55660416666666668</v>
      </c>
      <c r="X186" s="25">
        <v>0.55381249999999993</v>
      </c>
      <c r="Y186" s="25">
        <v>0.43410416666666635</v>
      </c>
      <c r="Z186" s="25">
        <v>0.43424999999999986</v>
      </c>
      <c r="AA186" s="25">
        <v>0.37395833333333345</v>
      </c>
      <c r="AB186" s="25">
        <v>0.36397727272727276</v>
      </c>
      <c r="AC186" s="25">
        <v>0.18889583333333326</v>
      </c>
      <c r="AD186" s="25">
        <v>0.33964583333333337</v>
      </c>
      <c r="AE186" s="27">
        <f t="shared" si="6"/>
        <v>0.47513541666666659</v>
      </c>
      <c r="AF186" s="27">
        <f t="shared" si="7"/>
        <v>0.4741527777777777</v>
      </c>
      <c r="AG186" s="27">
        <f t="shared" si="8"/>
        <v>0.47433143939393929</v>
      </c>
    </row>
    <row r="187" spans="1:33" x14ac:dyDescent="0.25">
      <c r="A187" s="9">
        <v>43894</v>
      </c>
      <c r="B187" s="3"/>
      <c r="C187" s="3"/>
      <c r="D187" s="3"/>
      <c r="E187" s="3"/>
      <c r="F187" s="3"/>
      <c r="G187" s="3"/>
      <c r="H187" s="3"/>
      <c r="I187" s="3"/>
      <c r="J187" s="23">
        <v>43894</v>
      </c>
      <c r="K187" s="24"/>
      <c r="L187" s="24"/>
      <c r="M187" s="24"/>
      <c r="N187" s="24"/>
      <c r="O187" s="24"/>
      <c r="P187" s="24"/>
      <c r="Q187" s="24"/>
      <c r="R187" s="24"/>
      <c r="S187" s="10"/>
      <c r="T187" s="25">
        <v>0.3900624999999997</v>
      </c>
      <c r="U187" s="25">
        <v>0.48897916666666646</v>
      </c>
      <c r="V187" s="25">
        <v>0.54499999999999982</v>
      </c>
      <c r="W187" s="25">
        <v>0.55391666666666695</v>
      </c>
      <c r="X187" s="25">
        <v>0.54681249999999981</v>
      </c>
      <c r="Y187" s="25">
        <v>0.43006249999999963</v>
      </c>
      <c r="Z187" s="25">
        <v>0.43218750000000022</v>
      </c>
      <c r="AA187" s="25">
        <v>0.37277083333333322</v>
      </c>
      <c r="AB187" s="25">
        <v>0.35958974358974377</v>
      </c>
      <c r="AC187" s="25">
        <v>0.18387499999999998</v>
      </c>
      <c r="AD187" s="25">
        <v>0.32993750000000022</v>
      </c>
      <c r="AE187" s="27">
        <f t="shared" si="6"/>
        <v>0.46843749999999973</v>
      </c>
      <c r="AF187" s="27">
        <f t="shared" si="7"/>
        <v>0.47048611111111099</v>
      </c>
      <c r="AG187" s="27">
        <f t="shared" si="8"/>
        <v>0.47011363636363629</v>
      </c>
    </row>
    <row r="188" spans="1:33" x14ac:dyDescent="0.25">
      <c r="A188" s="9">
        <v>43895</v>
      </c>
      <c r="B188" s="3"/>
      <c r="C188" s="3"/>
      <c r="D188" s="3"/>
      <c r="E188" s="3"/>
      <c r="F188" s="3"/>
      <c r="G188" s="3"/>
      <c r="H188" s="3"/>
      <c r="I188" s="3"/>
      <c r="J188" s="23">
        <v>43895</v>
      </c>
      <c r="K188" s="24"/>
      <c r="L188" s="24"/>
      <c r="M188" s="24"/>
      <c r="N188" s="24"/>
      <c r="O188" s="24"/>
      <c r="P188" s="24"/>
      <c r="Q188" s="24"/>
      <c r="R188" s="24"/>
      <c r="S188" s="10"/>
      <c r="T188" s="25">
        <v>0.38739583333333355</v>
      </c>
      <c r="U188" s="25">
        <v>0.48560416666666645</v>
      </c>
      <c r="V188" s="25">
        <v>0.54187500000000011</v>
      </c>
      <c r="W188" s="25">
        <v>0.55108333333333315</v>
      </c>
      <c r="X188" s="25">
        <v>0.5432916666666664</v>
      </c>
      <c r="Y188" s="25">
        <v>0.42789583333333342</v>
      </c>
      <c r="Z188" s="25">
        <v>0.43045833333333311</v>
      </c>
      <c r="AA188" s="25">
        <v>0.3718541666666666</v>
      </c>
      <c r="AB188" s="25">
        <v>0.35673809523809502</v>
      </c>
      <c r="AC188" s="25">
        <v>0.17872916666666661</v>
      </c>
      <c r="AD188" s="25">
        <v>0.32193749999999993</v>
      </c>
      <c r="AE188" s="27">
        <f t="shared" si="6"/>
        <v>0.46534374999999994</v>
      </c>
      <c r="AF188" s="27">
        <f t="shared" si="7"/>
        <v>0.46812847222222215</v>
      </c>
      <c r="AG188" s="27">
        <f t="shared" si="8"/>
        <v>0.46762215909090904</v>
      </c>
    </row>
    <row r="189" spans="1:33" x14ac:dyDescent="0.25">
      <c r="A189" s="9">
        <v>43896</v>
      </c>
      <c r="B189" s="3"/>
      <c r="C189" s="3"/>
      <c r="D189" s="3"/>
      <c r="E189" s="3"/>
      <c r="F189" s="3"/>
      <c r="G189" s="3"/>
      <c r="H189" s="3"/>
      <c r="I189" s="3"/>
      <c r="J189" s="23">
        <v>43896</v>
      </c>
      <c r="K189" s="24"/>
      <c r="L189" s="24"/>
      <c r="M189" s="24"/>
      <c r="N189" s="24"/>
      <c r="O189" s="24"/>
      <c r="P189" s="24"/>
      <c r="Q189" s="24"/>
      <c r="R189" s="24"/>
      <c r="S189" s="10"/>
      <c r="T189" s="25">
        <v>0.38929166666666687</v>
      </c>
      <c r="U189" s="25">
        <v>0.48624999999999979</v>
      </c>
      <c r="V189" s="25">
        <v>0.54177083333333376</v>
      </c>
      <c r="W189" s="25">
        <v>0.54960416666666667</v>
      </c>
      <c r="X189" s="25">
        <v>0.54581250000000003</v>
      </c>
      <c r="Y189" s="25">
        <v>0.42804166666666671</v>
      </c>
      <c r="Z189" s="25">
        <v>0.42916666666666653</v>
      </c>
      <c r="AA189" s="25">
        <v>0.3709583333333335</v>
      </c>
      <c r="AB189" s="25">
        <v>0.35744736842105274</v>
      </c>
      <c r="AC189" s="25">
        <v>0.17602500000000001</v>
      </c>
      <c r="AD189" s="25">
        <v>0.31877083333333334</v>
      </c>
      <c r="AE189" s="27">
        <f t="shared" si="6"/>
        <v>0.46755208333333342</v>
      </c>
      <c r="AF189" s="27">
        <f t="shared" si="7"/>
        <v>0.4676319444444445</v>
      </c>
      <c r="AG189" s="27">
        <f t="shared" si="8"/>
        <v>0.46761742424242431</v>
      </c>
    </row>
    <row r="190" spans="1:33" x14ac:dyDescent="0.25">
      <c r="A190" s="9">
        <v>43897</v>
      </c>
      <c r="B190" s="3"/>
      <c r="C190" s="3"/>
      <c r="D190" s="3"/>
      <c r="E190" s="3"/>
      <c r="F190" s="3"/>
      <c r="G190" s="3"/>
      <c r="H190" s="3"/>
      <c r="I190" s="3"/>
      <c r="J190" s="23">
        <v>43897</v>
      </c>
      <c r="K190" s="24"/>
      <c r="L190" s="24"/>
      <c r="M190" s="24"/>
      <c r="N190" s="24"/>
      <c r="O190" s="24"/>
      <c r="P190" s="24"/>
      <c r="Q190" s="24"/>
      <c r="R190" s="24"/>
      <c r="S190" s="10"/>
      <c r="T190" s="25">
        <v>0.39439583333333322</v>
      </c>
      <c r="U190" s="25">
        <v>0.49214583333333328</v>
      </c>
      <c r="V190" s="25">
        <v>0.54733333333333356</v>
      </c>
      <c r="W190" s="25">
        <v>0.55272916666666705</v>
      </c>
      <c r="X190" s="25">
        <v>0.55197916666666669</v>
      </c>
      <c r="Y190" s="25">
        <v>0.43208333333333343</v>
      </c>
      <c r="Z190" s="25">
        <v>0.43127083333333305</v>
      </c>
      <c r="AA190" s="25">
        <v>0.37127083333333344</v>
      </c>
      <c r="AB190" s="25">
        <v>0.35365624999999989</v>
      </c>
      <c r="AC190" s="25">
        <v>0.16657692307692298</v>
      </c>
      <c r="AD190" s="25">
        <v>0.31106249999999996</v>
      </c>
      <c r="AE190" s="27">
        <f t="shared" si="6"/>
        <v>0.47318749999999998</v>
      </c>
      <c r="AF190" s="27">
        <f t="shared" si="7"/>
        <v>0.47113888888888894</v>
      </c>
      <c r="AG190" s="27">
        <f t="shared" si="8"/>
        <v>0.47151136363636365</v>
      </c>
    </row>
    <row r="191" spans="1:33" x14ac:dyDescent="0.25">
      <c r="A191" s="9">
        <v>43898</v>
      </c>
      <c r="B191" s="3"/>
      <c r="C191" s="3"/>
      <c r="D191" s="3"/>
      <c r="E191" s="3"/>
      <c r="F191" s="3"/>
      <c r="G191" s="3"/>
      <c r="H191" s="3"/>
      <c r="I191" s="3"/>
      <c r="J191" s="23">
        <v>43898</v>
      </c>
      <c r="K191" s="24"/>
      <c r="L191" s="24"/>
      <c r="M191" s="24"/>
      <c r="N191" s="24"/>
      <c r="O191" s="24"/>
      <c r="P191" s="24"/>
      <c r="Q191" s="24"/>
      <c r="R191" s="24"/>
      <c r="S191" s="10"/>
      <c r="T191" s="25">
        <v>0.3957083333333335</v>
      </c>
      <c r="U191" s="25">
        <v>0.4950416666666666</v>
      </c>
      <c r="V191" s="25">
        <v>0.55045833333333327</v>
      </c>
      <c r="W191" s="25">
        <v>0.55516666666666659</v>
      </c>
      <c r="X191" s="25">
        <v>0.55414583333333323</v>
      </c>
      <c r="Y191" s="25">
        <v>0.43414583333333306</v>
      </c>
      <c r="Z191" s="25">
        <v>0.43299999999999988</v>
      </c>
      <c r="AA191" s="25">
        <v>0.37187499999999996</v>
      </c>
      <c r="AB191" s="25">
        <v>0.34520000000000006</v>
      </c>
      <c r="AC191" s="25">
        <v>0.15723999999999999</v>
      </c>
      <c r="AD191" s="25">
        <v>0.30010416666666667</v>
      </c>
      <c r="AE191" s="27">
        <f t="shared" si="6"/>
        <v>0.47492708333333333</v>
      </c>
      <c r="AF191" s="27">
        <f t="shared" si="7"/>
        <v>0.47328124999999988</v>
      </c>
      <c r="AG191" s="27">
        <f t="shared" si="8"/>
        <v>0.47358049242424238</v>
      </c>
    </row>
    <row r="192" spans="1:33" x14ac:dyDescent="0.25">
      <c r="A192" s="9">
        <v>43899</v>
      </c>
      <c r="B192" s="3"/>
      <c r="C192" s="3"/>
      <c r="D192" s="3"/>
      <c r="E192" s="3"/>
      <c r="F192" s="3"/>
      <c r="G192" s="3"/>
      <c r="H192" s="3"/>
      <c r="I192" s="3"/>
      <c r="J192" s="23">
        <v>43899</v>
      </c>
      <c r="K192" s="24"/>
      <c r="L192" s="24"/>
      <c r="M192" s="24"/>
      <c r="N192" s="24"/>
      <c r="O192" s="24"/>
      <c r="P192" s="24"/>
      <c r="Q192" s="24"/>
      <c r="R192" s="24"/>
      <c r="S192" s="10"/>
      <c r="T192" s="25">
        <v>0.39449999999999985</v>
      </c>
      <c r="U192" s="25">
        <v>0.49554166666666671</v>
      </c>
      <c r="V192" s="25">
        <v>0.55224999999999957</v>
      </c>
      <c r="W192" s="25">
        <v>0.5577291666666665</v>
      </c>
      <c r="X192" s="25">
        <v>0.55339583333333331</v>
      </c>
      <c r="Y192" s="25">
        <v>0.43495833333333284</v>
      </c>
      <c r="Z192" s="25">
        <v>0.4343125000000001</v>
      </c>
      <c r="AA192" s="25">
        <v>0.3722083333333332</v>
      </c>
      <c r="AB192" s="25">
        <v>0.33233333333333337</v>
      </c>
      <c r="AC192" s="25">
        <v>0.14874999999999999</v>
      </c>
      <c r="AD192" s="25">
        <v>0.28637500000000005</v>
      </c>
      <c r="AE192" s="27">
        <f t="shared" si="6"/>
        <v>0.47394791666666658</v>
      </c>
      <c r="AF192" s="27">
        <f t="shared" si="7"/>
        <v>0.47449999999999976</v>
      </c>
      <c r="AG192" s="27">
        <f t="shared" si="8"/>
        <v>0.47439962121212098</v>
      </c>
    </row>
    <row r="193" spans="1:33" x14ac:dyDescent="0.25">
      <c r="A193" s="9">
        <v>43900</v>
      </c>
      <c r="B193" s="3"/>
      <c r="C193" s="3"/>
      <c r="D193" s="3"/>
      <c r="E193" s="3"/>
      <c r="F193" s="3"/>
      <c r="G193" s="3"/>
      <c r="H193" s="3"/>
      <c r="I193" s="3"/>
      <c r="J193" s="23">
        <v>43900</v>
      </c>
      <c r="K193" s="24"/>
      <c r="L193" s="24"/>
      <c r="M193" s="24"/>
      <c r="N193" s="24"/>
      <c r="O193" s="24"/>
      <c r="P193" s="24"/>
      <c r="Q193" s="24"/>
      <c r="R193" s="24"/>
      <c r="S193" s="10"/>
      <c r="T193" s="25">
        <v>0.38762500000000011</v>
      </c>
      <c r="U193" s="25">
        <v>0.49045833333333327</v>
      </c>
      <c r="V193" s="25">
        <v>0.54889583333333336</v>
      </c>
      <c r="W193" s="25">
        <v>0.55731249999999977</v>
      </c>
      <c r="X193" s="25">
        <v>0.54643750000000013</v>
      </c>
      <c r="Y193" s="25">
        <v>0.43189583333333309</v>
      </c>
      <c r="Z193" s="25">
        <v>0.43366666666666642</v>
      </c>
      <c r="AA193" s="25">
        <v>0.37229166666666663</v>
      </c>
      <c r="AB193" s="25">
        <v>0.32062500000000016</v>
      </c>
      <c r="AC193" s="25">
        <v>0.14265789473684209</v>
      </c>
      <c r="AD193" s="25">
        <v>0.27558333333333351</v>
      </c>
      <c r="AE193" s="27">
        <f t="shared" si="6"/>
        <v>0.46703125000000012</v>
      </c>
      <c r="AF193" s="27">
        <f t="shared" si="7"/>
        <v>0.47242013888888867</v>
      </c>
      <c r="AG193" s="27">
        <f t="shared" si="8"/>
        <v>0.47144034090909076</v>
      </c>
    </row>
    <row r="194" spans="1:33" x14ac:dyDescent="0.25">
      <c r="A194" s="9">
        <v>43901</v>
      </c>
      <c r="B194" s="3"/>
      <c r="C194" s="3"/>
      <c r="D194" s="3"/>
      <c r="E194" s="3"/>
      <c r="F194" s="3"/>
      <c r="G194" s="3"/>
      <c r="H194" s="3"/>
      <c r="I194" s="3"/>
      <c r="J194" s="23">
        <v>43901</v>
      </c>
      <c r="K194" s="24"/>
      <c r="L194" s="24"/>
      <c r="M194" s="24"/>
      <c r="N194" s="24"/>
      <c r="O194" s="24"/>
      <c r="P194" s="24"/>
      <c r="Q194" s="24"/>
      <c r="R194" s="24"/>
      <c r="S194" s="10"/>
      <c r="T194" s="25">
        <v>0.38170833333333337</v>
      </c>
      <c r="U194" s="25">
        <v>0.48395833333333349</v>
      </c>
      <c r="V194" s="25">
        <v>0.54302083333333362</v>
      </c>
      <c r="W194" s="25">
        <v>0.55400000000000027</v>
      </c>
      <c r="X194" s="25">
        <v>0.53960416666666666</v>
      </c>
      <c r="Y194" s="25">
        <v>0.42793750000000003</v>
      </c>
      <c r="Z194" s="25">
        <v>0.43135416666666648</v>
      </c>
      <c r="AA194" s="25">
        <v>0.3709791666666668</v>
      </c>
      <c r="AB194" s="25">
        <v>0.31397916666666686</v>
      </c>
      <c r="AC194" s="25">
        <v>0.14078048780487804</v>
      </c>
      <c r="AD194" s="25">
        <v>0.27037499999999975</v>
      </c>
      <c r="AE194" s="27">
        <f t="shared" si="6"/>
        <v>0.46065624999999999</v>
      </c>
      <c r="AF194" s="27">
        <f t="shared" si="7"/>
        <v>0.4685416666666668</v>
      </c>
      <c r="AG194" s="27">
        <f t="shared" si="8"/>
        <v>0.46710795454545462</v>
      </c>
    </row>
    <row r="195" spans="1:33" x14ac:dyDescent="0.25">
      <c r="A195" s="9">
        <v>43902</v>
      </c>
      <c r="B195" s="3"/>
      <c r="C195" s="3"/>
      <c r="D195" s="3"/>
      <c r="E195" s="3"/>
      <c r="F195" s="3"/>
      <c r="G195" s="3"/>
      <c r="H195" s="3"/>
      <c r="I195" s="3"/>
      <c r="J195" s="23">
        <v>43902</v>
      </c>
      <c r="K195" s="24"/>
      <c r="L195" s="24"/>
      <c r="M195" s="24"/>
      <c r="N195" s="24"/>
      <c r="O195" s="24"/>
      <c r="P195" s="24"/>
      <c r="Q195" s="24"/>
      <c r="R195" s="24"/>
      <c r="S195" s="10"/>
      <c r="T195" s="25">
        <v>0.38085416666666677</v>
      </c>
      <c r="U195" s="25">
        <v>0.48239583333333319</v>
      </c>
      <c r="V195" s="25">
        <v>0.54093750000000007</v>
      </c>
      <c r="W195" s="25">
        <v>0.55152083333333268</v>
      </c>
      <c r="X195" s="25">
        <v>0.53920833333333362</v>
      </c>
      <c r="Y195" s="25">
        <v>0.42664583333333345</v>
      </c>
      <c r="Z195" s="25">
        <v>0.42962499999999965</v>
      </c>
      <c r="AA195" s="25">
        <v>0.37010416666666646</v>
      </c>
      <c r="AB195" s="25">
        <v>0.31146808510638302</v>
      </c>
      <c r="AC195" s="25">
        <v>0.1406363636363637</v>
      </c>
      <c r="AD195" s="25">
        <v>0.26952083333333354</v>
      </c>
      <c r="AE195" s="27">
        <f t="shared" si="6"/>
        <v>0.46003125000000022</v>
      </c>
      <c r="AF195" s="27">
        <f t="shared" si="7"/>
        <v>0.46687152777777757</v>
      </c>
      <c r="AG195" s="27">
        <f t="shared" si="8"/>
        <v>0.46562784090909076</v>
      </c>
    </row>
    <row r="196" spans="1:33" x14ac:dyDescent="0.25">
      <c r="A196" s="9">
        <v>43903</v>
      </c>
      <c r="B196" s="3"/>
      <c r="C196" s="3"/>
      <c r="D196" s="3"/>
      <c r="E196" s="3"/>
      <c r="F196" s="3"/>
      <c r="G196" s="3"/>
      <c r="H196" s="3"/>
      <c r="I196" s="3"/>
      <c r="J196" s="23">
        <v>43903</v>
      </c>
      <c r="K196" s="24"/>
      <c r="L196" s="24"/>
      <c r="M196" s="24"/>
      <c r="N196" s="24"/>
      <c r="O196" s="24"/>
      <c r="P196" s="24"/>
      <c r="Q196" s="24"/>
      <c r="R196" s="24"/>
      <c r="S196" s="10"/>
      <c r="T196" s="25">
        <v>0.38250000000000023</v>
      </c>
      <c r="U196" s="25">
        <v>0.48466666666666702</v>
      </c>
      <c r="V196" s="25">
        <v>0.54349999999999976</v>
      </c>
      <c r="W196" s="25">
        <v>0.55281250000000048</v>
      </c>
      <c r="X196" s="25">
        <v>0.54110416666666661</v>
      </c>
      <c r="Y196" s="25">
        <v>0.42758333333333326</v>
      </c>
      <c r="Z196" s="25">
        <v>0.42999999999999977</v>
      </c>
      <c r="AA196" s="25">
        <v>0.36952083333333313</v>
      </c>
      <c r="AB196" s="25">
        <v>0.30537500000000006</v>
      </c>
      <c r="AC196" s="25">
        <v>0.13746511627906985</v>
      </c>
      <c r="AD196" s="25">
        <v>0.26589583333333328</v>
      </c>
      <c r="AE196" s="27">
        <f t="shared" si="6"/>
        <v>0.46180208333333339</v>
      </c>
      <c r="AF196" s="27">
        <f t="shared" si="7"/>
        <v>0.4680138888888889</v>
      </c>
      <c r="AG196" s="27">
        <f t="shared" si="8"/>
        <v>0.46688446969696973</v>
      </c>
    </row>
    <row r="197" spans="1:33" x14ac:dyDescent="0.25">
      <c r="A197" s="9">
        <v>43904</v>
      </c>
      <c r="B197" s="3"/>
      <c r="C197" s="3"/>
      <c r="D197" s="3"/>
      <c r="E197" s="3"/>
      <c r="F197" s="3"/>
      <c r="G197" s="3"/>
      <c r="H197" s="3"/>
      <c r="I197" s="3"/>
      <c r="J197" s="23">
        <v>43904</v>
      </c>
      <c r="K197" s="24"/>
      <c r="L197" s="24"/>
      <c r="M197" s="24"/>
      <c r="N197" s="24"/>
      <c r="O197" s="24"/>
      <c r="P197" s="24"/>
      <c r="Q197" s="24"/>
      <c r="R197" s="24"/>
      <c r="S197" s="10"/>
      <c r="T197" s="25">
        <v>0.37854166666666672</v>
      </c>
      <c r="U197" s="25">
        <v>0.4822291666666671</v>
      </c>
      <c r="V197" s="25">
        <v>0.541875</v>
      </c>
      <c r="W197" s="25">
        <v>0.55254166666666671</v>
      </c>
      <c r="X197" s="25">
        <v>0.53741666666666676</v>
      </c>
      <c r="Y197" s="25">
        <v>0.42614583333333328</v>
      </c>
      <c r="Z197" s="25">
        <v>0.42968749999999956</v>
      </c>
      <c r="AA197" s="25">
        <v>0.36906249999999985</v>
      </c>
      <c r="AB197" s="25">
        <v>0.2967291666666666</v>
      </c>
      <c r="AC197" s="25">
        <v>0.13468749999999999</v>
      </c>
      <c r="AD197" s="25">
        <v>0.26131249999999989</v>
      </c>
      <c r="AE197" s="27">
        <f t="shared" si="6"/>
        <v>0.45797916666666671</v>
      </c>
      <c r="AF197" s="27">
        <f t="shared" si="7"/>
        <v>0.46692361111111103</v>
      </c>
      <c r="AG197" s="27">
        <f t="shared" si="8"/>
        <v>0.46529734848484838</v>
      </c>
    </row>
    <row r="198" spans="1:33" x14ac:dyDescent="0.25">
      <c r="A198" s="9">
        <v>43905</v>
      </c>
      <c r="B198" s="3"/>
      <c r="C198" s="3"/>
      <c r="D198" s="3"/>
      <c r="E198" s="3"/>
      <c r="F198" s="3"/>
      <c r="G198" s="3"/>
      <c r="H198" s="3"/>
      <c r="I198" s="3"/>
      <c r="J198" s="23">
        <v>43905</v>
      </c>
      <c r="K198" s="24">
        <v>22.020833333333332</v>
      </c>
      <c r="L198" s="24">
        <v>85.443750000000023</v>
      </c>
      <c r="M198" s="24">
        <v>10.11875</v>
      </c>
      <c r="N198" s="24">
        <v>0.60000000000000009</v>
      </c>
      <c r="O198" s="24">
        <v>225</v>
      </c>
      <c r="P198" s="24">
        <v>6.5</v>
      </c>
      <c r="Q198" s="24">
        <v>0.5</v>
      </c>
      <c r="R198" s="24">
        <v>7.75</v>
      </c>
      <c r="S198" s="10">
        <v>0.18291609093626657</v>
      </c>
      <c r="T198" s="25">
        <v>0.37456250000000008</v>
      </c>
      <c r="U198" s="25">
        <v>0.47900000000000031</v>
      </c>
      <c r="V198" s="25">
        <v>0.53927083333333325</v>
      </c>
      <c r="W198" s="25">
        <v>0.55131249999999932</v>
      </c>
      <c r="X198" s="25">
        <v>0.53341666666666676</v>
      </c>
      <c r="Y198" s="25">
        <v>0.42366666666666641</v>
      </c>
      <c r="Z198" s="25">
        <v>0.42860416666666706</v>
      </c>
      <c r="AA198" s="25">
        <v>0.36883333333333329</v>
      </c>
      <c r="AB198" s="25">
        <v>0.28882222222222242</v>
      </c>
      <c r="AC198" s="25">
        <v>0.13222916666666659</v>
      </c>
      <c r="AD198" s="25">
        <v>0.25793749999999976</v>
      </c>
      <c r="AE198" s="27">
        <f t="shared" ref="AE198:AE261" si="9">AVERAGE(T198,X198)</f>
        <v>0.45398958333333339</v>
      </c>
      <c r="AF198" s="27">
        <f t="shared" ref="AF198:AF261" si="10">AVERAGE(U198:W198,Y198:AA198)</f>
        <v>0.46511458333333328</v>
      </c>
      <c r="AG198" s="27">
        <f t="shared" ref="AG198:AG261" si="11">(AE198*10+AF198*45)/55</f>
        <v>0.46309185606060599</v>
      </c>
    </row>
    <row r="199" spans="1:33" x14ac:dyDescent="0.25">
      <c r="A199" s="9">
        <v>43906</v>
      </c>
      <c r="B199" s="3"/>
      <c r="C199" s="3"/>
      <c r="D199" s="3"/>
      <c r="E199" s="3"/>
      <c r="F199" s="3"/>
      <c r="G199" s="3"/>
      <c r="H199" s="3"/>
      <c r="I199" s="3"/>
      <c r="J199" s="23">
        <v>43906</v>
      </c>
      <c r="K199" s="24">
        <v>28.75</v>
      </c>
      <c r="L199" s="24">
        <v>96.06666666666672</v>
      </c>
      <c r="M199" s="24">
        <v>9.8208333333333346</v>
      </c>
      <c r="N199" s="24">
        <v>2.3000000000000003</v>
      </c>
      <c r="O199" s="24">
        <v>194.9375</v>
      </c>
      <c r="P199" s="24">
        <v>4.041666666666667</v>
      </c>
      <c r="Q199" s="24">
        <v>0</v>
      </c>
      <c r="R199" s="24">
        <v>9.2124999999999968</v>
      </c>
      <c r="S199" s="10">
        <v>4.8858355736501623E-2</v>
      </c>
      <c r="T199" s="25">
        <v>0.37147916666666675</v>
      </c>
      <c r="U199" s="25">
        <v>0.47645833333333282</v>
      </c>
      <c r="V199" s="25">
        <v>0.53729166666666661</v>
      </c>
      <c r="W199" s="25">
        <v>0.5500833333333337</v>
      </c>
      <c r="X199" s="25">
        <v>0.53077083333333297</v>
      </c>
      <c r="Y199" s="25">
        <v>0.42187500000000017</v>
      </c>
      <c r="Z199" s="25">
        <v>0.42733333333333312</v>
      </c>
      <c r="AA199" s="25">
        <v>0.36868749999999983</v>
      </c>
      <c r="AB199" s="25">
        <v>0.28682051282051296</v>
      </c>
      <c r="AC199" s="25">
        <v>0.13212500000000002</v>
      </c>
      <c r="AD199" s="25">
        <v>0.2566458333333333</v>
      </c>
      <c r="AE199" s="27">
        <f t="shared" si="9"/>
        <v>0.45112499999999989</v>
      </c>
      <c r="AF199" s="27">
        <f t="shared" si="10"/>
        <v>0.46362152777777776</v>
      </c>
      <c r="AG199" s="27">
        <f t="shared" si="11"/>
        <v>0.46134943181818178</v>
      </c>
    </row>
    <row r="200" spans="1:33" x14ac:dyDescent="0.25">
      <c r="A200" s="9">
        <v>43907</v>
      </c>
      <c r="B200" s="3"/>
      <c r="C200" s="3"/>
      <c r="D200" s="3"/>
      <c r="E200" s="3"/>
      <c r="F200" s="3"/>
      <c r="G200" s="3"/>
      <c r="H200" s="3"/>
      <c r="I200" s="3"/>
      <c r="J200" s="23">
        <v>43907</v>
      </c>
      <c r="K200" s="24">
        <v>68.104166666666671</v>
      </c>
      <c r="L200" s="24">
        <v>83.28958333333334</v>
      </c>
      <c r="M200" s="24">
        <v>9.7541666666666664</v>
      </c>
      <c r="N200" s="24">
        <v>1.2</v>
      </c>
      <c r="O200" s="24">
        <v>176.58333333333334</v>
      </c>
      <c r="P200" s="24">
        <v>3.7083333333333335</v>
      </c>
      <c r="Q200" s="24">
        <v>0</v>
      </c>
      <c r="R200" s="24">
        <v>6.9333333333333336</v>
      </c>
      <c r="S200" s="10">
        <v>0.21605204823359239</v>
      </c>
      <c r="T200" s="25">
        <v>0.36929166666666657</v>
      </c>
      <c r="U200" s="25">
        <v>0.47462500000000002</v>
      </c>
      <c r="V200" s="25">
        <v>0.53520833333333295</v>
      </c>
      <c r="W200" s="25">
        <v>0.54835416666666692</v>
      </c>
      <c r="X200" s="25">
        <v>0.52843749999999978</v>
      </c>
      <c r="Y200" s="25">
        <v>0.42050000000000032</v>
      </c>
      <c r="Z200" s="25">
        <v>0.4264999999999996</v>
      </c>
      <c r="AA200" s="25">
        <v>0.36762500000000037</v>
      </c>
      <c r="AB200" s="25">
        <v>0.28802702702702715</v>
      </c>
      <c r="AC200" s="25">
        <v>0.13654166666666676</v>
      </c>
      <c r="AD200" s="25">
        <v>0.25666666666666649</v>
      </c>
      <c r="AE200" s="27">
        <f t="shared" si="9"/>
        <v>0.44886458333333318</v>
      </c>
      <c r="AF200" s="27">
        <f t="shared" si="10"/>
        <v>0.46213541666666669</v>
      </c>
      <c r="AG200" s="27">
        <f t="shared" si="11"/>
        <v>0.45972253787878786</v>
      </c>
    </row>
    <row r="201" spans="1:33" x14ac:dyDescent="0.25">
      <c r="A201" s="9">
        <v>43908</v>
      </c>
      <c r="B201" s="3"/>
      <c r="C201" s="3"/>
      <c r="D201" s="3"/>
      <c r="E201" s="3"/>
      <c r="F201" s="3"/>
      <c r="G201" s="3"/>
      <c r="H201" s="3"/>
      <c r="I201" s="3"/>
      <c r="J201" s="23">
        <v>43908</v>
      </c>
      <c r="K201" s="24">
        <v>58.208333333333336</v>
      </c>
      <c r="L201" s="24">
        <v>80.291666666666686</v>
      </c>
      <c r="M201" s="24">
        <v>10.597916666666668</v>
      </c>
      <c r="N201" s="24">
        <v>0</v>
      </c>
      <c r="O201" s="24">
        <v>154.20833333333334</v>
      </c>
      <c r="P201" s="24">
        <v>1.2916666666666667</v>
      </c>
      <c r="Q201" s="24">
        <v>0</v>
      </c>
      <c r="R201" s="24">
        <v>7.2729166666666663</v>
      </c>
      <c r="S201" s="10">
        <v>0.26643627566450007</v>
      </c>
      <c r="T201" s="25">
        <v>0.36706250000000012</v>
      </c>
      <c r="U201" s="25">
        <v>0.47293750000000023</v>
      </c>
      <c r="V201" s="25">
        <v>0.53364583333333393</v>
      </c>
      <c r="W201" s="25">
        <v>0.54668749999999999</v>
      </c>
      <c r="X201" s="25">
        <v>0.52668750000000031</v>
      </c>
      <c r="Y201" s="25">
        <v>0.41935416666666692</v>
      </c>
      <c r="Z201" s="25">
        <v>0.42512500000000003</v>
      </c>
      <c r="AA201" s="25">
        <v>0.36662499999999998</v>
      </c>
      <c r="AB201" s="25">
        <v>0.2840625</v>
      </c>
      <c r="AC201" s="25">
        <v>0.13641304347826094</v>
      </c>
      <c r="AD201" s="25">
        <v>0.25620833333333309</v>
      </c>
      <c r="AE201" s="27">
        <f t="shared" si="9"/>
        <v>0.44687500000000024</v>
      </c>
      <c r="AF201" s="27">
        <f t="shared" si="10"/>
        <v>0.46072916666666686</v>
      </c>
      <c r="AG201" s="27">
        <f t="shared" si="11"/>
        <v>0.45821022727272748</v>
      </c>
    </row>
    <row r="202" spans="1:33" x14ac:dyDescent="0.25">
      <c r="A202" s="9">
        <v>43909</v>
      </c>
      <c r="B202" s="3"/>
      <c r="C202" s="3"/>
      <c r="D202" s="3"/>
      <c r="E202" s="3"/>
      <c r="F202" s="3"/>
      <c r="G202" s="3"/>
      <c r="H202" s="3"/>
      <c r="I202" s="3"/>
      <c r="J202" s="23">
        <v>43909</v>
      </c>
      <c r="K202" s="24">
        <v>200.02083333333334</v>
      </c>
      <c r="L202" s="24">
        <v>56.233333333333327</v>
      </c>
      <c r="M202" s="24">
        <v>14.375000000000002</v>
      </c>
      <c r="N202" s="24">
        <v>0</v>
      </c>
      <c r="O202" s="24">
        <v>211.79166666666666</v>
      </c>
      <c r="P202" s="24">
        <v>6.395833333333333</v>
      </c>
      <c r="Q202" s="24">
        <v>0.45833333333333331</v>
      </c>
      <c r="R202" s="24">
        <v>5.2916666666666661</v>
      </c>
      <c r="S202" s="10">
        <v>0.79642434573591825</v>
      </c>
      <c r="T202" s="25">
        <v>0.36600000000000005</v>
      </c>
      <c r="U202" s="25">
        <v>0.47191666666666676</v>
      </c>
      <c r="V202" s="25">
        <v>0.53295833333333331</v>
      </c>
      <c r="W202" s="25">
        <v>0.54564583333333372</v>
      </c>
      <c r="X202" s="25">
        <v>0.52729166666666671</v>
      </c>
      <c r="Y202" s="25">
        <v>0.41877083333333348</v>
      </c>
      <c r="Z202" s="25">
        <v>0.42358333333333292</v>
      </c>
      <c r="AA202" s="25">
        <v>0.36562499999999981</v>
      </c>
      <c r="AB202" s="25">
        <v>0.27937777777777778</v>
      </c>
      <c r="AC202" s="25">
        <v>0.13535135135135129</v>
      </c>
      <c r="AD202" s="25">
        <v>0.25660416666666658</v>
      </c>
      <c r="AE202" s="27">
        <f t="shared" si="9"/>
        <v>0.44664583333333341</v>
      </c>
      <c r="AF202" s="27">
        <f t="shared" si="10"/>
        <v>0.45975000000000005</v>
      </c>
      <c r="AG202" s="27">
        <f t="shared" si="11"/>
        <v>0.45736742424242427</v>
      </c>
    </row>
    <row r="203" spans="1:33" x14ac:dyDescent="0.25">
      <c r="A203" s="9">
        <v>43910</v>
      </c>
      <c r="B203" s="3"/>
      <c r="C203" s="3"/>
      <c r="D203" s="3"/>
      <c r="E203" s="3"/>
      <c r="F203" s="3"/>
      <c r="G203" s="3"/>
      <c r="H203" s="3"/>
      <c r="I203" s="3"/>
      <c r="J203" s="23">
        <v>43910</v>
      </c>
      <c r="K203" s="24">
        <v>218.20833333333334</v>
      </c>
      <c r="L203" s="24">
        <v>65.079166666666666</v>
      </c>
      <c r="M203" s="24">
        <v>16.197916666666661</v>
      </c>
      <c r="N203" s="24">
        <v>0</v>
      </c>
      <c r="O203" s="24">
        <v>215.27083333333334</v>
      </c>
      <c r="P203" s="24">
        <v>10.3125</v>
      </c>
      <c r="Q203" s="24">
        <v>1.2708333333333333</v>
      </c>
      <c r="R203" s="24">
        <v>9.2854166666666664</v>
      </c>
      <c r="S203" s="10">
        <v>0.73107550114578101</v>
      </c>
      <c r="T203" s="25">
        <v>0.3675416666666666</v>
      </c>
      <c r="U203" s="25">
        <v>0.47443750000000023</v>
      </c>
      <c r="V203" s="25">
        <v>0.53568749999999998</v>
      </c>
      <c r="W203" s="25">
        <v>0.54666666666666675</v>
      </c>
      <c r="X203" s="25">
        <v>0.53035416666666635</v>
      </c>
      <c r="Y203" s="25">
        <v>0.41968750000000027</v>
      </c>
      <c r="Z203" s="25">
        <v>0.42316666666666652</v>
      </c>
      <c r="AA203" s="25">
        <v>0.36441666666666689</v>
      </c>
      <c r="AB203" s="25">
        <v>0.27104255319148951</v>
      </c>
      <c r="AC203" s="25">
        <v>0.13292592592592592</v>
      </c>
      <c r="AD203" s="25">
        <v>0.2548541666666666</v>
      </c>
      <c r="AE203" s="27">
        <f t="shared" si="9"/>
        <v>0.44894791666666645</v>
      </c>
      <c r="AF203" s="27">
        <f t="shared" si="10"/>
        <v>0.4606770833333334</v>
      </c>
      <c r="AG203" s="27">
        <f t="shared" si="11"/>
        <v>0.4585445075757576</v>
      </c>
    </row>
    <row r="204" spans="1:33" x14ac:dyDescent="0.25">
      <c r="A204" s="9">
        <v>43911</v>
      </c>
      <c r="B204" s="3"/>
      <c r="C204" s="3"/>
      <c r="D204" s="3"/>
      <c r="E204" s="3"/>
      <c r="F204" s="3"/>
      <c r="G204" s="3"/>
      <c r="H204" s="3"/>
      <c r="I204" s="3"/>
      <c r="J204" s="23">
        <v>43911</v>
      </c>
      <c r="K204" s="24">
        <v>212.6875</v>
      </c>
      <c r="L204" s="24">
        <v>53.683333333333358</v>
      </c>
      <c r="M204" s="24">
        <v>20.662500000000005</v>
      </c>
      <c r="N204" s="24">
        <v>0</v>
      </c>
      <c r="O204" s="24">
        <v>236.04166666666666</v>
      </c>
      <c r="P204" s="24">
        <v>17.083333333333332</v>
      </c>
      <c r="Q204" s="24">
        <v>3.4166666666666665</v>
      </c>
      <c r="R204" s="24">
        <v>8.7895833333333346</v>
      </c>
      <c r="S204" s="10">
        <v>1.3736051176552639</v>
      </c>
      <c r="T204" s="25">
        <v>0.36812499999999998</v>
      </c>
      <c r="U204" s="25">
        <v>0.4768750000000001</v>
      </c>
      <c r="V204" s="25">
        <v>0.5389166666666666</v>
      </c>
      <c r="W204" s="25">
        <v>0.54935416666666692</v>
      </c>
      <c r="X204" s="25">
        <v>0.53250000000000008</v>
      </c>
      <c r="Y204" s="25">
        <v>0.41927083333333309</v>
      </c>
      <c r="Z204" s="25">
        <v>0.42241666666666661</v>
      </c>
      <c r="AA204" s="25">
        <v>0.36333333333333323</v>
      </c>
      <c r="AB204" s="25">
        <v>0.26017021276595753</v>
      </c>
      <c r="AC204" s="25">
        <v>0.13020833333333334</v>
      </c>
      <c r="AD204" s="25">
        <v>0.25283333333333335</v>
      </c>
      <c r="AE204" s="27">
        <f t="shared" si="9"/>
        <v>0.4503125</v>
      </c>
      <c r="AF204" s="27">
        <f t="shared" si="10"/>
        <v>0.46169444444444441</v>
      </c>
      <c r="AG204" s="27">
        <f t="shared" si="11"/>
        <v>0.45962499999999995</v>
      </c>
    </row>
    <row r="205" spans="1:33" x14ac:dyDescent="0.25">
      <c r="A205" s="9">
        <v>43912</v>
      </c>
      <c r="B205" s="3"/>
      <c r="C205" s="3"/>
      <c r="D205" s="3"/>
      <c r="E205" s="3"/>
      <c r="F205" s="3"/>
      <c r="G205" s="3"/>
      <c r="H205" s="3"/>
      <c r="I205" s="3"/>
      <c r="J205" s="23">
        <v>43912</v>
      </c>
      <c r="K205" s="24">
        <v>198.20833333333334</v>
      </c>
      <c r="L205" s="24">
        <v>56.4</v>
      </c>
      <c r="M205" s="24">
        <v>20.291666666666668</v>
      </c>
      <c r="N205" s="24">
        <v>0</v>
      </c>
      <c r="O205" s="24">
        <v>247.625</v>
      </c>
      <c r="P205" s="24">
        <v>6.125</v>
      </c>
      <c r="Q205" s="24">
        <v>0.6875</v>
      </c>
      <c r="R205" s="24">
        <v>10.772916666666667</v>
      </c>
      <c r="S205" s="10">
        <v>1.1580827919251051</v>
      </c>
      <c r="T205" s="25">
        <v>0.36510416666666662</v>
      </c>
      <c r="U205" s="25">
        <v>0.47720833333333329</v>
      </c>
      <c r="V205" s="25">
        <v>0.54066666666666674</v>
      </c>
      <c r="W205" s="25">
        <v>0.55099999999999949</v>
      </c>
      <c r="X205" s="25">
        <v>0.53064583333333315</v>
      </c>
      <c r="Y205" s="25">
        <v>0.4154166666666666</v>
      </c>
      <c r="Z205" s="25">
        <v>0.42018749999999988</v>
      </c>
      <c r="AA205" s="25">
        <v>0.36125000000000002</v>
      </c>
      <c r="AB205" s="25">
        <v>0.24493617021276604</v>
      </c>
      <c r="AC205" s="25">
        <v>0.12662162162162161</v>
      </c>
      <c r="AD205" s="25">
        <v>0.24910416666666671</v>
      </c>
      <c r="AE205" s="27">
        <f t="shared" si="9"/>
        <v>0.44787499999999991</v>
      </c>
      <c r="AF205" s="27">
        <f t="shared" si="10"/>
        <v>0.460954861111111</v>
      </c>
      <c r="AG205" s="27">
        <f t="shared" si="11"/>
        <v>0.45857670454545441</v>
      </c>
    </row>
    <row r="206" spans="1:33" x14ac:dyDescent="0.25">
      <c r="A206" s="9">
        <v>43913</v>
      </c>
      <c r="B206" s="3"/>
      <c r="C206" s="3"/>
      <c r="D206" s="3"/>
      <c r="E206" s="3"/>
      <c r="F206" s="3"/>
      <c r="G206" s="3"/>
      <c r="H206" s="3"/>
      <c r="I206" s="3"/>
      <c r="J206" s="23">
        <v>43913</v>
      </c>
      <c r="K206" s="24">
        <v>109.5625</v>
      </c>
      <c r="L206" s="24">
        <v>69.549999999999983</v>
      </c>
      <c r="M206" s="24">
        <v>16.645833333333325</v>
      </c>
      <c r="N206" s="24">
        <v>0</v>
      </c>
      <c r="O206" s="24">
        <v>227.83333333333334</v>
      </c>
      <c r="P206" s="24">
        <v>8.6875</v>
      </c>
      <c r="Q206" s="24">
        <v>1.3125</v>
      </c>
      <c r="R206" s="24">
        <v>10.916666666666666</v>
      </c>
      <c r="S206" s="10">
        <v>0.6089704374276802</v>
      </c>
      <c r="T206" s="25">
        <v>0.35916666666666658</v>
      </c>
      <c r="U206" s="25">
        <v>0.47614583333333343</v>
      </c>
      <c r="V206" s="25">
        <v>0.54104166666666642</v>
      </c>
      <c r="W206" s="25">
        <v>0.55302083333333385</v>
      </c>
      <c r="X206" s="25">
        <v>0.52527083333333346</v>
      </c>
      <c r="Y206" s="25">
        <v>0.41027083333333331</v>
      </c>
      <c r="Z206" s="25">
        <v>0.41781249999999998</v>
      </c>
      <c r="AA206" s="25">
        <v>0.35933333333333345</v>
      </c>
      <c r="AB206" s="25">
        <v>0.23206250000000003</v>
      </c>
      <c r="AC206" s="25">
        <v>0.12351724137931036</v>
      </c>
      <c r="AD206" s="25">
        <v>0.24518750000000003</v>
      </c>
      <c r="AE206" s="27">
        <f t="shared" si="9"/>
        <v>0.44221874999999999</v>
      </c>
      <c r="AF206" s="27">
        <f t="shared" si="10"/>
        <v>0.45960416666666676</v>
      </c>
      <c r="AG206" s="27">
        <f t="shared" si="11"/>
        <v>0.45644318181818189</v>
      </c>
    </row>
    <row r="207" spans="1:33" x14ac:dyDescent="0.25">
      <c r="A207" s="9">
        <v>43914</v>
      </c>
      <c r="B207" s="3"/>
      <c r="C207" s="3"/>
      <c r="D207" s="3"/>
      <c r="E207" s="3"/>
      <c r="F207" s="3"/>
      <c r="G207" s="3"/>
      <c r="H207" s="3"/>
      <c r="I207" s="3"/>
      <c r="J207" s="23">
        <v>43914</v>
      </c>
      <c r="K207" s="24">
        <v>187.66666666666666</v>
      </c>
      <c r="L207" s="24">
        <v>73.204166666666666</v>
      </c>
      <c r="M207" s="24">
        <v>16.339583333333334</v>
      </c>
      <c r="N207" s="24">
        <v>0</v>
      </c>
      <c r="O207" s="24">
        <v>214.125</v>
      </c>
      <c r="P207" s="24">
        <v>10.4375</v>
      </c>
      <c r="Q207" s="24">
        <v>2.2708333333333335</v>
      </c>
      <c r="R207" s="24">
        <v>11.154166666666669</v>
      </c>
      <c r="S207" s="10">
        <v>0.5867426070356152</v>
      </c>
      <c r="T207" s="25">
        <v>0.35025000000000023</v>
      </c>
      <c r="U207" s="25">
        <v>0.47066666666666684</v>
      </c>
      <c r="V207" s="25">
        <v>0.53770833333333368</v>
      </c>
      <c r="W207" s="25">
        <v>0.55204166666666621</v>
      </c>
      <c r="X207" s="25">
        <v>0.51687499999999986</v>
      </c>
      <c r="Y207" s="25">
        <v>0.40358333333333296</v>
      </c>
      <c r="Z207" s="25">
        <v>0.41416666666666702</v>
      </c>
      <c r="AA207" s="25">
        <v>0.35725000000000001</v>
      </c>
      <c r="AB207" s="25">
        <v>0.22240000000000001</v>
      </c>
      <c r="AC207" s="25">
        <v>0.12160000000000001</v>
      </c>
      <c r="AD207" s="25">
        <v>0.2427916666666666</v>
      </c>
      <c r="AE207" s="27">
        <f t="shared" si="9"/>
        <v>0.43356250000000007</v>
      </c>
      <c r="AF207" s="27">
        <f t="shared" si="10"/>
        <v>0.45590277777777782</v>
      </c>
      <c r="AG207" s="27">
        <f t="shared" si="11"/>
        <v>0.45184090909090918</v>
      </c>
    </row>
    <row r="208" spans="1:33" x14ac:dyDescent="0.25">
      <c r="A208" s="9">
        <v>43915</v>
      </c>
      <c r="B208" s="3"/>
      <c r="C208" s="3"/>
      <c r="D208" s="3"/>
      <c r="E208" s="3"/>
      <c r="F208" s="3"/>
      <c r="G208" s="3"/>
      <c r="H208" s="3"/>
      <c r="I208" s="3"/>
      <c r="J208" s="23">
        <v>43915</v>
      </c>
      <c r="K208" s="24">
        <v>197.75</v>
      </c>
      <c r="L208" s="24">
        <v>69.799999999999983</v>
      </c>
      <c r="M208" s="24">
        <v>18.739583333333329</v>
      </c>
      <c r="N208" s="24">
        <v>0</v>
      </c>
      <c r="O208" s="24">
        <v>234.35416666666666</v>
      </c>
      <c r="P208" s="24">
        <v>16.354166666666668</v>
      </c>
      <c r="Q208" s="24">
        <v>3.0208333333333335</v>
      </c>
      <c r="R208" s="24">
        <v>12.710416666666667</v>
      </c>
      <c r="S208" s="10">
        <v>0.72397141150127553</v>
      </c>
      <c r="T208" s="25">
        <v>0.34418750000000015</v>
      </c>
      <c r="U208" s="25">
        <v>0.46712500000000018</v>
      </c>
      <c r="V208" s="25">
        <v>0.53579166666666656</v>
      </c>
      <c r="W208" s="25">
        <v>0.55075000000000029</v>
      </c>
      <c r="X208" s="25">
        <v>0.51143750000000021</v>
      </c>
      <c r="Y208" s="25">
        <v>0.39656249999999993</v>
      </c>
      <c r="Z208" s="25">
        <v>0.40916666666666646</v>
      </c>
      <c r="AA208" s="25">
        <v>0.35393750000000007</v>
      </c>
      <c r="AB208" s="25">
        <v>0.21486363636363653</v>
      </c>
      <c r="AC208" s="25">
        <v>0.1202222222222222</v>
      </c>
      <c r="AD208" s="25">
        <v>0.24174999999999999</v>
      </c>
      <c r="AE208" s="27">
        <f t="shared" si="9"/>
        <v>0.42781250000000015</v>
      </c>
      <c r="AF208" s="27">
        <f t="shared" si="10"/>
        <v>0.45222222222222225</v>
      </c>
      <c r="AG208" s="27">
        <f t="shared" si="11"/>
        <v>0.44778409090909099</v>
      </c>
    </row>
    <row r="209" spans="1:33" x14ac:dyDescent="0.25">
      <c r="A209" s="9">
        <v>43916</v>
      </c>
      <c r="B209" s="3"/>
      <c r="C209" s="3"/>
      <c r="D209" s="3"/>
      <c r="E209" s="3"/>
      <c r="F209" s="3"/>
      <c r="G209" s="3"/>
      <c r="H209" s="3"/>
      <c r="I209" s="3"/>
      <c r="J209" s="23">
        <v>43916</v>
      </c>
      <c r="K209" s="24">
        <v>211.9375</v>
      </c>
      <c r="L209" s="24">
        <v>67.260416666666671</v>
      </c>
      <c r="M209" s="24">
        <v>19.854166666666661</v>
      </c>
      <c r="N209" s="24">
        <v>0</v>
      </c>
      <c r="O209" s="24">
        <v>235.75</v>
      </c>
      <c r="P209" s="24">
        <v>11.958333333333334</v>
      </c>
      <c r="Q209" s="24">
        <v>1.375</v>
      </c>
      <c r="R209" s="24">
        <v>13.066666666666665</v>
      </c>
      <c r="S209" s="10">
        <v>0.87978841168709421</v>
      </c>
      <c r="T209" s="25">
        <v>0.33683333333333337</v>
      </c>
      <c r="U209" s="25">
        <v>0.46304166666666652</v>
      </c>
      <c r="V209" s="25">
        <v>0.53400000000000014</v>
      </c>
      <c r="W209" s="25">
        <v>0.55041666666666678</v>
      </c>
      <c r="X209" s="25">
        <v>0.50462499999999999</v>
      </c>
      <c r="Y209" s="25">
        <v>0.38814583333333319</v>
      </c>
      <c r="Z209" s="25">
        <v>0.40325000000000011</v>
      </c>
      <c r="AA209" s="25">
        <v>0.3501875000000001</v>
      </c>
      <c r="AB209" s="25">
        <v>0.20652173913043487</v>
      </c>
      <c r="AC209" s="25">
        <v>0.11866666666666664</v>
      </c>
      <c r="AD209" s="25">
        <v>0.24020833333333338</v>
      </c>
      <c r="AE209" s="27">
        <f t="shared" si="9"/>
        <v>0.42072916666666671</v>
      </c>
      <c r="AF209" s="27">
        <f t="shared" si="10"/>
        <v>0.44817361111111115</v>
      </c>
      <c r="AG209" s="27">
        <f t="shared" si="11"/>
        <v>0.4431837121212121</v>
      </c>
    </row>
    <row r="210" spans="1:33" x14ac:dyDescent="0.25">
      <c r="A210" s="9">
        <v>43917</v>
      </c>
      <c r="B210" s="3"/>
      <c r="C210" s="3"/>
      <c r="D210" s="3"/>
      <c r="E210" s="3"/>
      <c r="F210" s="3"/>
      <c r="G210" s="3"/>
      <c r="H210" s="3"/>
      <c r="I210" s="3"/>
      <c r="J210" s="23">
        <v>43917</v>
      </c>
      <c r="K210" s="24">
        <v>155.77083333333334</v>
      </c>
      <c r="L210" s="24">
        <v>70.056249999999991</v>
      </c>
      <c r="M210" s="24">
        <v>19.152083333333334</v>
      </c>
      <c r="N210" s="24">
        <v>0</v>
      </c>
      <c r="O210" s="24">
        <v>223.29166666666666</v>
      </c>
      <c r="P210" s="24">
        <v>9.7916666666666661</v>
      </c>
      <c r="Q210" s="24">
        <v>1.25</v>
      </c>
      <c r="R210" s="24">
        <v>13.277083333333335</v>
      </c>
      <c r="S210" s="10">
        <v>0.7286982166919812</v>
      </c>
      <c r="T210" s="25">
        <v>0.32874999999999982</v>
      </c>
      <c r="U210" s="25">
        <v>0.45816666666666633</v>
      </c>
      <c r="V210" s="25">
        <v>0.53135416666666679</v>
      </c>
      <c r="W210" s="25">
        <v>0.54947916666666696</v>
      </c>
      <c r="X210" s="25">
        <v>0.49706250000000002</v>
      </c>
      <c r="Y210" s="25">
        <v>0.37933333333333324</v>
      </c>
      <c r="Z210" s="25">
        <v>0.39620833333333333</v>
      </c>
      <c r="AA210" s="25">
        <v>0.34574999999999995</v>
      </c>
      <c r="AB210" s="25">
        <v>0.19958333333333333</v>
      </c>
      <c r="AC210" s="25">
        <v>0.11686486486486486</v>
      </c>
      <c r="AD210" s="25">
        <v>0.23806250000000009</v>
      </c>
      <c r="AE210" s="27">
        <f t="shared" si="9"/>
        <v>0.41290624999999992</v>
      </c>
      <c r="AF210" s="27">
        <f t="shared" si="10"/>
        <v>0.44338194444444445</v>
      </c>
      <c r="AG210" s="27">
        <f t="shared" si="11"/>
        <v>0.43784090909090911</v>
      </c>
    </row>
    <row r="211" spans="1:33" x14ac:dyDescent="0.25">
      <c r="A211" s="9">
        <v>43918</v>
      </c>
      <c r="B211" s="3"/>
      <c r="C211" s="3"/>
      <c r="D211" s="3"/>
      <c r="E211" s="3"/>
      <c r="F211" s="3"/>
      <c r="G211" s="3"/>
      <c r="H211" s="3"/>
      <c r="I211" s="3"/>
      <c r="J211" s="23">
        <v>43918</v>
      </c>
      <c r="K211" s="24">
        <v>23.875</v>
      </c>
      <c r="L211" s="24">
        <v>88.916666666666671</v>
      </c>
      <c r="M211" s="24">
        <v>10.208333333333334</v>
      </c>
      <c r="N211" s="24">
        <v>1.5999999999999999</v>
      </c>
      <c r="O211" s="24">
        <v>227.375</v>
      </c>
      <c r="P211" s="24">
        <v>8.7291666666666661</v>
      </c>
      <c r="Q211" s="24">
        <v>0.97916666666666663</v>
      </c>
      <c r="R211" s="24">
        <v>8.4229166666666657</v>
      </c>
      <c r="S211" s="10">
        <v>0.1472783696682271</v>
      </c>
      <c r="T211" s="25">
        <v>0.31916666666666671</v>
      </c>
      <c r="U211" s="25">
        <v>0.45047916666666671</v>
      </c>
      <c r="V211" s="25">
        <v>0.52654166666666646</v>
      </c>
      <c r="W211" s="25">
        <v>0.54739583333333341</v>
      </c>
      <c r="X211" s="25">
        <v>0.4856458333333335</v>
      </c>
      <c r="Y211" s="25">
        <v>0.37212500000000026</v>
      </c>
      <c r="Z211" s="25">
        <v>0.39137500000000003</v>
      </c>
      <c r="AA211" s="25">
        <v>0.34264583333333354</v>
      </c>
      <c r="AB211" s="25">
        <v>0.19243750000000012</v>
      </c>
      <c r="AC211" s="25">
        <v>0.11311111111111115</v>
      </c>
      <c r="AD211" s="25">
        <v>0.23289583333333322</v>
      </c>
      <c r="AE211" s="27">
        <f t="shared" si="9"/>
        <v>0.40240625000000008</v>
      </c>
      <c r="AF211" s="27">
        <f t="shared" si="10"/>
        <v>0.43842708333333341</v>
      </c>
      <c r="AG211" s="27">
        <f t="shared" si="11"/>
        <v>0.43187784090909104</v>
      </c>
    </row>
    <row r="212" spans="1:33" x14ac:dyDescent="0.25">
      <c r="A212" s="9">
        <v>43919</v>
      </c>
      <c r="B212" s="3"/>
      <c r="C212" s="3"/>
      <c r="D212" s="3"/>
      <c r="E212" s="3"/>
      <c r="F212" s="3"/>
      <c r="G212" s="3"/>
      <c r="H212" s="3"/>
      <c r="I212" s="3"/>
      <c r="J212" s="23">
        <v>43919</v>
      </c>
      <c r="K212" s="24">
        <v>42.583333333333336</v>
      </c>
      <c r="L212" s="24">
        <v>91.610416666666652</v>
      </c>
      <c r="M212" s="24">
        <v>7.6729166666666666</v>
      </c>
      <c r="N212" s="24">
        <v>1.7999999999999998</v>
      </c>
      <c r="O212" s="24">
        <v>231.54166666666666</v>
      </c>
      <c r="P212" s="24">
        <v>4.041666666666667</v>
      </c>
      <c r="Q212" s="24">
        <v>8.3333333333333329E-2</v>
      </c>
      <c r="R212" s="24">
        <v>6.3645833333333313</v>
      </c>
      <c r="S212" s="10">
        <v>9.1826790560749882E-2</v>
      </c>
      <c r="T212" s="25">
        <v>0.31327083333333344</v>
      </c>
      <c r="U212" s="25">
        <v>0.44097916666666664</v>
      </c>
      <c r="V212" s="25">
        <v>0.51874999999999993</v>
      </c>
      <c r="W212" s="25">
        <v>0.54281250000000003</v>
      </c>
      <c r="X212" s="25">
        <v>0.47400000000000014</v>
      </c>
      <c r="Y212" s="25">
        <v>0.36804166666666666</v>
      </c>
      <c r="Z212" s="25">
        <v>0.38887499999999992</v>
      </c>
      <c r="AA212" s="25">
        <v>0.34170833333333323</v>
      </c>
      <c r="AB212" s="25">
        <v>0.19208333333333327</v>
      </c>
      <c r="AC212" s="25">
        <v>0.12447916666666665</v>
      </c>
      <c r="AD212" s="25">
        <v>0.22954166666666678</v>
      </c>
      <c r="AE212" s="27">
        <f t="shared" si="9"/>
        <v>0.39363541666666679</v>
      </c>
      <c r="AF212" s="27">
        <f t="shared" si="10"/>
        <v>0.43352777777777773</v>
      </c>
      <c r="AG212" s="27">
        <f t="shared" si="11"/>
        <v>0.42627462121212123</v>
      </c>
    </row>
    <row r="213" spans="1:33" x14ac:dyDescent="0.25">
      <c r="A213" s="9">
        <v>43920</v>
      </c>
      <c r="B213" s="3"/>
      <c r="C213" s="3"/>
      <c r="D213" s="3"/>
      <c r="E213" s="3"/>
      <c r="F213" s="3"/>
      <c r="G213" s="3"/>
      <c r="H213" s="3"/>
      <c r="I213" s="3"/>
      <c r="J213" s="23">
        <v>43920</v>
      </c>
      <c r="K213" s="24">
        <v>76.8125</v>
      </c>
      <c r="L213" s="24">
        <v>86.093749999999986</v>
      </c>
      <c r="M213" s="24">
        <v>8.9374999999999982</v>
      </c>
      <c r="N213" s="24">
        <v>0.2</v>
      </c>
      <c r="O213" s="24">
        <v>232.08333333333334</v>
      </c>
      <c r="P213" s="24">
        <v>5.770833333333333</v>
      </c>
      <c r="Q213" s="24">
        <v>0.125</v>
      </c>
      <c r="R213" s="24">
        <v>6.6625000000000005</v>
      </c>
      <c r="S213" s="10">
        <v>0.17520703755611602</v>
      </c>
      <c r="T213" s="25">
        <v>0.31006249999999974</v>
      </c>
      <c r="U213" s="25">
        <v>0.43395833333333295</v>
      </c>
      <c r="V213" s="25">
        <v>0.51181250000000056</v>
      </c>
      <c r="W213" s="25">
        <v>0.53695833333333354</v>
      </c>
      <c r="X213" s="25">
        <v>0.46700000000000008</v>
      </c>
      <c r="Y213" s="25">
        <v>0.36358333333333337</v>
      </c>
      <c r="Z213" s="25">
        <v>0.38533333333333314</v>
      </c>
      <c r="AA213" s="25">
        <v>0.33906249999999982</v>
      </c>
      <c r="AB213" s="25">
        <v>0.19054166666666664</v>
      </c>
      <c r="AC213" s="25">
        <v>0.12425000000000001</v>
      </c>
      <c r="AD213" s="25">
        <v>0.22812499999999988</v>
      </c>
      <c r="AE213" s="27">
        <f t="shared" si="9"/>
        <v>0.38853124999999988</v>
      </c>
      <c r="AF213" s="27">
        <f t="shared" si="10"/>
        <v>0.42845138888888895</v>
      </c>
      <c r="AG213" s="27">
        <f t="shared" si="11"/>
        <v>0.42119318181818188</v>
      </c>
    </row>
    <row r="214" spans="1:33" x14ac:dyDescent="0.25">
      <c r="A214" s="9">
        <v>43921</v>
      </c>
      <c r="B214" s="3"/>
      <c r="C214" s="3"/>
      <c r="D214" s="3"/>
      <c r="E214" s="3"/>
      <c r="F214" s="3"/>
      <c r="G214" s="3"/>
      <c r="H214" s="3"/>
      <c r="I214" s="3"/>
      <c r="J214" s="23">
        <v>43921</v>
      </c>
      <c r="K214" s="24">
        <v>234.125</v>
      </c>
      <c r="L214" s="24">
        <v>67.722916666666677</v>
      </c>
      <c r="M214" s="24">
        <v>14.160416666666665</v>
      </c>
      <c r="N214" s="24">
        <v>0</v>
      </c>
      <c r="O214" s="24">
        <v>198.64583333333334</v>
      </c>
      <c r="P214" s="24">
        <v>5.416666666666667</v>
      </c>
      <c r="Q214" s="24">
        <v>0.41666666666666669</v>
      </c>
      <c r="R214" s="24">
        <v>7.625</v>
      </c>
      <c r="S214" s="10">
        <v>0.66547207780281026</v>
      </c>
      <c r="T214" s="25">
        <v>0.3074166666666665</v>
      </c>
      <c r="U214" s="25">
        <v>0.42912500000000003</v>
      </c>
      <c r="V214" s="25">
        <v>0.5069583333333334</v>
      </c>
      <c r="W214" s="25">
        <v>0.5314374999999999</v>
      </c>
      <c r="X214" s="25">
        <v>0.46377083333333297</v>
      </c>
      <c r="Y214" s="25">
        <v>0.35918749999999994</v>
      </c>
      <c r="Z214" s="25">
        <v>0.3801250000000001</v>
      </c>
      <c r="AA214" s="25">
        <v>0.33495833333333364</v>
      </c>
      <c r="AB214" s="25">
        <v>0.19049999999999995</v>
      </c>
      <c r="AC214" s="25">
        <v>0.12029729729729734</v>
      </c>
      <c r="AD214" s="25">
        <v>0.23008333333333331</v>
      </c>
      <c r="AE214" s="27">
        <f t="shared" si="9"/>
        <v>0.38559374999999974</v>
      </c>
      <c r="AF214" s="27">
        <f t="shared" si="10"/>
        <v>0.42363194444444452</v>
      </c>
      <c r="AG214" s="27">
        <f t="shared" si="11"/>
        <v>0.41671590909090905</v>
      </c>
    </row>
    <row r="215" spans="1:33" x14ac:dyDescent="0.25">
      <c r="A215" s="9">
        <v>43922</v>
      </c>
      <c r="B215" s="3"/>
      <c r="C215" s="3"/>
      <c r="D215" s="3"/>
      <c r="E215" s="3"/>
      <c r="F215" s="3"/>
      <c r="G215" s="3"/>
      <c r="H215" s="3"/>
      <c r="I215" s="3"/>
      <c r="J215" s="23">
        <v>43922</v>
      </c>
      <c r="K215" s="24">
        <v>48.166666666666664</v>
      </c>
      <c r="L215" s="24">
        <v>85.752083333333317</v>
      </c>
      <c r="M215" s="24">
        <v>12.279166666666667</v>
      </c>
      <c r="N215" s="24">
        <v>0.4</v>
      </c>
      <c r="O215" s="24">
        <v>209.77083333333334</v>
      </c>
      <c r="P215" s="24">
        <v>5.958333333333333</v>
      </c>
      <c r="Q215" s="24">
        <v>0.5625</v>
      </c>
      <c r="R215" s="24">
        <v>9.9208333333333343</v>
      </c>
      <c r="S215" s="10">
        <v>0.21057889176020972</v>
      </c>
      <c r="T215" s="25">
        <v>0.30543750000000003</v>
      </c>
      <c r="U215" s="25">
        <v>0.42716666666666664</v>
      </c>
      <c r="V215" s="25">
        <v>0.50587500000000007</v>
      </c>
      <c r="W215" s="25">
        <v>0.52802083333333372</v>
      </c>
      <c r="X215" s="25">
        <v>0.46166666666666661</v>
      </c>
      <c r="Y215" s="25">
        <v>0.35527083333333315</v>
      </c>
      <c r="Z215" s="25">
        <v>0.37512499999999999</v>
      </c>
      <c r="AA215" s="25">
        <v>0.33091666666666669</v>
      </c>
      <c r="AB215" s="25">
        <v>0.1887291666666667</v>
      </c>
      <c r="AC215" s="25">
        <v>0.11695238095238089</v>
      </c>
      <c r="AD215" s="25">
        <v>0.23012500000000014</v>
      </c>
      <c r="AE215" s="27">
        <f t="shared" si="9"/>
        <v>0.38355208333333335</v>
      </c>
      <c r="AF215" s="27">
        <f t="shared" si="10"/>
        <v>0.42039583333333336</v>
      </c>
      <c r="AG215" s="27">
        <f t="shared" si="11"/>
        <v>0.41369696969696973</v>
      </c>
    </row>
    <row r="216" spans="1:33" x14ac:dyDescent="0.25">
      <c r="A216" s="9">
        <v>43923</v>
      </c>
      <c r="B216" s="3"/>
      <c r="C216" s="3"/>
      <c r="D216" s="3"/>
      <c r="E216" s="3"/>
      <c r="F216" s="3"/>
      <c r="G216" s="3"/>
      <c r="H216" s="3"/>
      <c r="I216" s="3"/>
      <c r="J216" s="23">
        <v>43923</v>
      </c>
      <c r="K216" s="24">
        <v>30.479166666666668</v>
      </c>
      <c r="L216" s="24">
        <v>95.21875</v>
      </c>
      <c r="M216" s="24">
        <v>10.74375</v>
      </c>
      <c r="N216" s="24">
        <v>1.9</v>
      </c>
      <c r="O216" s="24">
        <v>231.25</v>
      </c>
      <c r="P216" s="24">
        <v>5.333333333333333</v>
      </c>
      <c r="Q216" s="24">
        <v>0.35416666666666669</v>
      </c>
      <c r="R216" s="24">
        <v>10.010416666666666</v>
      </c>
      <c r="S216" s="10">
        <v>6.3064634680728385E-2</v>
      </c>
      <c r="T216" s="25">
        <v>0.30220833333333313</v>
      </c>
      <c r="U216" s="25">
        <v>0.42287500000000017</v>
      </c>
      <c r="V216" s="25">
        <v>0.50281249999999977</v>
      </c>
      <c r="W216" s="25">
        <v>0.52589583333333301</v>
      </c>
      <c r="X216" s="25">
        <v>0.45827083333333324</v>
      </c>
      <c r="Y216" s="25">
        <v>0.35374999999999984</v>
      </c>
      <c r="Z216" s="25">
        <v>0.37395833333333345</v>
      </c>
      <c r="AA216" s="25">
        <v>0.32985416666666678</v>
      </c>
      <c r="AB216" s="25">
        <v>0.18831249999999999</v>
      </c>
      <c r="AC216" s="25">
        <v>0.1158333333333333</v>
      </c>
      <c r="AD216" s="25">
        <v>0.22897916666666651</v>
      </c>
      <c r="AE216" s="27">
        <f t="shared" si="9"/>
        <v>0.38023958333333319</v>
      </c>
      <c r="AF216" s="27">
        <f t="shared" si="10"/>
        <v>0.41819097222222218</v>
      </c>
      <c r="AG216" s="27">
        <f t="shared" si="11"/>
        <v>0.41129071969696962</v>
      </c>
    </row>
    <row r="217" spans="1:33" x14ac:dyDescent="0.25">
      <c r="A217" s="9">
        <v>43924</v>
      </c>
      <c r="B217" s="3"/>
      <c r="C217" s="3"/>
      <c r="D217" s="3"/>
      <c r="E217" s="3"/>
      <c r="F217" s="3"/>
      <c r="G217" s="3"/>
      <c r="H217" s="3"/>
      <c r="I217" s="3"/>
      <c r="J217" s="23">
        <v>43924</v>
      </c>
      <c r="K217" s="24">
        <v>54.916666666666664</v>
      </c>
      <c r="L217" s="24">
        <v>92.175000000000011</v>
      </c>
      <c r="M217" s="24">
        <v>8.9312500000000004</v>
      </c>
      <c r="N217" s="24">
        <v>1</v>
      </c>
      <c r="O217" s="24">
        <v>205.02083333333334</v>
      </c>
      <c r="P217" s="24">
        <v>4.354166666666667</v>
      </c>
      <c r="Q217" s="24">
        <v>6.25E-2</v>
      </c>
      <c r="R217" s="24">
        <v>7.6833333333333345</v>
      </c>
      <c r="S217" s="10">
        <v>9.7337113424867852E-2</v>
      </c>
      <c r="T217" s="25">
        <v>0.2995833333333332</v>
      </c>
      <c r="U217" s="25">
        <v>0.41889583333333347</v>
      </c>
      <c r="V217" s="25">
        <v>0.49950000000000033</v>
      </c>
      <c r="W217" s="25">
        <v>0.52256249999999971</v>
      </c>
      <c r="X217" s="25">
        <v>0.4546041666666667</v>
      </c>
      <c r="Y217" s="25">
        <v>0.35214583333333299</v>
      </c>
      <c r="Z217" s="25">
        <v>0.37258333333333327</v>
      </c>
      <c r="AA217" s="25">
        <v>0.32906249999999992</v>
      </c>
      <c r="AB217" s="25">
        <v>0.18795833333333331</v>
      </c>
      <c r="AC217" s="25">
        <v>0.11580851063829782</v>
      </c>
      <c r="AD217" s="25">
        <v>0.22789583333333333</v>
      </c>
      <c r="AE217" s="27">
        <f t="shared" si="9"/>
        <v>0.37709374999999995</v>
      </c>
      <c r="AF217" s="27">
        <f t="shared" si="10"/>
        <v>0.41579166666666662</v>
      </c>
      <c r="AG217" s="27">
        <f t="shared" si="11"/>
        <v>0.40875568181818173</v>
      </c>
    </row>
    <row r="218" spans="1:33" x14ac:dyDescent="0.25">
      <c r="A218" s="9">
        <v>43925</v>
      </c>
      <c r="B218" s="3"/>
      <c r="C218" s="3"/>
      <c r="D218" s="3"/>
      <c r="E218" s="3"/>
      <c r="F218" s="3"/>
      <c r="G218" s="3"/>
      <c r="H218" s="3"/>
      <c r="I218" s="3"/>
      <c r="J218" s="23">
        <v>43925</v>
      </c>
      <c r="K218" s="24">
        <v>36.5</v>
      </c>
      <c r="L218" s="24">
        <v>89.304166666666674</v>
      </c>
      <c r="M218" s="24">
        <v>8.5333333333333368</v>
      </c>
      <c r="N218" s="24">
        <v>0</v>
      </c>
      <c r="O218" s="24">
        <v>195.54166666666666</v>
      </c>
      <c r="P218" s="24">
        <v>3.4375</v>
      </c>
      <c r="Q218" s="24">
        <v>0</v>
      </c>
      <c r="R218" s="24">
        <v>6.8500000000000005</v>
      </c>
      <c r="S218" s="10">
        <v>0.12296387100042511</v>
      </c>
      <c r="T218" s="25">
        <v>0.2969166666666665</v>
      </c>
      <c r="U218" s="25">
        <v>0.41470833333333323</v>
      </c>
      <c r="V218" s="25">
        <v>0.4956666666666667</v>
      </c>
      <c r="W218" s="25">
        <v>0.51902083333333338</v>
      </c>
      <c r="X218" s="25">
        <v>0.45068749999999985</v>
      </c>
      <c r="Y218" s="25">
        <v>0.34958333333333336</v>
      </c>
      <c r="Z218" s="25">
        <v>0.3703749999999999</v>
      </c>
      <c r="AA218" s="25">
        <v>0.32718750000000019</v>
      </c>
      <c r="AB218" s="25">
        <v>0.1871666666666667</v>
      </c>
      <c r="AC218" s="25">
        <v>0.11504166666666681</v>
      </c>
      <c r="AD218" s="25">
        <v>0.22681250000000017</v>
      </c>
      <c r="AE218" s="27">
        <f t="shared" si="9"/>
        <v>0.3738020833333332</v>
      </c>
      <c r="AF218" s="27">
        <f t="shared" si="10"/>
        <v>0.4127569444444445</v>
      </c>
      <c r="AG218" s="27">
        <f t="shared" si="11"/>
        <v>0.40567424242424244</v>
      </c>
    </row>
    <row r="219" spans="1:33" x14ac:dyDescent="0.25">
      <c r="A219" s="9">
        <v>43926</v>
      </c>
      <c r="B219" s="3"/>
      <c r="C219" s="3"/>
      <c r="D219" s="3"/>
      <c r="E219" s="3"/>
      <c r="F219" s="3"/>
      <c r="G219" s="3"/>
      <c r="H219" s="3"/>
      <c r="I219" s="3"/>
      <c r="J219" s="23">
        <v>43926</v>
      </c>
      <c r="K219" s="24">
        <v>28.5</v>
      </c>
      <c r="L219" s="24">
        <v>91.652083333333351</v>
      </c>
      <c r="M219" s="24">
        <v>8.25</v>
      </c>
      <c r="N219" s="24">
        <v>1.1000000000000001</v>
      </c>
      <c r="O219" s="24">
        <v>123.9375</v>
      </c>
      <c r="P219" s="24">
        <v>2.4583333333333335</v>
      </c>
      <c r="Q219" s="24">
        <v>0</v>
      </c>
      <c r="R219" s="24">
        <v>6.95</v>
      </c>
      <c r="S219" s="10">
        <v>9.4597963732529378E-2</v>
      </c>
      <c r="T219" s="25">
        <v>0.29450000000000015</v>
      </c>
      <c r="U219" s="25">
        <v>0.41058333333333308</v>
      </c>
      <c r="V219" s="25">
        <v>0.49200000000000005</v>
      </c>
      <c r="W219" s="25">
        <v>0.51510416666666681</v>
      </c>
      <c r="X219" s="25">
        <v>0.4476041666666663</v>
      </c>
      <c r="Y219" s="25">
        <v>0.34764583333333327</v>
      </c>
      <c r="Z219" s="25">
        <v>0.3687708333333331</v>
      </c>
      <c r="AA219" s="25">
        <v>0.32554166666666634</v>
      </c>
      <c r="AB219" s="25">
        <v>0.18687500000000004</v>
      </c>
      <c r="AC219" s="25">
        <v>0.11441666666666671</v>
      </c>
      <c r="AD219" s="25">
        <v>0.2256250000000001</v>
      </c>
      <c r="AE219" s="27">
        <f t="shared" si="9"/>
        <v>0.37105208333333323</v>
      </c>
      <c r="AF219" s="27">
        <f t="shared" si="10"/>
        <v>0.40994097222222209</v>
      </c>
      <c r="AG219" s="27">
        <f t="shared" si="11"/>
        <v>0.40287026515151508</v>
      </c>
    </row>
    <row r="220" spans="1:33" x14ac:dyDescent="0.25">
      <c r="A220" s="9">
        <v>43927</v>
      </c>
      <c r="B220" s="3"/>
      <c r="C220" s="3"/>
      <c r="D220" s="3"/>
      <c r="E220" s="3"/>
      <c r="F220" s="3"/>
      <c r="G220" s="3"/>
      <c r="H220" s="3"/>
      <c r="I220" s="3"/>
      <c r="J220" s="23">
        <v>43927</v>
      </c>
      <c r="K220" s="24">
        <v>58.208333333333336</v>
      </c>
      <c r="L220" s="24">
        <v>86.004166666666649</v>
      </c>
      <c r="M220" s="24">
        <v>9.2666666666666675</v>
      </c>
      <c r="N220" s="24">
        <v>0.2</v>
      </c>
      <c r="O220" s="24">
        <v>254.16666666666666</v>
      </c>
      <c r="P220" s="24">
        <v>2.125</v>
      </c>
      <c r="Q220" s="24">
        <v>0</v>
      </c>
      <c r="R220" s="24">
        <v>6.9562499999999998</v>
      </c>
      <c r="S220" s="10">
        <v>0.17780428443086627</v>
      </c>
      <c r="T220" s="25">
        <v>0.29349999999999987</v>
      </c>
      <c r="U220" s="25">
        <v>0.40714583333333332</v>
      </c>
      <c r="V220" s="25">
        <v>0.48868749999999977</v>
      </c>
      <c r="W220" s="25">
        <v>0.510625</v>
      </c>
      <c r="X220" s="25">
        <v>0.44535416666666688</v>
      </c>
      <c r="Y220" s="25">
        <v>0.34579166666666672</v>
      </c>
      <c r="Z220" s="25">
        <v>0.3668749999999999</v>
      </c>
      <c r="AA220" s="25">
        <v>0.32331249999999973</v>
      </c>
      <c r="AB220" s="25">
        <v>0.18658333333333341</v>
      </c>
      <c r="AC220" s="25">
        <v>0.11433333333333338</v>
      </c>
      <c r="AD220" s="25">
        <v>0.22558333333333347</v>
      </c>
      <c r="AE220" s="27">
        <f t="shared" si="9"/>
        <v>0.36942708333333341</v>
      </c>
      <c r="AF220" s="27">
        <f t="shared" si="10"/>
        <v>0.40707291666666662</v>
      </c>
      <c r="AG220" s="27">
        <f t="shared" si="11"/>
        <v>0.4002282196969697</v>
      </c>
    </row>
    <row r="221" spans="1:33" x14ac:dyDescent="0.25">
      <c r="A221" s="9">
        <v>43928</v>
      </c>
      <c r="B221" s="3"/>
      <c r="C221" s="3"/>
      <c r="D221" s="3"/>
      <c r="E221" s="3"/>
      <c r="F221" s="3"/>
      <c r="G221" s="3"/>
      <c r="H221" s="3"/>
      <c r="I221" s="3"/>
      <c r="J221" s="23">
        <v>43928</v>
      </c>
      <c r="K221" s="24">
        <v>81.583333333333329</v>
      </c>
      <c r="L221" s="24">
        <v>79.072916666666657</v>
      </c>
      <c r="M221" s="24">
        <v>10.839583333333335</v>
      </c>
      <c r="N221" s="24">
        <v>0.2</v>
      </c>
      <c r="O221" s="24">
        <v>167.10416666666666</v>
      </c>
      <c r="P221" s="24">
        <v>1.7916666666666667</v>
      </c>
      <c r="Q221" s="24">
        <v>0</v>
      </c>
      <c r="R221" s="24">
        <v>7.1812499999999986</v>
      </c>
      <c r="S221" s="10">
        <v>0.29820034018092767</v>
      </c>
      <c r="T221" s="25">
        <v>0.29233333333333328</v>
      </c>
      <c r="U221" s="25">
        <v>0.40404166666666669</v>
      </c>
      <c r="V221" s="25">
        <v>0.48581250000000004</v>
      </c>
      <c r="W221" s="25">
        <v>0.50660416666666663</v>
      </c>
      <c r="X221" s="25">
        <v>0.44414583333333341</v>
      </c>
      <c r="Y221" s="25">
        <v>0.34316666666666684</v>
      </c>
      <c r="Z221" s="25">
        <v>0.36347916666666685</v>
      </c>
      <c r="AA221" s="25">
        <v>0.32054166666666695</v>
      </c>
      <c r="AB221" s="25">
        <v>0.18631250000000008</v>
      </c>
      <c r="AC221" s="25">
        <v>0.11435416666666674</v>
      </c>
      <c r="AD221" s="25">
        <v>0.22591666666666677</v>
      </c>
      <c r="AE221" s="27">
        <f t="shared" si="9"/>
        <v>0.36823958333333334</v>
      </c>
      <c r="AF221" s="27">
        <f t="shared" si="10"/>
        <v>0.40394097222222242</v>
      </c>
      <c r="AG221" s="27">
        <f t="shared" si="11"/>
        <v>0.39744981060606077</v>
      </c>
    </row>
    <row r="222" spans="1:33" x14ac:dyDescent="0.25">
      <c r="A222" s="9">
        <v>43929</v>
      </c>
      <c r="B222" s="3"/>
      <c r="C222" s="3"/>
      <c r="D222" s="3"/>
      <c r="E222" s="3"/>
      <c r="F222" s="3"/>
      <c r="G222" s="3"/>
      <c r="H222" s="3"/>
      <c r="I222" s="3"/>
      <c r="J222" s="23">
        <v>43929</v>
      </c>
      <c r="K222" s="24">
        <v>45.270833333333336</v>
      </c>
      <c r="L222" s="24">
        <v>91.760416666666643</v>
      </c>
      <c r="M222" s="24">
        <v>10.627083333333333</v>
      </c>
      <c r="N222" s="24">
        <v>15.299999999999997</v>
      </c>
      <c r="O222" s="24">
        <v>187.27083333333334</v>
      </c>
      <c r="P222" s="24">
        <v>3.3958333333333335</v>
      </c>
      <c r="Q222" s="24">
        <v>6.25E-2</v>
      </c>
      <c r="R222" s="24">
        <v>9.3083333333333318</v>
      </c>
      <c r="S222" s="10">
        <v>0.11101689694565332</v>
      </c>
      <c r="T222" s="25">
        <v>0.30454166666666643</v>
      </c>
      <c r="U222" s="25">
        <v>0.4190416666666667</v>
      </c>
      <c r="V222" s="25">
        <v>0.4954583333333335</v>
      </c>
      <c r="W222" s="25">
        <v>0.52925</v>
      </c>
      <c r="X222" s="25">
        <v>0.47443750000000012</v>
      </c>
      <c r="Y222" s="25">
        <v>0.37237499999999985</v>
      </c>
      <c r="Z222" s="25">
        <v>0.36737500000000001</v>
      </c>
      <c r="AA222" s="25">
        <v>0.31900000000000039</v>
      </c>
      <c r="AB222" s="25">
        <v>0.20152083333333326</v>
      </c>
      <c r="AC222" s="25">
        <v>0.18454166666666671</v>
      </c>
      <c r="AD222" s="25">
        <v>0.33016666666666677</v>
      </c>
      <c r="AE222" s="27">
        <f t="shared" si="9"/>
        <v>0.38948958333333328</v>
      </c>
      <c r="AF222" s="27">
        <f t="shared" si="10"/>
        <v>0.41708333333333342</v>
      </c>
      <c r="AG222" s="27">
        <f t="shared" si="11"/>
        <v>0.41206628787878796</v>
      </c>
    </row>
    <row r="223" spans="1:33" x14ac:dyDescent="0.25">
      <c r="A223" s="9">
        <v>43930</v>
      </c>
      <c r="B223" s="3"/>
      <c r="C223" s="3"/>
      <c r="D223" s="3"/>
      <c r="E223" s="3"/>
      <c r="F223" s="3"/>
      <c r="G223" s="3"/>
      <c r="H223" s="3"/>
      <c r="I223" s="3"/>
      <c r="J223" s="23">
        <v>43930</v>
      </c>
      <c r="K223" s="24">
        <v>102.45833333333333</v>
      </c>
      <c r="L223" s="24">
        <v>88.972916666666677</v>
      </c>
      <c r="M223" s="24">
        <v>12.285416666666665</v>
      </c>
      <c r="N223" s="24">
        <v>0.60000000000000009</v>
      </c>
      <c r="O223" s="24">
        <v>237.02083333333334</v>
      </c>
      <c r="P223" s="24">
        <v>7.041666666666667</v>
      </c>
      <c r="Q223" s="24">
        <v>0.95833333333333337</v>
      </c>
      <c r="R223" s="24">
        <v>10.454166666666667</v>
      </c>
      <c r="S223" s="10">
        <v>0.17464138557556907</v>
      </c>
      <c r="T223" s="25">
        <v>0.30679166666666652</v>
      </c>
      <c r="U223" s="25">
        <v>0.41835416666666664</v>
      </c>
      <c r="V223" s="25">
        <v>0.49666666666666637</v>
      </c>
      <c r="W223" s="25">
        <v>0.53220833333333295</v>
      </c>
      <c r="X223" s="25">
        <v>0.48118750000000016</v>
      </c>
      <c r="Y223" s="25">
        <v>0.37710416666666674</v>
      </c>
      <c r="Z223" s="25">
        <v>0.37110416666666662</v>
      </c>
      <c r="AA223" s="25">
        <v>0.3190208333333337</v>
      </c>
      <c r="AB223" s="25">
        <v>0.20864285714285713</v>
      </c>
      <c r="AC223" s="25">
        <v>0.19074999999999998</v>
      </c>
      <c r="AD223" s="25">
        <v>0.3435416666666668</v>
      </c>
      <c r="AE223" s="27">
        <f t="shared" si="9"/>
        <v>0.39398958333333334</v>
      </c>
      <c r="AF223" s="27">
        <f t="shared" si="10"/>
        <v>0.41907638888888882</v>
      </c>
      <c r="AG223" s="27">
        <f t="shared" si="11"/>
        <v>0.4145151515151515</v>
      </c>
    </row>
    <row r="224" spans="1:33" x14ac:dyDescent="0.25">
      <c r="A224" s="9">
        <v>43931</v>
      </c>
      <c r="B224" s="3"/>
      <c r="C224" s="3"/>
      <c r="D224" s="3"/>
      <c r="E224" s="3"/>
      <c r="F224" s="3"/>
      <c r="G224" s="3"/>
      <c r="H224" s="3"/>
      <c r="I224" s="3"/>
      <c r="J224" s="23">
        <v>43931</v>
      </c>
      <c r="K224" s="24">
        <v>86.8125</v>
      </c>
      <c r="L224" s="24">
        <v>86.522916666666632</v>
      </c>
      <c r="M224" s="24">
        <v>16.291666666666668</v>
      </c>
      <c r="N224" s="24">
        <v>0.4</v>
      </c>
      <c r="O224" s="24">
        <v>227.45833333333334</v>
      </c>
      <c r="P224" s="24">
        <v>11.0625</v>
      </c>
      <c r="Q224" s="24">
        <v>2.4791666666666665</v>
      </c>
      <c r="R224" s="24">
        <v>13.956250000000002</v>
      </c>
      <c r="S224" s="10">
        <v>0.27457361507661576</v>
      </c>
      <c r="T224" s="25">
        <v>0.30639583333333326</v>
      </c>
      <c r="U224" s="25">
        <v>0.41727083333333342</v>
      </c>
      <c r="V224" s="25">
        <v>0.49622916666666655</v>
      </c>
      <c r="W224" s="25">
        <v>0.53027083333333347</v>
      </c>
      <c r="X224" s="25">
        <v>0.48212500000000008</v>
      </c>
      <c r="Y224" s="25">
        <v>0.37341666666666656</v>
      </c>
      <c r="Z224" s="25">
        <v>0.36968749999999978</v>
      </c>
      <c r="AA224" s="25">
        <v>0.31879166666666681</v>
      </c>
      <c r="AB224" s="25">
        <v>0.21040476190476198</v>
      </c>
      <c r="AC224" s="25">
        <v>0.18002499999999994</v>
      </c>
      <c r="AD224" s="25">
        <v>0.32647916666666665</v>
      </c>
      <c r="AE224" s="27">
        <f t="shared" si="9"/>
        <v>0.39426041666666667</v>
      </c>
      <c r="AF224" s="27">
        <f t="shared" si="10"/>
        <v>0.4176111111111111</v>
      </c>
      <c r="AG224" s="27">
        <f t="shared" si="11"/>
        <v>0.4133655303030303</v>
      </c>
    </row>
    <row r="225" spans="1:33" x14ac:dyDescent="0.25">
      <c r="A225" s="9">
        <v>43932</v>
      </c>
      <c r="B225" s="3"/>
      <c r="C225" s="3"/>
      <c r="D225" s="3"/>
      <c r="E225" s="3"/>
      <c r="F225" s="3"/>
      <c r="G225" s="3"/>
      <c r="H225" s="3"/>
      <c r="I225" s="3"/>
      <c r="J225" s="23">
        <v>43932</v>
      </c>
      <c r="K225" s="24">
        <v>151.41666666666666</v>
      </c>
      <c r="L225" s="24">
        <v>73.879166666666677</v>
      </c>
      <c r="M225" s="24">
        <v>15.300000000000002</v>
      </c>
      <c r="N225" s="24">
        <v>0</v>
      </c>
      <c r="O225" s="24">
        <v>219.83333333333334</v>
      </c>
      <c r="P225" s="24">
        <v>5.5625</v>
      </c>
      <c r="Q225" s="24">
        <v>0.10416666666666667</v>
      </c>
      <c r="R225" s="24">
        <v>10.354166666666668</v>
      </c>
      <c r="S225" s="10">
        <v>0.5180901020978782</v>
      </c>
      <c r="T225" s="25">
        <v>0.30531250000000004</v>
      </c>
      <c r="U225" s="25">
        <v>0.41672916666666654</v>
      </c>
      <c r="V225" s="25">
        <v>0.4967916666666663</v>
      </c>
      <c r="W225" s="25">
        <v>0.52908333333333279</v>
      </c>
      <c r="X225" s="25">
        <v>0.48202083333333362</v>
      </c>
      <c r="Y225" s="25">
        <v>0.36685416666666687</v>
      </c>
      <c r="Z225" s="25">
        <v>0.36789583333333326</v>
      </c>
      <c r="AA225" s="25">
        <v>0.31820833333333337</v>
      </c>
      <c r="AB225" s="25">
        <v>0.20867441860465111</v>
      </c>
      <c r="AC225" s="25">
        <v>0.16899999999999993</v>
      </c>
      <c r="AD225" s="25">
        <v>0.30927083333333316</v>
      </c>
      <c r="AE225" s="27">
        <f t="shared" si="9"/>
        <v>0.39366666666666683</v>
      </c>
      <c r="AF225" s="27">
        <f t="shared" si="10"/>
        <v>0.41592708333333311</v>
      </c>
      <c r="AG225" s="27">
        <f t="shared" si="11"/>
        <v>0.41187973484848472</v>
      </c>
    </row>
    <row r="226" spans="1:33" x14ac:dyDescent="0.25">
      <c r="A226" s="9">
        <v>43933</v>
      </c>
      <c r="B226" s="3"/>
      <c r="C226" s="3"/>
      <c r="D226" s="3"/>
      <c r="E226" s="3"/>
      <c r="F226" s="3"/>
      <c r="G226" s="3"/>
      <c r="H226" s="3"/>
      <c r="I226" s="3"/>
      <c r="J226" s="23">
        <v>43933</v>
      </c>
      <c r="K226" s="24">
        <v>172.33333333333334</v>
      </c>
      <c r="L226" s="24">
        <v>65.637500000000003</v>
      </c>
      <c r="M226" s="24">
        <v>11.275</v>
      </c>
      <c r="N226" s="24">
        <v>2</v>
      </c>
      <c r="O226" s="24">
        <v>232.20833333333334</v>
      </c>
      <c r="P226" s="24">
        <v>8.75</v>
      </c>
      <c r="Q226" s="24">
        <v>1.1041666666666667</v>
      </c>
      <c r="R226" s="24">
        <v>4.6250000000000009</v>
      </c>
      <c r="S226" s="10">
        <v>0.52069977790460897</v>
      </c>
      <c r="T226" s="25">
        <v>0.29997916666666669</v>
      </c>
      <c r="U226" s="25">
        <v>0.41216666666666651</v>
      </c>
      <c r="V226" s="25">
        <v>0.49395833333333355</v>
      </c>
      <c r="W226" s="25">
        <v>0.52631250000000007</v>
      </c>
      <c r="X226" s="25">
        <v>0.47543749999999974</v>
      </c>
      <c r="Y226" s="25">
        <v>0.35683333333333334</v>
      </c>
      <c r="Z226" s="25">
        <v>0.3643958333333332</v>
      </c>
      <c r="AA226" s="25">
        <v>0.31639583333333327</v>
      </c>
      <c r="AB226" s="25">
        <v>0.20399999999999993</v>
      </c>
      <c r="AC226" s="25">
        <v>0.1573333333333333</v>
      </c>
      <c r="AD226" s="25">
        <v>0.28975000000000006</v>
      </c>
      <c r="AE226" s="27">
        <f t="shared" si="9"/>
        <v>0.38770833333333321</v>
      </c>
      <c r="AF226" s="27">
        <f t="shared" si="10"/>
        <v>0.41167708333333336</v>
      </c>
      <c r="AG226" s="27">
        <f t="shared" si="11"/>
        <v>0.40731912878787879</v>
      </c>
    </row>
    <row r="227" spans="1:33" x14ac:dyDescent="0.25">
      <c r="A227" s="9">
        <v>43934</v>
      </c>
      <c r="B227" s="3"/>
      <c r="C227" s="3"/>
      <c r="D227" s="3"/>
      <c r="E227" s="3"/>
      <c r="F227" s="3"/>
      <c r="G227" s="3"/>
      <c r="H227" s="3"/>
      <c r="I227" s="3"/>
      <c r="J227" s="23">
        <v>43934</v>
      </c>
      <c r="K227" s="24">
        <v>52.104166666666664</v>
      </c>
      <c r="L227" s="24">
        <v>68.037499999999994</v>
      </c>
      <c r="M227" s="24">
        <v>10.737499999999997</v>
      </c>
      <c r="N227" s="24">
        <v>0.2</v>
      </c>
      <c r="O227" s="24">
        <v>221.16666666666666</v>
      </c>
      <c r="P227" s="24">
        <v>4.729166666666667</v>
      </c>
      <c r="Q227" s="24">
        <v>0.20833333333333334</v>
      </c>
      <c r="R227" s="24">
        <v>4.9375</v>
      </c>
      <c r="S227" s="10">
        <v>0.42331027632243123</v>
      </c>
      <c r="T227" s="25">
        <v>0.29533333333333356</v>
      </c>
      <c r="U227" s="25">
        <v>0.4065833333333333</v>
      </c>
      <c r="V227" s="25">
        <v>0.48964583333333334</v>
      </c>
      <c r="W227" s="25">
        <v>0.52135416666666645</v>
      </c>
      <c r="X227" s="25">
        <v>0.46822916666666686</v>
      </c>
      <c r="Y227" s="25">
        <v>0.34868749999999998</v>
      </c>
      <c r="Z227" s="25">
        <v>0.36052083333333335</v>
      </c>
      <c r="AA227" s="25">
        <v>0.31433333333333341</v>
      </c>
      <c r="AB227" s="25">
        <v>0.20041666666666666</v>
      </c>
      <c r="AC227" s="25">
        <v>0.14747999999999994</v>
      </c>
      <c r="AD227" s="25">
        <v>0.2760833333333334</v>
      </c>
      <c r="AE227" s="27">
        <f t="shared" si="9"/>
        <v>0.38178125000000018</v>
      </c>
      <c r="AF227" s="27">
        <f t="shared" si="10"/>
        <v>0.40685416666666657</v>
      </c>
      <c r="AG227" s="27">
        <f t="shared" si="11"/>
        <v>0.40229545454545451</v>
      </c>
    </row>
    <row r="228" spans="1:33" x14ac:dyDescent="0.25">
      <c r="A228" s="9">
        <v>43935</v>
      </c>
      <c r="B228" s="3"/>
      <c r="C228" s="3"/>
      <c r="D228" s="3"/>
      <c r="E228" s="3"/>
      <c r="F228" s="3"/>
      <c r="G228" s="3"/>
      <c r="H228" s="3"/>
      <c r="I228" s="3"/>
      <c r="J228" s="23">
        <v>43935</v>
      </c>
      <c r="K228" s="24">
        <v>246.97916666666666</v>
      </c>
      <c r="L228" s="24">
        <v>64.67291666666668</v>
      </c>
      <c r="M228" s="24">
        <v>15.09375</v>
      </c>
      <c r="N228" s="24">
        <v>0</v>
      </c>
      <c r="O228" s="24">
        <v>232.75</v>
      </c>
      <c r="P228" s="24">
        <v>5.75</v>
      </c>
      <c r="Q228" s="24">
        <v>0.45833333333333331</v>
      </c>
      <c r="R228" s="24">
        <v>7.7687500000000007</v>
      </c>
      <c r="S228" s="10">
        <v>0.77634030237338536</v>
      </c>
      <c r="T228" s="25">
        <v>0.29212500000000002</v>
      </c>
      <c r="U228" s="25">
        <v>0.40131249999999996</v>
      </c>
      <c r="V228" s="25">
        <v>0.48522916666666704</v>
      </c>
      <c r="W228" s="25">
        <v>0.51604166666666706</v>
      </c>
      <c r="X228" s="25">
        <v>0.4620416666666663</v>
      </c>
      <c r="Y228" s="25">
        <v>0.34349999999999986</v>
      </c>
      <c r="Z228" s="25">
        <v>0.35668749999999977</v>
      </c>
      <c r="AA228" s="25">
        <v>0.31191666666666668</v>
      </c>
      <c r="AB228" s="25">
        <v>0.19910638297872341</v>
      </c>
      <c r="AC228" s="25">
        <v>0.14437209302325579</v>
      </c>
      <c r="AD228" s="25">
        <v>0.26906250000000004</v>
      </c>
      <c r="AE228" s="27">
        <f t="shared" si="9"/>
        <v>0.37708333333333316</v>
      </c>
      <c r="AF228" s="27">
        <f t="shared" si="10"/>
        <v>0.40244791666666679</v>
      </c>
      <c r="AG228" s="27">
        <f t="shared" si="11"/>
        <v>0.39783617424242435</v>
      </c>
    </row>
    <row r="229" spans="1:33" x14ac:dyDescent="0.25">
      <c r="A229" s="9">
        <v>43936</v>
      </c>
      <c r="B229" s="3">
        <v>397.08639035955474</v>
      </c>
      <c r="C229" s="3">
        <v>922.1642250711933</v>
      </c>
      <c r="D229" s="3">
        <v>612.53847328530458</v>
      </c>
      <c r="E229" s="3">
        <v>480.05779063695485</v>
      </c>
      <c r="F229" s="3">
        <v>431.87524599052591</v>
      </c>
      <c r="G229" s="3">
        <v>443.9550870406419</v>
      </c>
      <c r="H229" s="3">
        <v>419.11531616125529</v>
      </c>
      <c r="I229" s="3">
        <v>323.27802858769661</v>
      </c>
      <c r="J229" s="23">
        <v>43936</v>
      </c>
      <c r="K229" s="24">
        <v>241.58333333333334</v>
      </c>
      <c r="L229" s="24">
        <v>64.925000000000026</v>
      </c>
      <c r="M229" s="24">
        <v>18.835416666666667</v>
      </c>
      <c r="N229" s="24">
        <v>0</v>
      </c>
      <c r="O229" s="24">
        <v>223.04166666666666</v>
      </c>
      <c r="P229" s="24">
        <v>11.145833333333334</v>
      </c>
      <c r="Q229" s="24">
        <v>1.3958333333333333</v>
      </c>
      <c r="R229" s="24">
        <v>11.76041666666667</v>
      </c>
      <c r="S229" s="10">
        <v>0.87846752659360272</v>
      </c>
      <c r="T229" s="25">
        <v>0.29035416666666658</v>
      </c>
      <c r="U229" s="25">
        <v>0.39912499999999995</v>
      </c>
      <c r="V229" s="25">
        <v>0.48414583333333355</v>
      </c>
      <c r="W229" s="25">
        <v>0.51093749999999993</v>
      </c>
      <c r="X229" s="25">
        <v>0.45841666666666697</v>
      </c>
      <c r="Y229" s="25">
        <v>0.33935416666666662</v>
      </c>
      <c r="Z229" s="25">
        <v>0.35241666666666666</v>
      </c>
      <c r="AA229" s="25">
        <v>0.30877083333333333</v>
      </c>
      <c r="AB229" s="25">
        <v>0.19731914893617022</v>
      </c>
      <c r="AC229" s="25">
        <v>0.13809523809523808</v>
      </c>
      <c r="AD229" s="25">
        <v>0.2614999999999999</v>
      </c>
      <c r="AE229" s="27">
        <f t="shared" si="9"/>
        <v>0.3743854166666668</v>
      </c>
      <c r="AF229" s="27">
        <f t="shared" si="10"/>
        <v>0.39912500000000001</v>
      </c>
      <c r="AG229" s="27">
        <f t="shared" si="11"/>
        <v>0.39462689393939399</v>
      </c>
    </row>
    <row r="230" spans="1:33" x14ac:dyDescent="0.25">
      <c r="A230" s="9">
        <v>43937</v>
      </c>
      <c r="B230" s="3">
        <v>415.10661728117407</v>
      </c>
      <c r="C230" s="3">
        <v>582.38504752256085</v>
      </c>
      <c r="D230" s="3">
        <v>572.83331022587822</v>
      </c>
      <c r="E230" s="3">
        <v>461.70108687036355</v>
      </c>
      <c r="F230" s="3">
        <v>398.9527666231055</v>
      </c>
      <c r="G230" s="3">
        <v>381.22715528770561</v>
      </c>
      <c r="H230" s="3">
        <v>390.47930023008115</v>
      </c>
      <c r="I230" s="3">
        <v>308.38890143435032</v>
      </c>
      <c r="J230" s="23">
        <v>43937</v>
      </c>
      <c r="K230" s="24">
        <v>209.08333333333334</v>
      </c>
      <c r="L230" s="24">
        <v>71.245833333333323</v>
      </c>
      <c r="M230" s="24">
        <v>20.383333333333336</v>
      </c>
      <c r="N230" s="24">
        <v>0</v>
      </c>
      <c r="O230" s="24">
        <v>238.52083333333334</v>
      </c>
      <c r="P230" s="24">
        <v>12</v>
      </c>
      <c r="Q230" s="24">
        <v>1.9583333333333333</v>
      </c>
      <c r="R230" s="24">
        <v>14.577083333333327</v>
      </c>
      <c r="S230" s="10">
        <v>0.8120170496059621</v>
      </c>
      <c r="T230" s="25">
        <v>0.28672916666666687</v>
      </c>
      <c r="U230" s="25">
        <v>0.39714583333333336</v>
      </c>
      <c r="V230" s="25">
        <v>0.4838541666666667</v>
      </c>
      <c r="W230" s="25">
        <v>0.50595833333333318</v>
      </c>
      <c r="X230" s="25">
        <v>0.45395833333333374</v>
      </c>
      <c r="Y230" s="25">
        <v>0.33631250000000007</v>
      </c>
      <c r="Z230" s="25">
        <v>0.34916666666666668</v>
      </c>
      <c r="AA230" s="25">
        <v>0.30589583333333337</v>
      </c>
      <c r="AB230" s="25">
        <v>0.19469767441860469</v>
      </c>
      <c r="AC230" s="25">
        <v>0.13222580645161292</v>
      </c>
      <c r="AD230" s="25">
        <v>0.25481250000000016</v>
      </c>
      <c r="AE230" s="27">
        <f t="shared" si="9"/>
        <v>0.3703437500000003</v>
      </c>
      <c r="AF230" s="27">
        <f t="shared" si="10"/>
        <v>0.3963888888888889</v>
      </c>
      <c r="AG230" s="27">
        <f t="shared" si="11"/>
        <v>0.39165340909090918</v>
      </c>
    </row>
    <row r="231" spans="1:33" x14ac:dyDescent="0.25">
      <c r="A231" s="9">
        <v>43938</v>
      </c>
      <c r="B231" s="3">
        <v>444.40284444298919</v>
      </c>
      <c r="C231" s="3">
        <v>339.82202821192811</v>
      </c>
      <c r="D231" s="3">
        <v>593.1147477214646</v>
      </c>
      <c r="E231" s="3">
        <v>528.32304692557091</v>
      </c>
      <c r="F231" s="3">
        <v>390.18286957028607</v>
      </c>
      <c r="G231" s="3">
        <v>370.38872073828151</v>
      </c>
      <c r="H231" s="3">
        <v>374.26661810917227</v>
      </c>
      <c r="I231" s="3">
        <v>308.05133683454977</v>
      </c>
      <c r="J231" s="23">
        <v>43938</v>
      </c>
      <c r="K231" s="24">
        <v>189.27083333333334</v>
      </c>
      <c r="L231" s="24">
        <v>72.914583333333312</v>
      </c>
      <c r="M231" s="24">
        <v>20.775000000000006</v>
      </c>
      <c r="N231" s="24">
        <v>0</v>
      </c>
      <c r="O231" s="24">
        <v>239.10416666666666</v>
      </c>
      <c r="P231" s="24">
        <v>12.104166666666666</v>
      </c>
      <c r="Q231" s="24">
        <v>2.375</v>
      </c>
      <c r="R231" s="24">
        <v>15.443749999999996</v>
      </c>
      <c r="S231" s="10">
        <v>0.73545626119869623</v>
      </c>
      <c r="T231" s="25">
        <v>0.28233333333333305</v>
      </c>
      <c r="U231" s="25">
        <v>0.39441666666666664</v>
      </c>
      <c r="V231" s="25">
        <v>0.48291666666666683</v>
      </c>
      <c r="W231" s="25">
        <v>0.50010416666666657</v>
      </c>
      <c r="X231" s="25">
        <v>0.44910416666666636</v>
      </c>
      <c r="Y231" s="25">
        <v>0.33337499999999998</v>
      </c>
      <c r="Z231" s="25">
        <v>0.34608333333333324</v>
      </c>
      <c r="AA231" s="25">
        <v>0.30320833333333341</v>
      </c>
      <c r="AB231" s="25">
        <v>0.19191489361702124</v>
      </c>
      <c r="AC231" s="25">
        <v>0.12718181818181815</v>
      </c>
      <c r="AD231" s="25">
        <v>0.24920833333333325</v>
      </c>
      <c r="AE231" s="27">
        <f t="shared" si="9"/>
        <v>0.3657187499999997</v>
      </c>
      <c r="AF231" s="27">
        <f t="shared" si="10"/>
        <v>0.39335069444444448</v>
      </c>
      <c r="AG231" s="27">
        <f t="shared" si="11"/>
        <v>0.38832670454545448</v>
      </c>
    </row>
    <row r="232" spans="1:33" x14ac:dyDescent="0.25">
      <c r="A232" s="9">
        <v>43939</v>
      </c>
      <c r="B232" s="3">
        <v>405.34592317073742</v>
      </c>
      <c r="C232" s="3">
        <v>281.27464517129948</v>
      </c>
      <c r="D232" s="3">
        <v>622.59204437719131</v>
      </c>
      <c r="E232" s="3">
        <v>548.46817850700688</v>
      </c>
      <c r="F232" s="3">
        <v>391.68837017498538</v>
      </c>
      <c r="G232" s="3">
        <v>404.48915176377409</v>
      </c>
      <c r="H232" s="3">
        <v>376.41540402354769</v>
      </c>
      <c r="I232" s="3">
        <v>300.87959820101031</v>
      </c>
      <c r="J232" s="23">
        <v>43939</v>
      </c>
      <c r="K232" s="24">
        <v>176.41666666666666</v>
      </c>
      <c r="L232" s="24">
        <v>72.108333333333306</v>
      </c>
      <c r="M232" s="24">
        <v>20.5625</v>
      </c>
      <c r="N232" s="24">
        <v>0</v>
      </c>
      <c r="O232" s="24">
        <v>225.02083333333334</v>
      </c>
      <c r="P232" s="24">
        <v>15.1875</v>
      </c>
      <c r="Q232" s="24">
        <v>2.3125</v>
      </c>
      <c r="R232" s="24">
        <v>15.029166666666667</v>
      </c>
      <c r="S232" s="10">
        <v>0.75559846271427566</v>
      </c>
      <c r="T232" s="25">
        <v>0.27733333333333349</v>
      </c>
      <c r="U232" s="25">
        <v>0.38956250000000003</v>
      </c>
      <c r="V232" s="25">
        <v>0.48016666666666707</v>
      </c>
      <c r="W232" s="25">
        <v>0.49304166666666682</v>
      </c>
      <c r="X232" s="25">
        <v>0.44341666666666657</v>
      </c>
      <c r="Y232" s="25">
        <v>0.33002083333333332</v>
      </c>
      <c r="Z232" s="25">
        <v>0.34260416666666665</v>
      </c>
      <c r="AA232" s="25">
        <v>0.30052083333333329</v>
      </c>
      <c r="AB232" s="25">
        <v>0.18862500000000001</v>
      </c>
      <c r="AC232" s="25">
        <v>0.12247999999999999</v>
      </c>
      <c r="AD232" s="25">
        <v>0.24437499999999993</v>
      </c>
      <c r="AE232" s="27">
        <f t="shared" si="9"/>
        <v>0.360375</v>
      </c>
      <c r="AF232" s="27">
        <f t="shared" si="10"/>
        <v>0.38931944444444455</v>
      </c>
      <c r="AG232" s="27">
        <f t="shared" si="11"/>
        <v>0.38405681818181819</v>
      </c>
    </row>
    <row r="233" spans="1:33" x14ac:dyDescent="0.25">
      <c r="A233" s="9">
        <v>43940</v>
      </c>
      <c r="B233" s="3">
        <v>245.34768222870812</v>
      </c>
      <c r="C233" s="3">
        <v>124.08820554935524</v>
      </c>
      <c r="D233" s="3">
        <v>310.50103678402991</v>
      </c>
      <c r="E233" s="3">
        <v>265.78080920596517</v>
      </c>
      <c r="F233" s="3">
        <v>209.08722764642488</v>
      </c>
      <c r="G233" s="3">
        <v>166.33068343764171</v>
      </c>
      <c r="H233" s="3">
        <v>209.61656172076124</v>
      </c>
      <c r="I233" s="3">
        <v>185.93753713985538</v>
      </c>
      <c r="J233" s="23">
        <v>43940</v>
      </c>
      <c r="K233" s="24">
        <v>85.104166666666671</v>
      </c>
      <c r="L233" s="24">
        <v>83.833333333333314</v>
      </c>
      <c r="M233" s="24">
        <v>17.249999999999996</v>
      </c>
      <c r="N233" s="24">
        <v>0</v>
      </c>
      <c r="O233" s="24">
        <v>236.02083333333334</v>
      </c>
      <c r="P233" s="24">
        <v>5.6875</v>
      </c>
      <c r="Q233" s="24">
        <v>0.125</v>
      </c>
      <c r="R233" s="24">
        <v>14.424999999999997</v>
      </c>
      <c r="S233" s="10">
        <v>0.33848774804680049</v>
      </c>
      <c r="T233" s="25">
        <v>0.27293750000000022</v>
      </c>
      <c r="U233" s="25">
        <v>0.38479166666666659</v>
      </c>
      <c r="V233" s="25">
        <v>0.47675000000000028</v>
      </c>
      <c r="W233" s="25">
        <v>0.48658333333333353</v>
      </c>
      <c r="X233" s="25">
        <v>0.43756249999999991</v>
      </c>
      <c r="Y233" s="25">
        <v>0.32714583333333352</v>
      </c>
      <c r="Z233" s="25">
        <v>0.34025000000000011</v>
      </c>
      <c r="AA233" s="25">
        <v>0.2982708333333336</v>
      </c>
      <c r="AB233" s="25">
        <v>0.18577083333333325</v>
      </c>
      <c r="AC233" s="25">
        <v>0.11966666666666666</v>
      </c>
      <c r="AD233" s="25">
        <v>0.2408958333333332</v>
      </c>
      <c r="AE233" s="27">
        <f t="shared" si="9"/>
        <v>0.35525000000000007</v>
      </c>
      <c r="AF233" s="27">
        <f t="shared" si="10"/>
        <v>0.38563194444444454</v>
      </c>
      <c r="AG233" s="27">
        <f t="shared" si="11"/>
        <v>0.38010795454545471</v>
      </c>
    </row>
    <row r="234" spans="1:33" x14ac:dyDescent="0.25">
      <c r="A234" s="9">
        <v>43941</v>
      </c>
      <c r="B234" s="3">
        <v>325.79461090366328</v>
      </c>
      <c r="C234" s="3">
        <v>257.55649706418433</v>
      </c>
      <c r="D234" s="3">
        <v>444.46648708860164</v>
      </c>
      <c r="E234" s="3">
        <v>478.54785356766035</v>
      </c>
      <c r="F234" s="3">
        <v>315.83614490042419</v>
      </c>
      <c r="G234" s="3">
        <v>364.16068931733849</v>
      </c>
      <c r="H234" s="3">
        <v>332.26541817833026</v>
      </c>
      <c r="I234" s="3">
        <v>255.89754219276637</v>
      </c>
      <c r="J234" s="23">
        <v>43941</v>
      </c>
      <c r="K234" s="24">
        <v>201.79166666666666</v>
      </c>
      <c r="L234" s="24">
        <v>77.902083333333351</v>
      </c>
      <c r="M234" s="24">
        <v>19.602083333333333</v>
      </c>
      <c r="N234" s="24">
        <v>1.2</v>
      </c>
      <c r="O234" s="24">
        <v>227.54166666666666</v>
      </c>
      <c r="P234" s="24">
        <v>8.5416666666666661</v>
      </c>
      <c r="Q234" s="24">
        <v>0.54166666666666663</v>
      </c>
      <c r="R234" s="24">
        <v>15.2875</v>
      </c>
      <c r="S234" s="10">
        <v>0.5995692640711846</v>
      </c>
      <c r="T234" s="25">
        <v>0.27004166666666674</v>
      </c>
      <c r="U234" s="25">
        <v>0.37981250000000005</v>
      </c>
      <c r="V234" s="25">
        <v>0.47243749999999979</v>
      </c>
      <c r="W234" s="25">
        <v>0.47989583333333291</v>
      </c>
      <c r="X234" s="25">
        <v>0.4339374999999997</v>
      </c>
      <c r="Y234" s="25">
        <v>0.32487499999999991</v>
      </c>
      <c r="Z234" s="25">
        <v>0.33739583333333356</v>
      </c>
      <c r="AA234" s="25">
        <v>0.29589583333333336</v>
      </c>
      <c r="AB234" s="25">
        <v>0.18470833333333328</v>
      </c>
      <c r="AC234" s="25">
        <v>0.11912499999999999</v>
      </c>
      <c r="AD234" s="25">
        <v>0.24004166666666671</v>
      </c>
      <c r="AE234" s="27">
        <f t="shared" si="9"/>
        <v>0.35198958333333319</v>
      </c>
      <c r="AF234" s="27">
        <f t="shared" si="10"/>
        <v>0.38171874999999994</v>
      </c>
      <c r="AG234" s="27">
        <f t="shared" si="11"/>
        <v>0.37631344696969693</v>
      </c>
    </row>
    <row r="235" spans="1:33" x14ac:dyDescent="0.25">
      <c r="A235" s="9">
        <v>43942</v>
      </c>
      <c r="B235" s="3">
        <v>162.21189691389054</v>
      </c>
      <c r="C235" s="3">
        <v>103.36843835724427</v>
      </c>
      <c r="D235" s="3">
        <v>211.99938619035203</v>
      </c>
      <c r="E235" s="3">
        <v>179.68146691473675</v>
      </c>
      <c r="F235" s="3">
        <v>124.68128564826797</v>
      </c>
      <c r="G235" s="3">
        <v>98.203342450105183</v>
      </c>
      <c r="H235" s="3">
        <v>137.74637063348021</v>
      </c>
      <c r="I235" s="3">
        <v>116.8187887570359</v>
      </c>
      <c r="J235" s="23">
        <v>43942</v>
      </c>
      <c r="K235" s="24">
        <v>65.770833333333329</v>
      </c>
      <c r="L235" s="24">
        <v>84.143749999999997</v>
      </c>
      <c r="M235" s="24">
        <v>13.870833333333325</v>
      </c>
      <c r="N235" s="24">
        <v>0</v>
      </c>
      <c r="O235" s="24">
        <v>188.25</v>
      </c>
      <c r="P235" s="24">
        <v>6.458333333333333</v>
      </c>
      <c r="Q235" s="24">
        <v>0.25</v>
      </c>
      <c r="R235" s="24">
        <v>11.218750000000005</v>
      </c>
      <c r="S235" s="10">
        <v>0.25623449394215947</v>
      </c>
      <c r="T235" s="25">
        <v>0.26620833333333344</v>
      </c>
      <c r="U235" s="25">
        <v>0.3738333333333333</v>
      </c>
      <c r="V235" s="25">
        <v>0.46764583333333337</v>
      </c>
      <c r="W235" s="25">
        <v>0.47270833333333329</v>
      </c>
      <c r="X235" s="25">
        <v>0.42877083333333316</v>
      </c>
      <c r="Y235" s="25">
        <v>0.32222916666666651</v>
      </c>
      <c r="Z235" s="25">
        <v>0.33512500000000017</v>
      </c>
      <c r="AA235" s="25">
        <v>0.29404166666666659</v>
      </c>
      <c r="AB235" s="25">
        <v>0.1811041666666667</v>
      </c>
      <c r="AC235" s="25">
        <v>0.11547916666666676</v>
      </c>
      <c r="AD235" s="25">
        <v>0.23618749999999988</v>
      </c>
      <c r="AE235" s="27">
        <f t="shared" si="9"/>
        <v>0.3474895833333333</v>
      </c>
      <c r="AF235" s="27">
        <f t="shared" si="10"/>
        <v>0.3775972222222222</v>
      </c>
      <c r="AG235" s="27">
        <f t="shared" si="11"/>
        <v>0.37212310606060611</v>
      </c>
    </row>
    <row r="236" spans="1:33" x14ac:dyDescent="0.25">
      <c r="A236" s="9">
        <v>43943</v>
      </c>
      <c r="B236" s="3">
        <v>142.48373779396735</v>
      </c>
      <c r="C236" s="3">
        <v>124.8471460196057</v>
      </c>
      <c r="D236" s="3">
        <v>177.76268344712946</v>
      </c>
      <c r="E236" s="3">
        <v>142.7478792119837</v>
      </c>
      <c r="F236" s="3">
        <v>100.89533705225274</v>
      </c>
      <c r="G236" s="3">
        <v>79.649461637058053</v>
      </c>
      <c r="H236" s="3">
        <v>120.31242296281324</v>
      </c>
      <c r="I236" s="3">
        <v>100.11404323051211</v>
      </c>
      <c r="J236" s="23">
        <v>43943</v>
      </c>
      <c r="K236" s="24">
        <v>54.041666666666664</v>
      </c>
      <c r="L236" s="24">
        <v>84.766666666666637</v>
      </c>
      <c r="M236" s="24">
        <v>10.96875</v>
      </c>
      <c r="N236" s="24">
        <v>0</v>
      </c>
      <c r="O236" s="24">
        <v>192</v>
      </c>
      <c r="P236" s="24">
        <v>5.479166666666667</v>
      </c>
      <c r="Q236" s="24">
        <v>0.10416666666666667</v>
      </c>
      <c r="R236" s="24">
        <v>8.4541666666666693</v>
      </c>
      <c r="S236" s="10">
        <v>0.20816893889979401</v>
      </c>
      <c r="T236" s="25">
        <v>0.26208333333333306</v>
      </c>
      <c r="U236" s="25">
        <v>0.36739583333333337</v>
      </c>
      <c r="V236" s="25">
        <v>0.46133333333333315</v>
      </c>
      <c r="W236" s="25">
        <v>0.46629166666666677</v>
      </c>
      <c r="X236" s="25">
        <v>0.4222916666666669</v>
      </c>
      <c r="Y236" s="25">
        <v>0.31929166666666681</v>
      </c>
      <c r="Z236" s="25">
        <v>0.33302083333333349</v>
      </c>
      <c r="AA236" s="25">
        <v>0.29268749999999993</v>
      </c>
      <c r="AB236" s="25">
        <v>0.17902083333333341</v>
      </c>
      <c r="AC236" s="25">
        <v>0.11406250000000004</v>
      </c>
      <c r="AD236" s="25">
        <v>0.23295833333333318</v>
      </c>
      <c r="AE236" s="27">
        <f t="shared" si="9"/>
        <v>0.34218749999999998</v>
      </c>
      <c r="AF236" s="27">
        <f t="shared" si="10"/>
        <v>0.37333680555555554</v>
      </c>
      <c r="AG236" s="27">
        <f t="shared" si="11"/>
        <v>0.36767329545454547</v>
      </c>
    </row>
    <row r="237" spans="1:33" x14ac:dyDescent="0.25">
      <c r="A237" s="9">
        <v>43944</v>
      </c>
      <c r="B237" s="3">
        <v>49.706765383656723</v>
      </c>
      <c r="C237" s="3">
        <v>39.072336473790429</v>
      </c>
      <c r="D237" s="3">
        <v>45.087348702554308</v>
      </c>
      <c r="E237" s="3">
        <v>48.930064599444016</v>
      </c>
      <c r="F237" s="3">
        <v>45.001841982004642</v>
      </c>
      <c r="G237" s="3">
        <v>19.167921109751198</v>
      </c>
      <c r="H237" s="3">
        <v>64.955745765605357</v>
      </c>
      <c r="I237" s="3">
        <v>51.17046712865006</v>
      </c>
      <c r="J237" s="23">
        <v>43944</v>
      </c>
      <c r="K237" s="24">
        <v>27.75</v>
      </c>
      <c r="L237" s="24">
        <v>85.935416666666683</v>
      </c>
      <c r="M237" s="24">
        <v>8.1062500000000011</v>
      </c>
      <c r="N237" s="24">
        <v>0.89999999999999991</v>
      </c>
      <c r="O237" s="24">
        <v>211.4375</v>
      </c>
      <c r="P237" s="24">
        <v>4.541666666666667</v>
      </c>
      <c r="Q237" s="24">
        <v>0</v>
      </c>
      <c r="R237" s="24">
        <v>5.8604166666666657</v>
      </c>
      <c r="S237" s="10">
        <v>0.15592820820607642</v>
      </c>
      <c r="T237" s="25">
        <v>0.25845833333333318</v>
      </c>
      <c r="U237" s="25">
        <v>0.36104166666666665</v>
      </c>
      <c r="V237" s="25">
        <v>0.45495833333333363</v>
      </c>
      <c r="W237" s="25">
        <v>0.45993749999999989</v>
      </c>
      <c r="X237" s="25">
        <v>0.41652083333333345</v>
      </c>
      <c r="Y237" s="25">
        <v>0.31658333333333338</v>
      </c>
      <c r="Z237" s="25">
        <v>0.33016666666666694</v>
      </c>
      <c r="AA237" s="25">
        <v>0.29068749999999977</v>
      </c>
      <c r="AB237" s="25">
        <v>0.17620833333333341</v>
      </c>
      <c r="AC237" s="53">
        <f t="shared" ref="AC237:AC238" si="12">AD237*0.5711-0.0033</f>
        <v>0.12786263333333331</v>
      </c>
      <c r="AD237" s="25">
        <v>0.22966666666666657</v>
      </c>
      <c r="AE237" s="27">
        <f t="shared" si="9"/>
        <v>0.33748958333333334</v>
      </c>
      <c r="AF237" s="27">
        <f t="shared" si="10"/>
        <v>0.36889583333333337</v>
      </c>
      <c r="AG237" s="27">
        <f t="shared" si="11"/>
        <v>0.36318560606060607</v>
      </c>
    </row>
    <row r="238" spans="1:33" x14ac:dyDescent="0.25">
      <c r="A238" s="9">
        <v>43945</v>
      </c>
      <c r="B238" s="3">
        <v>210.11813935721486</v>
      </c>
      <c r="C238" s="3">
        <v>165.18784209366783</v>
      </c>
      <c r="D238" s="3">
        <v>286.22007612374983</v>
      </c>
      <c r="E238" s="3">
        <v>298.71534272678991</v>
      </c>
      <c r="F238" s="3">
        <v>187.11559899725185</v>
      </c>
      <c r="G238" s="3">
        <v>170.58288995787964</v>
      </c>
      <c r="H238" s="3">
        <v>220.47601862732952</v>
      </c>
      <c r="I238" s="3">
        <v>170.20158038617063</v>
      </c>
      <c r="J238" s="23">
        <v>43945</v>
      </c>
      <c r="K238" s="24">
        <v>94.645833333333329</v>
      </c>
      <c r="L238" s="24">
        <v>75.939583333333317</v>
      </c>
      <c r="M238" s="24">
        <v>9.6458333333333357</v>
      </c>
      <c r="N238" s="24">
        <v>0</v>
      </c>
      <c r="O238" s="24">
        <v>217.10416666666666</v>
      </c>
      <c r="P238" s="24">
        <v>3.1041666666666665</v>
      </c>
      <c r="Q238" s="24">
        <v>0</v>
      </c>
      <c r="R238" s="24">
        <v>5.4187500000000002</v>
      </c>
      <c r="S238" s="10">
        <v>0.31781058749788488</v>
      </c>
      <c r="T238" s="25">
        <v>0.25533333333333358</v>
      </c>
      <c r="U238" s="25">
        <v>0.35499999999999993</v>
      </c>
      <c r="V238" s="25">
        <v>0.44818750000000018</v>
      </c>
      <c r="W238" s="25">
        <v>0.45356249999999992</v>
      </c>
      <c r="X238" s="25">
        <v>0.41170833333333351</v>
      </c>
      <c r="Y238" s="25">
        <v>0.31375000000000025</v>
      </c>
      <c r="Z238" s="25">
        <v>0.32752083333333348</v>
      </c>
      <c r="AA238" s="25">
        <v>0.28879166666666684</v>
      </c>
      <c r="AB238" s="25">
        <v>0.17502083333333326</v>
      </c>
      <c r="AC238" s="53">
        <f t="shared" si="12"/>
        <v>0.12658955625000001</v>
      </c>
      <c r="AD238" s="25">
        <v>0.22743749999999999</v>
      </c>
      <c r="AE238" s="27">
        <f t="shared" si="9"/>
        <v>0.33352083333333354</v>
      </c>
      <c r="AF238" s="27">
        <f t="shared" si="10"/>
        <v>0.36446875000000012</v>
      </c>
      <c r="AG238" s="27">
        <f t="shared" si="11"/>
        <v>0.35884185606060615</v>
      </c>
    </row>
    <row r="239" spans="1:33" x14ac:dyDescent="0.25">
      <c r="A239" s="9">
        <v>43946</v>
      </c>
      <c r="B239" s="3">
        <v>117.57111679951191</v>
      </c>
      <c r="C239" s="3">
        <v>79.642637625276194</v>
      </c>
      <c r="D239" s="3">
        <v>113.1450781279828</v>
      </c>
      <c r="E239" s="3">
        <v>106.18732484805953</v>
      </c>
      <c r="F239" s="3">
        <v>85.570069307239734</v>
      </c>
      <c r="G239" s="3">
        <v>66.73564298020689</v>
      </c>
      <c r="H239" s="3">
        <v>100.20479065398273</v>
      </c>
      <c r="I239" s="3">
        <v>69.40585293183959</v>
      </c>
      <c r="J239" s="23">
        <v>43946</v>
      </c>
      <c r="K239" s="24">
        <v>62.375</v>
      </c>
      <c r="L239" s="24">
        <v>85.247916666666683</v>
      </c>
      <c r="M239" s="24">
        <v>9.2062499999999954</v>
      </c>
      <c r="N239" s="24">
        <v>5.1000000000000005</v>
      </c>
      <c r="O239" s="24">
        <v>169.04166666666666</v>
      </c>
      <c r="P239" s="24">
        <v>1.6041666666666667</v>
      </c>
      <c r="Q239" s="24">
        <v>0</v>
      </c>
      <c r="R239" s="24">
        <v>6.7687500000000016</v>
      </c>
      <c r="S239" s="10">
        <v>0.18589292031522034</v>
      </c>
      <c r="T239" s="25">
        <v>0.25475000000000009</v>
      </c>
      <c r="U239" s="25">
        <v>0.35072916666666654</v>
      </c>
      <c r="V239" s="25">
        <v>0.44327083333333345</v>
      </c>
      <c r="W239" s="25">
        <v>0.44764583333333352</v>
      </c>
      <c r="X239" s="25">
        <v>0.40960416666666671</v>
      </c>
      <c r="Y239" s="25">
        <v>0.31241666666666662</v>
      </c>
      <c r="Z239" s="25">
        <v>0.32460416666666664</v>
      </c>
      <c r="AA239" s="25">
        <v>0.28654166666666647</v>
      </c>
      <c r="AB239" s="25">
        <v>0.17431250000000001</v>
      </c>
      <c r="AC239" s="25">
        <v>0.11</v>
      </c>
      <c r="AD239" s="25">
        <v>0.23183333333333334</v>
      </c>
      <c r="AE239" s="27">
        <f t="shared" si="9"/>
        <v>0.3321770833333334</v>
      </c>
      <c r="AF239" s="27">
        <f t="shared" si="10"/>
        <v>0.36086805555555551</v>
      </c>
      <c r="AG239" s="27">
        <f t="shared" si="11"/>
        <v>0.35565151515151516</v>
      </c>
    </row>
    <row r="240" spans="1:33" x14ac:dyDescent="0.25">
      <c r="A240" s="9">
        <v>43947</v>
      </c>
      <c r="B240" s="3">
        <v>243.70747722021127</v>
      </c>
      <c r="C240" s="3">
        <v>249.67410601244745</v>
      </c>
      <c r="D240" s="3">
        <v>432.34753385434129</v>
      </c>
      <c r="E240" s="3">
        <v>400.93561579967445</v>
      </c>
      <c r="F240" s="3">
        <v>246.99108245266922</v>
      </c>
      <c r="G240" s="3">
        <v>290.40695205716332</v>
      </c>
      <c r="H240" s="3">
        <v>277.77879514850883</v>
      </c>
      <c r="I240" s="3">
        <v>195.96297982472589</v>
      </c>
      <c r="J240" s="23">
        <v>43947</v>
      </c>
      <c r="K240" s="24">
        <v>192.95833333333334</v>
      </c>
      <c r="L240" s="24">
        <v>62.970833333333331</v>
      </c>
      <c r="M240" s="24">
        <v>13.222916666666665</v>
      </c>
      <c r="N240" s="24">
        <v>0.2</v>
      </c>
      <c r="O240" s="24">
        <v>168.60416666666666</v>
      </c>
      <c r="P240" s="24">
        <v>3.6458333333333335</v>
      </c>
      <c r="Q240" s="24">
        <v>2.0833333333333332E-2</v>
      </c>
      <c r="R240" s="24">
        <v>4.8166666666666647</v>
      </c>
      <c r="S240" s="10">
        <v>0.7516583625633676</v>
      </c>
      <c r="T240" s="25">
        <v>0.25325000000000003</v>
      </c>
      <c r="U240" s="25">
        <v>0.3470208333333335</v>
      </c>
      <c r="V240" s="25">
        <v>0.43885416666666693</v>
      </c>
      <c r="W240" s="25">
        <v>0.44322916666666717</v>
      </c>
      <c r="X240" s="25">
        <v>0.40770833333333317</v>
      </c>
      <c r="Y240" s="25">
        <v>0.3109166666666669</v>
      </c>
      <c r="Z240" s="25">
        <v>0.32297916666666643</v>
      </c>
      <c r="AA240" s="25">
        <v>0.28479166666666661</v>
      </c>
      <c r="AB240" s="25">
        <v>0.17549999999999996</v>
      </c>
      <c r="AC240" s="25">
        <v>0.13366666666666671</v>
      </c>
      <c r="AD240" s="25">
        <v>0.24454166666666674</v>
      </c>
      <c r="AE240" s="27">
        <f t="shared" si="9"/>
        <v>0.3304791666666666</v>
      </c>
      <c r="AF240" s="27">
        <f t="shared" si="10"/>
        <v>0.35796527777777792</v>
      </c>
      <c r="AG240" s="27">
        <f t="shared" si="11"/>
        <v>0.35296780303030317</v>
      </c>
    </row>
    <row r="241" spans="1:33" x14ac:dyDescent="0.25">
      <c r="A241" s="9">
        <v>43948</v>
      </c>
      <c r="B241" s="3">
        <v>241.50615474964451</v>
      </c>
      <c r="C241" s="3">
        <v>346.24703346773742</v>
      </c>
      <c r="D241" s="3">
        <v>497.46995770254739</v>
      </c>
      <c r="E241" s="3">
        <v>461.36475535889281</v>
      </c>
      <c r="F241" s="3">
        <v>329.18749184754233</v>
      </c>
      <c r="G241" s="3">
        <v>388.28801082788931</v>
      </c>
      <c r="H241" s="3">
        <v>325.08797934002246</v>
      </c>
      <c r="I241" s="3">
        <v>222.34460868249639</v>
      </c>
      <c r="J241" s="23">
        <v>43948</v>
      </c>
      <c r="K241" s="24">
        <v>247.72916666666666</v>
      </c>
      <c r="L241" s="24">
        <v>42.093749999999993</v>
      </c>
      <c r="M241" s="24">
        <v>17.318750000000001</v>
      </c>
      <c r="N241" s="24">
        <v>0</v>
      </c>
      <c r="O241" s="24">
        <v>239.39583333333334</v>
      </c>
      <c r="P241" s="24">
        <v>3.875</v>
      </c>
      <c r="Q241" s="24">
        <v>0.10416666666666667</v>
      </c>
      <c r="R241" s="24">
        <v>3.027083333333334</v>
      </c>
      <c r="S241" s="10">
        <v>1.3564982296622903</v>
      </c>
      <c r="T241" s="25">
        <v>0.25266666666666676</v>
      </c>
      <c r="U241" s="25">
        <v>0.34350000000000008</v>
      </c>
      <c r="V241" s="25">
        <v>0.43529166666666669</v>
      </c>
      <c r="W241" s="25">
        <v>0.4373333333333333</v>
      </c>
      <c r="X241" s="25">
        <v>0.4082291666666667</v>
      </c>
      <c r="Y241" s="25">
        <v>0.31002083333333347</v>
      </c>
      <c r="Z241" s="25">
        <v>0.32056250000000025</v>
      </c>
      <c r="AA241" s="25">
        <v>0.28204166666666686</v>
      </c>
      <c r="AB241" s="25">
        <v>0.17502083333333338</v>
      </c>
      <c r="AC241" s="25">
        <v>0.12113043478260868</v>
      </c>
      <c r="AD241" s="25">
        <v>0.23412499999999983</v>
      </c>
      <c r="AE241" s="27">
        <f t="shared" si="9"/>
        <v>0.33044791666666673</v>
      </c>
      <c r="AF241" s="27">
        <f t="shared" si="10"/>
        <v>0.35479166666666678</v>
      </c>
      <c r="AG241" s="27">
        <f t="shared" si="11"/>
        <v>0.35036553030303041</v>
      </c>
    </row>
    <row r="242" spans="1:33" x14ac:dyDescent="0.25">
      <c r="A242" s="9">
        <v>43949</v>
      </c>
      <c r="B242" s="3">
        <v>278.14670012292112</v>
      </c>
      <c r="C242" s="3">
        <v>311.52172386539269</v>
      </c>
      <c r="D242" s="3">
        <v>562.36552366240267</v>
      </c>
      <c r="E242" s="3">
        <v>555.07409816240045</v>
      </c>
      <c r="F242" s="3">
        <v>341.71020830797499</v>
      </c>
      <c r="G242" s="3">
        <v>360.7328221891774</v>
      </c>
      <c r="H242" s="3">
        <v>312.75717647303952</v>
      </c>
      <c r="I242" s="3">
        <v>232.26306308675129</v>
      </c>
      <c r="J242" s="23">
        <v>43949</v>
      </c>
      <c r="K242" s="24">
        <v>251.47916666666666</v>
      </c>
      <c r="L242" s="24">
        <v>40.866666666666667</v>
      </c>
      <c r="M242" s="24">
        <v>19.079166666666666</v>
      </c>
      <c r="N242" s="24">
        <v>0</v>
      </c>
      <c r="O242" s="24">
        <v>217.14583333333334</v>
      </c>
      <c r="P242" s="24">
        <v>7.9375</v>
      </c>
      <c r="Q242" s="24">
        <v>2.0833333333333335</v>
      </c>
      <c r="R242" s="24">
        <v>4.8187499999999996</v>
      </c>
      <c r="S242" s="10">
        <v>1.4377365737029784</v>
      </c>
      <c r="T242" s="25">
        <v>0.25191666666666673</v>
      </c>
      <c r="U242" s="25">
        <v>0.34054166666666652</v>
      </c>
      <c r="V242" s="25">
        <v>0.4326458333333334</v>
      </c>
      <c r="W242" s="25">
        <v>0.43254166666666655</v>
      </c>
      <c r="X242" s="25">
        <v>0.40856249999999972</v>
      </c>
      <c r="Y242" s="25">
        <v>0.30962499999999965</v>
      </c>
      <c r="Z242" s="25">
        <v>0.31879166666666664</v>
      </c>
      <c r="AA242" s="25">
        <v>0.27983333333333343</v>
      </c>
      <c r="AB242" s="25">
        <v>0.17395833333333341</v>
      </c>
      <c r="AC242" s="25">
        <v>0.11542307692307693</v>
      </c>
      <c r="AD242" s="25">
        <v>0.23014583333333336</v>
      </c>
      <c r="AE242" s="27">
        <f t="shared" si="9"/>
        <v>0.33023958333333325</v>
      </c>
      <c r="AF242" s="27">
        <f t="shared" si="10"/>
        <v>0.35232986111111103</v>
      </c>
      <c r="AG242" s="27">
        <f t="shared" si="11"/>
        <v>0.3483134469696969</v>
      </c>
    </row>
    <row r="243" spans="1:33" x14ac:dyDescent="0.25">
      <c r="A243" s="9">
        <v>43950</v>
      </c>
      <c r="B243" s="3">
        <v>284.62468897281951</v>
      </c>
      <c r="C243" s="3">
        <v>224.17854217452074</v>
      </c>
      <c r="D243" s="3">
        <v>370.48270127761992</v>
      </c>
      <c r="E243" s="3">
        <v>503.29946553194998</v>
      </c>
      <c r="F243" s="3">
        <v>254.30204863590609</v>
      </c>
      <c r="G243" s="3">
        <v>230.16066085227715</v>
      </c>
      <c r="H243" s="3">
        <v>233.87484013561132</v>
      </c>
      <c r="I243" s="3">
        <v>179.49166617971505</v>
      </c>
      <c r="J243" s="23">
        <v>43950</v>
      </c>
      <c r="K243" s="24">
        <v>165.4375</v>
      </c>
      <c r="L243" s="24">
        <v>53.039583333333319</v>
      </c>
      <c r="M243" s="24">
        <v>19.212500000000002</v>
      </c>
      <c r="N243" s="24">
        <v>0</v>
      </c>
      <c r="O243" s="24">
        <v>233.72916666666666</v>
      </c>
      <c r="P243" s="24">
        <v>14.75</v>
      </c>
      <c r="Q243" s="24">
        <v>3.1458333333333335</v>
      </c>
      <c r="R243" s="24">
        <v>9.2416666666666671</v>
      </c>
      <c r="S243" s="10">
        <v>1.0711967969800062</v>
      </c>
      <c r="T243" s="25">
        <v>0.25089583333333326</v>
      </c>
      <c r="U243" s="25">
        <v>0.33779166666666671</v>
      </c>
      <c r="V243" s="25">
        <v>0.43037499999999967</v>
      </c>
      <c r="W243" s="25">
        <v>0.42785416666666637</v>
      </c>
      <c r="X243" s="25">
        <v>0.40795833333333348</v>
      </c>
      <c r="Y243" s="25">
        <v>0.30874999999999991</v>
      </c>
      <c r="Z243" s="25">
        <v>0.31702083333333358</v>
      </c>
      <c r="AA243" s="25">
        <v>0.27797916666666639</v>
      </c>
      <c r="AB243" s="25">
        <v>0.17197916666666657</v>
      </c>
      <c r="AC243" s="25">
        <v>0.11099999999999999</v>
      </c>
      <c r="AD243" s="25">
        <v>0.22777083333333337</v>
      </c>
      <c r="AE243" s="27">
        <f t="shared" si="9"/>
        <v>0.32942708333333337</v>
      </c>
      <c r="AF243" s="27">
        <f t="shared" si="10"/>
        <v>0.34996180555555539</v>
      </c>
      <c r="AG243" s="27">
        <f t="shared" si="11"/>
        <v>0.3462282196969696</v>
      </c>
    </row>
    <row r="244" spans="1:33" x14ac:dyDescent="0.25">
      <c r="A244" s="9">
        <v>43951</v>
      </c>
      <c r="B244" s="3">
        <v>304.30378259282969</v>
      </c>
      <c r="C244" s="3">
        <v>206.11230087511697</v>
      </c>
      <c r="D244" s="3">
        <v>312.67476925065426</v>
      </c>
      <c r="E244" s="3">
        <v>499.91967966155829</v>
      </c>
      <c r="F244" s="3">
        <v>241.4992270033874</v>
      </c>
      <c r="G244" s="3">
        <v>213.87045648824059</v>
      </c>
      <c r="H244" s="3">
        <v>231.35302931686692</v>
      </c>
      <c r="I244" s="3">
        <v>177.9711675080944</v>
      </c>
      <c r="J244" s="23">
        <v>43951</v>
      </c>
      <c r="K244" s="24">
        <v>138.22916666666666</v>
      </c>
      <c r="L244" s="24">
        <v>78.27500000000002</v>
      </c>
      <c r="M244" s="24">
        <v>18.239583333333339</v>
      </c>
      <c r="N244" s="24">
        <v>27.999999999999996</v>
      </c>
      <c r="O244" s="24">
        <v>229.1875</v>
      </c>
      <c r="P244" s="24">
        <v>8.0833333333333339</v>
      </c>
      <c r="Q244" s="24">
        <v>0.70833333333333337</v>
      </c>
      <c r="R244" s="24">
        <v>14.05833333333333</v>
      </c>
      <c r="S244" s="10">
        <v>0.53860055007579777</v>
      </c>
      <c r="T244" s="25">
        <v>0.26987500000000003</v>
      </c>
      <c r="U244" s="25">
        <v>0.34493750000000012</v>
      </c>
      <c r="V244" s="25">
        <v>0.43458333333333332</v>
      </c>
      <c r="W244" s="25">
        <v>0.43352083333333336</v>
      </c>
      <c r="X244" s="25">
        <v>0.42433333333333328</v>
      </c>
      <c r="Y244" s="25">
        <v>0.31685416666666671</v>
      </c>
      <c r="Z244" s="25">
        <v>0.3171874999999999</v>
      </c>
      <c r="AA244" s="25">
        <v>0.2774166666666667</v>
      </c>
      <c r="AB244" s="25">
        <v>0.17635416666666673</v>
      </c>
      <c r="AC244" s="25">
        <v>0.14307692307692305</v>
      </c>
      <c r="AD244" s="25">
        <v>0.26604166666666668</v>
      </c>
      <c r="AE244" s="27">
        <f t="shared" si="9"/>
        <v>0.34710416666666666</v>
      </c>
      <c r="AF244" s="27">
        <f t="shared" si="10"/>
        <v>0.35408333333333336</v>
      </c>
      <c r="AG244" s="27">
        <f t="shared" si="11"/>
        <v>0.35281439393939396</v>
      </c>
    </row>
    <row r="245" spans="1:33" x14ac:dyDescent="0.25">
      <c r="A245" s="9">
        <v>43952</v>
      </c>
      <c r="B245" s="3">
        <v>308.66201998846498</v>
      </c>
      <c r="C245" s="3">
        <v>255.18253865466613</v>
      </c>
      <c r="D245" s="3">
        <v>322.17125086981554</v>
      </c>
      <c r="E245" s="3">
        <v>402.96652356339916</v>
      </c>
      <c r="F245" s="3">
        <v>237.07039271520915</v>
      </c>
      <c r="G245" s="3">
        <v>229.1619322622619</v>
      </c>
      <c r="H245" s="3">
        <v>236.87699561158252</v>
      </c>
      <c r="I245" s="3">
        <v>180.30317434317502</v>
      </c>
      <c r="J245" s="23">
        <v>43952</v>
      </c>
      <c r="K245" s="24">
        <v>208.52083333333334</v>
      </c>
      <c r="L245" s="24">
        <v>82.69583333333334</v>
      </c>
      <c r="M245" s="24">
        <v>18.354166666666661</v>
      </c>
      <c r="N245" s="24">
        <v>12.499999999999998</v>
      </c>
      <c r="O245" s="24">
        <v>220.08333333333334</v>
      </c>
      <c r="P245" s="24">
        <v>3.5416666666666665</v>
      </c>
      <c r="Q245" s="24">
        <v>0.20833333333333334</v>
      </c>
      <c r="R245" s="24">
        <v>14.75</v>
      </c>
      <c r="S245" s="10">
        <v>0.52470192246064673</v>
      </c>
      <c r="T245" s="25">
        <v>0.31922916666666662</v>
      </c>
      <c r="U245" s="25">
        <v>0.37754166666666672</v>
      </c>
      <c r="V245" s="25">
        <v>0.45935416666666656</v>
      </c>
      <c r="W245" s="25">
        <v>0.4807291666666666</v>
      </c>
      <c r="X245" s="25">
        <v>0.49162500000000003</v>
      </c>
      <c r="Y245" s="25">
        <v>0.34202083333333338</v>
      </c>
      <c r="Z245" s="25">
        <v>0.33054166666666662</v>
      </c>
      <c r="AA245" s="25">
        <v>0.28672916666666676</v>
      </c>
      <c r="AB245" s="25">
        <v>0.24710638297872342</v>
      </c>
      <c r="AC245" s="25">
        <v>0.21371999999999999</v>
      </c>
      <c r="AD245" s="25">
        <v>0.41485416666666669</v>
      </c>
      <c r="AE245" s="27">
        <f t="shared" si="9"/>
        <v>0.40542708333333333</v>
      </c>
      <c r="AF245" s="27">
        <f t="shared" si="10"/>
        <v>0.37948611111111114</v>
      </c>
      <c r="AG245" s="27">
        <f t="shared" si="11"/>
        <v>0.38420265151515154</v>
      </c>
    </row>
    <row r="246" spans="1:33" x14ac:dyDescent="0.25">
      <c r="A246" s="9">
        <v>43953</v>
      </c>
      <c r="B246" s="3">
        <v>207.71813855411295</v>
      </c>
      <c r="C246" s="3">
        <v>506.16927923978238</v>
      </c>
      <c r="D246" s="3">
        <v>329.57353544663317</v>
      </c>
      <c r="E246" s="3">
        <v>348.39380556377586</v>
      </c>
      <c r="F246" s="3">
        <v>258.67338335244489</v>
      </c>
      <c r="G246" s="3">
        <v>232.00369436788515</v>
      </c>
      <c r="H246" s="3">
        <v>239.16215656348345</v>
      </c>
      <c r="I246" s="3">
        <v>185.74289989860227</v>
      </c>
      <c r="J246" s="23">
        <v>43953</v>
      </c>
      <c r="K246" s="24">
        <v>186.95833333333334</v>
      </c>
      <c r="L246" s="24">
        <v>85.872916666666654</v>
      </c>
      <c r="M246" s="24">
        <v>17.925000000000001</v>
      </c>
      <c r="N246" s="24">
        <v>17.3</v>
      </c>
      <c r="O246" s="24">
        <v>190.79166666666666</v>
      </c>
      <c r="P246" s="24">
        <v>3.2708333333333335</v>
      </c>
      <c r="Q246" s="24">
        <v>0.1875</v>
      </c>
      <c r="R246" s="24">
        <v>15.162500000000003</v>
      </c>
      <c r="S246" s="10">
        <v>0.40148235915889718</v>
      </c>
      <c r="T246" s="25">
        <v>0.31750000000000006</v>
      </c>
      <c r="U246" s="25">
        <v>0.39050000000000012</v>
      </c>
      <c r="V246" s="25">
        <v>0.47589583333333318</v>
      </c>
      <c r="W246" s="25">
        <v>0.52795833333333331</v>
      </c>
      <c r="X246" s="25">
        <v>0.54925000000000013</v>
      </c>
      <c r="Y246" s="25">
        <v>0.35429166666666662</v>
      </c>
      <c r="Z246" s="25">
        <v>0.34260416666666643</v>
      </c>
      <c r="AA246" s="25">
        <v>0.29824999999999996</v>
      </c>
      <c r="AB246" s="25">
        <v>0.37172916666666661</v>
      </c>
      <c r="AC246" s="25">
        <v>0.23943750000000003</v>
      </c>
      <c r="AD246" s="25">
        <v>0.44837499999999997</v>
      </c>
      <c r="AE246" s="27">
        <f t="shared" si="9"/>
        <v>0.43337500000000007</v>
      </c>
      <c r="AF246" s="27">
        <f t="shared" si="10"/>
        <v>0.39824999999999994</v>
      </c>
      <c r="AG246" s="27">
        <f t="shared" si="11"/>
        <v>0.40463636363636357</v>
      </c>
    </row>
    <row r="247" spans="1:33" x14ac:dyDescent="0.25">
      <c r="A247" s="9">
        <v>43954</v>
      </c>
      <c r="B247" s="3">
        <v>324.00127520706894</v>
      </c>
      <c r="C247" s="3">
        <v>587.29052922464518</v>
      </c>
      <c r="D247" s="3">
        <v>443.20998136027168</v>
      </c>
      <c r="E247" s="3">
        <v>479.15148089602877</v>
      </c>
      <c r="F247" s="3">
        <v>370.25110130398764</v>
      </c>
      <c r="G247" s="3">
        <v>409.60090559359054</v>
      </c>
      <c r="H247" s="3">
        <v>330.95124291748385</v>
      </c>
      <c r="I247" s="3">
        <v>260.74732241590851</v>
      </c>
      <c r="J247" s="23">
        <v>43954</v>
      </c>
      <c r="K247" s="24">
        <v>238.125</v>
      </c>
      <c r="L247" s="24">
        <v>79.281249999999986</v>
      </c>
      <c r="M247" s="24">
        <v>20.914583333333336</v>
      </c>
      <c r="N247" s="24">
        <v>0</v>
      </c>
      <c r="O247" s="24">
        <v>158.60416666666666</v>
      </c>
      <c r="P247" s="24">
        <v>4.895833333333333</v>
      </c>
      <c r="Q247" s="24">
        <v>0.6875</v>
      </c>
      <c r="R247" s="24">
        <v>16.752083333333328</v>
      </c>
      <c r="S247" s="10">
        <v>0.67646842257452533</v>
      </c>
      <c r="T247" s="25">
        <v>0.32172916666666668</v>
      </c>
      <c r="U247" s="25">
        <v>0.39506250000000009</v>
      </c>
      <c r="V247" s="25">
        <v>0.48658333333333331</v>
      </c>
      <c r="W247" s="25">
        <v>0.54400000000000048</v>
      </c>
      <c r="X247" s="25">
        <v>0.56897916666666626</v>
      </c>
      <c r="Y247" s="25">
        <v>0.36087499999999983</v>
      </c>
      <c r="Z247" s="25">
        <v>0.35162499999999991</v>
      </c>
      <c r="AA247" s="25">
        <v>0.30983333333333346</v>
      </c>
      <c r="AB247" s="25">
        <v>0.3929347826086958</v>
      </c>
      <c r="AC247" s="25">
        <v>0.24196296296296291</v>
      </c>
      <c r="AD247" s="25">
        <v>0.44289583333333321</v>
      </c>
      <c r="AE247" s="27">
        <f t="shared" si="9"/>
        <v>0.4453541666666665</v>
      </c>
      <c r="AF247" s="27">
        <f t="shared" si="10"/>
        <v>0.4079965277777779</v>
      </c>
      <c r="AG247" s="27">
        <f t="shared" si="11"/>
        <v>0.41478882575757581</v>
      </c>
    </row>
    <row r="248" spans="1:33" x14ac:dyDescent="0.25">
      <c r="A248" s="9">
        <v>43955</v>
      </c>
      <c r="B248" s="3">
        <v>422.79422431383426</v>
      </c>
      <c r="C248" s="3">
        <v>810.16648105120032</v>
      </c>
      <c r="D248" s="3">
        <v>673.05128481625616</v>
      </c>
      <c r="E248" s="3">
        <v>711.32566918727855</v>
      </c>
      <c r="F248" s="3">
        <v>470.94479402571932</v>
      </c>
      <c r="G248" s="3">
        <v>570.33182825266397</v>
      </c>
      <c r="H248" s="3">
        <v>387.09331966492488</v>
      </c>
      <c r="I248" s="3">
        <v>316.86634343807395</v>
      </c>
      <c r="J248" s="23">
        <v>43955</v>
      </c>
      <c r="K248" s="24">
        <v>251.27083333333334</v>
      </c>
      <c r="L248" s="24">
        <v>70.7</v>
      </c>
      <c r="M248" s="24">
        <v>24.397916666666674</v>
      </c>
      <c r="N248" s="24">
        <v>0</v>
      </c>
      <c r="O248" s="24">
        <v>233.16666666666666</v>
      </c>
      <c r="P248" s="24">
        <v>12.75</v>
      </c>
      <c r="Q248" s="24">
        <v>1.6458333333333333</v>
      </c>
      <c r="R248" s="24">
        <v>18.293749999999999</v>
      </c>
      <c r="S248" s="10">
        <v>1.0149771739138371</v>
      </c>
      <c r="T248" s="25">
        <v>0.31208333333333343</v>
      </c>
      <c r="U248" s="25">
        <v>0.39287499999999986</v>
      </c>
      <c r="V248" s="25">
        <v>0.48716666666666669</v>
      </c>
      <c r="W248" s="25">
        <v>0.54120833333333351</v>
      </c>
      <c r="X248" s="25">
        <v>0.56068749999999978</v>
      </c>
      <c r="Y248" s="25">
        <v>0.35399999999999993</v>
      </c>
      <c r="Z248" s="25">
        <v>0.35197916666666645</v>
      </c>
      <c r="AA248" s="25">
        <v>0.30966666666666637</v>
      </c>
      <c r="AB248" s="25">
        <v>0.37970833333333337</v>
      </c>
      <c r="AC248" s="25">
        <v>0.21966666666666668</v>
      </c>
      <c r="AD248" s="25">
        <v>0.41052083333333328</v>
      </c>
      <c r="AE248" s="27">
        <f t="shared" si="9"/>
        <v>0.43638541666666664</v>
      </c>
      <c r="AF248" s="27">
        <f t="shared" si="10"/>
        <v>0.40614930555555545</v>
      </c>
      <c r="AG248" s="27">
        <f t="shared" si="11"/>
        <v>0.41164678030303026</v>
      </c>
    </row>
    <row r="249" spans="1:33" x14ac:dyDescent="0.25">
      <c r="A249" s="9">
        <v>43956</v>
      </c>
      <c r="B249" s="3">
        <v>437.50154891409795</v>
      </c>
      <c r="C249" s="3">
        <v>853.27562203427476</v>
      </c>
      <c r="D249" s="3">
        <v>745.2795908031967</v>
      </c>
      <c r="E249" s="3">
        <v>750.94410867729971</v>
      </c>
      <c r="F249" s="3">
        <v>453.89182748014639</v>
      </c>
      <c r="G249" s="3">
        <v>537.57539200386873</v>
      </c>
      <c r="H249" s="3">
        <v>376.79557732736896</v>
      </c>
      <c r="I249" s="3">
        <v>311.0694315172322</v>
      </c>
      <c r="J249" s="23">
        <v>43956</v>
      </c>
      <c r="K249" s="24">
        <v>241.04166666666666</v>
      </c>
      <c r="L249" s="24">
        <v>60.235416666666659</v>
      </c>
      <c r="M249" s="24">
        <v>25.197916666666661</v>
      </c>
      <c r="N249" s="24">
        <v>0</v>
      </c>
      <c r="O249" s="24">
        <v>234.5</v>
      </c>
      <c r="P249" s="24">
        <v>9.0625</v>
      </c>
      <c r="Q249" s="24">
        <v>1.3541666666666667</v>
      </c>
      <c r="R249" s="24">
        <v>16.264583333333331</v>
      </c>
      <c r="S249" s="10">
        <v>1.428374145840664</v>
      </c>
      <c r="T249" s="25">
        <v>0.30181250000000009</v>
      </c>
      <c r="U249" s="25">
        <v>0.39043750000000021</v>
      </c>
      <c r="V249" s="25">
        <v>0.48685416666666653</v>
      </c>
      <c r="W249" s="25">
        <v>0.53720833333333318</v>
      </c>
      <c r="X249" s="25">
        <v>0.5474583333333336</v>
      </c>
      <c r="Y249" s="25">
        <v>0.34308333333333324</v>
      </c>
      <c r="Z249" s="25">
        <v>0.34958333333333336</v>
      </c>
      <c r="AA249" s="25">
        <v>0.30795833333333322</v>
      </c>
      <c r="AB249" s="25">
        <v>0.35935416666666681</v>
      </c>
      <c r="AC249" s="25">
        <v>0.19411111111111112</v>
      </c>
      <c r="AD249" s="25">
        <v>0.37387500000000001</v>
      </c>
      <c r="AE249" s="27">
        <f t="shared" si="9"/>
        <v>0.42463541666666682</v>
      </c>
      <c r="AF249" s="27">
        <f t="shared" si="10"/>
        <v>0.40252083333333322</v>
      </c>
      <c r="AG249" s="27">
        <f t="shared" si="11"/>
        <v>0.40654166666666663</v>
      </c>
    </row>
    <row r="250" spans="1:33" x14ac:dyDescent="0.25">
      <c r="A250" s="9">
        <v>43957</v>
      </c>
      <c r="B250" s="3">
        <v>523.72097132327679</v>
      </c>
      <c r="C250" s="3">
        <v>797.64182494990087</v>
      </c>
      <c r="D250" s="3">
        <v>797.92540149240267</v>
      </c>
      <c r="E250" s="3">
        <v>853.59529066950518</v>
      </c>
      <c r="F250" s="3">
        <v>499.63421819351333</v>
      </c>
      <c r="G250" s="3">
        <v>572.20443608301252</v>
      </c>
      <c r="H250" s="3">
        <v>416.78710839320485</v>
      </c>
      <c r="I250" s="3">
        <v>329.71088860476772</v>
      </c>
      <c r="J250" s="23">
        <v>43957</v>
      </c>
      <c r="K250" s="24">
        <v>260.41666666666669</v>
      </c>
      <c r="L250" s="24">
        <v>46.520833333333343</v>
      </c>
      <c r="M250" s="24">
        <v>27.718749999999996</v>
      </c>
      <c r="N250" s="24">
        <v>0</v>
      </c>
      <c r="O250" s="24">
        <v>238.97916666666666</v>
      </c>
      <c r="P250" s="24">
        <v>17.291666666666668</v>
      </c>
      <c r="Q250" s="24">
        <v>4.395833333333333</v>
      </c>
      <c r="R250" s="24">
        <v>14.962499999999997</v>
      </c>
      <c r="S250" s="10">
        <v>2.0779951544584025</v>
      </c>
      <c r="T250" s="25">
        <v>0.29037499999999999</v>
      </c>
      <c r="U250" s="25">
        <v>0.38622916666666662</v>
      </c>
      <c r="V250" s="25">
        <v>0.48404166666666648</v>
      </c>
      <c r="W250" s="25">
        <v>0.52908333333333335</v>
      </c>
      <c r="X250" s="25">
        <v>0.52445833333333358</v>
      </c>
      <c r="Y250" s="25">
        <v>0.33243749999999994</v>
      </c>
      <c r="Z250" s="25">
        <v>0.34458333333333324</v>
      </c>
      <c r="AA250" s="25">
        <v>0.30458333333333332</v>
      </c>
      <c r="AB250" s="25">
        <v>0.33576744186046514</v>
      </c>
      <c r="AC250" s="25">
        <v>0.17310344827586205</v>
      </c>
      <c r="AD250" s="25">
        <v>0.32993750000000005</v>
      </c>
      <c r="AE250" s="27">
        <f t="shared" si="9"/>
        <v>0.40741666666666676</v>
      </c>
      <c r="AF250" s="27">
        <f t="shared" si="10"/>
        <v>0.39682638888888883</v>
      </c>
      <c r="AG250" s="27">
        <f t="shared" si="11"/>
        <v>0.39875189393939392</v>
      </c>
    </row>
    <row r="251" spans="1:33" x14ac:dyDescent="0.25">
      <c r="A251" s="9">
        <v>43958</v>
      </c>
      <c r="B251" s="3">
        <v>552.93661729788232</v>
      </c>
      <c r="C251" s="3">
        <v>670.48508583019827</v>
      </c>
      <c r="D251" s="3">
        <v>822.1247467631996</v>
      </c>
      <c r="E251" s="3">
        <v>920.57173078242931</v>
      </c>
      <c r="F251" s="3">
        <v>499.11025477988323</v>
      </c>
      <c r="G251" s="3">
        <v>549.11156426544983</v>
      </c>
      <c r="H251" s="3">
        <v>455.44653804035067</v>
      </c>
      <c r="I251" s="3">
        <v>346.73107467043593</v>
      </c>
      <c r="J251" s="23">
        <v>43958</v>
      </c>
      <c r="K251" s="24">
        <v>260.375</v>
      </c>
      <c r="L251" s="24">
        <v>38.104166666666664</v>
      </c>
      <c r="M251" s="24">
        <v>29.268749999999997</v>
      </c>
      <c r="N251" s="24">
        <v>0</v>
      </c>
      <c r="O251" s="24">
        <v>232.79166666666666</v>
      </c>
      <c r="P251" s="24">
        <v>17.541666666666668</v>
      </c>
      <c r="Q251" s="24">
        <v>3.6666666666666665</v>
      </c>
      <c r="R251" s="24">
        <v>13.002083333333331</v>
      </c>
      <c r="S251" s="10">
        <v>2.6513565643342383</v>
      </c>
      <c r="T251" s="25">
        <v>0.27912500000000023</v>
      </c>
      <c r="U251" s="25">
        <v>0.38068750000000001</v>
      </c>
      <c r="V251" s="25">
        <v>0.47935416666666647</v>
      </c>
      <c r="W251" s="25">
        <v>0.51510416666666681</v>
      </c>
      <c r="X251" s="25">
        <v>0.4936875</v>
      </c>
      <c r="Y251" s="25">
        <v>0.32408333333333322</v>
      </c>
      <c r="Z251" s="25">
        <v>0.33847916666666689</v>
      </c>
      <c r="AA251" s="25">
        <v>0.30018750000000011</v>
      </c>
      <c r="AB251" s="25">
        <v>0.30209302325581394</v>
      </c>
      <c r="AC251" s="25">
        <v>0.15026086956521736</v>
      </c>
      <c r="AD251" s="25">
        <v>0.28914583333333338</v>
      </c>
      <c r="AE251" s="27">
        <f t="shared" si="9"/>
        <v>0.38640625000000012</v>
      </c>
      <c r="AF251" s="27">
        <f t="shared" si="10"/>
        <v>0.38964930555555566</v>
      </c>
      <c r="AG251" s="27">
        <f t="shared" si="11"/>
        <v>0.38905965909090917</v>
      </c>
    </row>
    <row r="252" spans="1:33" x14ac:dyDescent="0.25">
      <c r="A252" s="9">
        <v>43959</v>
      </c>
      <c r="B252" s="3">
        <v>590.6638296009429</v>
      </c>
      <c r="C252" s="3">
        <v>484.07845639168391</v>
      </c>
      <c r="D252" s="3">
        <v>739.46418076210182</v>
      </c>
      <c r="E252" s="3">
        <v>833.74295474621476</v>
      </c>
      <c r="F252" s="3">
        <v>444.15746175492609</v>
      </c>
      <c r="G252" s="3">
        <v>462.92371652927301</v>
      </c>
      <c r="H252" s="3">
        <v>405.53485289375556</v>
      </c>
      <c r="I252" s="3">
        <v>354.30584413673557</v>
      </c>
      <c r="J252" s="23">
        <v>43959</v>
      </c>
      <c r="K252" s="24">
        <v>266.5625</v>
      </c>
      <c r="L252" s="24">
        <v>39.072916666666671</v>
      </c>
      <c r="M252" s="24">
        <v>29.022916666666671</v>
      </c>
      <c r="N252" s="24">
        <v>0</v>
      </c>
      <c r="O252" s="24">
        <v>230.95833333333334</v>
      </c>
      <c r="P252" s="24">
        <v>13.354166666666666</v>
      </c>
      <c r="Q252" s="24">
        <v>2.9583333333333335</v>
      </c>
      <c r="R252" s="24">
        <v>12.970833333333337</v>
      </c>
      <c r="S252" s="10">
        <v>2.5666203821095546</v>
      </c>
      <c r="T252" s="25">
        <v>0.26989583333333339</v>
      </c>
      <c r="U252" s="25">
        <v>0.37372916666666661</v>
      </c>
      <c r="V252" s="25">
        <v>0.47381249999999975</v>
      </c>
      <c r="W252" s="25">
        <v>0.49572916666666655</v>
      </c>
      <c r="X252" s="25">
        <v>0.46772916666666636</v>
      </c>
      <c r="Y252" s="25">
        <v>0.31889583333333343</v>
      </c>
      <c r="Z252" s="25">
        <v>0.33258333333333345</v>
      </c>
      <c r="AA252" s="25">
        <v>0.29535416666666653</v>
      </c>
      <c r="AB252" s="25">
        <v>0.26302499999999995</v>
      </c>
      <c r="AC252" s="25">
        <v>0.13552173913043475</v>
      </c>
      <c r="AD252" s="25">
        <v>0.26329166666666665</v>
      </c>
      <c r="AE252" s="27">
        <f t="shared" si="9"/>
        <v>0.36881249999999988</v>
      </c>
      <c r="AF252" s="27">
        <f t="shared" si="10"/>
        <v>0.38168402777777771</v>
      </c>
      <c r="AG252" s="27">
        <f t="shared" si="11"/>
        <v>0.37934374999999992</v>
      </c>
    </row>
    <row r="253" spans="1:33" x14ac:dyDescent="0.25">
      <c r="A253" s="9">
        <v>43960</v>
      </c>
      <c r="B253" s="3">
        <v>579.24074425338506</v>
      </c>
      <c r="C253" s="3">
        <v>249.55959265343543</v>
      </c>
      <c r="D253" s="3">
        <v>571.25068718222099</v>
      </c>
      <c r="E253" s="3">
        <v>842.48732618834231</v>
      </c>
      <c r="F253" s="3">
        <v>427.12687869262282</v>
      </c>
      <c r="G253" s="3">
        <v>449.2320250576538</v>
      </c>
      <c r="H253" s="3">
        <v>377.18271246213556</v>
      </c>
      <c r="I253" s="3">
        <v>334.89613557517515</v>
      </c>
      <c r="J253" s="23">
        <v>43960</v>
      </c>
      <c r="K253" s="24">
        <v>266.47916666666669</v>
      </c>
      <c r="L253" s="24">
        <v>51.59375</v>
      </c>
      <c r="M253" s="24">
        <v>26.668749999999999</v>
      </c>
      <c r="N253" s="24">
        <v>0</v>
      </c>
      <c r="O253" s="24">
        <v>228.33333333333334</v>
      </c>
      <c r="P253" s="24">
        <v>12.541666666666666</v>
      </c>
      <c r="Q253" s="24">
        <v>1.375</v>
      </c>
      <c r="R253" s="24">
        <v>14.095833333333337</v>
      </c>
      <c r="S253" s="10">
        <v>1.9406293191005999</v>
      </c>
      <c r="T253" s="25">
        <v>0.26245833333333335</v>
      </c>
      <c r="U253" s="25">
        <v>0.36560416666666673</v>
      </c>
      <c r="V253" s="25">
        <v>0.46687499999999998</v>
      </c>
      <c r="W253" s="25">
        <v>0.47845833333333315</v>
      </c>
      <c r="X253" s="25">
        <v>0.44977083333333329</v>
      </c>
      <c r="Y253" s="25">
        <v>0.31597916666666659</v>
      </c>
      <c r="Z253" s="25">
        <v>0.32793749999999994</v>
      </c>
      <c r="AA253" s="25">
        <v>0.29116666666666641</v>
      </c>
      <c r="AB253" s="25">
        <v>0.2308372093023256</v>
      </c>
      <c r="AC253" s="25">
        <v>0.12712499999999996</v>
      </c>
      <c r="AD253" s="25">
        <v>0.24970833333333331</v>
      </c>
      <c r="AE253" s="27">
        <f t="shared" si="9"/>
        <v>0.35611458333333335</v>
      </c>
      <c r="AF253" s="27">
        <f t="shared" si="10"/>
        <v>0.37433680555555543</v>
      </c>
      <c r="AG253" s="27">
        <f t="shared" si="11"/>
        <v>0.37102367424242416</v>
      </c>
    </row>
    <row r="254" spans="1:33" x14ac:dyDescent="0.25">
      <c r="A254" s="9">
        <v>43961</v>
      </c>
      <c r="B254" s="3">
        <v>446.72751897556179</v>
      </c>
      <c r="C254" s="3">
        <v>197.51397229389377</v>
      </c>
      <c r="D254" s="3">
        <v>516.81694333406324</v>
      </c>
      <c r="E254" s="3">
        <v>693.25929080876756</v>
      </c>
      <c r="F254" s="3">
        <v>360.09959034164331</v>
      </c>
      <c r="G254" s="3">
        <v>339.27311986180172</v>
      </c>
      <c r="H254" s="3">
        <v>305.63038641644619</v>
      </c>
      <c r="I254" s="3">
        <v>276.46450482639432</v>
      </c>
      <c r="J254" s="23">
        <v>43961</v>
      </c>
      <c r="K254" s="24">
        <v>167.97916666666666</v>
      </c>
      <c r="L254" s="24">
        <v>67.637499999999974</v>
      </c>
      <c r="M254" s="24">
        <v>20.825000000000003</v>
      </c>
      <c r="N254" s="24">
        <v>0</v>
      </c>
      <c r="O254" s="24">
        <v>225.375</v>
      </c>
      <c r="P254" s="24">
        <v>7.645833333333333</v>
      </c>
      <c r="Q254" s="24">
        <v>0.77083333333333337</v>
      </c>
      <c r="R254" s="24">
        <v>14.46875</v>
      </c>
      <c r="S254" s="10">
        <v>0.84952965248729972</v>
      </c>
      <c r="T254" s="25">
        <v>0.25602083333333336</v>
      </c>
      <c r="U254" s="25">
        <v>0.35706250000000006</v>
      </c>
      <c r="V254" s="25">
        <v>0.4587499999999996</v>
      </c>
      <c r="W254" s="25">
        <v>0.4644583333333332</v>
      </c>
      <c r="X254" s="25">
        <v>0.43562500000000015</v>
      </c>
      <c r="Y254" s="25">
        <v>0.3128749999999999</v>
      </c>
      <c r="Z254" s="25">
        <v>0.32454166666666645</v>
      </c>
      <c r="AA254" s="25">
        <v>0.28779166666666672</v>
      </c>
      <c r="AB254" s="25">
        <v>0.20572340425531913</v>
      </c>
      <c r="AC254" s="25">
        <v>0.11894117647058822</v>
      </c>
      <c r="AD254" s="25">
        <v>0.24191666666666659</v>
      </c>
      <c r="AE254" s="27">
        <f t="shared" si="9"/>
        <v>0.34582291666666676</v>
      </c>
      <c r="AF254" s="27">
        <f t="shared" si="10"/>
        <v>0.36757986111111102</v>
      </c>
      <c r="AG254" s="27">
        <f t="shared" si="11"/>
        <v>0.36362405303030298</v>
      </c>
    </row>
    <row r="255" spans="1:33" x14ac:dyDescent="0.25">
      <c r="A255" s="9">
        <v>43962</v>
      </c>
      <c r="B255" s="3">
        <v>409.13737027223141</v>
      </c>
      <c r="C255" s="3">
        <v>306.08332849836802</v>
      </c>
      <c r="D255" s="3">
        <v>452.31820806271736</v>
      </c>
      <c r="E255" s="3">
        <v>503.68074933275824</v>
      </c>
      <c r="F255" s="3">
        <v>228.31584162907484</v>
      </c>
      <c r="G255" s="3">
        <v>246.62001355482326</v>
      </c>
      <c r="H255" s="3">
        <v>215.38186925594329</v>
      </c>
      <c r="I255" s="3">
        <v>185.22577082090245</v>
      </c>
      <c r="J255" s="23">
        <v>43962</v>
      </c>
      <c r="K255" s="24">
        <v>151.39583333333334</v>
      </c>
      <c r="L255" s="24">
        <v>75.895833333333314</v>
      </c>
      <c r="M255" s="24">
        <v>19.562500000000004</v>
      </c>
      <c r="N255" s="24">
        <v>11.299999999999999</v>
      </c>
      <c r="O255" s="24">
        <v>210.1875</v>
      </c>
      <c r="P255" s="24">
        <v>7.104166666666667</v>
      </c>
      <c r="Q255" s="24">
        <v>0.27083333333333331</v>
      </c>
      <c r="R255" s="24">
        <v>14.854166666666666</v>
      </c>
      <c r="S255" s="10">
        <v>0.59737628498286055</v>
      </c>
      <c r="T255" s="25">
        <v>0.26002083333333326</v>
      </c>
      <c r="U255" s="25">
        <v>0.35297916666666668</v>
      </c>
      <c r="V255" s="25">
        <v>0.45022916666666668</v>
      </c>
      <c r="W255" s="25">
        <v>0.45587500000000003</v>
      </c>
      <c r="X255" s="25">
        <v>0.43541666666666656</v>
      </c>
      <c r="Y255" s="25">
        <v>0.31379166666666675</v>
      </c>
      <c r="Z255" s="25">
        <v>0.3225416666666665</v>
      </c>
      <c r="AA255" s="25">
        <v>0.28564583333333327</v>
      </c>
      <c r="AB255" s="25">
        <v>0.22558333333333333</v>
      </c>
      <c r="AC255" s="25">
        <v>0.17817241379310347</v>
      </c>
      <c r="AD255" s="25">
        <v>0.28181250000000008</v>
      </c>
      <c r="AE255" s="27">
        <f t="shared" si="9"/>
        <v>0.34771874999999991</v>
      </c>
      <c r="AF255" s="27">
        <f t="shared" si="10"/>
        <v>0.36351041666666667</v>
      </c>
      <c r="AG255" s="27">
        <f t="shared" si="11"/>
        <v>0.36063920454545456</v>
      </c>
    </row>
    <row r="256" spans="1:33" x14ac:dyDescent="0.25">
      <c r="A256" s="9">
        <v>43963</v>
      </c>
      <c r="B256" s="3">
        <v>381.36920277796753</v>
      </c>
      <c r="C256" s="3">
        <v>455.91452099336311</v>
      </c>
      <c r="D256" s="3">
        <v>456.61121654042262</v>
      </c>
      <c r="E256" s="3">
        <v>434.3724695888252</v>
      </c>
      <c r="F256" s="3">
        <v>278.66210144427555</v>
      </c>
      <c r="G256" s="3">
        <v>230.43972110725022</v>
      </c>
      <c r="H256" s="3">
        <v>214.88713665027271</v>
      </c>
      <c r="I256" s="3">
        <v>212.86974753284244</v>
      </c>
      <c r="J256" s="23">
        <v>43963</v>
      </c>
      <c r="K256" s="24">
        <v>108.8125</v>
      </c>
      <c r="L256" s="24">
        <v>72.472916666666677</v>
      </c>
      <c r="M256" s="24">
        <v>17.964583333333326</v>
      </c>
      <c r="N256" s="24">
        <v>0</v>
      </c>
      <c r="O256" s="24">
        <v>201.35416666666666</v>
      </c>
      <c r="P256" s="24">
        <v>5.833333333333333</v>
      </c>
      <c r="Q256" s="24">
        <v>0.375</v>
      </c>
      <c r="R256" s="24">
        <v>12.887499999999996</v>
      </c>
      <c r="S256" s="10">
        <v>0.5830936900139444</v>
      </c>
      <c r="T256" s="25">
        <v>0.25410416666666663</v>
      </c>
      <c r="U256" s="25">
        <v>0.34870833333333323</v>
      </c>
      <c r="V256" s="25">
        <v>0.44437500000000013</v>
      </c>
      <c r="W256" s="25">
        <v>0.4502083333333331</v>
      </c>
      <c r="X256" s="25">
        <v>0.43099999999999961</v>
      </c>
      <c r="Y256" s="25">
        <v>0.31279166666666636</v>
      </c>
      <c r="Z256" s="25">
        <v>0.3212916666666667</v>
      </c>
      <c r="AA256" s="25">
        <v>0.28460416666666699</v>
      </c>
      <c r="AB256" s="25">
        <v>0.22445833333333334</v>
      </c>
      <c r="AC256" s="25">
        <v>0.1497727272727272</v>
      </c>
      <c r="AD256" s="25">
        <v>0.26395833333333318</v>
      </c>
      <c r="AE256" s="27">
        <f t="shared" si="9"/>
        <v>0.34255208333333309</v>
      </c>
      <c r="AF256" s="27">
        <f t="shared" si="10"/>
        <v>0.36032986111111115</v>
      </c>
      <c r="AG256" s="27">
        <f t="shared" si="11"/>
        <v>0.35709753787878784</v>
      </c>
    </row>
    <row r="257" spans="1:33" x14ac:dyDescent="0.25">
      <c r="A257" s="9">
        <v>43964</v>
      </c>
      <c r="B257" s="3">
        <v>533.59183624290881</v>
      </c>
      <c r="C257" s="3">
        <v>730.42461489044808</v>
      </c>
      <c r="D257" s="3">
        <v>651.41308107922896</v>
      </c>
      <c r="E257" s="3">
        <v>728.22148286605079</v>
      </c>
      <c r="F257" s="3">
        <v>401.09389554328902</v>
      </c>
      <c r="G257" s="3">
        <v>368.59771623562449</v>
      </c>
      <c r="H257" s="3">
        <v>308.52277186191515</v>
      </c>
      <c r="I257" s="3">
        <v>314.93577352703193</v>
      </c>
      <c r="J257" s="23">
        <v>43964</v>
      </c>
      <c r="K257" s="24">
        <v>203.6875</v>
      </c>
      <c r="L257" s="24">
        <v>73.997916666666654</v>
      </c>
      <c r="M257" s="24">
        <v>22.216666666666665</v>
      </c>
      <c r="N257" s="24">
        <v>0</v>
      </c>
      <c r="O257" s="24">
        <v>231.64583333333334</v>
      </c>
      <c r="P257" s="24">
        <v>19.416666666666668</v>
      </c>
      <c r="Q257" s="24">
        <v>5.395833333333333</v>
      </c>
      <c r="R257" s="24">
        <v>17.162499999999998</v>
      </c>
      <c r="S257" s="10">
        <v>0.77101966255554544</v>
      </c>
      <c r="T257" s="25">
        <v>0.25208333333333327</v>
      </c>
      <c r="U257" s="25">
        <v>0.34520833333333328</v>
      </c>
      <c r="V257" s="25">
        <v>0.43991666666666657</v>
      </c>
      <c r="W257" s="25">
        <v>0.44339583333333338</v>
      </c>
      <c r="X257" s="25">
        <v>0.42756249999999979</v>
      </c>
      <c r="Y257" s="25">
        <v>0.31112500000000004</v>
      </c>
      <c r="Z257" s="25">
        <v>0.31925000000000009</v>
      </c>
      <c r="AA257" s="25">
        <v>0.28320833333333323</v>
      </c>
      <c r="AB257" s="25">
        <v>0.22043750000000004</v>
      </c>
      <c r="AC257" s="25">
        <v>0.14174468085106381</v>
      </c>
      <c r="AD257" s="25">
        <v>0.25368750000000007</v>
      </c>
      <c r="AE257" s="27">
        <f t="shared" si="9"/>
        <v>0.33982291666666653</v>
      </c>
      <c r="AF257" s="27">
        <f t="shared" si="10"/>
        <v>0.3570173611111111</v>
      </c>
      <c r="AG257" s="27">
        <f t="shared" si="11"/>
        <v>0.35389109848484851</v>
      </c>
    </row>
    <row r="258" spans="1:33" x14ac:dyDescent="0.25">
      <c r="A258" s="9">
        <v>43965</v>
      </c>
      <c r="B258" s="3">
        <v>568.49598811576118</v>
      </c>
      <c r="C258" s="3">
        <v>412.09782123232168</v>
      </c>
      <c r="D258" s="3">
        <v>638.04770415704809</v>
      </c>
      <c r="E258" s="3">
        <v>812.94514914013575</v>
      </c>
      <c r="F258" s="3">
        <v>402.06313958625918</v>
      </c>
      <c r="G258" s="3">
        <v>367.14289784841588</v>
      </c>
      <c r="H258" s="3">
        <v>304.89818308354796</v>
      </c>
      <c r="I258" s="3">
        <v>332.17486573185732</v>
      </c>
      <c r="J258" s="23">
        <v>43965</v>
      </c>
      <c r="K258" s="24">
        <v>215.625</v>
      </c>
      <c r="L258" s="24">
        <v>67.756250000000009</v>
      </c>
      <c r="M258" s="24">
        <v>23.027083333333323</v>
      </c>
      <c r="N258" s="24">
        <v>0</v>
      </c>
      <c r="O258" s="24">
        <v>236.02083333333334</v>
      </c>
      <c r="P258" s="24">
        <v>7.958333333333333</v>
      </c>
      <c r="Q258" s="24">
        <v>0.97916666666666663</v>
      </c>
      <c r="R258" s="24">
        <v>16.341666666666665</v>
      </c>
      <c r="S258" s="10">
        <v>1.0125076451467236</v>
      </c>
      <c r="T258" s="25">
        <v>0.24991666666666665</v>
      </c>
      <c r="U258" s="25">
        <v>0.34254166666666658</v>
      </c>
      <c r="V258" s="25">
        <v>0.43729166666666641</v>
      </c>
      <c r="W258" s="25">
        <v>0.43595833333333317</v>
      </c>
      <c r="X258" s="25">
        <v>0.42437499999999967</v>
      </c>
      <c r="Y258" s="25">
        <v>0.31050000000000022</v>
      </c>
      <c r="Z258" s="25">
        <v>0.31754166666666689</v>
      </c>
      <c r="AA258" s="25">
        <v>0.28106249999999972</v>
      </c>
      <c r="AB258" s="25">
        <v>0.21139583333333331</v>
      </c>
      <c r="AC258" s="25">
        <v>0.13020833333333334</v>
      </c>
      <c r="AD258" s="25">
        <v>0.24660416666666662</v>
      </c>
      <c r="AE258" s="27">
        <f t="shared" si="9"/>
        <v>0.33714583333333314</v>
      </c>
      <c r="AF258" s="27">
        <f t="shared" si="10"/>
        <v>0.35414930555555552</v>
      </c>
      <c r="AG258" s="27">
        <f t="shared" si="11"/>
        <v>0.3510577651515151</v>
      </c>
    </row>
    <row r="259" spans="1:33" x14ac:dyDescent="0.25">
      <c r="A259" s="9">
        <v>43966</v>
      </c>
      <c r="B259" s="3">
        <v>440.28644132267931</v>
      </c>
      <c r="C259" s="3">
        <v>349.03969504804724</v>
      </c>
      <c r="D259" s="3">
        <v>562.4644680318595</v>
      </c>
      <c r="E259" s="3">
        <v>604.07957610671747</v>
      </c>
      <c r="F259" s="3">
        <v>272.39138700531754</v>
      </c>
      <c r="G259" s="3">
        <v>284.4319212033264</v>
      </c>
      <c r="H259" s="3">
        <v>266.86346738830474</v>
      </c>
      <c r="I259" s="3">
        <v>270.94808334787064</v>
      </c>
      <c r="J259" s="23">
        <v>43966</v>
      </c>
      <c r="K259" s="24">
        <v>198.83333333333334</v>
      </c>
      <c r="L259" s="24">
        <v>73.416666666666671</v>
      </c>
      <c r="M259" s="24">
        <v>21.216666666666669</v>
      </c>
      <c r="N259" s="24">
        <v>9.5</v>
      </c>
      <c r="O259" s="24">
        <v>227.04166666666666</v>
      </c>
      <c r="P259" s="24">
        <v>5.5625</v>
      </c>
      <c r="Q259" s="24">
        <v>0.35416666666666669</v>
      </c>
      <c r="R259" s="24">
        <v>15.827083333333333</v>
      </c>
      <c r="S259" s="10">
        <v>0.80369608200246112</v>
      </c>
      <c r="T259" s="25">
        <v>0.24862500000000007</v>
      </c>
      <c r="U259" s="25">
        <v>0.3402291666666668</v>
      </c>
      <c r="V259" s="25">
        <v>0.43402083333333308</v>
      </c>
      <c r="W259" s="25">
        <v>0.43179166666666652</v>
      </c>
      <c r="X259" s="25">
        <v>0.42375000000000007</v>
      </c>
      <c r="Y259" s="25">
        <v>0.31095833333333356</v>
      </c>
      <c r="Z259" s="25">
        <v>0.31635416666666688</v>
      </c>
      <c r="AA259" s="25">
        <v>0.27964583333333337</v>
      </c>
      <c r="AB259" s="25">
        <v>0.22302083333333333</v>
      </c>
      <c r="AC259" s="25">
        <v>0.18177083333333333</v>
      </c>
      <c r="AD259" s="25">
        <v>0.26708333333333339</v>
      </c>
      <c r="AE259" s="27">
        <f t="shared" si="9"/>
        <v>0.33618750000000008</v>
      </c>
      <c r="AF259" s="27">
        <f t="shared" si="10"/>
        <v>0.35216666666666674</v>
      </c>
      <c r="AG259" s="27">
        <f t="shared" si="11"/>
        <v>0.34926136363636373</v>
      </c>
    </row>
    <row r="260" spans="1:33" x14ac:dyDescent="0.25">
      <c r="A260" s="9">
        <v>43967</v>
      </c>
      <c r="B260" s="3">
        <v>492.60467758806362</v>
      </c>
      <c r="C260" s="3">
        <v>488.71741545712229</v>
      </c>
      <c r="D260" s="3">
        <v>643.0482498263375</v>
      </c>
      <c r="E260" s="3">
        <v>630.7194164206486</v>
      </c>
      <c r="F260" s="3">
        <v>310.95972854264909</v>
      </c>
      <c r="G260" s="3">
        <v>320.53969564127163</v>
      </c>
      <c r="H260" s="3">
        <v>278.98655994133276</v>
      </c>
      <c r="I260" s="3">
        <v>251.28832673419231</v>
      </c>
      <c r="J260" s="23">
        <v>43967</v>
      </c>
      <c r="K260" s="24">
        <v>200.35416666666666</v>
      </c>
      <c r="L260" s="24">
        <v>71.591666666666669</v>
      </c>
      <c r="M260" s="24">
        <v>22.137500000000003</v>
      </c>
      <c r="N260" s="24">
        <v>0.2</v>
      </c>
      <c r="O260" s="24">
        <v>232.60416666666666</v>
      </c>
      <c r="P260" s="24">
        <v>6.104166666666667</v>
      </c>
      <c r="Q260" s="24">
        <v>0.20833333333333334</v>
      </c>
      <c r="R260" s="24">
        <v>16.429166666666667</v>
      </c>
      <c r="S260" s="10">
        <v>0.84092451406757951</v>
      </c>
      <c r="T260" s="25">
        <v>0.24852083333333316</v>
      </c>
      <c r="U260" s="25">
        <v>0.33908333333333301</v>
      </c>
      <c r="V260" s="25">
        <v>0.43239583333333337</v>
      </c>
      <c r="W260" s="25">
        <v>0.42885416666666659</v>
      </c>
      <c r="X260" s="25">
        <v>0.4229583333333336</v>
      </c>
      <c r="Y260" s="25">
        <v>0.31033333333333352</v>
      </c>
      <c r="Z260" s="25">
        <v>0.3151666666666666</v>
      </c>
      <c r="AA260" s="25">
        <v>0.27881250000000019</v>
      </c>
      <c r="AB260" s="25">
        <v>0.21156250000000007</v>
      </c>
      <c r="AC260" s="25">
        <v>0.15620833333333328</v>
      </c>
      <c r="AD260" s="25">
        <v>0.25904166666666673</v>
      </c>
      <c r="AE260" s="27">
        <f t="shared" si="9"/>
        <v>0.33573958333333337</v>
      </c>
      <c r="AF260" s="27">
        <f t="shared" si="10"/>
        <v>0.35077430555555561</v>
      </c>
      <c r="AG260" s="27">
        <f t="shared" si="11"/>
        <v>0.34804071969696976</v>
      </c>
    </row>
    <row r="261" spans="1:33" x14ac:dyDescent="0.25">
      <c r="A261" s="9">
        <v>43968</v>
      </c>
      <c r="B261" s="3">
        <v>145.20578800665893</v>
      </c>
      <c r="C261" s="3">
        <v>209.71460465247549</v>
      </c>
      <c r="D261" s="3">
        <v>178.74479678134367</v>
      </c>
      <c r="E261" s="3">
        <v>164.69473015969663</v>
      </c>
      <c r="F261" s="3">
        <v>88.136477300571215</v>
      </c>
      <c r="G261" s="3">
        <v>84.513411519424423</v>
      </c>
      <c r="H261" s="3">
        <v>96.176030666314858</v>
      </c>
      <c r="I261" s="3">
        <v>86.406194239018006</v>
      </c>
      <c r="J261" s="23">
        <v>43968</v>
      </c>
      <c r="K261" s="24">
        <v>99.0625</v>
      </c>
      <c r="L261" s="24">
        <v>88.400000000000034</v>
      </c>
      <c r="M261" s="24">
        <v>17.595833333333328</v>
      </c>
      <c r="N261" s="24">
        <v>11.5</v>
      </c>
      <c r="O261" s="24">
        <v>215.14583333333334</v>
      </c>
      <c r="P261" s="24">
        <v>1.8125</v>
      </c>
      <c r="Q261" s="24">
        <v>0</v>
      </c>
      <c r="R261" s="24">
        <v>15.554166666666662</v>
      </c>
      <c r="S261" s="10">
        <v>0.25709240959669238</v>
      </c>
      <c r="T261" s="25">
        <v>0.24779166666666652</v>
      </c>
      <c r="U261" s="25">
        <v>0.33641666666666681</v>
      </c>
      <c r="V261" s="25">
        <v>0.42981249999999971</v>
      </c>
      <c r="W261" s="25">
        <v>0.42656249999999951</v>
      </c>
      <c r="X261" s="25">
        <v>0.41920833333333335</v>
      </c>
      <c r="Y261" s="25">
        <v>0.30993750000000003</v>
      </c>
      <c r="Z261" s="25">
        <v>0.31425000000000008</v>
      </c>
      <c r="AA261" s="25">
        <v>0.27777083333333336</v>
      </c>
      <c r="AB261" s="25">
        <v>0.22056249999999999</v>
      </c>
      <c r="AC261" s="25">
        <v>0.18058333333333335</v>
      </c>
      <c r="AD261" s="25">
        <v>0.26829166666666665</v>
      </c>
      <c r="AE261" s="27">
        <f t="shared" si="9"/>
        <v>0.33349999999999991</v>
      </c>
      <c r="AF261" s="27">
        <f t="shared" si="10"/>
        <v>0.34912499999999991</v>
      </c>
      <c r="AG261" s="27">
        <f t="shared" si="11"/>
        <v>0.34628409090909079</v>
      </c>
    </row>
    <row r="262" spans="1:33" x14ac:dyDescent="0.25">
      <c r="A262" s="9">
        <v>43969</v>
      </c>
      <c r="B262" s="3">
        <v>411.86679855265021</v>
      </c>
      <c r="C262" s="3">
        <v>617.55559256343429</v>
      </c>
      <c r="D262" s="3">
        <v>647.11171438269457</v>
      </c>
      <c r="E262" s="3">
        <v>601.71485817504367</v>
      </c>
      <c r="F262" s="3">
        <v>292.93399192293958</v>
      </c>
      <c r="G262" s="3">
        <v>340.37708242325846</v>
      </c>
      <c r="H262" s="3">
        <v>306.67099111588658</v>
      </c>
      <c r="I262" s="3">
        <v>272.10617525550248</v>
      </c>
      <c r="J262" s="23">
        <v>43969</v>
      </c>
      <c r="K262" s="24">
        <v>266.8125</v>
      </c>
      <c r="L262" s="24">
        <v>65.349999999999994</v>
      </c>
      <c r="M262" s="24">
        <v>21.635416666666671</v>
      </c>
      <c r="N262" s="24">
        <v>0</v>
      </c>
      <c r="O262" s="24">
        <v>212.375</v>
      </c>
      <c r="P262" s="24">
        <v>3.8958333333333335</v>
      </c>
      <c r="Q262" s="24">
        <v>0.10416666666666667</v>
      </c>
      <c r="R262" s="24">
        <v>13.310416666666667</v>
      </c>
      <c r="S262" s="10">
        <v>1.1595179633070989</v>
      </c>
      <c r="T262" s="25">
        <v>0.24770833333333322</v>
      </c>
      <c r="U262" s="25">
        <v>0.3353125000000004</v>
      </c>
      <c r="V262" s="25">
        <v>0.42752083333333318</v>
      </c>
      <c r="W262" s="25">
        <v>0.42485416666666631</v>
      </c>
      <c r="X262" s="25">
        <v>0.41789583333333313</v>
      </c>
      <c r="Y262" s="25">
        <v>0.30918749999999973</v>
      </c>
      <c r="Z262" s="25">
        <v>0.31347916666666686</v>
      </c>
      <c r="AA262" s="25">
        <v>0.27741666666666642</v>
      </c>
      <c r="AB262" s="25">
        <v>0.22960416666666669</v>
      </c>
      <c r="AC262" s="25">
        <v>0.19387500000000005</v>
      </c>
      <c r="AD262" s="25">
        <v>0.29775000000000001</v>
      </c>
      <c r="AE262" s="27">
        <f t="shared" ref="AE262:AE325" si="13">AVERAGE(T262,X262)</f>
        <v>0.33280208333333317</v>
      </c>
      <c r="AF262" s="27">
        <f t="shared" ref="AF262:AF325" si="14">AVERAGE(U262:W262,Y262:AA262)</f>
        <v>0.3479618055555555</v>
      </c>
      <c r="AG262" s="27">
        <f t="shared" ref="AG262:AG325" si="15">(AE262*10+AF262*45)/55</f>
        <v>0.34520549242424231</v>
      </c>
    </row>
    <row r="263" spans="1:33" x14ac:dyDescent="0.25">
      <c r="A263" s="9">
        <v>43970</v>
      </c>
      <c r="B263" s="3">
        <v>393.94080529518067</v>
      </c>
      <c r="C263" s="3">
        <v>429.99980861702687</v>
      </c>
      <c r="D263" s="3">
        <v>560.70997344779175</v>
      </c>
      <c r="E263" s="3">
        <v>527.28076062683022</v>
      </c>
      <c r="F263" s="3">
        <v>253.98390795427531</v>
      </c>
      <c r="G263" s="3">
        <v>246.7960796785531</v>
      </c>
      <c r="H263" s="3">
        <v>244.55477991830452</v>
      </c>
      <c r="I263" s="3">
        <v>302.95439344288366</v>
      </c>
      <c r="J263" s="23">
        <v>43970</v>
      </c>
      <c r="K263" s="24">
        <v>144.83333333333334</v>
      </c>
      <c r="L263" s="24">
        <v>72.399999999999991</v>
      </c>
      <c r="M263" s="24">
        <v>21.545833333333334</v>
      </c>
      <c r="N263" s="24">
        <v>13.2</v>
      </c>
      <c r="O263" s="24">
        <v>216.58333333333334</v>
      </c>
      <c r="P263" s="24">
        <v>9.375</v>
      </c>
      <c r="Q263" s="24">
        <v>1.5</v>
      </c>
      <c r="R263" s="24">
        <v>16.191666666666666</v>
      </c>
      <c r="S263" s="10">
        <v>0.7414286302599411</v>
      </c>
      <c r="T263" s="25">
        <v>0.24779166666666672</v>
      </c>
      <c r="U263" s="25">
        <v>0.33458333333333323</v>
      </c>
      <c r="V263" s="25">
        <v>0.42614583333333339</v>
      </c>
      <c r="W263" s="25">
        <v>0.42266666666666675</v>
      </c>
      <c r="X263" s="25">
        <v>0.41752083333333362</v>
      </c>
      <c r="Y263" s="25">
        <v>0.30868749999999995</v>
      </c>
      <c r="Z263" s="25">
        <v>0.31235416666666643</v>
      </c>
      <c r="AA263" s="25">
        <v>0.27656249999999999</v>
      </c>
      <c r="AB263" s="25">
        <v>0.22091304347826096</v>
      </c>
      <c r="AC263" s="25">
        <v>0.166625</v>
      </c>
      <c r="AD263" s="25">
        <v>0.27450000000000002</v>
      </c>
      <c r="AE263" s="27">
        <f t="shared" si="13"/>
        <v>0.33265625000000015</v>
      </c>
      <c r="AF263" s="27">
        <f t="shared" si="14"/>
        <v>0.34683333333333333</v>
      </c>
      <c r="AG263" s="27">
        <f t="shared" si="15"/>
        <v>0.34425568181818189</v>
      </c>
    </row>
    <row r="264" spans="1:33" x14ac:dyDescent="0.25">
      <c r="A264" s="9">
        <v>43971</v>
      </c>
      <c r="B264" s="3">
        <v>417.23871090797991</v>
      </c>
      <c r="C264" s="3">
        <v>592.93732911275197</v>
      </c>
      <c r="D264" s="3">
        <v>584.03680638463322</v>
      </c>
      <c r="E264" s="3">
        <v>591.69307930981108</v>
      </c>
      <c r="F264" s="3">
        <v>296.31259123383842</v>
      </c>
      <c r="G264" s="3">
        <v>314.42209102767163</v>
      </c>
      <c r="H264" s="3">
        <v>293.3668220735608</v>
      </c>
      <c r="I264" s="3">
        <v>302.68153401510773</v>
      </c>
      <c r="J264" s="23">
        <v>43971</v>
      </c>
      <c r="K264" s="24">
        <v>180.14583333333334</v>
      </c>
      <c r="L264" s="24">
        <v>77.627083333333331</v>
      </c>
      <c r="M264" s="24">
        <v>23.635416666666668</v>
      </c>
      <c r="N264" s="24">
        <v>0.5</v>
      </c>
      <c r="O264" s="24">
        <v>230.54166666666666</v>
      </c>
      <c r="P264" s="24">
        <v>8.25</v>
      </c>
      <c r="Q264" s="24">
        <v>0.85416666666666663</v>
      </c>
      <c r="R264" s="24">
        <v>19.250000000000004</v>
      </c>
      <c r="S264" s="10">
        <v>0.74059744913919745</v>
      </c>
      <c r="T264" s="25">
        <v>0.2616458333333333</v>
      </c>
      <c r="U264" s="25">
        <v>0.34562500000000007</v>
      </c>
      <c r="V264" s="25">
        <v>0.42654166666666665</v>
      </c>
      <c r="W264" s="25">
        <v>0.422645833333333</v>
      </c>
      <c r="X264" s="25">
        <v>0.42993750000000036</v>
      </c>
      <c r="Y264" s="25">
        <v>0.30991666666666684</v>
      </c>
      <c r="Z264" s="25">
        <v>0.31197916666666647</v>
      </c>
      <c r="AA264" s="25">
        <v>0.27583333333333321</v>
      </c>
      <c r="AB264" s="25">
        <v>0.27772916666666675</v>
      </c>
      <c r="AC264" s="25">
        <v>0.21647500000000006</v>
      </c>
      <c r="AD264" s="25">
        <v>0.39585416666666678</v>
      </c>
      <c r="AE264" s="27">
        <f t="shared" si="13"/>
        <v>0.34579166666666683</v>
      </c>
      <c r="AF264" s="27">
        <f t="shared" si="14"/>
        <v>0.34875694444444433</v>
      </c>
      <c r="AG264" s="27">
        <f t="shared" si="15"/>
        <v>0.34821780303030297</v>
      </c>
    </row>
    <row r="265" spans="1:33" x14ac:dyDescent="0.25">
      <c r="A265" s="9">
        <v>43972</v>
      </c>
      <c r="B265" s="3">
        <v>245.32066257209803</v>
      </c>
      <c r="C265" s="3">
        <v>320.65153680006188</v>
      </c>
      <c r="D265" s="3">
        <v>332.22280288736357</v>
      </c>
      <c r="E265" s="3">
        <v>295.63824647317443</v>
      </c>
      <c r="F265" s="3">
        <v>209.00609310400054</v>
      </c>
      <c r="G265" s="3">
        <v>157.67557860960073</v>
      </c>
      <c r="H265" s="3">
        <v>181.11943180434088</v>
      </c>
      <c r="I265" s="3">
        <v>179.20262790287856</v>
      </c>
      <c r="J265" s="23">
        <v>43972</v>
      </c>
      <c r="K265" s="24">
        <v>91.416666666666671</v>
      </c>
      <c r="L265" s="24">
        <v>85.308333333333323</v>
      </c>
      <c r="M265" s="24">
        <v>20.602083333333333</v>
      </c>
      <c r="N265" s="24">
        <v>7.1</v>
      </c>
      <c r="O265" s="24">
        <v>163.0625</v>
      </c>
      <c r="P265" s="24">
        <v>4.208333333333333</v>
      </c>
      <c r="Q265" s="24">
        <v>2.0833333333333332E-2</v>
      </c>
      <c r="R265" s="24">
        <v>17.977083333333329</v>
      </c>
      <c r="S265" s="10">
        <v>0.37525099445971888</v>
      </c>
      <c r="T265" s="25">
        <v>0.26672916666666685</v>
      </c>
      <c r="U265" s="25">
        <v>0.35606249999999989</v>
      </c>
      <c r="V265" s="25">
        <v>0.43412500000000026</v>
      </c>
      <c r="W265" s="25">
        <v>0.42556249999999984</v>
      </c>
      <c r="X265" s="25">
        <v>0.4501666666666666</v>
      </c>
      <c r="Y265" s="25">
        <v>0.31168749999999984</v>
      </c>
      <c r="Z265" s="25">
        <v>0.31333333333333341</v>
      </c>
      <c r="AA265" s="25">
        <v>0.27637499999999965</v>
      </c>
      <c r="AB265" s="25">
        <v>0.33021276595744686</v>
      </c>
      <c r="AC265" s="25">
        <v>0.22602325581395347</v>
      </c>
      <c r="AD265" s="25">
        <v>0.42504166666666671</v>
      </c>
      <c r="AE265" s="27">
        <f t="shared" si="13"/>
        <v>0.35844791666666675</v>
      </c>
      <c r="AF265" s="27">
        <f t="shared" si="14"/>
        <v>0.35285763888888882</v>
      </c>
      <c r="AG265" s="27">
        <f t="shared" si="15"/>
        <v>0.353874053030303</v>
      </c>
    </row>
    <row r="266" spans="1:33" x14ac:dyDescent="0.25">
      <c r="A266" s="9">
        <v>43973</v>
      </c>
      <c r="B266" s="3">
        <v>344.61229003042325</v>
      </c>
      <c r="C266" s="3">
        <v>517.85065613439804</v>
      </c>
      <c r="D266" s="3">
        <v>537.81895680985906</v>
      </c>
      <c r="E266" s="3">
        <v>468.95447625271555</v>
      </c>
      <c r="F266" s="3">
        <v>300.38125110856413</v>
      </c>
      <c r="G266" s="3">
        <v>262.13295074464628</v>
      </c>
      <c r="H266" s="3">
        <v>236.51800096992363</v>
      </c>
      <c r="I266" s="3">
        <v>217.29184445598835</v>
      </c>
      <c r="J266" s="23">
        <v>43973</v>
      </c>
      <c r="K266" s="24">
        <v>120.83333333333333</v>
      </c>
      <c r="L266" s="24">
        <v>79.643750000000011</v>
      </c>
      <c r="M266" s="24">
        <v>19.235416666666662</v>
      </c>
      <c r="N266" s="24">
        <v>0.7</v>
      </c>
      <c r="O266" s="24">
        <v>175.8125</v>
      </c>
      <c r="P266" s="24">
        <v>2.6458333333333335</v>
      </c>
      <c r="Q266" s="24">
        <v>0</v>
      </c>
      <c r="R266" s="24">
        <v>15.483333333333336</v>
      </c>
      <c r="S266" s="10">
        <v>0.48758419530153557</v>
      </c>
      <c r="T266" s="25">
        <v>0.26170833333333332</v>
      </c>
      <c r="U266" s="25">
        <v>0.35093750000000012</v>
      </c>
      <c r="V266" s="25">
        <v>0.43254166666666682</v>
      </c>
      <c r="W266" s="25">
        <v>0.42712499999999975</v>
      </c>
      <c r="X266" s="25">
        <v>0.44197916666666659</v>
      </c>
      <c r="Y266" s="25">
        <v>0.31097916666666675</v>
      </c>
      <c r="Z266" s="25">
        <v>0.31416666666666665</v>
      </c>
      <c r="AA266" s="25">
        <v>0.27699999999999975</v>
      </c>
      <c r="AB266" s="25">
        <v>0.3264791666666666</v>
      </c>
      <c r="AC266" s="25">
        <v>0.20413157894736841</v>
      </c>
      <c r="AD266" s="25">
        <v>0.40158333333333335</v>
      </c>
      <c r="AE266" s="27">
        <f t="shared" si="13"/>
        <v>0.35184374999999996</v>
      </c>
      <c r="AF266" s="27">
        <f t="shared" si="14"/>
        <v>0.35212500000000002</v>
      </c>
      <c r="AG266" s="27">
        <f t="shared" si="15"/>
        <v>0.35207386363636367</v>
      </c>
    </row>
    <row r="267" spans="1:33" x14ac:dyDescent="0.25">
      <c r="A267" s="9">
        <v>43974</v>
      </c>
      <c r="B267" s="3">
        <v>293.73190927936383</v>
      </c>
      <c r="C267" s="3">
        <v>275.73623906702232</v>
      </c>
      <c r="D267" s="3">
        <v>376.79702214538713</v>
      </c>
      <c r="E267" s="3">
        <v>342.45894835452606</v>
      </c>
      <c r="F267" s="3">
        <v>200.71965564622917</v>
      </c>
      <c r="G267" s="3">
        <v>137.7489629151477</v>
      </c>
      <c r="H267" s="3">
        <v>145.89842952111587</v>
      </c>
      <c r="I267" s="3">
        <v>136.06641890011252</v>
      </c>
      <c r="J267" s="23">
        <v>43974</v>
      </c>
      <c r="K267" s="24">
        <v>58.395833333333336</v>
      </c>
      <c r="L267" s="24">
        <v>73.331250000000026</v>
      </c>
      <c r="M267" s="24">
        <v>18.579166666666669</v>
      </c>
      <c r="N267" s="24">
        <v>0</v>
      </c>
      <c r="O267" s="24">
        <v>112.20833333333333</v>
      </c>
      <c r="P267" s="24">
        <v>0.3125</v>
      </c>
      <c r="Q267" s="24">
        <v>0</v>
      </c>
      <c r="R267" s="24">
        <v>13.68125</v>
      </c>
      <c r="S267" s="10">
        <v>0.57999059396266039</v>
      </c>
      <c r="T267" s="25">
        <v>0.25650000000000023</v>
      </c>
      <c r="U267" s="25">
        <v>0.34518749999999998</v>
      </c>
      <c r="V267" s="25">
        <v>0.42999999999999966</v>
      </c>
      <c r="W267" s="25">
        <v>0.42656249999999951</v>
      </c>
      <c r="X267" s="25">
        <v>0.4331041666666664</v>
      </c>
      <c r="Y267" s="25">
        <v>0.30997916666666669</v>
      </c>
      <c r="Z267" s="25">
        <v>0.31452083333333331</v>
      </c>
      <c r="AA267" s="25">
        <v>0.27695833333333314</v>
      </c>
      <c r="AB267" s="25">
        <v>0.31187499999999996</v>
      </c>
      <c r="AC267" s="25">
        <v>0.18107999999999994</v>
      </c>
      <c r="AD267" s="25">
        <v>0.36856249999999996</v>
      </c>
      <c r="AE267" s="27">
        <f t="shared" si="13"/>
        <v>0.34480208333333329</v>
      </c>
      <c r="AF267" s="27">
        <f t="shared" si="14"/>
        <v>0.35053472222222209</v>
      </c>
      <c r="AG267" s="27">
        <f t="shared" si="15"/>
        <v>0.3494924242424241</v>
      </c>
    </row>
    <row r="268" spans="1:33" x14ac:dyDescent="0.25">
      <c r="A268" s="9">
        <v>43975</v>
      </c>
      <c r="B268" s="3">
        <v>19.125987235504361</v>
      </c>
      <c r="C268" s="3">
        <v>13.433273501310211</v>
      </c>
      <c r="D268" s="3">
        <v>24.542270169966262</v>
      </c>
      <c r="E268" s="3">
        <v>10.938360886725786</v>
      </c>
      <c r="F268" s="3">
        <v>4.1928251502278195</v>
      </c>
      <c r="G268" s="3">
        <v>1.1670253499741889</v>
      </c>
      <c r="H268" s="3">
        <v>6.3049476465571769E-2</v>
      </c>
      <c r="I268" s="3">
        <v>0</v>
      </c>
      <c r="J268" s="23">
        <v>43975</v>
      </c>
      <c r="K268" s="24">
        <v>39.604166666666664</v>
      </c>
      <c r="L268" s="24">
        <v>89.32083333333334</v>
      </c>
      <c r="M268" s="24">
        <v>15.539583333333333</v>
      </c>
      <c r="N268" s="24">
        <v>37.9</v>
      </c>
      <c r="O268" s="24">
        <v>235.66666666666666</v>
      </c>
      <c r="P268" s="24">
        <v>1.875</v>
      </c>
      <c r="Q268" s="24">
        <v>0</v>
      </c>
      <c r="R268" s="24">
        <v>13.72291666666667</v>
      </c>
      <c r="S268" s="10">
        <v>0.19487178246824735</v>
      </c>
      <c r="T268" s="25">
        <v>0.26956249999999987</v>
      </c>
      <c r="U268" s="25">
        <v>0.36629166666666668</v>
      </c>
      <c r="V268" s="25">
        <v>0.43941666666666662</v>
      </c>
      <c r="W268" s="25">
        <v>0.44579166666666664</v>
      </c>
      <c r="X268" s="25">
        <v>0.48447916666666674</v>
      </c>
      <c r="Y268" s="25">
        <v>0.31254166666666666</v>
      </c>
      <c r="Z268" s="25">
        <v>0.31439583333333337</v>
      </c>
      <c r="AA268" s="25">
        <v>0.27579166666666671</v>
      </c>
      <c r="AB268" s="25">
        <v>0.36241666666666661</v>
      </c>
      <c r="AC268" s="25">
        <v>0.22833333333333336</v>
      </c>
      <c r="AD268" s="25">
        <v>0.41827083333333331</v>
      </c>
      <c r="AE268" s="27">
        <f t="shared" si="13"/>
        <v>0.37702083333333331</v>
      </c>
      <c r="AF268" s="27">
        <f t="shared" si="14"/>
        <v>0.35903819444444446</v>
      </c>
      <c r="AG268" s="27">
        <f t="shared" si="15"/>
        <v>0.36230776515151514</v>
      </c>
    </row>
    <row r="269" spans="1:33" x14ac:dyDescent="0.25">
      <c r="A269" s="9">
        <v>43976</v>
      </c>
      <c r="B269" s="3">
        <v>247.2752071173411</v>
      </c>
      <c r="C269" s="3">
        <v>404.28130495860086</v>
      </c>
      <c r="D269" s="3">
        <v>334.75968850128555</v>
      </c>
      <c r="E269" s="3">
        <v>284.7485471273053</v>
      </c>
      <c r="F269" s="3">
        <v>117.30579449981634</v>
      </c>
      <c r="G269" s="3">
        <v>179.33252283691544</v>
      </c>
      <c r="H269" s="3">
        <v>153.62458802744632</v>
      </c>
      <c r="I269" s="3">
        <v>119.59616962965899</v>
      </c>
      <c r="J269" s="23">
        <v>43976</v>
      </c>
      <c r="K269" s="24">
        <v>115.60416666666667</v>
      </c>
      <c r="L269" s="24">
        <v>84.504166666666663</v>
      </c>
      <c r="M269" s="24">
        <v>16.266666666666669</v>
      </c>
      <c r="N269" s="24">
        <v>3.8000000000000003</v>
      </c>
      <c r="O269" s="24">
        <v>183.0625</v>
      </c>
      <c r="P269" s="24">
        <v>4.208333333333333</v>
      </c>
      <c r="Q269" s="24">
        <v>0</v>
      </c>
      <c r="R269" s="24">
        <v>13.520833333333336</v>
      </c>
      <c r="S269" s="10">
        <v>0.3174508855994907</v>
      </c>
      <c r="T269" s="25">
        <v>0.28668750000000004</v>
      </c>
      <c r="U269" s="25">
        <v>0.39547916666666655</v>
      </c>
      <c r="V269" s="25">
        <v>0.46916666666666673</v>
      </c>
      <c r="W269" s="25">
        <v>0.49322916666666644</v>
      </c>
      <c r="X269" s="25">
        <v>0.54983333333333351</v>
      </c>
      <c r="Y269" s="25">
        <v>0.35189583333333324</v>
      </c>
      <c r="Z269" s="25">
        <v>0.31731250000000005</v>
      </c>
      <c r="AA269" s="25">
        <v>0.27447916666666683</v>
      </c>
      <c r="AB269" s="25">
        <v>0.4051904761904761</v>
      </c>
      <c r="AC269" s="25">
        <v>0.25800000000000001</v>
      </c>
      <c r="AD269" s="25">
        <v>0.46352083333333338</v>
      </c>
      <c r="AE269" s="27">
        <f t="shared" si="13"/>
        <v>0.4182604166666668</v>
      </c>
      <c r="AF269" s="27">
        <f t="shared" si="14"/>
        <v>0.38359375000000001</v>
      </c>
      <c r="AG269" s="27">
        <f t="shared" si="15"/>
        <v>0.38989678030303032</v>
      </c>
    </row>
    <row r="270" spans="1:33" x14ac:dyDescent="0.25">
      <c r="A270" s="9">
        <v>43977</v>
      </c>
      <c r="B270" s="3">
        <v>337.92059015111329</v>
      </c>
      <c r="C270" s="3">
        <v>505.91492779994451</v>
      </c>
      <c r="D270" s="3">
        <v>493.47583472833236</v>
      </c>
      <c r="E270" s="3">
        <v>396.12293234032114</v>
      </c>
      <c r="F270" s="3">
        <v>196.6709111432838</v>
      </c>
      <c r="G270" s="3">
        <v>259.07576846884882</v>
      </c>
      <c r="H270" s="3">
        <v>198.95120174641838</v>
      </c>
      <c r="I270" s="3">
        <v>174.16233289521094</v>
      </c>
      <c r="J270" s="23">
        <v>43977</v>
      </c>
      <c r="K270" s="24">
        <v>95.791666666666671</v>
      </c>
      <c r="L270" s="24">
        <v>74.529166666666669</v>
      </c>
      <c r="M270" s="24">
        <v>16.022916666666667</v>
      </c>
      <c r="N270" s="24">
        <v>0</v>
      </c>
      <c r="O270" s="24">
        <v>190.16666666666666</v>
      </c>
      <c r="P270" s="24">
        <v>2.1666666666666665</v>
      </c>
      <c r="Q270" s="24">
        <v>0</v>
      </c>
      <c r="R270" s="24">
        <v>11.385416666666664</v>
      </c>
      <c r="S270" s="10">
        <v>0.4901249099171025</v>
      </c>
      <c r="T270" s="25">
        <v>0.28156249999999972</v>
      </c>
      <c r="U270" s="25">
        <v>0.38995833333333341</v>
      </c>
      <c r="V270" s="25">
        <v>0.46862500000000001</v>
      </c>
      <c r="W270" s="25">
        <v>0.49031249999999998</v>
      </c>
      <c r="X270" s="25">
        <v>0.54062499999999991</v>
      </c>
      <c r="Y270" s="25">
        <v>0.34716666666666679</v>
      </c>
      <c r="Z270" s="25">
        <v>0.32033333333333325</v>
      </c>
      <c r="AA270" s="25">
        <v>0.27560416666666659</v>
      </c>
      <c r="AB270" s="25">
        <v>0.38287500000000002</v>
      </c>
      <c r="AC270" s="25">
        <v>0.23385416666666684</v>
      </c>
      <c r="AD270" s="25">
        <v>0.4392083333333332</v>
      </c>
      <c r="AE270" s="27">
        <f t="shared" si="13"/>
        <v>0.41109374999999981</v>
      </c>
      <c r="AF270" s="27">
        <f t="shared" si="14"/>
        <v>0.38200000000000006</v>
      </c>
      <c r="AG270" s="27">
        <f t="shared" si="15"/>
        <v>0.38728977272727272</v>
      </c>
    </row>
    <row r="271" spans="1:33" x14ac:dyDescent="0.25">
      <c r="A271" s="9">
        <v>43978</v>
      </c>
      <c r="B271" s="3">
        <v>194.781712983501</v>
      </c>
      <c r="C271" s="3">
        <v>235.58523369648987</v>
      </c>
      <c r="D271" s="3">
        <v>300.75032433422558</v>
      </c>
      <c r="E271" s="3">
        <v>232.61320970959721</v>
      </c>
      <c r="F271" s="3">
        <v>121.93546506834822</v>
      </c>
      <c r="G271" s="3">
        <v>152.61686057341842</v>
      </c>
      <c r="H271" s="3">
        <v>126.59000618830727</v>
      </c>
      <c r="I271" s="3">
        <v>110.09423389293819</v>
      </c>
      <c r="J271" s="23">
        <v>43978</v>
      </c>
      <c r="K271" s="24">
        <v>68.708333333333329</v>
      </c>
      <c r="L271" s="24">
        <v>78.208333333333357</v>
      </c>
      <c r="M271" s="24">
        <v>15.049999999999997</v>
      </c>
      <c r="N271" s="24">
        <v>0</v>
      </c>
      <c r="O271" s="24">
        <v>211.66666666666666</v>
      </c>
      <c r="P271" s="24">
        <v>2.9583333333333335</v>
      </c>
      <c r="Q271" s="24">
        <v>0</v>
      </c>
      <c r="R271" s="24">
        <v>11.222916666666665</v>
      </c>
      <c r="S271" s="10">
        <v>0.3829310511770842</v>
      </c>
      <c r="T271" s="25">
        <v>0.27804166666666646</v>
      </c>
      <c r="U271" s="25">
        <v>0.38531250000000011</v>
      </c>
      <c r="V271" s="25">
        <v>0.46497916666666667</v>
      </c>
      <c r="W271" s="25">
        <v>0.48708333333333348</v>
      </c>
      <c r="X271" s="25">
        <v>0.53199999999999992</v>
      </c>
      <c r="Y271" s="25">
        <v>0.34241666666666654</v>
      </c>
      <c r="Z271" s="25">
        <v>0.32241666666666674</v>
      </c>
      <c r="AA271" s="25">
        <v>0.27639583333333306</v>
      </c>
      <c r="AB271" s="25">
        <v>0.37229729729729721</v>
      </c>
      <c r="AC271" s="25">
        <v>0.22145833333333342</v>
      </c>
      <c r="AD271" s="25">
        <v>0.41597916666666662</v>
      </c>
      <c r="AE271" s="27">
        <f t="shared" si="13"/>
        <v>0.40502083333333316</v>
      </c>
      <c r="AF271" s="27">
        <f t="shared" si="14"/>
        <v>0.37976736111111103</v>
      </c>
      <c r="AG271" s="27">
        <f t="shared" si="15"/>
        <v>0.38435890151515145</v>
      </c>
    </row>
    <row r="272" spans="1:33" x14ac:dyDescent="0.25">
      <c r="A272" s="9">
        <v>43979</v>
      </c>
      <c r="B272" s="3">
        <v>38.109831740225474</v>
      </c>
      <c r="C272" s="3">
        <v>96.629091003252313</v>
      </c>
      <c r="D272" s="3">
        <v>83.723102193682109</v>
      </c>
      <c r="E272" s="3">
        <v>57.222226900817184</v>
      </c>
      <c r="F272" s="3">
        <v>47.535539775264645</v>
      </c>
      <c r="G272" s="3">
        <v>47.540200947494021</v>
      </c>
      <c r="H272" s="3">
        <v>47.482068345448688</v>
      </c>
      <c r="I272" s="3">
        <v>43.733522881455116</v>
      </c>
      <c r="J272" s="23">
        <v>43979</v>
      </c>
      <c r="K272" s="24">
        <v>46.895833333333336</v>
      </c>
      <c r="L272" s="24">
        <v>88.512499999999989</v>
      </c>
      <c r="M272" s="24">
        <v>14.625</v>
      </c>
      <c r="N272" s="24">
        <v>1.5</v>
      </c>
      <c r="O272" s="24">
        <v>255.875</v>
      </c>
      <c r="P272" s="24">
        <v>1.8333333333333333</v>
      </c>
      <c r="Q272" s="24">
        <v>4.1666666666666664E-2</v>
      </c>
      <c r="R272" s="24">
        <v>12.733333333333333</v>
      </c>
      <c r="S272" s="10">
        <v>0.19397741541052704</v>
      </c>
      <c r="T272" s="25">
        <v>0.27670833333333306</v>
      </c>
      <c r="U272" s="25">
        <v>0.38191666666666668</v>
      </c>
      <c r="V272" s="25">
        <v>0.4623333333333331</v>
      </c>
      <c r="W272" s="25">
        <v>0.48472916666666704</v>
      </c>
      <c r="X272" s="25">
        <v>0.52608333333333301</v>
      </c>
      <c r="Y272" s="25">
        <v>0.33962500000000012</v>
      </c>
      <c r="Z272" s="25">
        <v>0.32354166666666667</v>
      </c>
      <c r="AA272" s="25">
        <v>0.27687499999999976</v>
      </c>
      <c r="AB272" s="25">
        <v>0.36806250000000024</v>
      </c>
      <c r="AC272" s="25">
        <v>0.21595833333333334</v>
      </c>
      <c r="AD272" s="25">
        <v>0.40206249999999999</v>
      </c>
      <c r="AE272" s="27">
        <f t="shared" si="13"/>
        <v>0.40139583333333306</v>
      </c>
      <c r="AF272" s="27">
        <f t="shared" si="14"/>
        <v>0.3781701388888889</v>
      </c>
      <c r="AG272" s="27">
        <f t="shared" si="15"/>
        <v>0.38239299242424241</v>
      </c>
    </row>
    <row r="273" spans="1:33" x14ac:dyDescent="0.25">
      <c r="A273" s="9">
        <v>43980</v>
      </c>
      <c r="B273" s="3">
        <v>226.8085434760213</v>
      </c>
      <c r="C273" s="3">
        <v>611.63749181919832</v>
      </c>
      <c r="D273" s="3">
        <v>415.84831253303076</v>
      </c>
      <c r="E273" s="3">
        <v>411.91207135972257</v>
      </c>
      <c r="F273" s="3">
        <v>248.53500603878447</v>
      </c>
      <c r="G273" s="3">
        <v>191.5286300938555</v>
      </c>
      <c r="H273" s="3">
        <v>220.18450467925862</v>
      </c>
      <c r="I273" s="3">
        <v>150.63515192950149</v>
      </c>
      <c r="J273" s="23">
        <v>43980</v>
      </c>
      <c r="K273" s="24">
        <v>164.33333333333334</v>
      </c>
      <c r="L273" s="24">
        <v>85.620833333333337</v>
      </c>
      <c r="M273" s="24">
        <v>17.906249999999996</v>
      </c>
      <c r="N273" s="24">
        <v>26.899999999999995</v>
      </c>
      <c r="O273" s="24">
        <v>227.6875</v>
      </c>
      <c r="P273" s="24">
        <v>2.3333333333333335</v>
      </c>
      <c r="Q273" s="24">
        <v>8.3333333333333329E-2</v>
      </c>
      <c r="R273" s="24">
        <v>15.262500000000001</v>
      </c>
      <c r="S273" s="10">
        <v>0.36162511515581458</v>
      </c>
      <c r="T273" s="25">
        <v>0.30497916666666641</v>
      </c>
      <c r="U273" s="25">
        <v>0.41704166666666637</v>
      </c>
      <c r="V273" s="25">
        <v>0.49887499999999979</v>
      </c>
      <c r="W273" s="25">
        <v>0.54314583333333333</v>
      </c>
      <c r="X273" s="25">
        <v>0.57381249999999939</v>
      </c>
      <c r="Y273" s="25">
        <v>0.38647916666666687</v>
      </c>
      <c r="Z273" s="25">
        <v>0.3317708333333334</v>
      </c>
      <c r="AA273" s="25">
        <v>0.27591666666666653</v>
      </c>
      <c r="AB273" s="25">
        <v>0.40817021276595739</v>
      </c>
      <c r="AC273" s="25">
        <v>0.26595454545454539</v>
      </c>
      <c r="AD273" s="25">
        <v>0.45750000000000002</v>
      </c>
      <c r="AE273" s="27">
        <f t="shared" si="13"/>
        <v>0.43939583333333287</v>
      </c>
      <c r="AF273" s="27">
        <f t="shared" si="14"/>
        <v>0.40887152777777769</v>
      </c>
      <c r="AG273" s="27">
        <f t="shared" si="15"/>
        <v>0.41442140151515139</v>
      </c>
    </row>
    <row r="274" spans="1:33" x14ac:dyDescent="0.25">
      <c r="A274" s="9">
        <v>43981</v>
      </c>
      <c r="B274" s="3">
        <v>330.74715974290086</v>
      </c>
      <c r="C274" s="3">
        <v>1089.343460870198</v>
      </c>
      <c r="D274" s="3">
        <v>648.18478940289765</v>
      </c>
      <c r="E274" s="3">
        <v>658.25144052712631</v>
      </c>
      <c r="F274" s="3">
        <v>361.0839279213539</v>
      </c>
      <c r="G274" s="3">
        <v>358.45517444137454</v>
      </c>
      <c r="H274" s="3">
        <v>304.43787914484011</v>
      </c>
      <c r="I274" s="3">
        <v>227.47325507753439</v>
      </c>
      <c r="J274" s="23">
        <v>43981</v>
      </c>
      <c r="K274" s="24">
        <v>217.83333333333334</v>
      </c>
      <c r="L274" s="24">
        <v>79.429166666666674</v>
      </c>
      <c r="M274" s="24">
        <v>21.610416666666666</v>
      </c>
      <c r="N274" s="24">
        <v>0</v>
      </c>
      <c r="O274" s="24">
        <v>236.91666666666666</v>
      </c>
      <c r="P274" s="24">
        <v>5.666666666666667</v>
      </c>
      <c r="Q274" s="24">
        <v>0.85416666666666663</v>
      </c>
      <c r="R274" s="24">
        <v>17.537499999999994</v>
      </c>
      <c r="S274" s="10">
        <v>0.64971893967697325</v>
      </c>
      <c r="T274" s="25">
        <v>0.30268750000000016</v>
      </c>
      <c r="U274" s="25">
        <v>0.42041666666666649</v>
      </c>
      <c r="V274" s="25">
        <v>0.50793750000000015</v>
      </c>
      <c r="W274" s="25">
        <v>0.5518333333333334</v>
      </c>
      <c r="X274" s="25">
        <v>0.57787500000000014</v>
      </c>
      <c r="Y274" s="25">
        <v>0.38879166666666681</v>
      </c>
      <c r="Z274" s="25">
        <v>0.3426249999999999</v>
      </c>
      <c r="AA274" s="25">
        <v>0.27783333333333349</v>
      </c>
      <c r="AB274" s="25">
        <v>0.39184090909090907</v>
      </c>
      <c r="AC274" s="25">
        <v>0.23604651162790702</v>
      </c>
      <c r="AD274" s="25">
        <v>0.4390833333333331</v>
      </c>
      <c r="AE274" s="27">
        <f t="shared" si="13"/>
        <v>0.44028125000000018</v>
      </c>
      <c r="AF274" s="27">
        <f t="shared" si="14"/>
        <v>0.41490625000000003</v>
      </c>
      <c r="AG274" s="27">
        <f t="shared" si="15"/>
        <v>0.41951988636363635</v>
      </c>
    </row>
    <row r="275" spans="1:33" x14ac:dyDescent="0.25">
      <c r="A275" s="9">
        <v>43982</v>
      </c>
      <c r="B275" s="3">
        <v>232.8447572723359</v>
      </c>
      <c r="C275" s="3">
        <v>750.83802300524189</v>
      </c>
      <c r="D275" s="3">
        <v>502.36770329573557</v>
      </c>
      <c r="E275" s="3">
        <v>492.5333788699806</v>
      </c>
      <c r="F275" s="3">
        <v>271.73490621716576</v>
      </c>
      <c r="G275" s="3">
        <v>265.26330338094397</v>
      </c>
      <c r="H275" s="3">
        <v>215.34397508922322</v>
      </c>
      <c r="I275" s="3">
        <v>192.963988910263</v>
      </c>
      <c r="J275" s="23">
        <v>43982</v>
      </c>
      <c r="K275" s="24">
        <v>185.85416666666666</v>
      </c>
      <c r="L275" s="24">
        <v>83.454166666666694</v>
      </c>
      <c r="M275" s="24">
        <v>21.252083333333328</v>
      </c>
      <c r="N275" s="24">
        <v>8.5</v>
      </c>
      <c r="O275" s="24">
        <v>232.10416666666666</v>
      </c>
      <c r="P275" s="24">
        <v>6.25</v>
      </c>
      <c r="Q275" s="24">
        <v>0.22916666666666666</v>
      </c>
      <c r="R275" s="24">
        <v>18.110416666666662</v>
      </c>
      <c r="S275" s="10">
        <v>0.49201314926699125</v>
      </c>
      <c r="T275" s="25">
        <v>0.29822916666666677</v>
      </c>
      <c r="U275" s="25">
        <v>0.41722916666666654</v>
      </c>
      <c r="V275" s="25">
        <v>0.50702083333333337</v>
      </c>
      <c r="W275" s="25">
        <v>0.54891666666666694</v>
      </c>
      <c r="X275" s="25">
        <v>0.57393749999999999</v>
      </c>
      <c r="Y275" s="25">
        <v>0.38137500000000008</v>
      </c>
      <c r="Z275" s="25">
        <v>0.3468124999999998</v>
      </c>
      <c r="AA275" s="25">
        <v>0.28037500000000021</v>
      </c>
      <c r="AB275" s="25">
        <v>0.38823809523809527</v>
      </c>
      <c r="AC275" s="25">
        <v>0.23469565217391306</v>
      </c>
      <c r="AD275" s="25">
        <v>0.42366666666666658</v>
      </c>
      <c r="AE275" s="27">
        <f t="shared" si="13"/>
        <v>0.43608333333333338</v>
      </c>
      <c r="AF275" s="27">
        <f t="shared" si="14"/>
        <v>0.41362152777777778</v>
      </c>
      <c r="AG275" s="27">
        <f t="shared" si="15"/>
        <v>0.41770549242424243</v>
      </c>
    </row>
    <row r="276" spans="1:33" x14ac:dyDescent="0.25">
      <c r="A276" s="9">
        <v>43983</v>
      </c>
      <c r="B276" s="3">
        <v>240.07415647564645</v>
      </c>
      <c r="C276" s="3">
        <v>643.07985499889708</v>
      </c>
      <c r="D276" s="3">
        <v>429.70953108973634</v>
      </c>
      <c r="E276" s="3">
        <v>422.08564397099025</v>
      </c>
      <c r="F276" s="3">
        <v>264.8744704396056</v>
      </c>
      <c r="G276" s="3">
        <v>236.63606209511104</v>
      </c>
      <c r="H276" s="3">
        <v>225.08509076919546</v>
      </c>
      <c r="I276" s="3">
        <v>203.84295599011125</v>
      </c>
      <c r="J276" s="23">
        <v>43983</v>
      </c>
      <c r="K276" s="24">
        <v>132.0625</v>
      </c>
      <c r="L276" s="24">
        <v>85.527083333333337</v>
      </c>
      <c r="M276" s="24">
        <v>20.310416666666665</v>
      </c>
      <c r="N276" s="24">
        <v>37.800000000000004</v>
      </c>
      <c r="O276" s="24">
        <v>200.77083333333334</v>
      </c>
      <c r="P276" s="24">
        <v>3.5625</v>
      </c>
      <c r="Q276" s="24">
        <v>0.10416666666666667</v>
      </c>
      <c r="R276" s="24">
        <v>17.658333333333335</v>
      </c>
      <c r="S276" s="10">
        <v>0.39882309781260533</v>
      </c>
      <c r="T276" s="25">
        <v>0.3053958333333332</v>
      </c>
      <c r="U276" s="25">
        <v>0.42322916666666655</v>
      </c>
      <c r="V276" s="25">
        <v>0.51345833333333302</v>
      </c>
      <c r="W276" s="25">
        <v>0.5557291666666665</v>
      </c>
      <c r="X276" s="25">
        <v>0.58083333333333365</v>
      </c>
      <c r="Y276" s="25">
        <v>0.38693749999999999</v>
      </c>
      <c r="Z276" s="25">
        <v>0.35608333333333347</v>
      </c>
      <c r="AA276" s="25">
        <v>0.28389583333333351</v>
      </c>
      <c r="AB276" s="25">
        <v>0.41000000000000014</v>
      </c>
      <c r="AC276" s="25">
        <v>0.26362222222222215</v>
      </c>
      <c r="AD276" s="25">
        <v>0.45783333333333348</v>
      </c>
      <c r="AE276" s="27">
        <f t="shared" si="13"/>
        <v>0.44311458333333342</v>
      </c>
      <c r="AF276" s="27">
        <f t="shared" si="14"/>
        <v>0.41988888888888881</v>
      </c>
      <c r="AG276" s="27">
        <f t="shared" si="15"/>
        <v>0.42411174242424232</v>
      </c>
    </row>
    <row r="277" spans="1:33" x14ac:dyDescent="0.25">
      <c r="A277" s="9">
        <v>43984</v>
      </c>
      <c r="B277" s="3">
        <v>204.37138110260702</v>
      </c>
      <c r="C277" s="3">
        <v>523.47970048206548</v>
      </c>
      <c r="D277" s="3">
        <v>383.27503957097764</v>
      </c>
      <c r="E277" s="3">
        <v>382.47630536348873</v>
      </c>
      <c r="F277" s="3">
        <v>191.36128712290505</v>
      </c>
      <c r="G277" s="3">
        <v>253.50628970669658</v>
      </c>
      <c r="H277" s="3">
        <v>198.96974509918107</v>
      </c>
      <c r="I277" s="3">
        <v>168.59810190489205</v>
      </c>
      <c r="J277" s="23">
        <v>43984</v>
      </c>
      <c r="K277" s="24">
        <v>160.52083333333334</v>
      </c>
      <c r="L277" s="24">
        <v>84.116666666666674</v>
      </c>
      <c r="M277" s="24">
        <v>19.645833333333332</v>
      </c>
      <c r="N277" s="24">
        <v>11</v>
      </c>
      <c r="O277" s="24">
        <v>167.64583333333334</v>
      </c>
      <c r="P277" s="24">
        <v>4.041666666666667</v>
      </c>
      <c r="Q277" s="24">
        <v>4.1666666666666664E-2</v>
      </c>
      <c r="R277" s="24">
        <v>16.743749999999995</v>
      </c>
      <c r="S277" s="10">
        <v>0.40335967405977752</v>
      </c>
      <c r="T277" s="25">
        <v>0.40304166666666658</v>
      </c>
      <c r="U277" s="25">
        <v>0.5307708333333333</v>
      </c>
      <c r="V277" s="25">
        <v>0.59222916666666636</v>
      </c>
      <c r="W277" s="25">
        <v>0.61106250000000029</v>
      </c>
      <c r="X277" s="25">
        <v>0.60850000000000004</v>
      </c>
      <c r="Y277" s="25">
        <v>0.48695833333333322</v>
      </c>
      <c r="Z277" s="25">
        <v>0.46579166666666638</v>
      </c>
      <c r="AA277" s="25">
        <v>0.39825000000000005</v>
      </c>
      <c r="AB277" s="25">
        <v>0.44768085106382965</v>
      </c>
      <c r="AC277" s="25">
        <v>0.31240740740740736</v>
      </c>
      <c r="AD277" s="25">
        <v>0.49037500000000001</v>
      </c>
      <c r="AE277" s="27">
        <f t="shared" si="13"/>
        <v>0.50577083333333328</v>
      </c>
      <c r="AF277" s="27">
        <f t="shared" si="14"/>
        <v>0.51417708333333323</v>
      </c>
      <c r="AG277" s="27">
        <f t="shared" si="15"/>
        <v>0.51264867424242422</v>
      </c>
    </row>
    <row r="278" spans="1:33" x14ac:dyDescent="0.25">
      <c r="A278" s="9">
        <v>43985</v>
      </c>
      <c r="B278" s="3">
        <v>340.68516244199435</v>
      </c>
      <c r="C278" s="3">
        <v>796.96487044479602</v>
      </c>
      <c r="D278" s="3">
        <v>667.23231924498873</v>
      </c>
      <c r="E278" s="3">
        <v>560.12474804298517</v>
      </c>
      <c r="F278" s="3">
        <v>273.37893445538299</v>
      </c>
      <c r="G278" s="3">
        <v>352.13830748693141</v>
      </c>
      <c r="H278" s="3">
        <v>291.79649409696941</v>
      </c>
      <c r="I278" s="3">
        <v>213.95124216317564</v>
      </c>
      <c r="J278" s="23">
        <v>43985</v>
      </c>
      <c r="K278" s="24">
        <v>215.79166666666666</v>
      </c>
      <c r="L278" s="24">
        <v>75.112499999999997</v>
      </c>
      <c r="M278" s="24">
        <v>18.906249999999996</v>
      </c>
      <c r="N278" s="24">
        <v>20.399999999999999</v>
      </c>
      <c r="O278" s="24">
        <v>170.60416666666666</v>
      </c>
      <c r="P278" s="24">
        <v>3.3958333333333335</v>
      </c>
      <c r="Q278" s="24">
        <v>4.1666666666666664E-2</v>
      </c>
      <c r="R278" s="24">
        <v>14.079166666666666</v>
      </c>
      <c r="S278" s="10">
        <v>0.64668562769425808</v>
      </c>
      <c r="T278" s="25">
        <v>0.40837499999999993</v>
      </c>
      <c r="U278" s="25">
        <v>0.53439583333333329</v>
      </c>
      <c r="V278" s="25">
        <v>0.59141666666666659</v>
      </c>
      <c r="W278" s="25">
        <v>0.60450000000000015</v>
      </c>
      <c r="X278" s="25">
        <v>0.60456250000000011</v>
      </c>
      <c r="Y278" s="25">
        <v>0.48235416666666686</v>
      </c>
      <c r="Z278" s="25">
        <v>0.4698333333333331</v>
      </c>
      <c r="AA278" s="25">
        <v>0.40604166666666641</v>
      </c>
      <c r="AB278" s="25">
        <v>0.42879999999999996</v>
      </c>
      <c r="AC278" s="25">
        <v>0.29108108108108105</v>
      </c>
      <c r="AD278" s="25">
        <v>0.48114583333333333</v>
      </c>
      <c r="AE278" s="27">
        <f t="shared" si="13"/>
        <v>0.50646875000000002</v>
      </c>
      <c r="AF278" s="27">
        <f t="shared" si="14"/>
        <v>0.51475694444444442</v>
      </c>
      <c r="AG278" s="27">
        <f t="shared" si="15"/>
        <v>0.51324999999999998</v>
      </c>
    </row>
    <row r="279" spans="1:33" x14ac:dyDescent="0.25">
      <c r="A279" s="9">
        <v>43986</v>
      </c>
      <c r="B279" s="3">
        <v>148.52746608138617</v>
      </c>
      <c r="C279" s="3">
        <v>352.48739861451071</v>
      </c>
      <c r="D279" s="3">
        <v>284.83403137148201</v>
      </c>
      <c r="E279" s="3">
        <v>252.15595963363714</v>
      </c>
      <c r="F279" s="3">
        <v>215.36529332617803</v>
      </c>
      <c r="G279" s="3">
        <v>166.01556657329709</v>
      </c>
      <c r="H279" s="3">
        <v>177.71564748660637</v>
      </c>
      <c r="I279" s="3">
        <v>135.77790109189527</v>
      </c>
      <c r="J279" s="23">
        <v>43986</v>
      </c>
      <c r="K279" s="24">
        <v>111.8125</v>
      </c>
      <c r="L279" s="24">
        <v>87.952083333333348</v>
      </c>
      <c r="M279" s="24">
        <v>19.743749999999995</v>
      </c>
      <c r="N279" s="24">
        <v>12.699999999999998</v>
      </c>
      <c r="O279" s="24">
        <v>206.97916666666666</v>
      </c>
      <c r="P279" s="24">
        <v>2.5</v>
      </c>
      <c r="Q279" s="24">
        <v>2.0833333333333332E-2</v>
      </c>
      <c r="R279" s="24">
        <v>17.600000000000001</v>
      </c>
      <c r="S279" s="10">
        <v>0.31120557225899503</v>
      </c>
      <c r="T279" s="25">
        <v>0.41760416666666655</v>
      </c>
      <c r="U279" s="25">
        <v>0.53902083333333295</v>
      </c>
      <c r="V279" s="25">
        <v>0.59314583333333326</v>
      </c>
      <c r="W279" s="25">
        <v>0.60125000000000006</v>
      </c>
      <c r="X279" s="25">
        <v>0.60627083333333343</v>
      </c>
      <c r="Y279" s="25">
        <v>0.48245833333333338</v>
      </c>
      <c r="Z279" s="25">
        <v>0.46777083333333352</v>
      </c>
      <c r="AA279" s="25">
        <v>0.40085416666666668</v>
      </c>
      <c r="AB279" s="25">
        <v>0.43497560975609756</v>
      </c>
      <c r="AC279" s="25">
        <v>0.27875757575757582</v>
      </c>
      <c r="AD279" s="25">
        <v>0.48658333333333337</v>
      </c>
      <c r="AE279" s="27">
        <f t="shared" si="13"/>
        <v>0.51193749999999993</v>
      </c>
      <c r="AF279" s="27">
        <f t="shared" si="14"/>
        <v>0.51408333333333334</v>
      </c>
      <c r="AG279" s="27">
        <f t="shared" si="15"/>
        <v>0.5136931818181818</v>
      </c>
    </row>
    <row r="280" spans="1:33" x14ac:dyDescent="0.25">
      <c r="A280" s="9">
        <v>43987</v>
      </c>
      <c r="B280" s="3">
        <v>331.87375104700777</v>
      </c>
      <c r="C280" s="3">
        <v>835.79664387533978</v>
      </c>
      <c r="D280" s="3">
        <v>649.9419531362563</v>
      </c>
      <c r="E280" s="3">
        <v>494.75544013928373</v>
      </c>
      <c r="F280" s="3">
        <v>319.58564854890034</v>
      </c>
      <c r="G280" s="3">
        <v>308.11014119116737</v>
      </c>
      <c r="H280" s="3">
        <v>330.80265623877699</v>
      </c>
      <c r="I280" s="3">
        <v>255.83588795980756</v>
      </c>
      <c r="J280" s="23">
        <v>43987</v>
      </c>
      <c r="K280" s="24">
        <v>167</v>
      </c>
      <c r="L280" s="24">
        <v>76.258333333333368</v>
      </c>
      <c r="M280" s="24">
        <v>20.254166666666666</v>
      </c>
      <c r="N280" s="24">
        <v>6.7</v>
      </c>
      <c r="O280" s="24">
        <v>228.79166666666666</v>
      </c>
      <c r="P280" s="24">
        <v>2.375</v>
      </c>
      <c r="Q280" s="24">
        <v>0</v>
      </c>
      <c r="R280" s="24">
        <v>15.381250000000001</v>
      </c>
      <c r="S280" s="10">
        <v>0.67649717557716815</v>
      </c>
      <c r="T280" s="25">
        <v>0.42856250000000023</v>
      </c>
      <c r="U280" s="25">
        <v>0.5428333333333335</v>
      </c>
      <c r="V280" s="25">
        <v>0.5957916666666665</v>
      </c>
      <c r="W280" s="25">
        <v>0.60518750000000021</v>
      </c>
      <c r="X280" s="25">
        <v>0.60785416666666692</v>
      </c>
      <c r="Y280" s="25">
        <v>0.48568749999999977</v>
      </c>
      <c r="Z280" s="25">
        <v>0.47120833333333301</v>
      </c>
      <c r="AA280" s="25">
        <v>0.40437500000000015</v>
      </c>
      <c r="AB280" s="25">
        <v>0.43253571428571425</v>
      </c>
      <c r="AC280" s="25">
        <v>0.27087499999999992</v>
      </c>
      <c r="AD280" s="25">
        <v>0.4895208333333334</v>
      </c>
      <c r="AE280" s="27">
        <f t="shared" si="13"/>
        <v>0.5182083333333336</v>
      </c>
      <c r="AF280" s="27">
        <f t="shared" si="14"/>
        <v>0.51751388888888883</v>
      </c>
      <c r="AG280" s="27">
        <f t="shared" si="15"/>
        <v>0.51764015151515153</v>
      </c>
    </row>
    <row r="281" spans="1:33" x14ac:dyDescent="0.25">
      <c r="A281" s="9">
        <v>43988</v>
      </c>
      <c r="B281" s="3">
        <v>213.9340826968907</v>
      </c>
      <c r="C281" s="3">
        <v>426.56237200420554</v>
      </c>
      <c r="D281" s="3">
        <v>422.01312712780719</v>
      </c>
      <c r="E281" s="3">
        <v>377.78309622857199</v>
      </c>
      <c r="F281" s="3">
        <v>274.00813228236586</v>
      </c>
      <c r="G281" s="3">
        <v>239.72523570870584</v>
      </c>
      <c r="H281" s="3">
        <v>223.45242620206736</v>
      </c>
      <c r="I281" s="3">
        <v>198.15399390620328</v>
      </c>
      <c r="J281" s="23">
        <v>43988</v>
      </c>
      <c r="K281" s="24">
        <v>108.5</v>
      </c>
      <c r="L281" s="24">
        <v>83.129166666666649</v>
      </c>
      <c r="M281" s="24">
        <v>20.172916666666669</v>
      </c>
      <c r="N281" s="24">
        <v>5.0000000000000009</v>
      </c>
      <c r="O281" s="24">
        <v>216.14583333333334</v>
      </c>
      <c r="P281" s="24">
        <v>2.375</v>
      </c>
      <c r="Q281" s="24">
        <v>8.3333333333333329E-2</v>
      </c>
      <c r="R281" s="24">
        <v>17.158333333333331</v>
      </c>
      <c r="S281" s="10">
        <v>0.42601798167952526</v>
      </c>
      <c r="T281" s="25">
        <v>0.41466666666666652</v>
      </c>
      <c r="U281" s="25">
        <v>0.5282708333333328</v>
      </c>
      <c r="V281" s="25">
        <v>0.58622916666666658</v>
      </c>
      <c r="W281" s="25">
        <v>0.59429166666666655</v>
      </c>
      <c r="X281" s="25">
        <v>0.59729166666666655</v>
      </c>
      <c r="Y281" s="25">
        <v>0.46708333333333329</v>
      </c>
      <c r="Z281" s="25">
        <v>0.46558333333333307</v>
      </c>
      <c r="AA281" s="25">
        <v>0.3970416666666669</v>
      </c>
      <c r="AB281" s="25">
        <v>0.4108235294117647</v>
      </c>
      <c r="AC281" s="25">
        <v>0.24764583333333354</v>
      </c>
      <c r="AD281" s="25">
        <v>0.45958333333333362</v>
      </c>
      <c r="AE281" s="27">
        <f t="shared" si="13"/>
        <v>0.50597916666666654</v>
      </c>
      <c r="AF281" s="27">
        <f t="shared" si="14"/>
        <v>0.50641666666666663</v>
      </c>
      <c r="AG281" s="27">
        <f t="shared" si="15"/>
        <v>0.50633712121212116</v>
      </c>
    </row>
    <row r="282" spans="1:33" x14ac:dyDescent="0.25">
      <c r="A282" s="9">
        <v>43989</v>
      </c>
      <c r="B282" s="3">
        <v>189.30478618325165</v>
      </c>
      <c r="C282" s="3">
        <v>560.45256675065912</v>
      </c>
      <c r="D282" s="3">
        <v>344.87667549387902</v>
      </c>
      <c r="E282" s="3">
        <v>345.13885472452472</v>
      </c>
      <c r="F282" s="3">
        <v>290.56193092277061</v>
      </c>
      <c r="G282" s="3">
        <v>200.66531059203112</v>
      </c>
      <c r="H282" s="3">
        <v>186.73608773000359</v>
      </c>
      <c r="I282" s="3">
        <v>183.63992728442315</v>
      </c>
      <c r="J282" s="23">
        <v>43989</v>
      </c>
      <c r="K282" s="24">
        <v>132.625</v>
      </c>
      <c r="L282" s="24">
        <v>88.931249999999977</v>
      </c>
      <c r="M282" s="24">
        <v>21.443749999999994</v>
      </c>
      <c r="N282" s="24">
        <v>26.200000000000003</v>
      </c>
      <c r="O282" s="24">
        <v>217.66666666666666</v>
      </c>
      <c r="P282" s="24">
        <v>3.6041666666666665</v>
      </c>
      <c r="Q282" s="24">
        <v>4.1666666666666664E-2</v>
      </c>
      <c r="R282" s="24">
        <v>19.391666666666662</v>
      </c>
      <c r="S282" s="10">
        <v>0.34072439735635318</v>
      </c>
      <c r="T282" s="25">
        <v>0.42912499999999998</v>
      </c>
      <c r="U282" s="25">
        <v>0.54256249999999984</v>
      </c>
      <c r="V282" s="25">
        <v>0.59627083333333353</v>
      </c>
      <c r="W282" s="25">
        <v>0.60252083333333351</v>
      </c>
      <c r="X282" s="25">
        <v>0.61393749999999991</v>
      </c>
      <c r="Y282" s="25">
        <v>0.48974999999999991</v>
      </c>
      <c r="Z282" s="25">
        <v>0.47112499999999979</v>
      </c>
      <c r="AA282" s="25">
        <v>0.40085416666666673</v>
      </c>
      <c r="AB282" s="25">
        <v>0.43205555555555553</v>
      </c>
      <c r="AC282" s="25">
        <v>0.27347916666666677</v>
      </c>
      <c r="AD282" s="25">
        <v>0.49093750000000008</v>
      </c>
      <c r="AE282" s="27">
        <f t="shared" si="13"/>
        <v>0.52153125</v>
      </c>
      <c r="AF282" s="27">
        <f t="shared" si="14"/>
        <v>0.51718055555555553</v>
      </c>
      <c r="AG282" s="27">
        <f t="shared" si="15"/>
        <v>0.51797159090909095</v>
      </c>
    </row>
    <row r="283" spans="1:33" x14ac:dyDescent="0.25">
      <c r="A283" s="9">
        <v>43990</v>
      </c>
      <c r="B283" s="3">
        <v>96.412462526999036</v>
      </c>
      <c r="C283" s="3">
        <v>360.83959522962459</v>
      </c>
      <c r="D283" s="3">
        <v>202.46896233763471</v>
      </c>
      <c r="E283" s="3">
        <v>203.38476008745863</v>
      </c>
      <c r="F283" s="3">
        <v>136.24654150783547</v>
      </c>
      <c r="G283" s="3">
        <v>108.60726769615955</v>
      </c>
      <c r="H283" s="3">
        <v>121.27265967314678</v>
      </c>
      <c r="I283" s="3">
        <v>106.89057537809033</v>
      </c>
      <c r="J283" s="23">
        <v>43990</v>
      </c>
      <c r="K283" s="24">
        <v>88.145833333333329</v>
      </c>
      <c r="L283" s="24">
        <v>91.850000000000023</v>
      </c>
      <c r="M283" s="24">
        <v>20.924999999999994</v>
      </c>
      <c r="N283" s="24">
        <v>13.299999999999997</v>
      </c>
      <c r="O283" s="24">
        <v>225.72916666666666</v>
      </c>
      <c r="P283" s="24">
        <v>3.2916666666666665</v>
      </c>
      <c r="Q283" s="24">
        <v>4.1666666666666664E-2</v>
      </c>
      <c r="R283" s="24">
        <v>19.497916666666672</v>
      </c>
      <c r="S283" s="10">
        <v>0.21918820743302914</v>
      </c>
      <c r="T283" s="25">
        <v>0.45587499999999997</v>
      </c>
      <c r="U283" s="25">
        <v>0.55525000000000013</v>
      </c>
      <c r="V283" s="25">
        <v>0.60387499999999994</v>
      </c>
      <c r="W283" s="25">
        <v>0.6151041666666669</v>
      </c>
      <c r="X283" s="25">
        <v>0.61785416666666626</v>
      </c>
      <c r="Y283" s="25">
        <v>0.5055624999999998</v>
      </c>
      <c r="Z283" s="25">
        <v>0.4812916666666669</v>
      </c>
      <c r="AA283" s="25">
        <v>0.42281249999999998</v>
      </c>
      <c r="AB283" s="25">
        <v>0.46696428571428567</v>
      </c>
      <c r="AC283" s="25">
        <v>0.31941666666666668</v>
      </c>
      <c r="AD283" s="25">
        <v>0.51770833333333333</v>
      </c>
      <c r="AE283" s="27">
        <f t="shared" si="13"/>
        <v>0.53686458333333309</v>
      </c>
      <c r="AF283" s="27">
        <f t="shared" si="14"/>
        <v>0.53064930555555556</v>
      </c>
      <c r="AG283" s="27">
        <f t="shared" si="15"/>
        <v>0.531779356060606</v>
      </c>
    </row>
    <row r="284" spans="1:33" x14ac:dyDescent="0.25">
      <c r="A284" s="9">
        <v>43991</v>
      </c>
      <c r="B284" s="3">
        <v>185.85341631654609</v>
      </c>
      <c r="C284" s="3">
        <v>469.28118415248446</v>
      </c>
      <c r="D284" s="3">
        <v>286.31863959512043</v>
      </c>
      <c r="E284" s="3">
        <v>312.93750127323199</v>
      </c>
      <c r="F284" s="3">
        <v>268.61284004456439</v>
      </c>
      <c r="G284" s="3">
        <v>207.17417499480783</v>
      </c>
      <c r="H284" s="3">
        <v>154.05109840132837</v>
      </c>
      <c r="I284" s="3">
        <v>183.87621214396307</v>
      </c>
      <c r="J284" s="23">
        <v>43991</v>
      </c>
      <c r="K284" s="24">
        <v>120.58333333333333</v>
      </c>
      <c r="L284" s="24">
        <v>85.554166666666674</v>
      </c>
      <c r="M284" s="24">
        <v>20.772916666666656</v>
      </c>
      <c r="N284" s="24">
        <v>2.1</v>
      </c>
      <c r="O284" s="24">
        <v>236.97916666666666</v>
      </c>
      <c r="P284" s="24">
        <v>0.9375</v>
      </c>
      <c r="Q284" s="24">
        <v>0</v>
      </c>
      <c r="R284" s="24">
        <v>18.160416666666666</v>
      </c>
      <c r="S284" s="10">
        <v>0.38573067647061876</v>
      </c>
      <c r="T284" s="25">
        <v>0.43595833333333306</v>
      </c>
      <c r="U284" s="25">
        <v>0.53989583333333324</v>
      </c>
      <c r="V284" s="25">
        <v>0.59497916666666673</v>
      </c>
      <c r="W284" s="25">
        <v>0.60191666666666699</v>
      </c>
      <c r="X284" s="25">
        <v>0.60870833333333341</v>
      </c>
      <c r="Y284" s="25">
        <v>0.48316666666666702</v>
      </c>
      <c r="Z284" s="25">
        <v>0.47204166666666653</v>
      </c>
      <c r="AA284" s="25">
        <v>0.40727083333333364</v>
      </c>
      <c r="AB284" s="25">
        <v>0.42713636363636359</v>
      </c>
      <c r="AC284" s="25">
        <v>0.25872916666666684</v>
      </c>
      <c r="AD284" s="25">
        <v>0.48872916666666671</v>
      </c>
      <c r="AE284" s="27">
        <f t="shared" si="13"/>
        <v>0.52233333333333321</v>
      </c>
      <c r="AF284" s="27">
        <f t="shared" si="14"/>
        <v>0.51654513888888898</v>
      </c>
      <c r="AG284" s="27">
        <f t="shared" si="15"/>
        <v>0.51759753787878793</v>
      </c>
    </row>
    <row r="285" spans="1:33" x14ac:dyDescent="0.25">
      <c r="A285" s="9">
        <v>43992</v>
      </c>
      <c r="B285" s="3">
        <v>116.9935198450429</v>
      </c>
      <c r="C285" s="3">
        <v>237.358921495793</v>
      </c>
      <c r="D285" s="3">
        <v>195.7039812682211</v>
      </c>
      <c r="E285" s="3">
        <v>203.36854651394836</v>
      </c>
      <c r="F285" s="3">
        <v>161.08862478671</v>
      </c>
      <c r="G285" s="3">
        <v>104.40587286585536</v>
      </c>
      <c r="H285" s="3">
        <v>93.003901497930414</v>
      </c>
      <c r="I285" s="3">
        <v>116.75396433690884</v>
      </c>
      <c r="J285" s="23">
        <v>43992</v>
      </c>
      <c r="K285" s="24">
        <v>96.458333333333329</v>
      </c>
      <c r="L285" s="24">
        <v>90.49166666666666</v>
      </c>
      <c r="M285" s="24">
        <v>20.720833333333335</v>
      </c>
      <c r="N285" s="24">
        <v>46.900000000000006</v>
      </c>
      <c r="O285" s="24">
        <v>196.9375</v>
      </c>
      <c r="P285" s="24">
        <v>3.4375</v>
      </c>
      <c r="Q285" s="24">
        <v>0.29166666666666669</v>
      </c>
      <c r="R285" s="24">
        <v>19.060416666666672</v>
      </c>
      <c r="S285" s="10">
        <v>0.24690244428610442</v>
      </c>
      <c r="T285" s="25">
        <v>0.47116666666666651</v>
      </c>
      <c r="U285" s="25">
        <v>0.56079166666666647</v>
      </c>
      <c r="V285" s="25">
        <v>0.60872916666666688</v>
      </c>
      <c r="W285" s="25">
        <v>0.62520833333333325</v>
      </c>
      <c r="X285" s="25">
        <v>0.62062499999999987</v>
      </c>
      <c r="Y285" s="25">
        <v>0.50970833333333332</v>
      </c>
      <c r="Z285" s="25">
        <v>0.48435416666666681</v>
      </c>
      <c r="AA285" s="25">
        <v>0.43422916666666683</v>
      </c>
      <c r="AB285" s="25">
        <v>0.48144827586206895</v>
      </c>
      <c r="AC285" s="25">
        <v>0.38535416666666661</v>
      </c>
      <c r="AD285" s="25">
        <v>0.52810416666666671</v>
      </c>
      <c r="AE285" s="27">
        <f t="shared" si="13"/>
        <v>0.54589583333333325</v>
      </c>
      <c r="AF285" s="27">
        <f t="shared" si="14"/>
        <v>0.53717013888888887</v>
      </c>
      <c r="AG285" s="27">
        <f t="shared" si="15"/>
        <v>0.53875662878787878</v>
      </c>
    </row>
    <row r="286" spans="1:33" x14ac:dyDescent="0.25">
      <c r="A286" s="9">
        <v>43993</v>
      </c>
      <c r="B286" s="3">
        <v>344.21890925906155</v>
      </c>
      <c r="C286" s="3">
        <v>803.67455688652421</v>
      </c>
      <c r="D286" s="3">
        <v>536.5174614821434</v>
      </c>
      <c r="E286" s="3">
        <v>605.17029376992821</v>
      </c>
      <c r="F286" s="3">
        <v>491.74184327720508</v>
      </c>
      <c r="G286" s="3">
        <v>363.45177650216056</v>
      </c>
      <c r="H286" s="3">
        <v>222.4425446212575</v>
      </c>
      <c r="I286" s="3">
        <v>302.47682555849991</v>
      </c>
      <c r="J286" s="23">
        <v>43993</v>
      </c>
      <c r="K286" s="24">
        <v>182.70833333333334</v>
      </c>
      <c r="L286" s="24">
        <v>81.654166666666683</v>
      </c>
      <c r="M286" s="24">
        <v>23.604166666666661</v>
      </c>
      <c r="N286" s="24">
        <v>0</v>
      </c>
      <c r="O286" s="24">
        <v>235.20833333333334</v>
      </c>
      <c r="P286" s="24">
        <v>13.9375</v>
      </c>
      <c r="Q286" s="24">
        <v>3</v>
      </c>
      <c r="R286" s="24">
        <v>20.206250000000008</v>
      </c>
      <c r="S286" s="10">
        <v>0.5646302120616371</v>
      </c>
      <c r="T286" s="25">
        <v>0.44320833333333326</v>
      </c>
      <c r="U286" s="25">
        <v>0.5433958333333333</v>
      </c>
      <c r="V286" s="25">
        <v>0.59720833333333367</v>
      </c>
      <c r="W286" s="25">
        <v>0.60483333333333322</v>
      </c>
      <c r="X286" s="25">
        <v>0.61141666666666661</v>
      </c>
      <c r="Y286" s="25">
        <v>0.48593749999999997</v>
      </c>
      <c r="Z286" s="25">
        <v>0.47437500000000005</v>
      </c>
      <c r="AA286" s="25">
        <v>0.40962499999999974</v>
      </c>
      <c r="AB286" s="25">
        <v>0.43572340425531908</v>
      </c>
      <c r="AC286" s="25">
        <v>0.26289583333333327</v>
      </c>
      <c r="AD286" s="25">
        <v>0.48866666666666675</v>
      </c>
      <c r="AE286" s="27">
        <f t="shared" si="13"/>
        <v>0.52731249999999996</v>
      </c>
      <c r="AF286" s="27">
        <f t="shared" si="14"/>
        <v>0.51922916666666663</v>
      </c>
      <c r="AG286" s="27">
        <f t="shared" si="15"/>
        <v>0.52069886363636364</v>
      </c>
    </row>
    <row r="287" spans="1:33" x14ac:dyDescent="0.25">
      <c r="A287" s="9">
        <v>43994</v>
      </c>
      <c r="B287" s="3">
        <v>321.17305964513127</v>
      </c>
      <c r="C287" s="3">
        <v>728.65122552059563</v>
      </c>
      <c r="D287" s="3">
        <v>604.54785236330019</v>
      </c>
      <c r="E287" s="3">
        <v>592.22406884870441</v>
      </c>
      <c r="F287" s="3">
        <v>476.07815792707953</v>
      </c>
      <c r="G287" s="3">
        <v>360.02326207344743</v>
      </c>
      <c r="H287" s="3">
        <v>217.88511954122043</v>
      </c>
      <c r="I287" s="3">
        <v>329.04617522698032</v>
      </c>
      <c r="J287" s="23">
        <v>43994</v>
      </c>
      <c r="K287" s="24">
        <v>160.08333333333334</v>
      </c>
      <c r="L287" s="24">
        <v>79.543750000000017</v>
      </c>
      <c r="M287" s="24">
        <v>24.052083333333329</v>
      </c>
      <c r="N287" s="24">
        <v>0</v>
      </c>
      <c r="O287" s="24">
        <v>237.54166666666666</v>
      </c>
      <c r="P287" s="24">
        <v>11.625</v>
      </c>
      <c r="Q287" s="24">
        <v>2.0416666666666665</v>
      </c>
      <c r="R287" s="24">
        <v>20.224999999999998</v>
      </c>
      <c r="S287" s="10">
        <v>0.64310839568854916</v>
      </c>
      <c r="T287" s="25">
        <v>0.43083333333333296</v>
      </c>
      <c r="U287" s="25">
        <v>0.53368749999999998</v>
      </c>
      <c r="V287" s="25">
        <v>0.59191666666666654</v>
      </c>
      <c r="W287" s="25">
        <v>0.59958333333333336</v>
      </c>
      <c r="X287" s="25">
        <v>0.60429166666666678</v>
      </c>
      <c r="Y287" s="25">
        <v>0.47312499999999974</v>
      </c>
      <c r="Z287" s="25">
        <v>0.47016666666666662</v>
      </c>
      <c r="AA287" s="25">
        <v>0.40454166666666674</v>
      </c>
      <c r="AB287" s="25">
        <v>0.41823913043478272</v>
      </c>
      <c r="AC287" s="25">
        <v>0.24510416666666671</v>
      </c>
      <c r="AD287" s="25">
        <v>0.45735416666666673</v>
      </c>
      <c r="AE287" s="27">
        <f t="shared" si="13"/>
        <v>0.51756249999999993</v>
      </c>
      <c r="AF287" s="27">
        <f t="shared" si="14"/>
        <v>0.51217013888888885</v>
      </c>
      <c r="AG287" s="27">
        <f t="shared" si="15"/>
        <v>0.51315056818181815</v>
      </c>
    </row>
    <row r="288" spans="1:33" x14ac:dyDescent="0.25">
      <c r="A288" s="9">
        <v>43995</v>
      </c>
      <c r="B288" s="3">
        <v>109.23428549728516</v>
      </c>
      <c r="C288" s="3">
        <v>268.22662052595376</v>
      </c>
      <c r="D288" s="3">
        <v>299.93937758740537</v>
      </c>
      <c r="E288" s="3">
        <v>203.0982703492266</v>
      </c>
      <c r="F288" s="3">
        <v>208.27871277966761</v>
      </c>
      <c r="G288" s="3">
        <v>122.00508674237818</v>
      </c>
      <c r="H288" s="3">
        <v>103.95085633083718</v>
      </c>
      <c r="I288" s="3">
        <v>86.712558742308573</v>
      </c>
      <c r="J288" s="23">
        <v>43995</v>
      </c>
      <c r="K288" s="24">
        <v>101.10416666666667</v>
      </c>
      <c r="L288" s="24">
        <v>91.554166666666688</v>
      </c>
      <c r="M288" s="24">
        <v>21.964583333333341</v>
      </c>
      <c r="N288" s="24">
        <v>87.4</v>
      </c>
      <c r="O288" s="24">
        <v>219.89583333333334</v>
      </c>
      <c r="P288" s="24">
        <v>5.1875</v>
      </c>
      <c r="Q288" s="24">
        <v>0.91666666666666663</v>
      </c>
      <c r="R288" s="24">
        <v>20.460416666666671</v>
      </c>
      <c r="S288" s="10">
        <v>0.25362595126241533</v>
      </c>
      <c r="T288" s="25">
        <v>0.47981249999999998</v>
      </c>
      <c r="U288" s="25">
        <v>0.56806249999999991</v>
      </c>
      <c r="V288" s="25">
        <v>0.61231250000000015</v>
      </c>
      <c r="W288" s="25">
        <v>0.62568749999999984</v>
      </c>
      <c r="X288" s="25">
        <v>0.62493750000000003</v>
      </c>
      <c r="Y288" s="25">
        <v>0.5238124999999999</v>
      </c>
      <c r="Z288" s="25">
        <v>0.49022916666666677</v>
      </c>
      <c r="AA288" s="25">
        <v>0.43629166666666674</v>
      </c>
      <c r="AB288" s="25">
        <v>0.49210638297872333</v>
      </c>
      <c r="AC288" s="25">
        <v>0.34945833333333337</v>
      </c>
      <c r="AD288" s="25">
        <v>0.51656249999999992</v>
      </c>
      <c r="AE288" s="27">
        <f t="shared" si="13"/>
        <v>0.55237500000000006</v>
      </c>
      <c r="AF288" s="27">
        <f t="shared" si="14"/>
        <v>0.5427326388888889</v>
      </c>
      <c r="AG288" s="27">
        <f t="shared" si="15"/>
        <v>0.54448579545454545</v>
      </c>
    </row>
    <row r="289" spans="1:33" x14ac:dyDescent="0.25">
      <c r="A289" s="9">
        <v>43996</v>
      </c>
      <c r="B289" s="3">
        <v>158.07823792921025</v>
      </c>
      <c r="C289" s="3">
        <v>273.51496701570721</v>
      </c>
      <c r="D289" s="3">
        <v>383.73017025658532</v>
      </c>
      <c r="E289" s="3">
        <v>222.03809515341135</v>
      </c>
      <c r="F289" s="3">
        <v>185.49693809639615</v>
      </c>
      <c r="G289" s="3">
        <v>124.90775367799056</v>
      </c>
      <c r="H289" s="3">
        <v>110.98679824997889</v>
      </c>
      <c r="I289" s="3">
        <v>88.941232873587992</v>
      </c>
      <c r="J289" s="23">
        <v>43996</v>
      </c>
      <c r="K289" s="24">
        <v>112.79166666666667</v>
      </c>
      <c r="L289" s="24">
        <v>92.114583333333314</v>
      </c>
      <c r="M289" s="24">
        <v>21.302083333333332</v>
      </c>
      <c r="N289" s="24">
        <v>75.600000000000009</v>
      </c>
      <c r="O289" s="24">
        <v>218.33333333333334</v>
      </c>
      <c r="P289" s="24">
        <v>3.0416666666666665</v>
      </c>
      <c r="Q289" s="24">
        <v>0</v>
      </c>
      <c r="R289" s="24">
        <v>19.891666666666662</v>
      </c>
      <c r="S289" s="10">
        <v>0.23043177625057898</v>
      </c>
      <c r="T289" s="25">
        <v>0.51420833333333338</v>
      </c>
      <c r="U289" s="25">
        <v>0.58437499999999976</v>
      </c>
      <c r="V289" s="25">
        <v>0.6221875</v>
      </c>
      <c r="W289" s="25">
        <v>0.64008333333333323</v>
      </c>
      <c r="X289" s="25">
        <v>0.63247916666666659</v>
      </c>
      <c r="Y289" s="25">
        <v>0.54289583333333336</v>
      </c>
      <c r="Z289" s="25">
        <v>0.49868750000000001</v>
      </c>
      <c r="AA289" s="25">
        <v>0.45872916666666647</v>
      </c>
      <c r="AB289" s="25">
        <v>0.56712765957446809</v>
      </c>
      <c r="AC289" s="25">
        <v>0.44960416666666664</v>
      </c>
      <c r="AD289" s="25">
        <v>0.56220833333333331</v>
      </c>
      <c r="AE289" s="27">
        <f t="shared" si="13"/>
        <v>0.57334375000000004</v>
      </c>
      <c r="AF289" s="27">
        <f t="shared" si="14"/>
        <v>0.5578263888888888</v>
      </c>
      <c r="AG289" s="27">
        <f t="shared" si="15"/>
        <v>0.56064772727272716</v>
      </c>
    </row>
    <row r="290" spans="1:33" x14ac:dyDescent="0.25">
      <c r="A290" s="9">
        <v>43997</v>
      </c>
      <c r="B290" s="3">
        <v>219.79656487877239</v>
      </c>
      <c r="C290" s="3">
        <v>653.50993842550918</v>
      </c>
      <c r="D290" s="3">
        <v>591.15190276062037</v>
      </c>
      <c r="E290" s="3">
        <v>447.91640617206048</v>
      </c>
      <c r="F290" s="3">
        <v>369.79004645491597</v>
      </c>
      <c r="G290" s="3">
        <v>297.65149027097345</v>
      </c>
      <c r="H290" s="3">
        <v>212.42216661665273</v>
      </c>
      <c r="I290" s="3">
        <v>227.09793185418243</v>
      </c>
      <c r="J290" s="23">
        <v>43997</v>
      </c>
      <c r="K290" s="24">
        <v>206</v>
      </c>
      <c r="L290" s="24">
        <v>86.177083333333329</v>
      </c>
      <c r="M290" s="24">
        <v>22.537500000000005</v>
      </c>
      <c r="N290" s="24">
        <v>10.899999999999999</v>
      </c>
      <c r="O290" s="24">
        <v>229.5</v>
      </c>
      <c r="P290" s="24">
        <v>7.145833333333333</v>
      </c>
      <c r="Q290" s="24">
        <v>1.0833333333333333</v>
      </c>
      <c r="R290" s="24">
        <v>19.960416666666671</v>
      </c>
      <c r="S290" s="10">
        <v>0.43152882039223833</v>
      </c>
      <c r="T290" s="25">
        <v>0.47258333333333313</v>
      </c>
      <c r="U290" s="25">
        <v>0.56293749999999998</v>
      </c>
      <c r="V290" s="25">
        <v>0.60875000000000024</v>
      </c>
      <c r="W290" s="25">
        <v>0.61766666666666648</v>
      </c>
      <c r="X290" s="25">
        <v>0.62429166666666647</v>
      </c>
      <c r="Y290" s="25">
        <v>0.5119583333333334</v>
      </c>
      <c r="Z290" s="25">
        <v>0.48406250000000028</v>
      </c>
      <c r="AA290" s="25">
        <v>0.42314583333333355</v>
      </c>
      <c r="AB290" s="25">
        <v>0.47633333333333328</v>
      </c>
      <c r="AC290" s="25">
        <v>0.2930416666666667</v>
      </c>
      <c r="AD290" s="25">
        <v>0.51520833333333338</v>
      </c>
      <c r="AE290" s="27">
        <f t="shared" si="13"/>
        <v>0.5484374999999998</v>
      </c>
      <c r="AF290" s="27">
        <f t="shared" si="14"/>
        <v>0.53475347222222236</v>
      </c>
      <c r="AG290" s="27">
        <f t="shared" si="15"/>
        <v>0.53724147727272731</v>
      </c>
    </row>
    <row r="291" spans="1:33" x14ac:dyDescent="0.25">
      <c r="A291" s="9">
        <v>43998</v>
      </c>
      <c r="B291" s="3">
        <v>264.93502800453564</v>
      </c>
      <c r="C291" s="3">
        <v>577.81462963990884</v>
      </c>
      <c r="D291" s="3">
        <v>539.76307550088563</v>
      </c>
      <c r="E291" s="3">
        <v>450.93662704891671</v>
      </c>
      <c r="F291" s="3">
        <v>416.3241731179474</v>
      </c>
      <c r="G291" s="3">
        <v>324.68615035777248</v>
      </c>
      <c r="H291" s="3">
        <v>209.93250893001738</v>
      </c>
      <c r="I291" s="3">
        <v>238.28873834778173</v>
      </c>
      <c r="J291" s="23">
        <v>43998</v>
      </c>
      <c r="K291" s="24">
        <v>164.875</v>
      </c>
      <c r="L291" s="24">
        <v>84.125000000000014</v>
      </c>
      <c r="M291" s="24">
        <v>22.372916666666669</v>
      </c>
      <c r="N291" s="24">
        <v>0.9</v>
      </c>
      <c r="O291" s="24">
        <v>231.14583333333334</v>
      </c>
      <c r="P291" s="24">
        <v>18.25</v>
      </c>
      <c r="Q291" s="24">
        <v>3.75</v>
      </c>
      <c r="R291" s="24">
        <v>19.487500000000004</v>
      </c>
      <c r="S291" s="10">
        <v>0.45552833883335503</v>
      </c>
      <c r="T291" s="25">
        <v>0.44856250000000003</v>
      </c>
      <c r="U291" s="25">
        <v>0.54552083333333334</v>
      </c>
      <c r="V291" s="25">
        <v>0.59879166666666661</v>
      </c>
      <c r="W291" s="25">
        <v>0.60616666666666696</v>
      </c>
      <c r="X291" s="25">
        <v>0.61347916666666646</v>
      </c>
      <c r="Y291" s="25">
        <v>0.49189583333333342</v>
      </c>
      <c r="Z291" s="25">
        <v>0.47543749999999968</v>
      </c>
      <c r="AA291" s="25">
        <v>0.41108333333333325</v>
      </c>
      <c r="AB291" s="25">
        <v>0.44193617021276582</v>
      </c>
      <c r="AC291" s="25">
        <v>0.25887499999999991</v>
      </c>
      <c r="AD291" s="25">
        <v>0.48158333333333331</v>
      </c>
      <c r="AE291" s="27">
        <f t="shared" si="13"/>
        <v>0.53102083333333328</v>
      </c>
      <c r="AF291" s="27">
        <f t="shared" si="14"/>
        <v>0.52148263888888879</v>
      </c>
      <c r="AG291" s="27">
        <f t="shared" si="15"/>
        <v>0.52321685606060597</v>
      </c>
    </row>
    <row r="292" spans="1:33" x14ac:dyDescent="0.25">
      <c r="A292" s="9">
        <v>43999</v>
      </c>
      <c r="B292" s="3">
        <v>283.36916191954691</v>
      </c>
      <c r="C292" s="3">
        <v>673.34276592896231</v>
      </c>
      <c r="D292" s="3">
        <v>615.32068335315546</v>
      </c>
      <c r="E292" s="3">
        <v>561.56870318113999</v>
      </c>
      <c r="F292" s="3">
        <v>490.86575258887967</v>
      </c>
      <c r="G292" s="3">
        <v>382.84017224497205</v>
      </c>
      <c r="H292" s="3">
        <v>229.5819526863381</v>
      </c>
      <c r="I292" s="3">
        <v>275.89885771087307</v>
      </c>
      <c r="J292" s="23">
        <v>43999</v>
      </c>
      <c r="K292" s="24">
        <v>166.16666666666666</v>
      </c>
      <c r="L292" s="24">
        <v>81.33541666666666</v>
      </c>
      <c r="M292" s="24">
        <v>23.695833333333329</v>
      </c>
      <c r="N292" s="24">
        <v>0</v>
      </c>
      <c r="O292" s="24">
        <v>235.10416666666666</v>
      </c>
      <c r="P292" s="24">
        <v>16.270833333333332</v>
      </c>
      <c r="Q292" s="24">
        <v>3.4375</v>
      </c>
      <c r="R292" s="24">
        <v>20.252083333333335</v>
      </c>
      <c r="S292" s="10">
        <v>0.56958878597171181</v>
      </c>
      <c r="T292" s="25">
        <v>0.43679166666666641</v>
      </c>
      <c r="U292" s="25">
        <v>0.53591666666666671</v>
      </c>
      <c r="V292" s="25">
        <v>0.59293750000000001</v>
      </c>
      <c r="W292" s="25">
        <v>0.60099999999999998</v>
      </c>
      <c r="X292" s="25">
        <v>0.60616666666666674</v>
      </c>
      <c r="Y292" s="25">
        <v>0.48247916666666696</v>
      </c>
      <c r="Z292" s="25">
        <v>0.4714583333333337</v>
      </c>
      <c r="AA292" s="25">
        <v>0.40702083333333355</v>
      </c>
      <c r="AB292" s="25">
        <v>0.42358333333333348</v>
      </c>
      <c r="AC292" s="25">
        <v>0.24545833333333333</v>
      </c>
      <c r="AD292" s="25">
        <v>0.45606250000000009</v>
      </c>
      <c r="AE292" s="27">
        <f t="shared" si="13"/>
        <v>0.5214791666666666</v>
      </c>
      <c r="AF292" s="27">
        <f t="shared" si="14"/>
        <v>0.51513541666666673</v>
      </c>
      <c r="AG292" s="27">
        <f t="shared" si="15"/>
        <v>0.51628882575757584</v>
      </c>
    </row>
    <row r="293" spans="1:33" x14ac:dyDescent="0.25">
      <c r="A293" s="9">
        <v>44000</v>
      </c>
      <c r="B293" s="3">
        <v>93.481022038446454</v>
      </c>
      <c r="C293" s="3">
        <v>140.16945702675008</v>
      </c>
      <c r="D293" s="3">
        <v>167.96763528308878</v>
      </c>
      <c r="E293" s="3">
        <v>128.83058118167432</v>
      </c>
      <c r="F293" s="3">
        <v>126.89299038813175</v>
      </c>
      <c r="G293" s="3">
        <v>83.055293789023395</v>
      </c>
      <c r="H293" s="3">
        <v>69.141695594015474</v>
      </c>
      <c r="I293" s="3">
        <v>96.863648439232648</v>
      </c>
      <c r="J293" s="23">
        <v>44000</v>
      </c>
      <c r="K293" s="24">
        <v>83.5</v>
      </c>
      <c r="L293" s="24">
        <v>89.604166666666671</v>
      </c>
      <c r="M293" s="24">
        <v>19.364583333333332</v>
      </c>
      <c r="N293" s="24">
        <v>33.70000000000001</v>
      </c>
      <c r="O293" s="24">
        <v>133.85416666666666</v>
      </c>
      <c r="P293" s="24">
        <v>2.25</v>
      </c>
      <c r="Q293" s="24">
        <v>8.3333333333333329E-2</v>
      </c>
      <c r="R293" s="24">
        <v>17.564583333333328</v>
      </c>
      <c r="S293" s="10">
        <v>0.24538701069511504</v>
      </c>
      <c r="T293" s="25">
        <v>0.47812499999999997</v>
      </c>
      <c r="U293" s="25">
        <v>0.56689583333333327</v>
      </c>
      <c r="V293" s="25">
        <v>0.61097916666666685</v>
      </c>
      <c r="W293" s="25">
        <v>0.62447916666666659</v>
      </c>
      <c r="X293" s="25">
        <v>0.6270833333333331</v>
      </c>
      <c r="Y293" s="25">
        <v>0.51883333333333348</v>
      </c>
      <c r="Z293" s="25">
        <v>0.48672916666666671</v>
      </c>
      <c r="AA293" s="25">
        <v>0.42575000000000013</v>
      </c>
      <c r="AB293" s="25">
        <v>0.47656249999999978</v>
      </c>
      <c r="AC293" s="25">
        <v>0.30439583333333342</v>
      </c>
      <c r="AD293" s="25">
        <v>0.5132916666666667</v>
      </c>
      <c r="AE293" s="27">
        <f t="shared" si="13"/>
        <v>0.55260416666666656</v>
      </c>
      <c r="AF293" s="27">
        <f t="shared" si="14"/>
        <v>0.53894444444444456</v>
      </c>
      <c r="AG293" s="27">
        <f t="shared" si="15"/>
        <v>0.54142803030303033</v>
      </c>
    </row>
    <row r="294" spans="1:33" x14ac:dyDescent="0.25">
      <c r="A294" s="9">
        <v>44001</v>
      </c>
      <c r="B294" s="3">
        <v>243.99638666559491</v>
      </c>
      <c r="C294" s="3">
        <v>487.3080300086562</v>
      </c>
      <c r="D294" s="3">
        <v>497.7802537281998</v>
      </c>
      <c r="E294" s="3">
        <v>466.36333209232129</v>
      </c>
      <c r="F294" s="3">
        <v>419.44084617256993</v>
      </c>
      <c r="G294" s="3">
        <v>338.89324105411339</v>
      </c>
      <c r="H294" s="3">
        <v>181.52623363844734</v>
      </c>
      <c r="I294" s="3">
        <v>230.96835809319603</v>
      </c>
      <c r="J294" s="23">
        <v>44001</v>
      </c>
      <c r="K294" s="24">
        <v>137.1875</v>
      </c>
      <c r="L294" s="24">
        <v>86.18125000000002</v>
      </c>
      <c r="M294" s="24">
        <v>21.325000000000003</v>
      </c>
      <c r="N294" s="24">
        <v>0</v>
      </c>
      <c r="O294" s="24">
        <v>157.875</v>
      </c>
      <c r="P294" s="24">
        <v>6.75</v>
      </c>
      <c r="Q294" s="24">
        <v>1.0833333333333333</v>
      </c>
      <c r="R294" s="24">
        <v>18.837500000000002</v>
      </c>
      <c r="S294" s="10">
        <v>0.38746013684442299</v>
      </c>
      <c r="T294" s="25">
        <v>0.45285416666666656</v>
      </c>
      <c r="U294" s="25">
        <v>0.54827083333333337</v>
      </c>
      <c r="V294" s="25">
        <v>0.59972916666666687</v>
      </c>
      <c r="W294" s="25">
        <v>0.60758333333333325</v>
      </c>
      <c r="X294" s="25">
        <v>0.61599999999999977</v>
      </c>
      <c r="Y294" s="25">
        <v>0.49620833333333292</v>
      </c>
      <c r="Z294" s="25">
        <v>0.47793750000000018</v>
      </c>
      <c r="AA294" s="25">
        <v>0.41233333333333344</v>
      </c>
      <c r="AB294" s="25">
        <v>0.44334042553191505</v>
      </c>
      <c r="AC294" s="25">
        <v>0.26281250000000017</v>
      </c>
      <c r="AD294" s="25">
        <v>0.48808333333333365</v>
      </c>
      <c r="AE294" s="27">
        <f t="shared" si="13"/>
        <v>0.53442708333333311</v>
      </c>
      <c r="AF294" s="27">
        <f t="shared" si="14"/>
        <v>0.5236770833333334</v>
      </c>
      <c r="AG294" s="27">
        <f t="shared" si="15"/>
        <v>0.52563162878787884</v>
      </c>
    </row>
    <row r="295" spans="1:33" x14ac:dyDescent="0.25">
      <c r="A295" s="9">
        <v>44002</v>
      </c>
      <c r="B295" s="3">
        <v>365.64910227109243</v>
      </c>
      <c r="C295" s="3">
        <v>772.96981063497844</v>
      </c>
      <c r="D295" s="3">
        <v>738.40535612373662</v>
      </c>
      <c r="E295" s="3">
        <v>706.81091249275084</v>
      </c>
      <c r="F295" s="3">
        <v>593.71180230882862</v>
      </c>
      <c r="G295" s="3">
        <v>498.33270325135959</v>
      </c>
      <c r="H295" s="3">
        <v>262.30423731823839</v>
      </c>
      <c r="I295" s="3">
        <v>315.1258116696153</v>
      </c>
      <c r="J295" s="23">
        <v>44002</v>
      </c>
      <c r="K295" s="24">
        <v>189</v>
      </c>
      <c r="L295" s="24">
        <v>81.218750000000014</v>
      </c>
      <c r="M295" s="24">
        <v>23.835416666666671</v>
      </c>
      <c r="N295" s="24">
        <v>0</v>
      </c>
      <c r="O295" s="24">
        <v>231.08333333333334</v>
      </c>
      <c r="P295" s="24">
        <v>16.9375</v>
      </c>
      <c r="Q295" s="24">
        <v>3.9583333333333335</v>
      </c>
      <c r="R295" s="24">
        <v>20.341666666666665</v>
      </c>
      <c r="S295" s="10">
        <v>0.58507081219512269</v>
      </c>
      <c r="T295" s="25">
        <v>0.44066666666666676</v>
      </c>
      <c r="U295" s="25">
        <v>0.53881249999999981</v>
      </c>
      <c r="V295" s="25">
        <v>0.59462499999999974</v>
      </c>
      <c r="W295" s="25">
        <v>0.60206250000000028</v>
      </c>
      <c r="X295" s="25">
        <v>0.60947916666666679</v>
      </c>
      <c r="Y295" s="25">
        <v>0.48639583333333358</v>
      </c>
      <c r="Z295" s="25">
        <v>0.47347916666666667</v>
      </c>
      <c r="AA295" s="25">
        <v>0.40785416666666691</v>
      </c>
      <c r="AB295" s="25">
        <v>0.42852083333333341</v>
      </c>
      <c r="AC295" s="25">
        <v>0.24750000000000005</v>
      </c>
      <c r="AD295" s="25">
        <v>0.4625416666666668</v>
      </c>
      <c r="AE295" s="27">
        <f t="shared" si="13"/>
        <v>0.52507291666666678</v>
      </c>
      <c r="AF295" s="27">
        <f t="shared" si="14"/>
        <v>0.51720486111111108</v>
      </c>
      <c r="AG295" s="27">
        <f t="shared" si="15"/>
        <v>0.51863541666666668</v>
      </c>
    </row>
    <row r="296" spans="1:33" x14ac:dyDescent="0.25">
      <c r="A296" s="9">
        <v>44003</v>
      </c>
      <c r="B296" s="3">
        <v>278.53424583749825</v>
      </c>
      <c r="C296" s="3">
        <v>627.7192878453576</v>
      </c>
      <c r="D296" s="3">
        <v>622.38821152557955</v>
      </c>
      <c r="E296" s="3">
        <v>603.27072981344043</v>
      </c>
      <c r="F296" s="3">
        <v>450.03547332349092</v>
      </c>
      <c r="G296" s="3">
        <v>414.09191756996745</v>
      </c>
      <c r="H296" s="3">
        <v>212.08387074304534</v>
      </c>
      <c r="I296" s="3">
        <v>217.51532529440695</v>
      </c>
      <c r="J296" s="23">
        <v>44003</v>
      </c>
      <c r="K296" s="24">
        <v>176.60416666666666</v>
      </c>
      <c r="L296" s="24">
        <v>81.691666666666691</v>
      </c>
      <c r="M296" s="24">
        <v>24.054166666666674</v>
      </c>
      <c r="N296" s="24">
        <v>0</v>
      </c>
      <c r="O296" s="24">
        <v>238.6875</v>
      </c>
      <c r="P296" s="24">
        <v>14.5</v>
      </c>
      <c r="Q296" s="24">
        <v>2.5625</v>
      </c>
      <c r="R296" s="24">
        <v>20.68333333333333</v>
      </c>
      <c r="S296" s="10">
        <v>0.56976949284976519</v>
      </c>
      <c r="T296" s="25">
        <v>0.43006249999999996</v>
      </c>
      <c r="U296" s="25">
        <v>0.53116666666666623</v>
      </c>
      <c r="V296" s="25">
        <v>0.59010416666666687</v>
      </c>
      <c r="W296" s="25">
        <v>0.59862500000000041</v>
      </c>
      <c r="X296" s="25">
        <v>0.60293750000000024</v>
      </c>
      <c r="Y296" s="25">
        <v>0.47758333333333308</v>
      </c>
      <c r="Z296" s="25">
        <v>0.46987499999999988</v>
      </c>
      <c r="AA296" s="25">
        <v>0.40404166666666685</v>
      </c>
      <c r="AB296" s="25">
        <v>0.41349999999999981</v>
      </c>
      <c r="AC296" s="25">
        <v>0.23077083333333337</v>
      </c>
      <c r="AD296" s="25">
        <v>0.43854166666666666</v>
      </c>
      <c r="AE296" s="27">
        <f t="shared" si="13"/>
        <v>0.51650000000000007</v>
      </c>
      <c r="AF296" s="27">
        <f t="shared" si="14"/>
        <v>0.51189930555555563</v>
      </c>
      <c r="AG296" s="27">
        <f t="shared" si="15"/>
        <v>0.51273579545454562</v>
      </c>
    </row>
    <row r="297" spans="1:33" x14ac:dyDescent="0.25">
      <c r="A297" s="9">
        <v>44004</v>
      </c>
      <c r="B297" s="3">
        <v>227.64758284841096</v>
      </c>
      <c r="C297" s="3">
        <v>516.82200032025401</v>
      </c>
      <c r="D297" s="3">
        <v>525.29660077784797</v>
      </c>
      <c r="E297" s="3">
        <v>491.41193575246473</v>
      </c>
      <c r="F297" s="3">
        <v>385.08095717914932</v>
      </c>
      <c r="G297" s="3">
        <v>339.26966726712254</v>
      </c>
      <c r="H297" s="3">
        <v>183.54963461108534</v>
      </c>
      <c r="I297" s="3">
        <v>187.27211294375465</v>
      </c>
      <c r="J297" s="23">
        <v>44004</v>
      </c>
      <c r="K297" s="24">
        <v>119.64583333333333</v>
      </c>
      <c r="L297" s="24">
        <v>82.587499999999991</v>
      </c>
      <c r="M297" s="24">
        <v>23.274999999999995</v>
      </c>
      <c r="N297" s="24">
        <v>0.2</v>
      </c>
      <c r="O297" s="24">
        <v>237.95833333333334</v>
      </c>
      <c r="P297" s="24">
        <v>9.0625</v>
      </c>
      <c r="Q297" s="24">
        <v>1.4375</v>
      </c>
      <c r="R297" s="24">
        <v>20.058333333333334</v>
      </c>
      <c r="S297" s="10">
        <v>0.52868193151200105</v>
      </c>
      <c r="T297" s="25">
        <v>0.41993749999999991</v>
      </c>
      <c r="U297" s="25">
        <v>0.5247916666666661</v>
      </c>
      <c r="V297" s="25">
        <v>0.5860208333333331</v>
      </c>
      <c r="W297" s="25">
        <v>0.59556250000000033</v>
      </c>
      <c r="X297" s="25">
        <v>0.59600000000000009</v>
      </c>
      <c r="Y297" s="25">
        <v>0.46993750000000017</v>
      </c>
      <c r="Z297" s="25">
        <v>0.46637499999999971</v>
      </c>
      <c r="AA297" s="25">
        <v>0.40081250000000024</v>
      </c>
      <c r="AB297" s="25">
        <v>0.40035555555555558</v>
      </c>
      <c r="AC297" s="25">
        <v>0.2152916666666668</v>
      </c>
      <c r="AD297" s="25">
        <v>0.41437499999999994</v>
      </c>
      <c r="AE297" s="27">
        <f t="shared" si="13"/>
        <v>0.50796874999999997</v>
      </c>
      <c r="AF297" s="27">
        <f t="shared" si="14"/>
        <v>0.50724999999999998</v>
      </c>
      <c r="AG297" s="27">
        <f t="shared" si="15"/>
        <v>0.50738068181818174</v>
      </c>
    </row>
    <row r="298" spans="1:33" x14ac:dyDescent="0.25">
      <c r="A298" s="9">
        <v>44005</v>
      </c>
      <c r="B298" s="3">
        <v>56.7424631957931</v>
      </c>
      <c r="C298" s="3">
        <v>180.69253555777098</v>
      </c>
      <c r="D298" s="3">
        <v>166.67529691502722</v>
      </c>
      <c r="E298" s="3">
        <v>126.13611693227092</v>
      </c>
      <c r="F298" s="3">
        <v>112.09181013284774</v>
      </c>
      <c r="G298" s="3">
        <v>75.341535493042343</v>
      </c>
      <c r="H298" s="3">
        <v>65.946309681815279</v>
      </c>
      <c r="I298" s="3">
        <v>87.15819709446626</v>
      </c>
      <c r="J298" s="23">
        <v>44005</v>
      </c>
      <c r="K298" s="24">
        <v>80.25</v>
      </c>
      <c r="L298" s="24">
        <v>91.237500000000011</v>
      </c>
      <c r="M298" s="24">
        <v>20.791666666666668</v>
      </c>
      <c r="N298" s="24">
        <v>12.399999999999997</v>
      </c>
      <c r="O298" s="24">
        <v>227.41666666666666</v>
      </c>
      <c r="P298" s="24">
        <v>2.0833333333333335</v>
      </c>
      <c r="Q298" s="24">
        <v>0</v>
      </c>
      <c r="R298" s="24">
        <v>19.277083333333334</v>
      </c>
      <c r="S298" s="10">
        <v>0.22886513168394088</v>
      </c>
      <c r="T298" s="25">
        <v>0.41724999999999973</v>
      </c>
      <c r="U298" s="25">
        <v>0.52697916666666655</v>
      </c>
      <c r="V298" s="25">
        <v>0.5878958333333334</v>
      </c>
      <c r="W298" s="25">
        <v>0.59456249999999955</v>
      </c>
      <c r="X298" s="25">
        <v>0.59189583333333329</v>
      </c>
      <c r="Y298" s="25">
        <v>0.46579166666666644</v>
      </c>
      <c r="Z298" s="25">
        <v>0.46433333333333349</v>
      </c>
      <c r="AA298" s="25">
        <v>0.39939583333333384</v>
      </c>
      <c r="AB298" s="25">
        <v>0.43340909090909108</v>
      </c>
      <c r="AC298" s="25">
        <v>0.260625</v>
      </c>
      <c r="AD298" s="25">
        <v>0.45954166666666668</v>
      </c>
      <c r="AE298" s="27">
        <f t="shared" si="13"/>
        <v>0.50457291666666648</v>
      </c>
      <c r="AF298" s="27">
        <f t="shared" si="14"/>
        <v>0.50649305555555557</v>
      </c>
      <c r="AG298" s="27">
        <f t="shared" si="15"/>
        <v>0.50614393939393931</v>
      </c>
    </row>
    <row r="299" spans="1:33" x14ac:dyDescent="0.25">
      <c r="A299" s="9">
        <v>44006</v>
      </c>
      <c r="B299" s="3">
        <v>12.658509006312354</v>
      </c>
      <c r="C299" s="3">
        <v>54.222483791695005</v>
      </c>
      <c r="D299" s="3">
        <v>42.131581392688553</v>
      </c>
      <c r="E299" s="3">
        <v>11.784279237887729</v>
      </c>
      <c r="F299" s="3">
        <v>10.492724019927525</v>
      </c>
      <c r="G299" s="3">
        <v>4.0415606233610655</v>
      </c>
      <c r="H299" s="3">
        <v>8.024568247642911</v>
      </c>
      <c r="I299" s="3">
        <v>25.682174411568262</v>
      </c>
      <c r="J299" s="23">
        <v>44006</v>
      </c>
      <c r="K299" s="24">
        <v>80.916666666666671</v>
      </c>
      <c r="L299" s="24">
        <v>93.762499999999989</v>
      </c>
      <c r="M299" s="24">
        <v>20.022916666666667</v>
      </c>
      <c r="N299" s="24">
        <v>51.200000000000024</v>
      </c>
      <c r="O299" s="24">
        <v>171.125</v>
      </c>
      <c r="P299" s="24">
        <v>1.2916666666666667</v>
      </c>
      <c r="Q299" s="24">
        <v>0</v>
      </c>
      <c r="R299" s="24">
        <v>18.970833333333335</v>
      </c>
      <c r="S299" s="10">
        <v>0.15191600159051757</v>
      </c>
      <c r="T299" s="25">
        <v>0.48535416666666675</v>
      </c>
      <c r="U299" s="25">
        <v>0.56883333333333341</v>
      </c>
      <c r="V299" s="25">
        <v>0.61314583333333339</v>
      </c>
      <c r="W299" s="25">
        <v>0.62818749999999979</v>
      </c>
      <c r="X299" s="25">
        <v>0.62518750000000012</v>
      </c>
      <c r="Y299" s="25">
        <v>0.52606249999999999</v>
      </c>
      <c r="Z299" s="25">
        <v>0.48958333333333331</v>
      </c>
      <c r="AA299" s="25">
        <v>0.43685416666666682</v>
      </c>
      <c r="AB299" s="25">
        <v>0.51617391304347826</v>
      </c>
      <c r="AC299" s="25">
        <v>0.38379166666666648</v>
      </c>
      <c r="AD299" s="25">
        <v>0.53262500000000002</v>
      </c>
      <c r="AE299" s="27">
        <f t="shared" si="13"/>
        <v>0.55527083333333338</v>
      </c>
      <c r="AF299" s="27">
        <f t="shared" si="14"/>
        <v>0.5437777777777778</v>
      </c>
      <c r="AG299" s="27">
        <f t="shared" si="15"/>
        <v>0.54586742424242429</v>
      </c>
    </row>
    <row r="300" spans="1:33" x14ac:dyDescent="0.25">
      <c r="A300" s="9">
        <v>44007</v>
      </c>
      <c r="B300" s="3">
        <v>249.50082511674697</v>
      </c>
      <c r="C300" s="3">
        <v>700.53090757127597</v>
      </c>
      <c r="D300" s="3">
        <v>644.28476387256592</v>
      </c>
      <c r="E300" s="3">
        <v>598.18764424794051</v>
      </c>
      <c r="F300" s="3">
        <v>403.99035960753321</v>
      </c>
      <c r="G300" s="3">
        <v>402.79515682006269</v>
      </c>
      <c r="H300" s="3">
        <v>243.51174079578482</v>
      </c>
      <c r="I300" s="3">
        <v>277.87133443143432</v>
      </c>
      <c r="J300" s="23">
        <v>44007</v>
      </c>
      <c r="K300" s="24">
        <v>237.54166666666666</v>
      </c>
      <c r="L300" s="24">
        <v>81.324999999999989</v>
      </c>
      <c r="M300" s="24">
        <v>22.402083333333334</v>
      </c>
      <c r="N300" s="24">
        <v>0</v>
      </c>
      <c r="O300" s="24">
        <v>230.10416666666666</v>
      </c>
      <c r="P300" s="24">
        <v>3.1458333333333335</v>
      </c>
      <c r="Q300" s="24">
        <v>0.27083333333333331</v>
      </c>
      <c r="R300" s="24">
        <v>18.706250000000001</v>
      </c>
      <c r="S300" s="10">
        <v>0.61139474585586717</v>
      </c>
      <c r="T300" s="25">
        <v>0.45924999999999977</v>
      </c>
      <c r="U300" s="25">
        <v>0.55256249999999996</v>
      </c>
      <c r="V300" s="25">
        <v>0.60300000000000009</v>
      </c>
      <c r="W300" s="25">
        <v>0.61114583333333328</v>
      </c>
      <c r="X300" s="25">
        <v>0.61902083333333313</v>
      </c>
      <c r="Y300" s="25">
        <v>0.50108333333333321</v>
      </c>
      <c r="Z300" s="25">
        <v>0.4798124999999997</v>
      </c>
      <c r="AA300" s="25">
        <v>0.41368749999999999</v>
      </c>
      <c r="AB300" s="25">
        <v>0.45520833333333338</v>
      </c>
      <c r="AC300" s="25">
        <v>0.27483333333333332</v>
      </c>
      <c r="AD300" s="25">
        <v>0.49158333333333343</v>
      </c>
      <c r="AE300" s="27">
        <f t="shared" si="13"/>
        <v>0.53913541666666642</v>
      </c>
      <c r="AF300" s="27">
        <f t="shared" si="14"/>
        <v>0.52688194444444436</v>
      </c>
      <c r="AG300" s="27">
        <f t="shared" si="15"/>
        <v>0.52910984848484832</v>
      </c>
    </row>
    <row r="301" spans="1:33" x14ac:dyDescent="0.25">
      <c r="A301" s="9">
        <v>44008</v>
      </c>
      <c r="B301" s="3">
        <v>267.33321568246924</v>
      </c>
      <c r="C301" s="3">
        <v>604.25257849931904</v>
      </c>
      <c r="D301" s="3">
        <v>660.69679006225192</v>
      </c>
      <c r="E301" s="3">
        <v>546.14719215755508</v>
      </c>
      <c r="F301" s="3">
        <v>451.85330387349978</v>
      </c>
      <c r="G301" s="3">
        <v>401.07320404561995</v>
      </c>
      <c r="H301" s="3">
        <v>250.12224661482713</v>
      </c>
      <c r="I301" s="3">
        <v>269.97027814421222</v>
      </c>
      <c r="J301" s="23">
        <v>44008</v>
      </c>
      <c r="K301" s="24">
        <v>178.16666666666666</v>
      </c>
      <c r="L301" s="24">
        <v>82.808333333333351</v>
      </c>
      <c r="M301" s="24">
        <v>23.464583333333334</v>
      </c>
      <c r="N301" s="24">
        <v>2.5999999999999996</v>
      </c>
      <c r="O301" s="24">
        <v>234.79166666666666</v>
      </c>
      <c r="P301" s="24">
        <v>12.958333333333334</v>
      </c>
      <c r="Q301" s="24">
        <v>2.3125</v>
      </c>
      <c r="R301" s="24">
        <v>20.297916666666662</v>
      </c>
      <c r="S301" s="10">
        <v>0.53241163955690018</v>
      </c>
      <c r="T301" s="25">
        <v>0.44270833333333343</v>
      </c>
      <c r="U301" s="25">
        <v>0.54056250000000028</v>
      </c>
      <c r="V301" s="25">
        <v>0.59639583333333357</v>
      </c>
      <c r="W301" s="25">
        <v>0.60543749999999996</v>
      </c>
      <c r="X301" s="25">
        <v>0.61095833333333349</v>
      </c>
      <c r="Y301" s="25">
        <v>0.4860833333333337</v>
      </c>
      <c r="Z301" s="25">
        <v>0.47439583333333352</v>
      </c>
      <c r="AA301" s="25">
        <v>0.40770833333333328</v>
      </c>
      <c r="AB301" s="25">
        <v>0.43172093023255814</v>
      </c>
      <c r="AC301" s="25">
        <v>0.24993749999999995</v>
      </c>
      <c r="AD301" s="25">
        <v>0.45900000000000002</v>
      </c>
      <c r="AE301" s="27">
        <f t="shared" si="13"/>
        <v>0.52683333333333349</v>
      </c>
      <c r="AF301" s="27">
        <f t="shared" si="14"/>
        <v>0.51843055555555562</v>
      </c>
      <c r="AG301" s="27">
        <f t="shared" si="15"/>
        <v>0.51995833333333341</v>
      </c>
    </row>
    <row r="302" spans="1:33" x14ac:dyDescent="0.25">
      <c r="A302" s="9">
        <v>44009</v>
      </c>
      <c r="B302" s="3">
        <v>242.08341663120873</v>
      </c>
      <c r="C302" s="3">
        <v>472.5666288816463</v>
      </c>
      <c r="D302" s="3">
        <v>645.36867202967233</v>
      </c>
      <c r="E302" s="3">
        <v>483.10598922979864</v>
      </c>
      <c r="F302" s="3">
        <v>416.89835809565454</v>
      </c>
      <c r="G302" s="3">
        <v>378.6381557173076</v>
      </c>
      <c r="H302" s="3">
        <v>253.57019290358917</v>
      </c>
      <c r="I302" s="3">
        <v>330.29510535819651</v>
      </c>
      <c r="J302" s="23">
        <v>44009</v>
      </c>
      <c r="K302" s="24">
        <v>156.6875</v>
      </c>
      <c r="L302" s="24">
        <v>82.96041666666666</v>
      </c>
      <c r="M302" s="24">
        <v>23.404166666666665</v>
      </c>
      <c r="N302" s="24">
        <v>6.4</v>
      </c>
      <c r="O302" s="24">
        <v>227.83333333333334</v>
      </c>
      <c r="P302" s="24">
        <v>18.791666666666668</v>
      </c>
      <c r="Q302" s="24">
        <v>5.041666666666667</v>
      </c>
      <c r="R302" s="24">
        <v>20.310416666666665</v>
      </c>
      <c r="S302" s="10">
        <v>0.50242844153624178</v>
      </c>
      <c r="T302" s="25">
        <v>0.44622916666666695</v>
      </c>
      <c r="U302" s="25">
        <v>0.55133333333333356</v>
      </c>
      <c r="V302" s="25">
        <v>0.6023333333333335</v>
      </c>
      <c r="W302" s="25">
        <v>0.6085833333333337</v>
      </c>
      <c r="X302" s="25">
        <v>0.62472916666666667</v>
      </c>
      <c r="Y302" s="25">
        <v>0.48583333333333362</v>
      </c>
      <c r="Z302" s="25">
        <v>0.47187499999999999</v>
      </c>
      <c r="AA302" s="25">
        <v>0.40575000000000006</v>
      </c>
      <c r="AB302" s="25">
        <v>0.45354166666666651</v>
      </c>
      <c r="AC302" s="25">
        <v>0.2754791666666665</v>
      </c>
      <c r="AD302" s="25">
        <v>0.48714583333333333</v>
      </c>
      <c r="AE302" s="27">
        <f t="shared" si="13"/>
        <v>0.53547916666666684</v>
      </c>
      <c r="AF302" s="27">
        <f t="shared" si="14"/>
        <v>0.52095138888888914</v>
      </c>
      <c r="AG302" s="27">
        <f t="shared" si="15"/>
        <v>0.52359280303030331</v>
      </c>
    </row>
    <row r="303" spans="1:33" x14ac:dyDescent="0.25">
      <c r="A303" s="9">
        <v>44010</v>
      </c>
      <c r="B303" s="3">
        <v>203.81854140854495</v>
      </c>
      <c r="C303" s="3">
        <v>547.68085383443997</v>
      </c>
      <c r="D303" s="3">
        <v>731.24791014036339</v>
      </c>
      <c r="E303" s="3">
        <v>558.71473743780541</v>
      </c>
      <c r="F303" s="3">
        <v>467.65319172774326</v>
      </c>
      <c r="G303" s="3">
        <v>378.86695701022126</v>
      </c>
      <c r="H303" s="3">
        <v>259.48134160433756</v>
      </c>
      <c r="I303" s="3">
        <v>365.92296804178176</v>
      </c>
      <c r="J303" s="23">
        <v>44010</v>
      </c>
      <c r="K303" s="24">
        <v>159.95833333333334</v>
      </c>
      <c r="L303" s="24">
        <v>80.972916666666663</v>
      </c>
      <c r="M303" s="24">
        <v>23.975000000000009</v>
      </c>
      <c r="N303" s="24">
        <v>0</v>
      </c>
      <c r="O303" s="24">
        <v>232.75</v>
      </c>
      <c r="P303" s="24">
        <v>13.895833333333334</v>
      </c>
      <c r="Q303" s="24">
        <v>2.7708333333333335</v>
      </c>
      <c r="R303" s="24">
        <v>20.481249999999999</v>
      </c>
      <c r="S303" s="10">
        <v>0.58103213173891732</v>
      </c>
      <c r="T303" s="25">
        <v>0.43518750000000006</v>
      </c>
      <c r="U303" s="25">
        <v>0.53797916666666634</v>
      </c>
      <c r="V303" s="25">
        <v>0.59650000000000036</v>
      </c>
      <c r="W303" s="25">
        <v>0.60756250000000056</v>
      </c>
      <c r="X303" s="25">
        <v>0.61366666666666636</v>
      </c>
      <c r="Y303" s="25">
        <v>0.47997916666666685</v>
      </c>
      <c r="Z303" s="25">
        <v>0.46995833333333331</v>
      </c>
      <c r="AA303" s="25">
        <v>0.40372916666666692</v>
      </c>
      <c r="AB303" s="25">
        <v>0.43275000000000013</v>
      </c>
      <c r="AC303" s="25">
        <v>0.2508333333333333</v>
      </c>
      <c r="AD303" s="25">
        <v>0.45933333333333337</v>
      </c>
      <c r="AE303" s="27">
        <f t="shared" si="13"/>
        <v>0.52442708333333321</v>
      </c>
      <c r="AF303" s="27">
        <f t="shared" si="14"/>
        <v>0.51595138888888903</v>
      </c>
      <c r="AG303" s="27">
        <f t="shared" si="15"/>
        <v>0.51749242424242436</v>
      </c>
    </row>
    <row r="304" spans="1:33" x14ac:dyDescent="0.25">
      <c r="A304" s="9">
        <v>44011</v>
      </c>
      <c r="B304" s="3">
        <v>253.34086028908803</v>
      </c>
      <c r="C304" s="3">
        <v>726.8782884096496</v>
      </c>
      <c r="D304" s="3">
        <v>814.9754650840664</v>
      </c>
      <c r="E304" s="3">
        <v>653.36735136913705</v>
      </c>
      <c r="F304" s="3">
        <v>398.45306816146842</v>
      </c>
      <c r="G304" s="3">
        <v>374.77980273759908</v>
      </c>
      <c r="H304" s="3">
        <v>268.45990789511291</v>
      </c>
      <c r="I304" s="3">
        <v>333.59698278805877</v>
      </c>
      <c r="J304" s="23">
        <v>44011</v>
      </c>
      <c r="K304" s="24">
        <v>198.97916666666666</v>
      </c>
      <c r="L304" s="24">
        <v>79.670833333333334</v>
      </c>
      <c r="M304" s="24">
        <v>24.729166666666668</v>
      </c>
      <c r="N304" s="24">
        <v>0</v>
      </c>
      <c r="O304" s="24">
        <v>239.29166666666666</v>
      </c>
      <c r="P304" s="24">
        <v>10.020833333333334</v>
      </c>
      <c r="Q304" s="24">
        <v>1.5833333333333333</v>
      </c>
      <c r="R304" s="24">
        <v>20.870833333333334</v>
      </c>
      <c r="S304" s="10">
        <v>0.6786145018004559</v>
      </c>
      <c r="T304" s="25">
        <v>0.42435416666666687</v>
      </c>
      <c r="U304" s="25">
        <v>0.52987499999999976</v>
      </c>
      <c r="V304" s="25">
        <v>0.59085416666666679</v>
      </c>
      <c r="W304" s="25">
        <v>0.60385416666666658</v>
      </c>
      <c r="X304" s="25">
        <v>0.60520833333333335</v>
      </c>
      <c r="Y304" s="25">
        <v>0.4705416666666668</v>
      </c>
      <c r="Z304" s="25">
        <v>0.46579166666666644</v>
      </c>
      <c r="AA304" s="25">
        <v>0.40052083333333321</v>
      </c>
      <c r="AB304" s="25">
        <v>0.41754166666666687</v>
      </c>
      <c r="AC304" s="25">
        <v>0.23424999999999999</v>
      </c>
      <c r="AD304" s="25">
        <v>0.43545833333333345</v>
      </c>
      <c r="AE304" s="27">
        <f t="shared" si="13"/>
        <v>0.51478125000000008</v>
      </c>
      <c r="AF304" s="27">
        <f t="shared" si="14"/>
        <v>0.5102395833333333</v>
      </c>
      <c r="AG304" s="27">
        <f t="shared" si="15"/>
        <v>0.51106534090909095</v>
      </c>
    </row>
    <row r="305" spans="1:33" x14ac:dyDescent="0.25">
      <c r="A305" s="9">
        <v>44012</v>
      </c>
      <c r="B305" s="3">
        <v>72.059493780230696</v>
      </c>
      <c r="C305" s="3">
        <v>372.61131628328519</v>
      </c>
      <c r="D305" s="3">
        <v>337.26767463480962</v>
      </c>
      <c r="E305" s="3">
        <v>362.79710460650659</v>
      </c>
      <c r="F305" s="3">
        <v>79.375680749270856</v>
      </c>
      <c r="G305" s="3">
        <v>217.34675818552273</v>
      </c>
      <c r="H305" s="3">
        <v>181.54174026291784</v>
      </c>
      <c r="I305" s="3">
        <v>112.97566827514481</v>
      </c>
      <c r="J305" s="23">
        <v>44012</v>
      </c>
      <c r="K305" s="24">
        <v>154.04166666666666</v>
      </c>
      <c r="L305" s="24">
        <v>88.84375</v>
      </c>
      <c r="M305" s="24">
        <v>22.095833333333331</v>
      </c>
      <c r="N305" s="24">
        <v>85.40000000000002</v>
      </c>
      <c r="O305" s="24">
        <v>212.875</v>
      </c>
      <c r="P305" s="24">
        <v>3.8125</v>
      </c>
      <c r="Q305" s="24">
        <v>0.29166666666666669</v>
      </c>
      <c r="R305" s="24">
        <v>20.043749999999992</v>
      </c>
      <c r="S305" s="10">
        <v>0.3508563819774142</v>
      </c>
      <c r="T305" s="25">
        <v>0.51116666666666688</v>
      </c>
      <c r="U305" s="25">
        <v>0.58020833333333355</v>
      </c>
      <c r="V305" s="25">
        <v>0.6197499999999998</v>
      </c>
      <c r="W305" s="25">
        <v>0.64233333333333309</v>
      </c>
      <c r="X305" s="25">
        <v>0.63612499999999972</v>
      </c>
      <c r="Y305" s="25">
        <v>0.54431249999999998</v>
      </c>
      <c r="Z305" s="25">
        <v>0.4951666666666667</v>
      </c>
      <c r="AA305" s="25">
        <v>0.44520833333333326</v>
      </c>
      <c r="AB305" s="25">
        <v>0.52836170212765943</v>
      </c>
      <c r="AC305" s="25">
        <v>0.39304166666666673</v>
      </c>
      <c r="AD305" s="25">
        <v>0.53593749999999996</v>
      </c>
      <c r="AE305" s="27">
        <f t="shared" si="13"/>
        <v>0.5736458333333333</v>
      </c>
      <c r="AF305" s="27">
        <f t="shared" si="14"/>
        <v>0.55449652777777769</v>
      </c>
      <c r="AG305" s="27">
        <f t="shared" si="15"/>
        <v>0.55797821969696959</v>
      </c>
    </row>
    <row r="306" spans="1:33" x14ac:dyDescent="0.25">
      <c r="A306" s="9">
        <v>44013</v>
      </c>
      <c r="B306" s="3">
        <v>82.872207629230743</v>
      </c>
      <c r="C306" s="3">
        <v>339.58300509541073</v>
      </c>
      <c r="D306" s="3">
        <v>288.36615687690397</v>
      </c>
      <c r="E306" s="3">
        <v>223.85470357158187</v>
      </c>
      <c r="F306" s="3">
        <v>180.72255608008413</v>
      </c>
      <c r="G306" s="3">
        <v>163.02781825714902</v>
      </c>
      <c r="H306" s="3">
        <v>162.12128765931109</v>
      </c>
      <c r="I306" s="3">
        <v>143.05983525268596</v>
      </c>
      <c r="J306" s="23">
        <v>44013</v>
      </c>
      <c r="K306" s="24">
        <v>112.64583333333333</v>
      </c>
      <c r="L306" s="24">
        <v>89.081250000000026</v>
      </c>
      <c r="M306" s="24">
        <v>21.710416666666671</v>
      </c>
      <c r="N306" s="24">
        <v>43.600000000000009</v>
      </c>
      <c r="O306" s="24">
        <v>228</v>
      </c>
      <c r="P306" s="24">
        <v>3.4166666666666665</v>
      </c>
      <c r="Q306" s="24">
        <v>0.14583333333333334</v>
      </c>
      <c r="R306" s="24">
        <v>19.752083333333335</v>
      </c>
      <c r="S306" s="10">
        <v>0.31432713426432329</v>
      </c>
      <c r="T306" s="25">
        <v>0.51770833333333344</v>
      </c>
      <c r="U306" s="25">
        <v>0.58254166666666662</v>
      </c>
      <c r="V306" s="25">
        <v>0.62210416666666646</v>
      </c>
      <c r="W306" s="25">
        <v>0.64549999999999985</v>
      </c>
      <c r="X306" s="25">
        <v>0.63868750000000019</v>
      </c>
      <c r="Y306" s="25">
        <v>0.5522083333333333</v>
      </c>
      <c r="Z306" s="25">
        <v>0.50035416666666643</v>
      </c>
      <c r="AA306" s="25">
        <v>0.45139583333333327</v>
      </c>
      <c r="AB306" s="25">
        <v>0.53441666666666665</v>
      </c>
      <c r="AC306" s="25">
        <v>0.41431249999999992</v>
      </c>
      <c r="AD306" s="25">
        <v>0.54729166666666662</v>
      </c>
      <c r="AE306" s="27">
        <f t="shared" si="13"/>
        <v>0.57819791666666687</v>
      </c>
      <c r="AF306" s="27">
        <f t="shared" si="14"/>
        <v>0.559017361111111</v>
      </c>
      <c r="AG306" s="27">
        <f t="shared" si="15"/>
        <v>0.56250473484848473</v>
      </c>
    </row>
    <row r="307" spans="1:33" x14ac:dyDescent="0.25">
      <c r="A307" s="9">
        <v>44014</v>
      </c>
      <c r="B307" s="3">
        <v>82.109525933595279</v>
      </c>
      <c r="C307" s="3">
        <v>200.83854831061331</v>
      </c>
      <c r="D307" s="3">
        <v>186.77519015367355</v>
      </c>
      <c r="E307" s="3">
        <v>140.38876090105896</v>
      </c>
      <c r="F307" s="3">
        <v>139.40792347552792</v>
      </c>
      <c r="G307" s="3">
        <v>85.270361005371328</v>
      </c>
      <c r="H307" s="3">
        <v>148.27491340932968</v>
      </c>
      <c r="I307" s="3">
        <v>146.94059670733674</v>
      </c>
      <c r="J307" s="23">
        <v>44014</v>
      </c>
      <c r="K307" s="24">
        <v>93.75</v>
      </c>
      <c r="L307" s="24">
        <v>91.441666666666649</v>
      </c>
      <c r="M307" s="24">
        <v>20.606249999999996</v>
      </c>
      <c r="N307" s="24">
        <v>24.9</v>
      </c>
      <c r="O307" s="24">
        <v>236.33333333333334</v>
      </c>
      <c r="P307" s="24">
        <v>1.1875</v>
      </c>
      <c r="Q307" s="24">
        <v>0</v>
      </c>
      <c r="R307" s="24">
        <v>19.122916666666669</v>
      </c>
      <c r="S307" s="10">
        <v>0.22162517101712151</v>
      </c>
      <c r="T307" s="25">
        <v>0.50233333333333341</v>
      </c>
      <c r="U307" s="25">
        <v>0.57550000000000001</v>
      </c>
      <c r="V307" s="25">
        <v>0.61666666666666659</v>
      </c>
      <c r="W307" s="25">
        <v>0.63849999999999996</v>
      </c>
      <c r="X307" s="25">
        <v>0.63583333333333336</v>
      </c>
      <c r="Y307" s="25">
        <v>0.53612499999999985</v>
      </c>
      <c r="Z307" s="25">
        <v>0.49449999999999994</v>
      </c>
      <c r="AA307" s="25">
        <v>0.43618750000000017</v>
      </c>
      <c r="AB307" s="25">
        <v>0.50152173913043474</v>
      </c>
      <c r="AC307" s="25">
        <v>0.36610416666666667</v>
      </c>
      <c r="AD307" s="25">
        <v>0.53270833333333345</v>
      </c>
      <c r="AE307" s="27">
        <f t="shared" si="13"/>
        <v>0.56908333333333339</v>
      </c>
      <c r="AF307" s="27">
        <f t="shared" si="14"/>
        <v>0.54957986111111101</v>
      </c>
      <c r="AG307" s="27">
        <f t="shared" si="15"/>
        <v>0.55312594696969686</v>
      </c>
    </row>
    <row r="308" spans="1:33" x14ac:dyDescent="0.25">
      <c r="A308" s="9">
        <v>44015</v>
      </c>
      <c r="B308" s="3">
        <v>225.8931384511163</v>
      </c>
      <c r="C308" s="3">
        <v>634.02687113295656</v>
      </c>
      <c r="D308" s="3">
        <v>602.76139563028596</v>
      </c>
      <c r="E308" s="3">
        <v>526.55871930185594</v>
      </c>
      <c r="F308" s="3">
        <v>509.89334067160513</v>
      </c>
      <c r="G308" s="3">
        <v>359.95482645092272</v>
      </c>
      <c r="H308" s="3">
        <v>346.08663800412762</v>
      </c>
      <c r="I308" s="3">
        <v>390.33140597224138</v>
      </c>
      <c r="J308" s="23">
        <v>44015</v>
      </c>
      <c r="K308" s="24">
        <v>171.91666666666666</v>
      </c>
      <c r="L308" s="24">
        <v>85.789583333333326</v>
      </c>
      <c r="M308" s="24">
        <v>22.737500000000008</v>
      </c>
      <c r="N308" s="24">
        <v>0.2</v>
      </c>
      <c r="O308" s="24">
        <v>244.5625</v>
      </c>
      <c r="P308" s="24">
        <v>3.8125</v>
      </c>
      <c r="Q308" s="24">
        <v>0.5625</v>
      </c>
      <c r="R308" s="24">
        <v>20.091666666666665</v>
      </c>
      <c r="S308" s="10">
        <v>0.45126961678542715</v>
      </c>
      <c r="T308" s="25">
        <v>0.46927083333333347</v>
      </c>
      <c r="U308" s="25">
        <v>0.55566666666666642</v>
      </c>
      <c r="V308" s="25">
        <v>0.60439583333333324</v>
      </c>
      <c r="W308" s="25">
        <v>0.61968749999999984</v>
      </c>
      <c r="X308" s="25">
        <v>0.62414583333333284</v>
      </c>
      <c r="Y308" s="25">
        <v>0.50666666666666649</v>
      </c>
      <c r="Z308" s="25">
        <v>0.48270833333333346</v>
      </c>
      <c r="AA308" s="25">
        <v>0.41499999999999976</v>
      </c>
      <c r="AB308" s="25">
        <v>0.46052083333333349</v>
      </c>
      <c r="AC308" s="25">
        <v>0.27489583333333339</v>
      </c>
      <c r="AD308" s="25">
        <v>0.49943750000000015</v>
      </c>
      <c r="AE308" s="27">
        <f t="shared" si="13"/>
        <v>0.54670833333333313</v>
      </c>
      <c r="AF308" s="27">
        <f t="shared" si="14"/>
        <v>0.53068749999999987</v>
      </c>
      <c r="AG308" s="27">
        <f t="shared" si="15"/>
        <v>0.53360037878787869</v>
      </c>
    </row>
    <row r="309" spans="1:33" x14ac:dyDescent="0.25">
      <c r="A309" s="9">
        <v>44016</v>
      </c>
      <c r="B309" s="3">
        <v>312.76637137806091</v>
      </c>
      <c r="C309" s="3">
        <v>666.61075285721802</v>
      </c>
      <c r="D309" s="3">
        <v>730.89654982685738</v>
      </c>
      <c r="E309" s="3">
        <v>594.12478055579618</v>
      </c>
      <c r="F309" s="3">
        <v>554.31890270988333</v>
      </c>
      <c r="G309" s="3">
        <v>407.87288505299966</v>
      </c>
      <c r="H309" s="3">
        <v>358.37768495265294</v>
      </c>
      <c r="I309" s="3">
        <v>405.56284721270941</v>
      </c>
      <c r="J309" s="23">
        <v>44016</v>
      </c>
      <c r="K309" s="24">
        <v>168.02083333333334</v>
      </c>
      <c r="L309" s="24">
        <v>81.38333333333334</v>
      </c>
      <c r="M309" s="24">
        <v>23.266666666666666</v>
      </c>
      <c r="N309" s="24">
        <v>0</v>
      </c>
      <c r="O309" s="24">
        <v>235.75</v>
      </c>
      <c r="P309" s="24">
        <v>12.020833333333334</v>
      </c>
      <c r="Q309" s="24">
        <v>1.9583333333333333</v>
      </c>
      <c r="R309" s="24">
        <v>19.814583333333335</v>
      </c>
      <c r="S309" s="10">
        <v>0.56396467312652476</v>
      </c>
      <c r="T309" s="25">
        <v>0.45516666666666672</v>
      </c>
      <c r="U309" s="25">
        <v>0.54658333333333375</v>
      </c>
      <c r="V309" s="25">
        <v>0.59914583333333327</v>
      </c>
      <c r="W309" s="25">
        <v>0.6146874999999995</v>
      </c>
      <c r="X309" s="25">
        <v>0.61629166666666635</v>
      </c>
      <c r="Y309" s="25">
        <v>0.4956041666666664</v>
      </c>
      <c r="Z309" s="25">
        <v>0.47822916666666643</v>
      </c>
      <c r="AA309" s="25">
        <v>0.41041666666666687</v>
      </c>
      <c r="AB309" s="25">
        <v>0.4451458333333333</v>
      </c>
      <c r="AC309" s="25">
        <v>0.25593750000000004</v>
      </c>
      <c r="AD309" s="25">
        <v>0.47222916666666664</v>
      </c>
      <c r="AE309" s="27">
        <f t="shared" si="13"/>
        <v>0.53572916666666659</v>
      </c>
      <c r="AF309" s="27">
        <f t="shared" si="14"/>
        <v>0.52411111111111108</v>
      </c>
      <c r="AG309" s="27">
        <f t="shared" si="15"/>
        <v>0.5262234848484848</v>
      </c>
    </row>
    <row r="310" spans="1:33" x14ac:dyDescent="0.25">
      <c r="A310" s="9">
        <v>44017</v>
      </c>
      <c r="B310" s="3">
        <v>286.38609435366453</v>
      </c>
      <c r="C310" s="3">
        <v>718.37853841195579</v>
      </c>
      <c r="D310" s="3">
        <v>716.49324952315169</v>
      </c>
      <c r="E310" s="3">
        <v>696.78838213477047</v>
      </c>
      <c r="F310" s="3">
        <v>470.04724684007823</v>
      </c>
      <c r="G310" s="3">
        <v>427.53928310318173</v>
      </c>
      <c r="H310" s="3">
        <v>341.3398036187549</v>
      </c>
      <c r="I310" s="3">
        <v>393.23291072928237</v>
      </c>
      <c r="J310" s="23">
        <v>44017</v>
      </c>
      <c r="K310" s="24">
        <v>213.27083333333334</v>
      </c>
      <c r="L310" s="24">
        <v>80.806250000000006</v>
      </c>
      <c r="M310" s="24">
        <v>23.835416666666674</v>
      </c>
      <c r="N310" s="24">
        <v>13.799999999999999</v>
      </c>
      <c r="O310" s="24">
        <v>230.60416666666666</v>
      </c>
      <c r="P310" s="24">
        <v>14.770833333333334</v>
      </c>
      <c r="Q310" s="24">
        <v>2.8958333333333335</v>
      </c>
      <c r="R310" s="24">
        <v>20.235416666666662</v>
      </c>
      <c r="S310" s="10">
        <v>0.61076213379201849</v>
      </c>
      <c r="T310" s="25">
        <v>0.44514583333333352</v>
      </c>
      <c r="U310" s="25">
        <v>0.53800000000000014</v>
      </c>
      <c r="V310" s="25">
        <v>0.59422916666666692</v>
      </c>
      <c r="W310" s="25">
        <v>0.6107291666666671</v>
      </c>
      <c r="X310" s="25">
        <v>0.60839583333333336</v>
      </c>
      <c r="Y310" s="25">
        <v>0.48543750000000041</v>
      </c>
      <c r="Z310" s="25">
        <v>0.47377083333333303</v>
      </c>
      <c r="AA310" s="25">
        <v>0.40677083333333347</v>
      </c>
      <c r="AB310" s="25">
        <v>0.43317021276595746</v>
      </c>
      <c r="AC310" s="25">
        <v>0.24375000000000002</v>
      </c>
      <c r="AD310" s="25">
        <v>0.4502916666666667</v>
      </c>
      <c r="AE310" s="27">
        <f t="shared" si="13"/>
        <v>0.52677083333333341</v>
      </c>
      <c r="AF310" s="27">
        <f t="shared" si="14"/>
        <v>0.51815625000000021</v>
      </c>
      <c r="AG310" s="27">
        <f t="shared" si="15"/>
        <v>0.51972253787878808</v>
      </c>
    </row>
    <row r="311" spans="1:33" x14ac:dyDescent="0.25">
      <c r="A311" s="9">
        <v>44018</v>
      </c>
      <c r="B311" s="3">
        <v>235.67344818368326</v>
      </c>
      <c r="C311" s="3">
        <v>706.27691896358624</v>
      </c>
      <c r="D311" s="3">
        <v>745.76936530437729</v>
      </c>
      <c r="E311" s="3">
        <v>644.57508889767587</v>
      </c>
      <c r="F311" s="3">
        <v>426.15620411446434</v>
      </c>
      <c r="G311" s="3">
        <v>439.21765148789171</v>
      </c>
      <c r="H311" s="3">
        <v>353.88302046369722</v>
      </c>
      <c r="I311" s="3">
        <v>389.71154114170633</v>
      </c>
      <c r="J311" s="23">
        <v>44018</v>
      </c>
      <c r="K311" s="24">
        <v>239.75</v>
      </c>
      <c r="L311" s="24">
        <v>81.27916666666664</v>
      </c>
      <c r="M311" s="24">
        <v>24.408333333333335</v>
      </c>
      <c r="N311" s="24">
        <v>0</v>
      </c>
      <c r="O311" s="24">
        <v>230.77083333333334</v>
      </c>
      <c r="P311" s="24">
        <v>13.458333333333334</v>
      </c>
      <c r="Q311" s="24">
        <v>2.1875</v>
      </c>
      <c r="R311" s="24">
        <v>20.891666666666669</v>
      </c>
      <c r="S311" s="10">
        <v>0.61266443819946625</v>
      </c>
      <c r="T311" s="25">
        <v>0.47335416666666669</v>
      </c>
      <c r="U311" s="25">
        <v>0.55795833333333333</v>
      </c>
      <c r="V311" s="25">
        <v>0.60495833333333315</v>
      </c>
      <c r="W311" s="25">
        <v>0.61410416666666634</v>
      </c>
      <c r="X311" s="25">
        <v>0.62283333333333324</v>
      </c>
      <c r="Y311" s="25">
        <v>0.48202083333333373</v>
      </c>
      <c r="Z311" s="25">
        <v>0.46947916666666628</v>
      </c>
      <c r="AA311" s="25">
        <v>0.40466666666666645</v>
      </c>
      <c r="AB311" s="25">
        <v>0.46479166666666688</v>
      </c>
      <c r="AC311" s="25">
        <v>0.27797916666666683</v>
      </c>
      <c r="AD311" s="25">
        <v>0.49677083333333338</v>
      </c>
      <c r="AE311" s="27">
        <f t="shared" si="13"/>
        <v>0.54809374999999994</v>
      </c>
      <c r="AF311" s="27">
        <f t="shared" si="14"/>
        <v>0.5221979166666666</v>
      </c>
      <c r="AG311" s="27">
        <f t="shared" si="15"/>
        <v>0.52690624999999991</v>
      </c>
    </row>
    <row r="312" spans="1:33" x14ac:dyDescent="0.25">
      <c r="A312" s="9">
        <v>44019</v>
      </c>
      <c r="B312" s="3">
        <v>271.11493757755045</v>
      </c>
      <c r="C312" s="3">
        <v>620.98002492249793</v>
      </c>
      <c r="D312" s="3">
        <v>699.42877018698243</v>
      </c>
      <c r="E312" s="3">
        <v>626.07274490388386</v>
      </c>
      <c r="F312" s="3">
        <v>387.78183093215785</v>
      </c>
      <c r="G312" s="3">
        <v>406.25600597580342</v>
      </c>
      <c r="H312" s="3">
        <v>308.32942672587126</v>
      </c>
      <c r="I312" s="3">
        <v>350.99401291896322</v>
      </c>
      <c r="J312" s="23">
        <v>44019</v>
      </c>
      <c r="K312" s="24">
        <v>179.8125</v>
      </c>
      <c r="L312" s="24">
        <v>81.268749999999997</v>
      </c>
      <c r="M312" s="24">
        <v>24.487500000000008</v>
      </c>
      <c r="N312" s="24">
        <v>0</v>
      </c>
      <c r="O312" s="24">
        <v>234.97916666666666</v>
      </c>
      <c r="P312" s="24">
        <v>14.583333333333334</v>
      </c>
      <c r="Q312" s="24">
        <v>2.7916666666666665</v>
      </c>
      <c r="R312" s="24">
        <v>21.010416666666668</v>
      </c>
      <c r="S312" s="10">
        <v>0.60092258282422339</v>
      </c>
      <c r="T312" s="25">
        <v>0.44831250000000011</v>
      </c>
      <c r="U312" s="25">
        <v>0.54385416666666686</v>
      </c>
      <c r="V312" s="25">
        <v>0.59764583333333354</v>
      </c>
      <c r="W312" s="25">
        <v>0.6114791666666668</v>
      </c>
      <c r="X312" s="25">
        <v>0.61197916666666663</v>
      </c>
      <c r="Y312" s="25">
        <v>0.47543749999999974</v>
      </c>
      <c r="Z312" s="25">
        <v>0.46637499999999998</v>
      </c>
      <c r="AA312" s="25">
        <v>0.4018333333333331</v>
      </c>
      <c r="AB312" s="25">
        <v>0.43850000000000006</v>
      </c>
      <c r="AC312" s="25">
        <v>0.24816666666666667</v>
      </c>
      <c r="AD312" s="25">
        <v>0.46052083333333343</v>
      </c>
      <c r="AE312" s="27">
        <f t="shared" si="13"/>
        <v>0.53014583333333332</v>
      </c>
      <c r="AF312" s="27">
        <f t="shared" si="14"/>
        <v>0.5161041666666667</v>
      </c>
      <c r="AG312" s="27">
        <f t="shared" si="15"/>
        <v>0.51865719696969703</v>
      </c>
    </row>
    <row r="313" spans="1:33" x14ac:dyDescent="0.25">
      <c r="A313" s="9">
        <v>44020</v>
      </c>
      <c r="B313" s="3">
        <v>143.33983477803397</v>
      </c>
      <c r="C313" s="3">
        <v>383.08728716703547</v>
      </c>
      <c r="D313" s="3">
        <v>412.74813881830443</v>
      </c>
      <c r="E313" s="3">
        <v>361.61096717347004</v>
      </c>
      <c r="F313" s="3">
        <v>234.9485451642656</v>
      </c>
      <c r="G313" s="3">
        <v>242.99510784775754</v>
      </c>
      <c r="H313" s="3">
        <v>197.05884457505277</v>
      </c>
      <c r="I313" s="3">
        <v>224.51516614443258</v>
      </c>
      <c r="J313" s="23">
        <v>44020</v>
      </c>
      <c r="K313" s="24">
        <v>124.70833333333333</v>
      </c>
      <c r="L313" s="24">
        <v>86.585416666666674</v>
      </c>
      <c r="M313" s="24">
        <v>23.254166666666659</v>
      </c>
      <c r="N313" s="24">
        <v>60.4</v>
      </c>
      <c r="O313" s="24">
        <v>237.89583333333334</v>
      </c>
      <c r="P313" s="24">
        <v>7.75</v>
      </c>
      <c r="Q313" s="24">
        <v>0.27083333333333331</v>
      </c>
      <c r="R313" s="24">
        <v>20.806249999999999</v>
      </c>
      <c r="S313" s="10">
        <v>0.41121547311655005</v>
      </c>
      <c r="T313" s="25">
        <v>0.45093749999999999</v>
      </c>
      <c r="U313" s="25">
        <v>0.54383333333333339</v>
      </c>
      <c r="V313" s="25">
        <v>0.59762499999999996</v>
      </c>
      <c r="W313" s="25">
        <v>0.61214583333333317</v>
      </c>
      <c r="X313" s="25">
        <v>0.60989583333333353</v>
      </c>
      <c r="Y313" s="25">
        <v>0.48383333333333328</v>
      </c>
      <c r="Z313" s="25">
        <v>0.46891666666666643</v>
      </c>
      <c r="AA313" s="25">
        <v>0.40485416666666668</v>
      </c>
      <c r="AB313" s="25">
        <v>0.44261702127659569</v>
      </c>
      <c r="AC313" s="25">
        <v>0.26183333333333331</v>
      </c>
      <c r="AD313" s="25">
        <v>0.45210416666666681</v>
      </c>
      <c r="AE313" s="27">
        <f t="shared" si="13"/>
        <v>0.53041666666666676</v>
      </c>
      <c r="AF313" s="27">
        <f t="shared" si="14"/>
        <v>0.51853472222222219</v>
      </c>
      <c r="AG313" s="27">
        <f t="shared" si="15"/>
        <v>0.52069507575757579</v>
      </c>
    </row>
    <row r="314" spans="1:33" x14ac:dyDescent="0.25">
      <c r="A314" s="9">
        <v>44021</v>
      </c>
      <c r="B314" s="3">
        <v>128.56355880791449</v>
      </c>
      <c r="C314" s="3">
        <v>297.47002567044075</v>
      </c>
      <c r="D314" s="3">
        <v>369.70981052313061</v>
      </c>
      <c r="E314" s="3">
        <v>263.31115930362967</v>
      </c>
      <c r="F314" s="3">
        <v>189.68011986617879</v>
      </c>
      <c r="G314" s="3">
        <v>146.75532343340339</v>
      </c>
      <c r="H314" s="3">
        <v>146.95947031509411</v>
      </c>
      <c r="I314" s="3">
        <v>150.6484222175032</v>
      </c>
      <c r="J314" s="23">
        <v>44021</v>
      </c>
      <c r="K314" s="24">
        <v>124.25</v>
      </c>
      <c r="L314" s="24">
        <v>90.989583333333357</v>
      </c>
      <c r="M314" s="24">
        <v>21.860416666666669</v>
      </c>
      <c r="N314" s="24">
        <v>29.599999999999994</v>
      </c>
      <c r="O314" s="24">
        <v>246.66666666666666</v>
      </c>
      <c r="P314" s="24">
        <v>2.0625</v>
      </c>
      <c r="Q314" s="24">
        <v>4.1666666666666664E-2</v>
      </c>
      <c r="R314" s="24">
        <v>20.227083333333336</v>
      </c>
      <c r="S314" s="10">
        <v>0.26960611975409032</v>
      </c>
      <c r="T314" s="25">
        <v>0.51804166666666662</v>
      </c>
      <c r="U314" s="25">
        <v>0.58158333333333345</v>
      </c>
      <c r="V314" s="25">
        <v>0.62010416666666635</v>
      </c>
      <c r="W314" s="25">
        <v>0.64108333333333334</v>
      </c>
      <c r="X314" s="25">
        <v>0.63462500000000011</v>
      </c>
      <c r="Y314" s="25">
        <v>0.53606249999999989</v>
      </c>
      <c r="Z314" s="25">
        <v>0.49520833333333331</v>
      </c>
      <c r="AA314" s="25">
        <v>0.44416666666666699</v>
      </c>
      <c r="AB314" s="25">
        <v>0.53354166666666669</v>
      </c>
      <c r="AC314" s="25">
        <v>0.38889583333333338</v>
      </c>
      <c r="AD314" s="25">
        <v>0.54243750000000002</v>
      </c>
      <c r="AE314" s="27">
        <f t="shared" si="13"/>
        <v>0.57633333333333336</v>
      </c>
      <c r="AF314" s="27">
        <f t="shared" si="14"/>
        <v>0.55303472222222216</v>
      </c>
      <c r="AG314" s="27">
        <f t="shared" si="15"/>
        <v>0.55727083333333327</v>
      </c>
    </row>
    <row r="315" spans="1:33" x14ac:dyDescent="0.25">
      <c r="A315" s="9">
        <v>44022</v>
      </c>
      <c r="B315" s="3">
        <v>113.8529353888389</v>
      </c>
      <c r="C315" s="3">
        <v>163.56111499158516</v>
      </c>
      <c r="D315" s="3">
        <v>188.91457609217511</v>
      </c>
      <c r="E315" s="3">
        <v>162.86318691395476</v>
      </c>
      <c r="F315" s="3">
        <v>181.11824922685238</v>
      </c>
      <c r="G315" s="3">
        <v>114.35746152793443</v>
      </c>
      <c r="H315" s="3">
        <v>139.00066001551284</v>
      </c>
      <c r="I315" s="3">
        <v>177.10061400623792</v>
      </c>
      <c r="J315" s="23">
        <v>44022</v>
      </c>
      <c r="K315" s="24">
        <v>98.145833333333329</v>
      </c>
      <c r="L315" s="24">
        <v>89.925000000000011</v>
      </c>
      <c r="M315" s="24">
        <v>22.287499999999998</v>
      </c>
      <c r="N315" s="24">
        <v>0.89999999999999991</v>
      </c>
      <c r="O315" s="24">
        <v>226.64583333333334</v>
      </c>
      <c r="P315" s="24">
        <v>8.0416666666666661</v>
      </c>
      <c r="Q315" s="24">
        <v>0.70833333333333337</v>
      </c>
      <c r="R315" s="24">
        <v>20.522916666666664</v>
      </c>
      <c r="S315" s="10">
        <v>0.27988866573543997</v>
      </c>
      <c r="T315" s="25">
        <v>0.48891666666666689</v>
      </c>
      <c r="U315" s="25">
        <v>0.56847916666666665</v>
      </c>
      <c r="V315" s="25">
        <v>0.61262499999999998</v>
      </c>
      <c r="W315" s="25">
        <v>0.62677083333333317</v>
      </c>
      <c r="X315" s="25">
        <v>0.63164583333333324</v>
      </c>
      <c r="Y315" s="25">
        <v>0.51989583333333333</v>
      </c>
      <c r="Z315" s="25">
        <v>0.48604166666666665</v>
      </c>
      <c r="AA315" s="25">
        <v>0.41806250000000017</v>
      </c>
      <c r="AB315" s="25">
        <v>0.47544680851063831</v>
      </c>
      <c r="AC315" s="25">
        <v>0.29068750000000004</v>
      </c>
      <c r="AD315" s="25">
        <v>0.51622916666666674</v>
      </c>
      <c r="AE315" s="27">
        <f t="shared" si="13"/>
        <v>0.56028125000000006</v>
      </c>
      <c r="AF315" s="27">
        <f t="shared" si="14"/>
        <v>0.53864583333333327</v>
      </c>
      <c r="AG315" s="27">
        <f t="shared" si="15"/>
        <v>0.54257954545454534</v>
      </c>
    </row>
    <row r="316" spans="1:33" x14ac:dyDescent="0.25">
      <c r="A316" s="9">
        <v>44023</v>
      </c>
      <c r="B316" s="3">
        <v>220.05914226638444</v>
      </c>
      <c r="C316" s="3">
        <v>438.54852968930589</v>
      </c>
      <c r="D316" s="3">
        <v>482.17688252706392</v>
      </c>
      <c r="E316" s="3">
        <v>406.55380687774931</v>
      </c>
      <c r="F316" s="3">
        <v>373.78482946613076</v>
      </c>
      <c r="G316" s="3">
        <v>259.36467093541631</v>
      </c>
      <c r="H316" s="3">
        <v>231.51862455223431</v>
      </c>
      <c r="I316" s="3">
        <v>305.00424622518165</v>
      </c>
      <c r="J316" s="23">
        <v>44023</v>
      </c>
      <c r="K316" s="24">
        <v>123.52083333333333</v>
      </c>
      <c r="L316" s="24">
        <v>85.88333333333334</v>
      </c>
      <c r="M316" s="24">
        <v>22.491666666666664</v>
      </c>
      <c r="N316" s="24">
        <v>0.4</v>
      </c>
      <c r="O316" s="24">
        <v>231</v>
      </c>
      <c r="P316" s="24">
        <v>13.229166666666666</v>
      </c>
      <c r="Q316" s="24">
        <v>2.3333333333333335</v>
      </c>
      <c r="R316" s="24">
        <v>19.989583333333336</v>
      </c>
      <c r="S316" s="10">
        <v>0.39204073573279724</v>
      </c>
      <c r="T316" s="25">
        <v>0.46835416666666657</v>
      </c>
      <c r="U316" s="25">
        <v>0.55604166666666643</v>
      </c>
      <c r="V316" s="25">
        <v>0.60550000000000015</v>
      </c>
      <c r="W316" s="25">
        <v>0.62041666666666639</v>
      </c>
      <c r="X316" s="25">
        <v>0.62356249999999969</v>
      </c>
      <c r="Y316" s="25">
        <v>0.50941666666666696</v>
      </c>
      <c r="Z316" s="25">
        <v>0.48300000000000032</v>
      </c>
      <c r="AA316" s="25">
        <v>0.41520833333333357</v>
      </c>
      <c r="AB316" s="25">
        <v>0.45879166666666671</v>
      </c>
      <c r="AC316" s="25">
        <v>0.26952083333333315</v>
      </c>
      <c r="AD316" s="25">
        <v>0.49383333333333335</v>
      </c>
      <c r="AE316" s="27">
        <f t="shared" si="13"/>
        <v>0.5459583333333331</v>
      </c>
      <c r="AF316" s="27">
        <f t="shared" si="14"/>
        <v>0.53159722222222228</v>
      </c>
      <c r="AG316" s="27">
        <f t="shared" si="15"/>
        <v>0.5342083333333334</v>
      </c>
    </row>
    <row r="317" spans="1:33" x14ac:dyDescent="0.25">
      <c r="A317" s="9">
        <v>44024</v>
      </c>
      <c r="B317" s="3">
        <v>0</v>
      </c>
      <c r="C317" s="3">
        <v>16.131055068140274</v>
      </c>
      <c r="D317" s="3">
        <v>0.70723436448018795</v>
      </c>
      <c r="E317" s="3">
        <v>0</v>
      </c>
      <c r="F317" s="3">
        <v>27.154135649735768</v>
      </c>
      <c r="G317" s="3">
        <v>1.9845536699587787</v>
      </c>
      <c r="H317" s="3">
        <v>12.207699019107118</v>
      </c>
      <c r="I317" s="3">
        <v>37.159990747673675</v>
      </c>
      <c r="J317" s="23">
        <v>44024</v>
      </c>
      <c r="K317" s="24">
        <v>62.5625</v>
      </c>
      <c r="L317" s="24">
        <v>91.089583333333351</v>
      </c>
      <c r="M317" s="24">
        <v>20.618749999999999</v>
      </c>
      <c r="N317" s="24">
        <v>7.8000000000000007</v>
      </c>
      <c r="O317" s="24">
        <v>224.64583333333334</v>
      </c>
      <c r="P317" s="24">
        <v>6.791666666666667</v>
      </c>
      <c r="Q317" s="24">
        <v>0.66666666666666663</v>
      </c>
      <c r="R317" s="24">
        <v>19.108333333333334</v>
      </c>
      <c r="S317" s="10">
        <v>0.21816361632211209</v>
      </c>
      <c r="T317" s="25">
        <v>0.47737500000000005</v>
      </c>
      <c r="U317" s="25">
        <v>0.55639583333333331</v>
      </c>
      <c r="V317" s="25">
        <v>0.60414583333333338</v>
      </c>
      <c r="W317" s="25">
        <v>0.61860416666666673</v>
      </c>
      <c r="X317" s="25">
        <v>0.61950000000000005</v>
      </c>
      <c r="Y317" s="25">
        <v>0.50177083333333383</v>
      </c>
      <c r="Z317" s="25">
        <v>0.48129166666666712</v>
      </c>
      <c r="AA317" s="25">
        <v>0.4135625</v>
      </c>
      <c r="AB317" s="25">
        <v>0.46353658536585357</v>
      </c>
      <c r="AC317" s="25">
        <v>0.2809166666666667</v>
      </c>
      <c r="AD317" s="25">
        <v>0.50262499999999988</v>
      </c>
      <c r="AE317" s="27">
        <f t="shared" si="13"/>
        <v>0.54843750000000002</v>
      </c>
      <c r="AF317" s="27">
        <f t="shared" si="14"/>
        <v>0.52929513888888902</v>
      </c>
      <c r="AG317" s="27">
        <f t="shared" si="15"/>
        <v>0.53277556818181826</v>
      </c>
    </row>
    <row r="318" spans="1:33" x14ac:dyDescent="0.25">
      <c r="A318" s="9">
        <v>44025</v>
      </c>
      <c r="B318" s="3">
        <v>115.00195802092709</v>
      </c>
      <c r="C318" s="3">
        <v>109.06690042281272</v>
      </c>
      <c r="D318" s="3">
        <v>124.69518235736024</v>
      </c>
      <c r="E318" s="3">
        <v>115.87007646581753</v>
      </c>
      <c r="F318" s="3">
        <v>110.7392058761356</v>
      </c>
      <c r="G318" s="3">
        <v>82.661093190808316</v>
      </c>
      <c r="H318" s="3">
        <v>112.47508151170058</v>
      </c>
      <c r="I318" s="3">
        <v>173.15766649447323</v>
      </c>
      <c r="J318" s="23">
        <v>44025</v>
      </c>
      <c r="K318" s="24">
        <v>79.166666666666671</v>
      </c>
      <c r="L318" s="24">
        <v>90.791666666666686</v>
      </c>
      <c r="M318" s="24">
        <v>20.572916666666661</v>
      </c>
      <c r="N318" s="24">
        <v>2.5</v>
      </c>
      <c r="O318" s="24">
        <v>228.70833333333334</v>
      </c>
      <c r="P318" s="24">
        <v>8.6458333333333339</v>
      </c>
      <c r="Q318" s="24">
        <v>1.3125</v>
      </c>
      <c r="R318" s="24">
        <v>18.991666666666671</v>
      </c>
      <c r="S318" s="10">
        <v>0.23078927416350936</v>
      </c>
      <c r="T318" s="25">
        <v>0.48677083333333337</v>
      </c>
      <c r="U318" s="25">
        <v>0.56356250000000019</v>
      </c>
      <c r="V318" s="25">
        <v>0.6091875000000001</v>
      </c>
      <c r="W318" s="25">
        <v>0.62343749999999964</v>
      </c>
      <c r="X318" s="25">
        <v>0.62645833333333323</v>
      </c>
      <c r="Y318" s="25">
        <v>0.50433333333333352</v>
      </c>
      <c r="Z318" s="25">
        <v>0.48066666666666685</v>
      </c>
      <c r="AA318" s="25">
        <v>0.41331249999999997</v>
      </c>
      <c r="AB318" s="25">
        <v>0.46658333333333341</v>
      </c>
      <c r="AC318" s="25">
        <v>0.28141666666666665</v>
      </c>
      <c r="AD318" s="25">
        <v>0.5160625000000002</v>
      </c>
      <c r="AE318" s="27">
        <f t="shared" si="13"/>
        <v>0.55661458333333336</v>
      </c>
      <c r="AF318" s="27">
        <f t="shared" si="14"/>
        <v>0.53241666666666676</v>
      </c>
      <c r="AG318" s="27">
        <f t="shared" si="15"/>
        <v>0.53681628787878799</v>
      </c>
    </row>
    <row r="319" spans="1:33" x14ac:dyDescent="0.25">
      <c r="A319" s="9">
        <v>44026</v>
      </c>
      <c r="B319" s="3">
        <v>293.69414413387688</v>
      </c>
      <c r="C319" s="3">
        <v>833.12803563864429</v>
      </c>
      <c r="D319" s="3">
        <v>804.11076354215515</v>
      </c>
      <c r="E319" s="3">
        <v>663.4588645754377</v>
      </c>
      <c r="F319" s="3">
        <v>427.84154364324701</v>
      </c>
      <c r="G319" s="3">
        <v>435.4372883289351</v>
      </c>
      <c r="H319" s="3">
        <v>334.9969668639356</v>
      </c>
      <c r="I319" s="3">
        <v>447.7036885817717</v>
      </c>
      <c r="J319" s="23">
        <v>44026</v>
      </c>
      <c r="K319" s="24">
        <v>225.97916666666666</v>
      </c>
      <c r="L319" s="24">
        <v>78.722916666666649</v>
      </c>
      <c r="M319" s="24">
        <v>23.77291666666666</v>
      </c>
      <c r="N319" s="24">
        <v>0</v>
      </c>
      <c r="O319" s="24">
        <v>238.3125</v>
      </c>
      <c r="P319" s="24">
        <v>12.125</v>
      </c>
      <c r="Q319" s="24">
        <v>1.7708333333333333</v>
      </c>
      <c r="R319" s="24">
        <v>19.747916666666665</v>
      </c>
      <c r="S319" s="10">
        <v>0.66749529574709843</v>
      </c>
      <c r="T319" s="25">
        <v>0.46872916666666659</v>
      </c>
      <c r="U319" s="25">
        <v>0.55352083333333357</v>
      </c>
      <c r="V319" s="25">
        <v>0.60352083333333373</v>
      </c>
      <c r="W319" s="25">
        <v>0.61912499999999981</v>
      </c>
      <c r="X319" s="25">
        <v>0.62210416666666613</v>
      </c>
      <c r="Y319" s="25">
        <v>0.50193750000000015</v>
      </c>
      <c r="Z319" s="25">
        <v>0.47849999999999993</v>
      </c>
      <c r="AA319" s="25">
        <v>0.4116041666666666</v>
      </c>
      <c r="AB319" s="25">
        <v>0.4557872340425535</v>
      </c>
      <c r="AC319" s="25">
        <v>0.26325000000000004</v>
      </c>
      <c r="AD319" s="25">
        <v>0.49479166666666674</v>
      </c>
      <c r="AE319" s="27">
        <f t="shared" si="13"/>
        <v>0.54541666666666633</v>
      </c>
      <c r="AF319" s="27">
        <f t="shared" si="14"/>
        <v>0.52803472222222225</v>
      </c>
      <c r="AG319" s="27">
        <f t="shared" si="15"/>
        <v>0.53119507575757563</v>
      </c>
    </row>
    <row r="320" spans="1:33" x14ac:dyDescent="0.25">
      <c r="A320" s="9">
        <v>44027</v>
      </c>
      <c r="B320" s="3">
        <v>245.90486526360272</v>
      </c>
      <c r="C320" s="3">
        <v>672.85062985278523</v>
      </c>
      <c r="D320" s="3">
        <v>704.95115951700564</v>
      </c>
      <c r="E320" s="3">
        <v>596.12699008055722</v>
      </c>
      <c r="F320" s="3">
        <v>430.67413896374978</v>
      </c>
      <c r="G320" s="3">
        <v>427.49470414575131</v>
      </c>
      <c r="H320" s="3">
        <v>330.79823051139186</v>
      </c>
      <c r="I320" s="3">
        <v>414.26812884118181</v>
      </c>
      <c r="J320" s="23">
        <v>44027</v>
      </c>
      <c r="K320" s="24">
        <v>178.64583333333334</v>
      </c>
      <c r="L320" s="24">
        <v>79.708333333333357</v>
      </c>
      <c r="M320" s="24">
        <v>23.952083333333338</v>
      </c>
      <c r="N320" s="24">
        <v>0</v>
      </c>
      <c r="O320" s="24">
        <v>235.52083333333334</v>
      </c>
      <c r="P320" s="24">
        <v>13.1875</v>
      </c>
      <c r="Q320" s="24">
        <v>2.0625</v>
      </c>
      <c r="R320" s="24">
        <v>20.147916666666664</v>
      </c>
      <c r="S320" s="10">
        <v>0.63393720076048399</v>
      </c>
      <c r="T320" s="25">
        <v>0.45252083333333354</v>
      </c>
      <c r="U320" s="25">
        <v>0.54314583333333355</v>
      </c>
      <c r="V320" s="25">
        <v>0.59781249999999986</v>
      </c>
      <c r="W320" s="25">
        <v>0.61427083333333277</v>
      </c>
      <c r="X320" s="25">
        <v>0.61306249999999995</v>
      </c>
      <c r="Y320" s="25">
        <v>0.49045833333333366</v>
      </c>
      <c r="Z320" s="25">
        <v>0.47414583333333327</v>
      </c>
      <c r="AA320" s="25">
        <v>0.40814583333333321</v>
      </c>
      <c r="AB320" s="25">
        <v>0.44152272727272718</v>
      </c>
      <c r="AC320" s="25">
        <v>0.24397916666666666</v>
      </c>
      <c r="AD320" s="25">
        <v>0.46479166666666655</v>
      </c>
      <c r="AE320" s="27">
        <f t="shared" si="13"/>
        <v>0.53279166666666677</v>
      </c>
      <c r="AF320" s="27">
        <f t="shared" si="14"/>
        <v>0.52132986111111101</v>
      </c>
      <c r="AG320" s="27">
        <f t="shared" si="15"/>
        <v>0.52341382575757567</v>
      </c>
    </row>
    <row r="321" spans="1:33" x14ac:dyDescent="0.25">
      <c r="A321" s="9">
        <v>44028</v>
      </c>
      <c r="B321" s="3">
        <v>279.23221219259528</v>
      </c>
      <c r="C321" s="3">
        <v>672.72389824709592</v>
      </c>
      <c r="D321" s="3">
        <v>652.67090805847238</v>
      </c>
      <c r="E321" s="3">
        <v>587.63935223469116</v>
      </c>
      <c r="F321" s="3">
        <v>400.22490606968353</v>
      </c>
      <c r="G321" s="3">
        <v>371.50338638737543</v>
      </c>
      <c r="H321" s="3">
        <v>280.2967691446637</v>
      </c>
      <c r="I321" s="3">
        <v>376.37743345602524</v>
      </c>
      <c r="J321" s="23">
        <v>44028</v>
      </c>
      <c r="K321" s="24">
        <v>174.875</v>
      </c>
      <c r="L321" s="24">
        <v>79.539583333333326</v>
      </c>
      <c r="M321" s="24">
        <v>24.324999999999992</v>
      </c>
      <c r="N321" s="24">
        <v>0</v>
      </c>
      <c r="O321" s="24">
        <v>232.47916666666666</v>
      </c>
      <c r="P321" s="24">
        <v>16.6875</v>
      </c>
      <c r="Q321" s="24">
        <v>3.4791666666666665</v>
      </c>
      <c r="R321" s="24">
        <v>20.493750000000002</v>
      </c>
      <c r="S321" s="10">
        <v>0.64899537056313794</v>
      </c>
      <c r="T321" s="25">
        <v>0.4384791666666667</v>
      </c>
      <c r="U321" s="25">
        <v>0.53470833333333323</v>
      </c>
      <c r="V321" s="25">
        <v>0.59160416666666693</v>
      </c>
      <c r="W321" s="25">
        <v>0.61025000000000029</v>
      </c>
      <c r="X321" s="25">
        <v>0.6036041666666665</v>
      </c>
      <c r="Y321" s="25">
        <v>0.4788958333333333</v>
      </c>
      <c r="Z321" s="25">
        <v>0.46883333333333327</v>
      </c>
      <c r="AA321" s="25">
        <v>0.40447916666666678</v>
      </c>
      <c r="AB321" s="25">
        <v>0.42375609756097549</v>
      </c>
      <c r="AC321" s="25">
        <v>0.22793750000000002</v>
      </c>
      <c r="AD321" s="25">
        <v>0.43939583333333321</v>
      </c>
      <c r="AE321" s="27">
        <f t="shared" si="13"/>
        <v>0.52104166666666663</v>
      </c>
      <c r="AF321" s="27">
        <f t="shared" si="14"/>
        <v>0.51479513888888895</v>
      </c>
      <c r="AG321" s="27">
        <f t="shared" si="15"/>
        <v>0.51593087121212122</v>
      </c>
    </row>
    <row r="322" spans="1:33" x14ac:dyDescent="0.25">
      <c r="A322" s="9">
        <v>44029</v>
      </c>
      <c r="B322" s="3">
        <v>202.49740952663831</v>
      </c>
      <c r="C322" s="3">
        <v>540.70374696896272</v>
      </c>
      <c r="D322" s="3">
        <v>545.98886173230323</v>
      </c>
      <c r="E322" s="3">
        <v>475.49067224400977</v>
      </c>
      <c r="F322" s="3">
        <v>252.03347514359726</v>
      </c>
      <c r="G322" s="3">
        <v>272.88590424623169</v>
      </c>
      <c r="H322" s="3">
        <v>231.03799879385843</v>
      </c>
      <c r="I322" s="3">
        <v>274.76501583561054</v>
      </c>
      <c r="J322" s="23">
        <v>44029</v>
      </c>
      <c r="K322" s="24">
        <v>138.85416666666666</v>
      </c>
      <c r="L322" s="24">
        <v>82.456250000000026</v>
      </c>
      <c r="M322" s="24">
        <v>23.450000000000003</v>
      </c>
      <c r="N322" s="24">
        <v>3.2</v>
      </c>
      <c r="O322" s="24">
        <v>227.10416666666666</v>
      </c>
      <c r="P322" s="24">
        <v>15.75</v>
      </c>
      <c r="Q322" s="24">
        <v>2.75</v>
      </c>
      <c r="R322" s="24">
        <v>20.239583333333339</v>
      </c>
      <c r="S322" s="10">
        <v>0.52293851556651827</v>
      </c>
      <c r="T322" s="25">
        <v>0.42172916666666688</v>
      </c>
      <c r="U322" s="25">
        <v>0.52579166666666632</v>
      </c>
      <c r="V322" s="25">
        <v>0.58456249999999976</v>
      </c>
      <c r="W322" s="25">
        <v>0.60554166666666653</v>
      </c>
      <c r="X322" s="25">
        <v>0.59081249999999985</v>
      </c>
      <c r="Y322" s="25">
        <v>0.46674999999999961</v>
      </c>
      <c r="Z322" s="25">
        <v>0.46239583333333312</v>
      </c>
      <c r="AA322" s="25">
        <v>0.40006249999999993</v>
      </c>
      <c r="AB322" s="25">
        <v>0.40948936170212746</v>
      </c>
      <c r="AC322" s="25">
        <v>0.21031250000000001</v>
      </c>
      <c r="AD322" s="25">
        <v>0.40820833333333334</v>
      </c>
      <c r="AE322" s="27">
        <f t="shared" si="13"/>
        <v>0.50627083333333334</v>
      </c>
      <c r="AF322" s="27">
        <f t="shared" si="14"/>
        <v>0.5075173611111109</v>
      </c>
      <c r="AG322" s="27">
        <f t="shared" si="15"/>
        <v>0.50729071969696948</v>
      </c>
    </row>
    <row r="323" spans="1:33" x14ac:dyDescent="0.25">
      <c r="A323" s="9">
        <v>44030</v>
      </c>
      <c r="B323" s="3">
        <v>188.67701592387263</v>
      </c>
      <c r="C323" s="3">
        <v>662.54701305449578</v>
      </c>
      <c r="D323" s="3">
        <v>554.30380821701397</v>
      </c>
      <c r="E323" s="3">
        <v>501.64231882553992</v>
      </c>
      <c r="F323" s="3">
        <v>256.74189757543644</v>
      </c>
      <c r="G323" s="3">
        <v>271.64677536858085</v>
      </c>
      <c r="H323" s="3">
        <v>305.26756702805915</v>
      </c>
      <c r="I323" s="3">
        <v>276.96719020345671</v>
      </c>
      <c r="J323" s="23">
        <v>44030</v>
      </c>
      <c r="K323" s="24">
        <v>182.35416666666666</v>
      </c>
      <c r="L323" s="24">
        <v>81.950000000000017</v>
      </c>
      <c r="M323" s="24">
        <v>23.356250000000006</v>
      </c>
      <c r="N323" s="24">
        <v>1.7</v>
      </c>
      <c r="O323" s="24">
        <v>235.72916666666666</v>
      </c>
      <c r="P323" s="24">
        <v>11.645833333333334</v>
      </c>
      <c r="Q323" s="24">
        <v>1.2291666666666667</v>
      </c>
      <c r="R323" s="24">
        <v>20.025000000000002</v>
      </c>
      <c r="S323" s="10">
        <v>0.54615648517103221</v>
      </c>
      <c r="T323" s="25">
        <v>0.4056041666666666</v>
      </c>
      <c r="U323" s="25">
        <v>0.51831249999999995</v>
      </c>
      <c r="V323" s="25">
        <v>0.5775625000000002</v>
      </c>
      <c r="W323" s="25">
        <v>0.60068749999999993</v>
      </c>
      <c r="X323" s="25">
        <v>0.57783333333333364</v>
      </c>
      <c r="Y323" s="25">
        <v>0.45641666666666697</v>
      </c>
      <c r="Z323" s="25">
        <v>0.45579166666666676</v>
      </c>
      <c r="AA323" s="25">
        <v>0.39549999999999996</v>
      </c>
      <c r="AB323" s="25">
        <v>0.41117241379310343</v>
      </c>
      <c r="AC323" s="25">
        <v>0.2246666666666666</v>
      </c>
      <c r="AD323" s="25">
        <v>0.38239583333333343</v>
      </c>
      <c r="AE323" s="27">
        <f t="shared" si="13"/>
        <v>0.49171875000000009</v>
      </c>
      <c r="AF323" s="27">
        <f t="shared" si="14"/>
        <v>0.50071180555555561</v>
      </c>
      <c r="AG323" s="27">
        <f t="shared" si="15"/>
        <v>0.49907670454545461</v>
      </c>
    </row>
    <row r="324" spans="1:33" x14ac:dyDescent="0.25">
      <c r="A324" s="9">
        <v>44031</v>
      </c>
      <c r="B324" s="3">
        <v>189.57832622477733</v>
      </c>
      <c r="C324" s="3">
        <v>392.44841801069117</v>
      </c>
      <c r="D324" s="3">
        <v>360.50084478401646</v>
      </c>
      <c r="E324" s="3">
        <v>294.97701105127618</v>
      </c>
      <c r="F324" s="3">
        <v>215.74183819842852</v>
      </c>
      <c r="G324" s="3">
        <v>253.07033532699538</v>
      </c>
      <c r="H324" s="3">
        <v>195.51962313925605</v>
      </c>
      <c r="I324" s="3">
        <v>187.28069519356356</v>
      </c>
      <c r="J324" s="23">
        <v>44031</v>
      </c>
      <c r="K324" s="24">
        <v>124.20833333333333</v>
      </c>
      <c r="L324" s="24">
        <v>85.610416666666694</v>
      </c>
      <c r="M324" s="24">
        <v>21.558333333333326</v>
      </c>
      <c r="N324" s="24">
        <v>41.900000000000006</v>
      </c>
      <c r="O324" s="24">
        <v>221.6875</v>
      </c>
      <c r="P324" s="24">
        <v>3.625</v>
      </c>
      <c r="Q324" s="24">
        <v>0.10416666666666667</v>
      </c>
      <c r="R324" s="24">
        <v>18.960416666666667</v>
      </c>
      <c r="S324" s="10">
        <v>0.39686972402933041</v>
      </c>
      <c r="T324" s="25">
        <v>0.47772916666666676</v>
      </c>
      <c r="U324" s="25">
        <v>0.55729166666666663</v>
      </c>
      <c r="V324" s="25">
        <v>0.60310416666666677</v>
      </c>
      <c r="W324" s="25">
        <v>0.62497916666666631</v>
      </c>
      <c r="X324" s="25">
        <v>0.61552083333333341</v>
      </c>
      <c r="Y324" s="25">
        <v>0.51118750000000002</v>
      </c>
      <c r="Z324" s="25">
        <v>0.47870833333333324</v>
      </c>
      <c r="AA324" s="25">
        <v>0.41529166666666684</v>
      </c>
      <c r="AB324" s="25">
        <v>0.49640540540540545</v>
      </c>
      <c r="AC324" s="25">
        <v>0.30547916666666658</v>
      </c>
      <c r="AD324" s="25">
        <v>0.47599999999999992</v>
      </c>
      <c r="AE324" s="27">
        <f t="shared" si="13"/>
        <v>0.54662500000000014</v>
      </c>
      <c r="AF324" s="27">
        <f t="shared" si="14"/>
        <v>0.53176041666666662</v>
      </c>
      <c r="AG324" s="27">
        <f t="shared" si="15"/>
        <v>0.53446306818181821</v>
      </c>
    </row>
    <row r="325" spans="1:33" x14ac:dyDescent="0.25">
      <c r="A325" s="9">
        <v>44032</v>
      </c>
      <c r="B325" s="3">
        <v>40.694896767191366</v>
      </c>
      <c r="C325" s="3">
        <v>106.94405338916486</v>
      </c>
      <c r="D325" s="3">
        <v>60.648795493582</v>
      </c>
      <c r="E325" s="3">
        <v>58.417203595874859</v>
      </c>
      <c r="F325" s="3">
        <v>29.903361679292356</v>
      </c>
      <c r="G325" s="3">
        <v>53.647993468475484</v>
      </c>
      <c r="H325" s="3">
        <v>31.471289825841271</v>
      </c>
      <c r="I325" s="3">
        <v>41.754285288733421</v>
      </c>
      <c r="J325" s="23">
        <v>44032</v>
      </c>
      <c r="K325" s="24">
        <v>64.229166666666671</v>
      </c>
      <c r="L325" s="24">
        <v>93.399999999999991</v>
      </c>
      <c r="M325" s="24">
        <v>19.522916666666664</v>
      </c>
      <c r="N325" s="24">
        <v>10.299999999999999</v>
      </c>
      <c r="O325" s="24">
        <v>248.3125</v>
      </c>
      <c r="P325" s="24">
        <v>2.1458333333333335</v>
      </c>
      <c r="Q325" s="24">
        <v>0.125</v>
      </c>
      <c r="R325" s="24">
        <v>18.418750000000003</v>
      </c>
      <c r="S325" s="10">
        <v>0.15417672323297646</v>
      </c>
      <c r="T325" s="25">
        <v>0.47656250000000006</v>
      </c>
      <c r="U325" s="25">
        <v>0.55704166666666688</v>
      </c>
      <c r="V325" s="25">
        <v>0.60293749999999946</v>
      </c>
      <c r="W325" s="25">
        <v>0.62022916666666639</v>
      </c>
      <c r="X325" s="25">
        <v>0.61995833333333317</v>
      </c>
      <c r="Y325" s="25">
        <v>0.50685416666666649</v>
      </c>
      <c r="Z325" s="25">
        <v>0.48277083333333309</v>
      </c>
      <c r="AA325" s="25">
        <v>0.41472916666666676</v>
      </c>
      <c r="AB325" s="25">
        <v>0.46828571428571419</v>
      </c>
      <c r="AC325" s="25">
        <v>0.28608333333333341</v>
      </c>
      <c r="AD325" s="25">
        <v>0.4878958333333332</v>
      </c>
      <c r="AE325" s="27">
        <f t="shared" si="13"/>
        <v>0.54826041666666658</v>
      </c>
      <c r="AF325" s="27">
        <f t="shared" si="14"/>
        <v>0.53076041666666651</v>
      </c>
      <c r="AG325" s="27">
        <f t="shared" si="15"/>
        <v>0.53394223484848469</v>
      </c>
    </row>
    <row r="326" spans="1:33" x14ac:dyDescent="0.25">
      <c r="A326" s="9">
        <v>44033</v>
      </c>
      <c r="B326" s="3">
        <v>272.41901712564919</v>
      </c>
      <c r="C326" s="3">
        <v>429.51732752229594</v>
      </c>
      <c r="D326" s="3">
        <v>454.29229475281761</v>
      </c>
      <c r="E326" s="3">
        <v>437.16913603575642</v>
      </c>
      <c r="F326" s="3">
        <v>213.08490399687963</v>
      </c>
      <c r="G326" s="3">
        <v>299.22300182453574</v>
      </c>
      <c r="H326" s="3">
        <v>236.69116778092985</v>
      </c>
      <c r="I326" s="3">
        <v>252.45289530568675</v>
      </c>
      <c r="J326" s="23">
        <v>44033</v>
      </c>
      <c r="K326" s="24">
        <v>119.89583333333333</v>
      </c>
      <c r="L326" s="24">
        <v>86.422916666666694</v>
      </c>
      <c r="M326" s="24">
        <v>21.704166666666669</v>
      </c>
      <c r="N326" s="24">
        <v>0.2</v>
      </c>
      <c r="O326" s="24">
        <v>229.66666666666666</v>
      </c>
      <c r="P326" s="24">
        <v>19.1875</v>
      </c>
      <c r="Q326" s="24">
        <v>3.7916666666666665</v>
      </c>
      <c r="R326" s="24">
        <v>19.318749999999998</v>
      </c>
      <c r="S326" s="10">
        <v>0.3625778638346398</v>
      </c>
      <c r="T326" s="25">
        <v>0.48729166666666662</v>
      </c>
      <c r="U326" s="25">
        <v>0.56439583333333332</v>
      </c>
      <c r="V326" s="25">
        <v>0.60802083333333368</v>
      </c>
      <c r="W326" s="25">
        <v>0.62806249999999997</v>
      </c>
      <c r="X326" s="25">
        <v>0.62752083333333331</v>
      </c>
      <c r="Y326" s="25">
        <v>0.52197916666666688</v>
      </c>
      <c r="Z326" s="25">
        <v>0.48631250000000054</v>
      </c>
      <c r="AA326" s="25">
        <v>0.41881250000000003</v>
      </c>
      <c r="AB326" s="25">
        <v>0.47529166666666645</v>
      </c>
      <c r="AC326" s="25">
        <v>0.29033333333333339</v>
      </c>
      <c r="AD326" s="25">
        <v>0.50931250000000006</v>
      </c>
      <c r="AE326" s="27">
        <f t="shared" ref="AE326:AE389" si="16">AVERAGE(T326,X326)</f>
        <v>0.55740624999999999</v>
      </c>
      <c r="AF326" s="27">
        <f t="shared" ref="AF326:AF389" si="17">AVERAGE(U326:W326,Y326:AA326)</f>
        <v>0.53793055555555569</v>
      </c>
      <c r="AG326" s="27">
        <f t="shared" ref="AG326:AG389" si="18">(AE326*10+AF326*45)/55</f>
        <v>0.54147159090909103</v>
      </c>
    </row>
    <row r="327" spans="1:33" x14ac:dyDescent="0.25">
      <c r="A327" s="9">
        <v>44034</v>
      </c>
      <c r="B327" s="3">
        <v>339.14320529797254</v>
      </c>
      <c r="C327" s="3">
        <v>613.07391136266756</v>
      </c>
      <c r="D327" s="3">
        <v>702.27783565280322</v>
      </c>
      <c r="E327" s="3">
        <v>648.59235637296786</v>
      </c>
      <c r="F327" s="3">
        <v>293.00340544039301</v>
      </c>
      <c r="G327" s="3">
        <v>428.9789408469303</v>
      </c>
      <c r="H327" s="3">
        <v>275.9632592221821</v>
      </c>
      <c r="I327" s="3">
        <v>364.09352579054712</v>
      </c>
      <c r="J327" s="23">
        <v>44034</v>
      </c>
      <c r="K327" s="24">
        <v>164.70833333333334</v>
      </c>
      <c r="L327" s="24">
        <v>82.768750000000026</v>
      </c>
      <c r="M327" s="24">
        <v>22.395833333333332</v>
      </c>
      <c r="N327" s="24">
        <v>0</v>
      </c>
      <c r="O327" s="24">
        <v>231.41666666666666</v>
      </c>
      <c r="P327" s="24">
        <v>19.125</v>
      </c>
      <c r="Q327" s="24">
        <v>3.9791666666666665</v>
      </c>
      <c r="R327" s="24">
        <v>19.289583333333333</v>
      </c>
      <c r="S327" s="10">
        <v>0.47944696431909378</v>
      </c>
      <c r="T327" s="25">
        <v>0.46308333333333329</v>
      </c>
      <c r="U327" s="25">
        <v>0.55031250000000009</v>
      </c>
      <c r="V327" s="25">
        <v>0.60002083333333345</v>
      </c>
      <c r="W327" s="25">
        <v>0.6169791666666663</v>
      </c>
      <c r="X327" s="25">
        <v>0.61760416666666629</v>
      </c>
      <c r="Y327" s="25">
        <v>0.50385416666666671</v>
      </c>
      <c r="Z327" s="25">
        <v>0.48112500000000019</v>
      </c>
      <c r="AA327" s="25">
        <v>0.41399999999999976</v>
      </c>
      <c r="AB327" s="25">
        <v>0.45950000000000002</v>
      </c>
      <c r="AC327" s="25">
        <v>0.2644375000000001</v>
      </c>
      <c r="AD327" s="25">
        <v>0.47995833333333321</v>
      </c>
      <c r="AE327" s="27">
        <f t="shared" si="16"/>
        <v>0.54034374999999979</v>
      </c>
      <c r="AF327" s="27">
        <f t="shared" si="17"/>
        <v>0.52771527777777771</v>
      </c>
      <c r="AG327" s="27">
        <f t="shared" si="18"/>
        <v>0.53001136363636359</v>
      </c>
    </row>
    <row r="328" spans="1:33" x14ac:dyDescent="0.25">
      <c r="A328" s="9">
        <v>44035</v>
      </c>
      <c r="B328" s="3">
        <v>338.92441166041198</v>
      </c>
      <c r="C328" s="3">
        <v>830.85620868908461</v>
      </c>
      <c r="D328" s="3">
        <v>888.58749752899848</v>
      </c>
      <c r="E328" s="3">
        <v>860.37349922978001</v>
      </c>
      <c r="F328" s="3">
        <v>417.62997154237399</v>
      </c>
      <c r="G328" s="3">
        <v>570.73992876035663</v>
      </c>
      <c r="H328" s="3">
        <v>318.77275101318389</v>
      </c>
      <c r="I328" s="3">
        <v>477.05836783841067</v>
      </c>
      <c r="J328" s="23">
        <v>44035</v>
      </c>
      <c r="K328" s="24">
        <v>239.64583333333334</v>
      </c>
      <c r="L328" s="24">
        <v>78.34999999999998</v>
      </c>
      <c r="M328" s="24">
        <v>23.974999999999998</v>
      </c>
      <c r="N328" s="24">
        <v>0</v>
      </c>
      <c r="O328" s="24">
        <v>232.27083333333334</v>
      </c>
      <c r="P328" s="24">
        <v>18.333333333333332</v>
      </c>
      <c r="Q328" s="24">
        <v>3.875</v>
      </c>
      <c r="R328" s="24">
        <v>19.862500000000004</v>
      </c>
      <c r="S328" s="10">
        <v>0.69277424931038434</v>
      </c>
      <c r="T328" s="25">
        <v>0.44787500000000002</v>
      </c>
      <c r="U328" s="25">
        <v>0.54052083333333367</v>
      </c>
      <c r="V328" s="25">
        <v>0.5936458333333331</v>
      </c>
      <c r="W328" s="25">
        <v>0.6124583333333331</v>
      </c>
      <c r="X328" s="25">
        <v>0.60962500000000042</v>
      </c>
      <c r="Y328" s="25">
        <v>0.49197916666666702</v>
      </c>
      <c r="Z328" s="25">
        <v>0.47549999999999998</v>
      </c>
      <c r="AA328" s="25">
        <v>0.40989583333333329</v>
      </c>
      <c r="AB328" s="25">
        <v>0.4425</v>
      </c>
      <c r="AC328" s="25">
        <v>0.24500000000000008</v>
      </c>
      <c r="AD328" s="25">
        <v>0.453125</v>
      </c>
      <c r="AE328" s="27">
        <f t="shared" si="16"/>
        <v>0.52875000000000028</v>
      </c>
      <c r="AF328" s="27">
        <f t="shared" si="17"/>
        <v>0.52066666666666661</v>
      </c>
      <c r="AG328" s="27">
        <f t="shared" si="18"/>
        <v>0.52213636363636362</v>
      </c>
    </row>
    <row r="329" spans="1:33" x14ac:dyDescent="0.25">
      <c r="A329" s="9">
        <v>44036</v>
      </c>
      <c r="B329" s="3">
        <v>288.20542772482389</v>
      </c>
      <c r="C329" s="3">
        <v>852.73038992007264</v>
      </c>
      <c r="D329" s="3">
        <v>856.61768955996365</v>
      </c>
      <c r="E329" s="3">
        <v>855.43479196044711</v>
      </c>
      <c r="F329" s="3">
        <v>408.89226343539036</v>
      </c>
      <c r="G329" s="3">
        <v>485.65135785721787</v>
      </c>
      <c r="H329" s="3">
        <v>320.88457679325944</v>
      </c>
      <c r="I329" s="3">
        <v>426.49261939186721</v>
      </c>
      <c r="J329" s="23">
        <v>44036</v>
      </c>
      <c r="K329" s="24">
        <v>257.3125</v>
      </c>
      <c r="L329" s="24">
        <v>77.970833333333346</v>
      </c>
      <c r="M329" s="24">
        <v>24.731250000000003</v>
      </c>
      <c r="N329" s="24">
        <v>0</v>
      </c>
      <c r="O329" s="24">
        <v>234.64583333333334</v>
      </c>
      <c r="P329" s="24">
        <v>15.645833333333334</v>
      </c>
      <c r="Q329" s="24">
        <v>2.9166666666666665</v>
      </c>
      <c r="R329" s="24">
        <v>20.512500000000003</v>
      </c>
      <c r="S329" s="10">
        <v>0.73631827289622664</v>
      </c>
      <c r="T329" s="25">
        <v>0.43020833333333347</v>
      </c>
      <c r="U329" s="25">
        <v>0.53074999999999972</v>
      </c>
      <c r="V329" s="25">
        <v>0.58577083333333291</v>
      </c>
      <c r="W329" s="25">
        <v>0.60758333333333336</v>
      </c>
      <c r="X329" s="25">
        <v>0.59870833333333329</v>
      </c>
      <c r="Y329" s="25">
        <v>0.47729166666666645</v>
      </c>
      <c r="Z329" s="25">
        <v>0.46781249999999991</v>
      </c>
      <c r="AA329" s="25">
        <v>0.40491666666666676</v>
      </c>
      <c r="AB329" s="25">
        <v>0.42142857142857126</v>
      </c>
      <c r="AC329" s="25">
        <v>0.22208333333333338</v>
      </c>
      <c r="AD329" s="25">
        <v>0.41681249999999981</v>
      </c>
      <c r="AE329" s="27">
        <f t="shared" si="16"/>
        <v>0.51445833333333335</v>
      </c>
      <c r="AF329" s="27">
        <f t="shared" si="17"/>
        <v>0.51235416666666656</v>
      </c>
      <c r="AG329" s="27">
        <f t="shared" si="18"/>
        <v>0.51273674242424239</v>
      </c>
    </row>
    <row r="330" spans="1:33" x14ac:dyDescent="0.25">
      <c r="A330" s="9">
        <v>44037</v>
      </c>
      <c r="B330" s="3">
        <v>310.63577510239799</v>
      </c>
      <c r="C330" s="3">
        <v>672.17097983947735</v>
      </c>
      <c r="D330" s="3">
        <v>743.97952249720322</v>
      </c>
      <c r="E330" s="3">
        <v>780.458759145464</v>
      </c>
      <c r="F330" s="3">
        <v>293.91697450477386</v>
      </c>
      <c r="G330" s="3">
        <v>356.15809503094647</v>
      </c>
      <c r="H330" s="3">
        <v>302.99943618469274</v>
      </c>
      <c r="I330" s="3">
        <v>366.76405934830245</v>
      </c>
      <c r="J330" s="23">
        <v>44037</v>
      </c>
      <c r="K330" s="24">
        <v>204.35416666666666</v>
      </c>
      <c r="L330" s="24">
        <v>79.060416666666654</v>
      </c>
      <c r="M330" s="24">
        <v>24.997916666666665</v>
      </c>
      <c r="N330" s="24">
        <v>0</v>
      </c>
      <c r="O330" s="24">
        <v>232.20833333333334</v>
      </c>
      <c r="P330" s="24">
        <v>11.770833333333334</v>
      </c>
      <c r="Q330" s="24">
        <v>2</v>
      </c>
      <c r="R330" s="24">
        <v>21.008333333333333</v>
      </c>
      <c r="S330" s="10">
        <v>0.711602201324954</v>
      </c>
      <c r="T330" s="25">
        <v>0.40806249999999972</v>
      </c>
      <c r="U330" s="25">
        <v>0.52091666666666681</v>
      </c>
      <c r="V330" s="25">
        <v>0.57620833333333343</v>
      </c>
      <c r="W330" s="25">
        <v>0.60212500000000002</v>
      </c>
      <c r="X330" s="25">
        <v>0.58347916666666655</v>
      </c>
      <c r="Y330" s="25">
        <v>0.46054166666666685</v>
      </c>
      <c r="Z330" s="25">
        <v>0.45835416666666701</v>
      </c>
      <c r="AA330" s="25">
        <v>0.39845833333333308</v>
      </c>
      <c r="AB330" s="25">
        <v>0.40058536585365861</v>
      </c>
      <c r="AC330" s="25">
        <v>0.19620833333333329</v>
      </c>
      <c r="AD330" s="25">
        <v>0.37429166666666663</v>
      </c>
      <c r="AE330" s="27">
        <f t="shared" si="16"/>
        <v>0.49577083333333316</v>
      </c>
      <c r="AF330" s="27">
        <f t="shared" si="17"/>
        <v>0.5027673611111112</v>
      </c>
      <c r="AG330" s="27">
        <f t="shared" si="18"/>
        <v>0.50149526515151521</v>
      </c>
    </row>
    <row r="331" spans="1:33" x14ac:dyDescent="0.25">
      <c r="A331" s="9">
        <v>44038</v>
      </c>
      <c r="B331" s="3">
        <v>63.040607171414784</v>
      </c>
      <c r="C331" s="3">
        <v>71.531174211425324</v>
      </c>
      <c r="D331" s="3">
        <v>116.55407339931818</v>
      </c>
      <c r="E331" s="3">
        <v>91.399263871561558</v>
      </c>
      <c r="F331" s="3">
        <v>40.940346148075164</v>
      </c>
      <c r="G331" s="3">
        <v>55.085868970790052</v>
      </c>
      <c r="H331" s="3">
        <v>64.145048882833677</v>
      </c>
      <c r="I331" s="3">
        <v>139.32084206951319</v>
      </c>
      <c r="J331" s="23">
        <v>44038</v>
      </c>
      <c r="K331" s="24">
        <v>80.895833333333329</v>
      </c>
      <c r="L331" s="24">
        <v>86.61875000000002</v>
      </c>
      <c r="M331" s="24">
        <v>21.993750000000002</v>
      </c>
      <c r="N331" s="24">
        <v>7.3</v>
      </c>
      <c r="O331" s="24">
        <v>196.72916666666666</v>
      </c>
      <c r="P331" s="24">
        <v>6.1875</v>
      </c>
      <c r="Q331" s="24">
        <v>0.72916666666666663</v>
      </c>
      <c r="R331" s="24">
        <v>19.641666666666669</v>
      </c>
      <c r="S331" s="10">
        <v>0.36401359057331417</v>
      </c>
      <c r="T331" s="25">
        <v>0.39066666666666672</v>
      </c>
      <c r="U331" s="25">
        <v>0.51335416666666689</v>
      </c>
      <c r="V331" s="25">
        <v>0.56968749999999979</v>
      </c>
      <c r="W331" s="25">
        <v>0.59725000000000017</v>
      </c>
      <c r="X331" s="25">
        <v>0.57043750000000004</v>
      </c>
      <c r="Y331" s="25">
        <v>0.44977083333333345</v>
      </c>
      <c r="Z331" s="25">
        <v>0.45156250000000026</v>
      </c>
      <c r="AA331" s="25">
        <v>0.39325000000000004</v>
      </c>
      <c r="AB331" s="25">
        <v>0.40010869565217416</v>
      </c>
      <c r="AC331" s="25">
        <v>0.21112499999999998</v>
      </c>
      <c r="AD331" s="25">
        <v>0.35510416666666683</v>
      </c>
      <c r="AE331" s="27">
        <f t="shared" si="16"/>
        <v>0.48055208333333338</v>
      </c>
      <c r="AF331" s="27">
        <f t="shared" si="17"/>
        <v>0.49581250000000004</v>
      </c>
      <c r="AG331" s="27">
        <f t="shared" si="18"/>
        <v>0.4930378787878788</v>
      </c>
    </row>
    <row r="332" spans="1:33" x14ac:dyDescent="0.25">
      <c r="A332" s="9">
        <v>44039</v>
      </c>
      <c r="B332" s="3">
        <v>285.27479989039028</v>
      </c>
      <c r="C332" s="3">
        <v>976.76753005456305</v>
      </c>
      <c r="D332" s="3">
        <v>779.75839480063769</v>
      </c>
      <c r="E332" s="3">
        <v>832.68244664338056</v>
      </c>
      <c r="F332" s="3">
        <v>523.07829429143032</v>
      </c>
      <c r="G332" s="3">
        <v>592.75022607206438</v>
      </c>
      <c r="H332" s="3">
        <v>352.81035419614574</v>
      </c>
      <c r="I332" s="3">
        <v>432.82765577199973</v>
      </c>
      <c r="J332" s="23">
        <v>44039</v>
      </c>
      <c r="K332" s="24">
        <v>291.97916666666669</v>
      </c>
      <c r="L332" s="24">
        <v>69.70208333333332</v>
      </c>
      <c r="M332" s="24">
        <v>23.341666666666665</v>
      </c>
      <c r="N332" s="24">
        <v>0</v>
      </c>
      <c r="O332" s="24">
        <v>177.97916666666666</v>
      </c>
      <c r="P332" s="24">
        <v>3.8125</v>
      </c>
      <c r="Q332" s="24">
        <v>0.125</v>
      </c>
      <c r="R332" s="24">
        <v>16.712499999999995</v>
      </c>
      <c r="S332" s="10">
        <v>1.1070419800310576</v>
      </c>
      <c r="T332" s="25">
        <v>0.37743750000000009</v>
      </c>
      <c r="U332" s="25">
        <v>0.50489583333333343</v>
      </c>
      <c r="V332" s="25">
        <v>0.56310416666666663</v>
      </c>
      <c r="W332" s="25">
        <v>0.59020833333333289</v>
      </c>
      <c r="X332" s="25">
        <v>0.55887499999999968</v>
      </c>
      <c r="Y332" s="25">
        <v>0.44131250000000005</v>
      </c>
      <c r="Z332" s="25">
        <v>0.44591666666666668</v>
      </c>
      <c r="AA332" s="25">
        <v>0.38895833333333329</v>
      </c>
      <c r="AB332" s="25">
        <v>0.40252083333333327</v>
      </c>
      <c r="AC332" s="25">
        <v>0.21954166666666677</v>
      </c>
      <c r="AD332" s="25">
        <v>0.35131249999999997</v>
      </c>
      <c r="AE332" s="27">
        <f t="shared" si="16"/>
        <v>0.46815624999999988</v>
      </c>
      <c r="AF332" s="27">
        <f t="shared" si="17"/>
        <v>0.4890659722222222</v>
      </c>
      <c r="AG332" s="27">
        <f t="shared" si="18"/>
        <v>0.48526420454545449</v>
      </c>
    </row>
    <row r="333" spans="1:33" x14ac:dyDescent="0.25">
      <c r="A333" s="9">
        <v>44040</v>
      </c>
      <c r="B333" s="3">
        <v>269.08334045302627</v>
      </c>
      <c r="C333" s="3">
        <v>1071.3173227360405</v>
      </c>
      <c r="D333" s="3">
        <v>836.15506082313743</v>
      </c>
      <c r="E333" s="3">
        <v>859.08829177304096</v>
      </c>
      <c r="F333" s="3">
        <v>404.85203558394488</v>
      </c>
      <c r="G333" s="3">
        <v>600.95322848669468</v>
      </c>
      <c r="H333" s="3">
        <v>372.74676694484378</v>
      </c>
      <c r="I333" s="3">
        <v>384.6535803433589</v>
      </c>
      <c r="J333" s="23">
        <v>44040</v>
      </c>
      <c r="K333" s="24">
        <v>274.85416666666669</v>
      </c>
      <c r="L333" s="24">
        <v>67.783333333333317</v>
      </c>
      <c r="M333" s="24">
        <v>23.958333333333332</v>
      </c>
      <c r="N333" s="24">
        <v>0</v>
      </c>
      <c r="O333" s="24">
        <v>226.02083333333334</v>
      </c>
      <c r="P333" s="24">
        <v>2.0833333333333335</v>
      </c>
      <c r="Q333" s="24">
        <v>0</v>
      </c>
      <c r="R333" s="24">
        <v>17.202083333333334</v>
      </c>
      <c r="S333" s="10">
        <v>1.1201982685885747</v>
      </c>
      <c r="T333" s="25">
        <v>0.35004166666666675</v>
      </c>
      <c r="U333" s="25">
        <v>0.48720833333333341</v>
      </c>
      <c r="V333" s="25">
        <v>0.54906250000000023</v>
      </c>
      <c r="W333" s="25">
        <v>0.57520833333333332</v>
      </c>
      <c r="X333" s="25">
        <v>0.5393958333333333</v>
      </c>
      <c r="Y333" s="25">
        <v>0.42197916666666674</v>
      </c>
      <c r="Z333" s="25">
        <v>0.43043750000000019</v>
      </c>
      <c r="AA333" s="25">
        <v>0.37866666666666665</v>
      </c>
      <c r="AB333" s="25">
        <v>0.37638095238095248</v>
      </c>
      <c r="AC333" s="25">
        <v>0.18804166666666666</v>
      </c>
      <c r="AD333" s="25">
        <v>0.32808333333333334</v>
      </c>
      <c r="AE333" s="27">
        <f t="shared" si="16"/>
        <v>0.44471875000000005</v>
      </c>
      <c r="AF333" s="27">
        <f t="shared" si="17"/>
        <v>0.47376041666666674</v>
      </c>
      <c r="AG333" s="27">
        <f t="shared" si="18"/>
        <v>0.46848011363636372</v>
      </c>
    </row>
    <row r="334" spans="1:33" x14ac:dyDescent="0.25">
      <c r="A334" s="9">
        <v>44041</v>
      </c>
      <c r="B334" s="3">
        <v>297.08157276592851</v>
      </c>
      <c r="C334" s="3">
        <v>815.54831718867422</v>
      </c>
      <c r="D334" s="3">
        <v>816.12395340107423</v>
      </c>
      <c r="E334" s="3">
        <v>885.95775109530348</v>
      </c>
      <c r="F334" s="3">
        <v>421.59848984340607</v>
      </c>
      <c r="G334" s="3">
        <v>530.24786180437866</v>
      </c>
      <c r="H334" s="3">
        <v>388.00052261243087</v>
      </c>
      <c r="I334" s="3">
        <v>344.38991758173449</v>
      </c>
      <c r="J334" s="23">
        <v>44041</v>
      </c>
      <c r="K334" s="24">
        <v>257.33333333333331</v>
      </c>
      <c r="L334" s="24">
        <v>72.814583333333346</v>
      </c>
      <c r="M334" s="24">
        <v>24.068749999999994</v>
      </c>
      <c r="N334" s="24">
        <v>0</v>
      </c>
      <c r="O334" s="24">
        <v>213.375</v>
      </c>
      <c r="P334" s="24">
        <v>5.5</v>
      </c>
      <c r="Q334" s="24">
        <v>0.27083333333333331</v>
      </c>
      <c r="R334" s="24">
        <v>18.568750000000005</v>
      </c>
      <c r="S334" s="10">
        <v>0.92438723048514182</v>
      </c>
      <c r="T334" s="25">
        <v>0.32508333333333328</v>
      </c>
      <c r="U334" s="25">
        <v>0.46712499999999985</v>
      </c>
      <c r="V334" s="25">
        <v>0.53406249999999977</v>
      </c>
      <c r="W334" s="25">
        <v>0.5570624999999999</v>
      </c>
      <c r="X334" s="25">
        <v>0.5187291666666668</v>
      </c>
      <c r="Y334" s="25">
        <v>0.40320833333333339</v>
      </c>
      <c r="Z334" s="25">
        <v>0.41239583333333329</v>
      </c>
      <c r="AA334" s="25">
        <v>0.36662500000000015</v>
      </c>
      <c r="AB334" s="25">
        <v>0.34737500000000004</v>
      </c>
      <c r="AC334" s="25">
        <v>0.16160416666666663</v>
      </c>
      <c r="AD334" s="25">
        <v>0.3043749999999999</v>
      </c>
      <c r="AE334" s="27">
        <f t="shared" si="16"/>
        <v>0.42190625000000004</v>
      </c>
      <c r="AF334" s="27">
        <f t="shared" si="17"/>
        <v>0.45674652777777774</v>
      </c>
      <c r="AG334" s="27">
        <f t="shared" si="18"/>
        <v>0.45041193181818179</v>
      </c>
    </row>
    <row r="335" spans="1:33" x14ac:dyDescent="0.25">
      <c r="A335" s="9">
        <v>44042</v>
      </c>
      <c r="B335" s="3">
        <v>297.06750203014695</v>
      </c>
      <c r="C335" s="3">
        <v>470.51341615091735</v>
      </c>
      <c r="D335" s="3">
        <v>785.61257919988236</v>
      </c>
      <c r="E335" s="3">
        <v>904.56898175839649</v>
      </c>
      <c r="F335" s="3">
        <v>422.65420820298408</v>
      </c>
      <c r="G335" s="3">
        <v>500.41593502753193</v>
      </c>
      <c r="H335" s="3">
        <v>391.98893022435777</v>
      </c>
      <c r="I335" s="3">
        <v>266.52455640036612</v>
      </c>
      <c r="J335" s="23">
        <v>44042</v>
      </c>
      <c r="K335" s="24">
        <v>259.125</v>
      </c>
      <c r="L335" s="24">
        <v>73.983333333333306</v>
      </c>
      <c r="M335" s="24">
        <v>24.527083333333337</v>
      </c>
      <c r="N335" s="24">
        <v>0</v>
      </c>
      <c r="O335" s="24">
        <v>237.45833333333334</v>
      </c>
      <c r="P335" s="24">
        <v>7.666666666666667</v>
      </c>
      <c r="Q335" s="24">
        <v>0.39583333333333331</v>
      </c>
      <c r="R335" s="24">
        <v>19.283333333333324</v>
      </c>
      <c r="S335" s="10">
        <v>0.8969768416974605</v>
      </c>
      <c r="T335" s="25">
        <v>0.30266666666666664</v>
      </c>
      <c r="U335" s="25">
        <v>0.44585416666666666</v>
      </c>
      <c r="V335" s="25">
        <v>0.51883333333333359</v>
      </c>
      <c r="W335" s="25">
        <v>0.5368124999999998</v>
      </c>
      <c r="X335" s="25">
        <v>0.49964583333333329</v>
      </c>
      <c r="Y335" s="25">
        <v>0.38585416666666655</v>
      </c>
      <c r="Z335" s="25">
        <v>0.39462500000000023</v>
      </c>
      <c r="AA335" s="25">
        <v>0.35416666666666669</v>
      </c>
      <c r="AB335" s="25">
        <v>0.31331249999999999</v>
      </c>
      <c r="AC335" s="25">
        <v>0.14449999999999996</v>
      </c>
      <c r="AD335" s="25">
        <v>0.28329166666666655</v>
      </c>
      <c r="AE335" s="27">
        <f t="shared" si="16"/>
        <v>0.40115624999999999</v>
      </c>
      <c r="AF335" s="27">
        <f t="shared" si="17"/>
        <v>0.4393576388888889</v>
      </c>
      <c r="AG335" s="27">
        <f t="shared" si="18"/>
        <v>0.43241193181818188</v>
      </c>
    </row>
    <row r="336" spans="1:33" x14ac:dyDescent="0.25">
      <c r="A336" s="9">
        <v>44043</v>
      </c>
      <c r="B336" s="3">
        <v>334.53088355174577</v>
      </c>
      <c r="C336" s="3">
        <v>272.69610241770664</v>
      </c>
      <c r="D336" s="3">
        <v>706.20491742749005</v>
      </c>
      <c r="E336" s="3">
        <v>870.4175426401556</v>
      </c>
      <c r="F336" s="3">
        <v>435.97569370127894</v>
      </c>
      <c r="G336" s="3">
        <v>440.27000597063807</v>
      </c>
      <c r="H336" s="3">
        <v>376.50882315255154</v>
      </c>
      <c r="I336" s="3">
        <v>243.24186202052363</v>
      </c>
      <c r="J336" s="23">
        <v>44043</v>
      </c>
      <c r="K336" s="24">
        <v>214.41666666666666</v>
      </c>
      <c r="L336" s="24">
        <v>75.560416666666654</v>
      </c>
      <c r="M336" s="24">
        <v>24.518749999999997</v>
      </c>
      <c r="N336" s="24">
        <v>0</v>
      </c>
      <c r="O336" s="24">
        <v>228.10416666666666</v>
      </c>
      <c r="P336" s="24">
        <v>6.354166666666667</v>
      </c>
      <c r="Q336" s="24">
        <v>0.39583333333333331</v>
      </c>
      <c r="R336" s="24">
        <v>19.654166666666665</v>
      </c>
      <c r="S336" s="10">
        <v>0.84287571545245532</v>
      </c>
      <c r="T336" s="25">
        <v>0.28612499999999996</v>
      </c>
      <c r="U336" s="25">
        <v>0.42543749999999986</v>
      </c>
      <c r="V336" s="25">
        <v>0.50433333333333319</v>
      </c>
      <c r="W336" s="25">
        <v>0.51756250000000004</v>
      </c>
      <c r="X336" s="25">
        <v>0.48339583333333341</v>
      </c>
      <c r="Y336" s="25">
        <v>0.37158333333333315</v>
      </c>
      <c r="Z336" s="25">
        <v>0.38031250000000005</v>
      </c>
      <c r="AA336" s="25">
        <v>0.3426249999999999</v>
      </c>
      <c r="AB336" s="25">
        <v>0.2813191489361701</v>
      </c>
      <c r="AC336" s="25">
        <v>0.13472916666666676</v>
      </c>
      <c r="AD336" s="25">
        <v>0.26806249999999993</v>
      </c>
      <c r="AE336" s="27">
        <f t="shared" si="16"/>
        <v>0.38476041666666672</v>
      </c>
      <c r="AF336" s="27">
        <f t="shared" si="17"/>
        <v>0.42364236111111103</v>
      </c>
      <c r="AG336" s="27">
        <f t="shared" si="18"/>
        <v>0.41657291666666657</v>
      </c>
    </row>
    <row r="337" spans="1:33" x14ac:dyDescent="0.25">
      <c r="A337" s="9">
        <v>44044</v>
      </c>
      <c r="B337" s="3">
        <v>278.20887377595358</v>
      </c>
      <c r="C337" s="3">
        <v>188.31885906000539</v>
      </c>
      <c r="D337" s="3">
        <v>558.89835501970686</v>
      </c>
      <c r="E337" s="3">
        <v>739.00301489120568</v>
      </c>
      <c r="F337" s="3">
        <v>380.61889229151166</v>
      </c>
      <c r="G337" s="3">
        <v>340.05819551223328</v>
      </c>
      <c r="H337" s="3">
        <v>306.8079682882402</v>
      </c>
      <c r="I337" s="3">
        <v>201.05138795898864</v>
      </c>
      <c r="J337" s="23">
        <v>44044</v>
      </c>
      <c r="K337" s="24">
        <v>153.16666666666666</v>
      </c>
      <c r="L337" s="24">
        <v>78.28958333333334</v>
      </c>
      <c r="M337" s="24">
        <v>23.462500000000006</v>
      </c>
      <c r="N337" s="24">
        <v>8.8000000000000007</v>
      </c>
      <c r="O337" s="24">
        <v>236.25</v>
      </c>
      <c r="P337" s="24">
        <v>3.7708333333333335</v>
      </c>
      <c r="Q337" s="24">
        <v>0.125</v>
      </c>
      <c r="R337" s="24">
        <v>19.285416666666659</v>
      </c>
      <c r="S337" s="10">
        <v>0.693545799922341</v>
      </c>
      <c r="T337" s="25">
        <v>0.2759375</v>
      </c>
      <c r="U337" s="25">
        <v>0.40733333333333333</v>
      </c>
      <c r="V337" s="25">
        <v>0.49137500000000006</v>
      </c>
      <c r="W337" s="25">
        <v>0.50064583333333323</v>
      </c>
      <c r="X337" s="25">
        <v>0.47743750000000013</v>
      </c>
      <c r="Y337" s="25">
        <v>0.36889583333333337</v>
      </c>
      <c r="Z337" s="25">
        <v>0.37054166666666677</v>
      </c>
      <c r="AA337" s="25">
        <v>0.33310416666666687</v>
      </c>
      <c r="AB337" s="25">
        <v>0.26191666666666669</v>
      </c>
      <c r="AC337" s="25">
        <v>0.14481250000000004</v>
      </c>
      <c r="AD337" s="25">
        <v>0.26785416666666662</v>
      </c>
      <c r="AE337" s="27">
        <f t="shared" si="16"/>
        <v>0.37668750000000006</v>
      </c>
      <c r="AF337" s="27">
        <f t="shared" si="17"/>
        <v>0.41198263888888897</v>
      </c>
      <c r="AG337" s="27">
        <f t="shared" si="18"/>
        <v>0.40556534090909097</v>
      </c>
    </row>
    <row r="338" spans="1:33" x14ac:dyDescent="0.25">
      <c r="A338" s="9">
        <v>44045</v>
      </c>
      <c r="B338" s="3">
        <v>167.02425933421057</v>
      </c>
      <c r="C338" s="3">
        <v>132.40677283247499</v>
      </c>
      <c r="D338" s="3">
        <v>338.90397380406517</v>
      </c>
      <c r="E338" s="3">
        <v>357.84531543480716</v>
      </c>
      <c r="F338" s="3">
        <v>198.10146010604086</v>
      </c>
      <c r="G338" s="3">
        <v>185.32579237571107</v>
      </c>
      <c r="H338" s="3">
        <v>211.78420395748344</v>
      </c>
      <c r="I338" s="3">
        <v>181.4089754676794</v>
      </c>
      <c r="J338" s="23">
        <v>44045</v>
      </c>
      <c r="K338" s="24">
        <v>142.77083333333334</v>
      </c>
      <c r="L338" s="24">
        <v>88.233333333333391</v>
      </c>
      <c r="M338" s="24">
        <v>22.179166666666664</v>
      </c>
      <c r="N338" s="24">
        <v>13.7</v>
      </c>
      <c r="O338" s="24">
        <v>234.39583333333334</v>
      </c>
      <c r="P338" s="24">
        <v>2.7291666666666665</v>
      </c>
      <c r="Q338" s="24">
        <v>4.1666666666666664E-2</v>
      </c>
      <c r="R338" s="24">
        <v>20.002083333333328</v>
      </c>
      <c r="S338" s="10">
        <v>0.36315269896688385</v>
      </c>
      <c r="T338" s="25">
        <v>0.27995833333333336</v>
      </c>
      <c r="U338" s="25">
        <v>0.39954166666666663</v>
      </c>
      <c r="V338" s="25">
        <v>0.48347916666666696</v>
      </c>
      <c r="W338" s="25">
        <v>0.4909375000000003</v>
      </c>
      <c r="X338" s="25">
        <v>0.50127083333333311</v>
      </c>
      <c r="Y338" s="25">
        <v>0.3801666666666666</v>
      </c>
      <c r="Z338" s="25">
        <v>0.36937499999999984</v>
      </c>
      <c r="AA338" s="25">
        <v>0.32808333333333323</v>
      </c>
      <c r="AB338" s="25">
        <v>0.32604166666666673</v>
      </c>
      <c r="AC338" s="25">
        <v>0.24283333333333337</v>
      </c>
      <c r="AD338" s="25">
        <v>0.3097083333333332</v>
      </c>
      <c r="AE338" s="27">
        <f t="shared" si="16"/>
        <v>0.39061458333333321</v>
      </c>
      <c r="AF338" s="27">
        <f t="shared" si="17"/>
        <v>0.40859722222222228</v>
      </c>
      <c r="AG338" s="27">
        <f t="shared" si="18"/>
        <v>0.4053276515151516</v>
      </c>
    </row>
    <row r="339" spans="1:33" x14ac:dyDescent="0.25">
      <c r="A339" s="9">
        <v>44046</v>
      </c>
      <c r="B339" s="3">
        <v>42.46266647909453</v>
      </c>
      <c r="C339" s="3">
        <v>41.623920678386192</v>
      </c>
      <c r="D339" s="3">
        <v>99.136390392041449</v>
      </c>
      <c r="E339" s="3">
        <v>83.868574833338585</v>
      </c>
      <c r="F339" s="3">
        <v>70.628541196155183</v>
      </c>
      <c r="G339" s="3">
        <v>57.236407644428922</v>
      </c>
      <c r="H339" s="3">
        <v>96.176693853725268</v>
      </c>
      <c r="I339" s="3">
        <v>93.20995314746088</v>
      </c>
      <c r="J339" s="23">
        <v>44046</v>
      </c>
      <c r="K339" s="24">
        <v>104.02083333333333</v>
      </c>
      <c r="L339" s="24">
        <v>92.45</v>
      </c>
      <c r="M339" s="24">
        <v>20.972916666666666</v>
      </c>
      <c r="N339" s="24">
        <v>12.2</v>
      </c>
      <c r="O339" s="24">
        <v>227.97916666666666</v>
      </c>
      <c r="P339" s="24">
        <v>2.7916666666666665</v>
      </c>
      <c r="Q339" s="24">
        <v>4.1666666666666664E-2</v>
      </c>
      <c r="R339" s="24">
        <v>19.68333333333333</v>
      </c>
      <c r="S339" s="10">
        <v>0.19547116230165407</v>
      </c>
      <c r="T339" s="25">
        <v>0.3031875</v>
      </c>
      <c r="U339" s="25">
        <v>0.40335416666666662</v>
      </c>
      <c r="V339" s="25">
        <v>0.48420833333333341</v>
      </c>
      <c r="W339" s="25">
        <v>0.48897916666666652</v>
      </c>
      <c r="X339" s="25">
        <v>0.52879166666666666</v>
      </c>
      <c r="Y339" s="25">
        <v>0.3761666666666667</v>
      </c>
      <c r="Z339" s="25">
        <v>0.36966666666666642</v>
      </c>
      <c r="AA339" s="25">
        <v>0.32697916666666665</v>
      </c>
      <c r="AB339" s="25">
        <v>0.40112499999999995</v>
      </c>
      <c r="AC339" s="25">
        <v>0.26035416666666672</v>
      </c>
      <c r="AD339" s="25">
        <v>0.36060416666666667</v>
      </c>
      <c r="AE339" s="27">
        <f t="shared" si="16"/>
        <v>0.41598958333333336</v>
      </c>
      <c r="AF339" s="27">
        <f t="shared" si="17"/>
        <v>0.40822569444444445</v>
      </c>
      <c r="AG339" s="27">
        <f t="shared" si="18"/>
        <v>0.40963731060606062</v>
      </c>
    </row>
    <row r="340" spans="1:33" x14ac:dyDescent="0.25">
      <c r="A340" s="9">
        <v>44047</v>
      </c>
      <c r="B340" s="3">
        <v>189.3167122708434</v>
      </c>
      <c r="C340" s="3">
        <v>510.37037438072599</v>
      </c>
      <c r="D340" s="3">
        <v>406.58979231171094</v>
      </c>
      <c r="E340" s="3">
        <v>287.77710438423537</v>
      </c>
      <c r="F340" s="3">
        <v>355.71545800447262</v>
      </c>
      <c r="G340" s="3">
        <v>217.42269153525766</v>
      </c>
      <c r="H340" s="3">
        <v>295.6019889298783</v>
      </c>
      <c r="I340" s="3">
        <v>271.6489643962704</v>
      </c>
      <c r="J340" s="23">
        <v>44047</v>
      </c>
      <c r="K340" s="24">
        <v>136.10416666666666</v>
      </c>
      <c r="L340" s="24">
        <v>86.218749999999986</v>
      </c>
      <c r="M340" s="24">
        <v>22.368750000000002</v>
      </c>
      <c r="N340" s="24">
        <v>0.2</v>
      </c>
      <c r="O340" s="24">
        <v>213.14583333333334</v>
      </c>
      <c r="P340" s="24">
        <v>2.7708333333333335</v>
      </c>
      <c r="Q340" s="24">
        <v>0.10416666666666667</v>
      </c>
      <c r="R340" s="24">
        <v>19.818750000000005</v>
      </c>
      <c r="S340" s="10">
        <v>0.42443003886107133</v>
      </c>
      <c r="T340" s="25">
        <v>0.39091666666666675</v>
      </c>
      <c r="U340" s="25">
        <v>0.4297500000000003</v>
      </c>
      <c r="V340" s="25">
        <v>0.5130625000000002</v>
      </c>
      <c r="W340" s="25">
        <v>0.49477083333333294</v>
      </c>
      <c r="X340" s="25">
        <v>0.59320833333333345</v>
      </c>
      <c r="Y340" s="25">
        <v>0.41508333333333325</v>
      </c>
      <c r="Z340" s="25">
        <v>0.37202083333333319</v>
      </c>
      <c r="AA340" s="25">
        <v>0.32702083333333332</v>
      </c>
      <c r="AB340" s="25">
        <v>0.4362499999999998</v>
      </c>
      <c r="AC340" s="25">
        <v>0.2725625000000001</v>
      </c>
      <c r="AD340" s="25">
        <v>0.4514166666666668</v>
      </c>
      <c r="AE340" s="27">
        <f t="shared" si="16"/>
        <v>0.49206250000000007</v>
      </c>
      <c r="AF340" s="27">
        <f t="shared" si="17"/>
        <v>0.42528472222222219</v>
      </c>
      <c r="AG340" s="27">
        <f t="shared" si="18"/>
        <v>0.43742613636363636</v>
      </c>
    </row>
    <row r="341" spans="1:33" x14ac:dyDescent="0.25">
      <c r="A341" s="9">
        <v>44048</v>
      </c>
      <c r="B341" s="3">
        <v>254.51644671398503</v>
      </c>
      <c r="C341" s="3">
        <v>810.00080534324877</v>
      </c>
      <c r="D341" s="3">
        <v>680.72698960521211</v>
      </c>
      <c r="E341" s="3">
        <v>534.70566259749626</v>
      </c>
      <c r="F341" s="3">
        <v>481.19771937798254</v>
      </c>
      <c r="G341" s="3">
        <v>465.14744886978315</v>
      </c>
      <c r="H341" s="3">
        <v>394.72432519864003</v>
      </c>
      <c r="I341" s="3">
        <v>356.49521224820603</v>
      </c>
      <c r="J341" s="23">
        <v>44048</v>
      </c>
      <c r="K341" s="24">
        <v>205.79166666666666</v>
      </c>
      <c r="L341" s="24">
        <v>77.491666666666688</v>
      </c>
      <c r="M341" s="24">
        <v>24.345833333333331</v>
      </c>
      <c r="N341" s="24">
        <v>0</v>
      </c>
      <c r="O341" s="24">
        <v>228.10416666666666</v>
      </c>
      <c r="P341" s="24">
        <v>5.5</v>
      </c>
      <c r="Q341" s="24">
        <v>0.375</v>
      </c>
      <c r="R341" s="24">
        <v>19.941666666666663</v>
      </c>
      <c r="S341" s="10">
        <v>0.76496044162125487</v>
      </c>
      <c r="T341" s="25">
        <v>0.35843749999999996</v>
      </c>
      <c r="U341" s="25">
        <v>0.42583333333333306</v>
      </c>
      <c r="V341" s="25">
        <v>0.50495833333333329</v>
      </c>
      <c r="W341" s="25">
        <v>0.49202083333333296</v>
      </c>
      <c r="X341" s="25">
        <v>0.57954166666666662</v>
      </c>
      <c r="Y341" s="25">
        <v>0.39864583333333364</v>
      </c>
      <c r="Z341" s="25">
        <v>0.37189583333333326</v>
      </c>
      <c r="AA341" s="25">
        <v>0.32675000000000004</v>
      </c>
      <c r="AB341" s="25">
        <v>0.41495833333333332</v>
      </c>
      <c r="AC341" s="25">
        <v>0.24475</v>
      </c>
      <c r="AD341" s="25">
        <v>0.42914583333333334</v>
      </c>
      <c r="AE341" s="27">
        <f t="shared" si="16"/>
        <v>0.46898958333333329</v>
      </c>
      <c r="AF341" s="27">
        <f t="shared" si="17"/>
        <v>0.42001736111111104</v>
      </c>
      <c r="AG341" s="27">
        <f t="shared" si="18"/>
        <v>0.42892140151515151</v>
      </c>
    </row>
    <row r="342" spans="1:33" x14ac:dyDescent="0.25">
      <c r="A342" s="9">
        <v>44049</v>
      </c>
      <c r="B342" s="3">
        <v>153.16430376801242</v>
      </c>
      <c r="C342" s="3">
        <v>37.886043163850616</v>
      </c>
      <c r="D342" s="3">
        <v>456.30031913865525</v>
      </c>
      <c r="E342" s="3">
        <v>345.89686856407775</v>
      </c>
      <c r="F342" s="3">
        <v>298.54137515393285</v>
      </c>
      <c r="G342" s="3">
        <v>251.95360495936288</v>
      </c>
      <c r="H342" s="3">
        <v>271.38024711742202</v>
      </c>
      <c r="I342" s="3">
        <v>270.85973978297676</v>
      </c>
      <c r="J342" s="23">
        <v>44049</v>
      </c>
      <c r="K342" s="24">
        <v>135.75</v>
      </c>
      <c r="L342" s="24">
        <v>83.293749999999989</v>
      </c>
      <c r="M342" s="24">
        <v>22.743750000000002</v>
      </c>
      <c r="N342" s="24">
        <v>0</v>
      </c>
      <c r="O342" s="24">
        <v>231.29166666666666</v>
      </c>
      <c r="P342" s="24">
        <v>8.3958333333333339</v>
      </c>
      <c r="Q342" s="24">
        <v>0.77083333333333337</v>
      </c>
      <c r="R342" s="24">
        <v>19.708333333333336</v>
      </c>
      <c r="S342" s="10">
        <v>0.48399098595726397</v>
      </c>
      <c r="T342" s="25">
        <v>0.32875000000000004</v>
      </c>
      <c r="U342" s="25">
        <v>0.42010416666666689</v>
      </c>
      <c r="V342" s="25">
        <v>0.4973541666666666</v>
      </c>
      <c r="W342" s="25">
        <v>0.48906250000000001</v>
      </c>
      <c r="X342" s="25">
        <v>0.56195833333333323</v>
      </c>
      <c r="Y342" s="25">
        <v>0.38304166666666667</v>
      </c>
      <c r="Z342" s="25">
        <v>0.37018750000000006</v>
      </c>
      <c r="AA342" s="25">
        <v>0.32549999999999968</v>
      </c>
      <c r="AB342" s="25">
        <v>0.39464583333333353</v>
      </c>
      <c r="AC342" s="25">
        <v>0.22168749999999993</v>
      </c>
      <c r="AD342" s="25">
        <v>0.39166666666666666</v>
      </c>
      <c r="AE342" s="27">
        <f t="shared" si="16"/>
        <v>0.44535416666666661</v>
      </c>
      <c r="AF342" s="27">
        <f t="shared" si="17"/>
        <v>0.41420833333333329</v>
      </c>
      <c r="AG342" s="27">
        <f t="shared" si="18"/>
        <v>0.41987121212121209</v>
      </c>
    </row>
    <row r="343" spans="1:33" x14ac:dyDescent="0.25">
      <c r="A343" s="9">
        <v>44050</v>
      </c>
      <c r="B343" s="3">
        <v>147.37573515653986</v>
      </c>
      <c r="C343" s="3">
        <v>65.580529158968687</v>
      </c>
      <c r="D343" s="3">
        <v>528.25066369359467</v>
      </c>
      <c r="E343" s="3">
        <v>385.90672450440064</v>
      </c>
      <c r="F343" s="3">
        <v>269.05459146014562</v>
      </c>
      <c r="G343" s="3">
        <v>196.40735746575086</v>
      </c>
      <c r="H343" s="3">
        <v>278.5116418531104</v>
      </c>
      <c r="I343" s="3">
        <v>203.96269445001525</v>
      </c>
      <c r="J343" s="23">
        <v>44050</v>
      </c>
      <c r="K343" s="24">
        <v>144.95833333333334</v>
      </c>
      <c r="L343" s="24">
        <v>82.874999999999986</v>
      </c>
      <c r="M343" s="24">
        <v>22.733333333333331</v>
      </c>
      <c r="N343" s="24">
        <v>0</v>
      </c>
      <c r="O343" s="24">
        <v>232.9375</v>
      </c>
      <c r="P343" s="24">
        <v>12.229166666666666</v>
      </c>
      <c r="Q343" s="24">
        <v>1.2291666666666667</v>
      </c>
      <c r="R343" s="24">
        <v>19.618749999999999</v>
      </c>
      <c r="S343" s="10">
        <v>0.49445379789817001</v>
      </c>
      <c r="T343" s="25">
        <v>0.30820833333333331</v>
      </c>
      <c r="U343" s="25">
        <v>0.41185416666666663</v>
      </c>
      <c r="V343" s="25">
        <v>0.4899166666666665</v>
      </c>
      <c r="W343" s="25">
        <v>0.48535416666666692</v>
      </c>
      <c r="X343" s="25">
        <v>0.54208333333333336</v>
      </c>
      <c r="Y343" s="25">
        <v>0.3735208333333333</v>
      </c>
      <c r="Z343" s="25">
        <v>0.3687500000000003</v>
      </c>
      <c r="AA343" s="25">
        <v>0.3241041666666668</v>
      </c>
      <c r="AB343" s="25">
        <v>0.38087500000000007</v>
      </c>
      <c r="AC343" s="25">
        <v>0.20150000000000004</v>
      </c>
      <c r="AD343" s="25">
        <v>0.36195833333333338</v>
      </c>
      <c r="AE343" s="27">
        <f t="shared" si="16"/>
        <v>0.42514583333333333</v>
      </c>
      <c r="AF343" s="27">
        <f t="shared" si="17"/>
        <v>0.40891666666666676</v>
      </c>
      <c r="AG343" s="27">
        <f t="shared" si="18"/>
        <v>0.41186742424242428</v>
      </c>
    </row>
    <row r="344" spans="1:33" x14ac:dyDescent="0.25">
      <c r="A344" s="9">
        <v>44051</v>
      </c>
      <c r="B344" s="3">
        <v>170.10132768513319</v>
      </c>
      <c r="C344" s="3">
        <v>191.73901642181943</v>
      </c>
      <c r="D344" s="3">
        <v>573.15710172144054</v>
      </c>
      <c r="E344" s="3">
        <v>500.91817854114009</v>
      </c>
      <c r="F344" s="3">
        <v>235.82744449280904</v>
      </c>
      <c r="G344" s="3">
        <v>184.30079297554337</v>
      </c>
      <c r="H344" s="3">
        <v>282.68341176423939</v>
      </c>
      <c r="I344" s="3">
        <v>116.86693096849154</v>
      </c>
      <c r="J344" s="23">
        <v>44051</v>
      </c>
      <c r="K344" s="24">
        <v>188.47916666666666</v>
      </c>
      <c r="L344" s="24">
        <v>82.533333333333317</v>
      </c>
      <c r="M344" s="24">
        <v>23.308333333333334</v>
      </c>
      <c r="N344" s="24">
        <v>33.900000000000006</v>
      </c>
      <c r="O344" s="24">
        <v>238.47916666666666</v>
      </c>
      <c r="P344" s="24">
        <v>10.604166666666666</v>
      </c>
      <c r="Q344" s="24">
        <v>1.1458333333333333</v>
      </c>
      <c r="R344" s="24">
        <v>20.045833333333327</v>
      </c>
      <c r="S344" s="10">
        <v>0.55065683506795216</v>
      </c>
      <c r="T344" s="25">
        <v>0.30918750000000017</v>
      </c>
      <c r="U344" s="25">
        <v>0.40729166666666661</v>
      </c>
      <c r="V344" s="25">
        <v>0.48812499999999986</v>
      </c>
      <c r="W344" s="25">
        <v>0.48793749999999969</v>
      </c>
      <c r="X344" s="25">
        <v>0.52887500000000021</v>
      </c>
      <c r="Y344" s="25">
        <v>0.37443750000000015</v>
      </c>
      <c r="Z344" s="25">
        <v>0.36527083333333327</v>
      </c>
      <c r="AA344" s="25">
        <v>0.32095833333333346</v>
      </c>
      <c r="AB344" s="25">
        <v>0.37775000000000003</v>
      </c>
      <c r="AC344" s="25">
        <v>0.20412500000000003</v>
      </c>
      <c r="AD344" s="25">
        <v>0.34822916666666665</v>
      </c>
      <c r="AE344" s="27">
        <f t="shared" si="16"/>
        <v>0.41903125000000019</v>
      </c>
      <c r="AF344" s="27">
        <f t="shared" si="17"/>
        <v>0.40733680555555551</v>
      </c>
      <c r="AG344" s="27">
        <f t="shared" si="18"/>
        <v>0.40946306818181816</v>
      </c>
    </row>
    <row r="345" spans="1:33" x14ac:dyDescent="0.25">
      <c r="A345" s="9">
        <v>44052</v>
      </c>
      <c r="B345" s="3">
        <v>133.42787606090715</v>
      </c>
      <c r="C345" s="3">
        <v>88.766336960460819</v>
      </c>
      <c r="D345" s="3">
        <v>325.96463321758188</v>
      </c>
      <c r="E345" s="3">
        <v>140.26797898578425</v>
      </c>
      <c r="F345" s="3">
        <v>76.186499533154958</v>
      </c>
      <c r="G345" s="3">
        <v>124.98770227439026</v>
      </c>
      <c r="H345" s="3">
        <v>162.81255332580238</v>
      </c>
      <c r="I345" s="3">
        <v>197.08525520649638</v>
      </c>
      <c r="J345" s="23">
        <v>44052</v>
      </c>
      <c r="K345" s="24">
        <v>113.0625</v>
      </c>
      <c r="L345" s="24">
        <v>91.116666666666688</v>
      </c>
      <c r="M345" s="24">
        <v>21.125</v>
      </c>
      <c r="N345" s="24">
        <v>45.900000000000013</v>
      </c>
      <c r="O345" s="24">
        <v>253.25</v>
      </c>
      <c r="P345" s="24">
        <v>4.4375</v>
      </c>
      <c r="Q345" s="24">
        <v>2.0833333333333332E-2</v>
      </c>
      <c r="R345" s="24">
        <v>19.556249999999999</v>
      </c>
      <c r="S345" s="10">
        <v>0.24657902403725693</v>
      </c>
      <c r="T345" s="25">
        <v>0.47606249999999989</v>
      </c>
      <c r="U345" s="25">
        <v>0.54956249999999984</v>
      </c>
      <c r="V345" s="25">
        <v>0.60087500000000016</v>
      </c>
      <c r="W345" s="25">
        <v>0.62433333333333296</v>
      </c>
      <c r="X345" s="25">
        <v>0.62454166666666644</v>
      </c>
      <c r="Y345" s="25">
        <v>0.52470833333333333</v>
      </c>
      <c r="Z345" s="25">
        <v>0.45347916666666682</v>
      </c>
      <c r="AA345" s="25">
        <v>0.39572916666666652</v>
      </c>
      <c r="AB345" s="25">
        <v>0.5056250000000001</v>
      </c>
      <c r="AC345" s="25">
        <v>0.3738541666666666</v>
      </c>
      <c r="AD345" s="25">
        <v>0.51650000000000007</v>
      </c>
      <c r="AE345" s="27">
        <f t="shared" si="16"/>
        <v>0.55030208333333319</v>
      </c>
      <c r="AF345" s="27">
        <f t="shared" si="17"/>
        <v>0.52478124999999987</v>
      </c>
      <c r="AG345" s="27">
        <f t="shared" si="18"/>
        <v>0.52942140151515138</v>
      </c>
    </row>
    <row r="346" spans="1:33" x14ac:dyDescent="0.25">
      <c r="A346" s="9">
        <v>44053</v>
      </c>
      <c r="B346" s="3">
        <v>198.94321877226599</v>
      </c>
      <c r="C346" s="3">
        <v>258.43976551161313</v>
      </c>
      <c r="D346" s="3">
        <v>613.31618902564048</v>
      </c>
      <c r="E346" s="3">
        <v>506.31181843473263</v>
      </c>
      <c r="F346" s="3">
        <v>320.06657797655504</v>
      </c>
      <c r="G346" s="3">
        <v>433.52597543170884</v>
      </c>
      <c r="H346" s="3">
        <v>359.64541959516811</v>
      </c>
      <c r="I346" s="3">
        <v>437.90384436009867</v>
      </c>
      <c r="J346" s="23">
        <v>44053</v>
      </c>
      <c r="K346" s="24">
        <v>198.4375</v>
      </c>
      <c r="L346" s="24">
        <v>81.679166666666646</v>
      </c>
      <c r="M346" s="24">
        <v>24.095833333333335</v>
      </c>
      <c r="N346" s="24">
        <v>0</v>
      </c>
      <c r="O346" s="24">
        <v>231.47916666666666</v>
      </c>
      <c r="P346" s="24">
        <v>4.9375</v>
      </c>
      <c r="Q346" s="24">
        <v>0.10416666666666667</v>
      </c>
      <c r="R346" s="24">
        <v>20.554166666666667</v>
      </c>
      <c r="S346" s="10">
        <v>0.63512456321903499</v>
      </c>
      <c r="T346" s="25">
        <v>0.44437499999999969</v>
      </c>
      <c r="U346" s="25">
        <v>0.54622916666666665</v>
      </c>
      <c r="V346" s="25">
        <v>0.59389583333333307</v>
      </c>
      <c r="W346" s="25">
        <v>0.60731250000000025</v>
      </c>
      <c r="X346" s="25">
        <v>0.61362499999999986</v>
      </c>
      <c r="Y346" s="25">
        <v>0.50502083333333347</v>
      </c>
      <c r="Z346" s="25">
        <v>0.47608333333333341</v>
      </c>
      <c r="AA346" s="25">
        <v>0.41027083333333331</v>
      </c>
      <c r="AB346" s="25">
        <v>0.45897916666666688</v>
      </c>
      <c r="AC346" s="25">
        <v>0.28016666666666662</v>
      </c>
      <c r="AD346" s="25">
        <v>0.4838541666666667</v>
      </c>
      <c r="AE346" s="27">
        <f t="shared" si="16"/>
        <v>0.5289999999999998</v>
      </c>
      <c r="AF346" s="27">
        <f t="shared" si="17"/>
        <v>0.52313541666666674</v>
      </c>
      <c r="AG346" s="27">
        <f t="shared" si="18"/>
        <v>0.52420170454545456</v>
      </c>
    </row>
    <row r="347" spans="1:33" x14ac:dyDescent="0.25">
      <c r="A347" s="9">
        <v>44054</v>
      </c>
      <c r="B347" s="3">
        <v>193.55322802880855</v>
      </c>
      <c r="C347" s="3">
        <v>201.74925880974243</v>
      </c>
      <c r="D347" s="3">
        <v>521.85057308467651</v>
      </c>
      <c r="E347" s="3">
        <v>407.71393698773693</v>
      </c>
      <c r="F347" s="3">
        <v>253.60867575057233</v>
      </c>
      <c r="G347" s="3">
        <v>386.01381429902278</v>
      </c>
      <c r="H347" s="3">
        <v>304.12747838966641</v>
      </c>
      <c r="I347" s="3">
        <v>412.64287384499318</v>
      </c>
      <c r="J347" s="23">
        <v>44054</v>
      </c>
      <c r="K347" s="24">
        <v>163.125</v>
      </c>
      <c r="L347" s="24">
        <v>83.310416666666711</v>
      </c>
      <c r="M347" s="24">
        <v>23.866666666666664</v>
      </c>
      <c r="N347" s="24">
        <v>0</v>
      </c>
      <c r="O347" s="24">
        <v>229.97916666666666</v>
      </c>
      <c r="P347" s="24">
        <v>10.083333333333334</v>
      </c>
      <c r="Q347" s="24">
        <v>1.9166666666666667</v>
      </c>
      <c r="R347" s="24">
        <v>20.772916666666664</v>
      </c>
      <c r="S347" s="10">
        <v>0.53040773961314969</v>
      </c>
      <c r="T347" s="25">
        <v>0.42860416666666651</v>
      </c>
      <c r="U347" s="25">
        <v>0.53527083333333314</v>
      </c>
      <c r="V347" s="25">
        <v>0.58706249999999949</v>
      </c>
      <c r="W347" s="25">
        <v>0.60179166666666706</v>
      </c>
      <c r="X347" s="25">
        <v>0.60575000000000023</v>
      </c>
      <c r="Y347" s="25">
        <v>0.49077083333333321</v>
      </c>
      <c r="Z347" s="25">
        <v>0.47091666666666671</v>
      </c>
      <c r="AA347" s="25">
        <v>0.40549999999999975</v>
      </c>
      <c r="AB347" s="25">
        <v>0.4371874999999999</v>
      </c>
      <c r="AC347" s="25">
        <v>0.25310416666666663</v>
      </c>
      <c r="AD347" s="25">
        <v>0.44858333333333333</v>
      </c>
      <c r="AE347" s="27">
        <f t="shared" si="16"/>
        <v>0.51717708333333334</v>
      </c>
      <c r="AF347" s="27">
        <f t="shared" si="17"/>
        <v>0.51521874999999995</v>
      </c>
      <c r="AG347" s="27">
        <f t="shared" si="18"/>
        <v>0.51557481060606059</v>
      </c>
    </row>
    <row r="348" spans="1:33" x14ac:dyDescent="0.25">
      <c r="A348" s="9">
        <v>44055</v>
      </c>
      <c r="B348" s="3">
        <v>110.68627940634481</v>
      </c>
      <c r="C348" s="3">
        <v>58.159199814302298</v>
      </c>
      <c r="D348" s="3">
        <v>296.08062403636302</v>
      </c>
      <c r="E348" s="3">
        <v>219.3600488471088</v>
      </c>
      <c r="F348" s="3">
        <v>148.27802539405201</v>
      </c>
      <c r="G348" s="3">
        <v>230.27552852302608</v>
      </c>
      <c r="H348" s="3">
        <v>229.79619879981652</v>
      </c>
      <c r="I348" s="3">
        <v>346.3757760716307</v>
      </c>
      <c r="J348" s="23">
        <v>44055</v>
      </c>
      <c r="K348" s="24">
        <v>105.47916666666667</v>
      </c>
      <c r="L348" s="24">
        <v>86.558333333333337</v>
      </c>
      <c r="M348" s="24">
        <v>22.439583333333335</v>
      </c>
      <c r="N348" s="24">
        <v>5.0000000000000009</v>
      </c>
      <c r="O348" s="24">
        <v>228.6875</v>
      </c>
      <c r="P348" s="24">
        <v>16.9375</v>
      </c>
      <c r="Q348" s="24">
        <v>4.666666666666667</v>
      </c>
      <c r="R348" s="24">
        <v>20.072916666666668</v>
      </c>
      <c r="S348" s="10">
        <v>0.37070695676012827</v>
      </c>
      <c r="T348" s="25">
        <v>0.4166249999999998</v>
      </c>
      <c r="U348" s="25">
        <v>0.52743749999999967</v>
      </c>
      <c r="V348" s="25">
        <v>0.58197916666666616</v>
      </c>
      <c r="W348" s="25">
        <v>0.5988541666666668</v>
      </c>
      <c r="X348" s="25">
        <v>0.59812500000000013</v>
      </c>
      <c r="Y348" s="25">
        <v>0.48264583333333305</v>
      </c>
      <c r="Z348" s="25">
        <v>0.46722916666666703</v>
      </c>
      <c r="AA348" s="25">
        <v>0.40302083333333338</v>
      </c>
      <c r="AB348" s="25">
        <v>0.43606521739130427</v>
      </c>
      <c r="AC348" s="25">
        <v>0.26162500000000005</v>
      </c>
      <c r="AD348" s="25">
        <v>0.42366666666666669</v>
      </c>
      <c r="AE348" s="27">
        <f t="shared" si="16"/>
        <v>0.50737499999999991</v>
      </c>
      <c r="AF348" s="27">
        <f t="shared" si="17"/>
        <v>0.51019444444444451</v>
      </c>
      <c r="AG348" s="27">
        <f t="shared" si="18"/>
        <v>0.50968181818181812</v>
      </c>
    </row>
    <row r="349" spans="1:33" x14ac:dyDescent="0.25">
      <c r="A349" s="9">
        <v>44056</v>
      </c>
      <c r="B349" s="3">
        <v>132.23433156110463</v>
      </c>
      <c r="C349" s="3">
        <v>62.874780086695665</v>
      </c>
      <c r="D349" s="3">
        <v>356.11944963799311</v>
      </c>
      <c r="E349" s="3">
        <v>270.43067224502187</v>
      </c>
      <c r="F349" s="3">
        <v>159.02410936389987</v>
      </c>
      <c r="G349" s="3">
        <v>284.22488266432231</v>
      </c>
      <c r="H349" s="3">
        <v>267.12139682855383</v>
      </c>
      <c r="I349" s="3">
        <v>399.36205778212667</v>
      </c>
      <c r="J349" s="23">
        <v>44056</v>
      </c>
      <c r="K349" s="24">
        <v>108.20833333333333</v>
      </c>
      <c r="L349" s="24">
        <v>85.760416666666686</v>
      </c>
      <c r="M349" s="24">
        <v>22.133333333333336</v>
      </c>
      <c r="N349" s="24">
        <v>12.999999999999998</v>
      </c>
      <c r="O349" s="24">
        <v>227.3125</v>
      </c>
      <c r="P349" s="24">
        <v>16.6875</v>
      </c>
      <c r="Q349" s="24">
        <v>3.875</v>
      </c>
      <c r="R349" s="24">
        <v>19.604166666666664</v>
      </c>
      <c r="S349" s="10">
        <v>0.38882099322142288</v>
      </c>
      <c r="T349" s="25">
        <v>0.45722916666666658</v>
      </c>
      <c r="U349" s="25">
        <v>0.54791666666666639</v>
      </c>
      <c r="V349" s="25">
        <v>0.59685416666666669</v>
      </c>
      <c r="W349" s="25">
        <v>0.61197916666666641</v>
      </c>
      <c r="X349" s="25">
        <v>0.61585416666666659</v>
      </c>
      <c r="Y349" s="25">
        <v>0.50227083333333356</v>
      </c>
      <c r="Z349" s="25">
        <v>0.46750000000000019</v>
      </c>
      <c r="AA349" s="25">
        <v>0.40266666666666673</v>
      </c>
      <c r="AB349" s="25">
        <v>0.46034285714285722</v>
      </c>
      <c r="AC349" s="25">
        <v>0.2891875000000001</v>
      </c>
      <c r="AD349" s="25">
        <v>0.47618749999999999</v>
      </c>
      <c r="AE349" s="27">
        <f t="shared" si="16"/>
        <v>0.53654166666666658</v>
      </c>
      <c r="AF349" s="27">
        <f t="shared" si="17"/>
        <v>0.52153125</v>
      </c>
      <c r="AG349" s="27">
        <f t="shared" si="18"/>
        <v>0.52426041666666667</v>
      </c>
    </row>
    <row r="350" spans="1:33" x14ac:dyDescent="0.25">
      <c r="A350" s="9">
        <v>44057</v>
      </c>
      <c r="B350" s="3">
        <v>212.83091175137014</v>
      </c>
      <c r="C350" s="3">
        <v>184.94240183542047</v>
      </c>
      <c r="D350" s="3">
        <v>622.84470797059566</v>
      </c>
      <c r="E350" s="3">
        <v>526.22426674449446</v>
      </c>
      <c r="F350" s="3">
        <v>352.85298673735707</v>
      </c>
      <c r="G350" s="3">
        <v>469.42805964306609</v>
      </c>
      <c r="H350" s="3">
        <v>386.18680442326308</v>
      </c>
      <c r="I350" s="3">
        <v>484.0430754041397</v>
      </c>
      <c r="J350" s="23">
        <v>44057</v>
      </c>
      <c r="K350" s="24">
        <v>189.875</v>
      </c>
      <c r="L350" s="24">
        <v>81.27291666666666</v>
      </c>
      <c r="M350" s="24">
        <v>22.516666666666669</v>
      </c>
      <c r="N350" s="24">
        <v>0.7</v>
      </c>
      <c r="O350" s="24">
        <v>232.64583333333334</v>
      </c>
      <c r="P350" s="24">
        <v>14.541666666666666</v>
      </c>
      <c r="Q350" s="24">
        <v>2.9791666666666665</v>
      </c>
      <c r="R350" s="24">
        <v>19.062499999999996</v>
      </c>
      <c r="S350" s="10">
        <v>0.53972713872306666</v>
      </c>
      <c r="T350" s="25">
        <v>0.44314583333333341</v>
      </c>
      <c r="U350" s="25">
        <v>0.54370833333333335</v>
      </c>
      <c r="V350" s="25">
        <v>0.59339583333333346</v>
      </c>
      <c r="W350" s="25">
        <v>0.60839583333333336</v>
      </c>
      <c r="X350" s="25">
        <v>0.61187500000000006</v>
      </c>
      <c r="Y350" s="25">
        <v>0.49647916666666658</v>
      </c>
      <c r="Z350" s="25">
        <v>0.46900000000000031</v>
      </c>
      <c r="AA350" s="25">
        <v>0.40433333333333349</v>
      </c>
      <c r="AB350" s="25">
        <v>0.4516</v>
      </c>
      <c r="AC350" s="25">
        <v>0.2694375</v>
      </c>
      <c r="AD350" s="25">
        <v>0.47054166666666669</v>
      </c>
      <c r="AE350" s="27">
        <f t="shared" si="16"/>
        <v>0.52751041666666676</v>
      </c>
      <c r="AF350" s="27">
        <f t="shared" si="17"/>
        <v>0.51921875000000017</v>
      </c>
      <c r="AG350" s="27">
        <f t="shared" si="18"/>
        <v>0.52072632575757594</v>
      </c>
    </row>
    <row r="351" spans="1:33" x14ac:dyDescent="0.25">
      <c r="A351" s="9">
        <v>44058</v>
      </c>
      <c r="B351" s="3">
        <v>174.66368022747432</v>
      </c>
      <c r="C351" s="3">
        <v>109.29776388890275</v>
      </c>
      <c r="D351" s="3">
        <v>498.63011507891406</v>
      </c>
      <c r="E351" s="3">
        <v>372.93836710401206</v>
      </c>
      <c r="F351" s="3">
        <v>329.47750497027107</v>
      </c>
      <c r="G351" s="3">
        <v>350.18821008231873</v>
      </c>
      <c r="H351" s="3">
        <v>301.97018572699704</v>
      </c>
      <c r="I351" s="3">
        <v>415.6897544661594</v>
      </c>
      <c r="J351" s="23">
        <v>44058</v>
      </c>
      <c r="K351" s="24">
        <v>134.5625</v>
      </c>
      <c r="L351" s="24">
        <v>83.381249999999994</v>
      </c>
      <c r="M351" s="24">
        <v>21.747916666666669</v>
      </c>
      <c r="N351" s="24">
        <v>0</v>
      </c>
      <c r="O351" s="24">
        <v>228.4375</v>
      </c>
      <c r="P351" s="24">
        <v>15.375</v>
      </c>
      <c r="Q351" s="24">
        <v>3.4166666666666665</v>
      </c>
      <c r="R351" s="24">
        <v>18.783333333333339</v>
      </c>
      <c r="S351" s="10">
        <v>0.44261854498555647</v>
      </c>
      <c r="T351" s="25">
        <v>0.42658333333333359</v>
      </c>
      <c r="U351" s="25">
        <v>0.5321874999999997</v>
      </c>
      <c r="V351" s="25">
        <v>0.58504166666666635</v>
      </c>
      <c r="W351" s="25">
        <v>0.60237500000000022</v>
      </c>
      <c r="X351" s="25">
        <v>0.60266666666666668</v>
      </c>
      <c r="Y351" s="25">
        <v>0.48308333333333359</v>
      </c>
      <c r="Z351" s="25">
        <v>0.46485416666666651</v>
      </c>
      <c r="AA351" s="25">
        <v>0.40143749999999967</v>
      </c>
      <c r="AB351" s="25">
        <v>0.43427777777777776</v>
      </c>
      <c r="AC351" s="25">
        <v>0.24810416666666676</v>
      </c>
      <c r="AD351" s="25">
        <v>0.43902083333333319</v>
      </c>
      <c r="AE351" s="27">
        <f t="shared" si="16"/>
        <v>0.51462500000000011</v>
      </c>
      <c r="AF351" s="27">
        <f t="shared" si="17"/>
        <v>0.51149652777777765</v>
      </c>
      <c r="AG351" s="27">
        <f t="shared" si="18"/>
        <v>0.51206534090909084</v>
      </c>
    </row>
    <row r="352" spans="1:33" x14ac:dyDescent="0.25">
      <c r="A352" s="9">
        <v>44059</v>
      </c>
      <c r="B352" s="3">
        <v>154.07149843213085</v>
      </c>
      <c r="C352" s="3">
        <v>78.887264528760227</v>
      </c>
      <c r="D352" s="3">
        <v>457.83347480920247</v>
      </c>
      <c r="E352" s="3">
        <v>339.05175559704389</v>
      </c>
      <c r="F352" s="3">
        <v>247.90642715647871</v>
      </c>
      <c r="G352" s="3">
        <v>292.80739516575858</v>
      </c>
      <c r="H352" s="3">
        <v>261.78417909986103</v>
      </c>
      <c r="I352" s="3">
        <v>348.63981811879705</v>
      </c>
      <c r="J352" s="23">
        <v>44059</v>
      </c>
      <c r="K352" s="24">
        <v>113.27083333333333</v>
      </c>
      <c r="L352" s="24">
        <v>84.452083333333348</v>
      </c>
      <c r="M352" s="24">
        <v>21.158333333333339</v>
      </c>
      <c r="N352" s="24">
        <v>1.9</v>
      </c>
      <c r="O352" s="24">
        <v>230.64583333333334</v>
      </c>
      <c r="P352" s="24">
        <v>15.291666666666666</v>
      </c>
      <c r="Q352" s="24">
        <v>3.3958333333333335</v>
      </c>
      <c r="R352" s="24">
        <v>18.402083333333334</v>
      </c>
      <c r="S352" s="10">
        <v>0.40152166393080302</v>
      </c>
      <c r="T352" s="25">
        <v>0.41331249999999997</v>
      </c>
      <c r="U352" s="25">
        <v>0.52312499999999962</v>
      </c>
      <c r="V352" s="25">
        <v>0.57768750000000024</v>
      </c>
      <c r="W352" s="25">
        <v>0.59754166666666675</v>
      </c>
      <c r="X352" s="25">
        <v>0.59370833333333317</v>
      </c>
      <c r="Y352" s="25">
        <v>0.47377083333333331</v>
      </c>
      <c r="Z352" s="25">
        <v>0.46004166666666685</v>
      </c>
      <c r="AA352" s="25">
        <v>0.39835416666666701</v>
      </c>
      <c r="AB352" s="25">
        <v>0.42259090909090896</v>
      </c>
      <c r="AC352" s="25">
        <v>0.2348124999999999</v>
      </c>
      <c r="AD352" s="25">
        <v>0.40947916666666662</v>
      </c>
      <c r="AE352" s="27">
        <f t="shared" si="16"/>
        <v>0.50351041666666663</v>
      </c>
      <c r="AF352" s="27">
        <f t="shared" si="17"/>
        <v>0.50508680555555563</v>
      </c>
      <c r="AG352" s="27">
        <f t="shared" si="18"/>
        <v>0.50480018939393945</v>
      </c>
    </row>
    <row r="353" spans="1:33" x14ac:dyDescent="0.25">
      <c r="A353" s="9">
        <v>44060</v>
      </c>
      <c r="B353" s="3">
        <v>48.97195490516301</v>
      </c>
      <c r="C353" s="3">
        <v>10.097858261206669</v>
      </c>
      <c r="D353" s="3">
        <v>169.87637321403329</v>
      </c>
      <c r="E353" s="3">
        <v>132.718603437762</v>
      </c>
      <c r="F353" s="3">
        <v>130.52083921064298</v>
      </c>
      <c r="G353" s="3">
        <v>115.21676622819191</v>
      </c>
      <c r="H353" s="3">
        <v>136.34838924297648</v>
      </c>
      <c r="I353" s="3">
        <v>181.92280836239024</v>
      </c>
      <c r="J353" s="23">
        <v>44060</v>
      </c>
      <c r="K353" s="24">
        <v>116.625</v>
      </c>
      <c r="L353" s="24">
        <v>89.481249999999989</v>
      </c>
      <c r="M353" s="24">
        <v>19.7</v>
      </c>
      <c r="N353" s="24">
        <v>14.399999999999999</v>
      </c>
      <c r="O353" s="24">
        <v>230.02083333333334</v>
      </c>
      <c r="P353" s="24">
        <v>12.041666666666666</v>
      </c>
      <c r="Q353" s="24">
        <v>2.3333333333333335</v>
      </c>
      <c r="R353" s="24">
        <v>17.908333333333335</v>
      </c>
      <c r="S353" s="10">
        <v>0.24647521651074347</v>
      </c>
      <c r="T353" s="25">
        <v>0.40889583333333329</v>
      </c>
      <c r="U353" s="25">
        <v>0.5227708333333333</v>
      </c>
      <c r="V353" s="25">
        <v>0.57929166666666687</v>
      </c>
      <c r="W353" s="25">
        <v>0.59729166666666655</v>
      </c>
      <c r="X353" s="25">
        <v>0.5924583333333332</v>
      </c>
      <c r="Y353" s="25">
        <v>0.46618749999999998</v>
      </c>
      <c r="Z353" s="25">
        <v>0.45602083333333288</v>
      </c>
      <c r="AA353" s="25">
        <v>0.39520833333333311</v>
      </c>
      <c r="AB353" s="25">
        <v>0.43472916666666678</v>
      </c>
      <c r="AC353" s="25">
        <v>0.25156249999999997</v>
      </c>
      <c r="AD353" s="25">
        <v>0.41008333333333313</v>
      </c>
      <c r="AE353" s="27">
        <f t="shared" si="16"/>
        <v>0.50067708333333327</v>
      </c>
      <c r="AF353" s="27">
        <f t="shared" si="17"/>
        <v>0.50279513888888883</v>
      </c>
      <c r="AG353" s="27">
        <f t="shared" si="18"/>
        <v>0.5024100378787878</v>
      </c>
    </row>
    <row r="354" spans="1:33" x14ac:dyDescent="0.25">
      <c r="A354" s="9">
        <v>44061</v>
      </c>
      <c r="B354" s="3">
        <v>78.229273072818089</v>
      </c>
      <c r="C354" s="3">
        <v>124.77309385060933</v>
      </c>
      <c r="D354" s="3">
        <v>265.16559750237576</v>
      </c>
      <c r="E354" s="3">
        <v>243.51369592132218</v>
      </c>
      <c r="F354" s="3">
        <v>244.84418027897181</v>
      </c>
      <c r="G354" s="3">
        <v>178.0390783766322</v>
      </c>
      <c r="H354" s="3">
        <v>248.73817977213699</v>
      </c>
      <c r="I354" s="3">
        <v>231.4425881386814</v>
      </c>
      <c r="J354" s="23">
        <v>44061</v>
      </c>
      <c r="K354" s="24">
        <v>150.16666666666666</v>
      </c>
      <c r="L354" s="24">
        <v>88.806250000000034</v>
      </c>
      <c r="M354" s="24">
        <v>19.824999999999999</v>
      </c>
      <c r="N354" s="24">
        <v>26.599999999999998</v>
      </c>
      <c r="O354" s="24">
        <v>226.85416666666666</v>
      </c>
      <c r="P354" s="24">
        <v>5.083333333333333</v>
      </c>
      <c r="Q354" s="24">
        <v>0.29166666666666669</v>
      </c>
      <c r="R354" s="24">
        <v>17.843750000000004</v>
      </c>
      <c r="S354" s="10">
        <v>0.28641641689057273</v>
      </c>
      <c r="T354" s="25">
        <v>0.43025000000000008</v>
      </c>
      <c r="U354" s="25">
        <v>0.54456250000000006</v>
      </c>
      <c r="V354" s="25">
        <v>0.59900000000000009</v>
      </c>
      <c r="W354" s="25">
        <v>0.61710416666666679</v>
      </c>
      <c r="X354" s="25">
        <v>0.62060416666666651</v>
      </c>
      <c r="Y354" s="25">
        <v>0.48685416666666659</v>
      </c>
      <c r="Z354" s="25">
        <v>0.46514583333333331</v>
      </c>
      <c r="AA354" s="25">
        <v>0.40787500000000004</v>
      </c>
      <c r="AB354" s="25">
        <v>0.48259574468085104</v>
      </c>
      <c r="AC354" s="25">
        <v>0.30899999999999989</v>
      </c>
      <c r="AD354" s="25">
        <v>0.49633333333333335</v>
      </c>
      <c r="AE354" s="27">
        <f t="shared" si="16"/>
        <v>0.52542708333333332</v>
      </c>
      <c r="AF354" s="27">
        <f t="shared" si="17"/>
        <v>0.52009027777777783</v>
      </c>
      <c r="AG354" s="27">
        <f t="shared" si="18"/>
        <v>0.52106060606060611</v>
      </c>
    </row>
    <row r="355" spans="1:33" x14ac:dyDescent="0.25">
      <c r="A355" s="9">
        <v>44062</v>
      </c>
      <c r="B355" s="3">
        <v>155.71884660230705</v>
      </c>
      <c r="C355" s="3">
        <v>326.12039402978075</v>
      </c>
      <c r="D355" s="3">
        <v>521.04321618565905</v>
      </c>
      <c r="E355" s="3">
        <v>470.92989714029767</v>
      </c>
      <c r="F355" s="3">
        <v>414.76017756554637</v>
      </c>
      <c r="G355" s="3">
        <v>331.98573422180669</v>
      </c>
      <c r="H355" s="3">
        <v>373.66001617211089</v>
      </c>
      <c r="I355" s="3">
        <v>338.2720674573564</v>
      </c>
      <c r="J355" s="23">
        <v>44062</v>
      </c>
      <c r="K355" s="24">
        <v>198.8125</v>
      </c>
      <c r="L355" s="24">
        <v>83.052083333333343</v>
      </c>
      <c r="M355" s="24">
        <v>20.999999999999996</v>
      </c>
      <c r="N355" s="24">
        <v>0</v>
      </c>
      <c r="O355" s="24">
        <v>241.16666666666666</v>
      </c>
      <c r="P355" s="24">
        <v>2.4375</v>
      </c>
      <c r="Q355" s="24">
        <v>0</v>
      </c>
      <c r="R355" s="24">
        <v>17.764583333333341</v>
      </c>
      <c r="S355" s="10">
        <v>0.52000560092051795</v>
      </c>
      <c r="T355" s="25">
        <v>0.46481249999999957</v>
      </c>
      <c r="U355" s="25">
        <v>0.55933333333333302</v>
      </c>
      <c r="V355" s="25">
        <v>0.60329166666666656</v>
      </c>
      <c r="W355" s="25">
        <v>0.61933333333333296</v>
      </c>
      <c r="X355" s="25">
        <v>0.62137500000000012</v>
      </c>
      <c r="Y355" s="25">
        <v>0.51745833333333346</v>
      </c>
      <c r="Z355" s="25">
        <v>0.48216666666666647</v>
      </c>
      <c r="AA355" s="25">
        <v>0.41927083333333309</v>
      </c>
      <c r="AB355" s="25">
        <v>0.47566666666666652</v>
      </c>
      <c r="AC355" s="25">
        <v>0.29110416666666677</v>
      </c>
      <c r="AD355" s="25">
        <v>0.50868749999999996</v>
      </c>
      <c r="AE355" s="27">
        <f t="shared" si="16"/>
        <v>0.54309374999999982</v>
      </c>
      <c r="AF355" s="27">
        <f t="shared" si="17"/>
        <v>0.5334756944444442</v>
      </c>
      <c r="AG355" s="27">
        <f t="shared" si="18"/>
        <v>0.53522443181818158</v>
      </c>
    </row>
    <row r="356" spans="1:33" x14ac:dyDescent="0.25">
      <c r="A356" s="9">
        <v>44063</v>
      </c>
      <c r="B356" s="3">
        <v>169.84348701053449</v>
      </c>
      <c r="C356" s="3">
        <v>356.76722786040085</v>
      </c>
      <c r="D356" s="3">
        <v>654.41526053046607</v>
      </c>
      <c r="E356" s="3">
        <v>498.4788417407724</v>
      </c>
      <c r="F356" s="3">
        <v>493.0104608251479</v>
      </c>
      <c r="G356" s="3">
        <v>487.29194525938647</v>
      </c>
      <c r="H356" s="3">
        <v>387.98313587188204</v>
      </c>
      <c r="I356" s="3">
        <v>505.88465264490446</v>
      </c>
      <c r="J356" s="23">
        <v>44063</v>
      </c>
      <c r="K356" s="24">
        <v>194.95833333333334</v>
      </c>
      <c r="L356" s="24">
        <v>78.895833333333329</v>
      </c>
      <c r="M356" s="24">
        <v>22.620833333333341</v>
      </c>
      <c r="N356" s="24">
        <v>0</v>
      </c>
      <c r="O356" s="24">
        <v>229.54166666666666</v>
      </c>
      <c r="P356" s="24">
        <v>2.9375</v>
      </c>
      <c r="Q356" s="24">
        <v>0</v>
      </c>
      <c r="R356" s="24">
        <v>18.587500000000002</v>
      </c>
      <c r="S356" s="10">
        <v>0.65442685817700619</v>
      </c>
      <c r="T356" s="25">
        <v>0.44566666666666688</v>
      </c>
      <c r="U356" s="25">
        <v>0.54466666666666685</v>
      </c>
      <c r="V356" s="25">
        <v>0.59433333333333327</v>
      </c>
      <c r="W356" s="25">
        <v>0.60958333333333337</v>
      </c>
      <c r="X356" s="25">
        <v>0.61216666666666708</v>
      </c>
      <c r="Y356" s="25">
        <v>0.49658333333333321</v>
      </c>
      <c r="Z356" s="25">
        <v>0.47404166666666625</v>
      </c>
      <c r="AA356" s="25">
        <v>0.40947916666666662</v>
      </c>
      <c r="AB356" s="25">
        <v>0.45187500000000008</v>
      </c>
      <c r="AC356" s="25">
        <v>0.26150000000000001</v>
      </c>
      <c r="AD356" s="25">
        <v>0.47466666666666657</v>
      </c>
      <c r="AE356" s="27">
        <f t="shared" si="16"/>
        <v>0.52891666666666692</v>
      </c>
      <c r="AF356" s="27">
        <f t="shared" si="17"/>
        <v>0.52144791666666668</v>
      </c>
      <c r="AG356" s="27">
        <f t="shared" si="18"/>
        <v>0.5228058712121213</v>
      </c>
    </row>
    <row r="357" spans="1:33" x14ac:dyDescent="0.25">
      <c r="A357" s="9">
        <v>44064</v>
      </c>
      <c r="B357" s="3">
        <v>127.29655948092554</v>
      </c>
      <c r="C357" s="3">
        <v>282.16844928972773</v>
      </c>
      <c r="D357" s="3">
        <v>497.70062228930914</v>
      </c>
      <c r="E357" s="3">
        <v>416.55643431424886</v>
      </c>
      <c r="F357" s="3">
        <v>374.9838701464696</v>
      </c>
      <c r="G357" s="3">
        <v>445.60611622534259</v>
      </c>
      <c r="H357" s="3">
        <v>335.32693346953903</v>
      </c>
      <c r="I357" s="3">
        <v>351.48339654025284</v>
      </c>
      <c r="J357" s="23">
        <v>44064</v>
      </c>
      <c r="K357" s="24">
        <v>155.6875</v>
      </c>
      <c r="L357" s="24">
        <v>84.102083333333312</v>
      </c>
      <c r="M357" s="24">
        <v>22.014583333333338</v>
      </c>
      <c r="N357" s="24">
        <v>0</v>
      </c>
      <c r="O357" s="24">
        <v>226.20833333333334</v>
      </c>
      <c r="P357" s="24">
        <v>4.229166666666667</v>
      </c>
      <c r="Q357" s="24">
        <v>0.20833333333333334</v>
      </c>
      <c r="R357" s="24">
        <v>19.091666666666658</v>
      </c>
      <c r="S357" s="10">
        <v>0.46711770270670278</v>
      </c>
      <c r="T357" s="25">
        <v>0.431458333333333</v>
      </c>
      <c r="U357" s="25">
        <v>0.53558333333333363</v>
      </c>
      <c r="V357" s="25">
        <v>0.58777083333333313</v>
      </c>
      <c r="W357" s="25">
        <v>0.60556249999999967</v>
      </c>
      <c r="X357" s="25">
        <v>0.60502083333333367</v>
      </c>
      <c r="Y357" s="25">
        <v>0.48497916666666679</v>
      </c>
      <c r="Z357" s="25">
        <v>0.46920833333333317</v>
      </c>
      <c r="AA357" s="25">
        <v>0.40581249999999991</v>
      </c>
      <c r="AB357" s="25">
        <v>0.43747916666666659</v>
      </c>
      <c r="AC357" s="25">
        <v>0.24224999999999999</v>
      </c>
      <c r="AD357" s="25">
        <v>0.44516666666666671</v>
      </c>
      <c r="AE357" s="27">
        <f t="shared" si="16"/>
        <v>0.51823958333333331</v>
      </c>
      <c r="AF357" s="27">
        <f t="shared" si="17"/>
        <v>0.51481944444444439</v>
      </c>
      <c r="AG357" s="27">
        <f t="shared" si="18"/>
        <v>0.51544128787878774</v>
      </c>
    </row>
    <row r="358" spans="1:33" x14ac:dyDescent="0.25">
      <c r="A358" s="9">
        <v>44065</v>
      </c>
      <c r="B358" s="3">
        <v>170.5120024118857</v>
      </c>
      <c r="C358" s="3">
        <v>333.70035195177161</v>
      </c>
      <c r="D358" s="3">
        <v>569.43367309603855</v>
      </c>
      <c r="E358" s="3">
        <v>586.6000160983474</v>
      </c>
      <c r="F358" s="3">
        <v>408.74041516531292</v>
      </c>
      <c r="G358" s="3">
        <v>674.90945506157868</v>
      </c>
      <c r="H358" s="3">
        <v>402.67482164517645</v>
      </c>
      <c r="I358" s="3">
        <v>402.51849348958336</v>
      </c>
      <c r="J358" s="23">
        <v>44065</v>
      </c>
      <c r="K358" s="24">
        <v>210.64583333333334</v>
      </c>
      <c r="L358" s="24">
        <v>78.662500000000023</v>
      </c>
      <c r="M358" s="24">
        <v>22.687499999999989</v>
      </c>
      <c r="N358" s="24">
        <v>0</v>
      </c>
      <c r="O358" s="24">
        <v>237.79166666666666</v>
      </c>
      <c r="P358" s="24">
        <v>10.083333333333334</v>
      </c>
      <c r="Q358" s="24">
        <v>1.5</v>
      </c>
      <c r="R358" s="24">
        <v>18.627083333333335</v>
      </c>
      <c r="S358" s="10">
        <v>0.64895494101892581</v>
      </c>
      <c r="T358" s="25">
        <v>0.41472916666666654</v>
      </c>
      <c r="U358" s="25">
        <v>0.52599999999999991</v>
      </c>
      <c r="V358" s="25">
        <v>0.57945833333333352</v>
      </c>
      <c r="W358" s="25">
        <v>0.60087500000000038</v>
      </c>
      <c r="X358" s="25">
        <v>0.59537499999999999</v>
      </c>
      <c r="Y358" s="25">
        <v>0.47377083333333331</v>
      </c>
      <c r="Z358" s="25">
        <v>0.4635624999999996</v>
      </c>
      <c r="AA358" s="25">
        <v>0.40172916666666664</v>
      </c>
      <c r="AB358" s="25">
        <v>0.4207083333333333</v>
      </c>
      <c r="AC358" s="25">
        <v>0.22622916666666668</v>
      </c>
      <c r="AD358" s="25">
        <v>0.40347916666666667</v>
      </c>
      <c r="AE358" s="27">
        <f t="shared" si="16"/>
        <v>0.50505208333333329</v>
      </c>
      <c r="AF358" s="27">
        <f t="shared" si="17"/>
        <v>0.50756597222222222</v>
      </c>
      <c r="AG358" s="27">
        <f t="shared" si="18"/>
        <v>0.50710890151515153</v>
      </c>
    </row>
    <row r="359" spans="1:33" x14ac:dyDescent="0.25">
      <c r="A359" s="9">
        <v>44066</v>
      </c>
      <c r="B359" s="3">
        <v>177.18080329546734</v>
      </c>
      <c r="C359" s="3">
        <v>292.92896354362813</v>
      </c>
      <c r="D359" s="3">
        <v>589.95212734153279</v>
      </c>
      <c r="E359" s="3">
        <v>649.41999316676527</v>
      </c>
      <c r="F359" s="3">
        <v>429.90311964065421</v>
      </c>
      <c r="G359" s="3">
        <v>818.13809379997247</v>
      </c>
      <c r="H359" s="3">
        <v>422.03528304364937</v>
      </c>
      <c r="I359" s="3">
        <v>509.57129208696836</v>
      </c>
      <c r="J359" s="23">
        <v>44066</v>
      </c>
      <c r="K359" s="24">
        <v>214.35416666666666</v>
      </c>
      <c r="L359" s="24">
        <v>76.722916666666663</v>
      </c>
      <c r="M359" s="24">
        <v>23.402083333333337</v>
      </c>
      <c r="N359" s="24">
        <v>0</v>
      </c>
      <c r="O359" s="24">
        <v>232.04166666666666</v>
      </c>
      <c r="P359" s="24">
        <v>14</v>
      </c>
      <c r="Q359" s="24">
        <v>2.5833333333333335</v>
      </c>
      <c r="R359" s="24">
        <v>18.945833333333329</v>
      </c>
      <c r="S359" s="10">
        <v>0.71917145793861126</v>
      </c>
      <c r="T359" s="25">
        <v>0.38745833333333324</v>
      </c>
      <c r="U359" s="25">
        <v>0.51268750000000007</v>
      </c>
      <c r="V359" s="25">
        <v>0.5666041666666668</v>
      </c>
      <c r="W359" s="25">
        <v>0.59247916666666656</v>
      </c>
      <c r="X359" s="25">
        <v>0.58110416666666687</v>
      </c>
      <c r="Y359" s="25">
        <v>0.4574791666666666</v>
      </c>
      <c r="Z359" s="25">
        <v>0.45327083333333373</v>
      </c>
      <c r="AA359" s="25">
        <v>0.39504166666666679</v>
      </c>
      <c r="AB359" s="25">
        <v>0.40119148936170207</v>
      </c>
      <c r="AC359" s="25">
        <v>0.20233333333333334</v>
      </c>
      <c r="AD359" s="25">
        <v>0.35229166666666684</v>
      </c>
      <c r="AE359" s="27">
        <f t="shared" si="16"/>
        <v>0.48428125000000005</v>
      </c>
      <c r="AF359" s="27">
        <f t="shared" si="17"/>
        <v>0.4962604166666667</v>
      </c>
      <c r="AG359" s="27">
        <f t="shared" si="18"/>
        <v>0.49408238636363638</v>
      </c>
    </row>
    <row r="360" spans="1:33" x14ac:dyDescent="0.25">
      <c r="A360" s="9">
        <v>44067</v>
      </c>
      <c r="B360" s="3">
        <v>93.686057610559587</v>
      </c>
      <c r="C360" s="3">
        <v>191.78749866975727</v>
      </c>
      <c r="D360" s="3">
        <v>341.53149885971732</v>
      </c>
      <c r="E360" s="3">
        <v>403.88476358561729</v>
      </c>
      <c r="F360" s="3">
        <v>195.7763317652286</v>
      </c>
      <c r="G360" s="3">
        <v>583.07691419858577</v>
      </c>
      <c r="H360" s="3">
        <v>243.43302339906919</v>
      </c>
      <c r="I360" s="3">
        <v>387.52846053931768</v>
      </c>
      <c r="J360" s="23">
        <v>44067</v>
      </c>
      <c r="K360" s="24">
        <v>149.8125</v>
      </c>
      <c r="L360" s="24">
        <v>82.070833333333326</v>
      </c>
      <c r="M360" s="24">
        <v>22.677083333333332</v>
      </c>
      <c r="N360" s="24">
        <v>0</v>
      </c>
      <c r="O360" s="24">
        <v>252.5625</v>
      </c>
      <c r="P360" s="24">
        <v>6.5625</v>
      </c>
      <c r="Q360" s="24">
        <v>0.33333333333333331</v>
      </c>
      <c r="R360" s="24">
        <v>19.350000000000005</v>
      </c>
      <c r="S360" s="10">
        <v>0.53633439450765186</v>
      </c>
      <c r="T360" s="25">
        <v>0.35749999999999998</v>
      </c>
      <c r="U360" s="25">
        <v>0.49739583333333354</v>
      </c>
      <c r="V360" s="25">
        <v>0.55499999999999938</v>
      </c>
      <c r="W360" s="25">
        <v>0.58139583333333344</v>
      </c>
      <c r="X360" s="25">
        <v>0.56577083333333344</v>
      </c>
      <c r="Y360" s="25">
        <v>0.44170833333333331</v>
      </c>
      <c r="Z360" s="25">
        <v>0.44183333333333358</v>
      </c>
      <c r="AA360" s="25">
        <v>0.38654166666666656</v>
      </c>
      <c r="AB360" s="25">
        <v>0.38252083333333337</v>
      </c>
      <c r="AC360" s="25">
        <v>0.17812499999999998</v>
      </c>
      <c r="AD360" s="25">
        <v>0.31508333333333333</v>
      </c>
      <c r="AE360" s="27">
        <f t="shared" si="16"/>
        <v>0.46163541666666674</v>
      </c>
      <c r="AF360" s="27">
        <f t="shared" si="17"/>
        <v>0.48397916666666663</v>
      </c>
      <c r="AG360" s="27">
        <f t="shared" si="18"/>
        <v>0.47991666666666666</v>
      </c>
    </row>
    <row r="361" spans="1:33" x14ac:dyDescent="0.25">
      <c r="A361" s="9">
        <v>44068</v>
      </c>
      <c r="B361" s="3">
        <v>172.13939909920279</v>
      </c>
      <c r="C361" s="3">
        <v>403.57890085971712</v>
      </c>
      <c r="D361" s="3">
        <v>655.09419565650205</v>
      </c>
      <c r="E361" s="3">
        <v>726.97185193374821</v>
      </c>
      <c r="F361" s="3">
        <v>374.32185753922482</v>
      </c>
      <c r="G361" s="3">
        <v>913.19362992461549</v>
      </c>
      <c r="H361" s="3">
        <v>449.73803515435873</v>
      </c>
      <c r="I361" s="3">
        <v>622.69704243245508</v>
      </c>
      <c r="J361" s="23">
        <v>44068</v>
      </c>
      <c r="K361" s="24">
        <v>285.14583333333331</v>
      </c>
      <c r="L361" s="24">
        <v>65.58541666666666</v>
      </c>
      <c r="M361" s="24">
        <v>23.722916666666659</v>
      </c>
      <c r="N361" s="24">
        <v>0</v>
      </c>
      <c r="O361" s="24">
        <v>187.20833333333334</v>
      </c>
      <c r="P361" s="24">
        <v>3.6458333333333335</v>
      </c>
      <c r="Q361" s="24">
        <v>0</v>
      </c>
      <c r="R361" s="24">
        <v>16.085416666666667</v>
      </c>
      <c r="S361" s="10">
        <v>1.2245262537789239</v>
      </c>
      <c r="T361" s="25">
        <v>0.33356250000000015</v>
      </c>
      <c r="U361" s="25">
        <v>0.47997916666666668</v>
      </c>
      <c r="V361" s="25">
        <v>0.5425416666666667</v>
      </c>
      <c r="W361" s="25">
        <v>0.56689583333333304</v>
      </c>
      <c r="X361" s="25">
        <v>0.54737500000000006</v>
      </c>
      <c r="Y361" s="25">
        <v>0.42597916666666663</v>
      </c>
      <c r="Z361" s="25">
        <v>0.42952083333333335</v>
      </c>
      <c r="AA361" s="25">
        <v>0.37812499999999988</v>
      </c>
      <c r="AB361" s="25">
        <v>0.36048936170212759</v>
      </c>
      <c r="AC361" s="25">
        <v>0.16068749999999996</v>
      </c>
      <c r="AD361" s="25">
        <v>0.29091666666666671</v>
      </c>
      <c r="AE361" s="27">
        <f t="shared" si="16"/>
        <v>0.44046875000000008</v>
      </c>
      <c r="AF361" s="27">
        <f t="shared" si="17"/>
        <v>0.4705069444444443</v>
      </c>
      <c r="AG361" s="27">
        <f t="shared" si="18"/>
        <v>0.46504545454545443</v>
      </c>
    </row>
    <row r="362" spans="1:33" x14ac:dyDescent="0.25">
      <c r="A362" s="9">
        <v>44069</v>
      </c>
      <c r="B362" s="3">
        <v>152.81710318352248</v>
      </c>
      <c r="C362" s="3">
        <v>412.75821492575028</v>
      </c>
      <c r="D362" s="3">
        <v>623.8179109381208</v>
      </c>
      <c r="E362" s="3">
        <v>759.3410306850858</v>
      </c>
      <c r="F362" s="3">
        <v>390.59319212709067</v>
      </c>
      <c r="G362" s="3">
        <v>686.4645662952596</v>
      </c>
      <c r="H362" s="3">
        <v>451.34756525103217</v>
      </c>
      <c r="I362" s="3">
        <v>430.19564554990097</v>
      </c>
      <c r="J362" s="23">
        <v>44069</v>
      </c>
      <c r="K362" s="24">
        <v>289.1875</v>
      </c>
      <c r="L362" s="24">
        <v>57.204166666666687</v>
      </c>
      <c r="M362" s="24">
        <v>23.818749999999998</v>
      </c>
      <c r="N362" s="24">
        <v>0</v>
      </c>
      <c r="O362" s="24">
        <v>248.85416666666666</v>
      </c>
      <c r="P362" s="24">
        <v>2.5208333333333335</v>
      </c>
      <c r="Q362" s="24">
        <v>2.0833333333333332E-2</v>
      </c>
      <c r="R362" s="24">
        <v>14.05208333333333</v>
      </c>
      <c r="S362" s="10">
        <v>1.5071725417553348</v>
      </c>
      <c r="T362" s="25">
        <v>0.3035208333333333</v>
      </c>
      <c r="U362" s="25">
        <v>0.45235416666666667</v>
      </c>
      <c r="V362" s="25">
        <v>0.52116666666666689</v>
      </c>
      <c r="W362" s="25">
        <v>0.54187499999999988</v>
      </c>
      <c r="X362" s="25">
        <v>0.51952083333333354</v>
      </c>
      <c r="Y362" s="25">
        <v>0.39912500000000001</v>
      </c>
      <c r="Z362" s="25">
        <v>0.40872916666666653</v>
      </c>
      <c r="AA362" s="25">
        <v>0.36293749999999997</v>
      </c>
      <c r="AB362" s="25">
        <v>0.32519148936170211</v>
      </c>
      <c r="AC362" s="25">
        <v>0.14332258064516132</v>
      </c>
      <c r="AD362" s="25">
        <v>0.26566666666666672</v>
      </c>
      <c r="AE362" s="27">
        <f t="shared" si="16"/>
        <v>0.41152083333333345</v>
      </c>
      <c r="AF362" s="27">
        <f t="shared" si="17"/>
        <v>0.44769791666666664</v>
      </c>
      <c r="AG362" s="27">
        <f t="shared" si="18"/>
        <v>0.44112026515151515</v>
      </c>
    </row>
    <row r="363" spans="1:33" x14ac:dyDescent="0.25">
      <c r="A363" s="9">
        <v>44070</v>
      </c>
      <c r="B363" s="3">
        <v>162.58085804820857</v>
      </c>
      <c r="C363" s="3">
        <v>408.13742021096556</v>
      </c>
      <c r="D363" s="3">
        <v>611.3424620208059</v>
      </c>
      <c r="E363" s="3">
        <v>766.29221353693094</v>
      </c>
      <c r="F363" s="3">
        <v>385.43295966769307</v>
      </c>
      <c r="G363" s="3">
        <v>537.94311767972283</v>
      </c>
      <c r="H363" s="3">
        <v>431.47778696947</v>
      </c>
      <c r="I363" s="3">
        <v>284.92900595759431</v>
      </c>
      <c r="J363" s="23">
        <v>44070</v>
      </c>
      <c r="K363" s="24">
        <v>273.64583333333331</v>
      </c>
      <c r="L363" s="24">
        <v>66.533333333333331</v>
      </c>
      <c r="M363" s="24">
        <v>23.885416666666671</v>
      </c>
      <c r="N363" s="24">
        <v>0</v>
      </c>
      <c r="O363" s="24">
        <v>207.10416666666666</v>
      </c>
      <c r="P363" s="24">
        <v>6.0625</v>
      </c>
      <c r="Q363" s="24">
        <v>0.875</v>
      </c>
      <c r="R363" s="24">
        <v>16.889583333333334</v>
      </c>
      <c r="S363" s="10">
        <v>1.1256118135842317</v>
      </c>
      <c r="T363" s="25">
        <v>0.28310416666666671</v>
      </c>
      <c r="U363" s="25">
        <v>0.42620833333333352</v>
      </c>
      <c r="V363" s="25">
        <v>0.50129166666666669</v>
      </c>
      <c r="W363" s="25">
        <v>0.51458333333333339</v>
      </c>
      <c r="X363" s="25">
        <v>0.49579166666666641</v>
      </c>
      <c r="Y363" s="25">
        <v>0.37829166666666664</v>
      </c>
      <c r="Z363" s="25">
        <v>0.38972916666666663</v>
      </c>
      <c r="AA363" s="25">
        <v>0.34939583333333329</v>
      </c>
      <c r="AB363" s="25">
        <v>0.29036170212765972</v>
      </c>
      <c r="AC363" s="25">
        <v>0.13099999999999998</v>
      </c>
      <c r="AD363" s="25">
        <v>0.25049999999999989</v>
      </c>
      <c r="AE363" s="27">
        <f t="shared" si="16"/>
        <v>0.38944791666666656</v>
      </c>
      <c r="AF363" s="27">
        <f t="shared" si="17"/>
        <v>0.42658333333333337</v>
      </c>
      <c r="AG363" s="27">
        <f t="shared" si="18"/>
        <v>0.41983143939393947</v>
      </c>
    </row>
    <row r="364" spans="1:33" x14ac:dyDescent="0.25">
      <c r="A364" s="9">
        <v>44071</v>
      </c>
      <c r="B364" s="3">
        <v>138.38345029775303</v>
      </c>
      <c r="C364" s="3">
        <v>263.90334911867569</v>
      </c>
      <c r="D364" s="3">
        <v>456.81291316740061</v>
      </c>
      <c r="E364" s="3">
        <v>595.94023448607788</v>
      </c>
      <c r="F364" s="3">
        <v>282.67990943737129</v>
      </c>
      <c r="G364" s="3">
        <v>418.46828304972308</v>
      </c>
      <c r="H364" s="3">
        <v>362.15327871311945</v>
      </c>
      <c r="I364" s="3">
        <v>268.49350582421067</v>
      </c>
      <c r="J364" s="23">
        <v>44071</v>
      </c>
      <c r="K364" s="24">
        <v>170.875</v>
      </c>
      <c r="L364" s="24">
        <v>73.760416666666686</v>
      </c>
      <c r="M364" s="24">
        <v>23.887499999999999</v>
      </c>
      <c r="N364" s="24">
        <v>0</v>
      </c>
      <c r="O364" s="24">
        <v>229.08333333333334</v>
      </c>
      <c r="P364" s="24">
        <v>6.979166666666667</v>
      </c>
      <c r="Q364" s="24">
        <v>0.5625</v>
      </c>
      <c r="R364" s="24">
        <v>18.835416666666667</v>
      </c>
      <c r="S364" s="10">
        <v>0.813013433523889</v>
      </c>
      <c r="T364" s="25">
        <v>0.27039583333333334</v>
      </c>
      <c r="U364" s="25">
        <v>0.40527083333333302</v>
      </c>
      <c r="V364" s="25">
        <v>0.48462500000000025</v>
      </c>
      <c r="W364" s="25">
        <v>0.49318750000000017</v>
      </c>
      <c r="X364" s="25">
        <v>0.47854166666666659</v>
      </c>
      <c r="Y364" s="25">
        <v>0.3635000000000001</v>
      </c>
      <c r="Z364" s="25">
        <v>0.37539583333333321</v>
      </c>
      <c r="AA364" s="25">
        <v>0.33777083333333341</v>
      </c>
      <c r="AB364" s="25">
        <v>0.26093749999999999</v>
      </c>
      <c r="AC364" s="25">
        <v>0.12256249999999996</v>
      </c>
      <c r="AD364" s="25">
        <v>0.24143749999999986</v>
      </c>
      <c r="AE364" s="27">
        <f t="shared" si="16"/>
        <v>0.37446874999999996</v>
      </c>
      <c r="AF364" s="27">
        <f t="shared" si="17"/>
        <v>0.40995833333333337</v>
      </c>
      <c r="AG364" s="27">
        <f t="shared" si="18"/>
        <v>0.40350568181818186</v>
      </c>
    </row>
    <row r="365" spans="1:33" x14ac:dyDescent="0.25">
      <c r="A365" s="9">
        <v>44072</v>
      </c>
      <c r="B365" s="3">
        <v>123.44126440224014</v>
      </c>
      <c r="C365" s="3">
        <v>241.88123173195484</v>
      </c>
      <c r="D365" s="3">
        <v>336.21771621963364</v>
      </c>
      <c r="E365" s="3">
        <v>502.5880574990843</v>
      </c>
      <c r="F365" s="3">
        <v>246.07439556362041</v>
      </c>
      <c r="G365" s="3">
        <v>380.38335636595264</v>
      </c>
      <c r="H365" s="3">
        <v>298.18171464417986</v>
      </c>
      <c r="I365" s="3">
        <v>397.97839189830972</v>
      </c>
      <c r="J365" s="23">
        <v>44072</v>
      </c>
      <c r="K365" s="24">
        <v>225.125</v>
      </c>
      <c r="L365" s="24">
        <v>78.779166666666683</v>
      </c>
      <c r="M365" s="24">
        <v>22.454166666666662</v>
      </c>
      <c r="N365" s="24">
        <v>6.6</v>
      </c>
      <c r="O365" s="24">
        <v>237.25</v>
      </c>
      <c r="P365" s="24">
        <v>6.666666666666667</v>
      </c>
      <c r="Q365" s="24">
        <v>0.27083333333333331</v>
      </c>
      <c r="R365" s="24">
        <v>18.389583333333331</v>
      </c>
      <c r="S365" s="10">
        <v>0.65231515662623962</v>
      </c>
      <c r="T365" s="25">
        <v>0.26379166666666681</v>
      </c>
      <c r="U365" s="25">
        <v>0.39104166666666673</v>
      </c>
      <c r="V365" s="25">
        <v>0.47187499999999999</v>
      </c>
      <c r="W365" s="25">
        <v>0.47825000000000001</v>
      </c>
      <c r="X365" s="25">
        <v>0.48908333333333331</v>
      </c>
      <c r="Y365" s="25">
        <v>0.35560416666666667</v>
      </c>
      <c r="Z365" s="25">
        <v>0.36708333333333337</v>
      </c>
      <c r="AA365" s="25">
        <v>0.32945833333333324</v>
      </c>
      <c r="AB365" s="25">
        <v>0.25587500000000002</v>
      </c>
      <c r="AC365" s="25">
        <v>0.13133333333333333</v>
      </c>
      <c r="AD365" s="25">
        <v>0.25972916666666651</v>
      </c>
      <c r="AE365" s="27">
        <f t="shared" si="16"/>
        <v>0.37643750000000009</v>
      </c>
      <c r="AF365" s="27">
        <f t="shared" si="17"/>
        <v>0.39888541666666666</v>
      </c>
      <c r="AG365" s="27">
        <f t="shared" si="18"/>
        <v>0.39480397727272726</v>
      </c>
    </row>
    <row r="366" spans="1:33" x14ac:dyDescent="0.25">
      <c r="A366" s="9">
        <v>44073</v>
      </c>
      <c r="B366" s="3">
        <v>167.5564730204747</v>
      </c>
      <c r="C366" s="3">
        <v>303.17594089651806</v>
      </c>
      <c r="D366" s="3">
        <v>443.74240170601331</v>
      </c>
      <c r="E366" s="3">
        <v>680.6369011350846</v>
      </c>
      <c r="F366" s="3">
        <v>298.43649201606877</v>
      </c>
      <c r="G366" s="3">
        <v>470.68789029889558</v>
      </c>
      <c r="H366" s="3">
        <v>338.42439922235536</v>
      </c>
      <c r="I366" s="3">
        <v>461.37199388963199</v>
      </c>
      <c r="J366" s="23">
        <v>44073</v>
      </c>
      <c r="K366" s="24">
        <v>225.77083333333334</v>
      </c>
      <c r="L366" s="24">
        <v>76.106249999999989</v>
      </c>
      <c r="M366" s="24">
        <v>23.6875</v>
      </c>
      <c r="N366" s="24">
        <v>0</v>
      </c>
      <c r="O366" s="24">
        <v>234</v>
      </c>
      <c r="P366" s="24">
        <v>7.708333333333333</v>
      </c>
      <c r="Q366" s="24">
        <v>0.52083333333333337</v>
      </c>
      <c r="R366" s="24">
        <v>18.987500000000001</v>
      </c>
      <c r="S366" s="10">
        <v>0.77439546046441043</v>
      </c>
      <c r="T366" s="25">
        <v>0.25979166666666659</v>
      </c>
      <c r="U366" s="25">
        <v>0.37970833333333348</v>
      </c>
      <c r="V366" s="25">
        <v>0.45962499999999978</v>
      </c>
      <c r="W366" s="25">
        <v>0.46589583333333318</v>
      </c>
      <c r="X366" s="25">
        <v>0.47245833333333337</v>
      </c>
      <c r="Y366" s="25">
        <v>0.34960416666666672</v>
      </c>
      <c r="Z366" s="25">
        <v>0.36062500000000003</v>
      </c>
      <c r="AA366" s="25">
        <v>0.32231250000000006</v>
      </c>
      <c r="AB366" s="25">
        <v>0.24229166666666668</v>
      </c>
      <c r="AC366" s="25">
        <v>0.14199999999999999</v>
      </c>
      <c r="AD366" s="25">
        <v>0.25104166666666655</v>
      </c>
      <c r="AE366" s="27">
        <f t="shared" si="16"/>
        <v>0.36612499999999998</v>
      </c>
      <c r="AF366" s="27">
        <f t="shared" si="17"/>
        <v>0.38962847222222224</v>
      </c>
      <c r="AG366" s="27">
        <f t="shared" si="18"/>
        <v>0.38535511363636366</v>
      </c>
    </row>
    <row r="367" spans="1:33" x14ac:dyDescent="0.25">
      <c r="A367" s="9">
        <v>44074</v>
      </c>
      <c r="B367" s="3">
        <v>163.84496617953818</v>
      </c>
      <c r="C367" s="3">
        <v>309.69185226014213</v>
      </c>
      <c r="D367" s="3">
        <v>466.73836505825693</v>
      </c>
      <c r="E367" s="3">
        <v>745.83519708849212</v>
      </c>
      <c r="F367" s="3">
        <v>387.08696420797389</v>
      </c>
      <c r="G367" s="3">
        <v>505.1719509976225</v>
      </c>
      <c r="H367" s="3">
        <v>375.02709107889592</v>
      </c>
      <c r="I367" s="3">
        <v>490.28778280761605</v>
      </c>
      <c r="J367" s="23">
        <v>44074</v>
      </c>
      <c r="K367" s="24">
        <v>240.25</v>
      </c>
      <c r="L367" s="24">
        <v>69.504166666666649</v>
      </c>
      <c r="M367" s="24">
        <v>24.241666666666664</v>
      </c>
      <c r="N367" s="24">
        <v>0</v>
      </c>
      <c r="O367" s="24">
        <v>231.79166666666666</v>
      </c>
      <c r="P367" s="24">
        <v>3.9166666666666665</v>
      </c>
      <c r="Q367" s="24">
        <v>0.14583333333333334</v>
      </c>
      <c r="R367" s="24">
        <v>17.881249999999998</v>
      </c>
      <c r="S367" s="10">
        <v>1.0534122207005441</v>
      </c>
      <c r="T367" s="25">
        <v>0.25452083333333353</v>
      </c>
      <c r="U367" s="25">
        <v>0.36708333333333348</v>
      </c>
      <c r="V367" s="25">
        <v>0.44768750000000007</v>
      </c>
      <c r="W367" s="25">
        <v>0.45297916666666693</v>
      </c>
      <c r="X367" s="25">
        <v>0.4542500000000001</v>
      </c>
      <c r="Y367" s="25">
        <v>0.34316666666666662</v>
      </c>
      <c r="Z367" s="25">
        <v>0.35310416666666661</v>
      </c>
      <c r="AA367" s="25">
        <v>0.31443750000000015</v>
      </c>
      <c r="AB367" s="25">
        <v>0.22531249999999994</v>
      </c>
      <c r="AC367" s="25">
        <v>0.12542857142857142</v>
      </c>
      <c r="AD367" s="25">
        <v>0.24127083333333335</v>
      </c>
      <c r="AE367" s="27">
        <f t="shared" si="16"/>
        <v>0.35438541666666679</v>
      </c>
      <c r="AF367" s="27">
        <f t="shared" si="17"/>
        <v>0.37974305555555565</v>
      </c>
      <c r="AG367" s="27">
        <f t="shared" si="18"/>
        <v>0.37513257575757591</v>
      </c>
    </row>
    <row r="368" spans="1:33" x14ac:dyDescent="0.25">
      <c r="A368" s="9">
        <v>44075</v>
      </c>
      <c r="B368" s="3">
        <v>156.96066116050559</v>
      </c>
      <c r="C368" s="3">
        <v>275.66283433384109</v>
      </c>
      <c r="D368" s="3">
        <v>405.21276794495941</v>
      </c>
      <c r="E368" s="3">
        <v>666.06173953060545</v>
      </c>
      <c r="F368" s="3">
        <v>391.65351122318992</v>
      </c>
      <c r="G368" s="3">
        <v>470.09701746958928</v>
      </c>
      <c r="H368" s="3">
        <v>418.95748784722235</v>
      </c>
      <c r="I368" s="3">
        <v>450.41678540356173</v>
      </c>
      <c r="J368" s="23">
        <v>44075</v>
      </c>
      <c r="K368" s="24">
        <v>191.91666666666666</v>
      </c>
      <c r="L368" s="24">
        <v>72.070833333333354</v>
      </c>
      <c r="M368" s="24">
        <v>23.881250000000005</v>
      </c>
      <c r="N368" s="24">
        <v>0</v>
      </c>
      <c r="O368" s="24">
        <v>225.02083333333334</v>
      </c>
      <c r="P368" s="24">
        <v>3.0833333333333335</v>
      </c>
      <c r="Q368" s="24">
        <v>0.14583333333333334</v>
      </c>
      <c r="R368" s="24">
        <v>18.164583333333329</v>
      </c>
      <c r="S368" s="10">
        <v>0.94910748691109825</v>
      </c>
      <c r="T368" s="25">
        <v>0.24997916666666645</v>
      </c>
      <c r="U368" s="25">
        <v>0.3570208333333334</v>
      </c>
      <c r="V368" s="25">
        <v>0.43810416666666679</v>
      </c>
      <c r="W368" s="25">
        <v>0.44197916666666703</v>
      </c>
      <c r="X368" s="25">
        <v>0.44227083333333334</v>
      </c>
      <c r="Y368" s="25">
        <v>0.33752083333333366</v>
      </c>
      <c r="Z368" s="25">
        <v>0.34672916666666675</v>
      </c>
      <c r="AA368" s="25">
        <v>0.30762499999999998</v>
      </c>
      <c r="AB368" s="25">
        <v>0.21006976744186054</v>
      </c>
      <c r="AC368" s="25">
        <v>0.1176</v>
      </c>
      <c r="AD368" s="25">
        <v>0.23466666666666658</v>
      </c>
      <c r="AE368" s="27">
        <f t="shared" si="16"/>
        <v>0.3461249999999999</v>
      </c>
      <c r="AF368" s="27">
        <f t="shared" si="17"/>
        <v>0.37149652777777792</v>
      </c>
      <c r="AG368" s="27">
        <f t="shared" si="18"/>
        <v>0.36688352272727282</v>
      </c>
    </row>
    <row r="369" spans="1:33" x14ac:dyDescent="0.25">
      <c r="A369" s="9">
        <v>44076</v>
      </c>
      <c r="B369" s="3">
        <v>108.70429187986312</v>
      </c>
      <c r="C369" s="3">
        <v>298.94996036648655</v>
      </c>
      <c r="D369" s="3">
        <v>334.81286586864769</v>
      </c>
      <c r="E369" s="3">
        <v>783.54070726275415</v>
      </c>
      <c r="F369" s="3">
        <v>353.90957499762055</v>
      </c>
      <c r="G369" s="3">
        <v>478.81072010553498</v>
      </c>
      <c r="H369" s="3">
        <v>446.06160325384184</v>
      </c>
      <c r="I369" s="3">
        <v>420.06591634321393</v>
      </c>
      <c r="J369" s="23">
        <v>44076</v>
      </c>
      <c r="K369" s="24">
        <v>256.45833333333331</v>
      </c>
      <c r="L369" s="24">
        <v>70.739583333333329</v>
      </c>
      <c r="M369" s="24">
        <v>24.668749999999999</v>
      </c>
      <c r="N369" s="24">
        <v>0.5</v>
      </c>
      <c r="O369" s="24">
        <v>202.25</v>
      </c>
      <c r="P369" s="24">
        <v>3.7291666666666665</v>
      </c>
      <c r="Q369" s="24">
        <v>0.1875</v>
      </c>
      <c r="R369" s="24">
        <v>18.389583333333334</v>
      </c>
      <c r="S369" s="10">
        <v>1.1199542459123231</v>
      </c>
      <c r="T369" s="25">
        <v>0.24629166666666649</v>
      </c>
      <c r="U369" s="25">
        <v>0.34862500000000013</v>
      </c>
      <c r="V369" s="25">
        <v>0.43047916666666658</v>
      </c>
      <c r="W369" s="25">
        <v>0.43322916666666633</v>
      </c>
      <c r="X369" s="25">
        <v>0.43414583333333301</v>
      </c>
      <c r="Y369" s="25">
        <v>0.33312499999999995</v>
      </c>
      <c r="Z369" s="25">
        <v>0.34102083333333327</v>
      </c>
      <c r="AA369" s="25">
        <v>0.30141666666666661</v>
      </c>
      <c r="AB369" s="25">
        <v>0.19970212765957446</v>
      </c>
      <c r="AC369" s="25">
        <v>0.115</v>
      </c>
      <c r="AD369" s="25">
        <v>0.22970833333333338</v>
      </c>
      <c r="AE369" s="27">
        <f t="shared" si="16"/>
        <v>0.34021874999999974</v>
      </c>
      <c r="AF369" s="27">
        <f t="shared" si="17"/>
        <v>0.36464930555555547</v>
      </c>
      <c r="AG369" s="27">
        <f t="shared" si="18"/>
        <v>0.36020738636363625</v>
      </c>
    </row>
    <row r="370" spans="1:33" x14ac:dyDescent="0.25">
      <c r="A370" s="9">
        <v>44077</v>
      </c>
      <c r="B370" s="3">
        <v>72.027031487536888</v>
      </c>
      <c r="C370" s="3">
        <v>121.40476588726928</v>
      </c>
      <c r="D370" s="3">
        <v>164.10447185281456</v>
      </c>
      <c r="E370" s="3">
        <v>373.46039728315719</v>
      </c>
      <c r="F370" s="3">
        <v>170.4072437629307</v>
      </c>
      <c r="G370" s="3">
        <v>216.37226673633737</v>
      </c>
      <c r="H370" s="3">
        <v>274.35878875938073</v>
      </c>
      <c r="I370" s="3">
        <v>243.91455378900696</v>
      </c>
      <c r="J370" s="23">
        <v>44077</v>
      </c>
      <c r="K370" s="24">
        <v>106.08333333333333</v>
      </c>
      <c r="L370" s="24">
        <v>83.999999999999986</v>
      </c>
      <c r="M370" s="24">
        <v>21.887499999999999</v>
      </c>
      <c r="N370" s="24">
        <v>0.2</v>
      </c>
      <c r="O370" s="24">
        <v>193.97916666666666</v>
      </c>
      <c r="P370" s="24">
        <v>2.8958333333333335</v>
      </c>
      <c r="Q370" s="24">
        <v>2.0833333333333332E-2</v>
      </c>
      <c r="R370" s="24">
        <v>18.977083333333329</v>
      </c>
      <c r="S370" s="10">
        <v>0.44841211900930383</v>
      </c>
      <c r="T370" s="25">
        <v>0.24429166666666657</v>
      </c>
      <c r="U370" s="25">
        <v>0.34302083333333333</v>
      </c>
      <c r="V370" s="25">
        <v>0.42570833333333313</v>
      </c>
      <c r="W370" s="25">
        <v>0.42839583333333325</v>
      </c>
      <c r="X370" s="25">
        <v>0.42966666666666681</v>
      </c>
      <c r="Y370" s="25">
        <v>0.33070833333333344</v>
      </c>
      <c r="Z370" s="25">
        <v>0.33739583333333334</v>
      </c>
      <c r="AA370" s="25">
        <v>0.29718749999999988</v>
      </c>
      <c r="AB370" s="25">
        <v>0.19185714285714289</v>
      </c>
      <c r="AC370" s="25">
        <v>0.111</v>
      </c>
      <c r="AD370" s="25">
        <v>0.2264375000000001</v>
      </c>
      <c r="AE370" s="27">
        <f t="shared" si="16"/>
        <v>0.33697916666666672</v>
      </c>
      <c r="AF370" s="27">
        <f t="shared" si="17"/>
        <v>0.36040277777777768</v>
      </c>
      <c r="AG370" s="27">
        <f t="shared" si="18"/>
        <v>0.35614393939393935</v>
      </c>
    </row>
    <row r="371" spans="1:33" x14ac:dyDescent="0.25">
      <c r="A371" s="9">
        <v>44078</v>
      </c>
      <c r="B371" s="3">
        <v>141.15139163105593</v>
      </c>
      <c r="C371" s="3">
        <v>237.98946955420615</v>
      </c>
      <c r="D371" s="3">
        <v>304.35771082005743</v>
      </c>
      <c r="E371" s="3">
        <v>741.18140460000825</v>
      </c>
      <c r="F371" s="3">
        <v>347.87841244801416</v>
      </c>
      <c r="G371" s="3">
        <v>358.62687689419732</v>
      </c>
      <c r="H371" s="3">
        <v>439.80413688764435</v>
      </c>
      <c r="I371" s="3">
        <v>397.82413054995652</v>
      </c>
      <c r="J371" s="23">
        <v>44078</v>
      </c>
      <c r="K371" s="24">
        <v>213.125</v>
      </c>
      <c r="L371" s="24">
        <v>73.822916666666643</v>
      </c>
      <c r="M371" s="24">
        <v>23.714583333333326</v>
      </c>
      <c r="N371" s="24">
        <v>0</v>
      </c>
      <c r="O371" s="24">
        <v>236.45833333333334</v>
      </c>
      <c r="P371" s="24">
        <v>8.2291666666666661</v>
      </c>
      <c r="Q371" s="24">
        <v>0.6875</v>
      </c>
      <c r="R371" s="24">
        <v>18.566666666666663</v>
      </c>
      <c r="S371" s="10">
        <v>0.83531737074946644</v>
      </c>
      <c r="T371" s="25">
        <v>0.24183333333333326</v>
      </c>
      <c r="U371" s="25">
        <v>0.33712500000000006</v>
      </c>
      <c r="V371" s="25">
        <v>0.42108333333333331</v>
      </c>
      <c r="W371" s="25">
        <v>0.42389583333333358</v>
      </c>
      <c r="X371" s="25">
        <v>0.42566666666666647</v>
      </c>
      <c r="Y371" s="25">
        <v>0.32789583333333339</v>
      </c>
      <c r="Z371" s="25">
        <v>0.33385416666666673</v>
      </c>
      <c r="AA371" s="25">
        <v>0.29402083333333323</v>
      </c>
      <c r="AB371" s="25">
        <v>0.18756818181818177</v>
      </c>
      <c r="AC371" s="25">
        <v>0.111</v>
      </c>
      <c r="AD371" s="25">
        <v>0.2235</v>
      </c>
      <c r="AE371" s="27">
        <f t="shared" si="16"/>
        <v>0.33374999999999988</v>
      </c>
      <c r="AF371" s="27">
        <f t="shared" si="17"/>
        <v>0.35631250000000003</v>
      </c>
      <c r="AG371" s="27">
        <f t="shared" si="18"/>
        <v>0.35221022727272727</v>
      </c>
    </row>
    <row r="372" spans="1:33" x14ac:dyDescent="0.25">
      <c r="A372" s="9">
        <v>44079</v>
      </c>
      <c r="B372" s="3">
        <v>103.47598098511845</v>
      </c>
      <c r="C372" s="3">
        <v>111.31397412327929</v>
      </c>
      <c r="D372" s="3">
        <v>194.20297578875039</v>
      </c>
      <c r="E372" s="3">
        <v>386.69828324044653</v>
      </c>
      <c r="F372" s="3">
        <v>174.32068824186945</v>
      </c>
      <c r="G372" s="3">
        <v>136.15598668991032</v>
      </c>
      <c r="H372" s="3">
        <v>222.33029121234324</v>
      </c>
      <c r="I372" s="3">
        <v>168.9092988506705</v>
      </c>
      <c r="J372" s="23">
        <v>44079</v>
      </c>
      <c r="K372" s="24">
        <v>176.625</v>
      </c>
      <c r="L372" s="24">
        <v>83.295833333333348</v>
      </c>
      <c r="M372" s="24">
        <v>22.777083333333334</v>
      </c>
      <c r="N372" s="24">
        <v>6.8000000000000007</v>
      </c>
      <c r="O372" s="24">
        <v>229.89583333333334</v>
      </c>
      <c r="P372" s="24">
        <v>7.416666666666667</v>
      </c>
      <c r="Q372" s="24">
        <v>1.2916666666666667</v>
      </c>
      <c r="R372" s="24">
        <v>19.643749999999997</v>
      </c>
      <c r="S372" s="10">
        <v>0.51909976696176019</v>
      </c>
      <c r="T372" s="25">
        <v>0.24085416666666656</v>
      </c>
      <c r="U372" s="25">
        <v>0.33260416666666687</v>
      </c>
      <c r="V372" s="25">
        <v>0.41712500000000025</v>
      </c>
      <c r="W372" s="25">
        <v>0.42006250000000006</v>
      </c>
      <c r="X372" s="25">
        <v>0.42352083333333318</v>
      </c>
      <c r="Y372" s="25">
        <v>0.32560416666666631</v>
      </c>
      <c r="Z372" s="25">
        <v>0.330166666666667</v>
      </c>
      <c r="AA372" s="25">
        <v>0.2897916666666665</v>
      </c>
      <c r="AB372" s="25">
        <v>0.19615555555555553</v>
      </c>
      <c r="AC372" s="25">
        <v>0.12972727272727272</v>
      </c>
      <c r="AD372" s="25">
        <v>0.2377500000000001</v>
      </c>
      <c r="AE372" s="27">
        <f t="shared" si="16"/>
        <v>0.33218749999999986</v>
      </c>
      <c r="AF372" s="27">
        <f t="shared" si="17"/>
        <v>0.35255902777777787</v>
      </c>
      <c r="AG372" s="27">
        <f t="shared" si="18"/>
        <v>0.34885511363636373</v>
      </c>
    </row>
    <row r="373" spans="1:33" x14ac:dyDescent="0.25">
      <c r="A373" s="9">
        <v>44080</v>
      </c>
      <c r="B373" s="3">
        <v>112.79633917946283</v>
      </c>
      <c r="C373" s="3">
        <v>22.996836952057826</v>
      </c>
      <c r="D373" s="3">
        <v>46.927709894689848</v>
      </c>
      <c r="E373" s="3">
        <v>98.416172977127758</v>
      </c>
      <c r="F373" s="3">
        <v>53.626999841588642</v>
      </c>
      <c r="G373" s="3">
        <v>54.317732174244057</v>
      </c>
      <c r="H373" s="3">
        <v>178.16884116394883</v>
      </c>
      <c r="I373" s="3">
        <v>99.052755655438787</v>
      </c>
      <c r="J373" s="23">
        <v>44080</v>
      </c>
      <c r="K373" s="24">
        <v>84.270833333333329</v>
      </c>
      <c r="L373" s="24">
        <v>87.197916666666629</v>
      </c>
      <c r="M373" s="24">
        <v>20.110416666666662</v>
      </c>
      <c r="N373" s="24">
        <v>48.400000000000013</v>
      </c>
      <c r="O373" s="24">
        <v>196.35416666666666</v>
      </c>
      <c r="P373" s="24">
        <v>4.458333333333333</v>
      </c>
      <c r="Q373" s="24">
        <v>0.3125</v>
      </c>
      <c r="R373" s="24">
        <v>17.854166666666664</v>
      </c>
      <c r="S373" s="10">
        <v>0.31355872293256254</v>
      </c>
      <c r="T373" s="25">
        <v>0.37495833333333345</v>
      </c>
      <c r="U373" s="25">
        <v>0.4411041666666668</v>
      </c>
      <c r="V373" s="25">
        <v>0.53314583333333332</v>
      </c>
      <c r="W373" s="25">
        <v>0.55818750000000017</v>
      </c>
      <c r="X373" s="25">
        <v>0.57222916666666668</v>
      </c>
      <c r="Y373" s="25">
        <v>0.43162500000000009</v>
      </c>
      <c r="Z373" s="25">
        <v>0.35693750000000007</v>
      </c>
      <c r="AA373" s="25">
        <v>0.30252083333333307</v>
      </c>
      <c r="AB373" s="25">
        <v>0.38826086956521738</v>
      </c>
      <c r="AC373" s="25">
        <v>0.25856249999999997</v>
      </c>
      <c r="AD373" s="25">
        <v>0.43933333333333341</v>
      </c>
      <c r="AE373" s="27">
        <f t="shared" si="16"/>
        <v>0.47359375000000004</v>
      </c>
      <c r="AF373" s="27">
        <f t="shared" si="17"/>
        <v>0.43725347222222227</v>
      </c>
      <c r="AG373" s="27">
        <f t="shared" si="18"/>
        <v>0.44386079545454554</v>
      </c>
    </row>
    <row r="374" spans="1:33" x14ac:dyDescent="0.25">
      <c r="A374" s="9">
        <v>44081</v>
      </c>
      <c r="B374" s="3">
        <v>104.55059715468796</v>
      </c>
      <c r="C374" s="3">
        <v>94.108536102341731</v>
      </c>
      <c r="D374" s="3">
        <v>246.14827995906052</v>
      </c>
      <c r="E374" s="3">
        <v>298.45201619979207</v>
      </c>
      <c r="F374" s="3">
        <v>212.78471358619092</v>
      </c>
      <c r="G374" s="3">
        <v>269.89565623619535</v>
      </c>
      <c r="H374" s="3">
        <v>263.16198143759283</v>
      </c>
      <c r="I374" s="3">
        <v>172.17959012250847</v>
      </c>
      <c r="J374" s="23">
        <v>44081</v>
      </c>
      <c r="K374" s="24">
        <v>121.29166666666667</v>
      </c>
      <c r="L374" s="24">
        <v>80.939583333333331</v>
      </c>
      <c r="M374" s="24">
        <v>20.372916666666665</v>
      </c>
      <c r="N374" s="24">
        <v>0</v>
      </c>
      <c r="O374" s="24">
        <v>198.39583333333334</v>
      </c>
      <c r="P374" s="24">
        <v>3.3958333333333335</v>
      </c>
      <c r="Q374" s="24">
        <v>0</v>
      </c>
      <c r="R374" s="24">
        <v>16.927083333333332</v>
      </c>
      <c r="S374" s="10">
        <v>0.4819711981961981</v>
      </c>
      <c r="T374" s="25">
        <v>0.37745833333333323</v>
      </c>
      <c r="U374" s="25">
        <v>0.45718750000000047</v>
      </c>
      <c r="V374" s="25">
        <v>0.55174999999999985</v>
      </c>
      <c r="W374" s="25">
        <v>0.58091666666666653</v>
      </c>
      <c r="X374" s="25">
        <v>0.58527083333333307</v>
      </c>
      <c r="Y374" s="25">
        <v>0.43731249999999999</v>
      </c>
      <c r="Z374" s="25">
        <v>0.37354166666666672</v>
      </c>
      <c r="AA374" s="25">
        <v>0.30608333333333304</v>
      </c>
      <c r="AB374" s="25">
        <v>0.39714893617021285</v>
      </c>
      <c r="AC374" s="25">
        <v>0.23264583333333341</v>
      </c>
      <c r="AD374" s="25">
        <v>0.42860416666666684</v>
      </c>
      <c r="AE374" s="27">
        <f t="shared" si="16"/>
        <v>0.48136458333333315</v>
      </c>
      <c r="AF374" s="27">
        <f t="shared" si="17"/>
        <v>0.45113194444444443</v>
      </c>
      <c r="AG374" s="27">
        <f t="shared" si="18"/>
        <v>0.45662878787878786</v>
      </c>
    </row>
    <row r="375" spans="1:33" x14ac:dyDescent="0.25">
      <c r="A375" s="9">
        <v>44082</v>
      </c>
      <c r="B375" s="3">
        <v>88.378713180287434</v>
      </c>
      <c r="C375" s="3">
        <v>89.684260217759984</v>
      </c>
      <c r="D375" s="3">
        <v>234.15086405198545</v>
      </c>
      <c r="E375" s="3">
        <v>310.95924443323372</v>
      </c>
      <c r="F375" s="3">
        <v>190.69429820235266</v>
      </c>
      <c r="G375" s="3">
        <v>251.8348069892246</v>
      </c>
      <c r="H375" s="3">
        <v>188.28303997246351</v>
      </c>
      <c r="I375" s="3">
        <v>223.10252071376331</v>
      </c>
      <c r="J375" s="23">
        <v>44082</v>
      </c>
      <c r="K375" s="24">
        <v>106.54166666666667</v>
      </c>
      <c r="L375" s="24">
        <v>86.09375</v>
      </c>
      <c r="M375" s="24">
        <v>20.329166666666676</v>
      </c>
      <c r="N375" s="24">
        <v>2.8</v>
      </c>
      <c r="O375" s="24">
        <v>201.60416666666666</v>
      </c>
      <c r="P375" s="24">
        <v>1.2916666666666667</v>
      </c>
      <c r="Q375" s="24">
        <v>2.0833333333333332E-2</v>
      </c>
      <c r="R375" s="24">
        <v>17.827083333333331</v>
      </c>
      <c r="S375" s="10">
        <v>0.36350155857399752</v>
      </c>
      <c r="T375" s="25">
        <v>0.36300000000000016</v>
      </c>
      <c r="U375" s="25">
        <v>0.4489374999999996</v>
      </c>
      <c r="V375" s="25">
        <v>0.54308333333333325</v>
      </c>
      <c r="W375" s="25">
        <v>0.57260416666666658</v>
      </c>
      <c r="X375" s="25">
        <v>0.57554166666666673</v>
      </c>
      <c r="Y375" s="25">
        <v>0.42377083333333337</v>
      </c>
      <c r="Z375" s="25">
        <v>0.37345833333333323</v>
      </c>
      <c r="AA375" s="25">
        <v>0.30710416666666673</v>
      </c>
      <c r="AB375" s="25">
        <v>0.3878297872340426</v>
      </c>
      <c r="AC375" s="25">
        <v>0.22018749999999998</v>
      </c>
      <c r="AD375" s="25">
        <v>0.39579166666666671</v>
      </c>
      <c r="AE375" s="27">
        <f t="shared" si="16"/>
        <v>0.46927083333333341</v>
      </c>
      <c r="AF375" s="27">
        <f t="shared" si="17"/>
        <v>0.44482638888888887</v>
      </c>
      <c r="AG375" s="27">
        <f t="shared" si="18"/>
        <v>0.44927083333333334</v>
      </c>
    </row>
    <row r="376" spans="1:33" x14ac:dyDescent="0.25">
      <c r="A376" s="9">
        <v>44083</v>
      </c>
      <c r="B376" s="3">
        <v>168.02726846272355</v>
      </c>
      <c r="C376" s="3">
        <v>209.72285421217302</v>
      </c>
      <c r="D376" s="3">
        <v>328.79834336209285</v>
      </c>
      <c r="E376" s="3">
        <v>468.78991152827052</v>
      </c>
      <c r="F376" s="3">
        <v>327.95700333592788</v>
      </c>
      <c r="G376" s="3">
        <v>332.89531933738198</v>
      </c>
      <c r="H376" s="3">
        <v>335.70882203777057</v>
      </c>
      <c r="I376" s="3">
        <v>303.54580068490804</v>
      </c>
      <c r="J376" s="23">
        <v>44083</v>
      </c>
      <c r="K376" s="24">
        <v>199.64583333333334</v>
      </c>
      <c r="L376" s="24">
        <v>82.170833333333334</v>
      </c>
      <c r="M376" s="24">
        <v>22.497916666666658</v>
      </c>
      <c r="N376" s="24">
        <v>0.7</v>
      </c>
      <c r="O376" s="24">
        <v>228.08333333333334</v>
      </c>
      <c r="P376" s="24">
        <v>5.083333333333333</v>
      </c>
      <c r="Q376" s="24">
        <v>0.45833333333333331</v>
      </c>
      <c r="R376" s="24">
        <v>19.054166666666664</v>
      </c>
      <c r="S376" s="10">
        <v>0.57077725915487598</v>
      </c>
      <c r="T376" s="25">
        <v>0.3504374999999999</v>
      </c>
      <c r="U376" s="25">
        <v>0.44356250000000036</v>
      </c>
      <c r="V376" s="25">
        <v>0.53585416666666652</v>
      </c>
      <c r="W376" s="25">
        <v>0.56485416666666655</v>
      </c>
      <c r="X376" s="25">
        <v>0.56677083333333333</v>
      </c>
      <c r="Y376" s="25">
        <v>0.41168749999999976</v>
      </c>
      <c r="Z376" s="25">
        <v>0.37139583333333331</v>
      </c>
      <c r="AA376" s="25">
        <v>0.30770833333333342</v>
      </c>
      <c r="AB376" s="25">
        <v>0.38512499999999988</v>
      </c>
      <c r="AC376" s="25">
        <v>0.21797916666666664</v>
      </c>
      <c r="AD376" s="25">
        <v>0.36897916666666669</v>
      </c>
      <c r="AE376" s="27">
        <f t="shared" si="16"/>
        <v>0.45860416666666659</v>
      </c>
      <c r="AF376" s="27">
        <f t="shared" si="17"/>
        <v>0.43917708333333327</v>
      </c>
      <c r="AG376" s="27">
        <f t="shared" si="18"/>
        <v>0.44270928030303031</v>
      </c>
    </row>
    <row r="377" spans="1:33" x14ac:dyDescent="0.25">
      <c r="A377" s="9">
        <v>44084</v>
      </c>
      <c r="B377" s="3">
        <v>8.53491617965663</v>
      </c>
      <c r="C377" s="3">
        <v>13.261051824874366</v>
      </c>
      <c r="D377" s="3">
        <v>11.53159826625126</v>
      </c>
      <c r="E377" s="3">
        <v>13.932548178817376</v>
      </c>
      <c r="F377" s="3">
        <v>4.4104698626164556</v>
      </c>
      <c r="G377" s="3">
        <v>0.39482510707073881</v>
      </c>
      <c r="H377" s="3">
        <v>5.4977500740572864</v>
      </c>
      <c r="I377" s="3">
        <v>4.5044646849428807</v>
      </c>
      <c r="J377" s="23">
        <v>44084</v>
      </c>
      <c r="K377" s="24">
        <v>55.4375</v>
      </c>
      <c r="L377" s="24">
        <v>90.777083333333351</v>
      </c>
      <c r="M377" s="24">
        <v>20.658333333333328</v>
      </c>
      <c r="N377" s="24">
        <v>23.999999999999996</v>
      </c>
      <c r="O377" s="24">
        <v>235.10416666666666</v>
      </c>
      <c r="P377" s="24">
        <v>4.8125</v>
      </c>
      <c r="Q377" s="24">
        <v>0.52083333333333337</v>
      </c>
      <c r="R377" s="24">
        <v>19.087499999999995</v>
      </c>
      <c r="S377" s="10">
        <v>0.22590761274817439</v>
      </c>
      <c r="T377" s="25">
        <v>0.36039583333333347</v>
      </c>
      <c r="U377" s="25">
        <v>0.47202083333333356</v>
      </c>
      <c r="V377" s="25">
        <v>0.55787500000000012</v>
      </c>
      <c r="W377" s="25">
        <v>0.58277083333333313</v>
      </c>
      <c r="X377" s="25">
        <v>0.58216666666666661</v>
      </c>
      <c r="Y377" s="25">
        <v>0.43925000000000008</v>
      </c>
      <c r="Z377" s="25">
        <v>0.38643749999999993</v>
      </c>
      <c r="AA377" s="25">
        <v>0.32429166666666664</v>
      </c>
      <c r="AB377" s="25">
        <v>0.42033333333333345</v>
      </c>
      <c r="AC377" s="25">
        <v>0.25570833333333332</v>
      </c>
      <c r="AD377" s="25">
        <v>0.4077291666666667</v>
      </c>
      <c r="AE377" s="27">
        <f t="shared" si="16"/>
        <v>0.47128125000000004</v>
      </c>
      <c r="AF377" s="27">
        <f t="shared" si="17"/>
        <v>0.46044097222222219</v>
      </c>
      <c r="AG377" s="27">
        <f t="shared" si="18"/>
        <v>0.46241193181818185</v>
      </c>
    </row>
    <row r="378" spans="1:33" x14ac:dyDescent="0.25">
      <c r="A378" s="9">
        <v>44085</v>
      </c>
      <c r="B378" s="3">
        <v>34.363573626865033</v>
      </c>
      <c r="C378" s="3">
        <v>69.079838743395143</v>
      </c>
      <c r="D378" s="3">
        <v>62.138171960150565</v>
      </c>
      <c r="E378" s="3">
        <v>114.18145046899906</v>
      </c>
      <c r="F378" s="3">
        <v>164.81417361465327</v>
      </c>
      <c r="G378" s="3">
        <v>124.81222298373844</v>
      </c>
      <c r="H378" s="3">
        <v>198.72219603509802</v>
      </c>
      <c r="I378" s="3">
        <v>182.98470224218033</v>
      </c>
      <c r="J378" s="23">
        <v>44085</v>
      </c>
      <c r="K378" s="24">
        <v>92.854166666666671</v>
      </c>
      <c r="L378" s="24">
        <v>88.66249999999998</v>
      </c>
      <c r="M378" s="24">
        <v>20.183333333333334</v>
      </c>
      <c r="N378" s="24">
        <v>0.8</v>
      </c>
      <c r="O378" s="24">
        <v>274.60416666666669</v>
      </c>
      <c r="P378" s="24">
        <v>2.9166666666666665</v>
      </c>
      <c r="Q378" s="24">
        <v>2.0833333333333332E-2</v>
      </c>
      <c r="R378" s="24">
        <v>18.231249999999999</v>
      </c>
      <c r="S378" s="10">
        <v>0.27932895142493969</v>
      </c>
      <c r="T378" s="25">
        <v>0.385125</v>
      </c>
      <c r="U378" s="25">
        <v>0.50652083333333364</v>
      </c>
      <c r="V378" s="25">
        <v>0.58610416666666632</v>
      </c>
      <c r="W378" s="25">
        <v>0.60225000000000006</v>
      </c>
      <c r="X378" s="25">
        <v>0.60366666666666668</v>
      </c>
      <c r="Y378" s="25">
        <v>0.46910416666666649</v>
      </c>
      <c r="Z378" s="25">
        <v>0.41295833333333332</v>
      </c>
      <c r="AA378" s="25">
        <v>0.33918749999999992</v>
      </c>
      <c r="AB378" s="25">
        <v>0.43441860465116272</v>
      </c>
      <c r="AC378" s="25">
        <v>0.2613125</v>
      </c>
      <c r="AD378" s="25">
        <v>0.4641458333333332</v>
      </c>
      <c r="AE378" s="27">
        <f t="shared" si="16"/>
        <v>0.49439583333333337</v>
      </c>
      <c r="AF378" s="27">
        <f t="shared" si="17"/>
        <v>0.48602083333333329</v>
      </c>
      <c r="AG378" s="27">
        <f t="shared" si="18"/>
        <v>0.48754356060606058</v>
      </c>
    </row>
    <row r="379" spans="1:33" x14ac:dyDescent="0.25">
      <c r="A379" s="9">
        <v>44086</v>
      </c>
      <c r="B379" s="3">
        <v>1.4284019632315537</v>
      </c>
      <c r="C379" s="3">
        <v>76.672753342270354</v>
      </c>
      <c r="D379" s="3">
        <v>3.8432451468160522</v>
      </c>
      <c r="E379" s="3">
        <v>1.1193857099621922</v>
      </c>
      <c r="F379" s="3">
        <v>11.674251689819503</v>
      </c>
      <c r="G379" s="3">
        <v>1.4275282413389436</v>
      </c>
      <c r="H379" s="3">
        <v>34.994421425617524</v>
      </c>
      <c r="I379" s="3">
        <v>19.708359913231547</v>
      </c>
      <c r="J379" s="23">
        <v>44086</v>
      </c>
      <c r="K379" s="24">
        <v>47.6875</v>
      </c>
      <c r="L379" s="24">
        <v>94.28125</v>
      </c>
      <c r="M379" s="24">
        <v>17.954166666666662</v>
      </c>
      <c r="N379" s="24">
        <v>2.1999999999999997</v>
      </c>
      <c r="O379" s="24">
        <v>223.66666666666666</v>
      </c>
      <c r="P379" s="24">
        <v>2.2291666666666665</v>
      </c>
      <c r="Q379" s="24">
        <v>0</v>
      </c>
      <c r="R379" s="24">
        <v>17.018750000000008</v>
      </c>
      <c r="S379" s="10">
        <v>0.11919354633972611</v>
      </c>
      <c r="T379" s="25">
        <v>0.37985416666666666</v>
      </c>
      <c r="U379" s="25">
        <v>0.50056249999999969</v>
      </c>
      <c r="V379" s="25">
        <v>0.58166666666666633</v>
      </c>
      <c r="W379" s="25">
        <v>0.59791666666666743</v>
      </c>
      <c r="X379" s="25">
        <v>0.59802083333333367</v>
      </c>
      <c r="Y379" s="25">
        <v>0.46050000000000008</v>
      </c>
      <c r="Z379" s="25">
        <v>0.41241666666666671</v>
      </c>
      <c r="AA379" s="25">
        <v>0.33947916666666672</v>
      </c>
      <c r="AB379" s="25">
        <v>0.42719565217391298</v>
      </c>
      <c r="AC379" s="25">
        <v>0.25491666666666685</v>
      </c>
      <c r="AD379" s="25">
        <v>0.45010416666666658</v>
      </c>
      <c r="AE379" s="27">
        <f t="shared" si="16"/>
        <v>0.48893750000000014</v>
      </c>
      <c r="AF379" s="27">
        <f t="shared" si="17"/>
        <v>0.4820902777777778</v>
      </c>
      <c r="AG379" s="27">
        <f t="shared" si="18"/>
        <v>0.48333522727272732</v>
      </c>
    </row>
    <row r="380" spans="1:33" x14ac:dyDescent="0.25">
      <c r="A380" s="9">
        <v>44087</v>
      </c>
      <c r="B380" s="3">
        <v>9.6923727787814062</v>
      </c>
      <c r="C380" s="3">
        <v>58.233389665634469</v>
      </c>
      <c r="D380" s="3">
        <v>3.2317529698242109</v>
      </c>
      <c r="E380" s="3">
        <v>6.2591667591468312</v>
      </c>
      <c r="F380" s="3">
        <v>3.7775841245162637E-3</v>
      </c>
      <c r="G380" s="3">
        <v>0.24109640895470455</v>
      </c>
      <c r="H380" s="3">
        <v>26.990110986395518</v>
      </c>
      <c r="I380" s="3">
        <v>17.236927878751906</v>
      </c>
      <c r="J380" s="23">
        <v>44087</v>
      </c>
      <c r="K380" s="24">
        <v>41.854166666666664</v>
      </c>
      <c r="L380" s="24">
        <v>95.589583333333351</v>
      </c>
      <c r="M380" s="24">
        <v>18.497916666666661</v>
      </c>
      <c r="N380" s="24">
        <v>43.599999999999994</v>
      </c>
      <c r="O380" s="24">
        <v>243.33333333333334</v>
      </c>
      <c r="P380" s="24">
        <v>2.6041666666666665</v>
      </c>
      <c r="Q380" s="24">
        <v>0</v>
      </c>
      <c r="R380" s="24">
        <v>17.77708333333333</v>
      </c>
      <c r="S380" s="10">
        <v>9.4567658149389514E-2</v>
      </c>
      <c r="T380" s="25">
        <v>0.43552083333333336</v>
      </c>
      <c r="U380" s="25">
        <v>0.5368750000000001</v>
      </c>
      <c r="V380" s="25">
        <v>0.59887499999999971</v>
      </c>
      <c r="W380" s="25">
        <v>0.62372916666666633</v>
      </c>
      <c r="X380" s="25">
        <v>0.61239583333333314</v>
      </c>
      <c r="Y380" s="25">
        <v>0.49318750000000006</v>
      </c>
      <c r="Z380" s="25">
        <v>0.43920833333333342</v>
      </c>
      <c r="AA380" s="25">
        <v>0.37229166666666652</v>
      </c>
      <c r="AB380" s="25">
        <v>0.46399999999999997</v>
      </c>
      <c r="AC380" s="25">
        <v>0.32104166666666678</v>
      </c>
      <c r="AD380" s="25">
        <v>0.49197916666666669</v>
      </c>
      <c r="AE380" s="27">
        <f t="shared" si="16"/>
        <v>0.5239583333333333</v>
      </c>
      <c r="AF380" s="27">
        <f t="shared" si="17"/>
        <v>0.51069444444444434</v>
      </c>
      <c r="AG380" s="27">
        <f t="shared" si="18"/>
        <v>0.51310606060606045</v>
      </c>
    </row>
    <row r="381" spans="1:33" x14ac:dyDescent="0.25">
      <c r="A381" s="9">
        <v>44088</v>
      </c>
      <c r="B381" s="3">
        <v>1.3113267771987547</v>
      </c>
      <c r="C381" s="3">
        <v>11.802431477413307</v>
      </c>
      <c r="D381" s="3">
        <v>7.9219345754469233</v>
      </c>
      <c r="E381" s="3">
        <v>7.3933950966243067</v>
      </c>
      <c r="F381" s="3">
        <v>0.20713035898104695</v>
      </c>
      <c r="G381" s="3">
        <v>0.8038685918569094</v>
      </c>
      <c r="H381" s="3">
        <v>15.296596807026067</v>
      </c>
      <c r="I381" s="3">
        <v>2.8286900337095342</v>
      </c>
      <c r="J381" s="23">
        <v>44088</v>
      </c>
      <c r="K381" s="24">
        <v>37.958333333333336</v>
      </c>
      <c r="L381" s="24">
        <v>96.270833333333314</v>
      </c>
      <c r="M381" s="24">
        <v>16.735416666666666</v>
      </c>
      <c r="N381" s="24">
        <v>97.100000000000023</v>
      </c>
      <c r="O381" s="24">
        <v>249.08333333333334</v>
      </c>
      <c r="P381" s="24">
        <v>1.4583333333333333</v>
      </c>
      <c r="Q381" s="24">
        <v>0</v>
      </c>
      <c r="R381" s="24">
        <v>16.139583333333327</v>
      </c>
      <c r="S381" s="10">
        <v>7.2009670918615348E-2</v>
      </c>
      <c r="T381" s="25">
        <v>0.50268750000000018</v>
      </c>
      <c r="U381" s="25">
        <v>0.57522916666666657</v>
      </c>
      <c r="V381" s="25">
        <v>0.6170416666666666</v>
      </c>
      <c r="W381" s="25">
        <v>0.6378541666666665</v>
      </c>
      <c r="X381" s="25">
        <v>0.62543749999999987</v>
      </c>
      <c r="Y381" s="25">
        <v>0.57381250000000006</v>
      </c>
      <c r="Z381" s="25">
        <v>0.50675000000000014</v>
      </c>
      <c r="AA381" s="25">
        <v>0.46283333333333326</v>
      </c>
      <c r="AB381" s="25">
        <v>0.56436585365853653</v>
      </c>
      <c r="AC381" s="25">
        <v>0.52543749999999978</v>
      </c>
      <c r="AD381" s="25">
        <v>0.55358333333333354</v>
      </c>
      <c r="AE381" s="27">
        <f t="shared" si="16"/>
        <v>0.56406250000000002</v>
      </c>
      <c r="AF381" s="27">
        <f t="shared" si="17"/>
        <v>0.56225347222222222</v>
      </c>
      <c r="AG381" s="27">
        <f t="shared" si="18"/>
        <v>0.56258238636363633</v>
      </c>
    </row>
    <row r="382" spans="1:33" x14ac:dyDescent="0.25">
      <c r="A382" s="9">
        <v>44089</v>
      </c>
      <c r="B382" s="3">
        <v>5.0052630316957343</v>
      </c>
      <c r="C382" s="3">
        <v>6.54567222414311</v>
      </c>
      <c r="D382" s="3">
        <v>6.4327104311299754</v>
      </c>
      <c r="E382" s="3">
        <v>6.1021430263571181</v>
      </c>
      <c r="F382" s="3">
        <v>0</v>
      </c>
      <c r="G382" s="3">
        <v>3.0043449196130845</v>
      </c>
      <c r="H382" s="3">
        <v>11.58223776802334</v>
      </c>
      <c r="I382" s="3">
        <v>6.7145658986482903</v>
      </c>
      <c r="J382" s="23">
        <v>44089</v>
      </c>
      <c r="K382" s="24">
        <v>28.083333333333332</v>
      </c>
      <c r="L382" s="24">
        <v>96.779166666666683</v>
      </c>
      <c r="M382" s="24">
        <v>17.541666666666668</v>
      </c>
      <c r="N382" s="24">
        <v>22.699999999999996</v>
      </c>
      <c r="O382" s="24">
        <v>254.66666666666666</v>
      </c>
      <c r="P382" s="24">
        <v>0.625</v>
      </c>
      <c r="Q382" s="24">
        <v>0</v>
      </c>
      <c r="R382" s="24">
        <v>17.016666666666666</v>
      </c>
      <c r="S382" s="10">
        <v>6.5064293796034026E-2</v>
      </c>
      <c r="T382" s="25">
        <v>0.46877083333333314</v>
      </c>
      <c r="U382" s="25">
        <v>0.55808333333333315</v>
      </c>
      <c r="V382" s="25">
        <v>0.60343749999999985</v>
      </c>
      <c r="W382" s="25">
        <v>0.62118749999999967</v>
      </c>
      <c r="X382" s="25">
        <v>0.61768749999999961</v>
      </c>
      <c r="Y382" s="25">
        <v>0.5291458333333332</v>
      </c>
      <c r="Z382" s="25">
        <v>0.4824583333333336</v>
      </c>
      <c r="AA382" s="25">
        <v>0.43020833333333347</v>
      </c>
      <c r="AB382" s="25">
        <v>0.48885294117647055</v>
      </c>
      <c r="AC382" s="25">
        <v>0.31506250000000002</v>
      </c>
      <c r="AD382" s="25">
        <v>0.52422916666666663</v>
      </c>
      <c r="AE382" s="27">
        <f t="shared" si="16"/>
        <v>0.54322916666666643</v>
      </c>
      <c r="AF382" s="27">
        <f t="shared" si="17"/>
        <v>0.53742013888888873</v>
      </c>
      <c r="AG382" s="27">
        <f t="shared" si="18"/>
        <v>0.53847632575757554</v>
      </c>
    </row>
    <row r="383" spans="1:33" x14ac:dyDescent="0.25">
      <c r="A383" s="9">
        <v>44090</v>
      </c>
      <c r="B383" s="3">
        <v>0.97914928199891549</v>
      </c>
      <c r="C383" s="3">
        <v>5.1293321843422026</v>
      </c>
      <c r="D383" s="3">
        <v>8.3607692024527918</v>
      </c>
      <c r="E383" s="3">
        <v>50.290506163902087</v>
      </c>
      <c r="F383" s="3">
        <v>0.18373273021255862</v>
      </c>
      <c r="G383" s="3">
        <v>3.4730667275687854</v>
      </c>
      <c r="H383" s="3">
        <v>11.285320901181821</v>
      </c>
      <c r="I383" s="3">
        <v>23.64624231050999</v>
      </c>
      <c r="J383" s="23">
        <v>44090</v>
      </c>
      <c r="K383" s="24">
        <v>47.6875</v>
      </c>
      <c r="L383" s="24">
        <v>95.512499999999989</v>
      </c>
      <c r="M383" s="24">
        <v>17.422916666666659</v>
      </c>
      <c r="N383" s="24">
        <v>57.60000000000003</v>
      </c>
      <c r="O383" s="24">
        <v>208.16666666666666</v>
      </c>
      <c r="P383" s="24">
        <v>2</v>
      </c>
      <c r="Q383" s="24">
        <v>0</v>
      </c>
      <c r="R383" s="24">
        <v>16.693749999999998</v>
      </c>
      <c r="S383" s="10">
        <v>9.2639622869281638E-2</v>
      </c>
      <c r="T383" s="25">
        <v>0.49104166666666643</v>
      </c>
      <c r="U383" s="25">
        <v>0.56770833333333326</v>
      </c>
      <c r="V383" s="25">
        <v>0.61064583333333333</v>
      </c>
      <c r="W383" s="25">
        <v>0.63206249999999964</v>
      </c>
      <c r="X383" s="25">
        <v>0.6220833333333331</v>
      </c>
      <c r="Y383" s="25">
        <v>0.55237499999999973</v>
      </c>
      <c r="Z383" s="25">
        <v>0.49516666666666692</v>
      </c>
      <c r="AA383" s="25">
        <v>0.45102083333333343</v>
      </c>
      <c r="AB383" s="25">
        <v>0.53736842105263161</v>
      </c>
      <c r="AC383" s="25">
        <v>0.46347916666666628</v>
      </c>
      <c r="AD383" s="25">
        <v>0.54649999999999987</v>
      </c>
      <c r="AE383" s="27">
        <f t="shared" si="16"/>
        <v>0.55656249999999974</v>
      </c>
      <c r="AF383" s="27">
        <f t="shared" si="17"/>
        <v>0.55149652777777769</v>
      </c>
      <c r="AG383" s="27">
        <f t="shared" si="18"/>
        <v>0.55241761363636355</v>
      </c>
    </row>
    <row r="384" spans="1:33" x14ac:dyDescent="0.25">
      <c r="A384" s="9">
        <v>44091</v>
      </c>
      <c r="B384" s="3">
        <v>0.48713966184333435</v>
      </c>
      <c r="C384" s="3">
        <v>6.3357925294251736</v>
      </c>
      <c r="D384" s="3">
        <v>93.91909269527369</v>
      </c>
      <c r="E384" s="3">
        <v>21.181488582572054</v>
      </c>
      <c r="F384" s="3">
        <v>0.11233844274415555</v>
      </c>
      <c r="G384" s="3">
        <v>19.555713806342258</v>
      </c>
      <c r="H384" s="3">
        <v>3.0707091191468119</v>
      </c>
      <c r="I384" s="3">
        <v>104.39340861632205</v>
      </c>
      <c r="J384" s="23">
        <v>44091</v>
      </c>
      <c r="K384" s="24">
        <v>54.541666666666664</v>
      </c>
      <c r="L384" s="24">
        <v>93.11875000000002</v>
      </c>
      <c r="M384" s="24">
        <v>16.608333333333331</v>
      </c>
      <c r="N384" s="24">
        <v>69.600000000000023</v>
      </c>
      <c r="O384" s="24">
        <v>177.27083333333334</v>
      </c>
      <c r="P384" s="24">
        <v>3.7708333333333335</v>
      </c>
      <c r="Q384" s="24">
        <v>0</v>
      </c>
      <c r="R384" s="24">
        <v>15.48124999999999</v>
      </c>
      <c r="S384" s="10">
        <v>0.12772949917834575</v>
      </c>
      <c r="T384" s="25">
        <v>0.50406249999999997</v>
      </c>
      <c r="U384" s="25">
        <v>0.5671666666666666</v>
      </c>
      <c r="V384" s="25">
        <v>0.60931250000000015</v>
      </c>
      <c r="W384" s="25">
        <v>0.62900000000000011</v>
      </c>
      <c r="X384" s="25">
        <v>0.62439583333333315</v>
      </c>
      <c r="Y384" s="25">
        <v>0.55445833333333316</v>
      </c>
      <c r="Z384" s="25">
        <v>0.49616666666666687</v>
      </c>
      <c r="AA384" s="25">
        <v>0.45020833333333349</v>
      </c>
      <c r="AB384" s="25">
        <v>0.54935714285714288</v>
      </c>
      <c r="AC384" s="25">
        <v>0.45031249999999995</v>
      </c>
      <c r="AD384" s="25">
        <v>0.55822916666666644</v>
      </c>
      <c r="AE384" s="27">
        <f t="shared" si="16"/>
        <v>0.56422916666666656</v>
      </c>
      <c r="AF384" s="27">
        <f t="shared" si="17"/>
        <v>0.55105208333333333</v>
      </c>
      <c r="AG384" s="27">
        <f t="shared" si="18"/>
        <v>0.5534479166666666</v>
      </c>
    </row>
    <row r="385" spans="1:33" x14ac:dyDescent="0.25">
      <c r="A385" s="9">
        <v>44092</v>
      </c>
      <c r="B385" s="3">
        <v>13.060367289820729</v>
      </c>
      <c r="C385" s="3">
        <v>64.070636413358841</v>
      </c>
      <c r="D385" s="3">
        <v>102.94503845179466</v>
      </c>
      <c r="E385" s="3">
        <v>134.62634793721725</v>
      </c>
      <c r="F385" s="3">
        <v>147.86485296969312</v>
      </c>
      <c r="G385" s="3">
        <v>129.72645215753423</v>
      </c>
      <c r="H385" s="3">
        <v>103.83735511475147</v>
      </c>
      <c r="I385" s="3">
        <v>188.44472299660362</v>
      </c>
      <c r="J385" s="23">
        <v>44092</v>
      </c>
      <c r="K385" s="24">
        <v>86</v>
      </c>
      <c r="L385" s="24">
        <v>86.356250000000003</v>
      </c>
      <c r="M385" s="24">
        <v>15.956249999999997</v>
      </c>
      <c r="N385" s="24">
        <v>0</v>
      </c>
      <c r="O385" s="24">
        <v>230.5625</v>
      </c>
      <c r="P385" s="24">
        <v>3.0833333333333335</v>
      </c>
      <c r="Q385" s="24">
        <v>0</v>
      </c>
      <c r="R385" s="24">
        <v>13.652083333333337</v>
      </c>
      <c r="S385" s="10">
        <v>0.25914933858694983</v>
      </c>
      <c r="T385" s="25">
        <v>0.44347916666666665</v>
      </c>
      <c r="U385" s="25">
        <v>0.53712500000000019</v>
      </c>
      <c r="V385" s="25">
        <v>0.58906249999999949</v>
      </c>
      <c r="W385" s="25">
        <v>0.60060416666666672</v>
      </c>
      <c r="X385" s="25">
        <v>0.60552083333333317</v>
      </c>
      <c r="Y385" s="25">
        <v>0.50706250000000008</v>
      </c>
      <c r="Z385" s="25">
        <v>0.47197916666666678</v>
      </c>
      <c r="AA385" s="25">
        <v>0.41193750000000001</v>
      </c>
      <c r="AB385" s="25">
        <v>0.45754285714285714</v>
      </c>
      <c r="AC385" s="25">
        <v>0.27095833333333341</v>
      </c>
      <c r="AD385" s="25">
        <v>0.49993749999999992</v>
      </c>
      <c r="AE385" s="27">
        <f t="shared" si="16"/>
        <v>0.52449999999999997</v>
      </c>
      <c r="AF385" s="27">
        <f t="shared" si="17"/>
        <v>0.51962847222222219</v>
      </c>
      <c r="AG385" s="27">
        <f t="shared" si="18"/>
        <v>0.52051420454545461</v>
      </c>
    </row>
    <row r="386" spans="1:33" x14ac:dyDescent="0.25">
      <c r="A386" s="9">
        <v>44093</v>
      </c>
      <c r="B386" s="3">
        <v>0</v>
      </c>
      <c r="C386" s="3">
        <v>49.699476818595599</v>
      </c>
      <c r="D386" s="3">
        <v>0.3302675575984374</v>
      </c>
      <c r="E386" s="3">
        <v>2.0056068686826261</v>
      </c>
      <c r="F386" s="3">
        <v>16.911800992071282</v>
      </c>
      <c r="G386" s="3">
        <v>2.7859856983981288</v>
      </c>
      <c r="H386" s="3">
        <v>6.2329992551002498</v>
      </c>
      <c r="I386" s="3">
        <v>47.610041377783382</v>
      </c>
      <c r="J386" s="23">
        <v>44093</v>
      </c>
      <c r="K386" s="24">
        <v>72.75</v>
      </c>
      <c r="L386" s="24">
        <v>91.870833333333337</v>
      </c>
      <c r="M386" s="24">
        <v>15.766666666666671</v>
      </c>
      <c r="N386" s="24">
        <v>3.0000000000000004</v>
      </c>
      <c r="O386" s="24">
        <v>221.8125</v>
      </c>
      <c r="P386" s="24">
        <v>2</v>
      </c>
      <c r="Q386" s="24">
        <v>0</v>
      </c>
      <c r="R386" s="24">
        <v>14.445833333333335</v>
      </c>
      <c r="S386" s="10">
        <v>0.14395205491153151</v>
      </c>
      <c r="T386" s="25">
        <v>0.44060416666666663</v>
      </c>
      <c r="U386" s="25">
        <v>0.53116666666666668</v>
      </c>
      <c r="V386" s="25">
        <v>0.58418749999999964</v>
      </c>
      <c r="W386" s="25">
        <v>0.595291666666667</v>
      </c>
      <c r="X386" s="25">
        <v>0.60064583333333321</v>
      </c>
      <c r="Y386" s="25">
        <v>0.50062499999999999</v>
      </c>
      <c r="Z386" s="25">
        <v>0.46772916666666636</v>
      </c>
      <c r="AA386" s="25">
        <v>0.40691666666666654</v>
      </c>
      <c r="AB386" s="25">
        <v>0.4524634146341463</v>
      </c>
      <c r="AC386" s="25">
        <v>0.26768750000000008</v>
      </c>
      <c r="AD386" s="25">
        <v>0.49235416666666687</v>
      </c>
      <c r="AE386" s="27">
        <f t="shared" si="16"/>
        <v>0.52062499999999989</v>
      </c>
      <c r="AF386" s="27">
        <f t="shared" si="17"/>
        <v>0.51431944444444444</v>
      </c>
      <c r="AG386" s="27">
        <f t="shared" si="18"/>
        <v>0.51546590909090906</v>
      </c>
    </row>
    <row r="387" spans="1:33" x14ac:dyDescent="0.25">
      <c r="A387" s="9">
        <v>44094</v>
      </c>
      <c r="B387" s="3">
        <v>57.311074833128465</v>
      </c>
      <c r="C387" s="3">
        <v>44.350571768473174</v>
      </c>
      <c r="D387" s="3">
        <v>140.30264269887402</v>
      </c>
      <c r="E387" s="3">
        <v>156.01786023723554</v>
      </c>
      <c r="F387" s="3">
        <v>252.44498225079369</v>
      </c>
      <c r="G387" s="3">
        <v>207.7444450551443</v>
      </c>
      <c r="H387" s="3">
        <v>253.13625456481026</v>
      </c>
      <c r="I387" s="3">
        <v>225.12306180165805</v>
      </c>
      <c r="J387" s="23">
        <v>44094</v>
      </c>
      <c r="K387" s="24">
        <v>116.41666666666667</v>
      </c>
      <c r="L387" s="24">
        <v>89.466666666666683</v>
      </c>
      <c r="M387" s="24">
        <v>18.916666666666664</v>
      </c>
      <c r="N387" s="24">
        <v>1.2</v>
      </c>
      <c r="O387" s="24">
        <v>219.08333333333334</v>
      </c>
      <c r="P387" s="24">
        <v>5.4375</v>
      </c>
      <c r="Q387" s="24">
        <v>0.60416666666666663</v>
      </c>
      <c r="R387" s="24">
        <v>17.070833333333333</v>
      </c>
      <c r="S387" s="10">
        <v>0.2580243093805582</v>
      </c>
      <c r="T387" s="25">
        <v>0.4479999999999999</v>
      </c>
      <c r="U387" s="25">
        <v>0.5366875000000001</v>
      </c>
      <c r="V387" s="25">
        <v>0.58810416666666665</v>
      </c>
      <c r="W387" s="25">
        <v>0.59606250000000005</v>
      </c>
      <c r="X387" s="25">
        <v>0.60210416666666722</v>
      </c>
      <c r="Y387" s="25">
        <v>0.49849999999999967</v>
      </c>
      <c r="Z387" s="25">
        <v>0.46618749999999992</v>
      </c>
      <c r="AA387" s="25">
        <v>0.40474999999999978</v>
      </c>
      <c r="AB387" s="25">
        <v>0.45125000000000015</v>
      </c>
      <c r="AC387" s="25">
        <v>0.26545833333333335</v>
      </c>
      <c r="AD387" s="25">
        <v>0.49518749999999984</v>
      </c>
      <c r="AE387" s="27">
        <f t="shared" si="16"/>
        <v>0.52505208333333353</v>
      </c>
      <c r="AF387" s="27">
        <f t="shared" si="17"/>
        <v>0.515048611111111</v>
      </c>
      <c r="AG387" s="27">
        <f t="shared" si="18"/>
        <v>0.51686742424242416</v>
      </c>
    </row>
    <row r="388" spans="1:33" x14ac:dyDescent="0.25">
      <c r="A388" s="9">
        <v>44095</v>
      </c>
      <c r="B388" s="3">
        <v>59.061552753167973</v>
      </c>
      <c r="C388" s="3">
        <v>145.09042526982188</v>
      </c>
      <c r="D388" s="3">
        <v>202.16793789253646</v>
      </c>
      <c r="E388" s="3">
        <v>229.79715933910612</v>
      </c>
      <c r="F388" s="3">
        <v>293.03856148702891</v>
      </c>
      <c r="G388" s="3">
        <v>221.53212651478842</v>
      </c>
      <c r="H388" s="3">
        <v>238.0758585184189</v>
      </c>
      <c r="I388" s="3">
        <v>165.93092290582214</v>
      </c>
      <c r="J388" s="23">
        <v>44095</v>
      </c>
      <c r="K388" s="24">
        <v>130.0625</v>
      </c>
      <c r="L388" s="24">
        <v>87.537500000000023</v>
      </c>
      <c r="M388" s="24">
        <v>20.218750000000004</v>
      </c>
      <c r="N388" s="24">
        <v>0.2</v>
      </c>
      <c r="O388" s="24">
        <v>234.14583333333334</v>
      </c>
      <c r="P388" s="24">
        <v>11.666666666666666</v>
      </c>
      <c r="Q388" s="24">
        <v>1.9375</v>
      </c>
      <c r="R388" s="24">
        <v>18.020833333333339</v>
      </c>
      <c r="S388" s="10">
        <v>0.31866418686983872</v>
      </c>
      <c r="T388" s="25">
        <v>0.43704166666666677</v>
      </c>
      <c r="U388" s="25">
        <v>0.5305624999999996</v>
      </c>
      <c r="V388" s="25">
        <v>0.58535416666666629</v>
      </c>
      <c r="W388" s="25">
        <v>0.59518750000000042</v>
      </c>
      <c r="X388" s="25">
        <v>0.60185416666666647</v>
      </c>
      <c r="Y388" s="25">
        <v>0.49622916666666655</v>
      </c>
      <c r="Z388" s="25">
        <v>0.46489583333333312</v>
      </c>
      <c r="AA388" s="25">
        <v>0.40316666666666673</v>
      </c>
      <c r="AB388" s="25">
        <v>0.44585416666666672</v>
      </c>
      <c r="AC388" s="25">
        <v>0.26047916666666654</v>
      </c>
      <c r="AD388" s="25">
        <v>0.47958333333333342</v>
      </c>
      <c r="AE388" s="27">
        <f t="shared" si="16"/>
        <v>0.51944791666666656</v>
      </c>
      <c r="AF388" s="27">
        <f t="shared" si="17"/>
        <v>0.51256597222222211</v>
      </c>
      <c r="AG388" s="27">
        <f t="shared" si="18"/>
        <v>0.51381723484848474</v>
      </c>
    </row>
    <row r="389" spans="1:33" x14ac:dyDescent="0.25">
      <c r="A389" s="9">
        <v>44096</v>
      </c>
      <c r="B389" s="3">
        <v>8.9308473256126959</v>
      </c>
      <c r="C389" s="3">
        <v>58.346479860170597</v>
      </c>
      <c r="D389" s="3">
        <v>8.7191779855263292</v>
      </c>
      <c r="E389" s="3">
        <v>16.074866869942817</v>
      </c>
      <c r="F389" s="3">
        <v>67.821894843991771</v>
      </c>
      <c r="G389" s="3">
        <v>25.173095302445766</v>
      </c>
      <c r="H389" s="3">
        <v>113.15646541193911</v>
      </c>
      <c r="I389" s="3">
        <v>29.801524051236033</v>
      </c>
      <c r="J389" s="23">
        <v>44096</v>
      </c>
      <c r="K389" s="24">
        <v>57.0625</v>
      </c>
      <c r="L389" s="24">
        <v>89.597916666666677</v>
      </c>
      <c r="M389" s="24">
        <v>17.44583333333334</v>
      </c>
      <c r="N389" s="24">
        <v>15.299999999999999</v>
      </c>
      <c r="O389" s="24">
        <v>199.08333333333334</v>
      </c>
      <c r="P389" s="24">
        <v>3.5</v>
      </c>
      <c r="Q389" s="24">
        <v>0.10416666666666667</v>
      </c>
      <c r="R389" s="24">
        <v>15.700000000000003</v>
      </c>
      <c r="S389" s="10">
        <v>0.2116112430015821</v>
      </c>
      <c r="T389" s="25">
        <v>0.45985416666666651</v>
      </c>
      <c r="U389" s="25">
        <v>0.54810416666666661</v>
      </c>
      <c r="V389" s="25">
        <v>0.59666666666666679</v>
      </c>
      <c r="W389" s="25">
        <v>0.60910416666666689</v>
      </c>
      <c r="X389" s="25">
        <v>0.61372916666666644</v>
      </c>
      <c r="Y389" s="25">
        <v>0.51641666666666663</v>
      </c>
      <c r="Z389" s="25">
        <v>0.47179166666666661</v>
      </c>
      <c r="AA389" s="25">
        <v>0.4098541666666668</v>
      </c>
      <c r="AB389" s="25">
        <v>0.47213636363636363</v>
      </c>
      <c r="AC389" s="25">
        <v>0.28931249999999992</v>
      </c>
      <c r="AD389" s="25">
        <v>0.51168750000000018</v>
      </c>
      <c r="AE389" s="27">
        <f t="shared" si="16"/>
        <v>0.53679166666666644</v>
      </c>
      <c r="AF389" s="27">
        <f t="shared" si="17"/>
        <v>0.52532291666666675</v>
      </c>
      <c r="AG389" s="27">
        <f t="shared" si="18"/>
        <v>0.52740814393939406</v>
      </c>
    </row>
    <row r="390" spans="1:33" x14ac:dyDescent="0.25">
      <c r="A390" s="9">
        <v>44097</v>
      </c>
      <c r="B390" s="3">
        <v>9.758647736573419</v>
      </c>
      <c r="C390" s="3">
        <v>44.663891810630432</v>
      </c>
      <c r="D390" s="3">
        <v>30.073486948225863</v>
      </c>
      <c r="E390" s="3">
        <v>49.87137435106559</v>
      </c>
      <c r="F390" s="3">
        <v>119.31638355683479</v>
      </c>
      <c r="G390" s="3">
        <v>49.526321475161687</v>
      </c>
      <c r="H390" s="3">
        <v>131.18725591154336</v>
      </c>
      <c r="I390" s="3">
        <v>43.667305770012753</v>
      </c>
      <c r="J390" s="23">
        <v>44097</v>
      </c>
      <c r="K390" s="24">
        <v>71.166666666666671</v>
      </c>
      <c r="L390" s="24">
        <v>88.441666666666649</v>
      </c>
      <c r="M390" s="24">
        <v>15.958333333333336</v>
      </c>
      <c r="N390" s="24">
        <v>0.4</v>
      </c>
      <c r="O390" s="24">
        <v>241.875</v>
      </c>
      <c r="P390" s="24">
        <v>2.3333333333333335</v>
      </c>
      <c r="Q390" s="24">
        <v>0</v>
      </c>
      <c r="R390" s="24">
        <v>14.029166666666669</v>
      </c>
      <c r="S390" s="10">
        <v>0.21442741072654561</v>
      </c>
      <c r="T390" s="25">
        <v>0.44408333333333377</v>
      </c>
      <c r="U390" s="25">
        <v>0.53808333333333325</v>
      </c>
      <c r="V390" s="25">
        <v>0.58991666666666664</v>
      </c>
      <c r="W390" s="25">
        <v>0.60145833333333354</v>
      </c>
      <c r="X390" s="25">
        <v>0.60725000000000029</v>
      </c>
      <c r="Y390" s="25">
        <v>0.50941666666666663</v>
      </c>
      <c r="Z390" s="25">
        <v>0.47152083333333333</v>
      </c>
      <c r="AA390" s="25">
        <v>0.40956250000000005</v>
      </c>
      <c r="AB390" s="25">
        <v>0.4637222222222222</v>
      </c>
      <c r="AC390" s="25">
        <v>0.26762500000000006</v>
      </c>
      <c r="AD390" s="25">
        <v>0.49699999999999983</v>
      </c>
      <c r="AE390" s="27">
        <f t="shared" ref="AE390:AE453" si="19">AVERAGE(T390,X390)</f>
        <v>0.52566666666666706</v>
      </c>
      <c r="AF390" s="27">
        <f t="shared" ref="AF390:AF453" si="20">AVERAGE(U390:W390,Y390:AA390)</f>
        <v>0.51999305555555564</v>
      </c>
      <c r="AG390" s="27">
        <f t="shared" ref="AG390:AG453" si="21">(AE390*10+AF390*45)/55</f>
        <v>0.52102462121212134</v>
      </c>
    </row>
    <row r="391" spans="1:33" x14ac:dyDescent="0.25">
      <c r="A391" s="9">
        <v>44098</v>
      </c>
      <c r="B391" s="3">
        <v>51.010848799847473</v>
      </c>
      <c r="C391" s="3">
        <v>97.82750975386503</v>
      </c>
      <c r="D391" s="3">
        <v>98.920788184544023</v>
      </c>
      <c r="E391" s="3">
        <v>174.25699382403738</v>
      </c>
      <c r="F391" s="3">
        <v>228.16239019940139</v>
      </c>
      <c r="G391" s="3">
        <v>115.01584398156417</v>
      </c>
      <c r="H391" s="3">
        <v>267.97890256470549</v>
      </c>
      <c r="I391" s="3">
        <v>74.261358841231868</v>
      </c>
      <c r="J391" s="23">
        <v>44098</v>
      </c>
      <c r="K391" s="24">
        <v>77.104166666666671</v>
      </c>
      <c r="L391" s="24">
        <v>88.752083333333317</v>
      </c>
      <c r="M391" s="24">
        <v>16.845833333333335</v>
      </c>
      <c r="N391" s="24">
        <v>0</v>
      </c>
      <c r="O391" s="24">
        <v>232.66666666666666</v>
      </c>
      <c r="P391" s="24">
        <v>3.3958333333333335</v>
      </c>
      <c r="Q391" s="24">
        <v>0.33333333333333331</v>
      </c>
      <c r="R391" s="24">
        <v>14.943749999999994</v>
      </c>
      <c r="S391" s="10">
        <v>0.22779546995063379</v>
      </c>
      <c r="T391" s="25">
        <v>0.43583333333333335</v>
      </c>
      <c r="U391" s="25">
        <v>0.5310625000000001</v>
      </c>
      <c r="V391" s="25">
        <v>0.58462499999999951</v>
      </c>
      <c r="W391" s="25">
        <v>0.59670833333333306</v>
      </c>
      <c r="X391" s="25">
        <v>0.60183333333333289</v>
      </c>
      <c r="Y391" s="25">
        <v>0.50222916666666673</v>
      </c>
      <c r="Z391" s="25">
        <v>0.46781250000000024</v>
      </c>
      <c r="AA391" s="25">
        <v>0.40604166666666686</v>
      </c>
      <c r="AB391" s="25">
        <v>0.44365625000000014</v>
      </c>
      <c r="AC391" s="25">
        <v>0.26729166666666682</v>
      </c>
      <c r="AD391" s="25">
        <v>0.48270833333333335</v>
      </c>
      <c r="AE391" s="27">
        <f t="shared" si="19"/>
        <v>0.51883333333333315</v>
      </c>
      <c r="AF391" s="27">
        <f t="shared" si="20"/>
        <v>0.51474652777777774</v>
      </c>
      <c r="AG391" s="27">
        <f t="shared" si="21"/>
        <v>0.51548958333333328</v>
      </c>
    </row>
    <row r="392" spans="1:33" x14ac:dyDescent="0.25">
      <c r="A392" s="9">
        <v>44099</v>
      </c>
      <c r="B392" s="3">
        <v>4.1133390942614136</v>
      </c>
      <c r="C392" s="3">
        <v>27.471877782912628</v>
      </c>
      <c r="D392" s="3">
        <v>3.8763558166327163</v>
      </c>
      <c r="E392" s="3">
        <v>5.2352463703914278</v>
      </c>
      <c r="F392" s="3">
        <v>13.003240922865157</v>
      </c>
      <c r="G392" s="3">
        <v>0</v>
      </c>
      <c r="H392" s="3">
        <v>26.216983430508375</v>
      </c>
      <c r="I392" s="3">
        <v>0.33987313241374034</v>
      </c>
      <c r="J392" s="23">
        <v>44099</v>
      </c>
      <c r="K392" s="24">
        <v>30.125</v>
      </c>
      <c r="L392" s="24">
        <v>94.433333333333337</v>
      </c>
      <c r="M392" s="24">
        <v>16.664583333333329</v>
      </c>
      <c r="N392" s="24">
        <v>7.0000000000000009</v>
      </c>
      <c r="O392" s="24">
        <v>221.85416666666666</v>
      </c>
      <c r="P392" s="24">
        <v>6.333333333333333</v>
      </c>
      <c r="Q392" s="24">
        <v>0.47916666666666669</v>
      </c>
      <c r="R392" s="24">
        <v>15.758333333333335</v>
      </c>
      <c r="S392" s="10">
        <v>0.1067190687811977</v>
      </c>
      <c r="T392" s="25">
        <v>0.4357083333333332</v>
      </c>
      <c r="U392" s="25">
        <v>0.52924999999999978</v>
      </c>
      <c r="V392" s="25">
        <v>0.58241666666666692</v>
      </c>
      <c r="W392" s="25">
        <v>0.59422916666666692</v>
      </c>
      <c r="X392" s="25">
        <v>0.5994791666666669</v>
      </c>
      <c r="Y392" s="25">
        <v>0.49966666666666665</v>
      </c>
      <c r="Z392" s="25">
        <v>0.46600000000000014</v>
      </c>
      <c r="AA392" s="25">
        <v>0.40443750000000006</v>
      </c>
      <c r="AB392" s="25">
        <v>0.45212500000000005</v>
      </c>
      <c r="AC392" s="25">
        <v>0.27866666666666662</v>
      </c>
      <c r="AD392" s="25">
        <v>0.48037500000000022</v>
      </c>
      <c r="AE392" s="27">
        <f t="shared" si="19"/>
        <v>0.51759375000000007</v>
      </c>
      <c r="AF392" s="27">
        <f t="shared" si="20"/>
        <v>0.51266666666666683</v>
      </c>
      <c r="AG392" s="27">
        <f t="shared" si="21"/>
        <v>0.51356250000000014</v>
      </c>
    </row>
    <row r="393" spans="1:33" x14ac:dyDescent="0.25">
      <c r="A393" s="9">
        <v>44100</v>
      </c>
      <c r="B393" s="3">
        <v>3.2700910043611278</v>
      </c>
      <c r="C393" s="3">
        <v>38.032465017524949</v>
      </c>
      <c r="D393" s="3">
        <v>10.575390200299095</v>
      </c>
      <c r="E393" s="3">
        <v>14.630270203715348</v>
      </c>
      <c r="F393" s="3">
        <v>91.99748399305625</v>
      </c>
      <c r="G393" s="3">
        <v>65.727859274766161</v>
      </c>
      <c r="H393" s="3">
        <v>213.66753260036887</v>
      </c>
      <c r="I393" s="3">
        <v>96.318743702841289</v>
      </c>
      <c r="J393" s="23">
        <v>44100</v>
      </c>
      <c r="K393" s="24">
        <v>78.333333333333329</v>
      </c>
      <c r="L393" s="24">
        <v>91.074999999999946</v>
      </c>
      <c r="M393" s="24">
        <v>15.862500000000002</v>
      </c>
      <c r="N393" s="24">
        <v>1.5</v>
      </c>
      <c r="O393" s="24">
        <v>217.22916666666666</v>
      </c>
      <c r="P393" s="24">
        <v>3.0208333333333335</v>
      </c>
      <c r="Q393" s="24">
        <v>0</v>
      </c>
      <c r="R393" s="24">
        <v>14.381249999999994</v>
      </c>
      <c r="S393" s="10">
        <v>0.16897277508301992</v>
      </c>
      <c r="T393" s="25">
        <v>0.46150000000000019</v>
      </c>
      <c r="U393" s="25">
        <v>0.55037500000000017</v>
      </c>
      <c r="V393" s="25">
        <v>0.59535416666666685</v>
      </c>
      <c r="W393" s="25">
        <v>0.60445833333333365</v>
      </c>
      <c r="X393" s="25">
        <v>0.60837500000000044</v>
      </c>
      <c r="Y393" s="25">
        <v>0.50458333333333338</v>
      </c>
      <c r="Z393" s="25">
        <v>0.46662499999999985</v>
      </c>
      <c r="AA393" s="25">
        <v>0.40522916666666636</v>
      </c>
      <c r="AB393" s="25">
        <v>0.45820000000000005</v>
      </c>
      <c r="AC393" s="25">
        <v>0.2959374999999998</v>
      </c>
      <c r="AD393" s="25">
        <v>0.51122916666666673</v>
      </c>
      <c r="AE393" s="27">
        <f t="shared" si="19"/>
        <v>0.53493750000000029</v>
      </c>
      <c r="AF393" s="27">
        <f t="shared" si="20"/>
        <v>0.52110416666666659</v>
      </c>
      <c r="AG393" s="27">
        <f t="shared" si="21"/>
        <v>0.52361931818181817</v>
      </c>
    </row>
    <row r="394" spans="1:33" x14ac:dyDescent="0.25">
      <c r="A394" s="9">
        <v>44101</v>
      </c>
      <c r="B394" s="3">
        <v>1.9942453875263491</v>
      </c>
      <c r="C394" s="3">
        <v>15.617488001854186</v>
      </c>
      <c r="D394" s="3">
        <v>4.6431206129588061</v>
      </c>
      <c r="E394" s="3">
        <v>29.330655055026121</v>
      </c>
      <c r="F394" s="3">
        <v>70.169787432100861</v>
      </c>
      <c r="G394" s="3">
        <v>50.83010299720862</v>
      </c>
      <c r="H394" s="3">
        <v>161.22173965442346</v>
      </c>
      <c r="I394" s="3">
        <v>75.637577177780884</v>
      </c>
      <c r="J394" s="23">
        <v>44101</v>
      </c>
      <c r="K394" s="24">
        <v>53.083333333333336</v>
      </c>
      <c r="L394" s="24">
        <v>90.754166666666649</v>
      </c>
      <c r="M394" s="24">
        <v>15.099999999999994</v>
      </c>
      <c r="N394" s="24">
        <v>0.8</v>
      </c>
      <c r="O394" s="24">
        <v>225.29166666666666</v>
      </c>
      <c r="P394" s="24">
        <v>4.041666666666667</v>
      </c>
      <c r="Q394" s="24">
        <v>4.1666666666666664E-2</v>
      </c>
      <c r="R394" s="24">
        <v>13.583333333333336</v>
      </c>
      <c r="S394" s="10">
        <v>0.16265835851057875</v>
      </c>
      <c r="T394" s="25">
        <v>0.44172916666666651</v>
      </c>
      <c r="U394" s="25">
        <v>0.53695833333333332</v>
      </c>
      <c r="V394" s="25">
        <v>0.58741666666666636</v>
      </c>
      <c r="W394" s="25">
        <v>0.59900000000000009</v>
      </c>
      <c r="X394" s="25">
        <v>0.60362500000000019</v>
      </c>
      <c r="Y394" s="25">
        <v>0.50495833333333329</v>
      </c>
      <c r="Z394" s="25">
        <v>0.46743749999999978</v>
      </c>
      <c r="AA394" s="25">
        <v>0.40552083333333333</v>
      </c>
      <c r="AB394" s="25">
        <v>0.44652631578947377</v>
      </c>
      <c r="AC394" s="25">
        <v>0.28570833333333356</v>
      </c>
      <c r="AD394" s="25">
        <v>0.49147916666666669</v>
      </c>
      <c r="AE394" s="27">
        <f t="shared" si="19"/>
        <v>0.5226770833333334</v>
      </c>
      <c r="AF394" s="27">
        <f t="shared" si="20"/>
        <v>0.51688194444444446</v>
      </c>
      <c r="AG394" s="27">
        <f t="shared" si="21"/>
        <v>0.51793560606060607</v>
      </c>
    </row>
    <row r="395" spans="1:33" x14ac:dyDescent="0.25">
      <c r="A395" s="9">
        <v>44102</v>
      </c>
      <c r="B395" s="3">
        <v>1.3489106735842908</v>
      </c>
      <c r="C395" s="3">
        <v>55.085274710348784</v>
      </c>
      <c r="D395" s="3">
        <v>0.26969745972493475</v>
      </c>
      <c r="E395" s="3">
        <v>1.0027386065733375</v>
      </c>
      <c r="F395" s="3">
        <v>29.45274035385258</v>
      </c>
      <c r="G395" s="3">
        <v>24.186200309278714</v>
      </c>
      <c r="H395" s="3">
        <v>85.505149341301433</v>
      </c>
      <c r="I395" s="3">
        <v>44.998876078798922</v>
      </c>
      <c r="J395" s="23">
        <v>44102</v>
      </c>
      <c r="K395" s="24">
        <v>49.020833333333336</v>
      </c>
      <c r="L395" s="24">
        <v>94.356250000000003</v>
      </c>
      <c r="M395" s="24">
        <v>16.808333333333326</v>
      </c>
      <c r="N395" s="24">
        <v>3.5000000000000004</v>
      </c>
      <c r="O395" s="24">
        <v>220.29166666666666</v>
      </c>
      <c r="P395" s="24">
        <v>6.270833333333333</v>
      </c>
      <c r="Q395" s="24">
        <v>0.47916666666666669</v>
      </c>
      <c r="R395" s="24">
        <v>15.887500000000001</v>
      </c>
      <c r="S395" s="10">
        <v>0.11186196167926539</v>
      </c>
      <c r="T395" s="25">
        <v>0.45199999999999996</v>
      </c>
      <c r="U395" s="25">
        <v>0.53795833333333365</v>
      </c>
      <c r="V395" s="25">
        <v>0.58681250000000007</v>
      </c>
      <c r="W395" s="25">
        <v>0.59625000000000028</v>
      </c>
      <c r="X395" s="25">
        <v>0.60549999999999971</v>
      </c>
      <c r="Y395" s="25">
        <v>0.50439583333333349</v>
      </c>
      <c r="Z395" s="25">
        <v>0.46625000000000011</v>
      </c>
      <c r="AA395" s="25">
        <v>0.40500000000000003</v>
      </c>
      <c r="AB395" s="25">
        <v>0.44921428571428584</v>
      </c>
      <c r="AC395" s="25">
        <v>0.28906250000000011</v>
      </c>
      <c r="AD395" s="25">
        <v>0.49556249999999974</v>
      </c>
      <c r="AE395" s="27">
        <f t="shared" si="19"/>
        <v>0.52874999999999983</v>
      </c>
      <c r="AF395" s="27">
        <f t="shared" si="20"/>
        <v>0.5161111111111113</v>
      </c>
      <c r="AG395" s="27">
        <f t="shared" si="21"/>
        <v>0.51840909090909104</v>
      </c>
    </row>
    <row r="396" spans="1:33" x14ac:dyDescent="0.25">
      <c r="A396" s="9">
        <v>44103</v>
      </c>
      <c r="B396" s="3">
        <v>59.423552130497114</v>
      </c>
      <c r="C396" s="3">
        <v>150.34689116352607</v>
      </c>
      <c r="D396" s="3">
        <v>68.730605026930277</v>
      </c>
      <c r="E396" s="3">
        <v>142.44866444362168</v>
      </c>
      <c r="F396" s="3">
        <v>120.61821490689587</v>
      </c>
      <c r="G396" s="3">
        <v>138.91205254870786</v>
      </c>
      <c r="H396" s="3">
        <v>229.46338729209361</v>
      </c>
      <c r="I396" s="3">
        <v>173.09220891202605</v>
      </c>
      <c r="J396" s="23">
        <v>44103</v>
      </c>
      <c r="K396" s="24">
        <v>83.520833333333329</v>
      </c>
      <c r="L396" s="24">
        <v>90.764583333333306</v>
      </c>
      <c r="M396" s="24">
        <v>17.195833333333336</v>
      </c>
      <c r="N396" s="24">
        <v>9.5999999999999979</v>
      </c>
      <c r="O396" s="24">
        <v>239.1875</v>
      </c>
      <c r="P396" s="24">
        <v>3.625</v>
      </c>
      <c r="Q396" s="24">
        <v>0.14583333333333334</v>
      </c>
      <c r="R396" s="24">
        <v>15.625</v>
      </c>
      <c r="S396" s="10">
        <v>0.19218795022856749</v>
      </c>
      <c r="T396" s="25">
        <v>0.47174999999999973</v>
      </c>
      <c r="U396" s="25">
        <v>0.55545833333333339</v>
      </c>
      <c r="V396" s="25">
        <v>0.5987083333333334</v>
      </c>
      <c r="W396" s="25">
        <v>0.612375</v>
      </c>
      <c r="X396" s="25">
        <v>0.61556249999999979</v>
      </c>
      <c r="Y396" s="25">
        <v>0.52695833333333308</v>
      </c>
      <c r="Z396" s="25">
        <v>0.47575000000000012</v>
      </c>
      <c r="AA396" s="25">
        <v>0.41560416666666661</v>
      </c>
      <c r="AB396" s="25">
        <v>0.46462500000000007</v>
      </c>
      <c r="AC396" s="25">
        <v>0.30791666666666667</v>
      </c>
      <c r="AD396" s="25">
        <v>0.51893750000000038</v>
      </c>
      <c r="AE396" s="27">
        <f t="shared" si="19"/>
        <v>0.54365624999999973</v>
      </c>
      <c r="AF396" s="27">
        <f t="shared" si="20"/>
        <v>0.53080902777777783</v>
      </c>
      <c r="AG396" s="27">
        <f t="shared" si="21"/>
        <v>0.53314488636363644</v>
      </c>
    </row>
    <row r="397" spans="1:33" x14ac:dyDescent="0.25">
      <c r="A397" s="9">
        <v>44104</v>
      </c>
      <c r="B397" s="3">
        <v>53.500487087366253</v>
      </c>
      <c r="C397" s="3">
        <v>11.714008174196959</v>
      </c>
      <c r="D397" s="3">
        <v>153.84372910512474</v>
      </c>
      <c r="E397" s="3">
        <v>315.58487935022242</v>
      </c>
      <c r="F397" s="3">
        <v>329.28166919062909</v>
      </c>
      <c r="G397" s="3">
        <v>273.80446726559541</v>
      </c>
      <c r="H397" s="3">
        <v>325.33711621470809</v>
      </c>
      <c r="I397" s="3">
        <v>260.61286097862956</v>
      </c>
      <c r="J397" s="23">
        <v>44104</v>
      </c>
      <c r="K397" s="24">
        <v>96.916666666666671</v>
      </c>
      <c r="L397" s="24">
        <v>84.831250000000026</v>
      </c>
      <c r="M397" s="24">
        <v>17.425000000000001</v>
      </c>
      <c r="N397" s="24">
        <v>0.2</v>
      </c>
      <c r="O397" s="24">
        <v>238.5625</v>
      </c>
      <c r="P397" s="24">
        <v>3.0208333333333335</v>
      </c>
      <c r="Q397" s="24">
        <v>2.0833333333333332E-2</v>
      </c>
      <c r="R397" s="24">
        <v>14.762499999999994</v>
      </c>
      <c r="S397" s="10">
        <v>0.32498057476171205</v>
      </c>
      <c r="T397" s="25">
        <v>0.44704166666666673</v>
      </c>
      <c r="U397" s="25">
        <v>0.53937500000000016</v>
      </c>
      <c r="V397" s="25">
        <v>0.58866666666666612</v>
      </c>
      <c r="W397" s="25">
        <v>0.59977083333333336</v>
      </c>
      <c r="X397" s="25">
        <v>0.60564583333333322</v>
      </c>
      <c r="Y397" s="25">
        <v>0.5088750000000003</v>
      </c>
      <c r="Z397" s="25">
        <v>0.47039583333333335</v>
      </c>
      <c r="AA397" s="25">
        <v>0.40877083333333325</v>
      </c>
      <c r="AB397" s="25">
        <v>0.45289130434782621</v>
      </c>
      <c r="AC397" s="25">
        <v>0.28685416666666658</v>
      </c>
      <c r="AD397" s="25">
        <v>0.4953333333333334</v>
      </c>
      <c r="AE397" s="27">
        <f t="shared" si="19"/>
        <v>0.52634375</v>
      </c>
      <c r="AF397" s="27">
        <f t="shared" si="20"/>
        <v>0.51930902777777777</v>
      </c>
      <c r="AG397" s="27">
        <f t="shared" si="21"/>
        <v>0.52058806818181813</v>
      </c>
    </row>
    <row r="398" spans="1:33" x14ac:dyDescent="0.25">
      <c r="A398" s="9">
        <v>44105</v>
      </c>
      <c r="B398" s="3">
        <v>5.7229533668151182</v>
      </c>
      <c r="C398" s="3">
        <v>0</v>
      </c>
      <c r="D398" s="3">
        <v>1.4744264349466809</v>
      </c>
      <c r="E398" s="3">
        <v>2.5532064363078111</v>
      </c>
      <c r="F398" s="3">
        <v>10.579282822083419</v>
      </c>
      <c r="G398" s="3">
        <v>1.5866320930685098</v>
      </c>
      <c r="H398" s="3">
        <v>14.82085855612695</v>
      </c>
      <c r="I398" s="3">
        <v>4.2811074947203993</v>
      </c>
      <c r="J398" s="23">
        <v>44105</v>
      </c>
      <c r="K398" s="24">
        <v>33.645833333333336</v>
      </c>
      <c r="L398" s="24">
        <v>95.210416666666632</v>
      </c>
      <c r="M398" s="24">
        <v>17.170833333333334</v>
      </c>
      <c r="N398" s="24">
        <v>1.4</v>
      </c>
      <c r="O398" s="24">
        <v>228.22916666666666</v>
      </c>
      <c r="P398" s="24">
        <v>4.958333333333333</v>
      </c>
      <c r="Q398" s="24">
        <v>0.25</v>
      </c>
      <c r="R398" s="24">
        <v>16.387500000000003</v>
      </c>
      <c r="S398" s="10">
        <v>9.399218529727027E-2</v>
      </c>
      <c r="T398" s="25">
        <v>0.44081249999999977</v>
      </c>
      <c r="U398" s="25">
        <v>0.53356250000000049</v>
      </c>
      <c r="V398" s="25">
        <v>0.58545833333333375</v>
      </c>
      <c r="W398" s="25">
        <v>0.59643749999999984</v>
      </c>
      <c r="X398" s="25">
        <v>0.60210416666666666</v>
      </c>
      <c r="Y398" s="25">
        <v>0.50341666666666662</v>
      </c>
      <c r="Z398" s="25">
        <v>0.46795833333333331</v>
      </c>
      <c r="AA398" s="25">
        <v>0.40597916666666672</v>
      </c>
      <c r="AB398" s="25">
        <v>0.44840909090909081</v>
      </c>
      <c r="AC398" s="25">
        <v>0.28506249999999983</v>
      </c>
      <c r="AD398" s="25">
        <v>0.48362500000000058</v>
      </c>
      <c r="AE398" s="27">
        <f t="shared" si="19"/>
        <v>0.52145833333333325</v>
      </c>
      <c r="AF398" s="27">
        <f t="shared" si="20"/>
        <v>0.51546875000000003</v>
      </c>
      <c r="AG398" s="27">
        <f t="shared" si="21"/>
        <v>0.51655776515151519</v>
      </c>
    </row>
    <row r="399" spans="1:33" x14ac:dyDescent="0.25">
      <c r="A399" s="9">
        <v>44106</v>
      </c>
      <c r="B399" s="3">
        <v>100.98230129148838</v>
      </c>
      <c r="C399" s="3">
        <v>72.004244569849547</v>
      </c>
      <c r="D399" s="3">
        <v>171.04392092411095</v>
      </c>
      <c r="E399" s="3">
        <v>309.82045992520307</v>
      </c>
      <c r="F399" s="3">
        <v>344.0346769909961</v>
      </c>
      <c r="G399" s="3">
        <v>278.02229248083887</v>
      </c>
      <c r="H399" s="3">
        <v>440.77768554815452</v>
      </c>
      <c r="I399" s="3">
        <v>309.24713559226007</v>
      </c>
      <c r="J399" s="23">
        <v>44106</v>
      </c>
      <c r="K399" s="24">
        <v>113.4375</v>
      </c>
      <c r="L399" s="24">
        <v>86.733333333333334</v>
      </c>
      <c r="M399" s="24">
        <v>20.795833333333324</v>
      </c>
      <c r="N399" s="24">
        <v>0.89999999999999991</v>
      </c>
      <c r="O399" s="24">
        <v>234.0625</v>
      </c>
      <c r="P399" s="24">
        <v>14.354166666666666</v>
      </c>
      <c r="Q399" s="24">
        <v>2.7916666666666665</v>
      </c>
      <c r="R399" s="24">
        <v>18.443750000000005</v>
      </c>
      <c r="S399" s="10">
        <v>0.34971332741970568</v>
      </c>
      <c r="T399" s="25">
        <v>0.44768750000000002</v>
      </c>
      <c r="U399" s="25">
        <v>0.53368750000000043</v>
      </c>
      <c r="V399" s="25">
        <v>0.58470833333333327</v>
      </c>
      <c r="W399" s="25">
        <v>0.59518750000000031</v>
      </c>
      <c r="X399" s="25">
        <v>0.60543750000000063</v>
      </c>
      <c r="Y399" s="25">
        <v>0.50183333333333324</v>
      </c>
      <c r="Z399" s="25">
        <v>0.46687500000000021</v>
      </c>
      <c r="AA399" s="25">
        <v>0.4044999999999998</v>
      </c>
      <c r="AB399" s="25">
        <v>0.4507199999999999</v>
      </c>
      <c r="AC399" s="25">
        <v>0.28604166666666669</v>
      </c>
      <c r="AD399" s="25">
        <v>0.48510416666666673</v>
      </c>
      <c r="AE399" s="27">
        <f t="shared" si="19"/>
        <v>0.52656250000000027</v>
      </c>
      <c r="AF399" s="27">
        <f t="shared" si="20"/>
        <v>0.51446527777777795</v>
      </c>
      <c r="AG399" s="27">
        <f t="shared" si="21"/>
        <v>0.51666477272727296</v>
      </c>
    </row>
    <row r="400" spans="1:33" x14ac:dyDescent="0.25">
      <c r="A400" s="9">
        <v>44107</v>
      </c>
      <c r="B400" s="3">
        <v>79.60748761840523</v>
      </c>
      <c r="C400" s="3">
        <v>80.115834830558526</v>
      </c>
      <c r="D400" s="3">
        <v>232.48122368991775</v>
      </c>
      <c r="E400" s="3">
        <v>315.05388385453085</v>
      </c>
      <c r="F400" s="3">
        <v>465.45346614116198</v>
      </c>
      <c r="G400" s="3">
        <v>336.64541240683496</v>
      </c>
      <c r="H400" s="3">
        <v>410.9382582939117</v>
      </c>
      <c r="I400" s="3">
        <v>375.06047909604956</v>
      </c>
      <c r="J400" s="23">
        <v>44107</v>
      </c>
      <c r="K400" s="24">
        <v>119.47916666666667</v>
      </c>
      <c r="L400" s="24">
        <v>83.35208333333334</v>
      </c>
      <c r="M400" s="24">
        <v>22.120833333333337</v>
      </c>
      <c r="N400" s="24">
        <v>0</v>
      </c>
      <c r="O400" s="24">
        <v>231.52083333333334</v>
      </c>
      <c r="P400" s="24">
        <v>12.416666666666666</v>
      </c>
      <c r="Q400" s="24">
        <v>2.1458333333333335</v>
      </c>
      <c r="R400" s="24">
        <v>19.091666666666669</v>
      </c>
      <c r="S400" s="10">
        <v>0.46969517153563012</v>
      </c>
      <c r="T400" s="25">
        <v>0.43910416666666641</v>
      </c>
      <c r="U400" s="25">
        <v>0.53120833333333339</v>
      </c>
      <c r="V400" s="25">
        <v>0.58281249999999973</v>
      </c>
      <c r="W400" s="25">
        <v>0.59381250000000008</v>
      </c>
      <c r="X400" s="25">
        <v>0.60379166666666706</v>
      </c>
      <c r="Y400" s="25">
        <v>0.49800000000000022</v>
      </c>
      <c r="Z400" s="25">
        <v>0.46506249999999977</v>
      </c>
      <c r="AA400" s="25">
        <v>0.40225000000000005</v>
      </c>
      <c r="AB400" s="25">
        <v>0.44043243243243241</v>
      </c>
      <c r="AC400" s="25">
        <v>0.27770833333333339</v>
      </c>
      <c r="AD400" s="25">
        <v>0.46781249999999991</v>
      </c>
      <c r="AE400" s="27">
        <f t="shared" si="19"/>
        <v>0.52144791666666679</v>
      </c>
      <c r="AF400" s="27">
        <f t="shared" si="20"/>
        <v>0.51219097222222221</v>
      </c>
      <c r="AG400" s="27">
        <f t="shared" si="21"/>
        <v>0.51387405303030298</v>
      </c>
    </row>
    <row r="401" spans="1:33" x14ac:dyDescent="0.25">
      <c r="A401" s="9">
        <v>44108</v>
      </c>
      <c r="B401" s="3">
        <v>1.1650288701386191</v>
      </c>
      <c r="C401" s="3">
        <v>3.4720873840638595</v>
      </c>
      <c r="D401" s="3">
        <v>2.0579570439709887</v>
      </c>
      <c r="E401" s="3">
        <v>0</v>
      </c>
      <c r="F401" s="3">
        <v>24.813322683854899</v>
      </c>
      <c r="G401" s="3">
        <v>5.3921675386801242</v>
      </c>
      <c r="H401" s="3">
        <v>68.678353232865163</v>
      </c>
      <c r="I401" s="3">
        <v>48.451259872781513</v>
      </c>
      <c r="J401" s="23">
        <v>44108</v>
      </c>
      <c r="K401" s="24">
        <v>38.583333333333336</v>
      </c>
      <c r="L401" s="24">
        <v>91.616666666666674</v>
      </c>
      <c r="M401" s="24">
        <v>16.5</v>
      </c>
      <c r="N401" s="24">
        <v>3.1000000000000005</v>
      </c>
      <c r="O401" s="24">
        <v>202.875</v>
      </c>
      <c r="P401" s="24">
        <v>4.604166666666667</v>
      </c>
      <c r="Q401" s="24">
        <v>6.25E-2</v>
      </c>
      <c r="R401" s="24">
        <v>15.116666666666669</v>
      </c>
      <c r="S401" s="10">
        <v>0.15742772069978681</v>
      </c>
      <c r="T401" s="25">
        <v>0.43289583333333331</v>
      </c>
      <c r="U401" s="25">
        <v>0.52720833333333317</v>
      </c>
      <c r="V401" s="25">
        <v>0.58162499999999961</v>
      </c>
      <c r="W401" s="25">
        <v>0.59368750000000015</v>
      </c>
      <c r="X401" s="25">
        <v>0.59997916666666673</v>
      </c>
      <c r="Y401" s="25">
        <v>0.49570833333333358</v>
      </c>
      <c r="Z401" s="25">
        <v>0.46502083333333322</v>
      </c>
      <c r="AA401" s="25">
        <v>0.40177083333333324</v>
      </c>
      <c r="AB401" s="25">
        <v>0.44063414634146336</v>
      </c>
      <c r="AC401" s="25">
        <v>0.2822708333333333</v>
      </c>
      <c r="AD401" s="25">
        <v>0.46056249999999971</v>
      </c>
      <c r="AE401" s="27">
        <f t="shared" si="19"/>
        <v>0.51643749999999999</v>
      </c>
      <c r="AF401" s="27">
        <f t="shared" si="20"/>
        <v>0.51083680555555555</v>
      </c>
      <c r="AG401" s="27">
        <f t="shared" si="21"/>
        <v>0.5118551136363636</v>
      </c>
    </row>
    <row r="402" spans="1:33" x14ac:dyDescent="0.25">
      <c r="A402" s="9">
        <v>44109</v>
      </c>
      <c r="B402" s="3">
        <v>3.9472586888768668</v>
      </c>
      <c r="C402" s="3">
        <v>9.0536065180243064</v>
      </c>
      <c r="D402" s="3">
        <v>5.2331207960517077</v>
      </c>
      <c r="E402" s="3">
        <v>14.845700501774711</v>
      </c>
      <c r="F402" s="3">
        <v>67.629953828078712</v>
      </c>
      <c r="G402" s="3">
        <v>17.664448742610965</v>
      </c>
      <c r="H402" s="3">
        <v>134.46474928949257</v>
      </c>
      <c r="I402" s="3">
        <v>106.90645911418524</v>
      </c>
      <c r="J402" s="23">
        <v>44109</v>
      </c>
      <c r="K402" s="24">
        <v>50.916666666666664</v>
      </c>
      <c r="L402" s="24">
        <v>91.243749999999977</v>
      </c>
      <c r="M402" s="24">
        <v>13.393749999999995</v>
      </c>
      <c r="N402" s="24">
        <v>0.89999999999999991</v>
      </c>
      <c r="O402" s="24">
        <v>198.39583333333334</v>
      </c>
      <c r="P402" s="24">
        <v>4.645833333333333</v>
      </c>
      <c r="Q402" s="24">
        <v>6.25E-2</v>
      </c>
      <c r="R402" s="24">
        <v>11.993749999999999</v>
      </c>
      <c r="S402" s="10">
        <v>0.13719330875408661</v>
      </c>
      <c r="T402" s="25">
        <v>0.42599999999999971</v>
      </c>
      <c r="U402" s="25">
        <v>0.52106249999999965</v>
      </c>
      <c r="V402" s="25">
        <v>0.57722916666666657</v>
      </c>
      <c r="W402" s="25">
        <v>0.5918125000000003</v>
      </c>
      <c r="X402" s="25">
        <v>0.59283333333333343</v>
      </c>
      <c r="Y402" s="25">
        <v>0.49177083333333305</v>
      </c>
      <c r="Z402" s="25">
        <v>0.46347916666666661</v>
      </c>
      <c r="AA402" s="25">
        <v>0.4006874999999997</v>
      </c>
      <c r="AB402" s="25">
        <v>0.43513043478260849</v>
      </c>
      <c r="AC402" s="25">
        <v>0.27579166666666705</v>
      </c>
      <c r="AD402" s="25">
        <v>0.45595833333333363</v>
      </c>
      <c r="AE402" s="27">
        <f t="shared" si="19"/>
        <v>0.50941666666666663</v>
      </c>
      <c r="AF402" s="27">
        <f t="shared" si="20"/>
        <v>0.50767361111111098</v>
      </c>
      <c r="AG402" s="27">
        <f t="shared" si="21"/>
        <v>0.50799053030303021</v>
      </c>
    </row>
    <row r="403" spans="1:33" x14ac:dyDescent="0.25">
      <c r="A403" s="9">
        <v>44110</v>
      </c>
      <c r="B403" s="3">
        <v>3.0382139107327371</v>
      </c>
      <c r="C403" s="3">
        <v>18.565323434676493</v>
      </c>
      <c r="D403" s="3">
        <v>11.12341045254438</v>
      </c>
      <c r="E403" s="3">
        <v>58.542951923308152</v>
      </c>
      <c r="F403" s="3">
        <v>126.25339744937413</v>
      </c>
      <c r="G403" s="3">
        <v>58.367046402318856</v>
      </c>
      <c r="H403" s="3">
        <v>169.06752885287719</v>
      </c>
      <c r="I403" s="3">
        <v>178.95720633831638</v>
      </c>
      <c r="J403" s="23">
        <v>44110</v>
      </c>
      <c r="K403" s="24">
        <v>56.104166666666664</v>
      </c>
      <c r="L403" s="24">
        <v>90.797916666666666</v>
      </c>
      <c r="M403" s="24">
        <v>12.17708333333333</v>
      </c>
      <c r="N403" s="24">
        <v>0.60000000000000009</v>
      </c>
      <c r="O403" s="24">
        <v>231.45833333333334</v>
      </c>
      <c r="P403" s="24">
        <v>4.395833333333333</v>
      </c>
      <c r="Q403" s="24">
        <v>0</v>
      </c>
      <c r="R403" s="24">
        <v>10.679166666666665</v>
      </c>
      <c r="S403" s="10">
        <v>0.13756485686660683</v>
      </c>
      <c r="T403" s="25">
        <v>0.41931249999999998</v>
      </c>
      <c r="U403" s="25">
        <v>0.51450000000000029</v>
      </c>
      <c r="V403" s="25">
        <v>0.5716458333333333</v>
      </c>
      <c r="W403" s="25">
        <v>0.58814583333333303</v>
      </c>
      <c r="X403" s="25">
        <v>0.58589583333333362</v>
      </c>
      <c r="Y403" s="25">
        <v>0.48729166666666668</v>
      </c>
      <c r="Z403" s="25">
        <v>0.460979166666667</v>
      </c>
      <c r="AA403" s="25">
        <v>0.39925000000000027</v>
      </c>
      <c r="AB403" s="25">
        <v>0.42843589743589744</v>
      </c>
      <c r="AC403" s="25">
        <v>0.27254166666666685</v>
      </c>
      <c r="AD403" s="25">
        <v>0.44683333333333319</v>
      </c>
      <c r="AE403" s="27">
        <f t="shared" si="19"/>
        <v>0.50260416666666674</v>
      </c>
      <c r="AF403" s="27">
        <f t="shared" si="20"/>
        <v>0.50363541666666678</v>
      </c>
      <c r="AG403" s="27">
        <f t="shared" si="21"/>
        <v>0.50344791666666677</v>
      </c>
    </row>
    <row r="404" spans="1:33" x14ac:dyDescent="0.25">
      <c r="A404" s="9">
        <v>44111</v>
      </c>
      <c r="B404" s="3">
        <v>32.908438280282574</v>
      </c>
      <c r="C404" s="3">
        <v>77.046447130460081</v>
      </c>
      <c r="D404" s="3">
        <v>26.961820375931403</v>
      </c>
      <c r="E404" s="3">
        <v>75.767960533688537</v>
      </c>
      <c r="F404" s="3">
        <v>178.04413660576225</v>
      </c>
      <c r="G404" s="3">
        <v>153.05542502818489</v>
      </c>
      <c r="H404" s="3">
        <v>272.96092300806384</v>
      </c>
      <c r="I404" s="3">
        <v>234.83785620774395</v>
      </c>
      <c r="J404" s="23">
        <v>44111</v>
      </c>
      <c r="K404" s="24">
        <v>60.166666666666664</v>
      </c>
      <c r="L404" s="24">
        <v>88.256250000000009</v>
      </c>
      <c r="M404" s="24">
        <v>13.13125</v>
      </c>
      <c r="N404" s="24">
        <v>0.4</v>
      </c>
      <c r="O404" s="24">
        <v>221.47916666666666</v>
      </c>
      <c r="P404" s="24">
        <v>2.1875</v>
      </c>
      <c r="Q404" s="24">
        <v>0</v>
      </c>
      <c r="R404" s="24">
        <v>11.175000000000002</v>
      </c>
      <c r="S404" s="10">
        <v>0.19137339812726539</v>
      </c>
      <c r="T404" s="25">
        <v>0.41506250000000011</v>
      </c>
      <c r="U404" s="25">
        <v>0.50964583333333324</v>
      </c>
      <c r="V404" s="25">
        <v>0.56706250000000025</v>
      </c>
      <c r="W404" s="25">
        <v>0.58433333333333304</v>
      </c>
      <c r="X404" s="25">
        <v>0.58160416666666637</v>
      </c>
      <c r="Y404" s="25">
        <v>0.48364583333333333</v>
      </c>
      <c r="Z404" s="25">
        <v>0.45829166666666676</v>
      </c>
      <c r="AA404" s="25">
        <v>0.39725000000000016</v>
      </c>
      <c r="AB404" s="25">
        <v>0.42381250000000015</v>
      </c>
      <c r="AC404" s="25">
        <v>0.26964583333333325</v>
      </c>
      <c r="AD404" s="25">
        <v>0.43943749999999998</v>
      </c>
      <c r="AE404" s="27">
        <f t="shared" si="19"/>
        <v>0.49833333333333324</v>
      </c>
      <c r="AF404" s="27">
        <f t="shared" si="20"/>
        <v>0.50003819444444442</v>
      </c>
      <c r="AG404" s="27">
        <f t="shared" si="21"/>
        <v>0.49972821969696962</v>
      </c>
    </row>
    <row r="405" spans="1:33" x14ac:dyDescent="0.25">
      <c r="A405" s="9">
        <v>44112</v>
      </c>
      <c r="B405" s="3">
        <v>13.573820733217104</v>
      </c>
      <c r="C405" s="3">
        <v>37.626614346017156</v>
      </c>
      <c r="D405" s="3">
        <v>25.364077705428766</v>
      </c>
      <c r="E405" s="3">
        <v>61.293619599189178</v>
      </c>
      <c r="F405" s="3">
        <v>125.51685318637028</v>
      </c>
      <c r="G405" s="3">
        <v>106.03556138862757</v>
      </c>
      <c r="H405" s="3">
        <v>200.88400152661887</v>
      </c>
      <c r="I405" s="3">
        <v>164.39495650102964</v>
      </c>
      <c r="J405" s="23">
        <v>44112</v>
      </c>
      <c r="K405" s="24">
        <v>47.916666666666664</v>
      </c>
      <c r="L405" s="24">
        <v>89.012499999999974</v>
      </c>
      <c r="M405" s="24">
        <v>13.839583333333332</v>
      </c>
      <c r="N405" s="24">
        <v>0.2</v>
      </c>
      <c r="O405" s="24">
        <v>234.14583333333334</v>
      </c>
      <c r="P405" s="24">
        <v>2.6875</v>
      </c>
      <c r="Q405" s="24">
        <v>4.1666666666666664E-2</v>
      </c>
      <c r="R405" s="24">
        <v>12.043750000000001</v>
      </c>
      <c r="S405" s="10">
        <v>0.17849102765144112</v>
      </c>
      <c r="T405" s="25">
        <v>0.41168750000000015</v>
      </c>
      <c r="U405" s="25">
        <v>0.5068125</v>
      </c>
      <c r="V405" s="25">
        <v>0.5631458333333339</v>
      </c>
      <c r="W405" s="25">
        <v>0.58085416666666589</v>
      </c>
      <c r="X405" s="25">
        <v>0.57931250000000045</v>
      </c>
      <c r="Y405" s="25">
        <v>0.48102083333333345</v>
      </c>
      <c r="Z405" s="25">
        <v>0.45643749999999977</v>
      </c>
      <c r="AA405" s="25">
        <v>0.39510416666666637</v>
      </c>
      <c r="AB405" s="25">
        <v>0.42025000000000001</v>
      </c>
      <c r="AC405" s="25">
        <v>0.26483333333333331</v>
      </c>
      <c r="AD405" s="25">
        <v>0.43168749999999961</v>
      </c>
      <c r="AE405" s="27">
        <f t="shared" si="19"/>
        <v>0.49550000000000027</v>
      </c>
      <c r="AF405" s="27">
        <f t="shared" si="20"/>
        <v>0.49722916666666661</v>
      </c>
      <c r="AG405" s="27">
        <f t="shared" si="21"/>
        <v>0.49691477272727269</v>
      </c>
    </row>
    <row r="406" spans="1:33" x14ac:dyDescent="0.25">
      <c r="A406" s="9">
        <v>44113</v>
      </c>
      <c r="B406" s="3">
        <v>71.474780512926301</v>
      </c>
      <c r="C406" s="3">
        <v>96.054985033433056</v>
      </c>
      <c r="D406" s="3">
        <v>223.80736842188799</v>
      </c>
      <c r="E406" s="3">
        <v>368.71652247085979</v>
      </c>
      <c r="F406" s="3">
        <v>423.26669061921575</v>
      </c>
      <c r="G406" s="3">
        <v>360.8174478172906</v>
      </c>
      <c r="H406" s="3">
        <v>473.18991702319238</v>
      </c>
      <c r="I406" s="3">
        <v>378.55684693220553</v>
      </c>
      <c r="J406" s="23">
        <v>44113</v>
      </c>
      <c r="K406" s="24">
        <v>114.39583333333333</v>
      </c>
      <c r="L406" s="24">
        <v>82.533333333333317</v>
      </c>
      <c r="M406" s="24">
        <v>14.920833333333334</v>
      </c>
      <c r="N406" s="24">
        <v>0</v>
      </c>
      <c r="O406" s="24">
        <v>240.3125</v>
      </c>
      <c r="P406" s="24">
        <v>3.4375</v>
      </c>
      <c r="Q406" s="24">
        <v>0.125</v>
      </c>
      <c r="R406" s="24">
        <v>11.841666666666667</v>
      </c>
      <c r="S406" s="10">
        <v>0.33124684186052056</v>
      </c>
      <c r="T406" s="25">
        <v>0.40729166666666666</v>
      </c>
      <c r="U406" s="25">
        <v>0.50345833333333301</v>
      </c>
      <c r="V406" s="25">
        <v>0.55912500000000021</v>
      </c>
      <c r="W406" s="25">
        <v>0.57795833333333346</v>
      </c>
      <c r="X406" s="25">
        <v>0.57650000000000035</v>
      </c>
      <c r="Y406" s="25">
        <v>0.4778541666666663</v>
      </c>
      <c r="Z406" s="25">
        <v>0.45362500000000017</v>
      </c>
      <c r="AA406" s="25">
        <v>0.39289583333333306</v>
      </c>
      <c r="AB406" s="25">
        <v>0.41531034482758622</v>
      </c>
      <c r="AC406" s="25">
        <v>0.25906250000000003</v>
      </c>
      <c r="AD406" s="25">
        <v>0.42233333333333339</v>
      </c>
      <c r="AE406" s="27">
        <f t="shared" si="19"/>
        <v>0.49189583333333353</v>
      </c>
      <c r="AF406" s="27">
        <f t="shared" si="20"/>
        <v>0.49415277777777772</v>
      </c>
      <c r="AG406" s="27">
        <f t="shared" si="21"/>
        <v>0.49374242424242426</v>
      </c>
    </row>
    <row r="407" spans="1:33" x14ac:dyDescent="0.25">
      <c r="A407" s="9">
        <v>44114</v>
      </c>
      <c r="B407" s="3">
        <v>150.66347243708688</v>
      </c>
      <c r="C407" s="3">
        <v>175.08468245423151</v>
      </c>
      <c r="D407" s="3">
        <v>303.48945100904575</v>
      </c>
      <c r="E407" s="3">
        <v>461.02888626997645</v>
      </c>
      <c r="F407" s="3">
        <v>554.39590631615613</v>
      </c>
      <c r="G407" s="3">
        <v>454.79598200504489</v>
      </c>
      <c r="H407" s="3">
        <v>525.80201809070979</v>
      </c>
      <c r="I407" s="3">
        <v>434.03164123080268</v>
      </c>
      <c r="J407" s="23">
        <v>44114</v>
      </c>
      <c r="K407" s="24">
        <v>153.45833333333334</v>
      </c>
      <c r="L407" s="24">
        <v>79.456249999999997</v>
      </c>
      <c r="M407" s="24">
        <v>16.185416666666665</v>
      </c>
      <c r="N407" s="24">
        <v>0</v>
      </c>
      <c r="O407" s="24">
        <v>225.77083333333334</v>
      </c>
      <c r="P407" s="24">
        <v>4.791666666666667</v>
      </c>
      <c r="Q407" s="24">
        <v>8.3333333333333329E-2</v>
      </c>
      <c r="R407" s="24">
        <v>12.38958333333334</v>
      </c>
      <c r="S407" s="10">
        <v>0.43641562614044083</v>
      </c>
      <c r="T407" s="25">
        <v>0.39922916666666652</v>
      </c>
      <c r="U407" s="25">
        <v>0.49939583333333321</v>
      </c>
      <c r="V407" s="25">
        <v>0.55304166666666654</v>
      </c>
      <c r="W407" s="25">
        <v>0.57422916666666646</v>
      </c>
      <c r="X407" s="25">
        <v>0.5728749999999998</v>
      </c>
      <c r="Y407" s="25">
        <v>0.47324999999999995</v>
      </c>
      <c r="Z407" s="25">
        <v>0.44897916666666693</v>
      </c>
      <c r="AA407" s="25">
        <v>0.38941666666666674</v>
      </c>
      <c r="AB407" s="25">
        <v>0.40492307692307694</v>
      </c>
      <c r="AC407" s="25">
        <v>0.24756250000000005</v>
      </c>
      <c r="AD407" s="25">
        <v>0.40556249999999999</v>
      </c>
      <c r="AE407" s="27">
        <f t="shared" si="19"/>
        <v>0.48605208333333316</v>
      </c>
      <c r="AF407" s="27">
        <f t="shared" si="20"/>
        <v>0.48971874999999992</v>
      </c>
      <c r="AG407" s="27">
        <f t="shared" si="21"/>
        <v>0.48905208333333328</v>
      </c>
    </row>
    <row r="408" spans="1:33" x14ac:dyDescent="0.25">
      <c r="A408" s="9">
        <v>44115</v>
      </c>
      <c r="B408" s="3">
        <v>123.59954074317319</v>
      </c>
      <c r="C408" s="3">
        <v>76.870555025319248</v>
      </c>
      <c r="D408" s="3">
        <v>154.60693815492371</v>
      </c>
      <c r="E408" s="3">
        <v>251.95326367539326</v>
      </c>
      <c r="F408" s="3">
        <v>376.5160310627416</v>
      </c>
      <c r="G408" s="3">
        <v>284.27938818013024</v>
      </c>
      <c r="H408" s="3">
        <v>365.10367680546887</v>
      </c>
      <c r="I408" s="3">
        <v>279.71731844160087</v>
      </c>
      <c r="J408" s="23">
        <v>44115</v>
      </c>
      <c r="K408" s="24">
        <v>87.708333333333329</v>
      </c>
      <c r="L408" s="24">
        <v>85.433333333333294</v>
      </c>
      <c r="M408" s="24">
        <v>15.081250000000004</v>
      </c>
      <c r="N408" s="24">
        <v>0</v>
      </c>
      <c r="O408" s="24">
        <v>254.9375</v>
      </c>
      <c r="P408" s="24">
        <v>3.0416666666666665</v>
      </c>
      <c r="Q408" s="24">
        <v>0.125</v>
      </c>
      <c r="R408" s="24">
        <v>12.539583333333333</v>
      </c>
      <c r="S408" s="10">
        <v>0.28048425547789774</v>
      </c>
      <c r="T408" s="25">
        <v>0.38881250000000006</v>
      </c>
      <c r="U408" s="25">
        <v>0.49368749999999989</v>
      </c>
      <c r="V408" s="25">
        <v>0.54783333333333384</v>
      </c>
      <c r="W408" s="25">
        <v>0.57054166666666661</v>
      </c>
      <c r="X408" s="25">
        <v>0.56714583333333357</v>
      </c>
      <c r="Y408" s="25">
        <v>0.46770833333333334</v>
      </c>
      <c r="Z408" s="25">
        <v>0.44464583333333341</v>
      </c>
      <c r="AA408" s="25">
        <v>0.38558333333333322</v>
      </c>
      <c r="AB408" s="25">
        <v>0.39602564102564114</v>
      </c>
      <c r="AC408" s="25">
        <v>0.23335416666666672</v>
      </c>
      <c r="AD408" s="25">
        <v>0.38516666666666666</v>
      </c>
      <c r="AE408" s="27">
        <f t="shared" si="19"/>
        <v>0.47797916666666684</v>
      </c>
      <c r="AF408" s="27">
        <f t="shared" si="20"/>
        <v>0.4850000000000001</v>
      </c>
      <c r="AG408" s="27">
        <f t="shared" si="21"/>
        <v>0.48372348484848493</v>
      </c>
    </row>
    <row r="409" spans="1:33" x14ac:dyDescent="0.25">
      <c r="A409" s="9">
        <v>44116</v>
      </c>
      <c r="B409" s="3">
        <v>122.46666740066661</v>
      </c>
      <c r="C409" s="3">
        <v>77.06238329446019</v>
      </c>
      <c r="D409" s="3">
        <v>231.55227197490731</v>
      </c>
      <c r="E409" s="3">
        <v>347.11347898376476</v>
      </c>
      <c r="F409" s="3">
        <v>514.03540955029803</v>
      </c>
      <c r="G409" s="3">
        <v>370.02310472233478</v>
      </c>
      <c r="H409" s="3">
        <v>402.71114625530925</v>
      </c>
      <c r="I409" s="3">
        <v>343.64075632823784</v>
      </c>
      <c r="J409" s="23">
        <v>44116</v>
      </c>
      <c r="K409" s="24">
        <v>96.729166666666671</v>
      </c>
      <c r="L409" s="24">
        <v>82.074999999999974</v>
      </c>
      <c r="M409" s="24">
        <v>16.706250000000001</v>
      </c>
      <c r="N409" s="24">
        <v>0</v>
      </c>
      <c r="O409" s="24">
        <v>255.91666666666666</v>
      </c>
      <c r="P409" s="24">
        <v>2.3125</v>
      </c>
      <c r="Q409" s="24">
        <v>0.10416666666666667</v>
      </c>
      <c r="R409" s="24">
        <v>13.460416666666665</v>
      </c>
      <c r="S409" s="10">
        <v>0.38391649257586774</v>
      </c>
      <c r="T409" s="25">
        <v>0.37864583333333329</v>
      </c>
      <c r="U409" s="25">
        <v>0.48754166666666671</v>
      </c>
      <c r="V409" s="25">
        <v>0.54243750000000024</v>
      </c>
      <c r="W409" s="25">
        <v>0.56597916666666637</v>
      </c>
      <c r="X409" s="25">
        <v>0.56120833333333342</v>
      </c>
      <c r="Y409" s="25">
        <v>0.46208333333333301</v>
      </c>
      <c r="Z409" s="25">
        <v>0.44022916666666689</v>
      </c>
      <c r="AA409" s="25">
        <v>0.3826874999999999</v>
      </c>
      <c r="AB409" s="25">
        <v>0.38933333333333331</v>
      </c>
      <c r="AC409" s="25">
        <v>0.22131249999999994</v>
      </c>
      <c r="AD409" s="25">
        <v>0.36793749999999997</v>
      </c>
      <c r="AE409" s="27">
        <f t="shared" si="19"/>
        <v>0.46992708333333333</v>
      </c>
      <c r="AF409" s="27">
        <f t="shared" si="20"/>
        <v>0.48015972222222225</v>
      </c>
      <c r="AG409" s="27">
        <f t="shared" si="21"/>
        <v>0.47829924242424243</v>
      </c>
    </row>
    <row r="410" spans="1:33" x14ac:dyDescent="0.25">
      <c r="A410" s="9">
        <v>44117</v>
      </c>
      <c r="B410" s="3">
        <v>79.867019931245736</v>
      </c>
      <c r="C410" s="3">
        <v>87.774615089225691</v>
      </c>
      <c r="D410" s="3">
        <v>244.14952976208696</v>
      </c>
      <c r="E410" s="3">
        <v>343.3455181737678</v>
      </c>
      <c r="F410" s="3">
        <v>555.4003792825531</v>
      </c>
      <c r="G410" s="3">
        <v>337.67838152940408</v>
      </c>
      <c r="H410" s="3">
        <v>267.17874124572376</v>
      </c>
      <c r="I410" s="3">
        <v>382.04954146198338</v>
      </c>
      <c r="J410" s="23">
        <v>44117</v>
      </c>
      <c r="K410" s="24">
        <v>101.41666666666667</v>
      </c>
      <c r="L410" s="24">
        <v>79.131249999999994</v>
      </c>
      <c r="M410" s="24">
        <v>16.497916666666665</v>
      </c>
      <c r="N410" s="24">
        <v>0</v>
      </c>
      <c r="O410" s="24">
        <v>226.83333333333334</v>
      </c>
      <c r="P410" s="24">
        <v>4.708333333333333</v>
      </c>
      <c r="Q410" s="24">
        <v>6.25E-2</v>
      </c>
      <c r="R410" s="24">
        <v>12.785416666666668</v>
      </c>
      <c r="S410" s="10">
        <v>0.41592622814310221</v>
      </c>
      <c r="T410" s="25">
        <v>0.36414583333333334</v>
      </c>
      <c r="U410" s="25">
        <v>0.4802499999999999</v>
      </c>
      <c r="V410" s="25">
        <v>0.53539583333333363</v>
      </c>
      <c r="W410" s="25">
        <v>0.56022916666666644</v>
      </c>
      <c r="X410" s="25">
        <v>0.55364583333333306</v>
      </c>
      <c r="Y410" s="25">
        <v>0.45435416666666661</v>
      </c>
      <c r="Z410" s="25">
        <v>0.43506249999999969</v>
      </c>
      <c r="AA410" s="25">
        <v>0.37831250000000005</v>
      </c>
      <c r="AB410" s="25">
        <v>0.38088571428571433</v>
      </c>
      <c r="AC410" s="25">
        <v>0.20629166666666665</v>
      </c>
      <c r="AD410" s="25">
        <v>0.3458750000000001</v>
      </c>
      <c r="AE410" s="27">
        <f t="shared" si="19"/>
        <v>0.45889583333333317</v>
      </c>
      <c r="AF410" s="27">
        <f t="shared" si="20"/>
        <v>0.47393402777777771</v>
      </c>
      <c r="AG410" s="27">
        <f t="shared" si="21"/>
        <v>0.47119981060606053</v>
      </c>
    </row>
    <row r="411" spans="1:33" x14ac:dyDescent="0.25">
      <c r="A411" s="9">
        <v>44118</v>
      </c>
      <c r="B411" s="3">
        <v>6.650442599603279</v>
      </c>
      <c r="C411" s="3">
        <v>38.308566484460279</v>
      </c>
      <c r="D411" s="3">
        <v>27.292790585959857</v>
      </c>
      <c r="E411" s="3">
        <v>32.774723446615312</v>
      </c>
      <c r="F411" s="3">
        <v>155.40690461608676</v>
      </c>
      <c r="G411" s="3">
        <v>55.894221243089085</v>
      </c>
      <c r="H411" s="3">
        <v>41.197964784973784</v>
      </c>
      <c r="I411" s="3">
        <v>112.49498404722623</v>
      </c>
      <c r="J411" s="23">
        <v>44118</v>
      </c>
      <c r="K411" s="24">
        <v>58.659574468085104</v>
      </c>
      <c r="L411" s="24">
        <v>89.068085106382981</v>
      </c>
      <c r="M411" s="24">
        <v>14.700000000000006</v>
      </c>
      <c r="N411" s="24">
        <v>2.1</v>
      </c>
      <c r="O411" s="24">
        <v>189.72340425531914</v>
      </c>
      <c r="P411" s="24">
        <v>3.4468085106382977</v>
      </c>
      <c r="Q411" s="24">
        <v>0</v>
      </c>
      <c r="R411" s="24">
        <v>12.891489361702124</v>
      </c>
      <c r="S411" s="10">
        <v>0.1888703421726515</v>
      </c>
      <c r="T411" s="25">
        <v>0.3520625</v>
      </c>
      <c r="U411" s="25">
        <v>0.4733958333333334</v>
      </c>
      <c r="V411" s="25">
        <v>0.5303958333333334</v>
      </c>
      <c r="W411" s="25">
        <v>0.55533333333333312</v>
      </c>
      <c r="X411" s="25">
        <v>0.54633333333333367</v>
      </c>
      <c r="Y411" s="25">
        <v>0.44770833333333332</v>
      </c>
      <c r="Z411" s="25">
        <v>0.43091666666666639</v>
      </c>
      <c r="AA411" s="25">
        <v>0.37456250000000008</v>
      </c>
      <c r="AB411" s="25">
        <v>0.37466666666666665</v>
      </c>
      <c r="AC411" s="25">
        <v>0.19460416666666666</v>
      </c>
      <c r="AD411" s="25">
        <v>0.32922916666666674</v>
      </c>
      <c r="AE411" s="27">
        <f t="shared" si="19"/>
        <v>0.44919791666666686</v>
      </c>
      <c r="AF411" s="27">
        <f t="shared" si="20"/>
        <v>0.46871874999999991</v>
      </c>
      <c r="AG411" s="27">
        <f t="shared" si="21"/>
        <v>0.46516950757575753</v>
      </c>
    </row>
    <row r="412" spans="1:33" x14ac:dyDescent="0.25">
      <c r="A412" s="9">
        <v>44119</v>
      </c>
      <c r="B412" s="3">
        <v>4.6333336633606921</v>
      </c>
      <c r="C412" s="3">
        <v>36.435270191486765</v>
      </c>
      <c r="D412" s="3">
        <v>4.7212653345720001</v>
      </c>
      <c r="E412" s="3">
        <v>5.0705609118613255</v>
      </c>
      <c r="F412" s="3">
        <v>41.385227653043991</v>
      </c>
      <c r="G412" s="3">
        <v>2.3545186422589652</v>
      </c>
      <c r="H412" s="3">
        <v>12.264767194858626</v>
      </c>
      <c r="I412" s="3">
        <v>4.366390362301078</v>
      </c>
      <c r="J412" s="23">
        <v>44119</v>
      </c>
      <c r="K412" s="24">
        <v>46.1875</v>
      </c>
      <c r="L412" s="24">
        <v>95.587499999999977</v>
      </c>
      <c r="M412" s="24">
        <v>13.031250000000005</v>
      </c>
      <c r="N412" s="24">
        <v>24.099999999999991</v>
      </c>
      <c r="O412" s="24">
        <v>168.25</v>
      </c>
      <c r="P412" s="24">
        <v>2.8125</v>
      </c>
      <c r="Q412" s="24">
        <v>0</v>
      </c>
      <c r="R412" s="24">
        <v>12.34166666666667</v>
      </c>
      <c r="S412" s="10">
        <v>6.6673211073425692E-2</v>
      </c>
      <c r="T412" s="25">
        <v>0.38485416666666689</v>
      </c>
      <c r="U412" s="25">
        <v>0.49589583333333348</v>
      </c>
      <c r="V412" s="25">
        <v>0.54760416666666634</v>
      </c>
      <c r="W412" s="25">
        <v>0.56158333333333388</v>
      </c>
      <c r="X412" s="25">
        <v>0.54675000000000018</v>
      </c>
      <c r="Y412" s="25">
        <v>0.44731249999999978</v>
      </c>
      <c r="Z412" s="25">
        <v>0.42999999999999977</v>
      </c>
      <c r="AA412" s="25">
        <v>0.37431249999999999</v>
      </c>
      <c r="AB412" s="25">
        <v>0.44497222222222227</v>
      </c>
      <c r="AC412" s="25">
        <v>0.29541666666666666</v>
      </c>
      <c r="AD412" s="25">
        <v>0.4352083333333332</v>
      </c>
      <c r="AE412" s="27">
        <f t="shared" si="19"/>
        <v>0.46580208333333351</v>
      </c>
      <c r="AF412" s="27">
        <f t="shared" si="20"/>
        <v>0.47611805555555553</v>
      </c>
      <c r="AG412" s="27">
        <f t="shared" si="21"/>
        <v>0.4742424242424243</v>
      </c>
    </row>
    <row r="413" spans="1:33" x14ac:dyDescent="0.25">
      <c r="A413" s="9">
        <v>44120</v>
      </c>
      <c r="B413" s="3">
        <v>5.1297615772725145</v>
      </c>
      <c r="C413" s="3">
        <v>75.591963133332754</v>
      </c>
      <c r="D413" s="3">
        <v>7.9935730161125029</v>
      </c>
      <c r="E413" s="3">
        <v>8.0945325720458747</v>
      </c>
      <c r="F413" s="3">
        <v>64.977878353758783</v>
      </c>
      <c r="G413" s="3">
        <v>55.802982370488927</v>
      </c>
      <c r="H413" s="3">
        <v>171.96354629661997</v>
      </c>
      <c r="I413" s="3">
        <v>94.92240765690542</v>
      </c>
      <c r="J413" s="23">
        <v>44120</v>
      </c>
      <c r="K413" s="24">
        <v>69.666666666666671</v>
      </c>
      <c r="L413" s="24">
        <v>90.510416666666643</v>
      </c>
      <c r="M413" s="24">
        <v>11.339583333333337</v>
      </c>
      <c r="N413" s="24">
        <v>6.5000000000000018</v>
      </c>
      <c r="O413" s="24">
        <v>199.89583333333334</v>
      </c>
      <c r="P413" s="24">
        <v>4.895833333333333</v>
      </c>
      <c r="Q413" s="24">
        <v>0</v>
      </c>
      <c r="R413" s="24">
        <v>9.8062500000000004</v>
      </c>
      <c r="S413" s="10">
        <v>0.1298271931295652</v>
      </c>
      <c r="T413" s="25">
        <v>0.45702083333333343</v>
      </c>
      <c r="U413" s="25">
        <v>0.54266666666666674</v>
      </c>
      <c r="V413" s="25">
        <v>0.58502083333333299</v>
      </c>
      <c r="W413" s="25">
        <v>0.60652083333333329</v>
      </c>
      <c r="X413" s="25">
        <v>0.58416666666666661</v>
      </c>
      <c r="Y413" s="25">
        <v>0.44768750000000002</v>
      </c>
      <c r="Z413" s="25">
        <v>0.43018749999999989</v>
      </c>
      <c r="AA413" s="25">
        <v>0.3759791666666667</v>
      </c>
      <c r="AB413" s="25">
        <v>0.46173809523809528</v>
      </c>
      <c r="AC413" s="25">
        <v>0.30431250000000004</v>
      </c>
      <c r="AD413" s="25">
        <v>0.49429166666666674</v>
      </c>
      <c r="AE413" s="27">
        <f t="shared" si="19"/>
        <v>0.52059374999999997</v>
      </c>
      <c r="AF413" s="27">
        <f t="shared" si="20"/>
        <v>0.49801041666666657</v>
      </c>
      <c r="AG413" s="27">
        <f t="shared" si="21"/>
        <v>0.50211647727272724</v>
      </c>
    </row>
    <row r="414" spans="1:33" x14ac:dyDescent="0.25">
      <c r="A414" s="9">
        <v>44121</v>
      </c>
      <c r="B414" s="3">
        <v>1.7168148928113187</v>
      </c>
      <c r="C414" s="3">
        <v>14.067225904342372</v>
      </c>
      <c r="D414" s="3">
        <v>5.0225869987457497</v>
      </c>
      <c r="E414" s="3">
        <v>11.975556079075085</v>
      </c>
      <c r="F414" s="3">
        <v>73.363614609965197</v>
      </c>
      <c r="G414" s="3">
        <v>46.28268951396727</v>
      </c>
      <c r="H414" s="3">
        <v>162.9552269717621</v>
      </c>
      <c r="I414" s="3">
        <v>108.74770262618024</v>
      </c>
      <c r="J414" s="23">
        <v>44121</v>
      </c>
      <c r="K414" s="24">
        <v>52.5</v>
      </c>
      <c r="L414" s="24">
        <v>88.947916666666671</v>
      </c>
      <c r="M414" s="24">
        <v>10.1</v>
      </c>
      <c r="N414" s="24">
        <v>0.60000000000000009</v>
      </c>
      <c r="O414" s="24">
        <v>241.33333333333334</v>
      </c>
      <c r="P414" s="24">
        <v>2.7916666666666665</v>
      </c>
      <c r="Q414" s="24">
        <v>0</v>
      </c>
      <c r="R414" s="24">
        <v>8.3395833333333318</v>
      </c>
      <c r="S414" s="10">
        <v>0.14001003519520558</v>
      </c>
      <c r="T414" s="25">
        <v>0.43589583333333315</v>
      </c>
      <c r="U414" s="25">
        <v>0.52706249999999999</v>
      </c>
      <c r="V414" s="25">
        <v>0.57489583333333327</v>
      </c>
      <c r="W414" s="25">
        <v>0.59039583333333312</v>
      </c>
      <c r="X414" s="25">
        <v>0.58429166666666632</v>
      </c>
      <c r="Y414" s="25">
        <v>0.45333333333333292</v>
      </c>
      <c r="Z414" s="25">
        <v>0.43879166666666664</v>
      </c>
      <c r="AA414" s="25">
        <v>0.39189583333333328</v>
      </c>
      <c r="AB414" s="25">
        <v>0.44544444444444448</v>
      </c>
      <c r="AC414" s="25">
        <v>0.28831250000000014</v>
      </c>
      <c r="AD414" s="25">
        <v>0.47527083333333325</v>
      </c>
      <c r="AE414" s="27">
        <f t="shared" si="19"/>
        <v>0.51009374999999979</v>
      </c>
      <c r="AF414" s="27">
        <f t="shared" si="20"/>
        <v>0.49606249999999985</v>
      </c>
      <c r="AG414" s="27">
        <f t="shared" si="21"/>
        <v>0.4986136363636362</v>
      </c>
    </row>
    <row r="415" spans="1:33" x14ac:dyDescent="0.25">
      <c r="A415" s="9">
        <v>44122</v>
      </c>
      <c r="B415" s="3">
        <v>32.339205824267403</v>
      </c>
      <c r="C415" s="3">
        <v>25.929566713007461</v>
      </c>
      <c r="D415" s="3">
        <v>65.475642364828175</v>
      </c>
      <c r="E415" s="3">
        <v>113.08028007662951</v>
      </c>
      <c r="F415" s="3">
        <v>215.02810101672407</v>
      </c>
      <c r="G415" s="3">
        <v>155.60014117912186</v>
      </c>
      <c r="H415" s="3">
        <v>268.87683643262847</v>
      </c>
      <c r="I415" s="3">
        <v>229.07440837525078</v>
      </c>
      <c r="J415" s="23">
        <v>44122</v>
      </c>
      <c r="K415" s="24">
        <v>62.791666666666664</v>
      </c>
      <c r="L415" s="24">
        <v>87.03749999999998</v>
      </c>
      <c r="M415" s="24">
        <v>10.910416666666668</v>
      </c>
      <c r="N415" s="24">
        <v>0</v>
      </c>
      <c r="O415" s="24">
        <v>211.89583333333334</v>
      </c>
      <c r="P415" s="24">
        <v>2.75</v>
      </c>
      <c r="Q415" s="24">
        <v>0</v>
      </c>
      <c r="R415" s="24">
        <v>8.7895833333333329</v>
      </c>
      <c r="S415" s="10">
        <v>0.18005371847142662</v>
      </c>
      <c r="T415" s="25">
        <v>0.42695833333333333</v>
      </c>
      <c r="U415" s="25">
        <v>0.51912499999999995</v>
      </c>
      <c r="V415" s="25">
        <v>0.56945833333333362</v>
      </c>
      <c r="W415" s="25">
        <v>0.58462499999999962</v>
      </c>
      <c r="X415" s="25">
        <v>0.58027083333333263</v>
      </c>
      <c r="Y415" s="25">
        <v>0.45708333333333323</v>
      </c>
      <c r="Z415" s="25">
        <v>0.44460416666666686</v>
      </c>
      <c r="AA415" s="25">
        <v>0.3937500000000001</v>
      </c>
      <c r="AB415" s="25">
        <v>0.43678571428571428</v>
      </c>
      <c r="AC415" s="25">
        <v>0.27925000000000005</v>
      </c>
      <c r="AD415" s="25">
        <v>0.4614791666666665</v>
      </c>
      <c r="AE415" s="27">
        <f t="shared" si="19"/>
        <v>0.50361458333333298</v>
      </c>
      <c r="AF415" s="27">
        <f t="shared" si="20"/>
        <v>0.49477430555555557</v>
      </c>
      <c r="AG415" s="27">
        <f t="shared" si="21"/>
        <v>0.49638162878787873</v>
      </c>
    </row>
    <row r="416" spans="1:33" x14ac:dyDescent="0.25">
      <c r="A416" s="9">
        <v>44123</v>
      </c>
      <c r="B416" s="3">
        <v>56.454533227680763</v>
      </c>
      <c r="C416" s="3">
        <v>57.129478318246242</v>
      </c>
      <c r="D416" s="3">
        <v>175.40613943977729</v>
      </c>
      <c r="E416" s="3">
        <v>237.68749914154654</v>
      </c>
      <c r="F416" s="3">
        <v>308.48222609057098</v>
      </c>
      <c r="G416" s="3">
        <v>243.6906950188789</v>
      </c>
      <c r="H416" s="3">
        <v>350.58150438488269</v>
      </c>
      <c r="I416" s="3">
        <v>295.07851955026501</v>
      </c>
      <c r="J416" s="23">
        <v>44123</v>
      </c>
      <c r="K416" s="24">
        <v>88.645833333333329</v>
      </c>
      <c r="L416" s="24">
        <v>83.583333333333329</v>
      </c>
      <c r="M416" s="24">
        <v>12.28125</v>
      </c>
      <c r="N416" s="24">
        <v>0</v>
      </c>
      <c r="O416" s="24">
        <v>179.04166666666666</v>
      </c>
      <c r="P416" s="24">
        <v>3.125</v>
      </c>
      <c r="Q416" s="24">
        <v>0</v>
      </c>
      <c r="R416" s="24">
        <v>9.5083333333333329</v>
      </c>
      <c r="S416" s="10">
        <v>0.25217785357492384</v>
      </c>
      <c r="T416" s="25">
        <v>0.4207291666666666</v>
      </c>
      <c r="U416" s="25">
        <v>0.51391666666666691</v>
      </c>
      <c r="V416" s="25">
        <v>0.56577083333333356</v>
      </c>
      <c r="W416" s="25">
        <v>0.58049999999999968</v>
      </c>
      <c r="X416" s="25">
        <v>0.57843750000000005</v>
      </c>
      <c r="Y416" s="25">
        <v>0.45879166666666632</v>
      </c>
      <c r="Z416" s="25">
        <v>0.44543749999999999</v>
      </c>
      <c r="AA416" s="25">
        <v>0.39266666666666655</v>
      </c>
      <c r="AB416" s="25">
        <v>0.43036170212765956</v>
      </c>
      <c r="AC416" s="25">
        <v>0.27072916666666674</v>
      </c>
      <c r="AD416" s="25">
        <v>0.44829166666666653</v>
      </c>
      <c r="AE416" s="27">
        <f t="shared" si="19"/>
        <v>0.49958333333333332</v>
      </c>
      <c r="AF416" s="27">
        <f t="shared" si="20"/>
        <v>0.49284722222222221</v>
      </c>
      <c r="AG416" s="27">
        <f t="shared" si="21"/>
        <v>0.4940719696969697</v>
      </c>
    </row>
    <row r="417" spans="1:33" x14ac:dyDescent="0.25">
      <c r="A417" s="9">
        <v>44124</v>
      </c>
      <c r="B417" s="3">
        <v>2.6071469742197659</v>
      </c>
      <c r="C417" s="3">
        <v>29.268761905488098</v>
      </c>
      <c r="D417" s="3">
        <v>5.0793917978391256</v>
      </c>
      <c r="E417" s="3">
        <v>3.1171175948089469</v>
      </c>
      <c r="F417" s="3">
        <v>34.027744250241774</v>
      </c>
      <c r="G417" s="3">
        <v>0.24869908263602519</v>
      </c>
      <c r="H417" s="3">
        <v>51.254724952444541</v>
      </c>
      <c r="I417" s="3">
        <v>18.472004365211099</v>
      </c>
      <c r="J417" s="23">
        <v>44124</v>
      </c>
      <c r="K417" s="24">
        <v>55.354166666666664</v>
      </c>
      <c r="L417" s="24">
        <v>91.847916666666663</v>
      </c>
      <c r="M417" s="24">
        <v>10.062499999999998</v>
      </c>
      <c r="N417" s="24">
        <v>5.1000000000000005</v>
      </c>
      <c r="O417" s="24">
        <v>227.66666666666666</v>
      </c>
      <c r="P417" s="24">
        <v>2.5625</v>
      </c>
      <c r="Q417" s="24">
        <v>4.1666666666666664E-2</v>
      </c>
      <c r="R417" s="24">
        <v>8.7895833333333346</v>
      </c>
      <c r="S417" s="10">
        <v>0.10146554758154717</v>
      </c>
      <c r="T417" s="25">
        <v>0.42162500000000014</v>
      </c>
      <c r="U417" s="25">
        <v>0.51300000000000001</v>
      </c>
      <c r="V417" s="25">
        <v>0.5646874999999999</v>
      </c>
      <c r="W417" s="25">
        <v>0.5786458333333333</v>
      </c>
      <c r="X417" s="25">
        <v>0.57593749999999977</v>
      </c>
      <c r="Y417" s="25">
        <v>0.45970833333333383</v>
      </c>
      <c r="Z417" s="25">
        <v>0.44562500000000016</v>
      </c>
      <c r="AA417" s="25">
        <v>0.39212499999999983</v>
      </c>
      <c r="AB417" s="25">
        <v>0.43581249999999994</v>
      </c>
      <c r="AC417" s="25">
        <v>0.28485416666666669</v>
      </c>
      <c r="AD417" s="25">
        <v>0.45785416666666673</v>
      </c>
      <c r="AE417" s="27">
        <f t="shared" si="19"/>
        <v>0.49878124999999995</v>
      </c>
      <c r="AF417" s="27">
        <f t="shared" si="20"/>
        <v>0.49229861111111112</v>
      </c>
      <c r="AG417" s="27">
        <f t="shared" si="21"/>
        <v>0.49347727272727271</v>
      </c>
    </row>
    <row r="418" spans="1:33" x14ac:dyDescent="0.25">
      <c r="A418" s="9">
        <v>44125</v>
      </c>
      <c r="B418" s="3">
        <v>188.44339699159843</v>
      </c>
      <c r="C418" s="3">
        <v>125.96431702718066</v>
      </c>
      <c r="D418" s="3">
        <v>251.56829155919047</v>
      </c>
      <c r="E418" s="3">
        <v>373.01887245280943</v>
      </c>
      <c r="F418" s="3">
        <v>449.86179433265164</v>
      </c>
      <c r="G418" s="3">
        <v>375.85980953968539</v>
      </c>
      <c r="H418" s="3">
        <v>548.10178057587643</v>
      </c>
      <c r="I418" s="3">
        <v>365.14468113179652</v>
      </c>
      <c r="J418" s="23">
        <v>44125</v>
      </c>
      <c r="K418" s="24">
        <v>165.97916666666666</v>
      </c>
      <c r="L418" s="24">
        <v>75.089583333333366</v>
      </c>
      <c r="M418" s="24">
        <v>12.875000000000005</v>
      </c>
      <c r="N418" s="24">
        <v>0.60000000000000009</v>
      </c>
      <c r="O418" s="24">
        <v>232.3125</v>
      </c>
      <c r="P418" s="24">
        <v>3.5833333333333335</v>
      </c>
      <c r="Q418" s="24">
        <v>0</v>
      </c>
      <c r="R418" s="24">
        <v>8.1791666666666671</v>
      </c>
      <c r="S418" s="10">
        <v>0.44497322615553087</v>
      </c>
      <c r="T418" s="25">
        <v>0.42845833333333322</v>
      </c>
      <c r="U418" s="25">
        <v>0.51687500000000008</v>
      </c>
      <c r="V418" s="25">
        <v>0.56566666666666643</v>
      </c>
      <c r="W418" s="25">
        <v>0.57662499999999983</v>
      </c>
      <c r="X418" s="25">
        <v>0.57524999999999959</v>
      </c>
      <c r="Y418" s="25">
        <v>0.4583750000000002</v>
      </c>
      <c r="Z418" s="25">
        <v>0.44416666666666677</v>
      </c>
      <c r="AA418" s="25">
        <v>0.39077083333333329</v>
      </c>
      <c r="AB418" s="25">
        <v>0.43813157894736854</v>
      </c>
      <c r="AC418" s="25">
        <v>0.28140476190476188</v>
      </c>
      <c r="AD418" s="25">
        <v>0.46639583333333334</v>
      </c>
      <c r="AE418" s="27">
        <f t="shared" si="19"/>
        <v>0.50185416666666638</v>
      </c>
      <c r="AF418" s="27">
        <f t="shared" si="20"/>
        <v>0.49207986111111107</v>
      </c>
      <c r="AG418" s="27">
        <f t="shared" si="21"/>
        <v>0.49385700757575746</v>
      </c>
    </row>
    <row r="419" spans="1:33" x14ac:dyDescent="0.25">
      <c r="A419" s="9">
        <v>44126</v>
      </c>
      <c r="B419" s="3">
        <v>205.3622863872659</v>
      </c>
      <c r="C419" s="3">
        <v>240.72940213369185</v>
      </c>
      <c r="D419" s="3">
        <v>430.64263043650504</v>
      </c>
      <c r="E419" s="3">
        <v>603.72491015700837</v>
      </c>
      <c r="F419" s="3">
        <v>590.41274084473594</v>
      </c>
      <c r="G419" s="3">
        <v>569.65614066691785</v>
      </c>
      <c r="H419" s="3">
        <v>800.81697294727326</v>
      </c>
      <c r="I419" s="3">
        <v>547.00227266593993</v>
      </c>
      <c r="J419" s="23">
        <v>44126</v>
      </c>
      <c r="K419" s="24">
        <v>212.0625</v>
      </c>
      <c r="L419" s="24">
        <v>56.762499999999996</v>
      </c>
      <c r="M419" s="24">
        <v>14.368750000000004</v>
      </c>
      <c r="N419" s="24">
        <v>0</v>
      </c>
      <c r="O419" s="24">
        <v>214.75</v>
      </c>
      <c r="P419" s="24">
        <v>4.104166666666667</v>
      </c>
      <c r="Q419" s="24">
        <v>0.14583333333333334</v>
      </c>
      <c r="R419" s="24">
        <v>5.0062499999999988</v>
      </c>
      <c r="S419" s="10">
        <v>0.85058292519075918</v>
      </c>
      <c r="T419" s="25">
        <v>0.41568749999999982</v>
      </c>
      <c r="U419" s="25">
        <v>0.50987500000000041</v>
      </c>
      <c r="V419" s="25">
        <v>0.55924999999999958</v>
      </c>
      <c r="W419" s="25">
        <v>0.5734999999999999</v>
      </c>
      <c r="X419" s="25">
        <v>0.57314583333333335</v>
      </c>
      <c r="Y419" s="25">
        <v>0.45485416666666706</v>
      </c>
      <c r="Z419" s="25">
        <v>0.44006250000000041</v>
      </c>
      <c r="AA419" s="25">
        <v>0.38745833333333352</v>
      </c>
      <c r="AB419" s="25">
        <v>0.42686842105263156</v>
      </c>
      <c r="AC419" s="25">
        <v>0.25533333333333336</v>
      </c>
      <c r="AD419" s="25">
        <v>0.44075000000000014</v>
      </c>
      <c r="AE419" s="27">
        <f t="shared" si="19"/>
        <v>0.49441666666666662</v>
      </c>
      <c r="AF419" s="27">
        <f t="shared" si="20"/>
        <v>0.4875000000000001</v>
      </c>
      <c r="AG419" s="27">
        <f t="shared" si="21"/>
        <v>0.48875757575757578</v>
      </c>
    </row>
    <row r="420" spans="1:33" x14ac:dyDescent="0.25">
      <c r="A420" s="9">
        <v>44127</v>
      </c>
      <c r="B420" s="3">
        <v>146.11719745834228</v>
      </c>
      <c r="C420" s="3">
        <v>286.54332653827453</v>
      </c>
      <c r="D420" s="3">
        <v>408.41829567205355</v>
      </c>
      <c r="E420" s="3">
        <v>548.94538107568565</v>
      </c>
      <c r="F420" s="3">
        <v>718.89162447301317</v>
      </c>
      <c r="G420" s="3">
        <v>579.13864131590731</v>
      </c>
      <c r="H420" s="3">
        <v>742.80866160710457</v>
      </c>
      <c r="I420" s="3">
        <v>566.09610466556842</v>
      </c>
      <c r="J420" s="23">
        <v>44127</v>
      </c>
      <c r="K420" s="24">
        <v>193.6875</v>
      </c>
      <c r="L420" s="24">
        <v>55.931250000000013</v>
      </c>
      <c r="M420" s="24">
        <v>14.856250000000001</v>
      </c>
      <c r="N420" s="24">
        <v>0</v>
      </c>
      <c r="O420" s="24">
        <v>212.39583333333334</v>
      </c>
      <c r="P420" s="24">
        <v>3.3958333333333335</v>
      </c>
      <c r="Q420" s="24">
        <v>8.3333333333333329E-2</v>
      </c>
      <c r="R420" s="24">
        <v>5.4770833333333329</v>
      </c>
      <c r="S420" s="10">
        <v>0.86471895299777612</v>
      </c>
      <c r="T420" s="25">
        <v>0.40116666666666667</v>
      </c>
      <c r="U420" s="25">
        <v>0.50104166666666683</v>
      </c>
      <c r="V420" s="25">
        <v>0.55004166666666732</v>
      </c>
      <c r="W420" s="25">
        <v>0.56908333333333327</v>
      </c>
      <c r="X420" s="25">
        <v>0.56691666666666662</v>
      </c>
      <c r="Y420" s="25">
        <v>0.44902083333333359</v>
      </c>
      <c r="Z420" s="25">
        <v>0.43543749999999953</v>
      </c>
      <c r="AA420" s="25">
        <v>0.38339583333333332</v>
      </c>
      <c r="AB420" s="25">
        <v>0.40931250000000002</v>
      </c>
      <c r="AC420" s="25">
        <v>0.24915000000000004</v>
      </c>
      <c r="AD420" s="25">
        <v>0.41139583333333318</v>
      </c>
      <c r="AE420" s="27">
        <f t="shared" si="19"/>
        <v>0.48404166666666665</v>
      </c>
      <c r="AF420" s="27">
        <f t="shared" si="20"/>
        <v>0.48133680555555558</v>
      </c>
      <c r="AG420" s="27">
        <f t="shared" si="21"/>
        <v>0.48182859848484849</v>
      </c>
    </row>
    <row r="421" spans="1:33" x14ac:dyDescent="0.25">
      <c r="A421" s="9">
        <v>44128</v>
      </c>
      <c r="B421" s="3">
        <v>139.54876623421501</v>
      </c>
      <c r="C421" s="3">
        <v>263.11026387888404</v>
      </c>
      <c r="D421" s="3">
        <v>392.51419149188825</v>
      </c>
      <c r="E421" s="3">
        <v>509.239897375829</v>
      </c>
      <c r="F421" s="3">
        <v>638.27173242894241</v>
      </c>
      <c r="G421" s="3">
        <v>503.91593685250041</v>
      </c>
      <c r="H421" s="3">
        <v>515.27194172216798</v>
      </c>
      <c r="I421" s="3">
        <v>507.30568181345905</v>
      </c>
      <c r="J421" s="23">
        <v>44128</v>
      </c>
      <c r="K421" s="24">
        <v>180.0625</v>
      </c>
      <c r="L421" s="24">
        <v>62.287499999999987</v>
      </c>
      <c r="M421" s="24">
        <v>15.489583333333336</v>
      </c>
      <c r="N421" s="24">
        <v>0</v>
      </c>
      <c r="O421" s="24">
        <v>215.125</v>
      </c>
      <c r="P421" s="24">
        <v>4.666666666666667</v>
      </c>
      <c r="Q421" s="24">
        <v>0.25</v>
      </c>
      <c r="R421" s="24">
        <v>7.9354166666666641</v>
      </c>
      <c r="S421" s="10">
        <v>0.74631909174273792</v>
      </c>
      <c r="T421" s="25">
        <v>0.38658333333333345</v>
      </c>
      <c r="U421" s="25">
        <v>0.49258333333333354</v>
      </c>
      <c r="V421" s="25">
        <v>0.54127083333333303</v>
      </c>
      <c r="W421" s="25">
        <v>0.56404166666666666</v>
      </c>
      <c r="X421" s="25">
        <v>0.55914583333333312</v>
      </c>
      <c r="Y421" s="25">
        <v>0.44212499999999993</v>
      </c>
      <c r="Z421" s="25">
        <v>0.43</v>
      </c>
      <c r="AA421" s="25">
        <v>0.37806249999999997</v>
      </c>
      <c r="AB421" s="25">
        <v>0.39788095238095234</v>
      </c>
      <c r="AC421" s="25">
        <v>0.21838888888888891</v>
      </c>
      <c r="AD421" s="25">
        <v>0.3781666666666666</v>
      </c>
      <c r="AE421" s="27">
        <f t="shared" si="19"/>
        <v>0.47286458333333325</v>
      </c>
      <c r="AF421" s="27">
        <f t="shared" si="20"/>
        <v>0.47468055555555555</v>
      </c>
      <c r="AG421" s="27">
        <f t="shared" si="21"/>
        <v>0.47435037878787872</v>
      </c>
    </row>
    <row r="422" spans="1:33" x14ac:dyDescent="0.25">
      <c r="A422" s="9">
        <v>44129</v>
      </c>
      <c r="B422" s="3">
        <v>127.44674638802739</v>
      </c>
      <c r="C422" s="3">
        <v>322.73536599609486</v>
      </c>
      <c r="D422" s="3">
        <v>411.41782807547139</v>
      </c>
      <c r="E422" s="3">
        <v>598.49351323072665</v>
      </c>
      <c r="F422" s="3">
        <v>617.61398097028496</v>
      </c>
      <c r="G422" s="3">
        <v>498.81905268801052</v>
      </c>
      <c r="H422" s="3">
        <v>230.11727790840649</v>
      </c>
      <c r="I422" s="3">
        <v>484.1487274091981</v>
      </c>
      <c r="J422" s="23">
        <v>44129</v>
      </c>
      <c r="K422" s="24">
        <v>196.72916666666666</v>
      </c>
      <c r="L422" s="24">
        <v>65.916666666666671</v>
      </c>
      <c r="M422" s="24">
        <v>16.854166666666664</v>
      </c>
      <c r="N422" s="24">
        <v>0</v>
      </c>
      <c r="O422" s="24">
        <v>228.41666666666666</v>
      </c>
      <c r="P422" s="24">
        <v>6.125</v>
      </c>
      <c r="Q422" s="24">
        <v>0.1875</v>
      </c>
      <c r="R422" s="24">
        <v>10.110416666666667</v>
      </c>
      <c r="S422" s="10">
        <v>0.73997325659041036</v>
      </c>
      <c r="T422" s="25">
        <v>0.36875000000000019</v>
      </c>
      <c r="U422" s="25">
        <v>0.48281250000000009</v>
      </c>
      <c r="V422" s="25">
        <v>0.53291666666666626</v>
      </c>
      <c r="W422" s="25">
        <v>0.55816666666666637</v>
      </c>
      <c r="X422" s="25">
        <v>0.55025000000000013</v>
      </c>
      <c r="Y422" s="25">
        <v>0.43472916666666667</v>
      </c>
      <c r="Z422" s="25">
        <v>0.42406250000000023</v>
      </c>
      <c r="AA422" s="25">
        <v>0.37254166666666655</v>
      </c>
      <c r="AB422" s="25">
        <v>0.38531250000000011</v>
      </c>
      <c r="AC422" s="25">
        <v>0.19673333333333334</v>
      </c>
      <c r="AD422" s="25">
        <v>0.33979166666666666</v>
      </c>
      <c r="AE422" s="27">
        <f t="shared" si="19"/>
        <v>0.45950000000000013</v>
      </c>
      <c r="AF422" s="27">
        <f t="shared" si="20"/>
        <v>0.46753819444444433</v>
      </c>
      <c r="AG422" s="27">
        <f t="shared" si="21"/>
        <v>0.46607670454545452</v>
      </c>
    </row>
    <row r="423" spans="1:33" x14ac:dyDescent="0.25">
      <c r="A423" s="9">
        <v>44130</v>
      </c>
      <c r="B423" s="3">
        <v>2.9225550781793892</v>
      </c>
      <c r="C423" s="3">
        <v>52.2488418932545</v>
      </c>
      <c r="D423" s="3">
        <v>108.87167563500613</v>
      </c>
      <c r="E423" s="3">
        <v>153.63954762092118</v>
      </c>
      <c r="F423" s="3">
        <v>256.66108296540676</v>
      </c>
      <c r="G423" s="3">
        <v>118.80923739521616</v>
      </c>
      <c r="H423" s="3">
        <v>3.585425078236113</v>
      </c>
      <c r="I423" s="3">
        <v>203.33863922654803</v>
      </c>
      <c r="J423" s="23">
        <v>44130</v>
      </c>
      <c r="K423" s="24">
        <v>64.895833333333329</v>
      </c>
      <c r="L423" s="24">
        <v>79.135416666666671</v>
      </c>
      <c r="M423" s="24">
        <v>15.277083333333332</v>
      </c>
      <c r="N423" s="24">
        <v>0</v>
      </c>
      <c r="O423" s="24">
        <v>214.60416666666666</v>
      </c>
      <c r="P423" s="24">
        <v>3.1666666666666665</v>
      </c>
      <c r="Q423" s="24">
        <v>0</v>
      </c>
      <c r="R423" s="24">
        <v>11.660416666666663</v>
      </c>
      <c r="S423" s="10">
        <v>0.36815612260431924</v>
      </c>
      <c r="T423" s="25">
        <v>0.35329166666666673</v>
      </c>
      <c r="U423" s="25">
        <v>0.47493749999999996</v>
      </c>
      <c r="V423" s="25">
        <v>0.52670833333333289</v>
      </c>
      <c r="W423" s="25">
        <v>0.55279166666666646</v>
      </c>
      <c r="X423" s="25">
        <v>0.54164583333333338</v>
      </c>
      <c r="Y423" s="25">
        <v>0.42833333333333301</v>
      </c>
      <c r="Z423" s="25">
        <v>0.41912499999999991</v>
      </c>
      <c r="AA423" s="25">
        <v>0.3675000000000001</v>
      </c>
      <c r="AB423" s="25">
        <v>0.3739302325581394</v>
      </c>
      <c r="AC423" s="53">
        <f>AD423*0.5711-0.0033</f>
        <v>0.1726463916666667</v>
      </c>
      <c r="AD423" s="25">
        <v>0.30808333333333338</v>
      </c>
      <c r="AE423" s="27">
        <f t="shared" si="19"/>
        <v>0.44746875000000008</v>
      </c>
      <c r="AF423" s="27">
        <f t="shared" si="20"/>
        <v>0.46156597222222207</v>
      </c>
      <c r="AG423" s="27">
        <f t="shared" si="21"/>
        <v>0.45900284090909077</v>
      </c>
    </row>
    <row r="424" spans="1:33" x14ac:dyDescent="0.25">
      <c r="A424" s="9">
        <v>44131</v>
      </c>
      <c r="B424" s="3">
        <v>7.8941404540722093</v>
      </c>
      <c r="C424" s="3">
        <v>60.38729591256385</v>
      </c>
      <c r="D424" s="3">
        <v>117.34704990211344</v>
      </c>
      <c r="E424" s="3">
        <v>163.18469443486495</v>
      </c>
      <c r="F424" s="3">
        <v>245.52805673209497</v>
      </c>
      <c r="G424" s="3">
        <v>131.15035300601684</v>
      </c>
      <c r="H424" s="3">
        <v>21.886865278820753</v>
      </c>
      <c r="I424" s="3">
        <v>177.06069102878169</v>
      </c>
      <c r="J424" s="23">
        <v>44131</v>
      </c>
      <c r="K424" s="24">
        <v>66.104166666666671</v>
      </c>
      <c r="L424" s="24">
        <v>85.654166666666654</v>
      </c>
      <c r="M424" s="24">
        <v>15.554166666666667</v>
      </c>
      <c r="N424" s="24">
        <v>0.7</v>
      </c>
      <c r="O424" s="24">
        <v>223.125</v>
      </c>
      <c r="P424" s="24">
        <v>3.5833333333333335</v>
      </c>
      <c r="Q424" s="24">
        <v>0.27083333333333331</v>
      </c>
      <c r="R424" s="24">
        <v>13.102083333333335</v>
      </c>
      <c r="S424" s="10">
        <v>0.26779767549450356</v>
      </c>
      <c r="T424" s="25">
        <v>0.34489583333333335</v>
      </c>
      <c r="U424" s="25">
        <v>0.46795833333333348</v>
      </c>
      <c r="V424" s="25">
        <v>0.52291666666666681</v>
      </c>
      <c r="W424" s="25">
        <v>0.5486458333333335</v>
      </c>
      <c r="X424" s="25">
        <v>0.53375000000000006</v>
      </c>
      <c r="Y424" s="25">
        <v>0.42412500000000009</v>
      </c>
      <c r="Z424" s="25">
        <v>0.41622916666666648</v>
      </c>
      <c r="AA424" s="25">
        <v>0.36464583333333328</v>
      </c>
      <c r="AB424" s="25">
        <v>0.36754166666666671</v>
      </c>
      <c r="AC424" s="25">
        <v>0.17299999999999999</v>
      </c>
      <c r="AD424" s="25">
        <v>0.29562499999999992</v>
      </c>
      <c r="AE424" s="27">
        <f t="shared" si="19"/>
        <v>0.43932291666666667</v>
      </c>
      <c r="AF424" s="27">
        <f t="shared" si="20"/>
        <v>0.45742013888888899</v>
      </c>
      <c r="AG424" s="27">
        <f t="shared" si="21"/>
        <v>0.45412973484848496</v>
      </c>
    </row>
    <row r="425" spans="1:33" x14ac:dyDescent="0.25">
      <c r="A425" s="9">
        <v>44132</v>
      </c>
      <c r="B425" s="3">
        <v>1.1456125839496374</v>
      </c>
      <c r="C425" s="3">
        <v>25.227677978658392</v>
      </c>
      <c r="D425" s="3">
        <v>7.40386295046891</v>
      </c>
      <c r="E425" s="3">
        <v>4.568899188410863</v>
      </c>
      <c r="F425" s="3">
        <v>36.865333663685121</v>
      </c>
      <c r="G425" s="3">
        <v>17.77419784921959</v>
      </c>
      <c r="H425" s="3">
        <v>0</v>
      </c>
      <c r="I425" s="3">
        <v>7.3228839033786581</v>
      </c>
      <c r="J425" s="23">
        <v>44132</v>
      </c>
      <c r="K425" s="24">
        <v>36.041666666666664</v>
      </c>
      <c r="L425" s="24">
        <v>93.25208333333336</v>
      </c>
      <c r="M425" s="24">
        <v>12.856249999999998</v>
      </c>
      <c r="N425" s="24">
        <v>3.9000000000000004</v>
      </c>
      <c r="O425" s="24">
        <v>200.83333333333334</v>
      </c>
      <c r="P425" s="24">
        <v>3.1666666666666665</v>
      </c>
      <c r="Q425" s="24">
        <v>0</v>
      </c>
      <c r="R425" s="24">
        <v>11.783333333333339</v>
      </c>
      <c r="S425" s="10">
        <v>0.1008143610352117</v>
      </c>
      <c r="T425" s="25">
        <v>0.34052083333333333</v>
      </c>
      <c r="U425" s="25">
        <v>0.46339583333333301</v>
      </c>
      <c r="V425" s="25">
        <v>0.52147916666666683</v>
      </c>
      <c r="W425" s="25">
        <v>0.5455208333333339</v>
      </c>
      <c r="X425" s="25">
        <v>0.52885416666666674</v>
      </c>
      <c r="Y425" s="25">
        <v>0.42302083333333357</v>
      </c>
      <c r="Z425" s="25">
        <v>0.41499999999999954</v>
      </c>
      <c r="AA425" s="25">
        <v>0.36302083333333296</v>
      </c>
      <c r="AB425" s="25">
        <v>0.38556249999999981</v>
      </c>
      <c r="AC425" s="53">
        <f t="shared" ref="AC425:AC431" si="22">AD425*0.5711-0.0033</f>
        <v>0.16686400416666672</v>
      </c>
      <c r="AD425" s="25">
        <v>0.29795833333333338</v>
      </c>
      <c r="AE425" s="27">
        <f t="shared" si="19"/>
        <v>0.4346875</v>
      </c>
      <c r="AF425" s="27">
        <f t="shared" si="20"/>
        <v>0.45523958333333336</v>
      </c>
      <c r="AG425" s="27">
        <f t="shared" si="21"/>
        <v>0.45150284090909099</v>
      </c>
    </row>
    <row r="426" spans="1:33" x14ac:dyDescent="0.25">
      <c r="A426" s="9">
        <v>44133</v>
      </c>
      <c r="B426" s="3">
        <v>17.488104427974637</v>
      </c>
      <c r="C426" s="3">
        <v>17.039270521159207</v>
      </c>
      <c r="D426" s="3">
        <v>34.212390422599057</v>
      </c>
      <c r="E426" s="3">
        <v>119.19382763324657</v>
      </c>
      <c r="F426" s="3">
        <v>219.56560704930109</v>
      </c>
      <c r="G426" s="3">
        <v>65.167051553063871</v>
      </c>
      <c r="H426" s="3">
        <v>134.1407203789615</v>
      </c>
      <c r="I426" s="3">
        <v>171.48530367463911</v>
      </c>
      <c r="J426" s="23">
        <v>44133</v>
      </c>
      <c r="K426" s="24">
        <v>65.25</v>
      </c>
      <c r="L426" s="24">
        <v>88.954166666666666</v>
      </c>
      <c r="M426" s="24">
        <v>13.033333333333333</v>
      </c>
      <c r="N426" s="24">
        <v>0.8</v>
      </c>
      <c r="O426" s="24">
        <v>220.08333333333334</v>
      </c>
      <c r="P426" s="24">
        <v>2.7083333333333335</v>
      </c>
      <c r="Q426" s="24">
        <v>0</v>
      </c>
      <c r="R426" s="24">
        <v>11.200000000000001</v>
      </c>
      <c r="S426" s="10">
        <v>0.17707378382858172</v>
      </c>
      <c r="T426" s="25">
        <v>0.33618750000000036</v>
      </c>
      <c r="U426" s="25">
        <v>0.4582500000000001</v>
      </c>
      <c r="V426" s="25">
        <v>0.51852083333333321</v>
      </c>
      <c r="W426" s="25">
        <v>0.54206249999999978</v>
      </c>
      <c r="X426" s="25">
        <v>0.52289583333333278</v>
      </c>
      <c r="Y426" s="25">
        <v>0.42037500000000011</v>
      </c>
      <c r="Z426" s="25">
        <v>0.41379166666666672</v>
      </c>
      <c r="AA426" s="25">
        <v>0.36191666666666672</v>
      </c>
      <c r="AB426" s="25">
        <v>0.38429166666666664</v>
      </c>
      <c r="AC426" s="53">
        <f t="shared" si="22"/>
        <v>0.16651896458333332</v>
      </c>
      <c r="AD426" s="25">
        <v>0.29735416666666659</v>
      </c>
      <c r="AE426" s="27">
        <f t="shared" si="19"/>
        <v>0.4295416666666666</v>
      </c>
      <c r="AF426" s="27">
        <f t="shared" si="20"/>
        <v>0.45248611111111114</v>
      </c>
      <c r="AG426" s="27">
        <f t="shared" si="21"/>
        <v>0.44831439393939393</v>
      </c>
    </row>
    <row r="427" spans="1:33" x14ac:dyDescent="0.25">
      <c r="A427" s="9">
        <v>44134</v>
      </c>
      <c r="B427" s="3">
        <v>14.537304343851822</v>
      </c>
      <c r="C427" s="3">
        <v>48.073192429974625</v>
      </c>
      <c r="D427" s="3">
        <v>47.940490627102847</v>
      </c>
      <c r="E427" s="3">
        <v>114.56337396668393</v>
      </c>
      <c r="F427" s="3">
        <v>204.52777233620628</v>
      </c>
      <c r="G427" s="3">
        <v>117.90633910552074</v>
      </c>
      <c r="H427" s="3">
        <v>214.34489248859049</v>
      </c>
      <c r="I427" s="3">
        <v>183.23655057869661</v>
      </c>
      <c r="J427" s="23">
        <v>44134</v>
      </c>
      <c r="K427" s="24">
        <v>86.5</v>
      </c>
      <c r="L427" s="24">
        <v>89.658333333333346</v>
      </c>
      <c r="M427" s="24">
        <v>15.370833333333335</v>
      </c>
      <c r="N427" s="24">
        <v>0.4</v>
      </c>
      <c r="O427" s="24">
        <v>252.60416666666666</v>
      </c>
      <c r="P427" s="24">
        <v>5.645833333333333</v>
      </c>
      <c r="Q427" s="24">
        <v>0.25</v>
      </c>
      <c r="R427" s="24">
        <v>13.633333333333333</v>
      </c>
      <c r="S427" s="10">
        <v>0.19633115178058327</v>
      </c>
      <c r="T427" s="25">
        <v>0.33427083333333313</v>
      </c>
      <c r="U427" s="25">
        <v>0.45466666666666683</v>
      </c>
      <c r="V427" s="25">
        <v>0.51595833333333341</v>
      </c>
      <c r="W427" s="25">
        <v>0.53820833333333329</v>
      </c>
      <c r="X427" s="25">
        <v>0.52022916666666652</v>
      </c>
      <c r="Y427" s="25">
        <v>0.41874999999999973</v>
      </c>
      <c r="Z427" s="25">
        <v>0.41177083333333342</v>
      </c>
      <c r="AA427" s="25">
        <v>0.35945833333333338</v>
      </c>
      <c r="AB427" s="25">
        <v>0.38354166666666667</v>
      </c>
      <c r="AC427" s="53">
        <f t="shared" si="22"/>
        <v>0.16567421250000006</v>
      </c>
      <c r="AD427" s="25">
        <v>0.29587500000000005</v>
      </c>
      <c r="AE427" s="27">
        <f t="shared" si="19"/>
        <v>0.4272499999999998</v>
      </c>
      <c r="AF427" s="27">
        <f t="shared" si="20"/>
        <v>0.44980208333333332</v>
      </c>
      <c r="AG427" s="27">
        <f t="shared" si="21"/>
        <v>0.44570170454545449</v>
      </c>
    </row>
    <row r="428" spans="1:33" x14ac:dyDescent="0.25">
      <c r="A428" s="9">
        <v>44135</v>
      </c>
      <c r="B428" s="3">
        <v>0.32689471599421038</v>
      </c>
      <c r="C428" s="3">
        <v>10.902303569318331</v>
      </c>
      <c r="D428" s="3">
        <v>1.0865273671140163</v>
      </c>
      <c r="E428" s="3">
        <v>0</v>
      </c>
      <c r="F428" s="3">
        <v>3.558457362599714</v>
      </c>
      <c r="G428" s="3">
        <v>0.28114852004462632</v>
      </c>
      <c r="H428" s="3">
        <v>1.5074383595512071</v>
      </c>
      <c r="I428" s="3">
        <v>2.6493375434945761</v>
      </c>
      <c r="J428" s="23">
        <v>44135</v>
      </c>
      <c r="K428" s="24">
        <v>22.520833333333332</v>
      </c>
      <c r="L428" s="24">
        <v>94.339583333333323</v>
      </c>
      <c r="M428" s="24">
        <v>14.327083333333325</v>
      </c>
      <c r="N428" s="24">
        <v>1.5999999999999999</v>
      </c>
      <c r="O428" s="24">
        <v>241.16666666666666</v>
      </c>
      <c r="P428" s="24">
        <v>4.520833333333333</v>
      </c>
      <c r="Q428" s="24">
        <v>0.1875</v>
      </c>
      <c r="R428" s="24">
        <v>13.424999999999997</v>
      </c>
      <c r="S428" s="10">
        <v>9.3783007625374629E-2</v>
      </c>
      <c r="T428" s="25">
        <v>0.33208333333333362</v>
      </c>
      <c r="U428" s="25">
        <v>0.45212500000000028</v>
      </c>
      <c r="V428" s="25">
        <v>0.51500000000000035</v>
      </c>
      <c r="W428" s="25">
        <v>0.53566666666666662</v>
      </c>
      <c r="X428" s="25">
        <v>0.51885416666666684</v>
      </c>
      <c r="Y428" s="25">
        <v>0.41814583333333305</v>
      </c>
      <c r="Z428" s="25">
        <v>0.41097916666666667</v>
      </c>
      <c r="AA428" s="25">
        <v>0.35802083333333351</v>
      </c>
      <c r="AB428" s="25">
        <v>0.38072916666666662</v>
      </c>
      <c r="AC428" s="53">
        <f t="shared" si="22"/>
        <v>0.16442493124999999</v>
      </c>
      <c r="AD428" s="25">
        <v>0.29368749999999993</v>
      </c>
      <c r="AE428" s="27">
        <f t="shared" si="19"/>
        <v>0.42546875000000023</v>
      </c>
      <c r="AF428" s="27">
        <f t="shared" si="20"/>
        <v>0.44832291666666685</v>
      </c>
      <c r="AG428" s="27">
        <f t="shared" si="21"/>
        <v>0.44416761363636381</v>
      </c>
    </row>
    <row r="429" spans="1:33" x14ac:dyDescent="0.25">
      <c r="A429" s="9">
        <v>44136</v>
      </c>
      <c r="B429" s="3">
        <v>1.1004555283013846</v>
      </c>
      <c r="C429" s="3">
        <v>34.879603976312318</v>
      </c>
      <c r="D429" s="3">
        <v>11.672810599200291</v>
      </c>
      <c r="E429" s="3">
        <v>0.43178349558237261</v>
      </c>
      <c r="F429" s="2">
        <v>26.664172284515054</v>
      </c>
      <c r="G429" s="3">
        <v>0.21625350303454202</v>
      </c>
      <c r="H429" s="3">
        <v>26.034145952465391</v>
      </c>
      <c r="I429" s="3">
        <v>29.8295111942654</v>
      </c>
      <c r="J429" s="23">
        <v>44136</v>
      </c>
      <c r="K429" s="24">
        <v>29.854166666666668</v>
      </c>
      <c r="L429" s="24">
        <v>94.410416666666663</v>
      </c>
      <c r="M429" s="24">
        <v>11.510416666666666</v>
      </c>
      <c r="N429" s="24">
        <v>3.5000000000000009</v>
      </c>
      <c r="O429" s="24">
        <v>201.0625</v>
      </c>
      <c r="P429" s="24">
        <v>2.4583333333333335</v>
      </c>
      <c r="Q429" s="24">
        <v>0</v>
      </c>
      <c r="R429" s="24">
        <v>10.641666666666664</v>
      </c>
      <c r="S429" s="10">
        <v>7.3736400570686852E-2</v>
      </c>
      <c r="T429" s="25">
        <v>0.33018750000000019</v>
      </c>
      <c r="U429" s="25">
        <v>0.4499166666666668</v>
      </c>
      <c r="V429" s="25">
        <v>0.51420833333333338</v>
      </c>
      <c r="W429" s="25">
        <v>0.53381250000000036</v>
      </c>
      <c r="X429" s="25">
        <v>0.51479166666666698</v>
      </c>
      <c r="Y429" s="25">
        <v>0.418375</v>
      </c>
      <c r="Z429" s="25">
        <v>0.4108124999999998</v>
      </c>
      <c r="AA429" s="25">
        <v>0.35850000000000021</v>
      </c>
      <c r="AB429" s="25">
        <v>0.40181250000000007</v>
      </c>
      <c r="AC429" s="53">
        <f t="shared" si="22"/>
        <v>0.17334836875000001</v>
      </c>
      <c r="AD429" s="25">
        <v>0.30931249999999999</v>
      </c>
      <c r="AE429" s="27">
        <f t="shared" si="19"/>
        <v>0.42248958333333358</v>
      </c>
      <c r="AF429" s="27">
        <f t="shared" si="20"/>
        <v>0.44760416666666675</v>
      </c>
      <c r="AG429" s="27">
        <f t="shared" si="21"/>
        <v>0.44303787878787887</v>
      </c>
    </row>
    <row r="430" spans="1:33" x14ac:dyDescent="0.25">
      <c r="A430" s="9">
        <v>44137</v>
      </c>
      <c r="B430" s="3">
        <v>6.510226355456691</v>
      </c>
      <c r="C430" s="3">
        <v>24.009387467969837</v>
      </c>
      <c r="D430" s="3">
        <v>18.51380055462424</v>
      </c>
      <c r="E430" s="3">
        <v>40.072113129438776</v>
      </c>
      <c r="F430" s="2">
        <v>236.70946376275009</v>
      </c>
      <c r="G430" s="3">
        <v>97.398269165395774</v>
      </c>
      <c r="H430" s="3">
        <v>231.11644577499521</v>
      </c>
      <c r="I430" s="3">
        <v>187.97801174559177</v>
      </c>
      <c r="J430" s="23">
        <v>44137</v>
      </c>
      <c r="K430" s="24">
        <v>51.645833333333336</v>
      </c>
      <c r="L430" s="24">
        <v>84.437500000000014</v>
      </c>
      <c r="M430" s="24">
        <v>9.7229166666666682</v>
      </c>
      <c r="N430" s="24">
        <v>1.5999999999999999</v>
      </c>
      <c r="O430" s="24">
        <v>219.89583333333334</v>
      </c>
      <c r="P430" s="24">
        <v>3.3958333333333335</v>
      </c>
      <c r="Q430" s="24">
        <v>0</v>
      </c>
      <c r="R430" s="24">
        <v>7.1749999999999998</v>
      </c>
      <c r="S430" s="10">
        <v>0.19589438570469123</v>
      </c>
      <c r="T430" s="25">
        <v>0.3256874999999998</v>
      </c>
      <c r="U430" s="25">
        <v>0.44560416666666675</v>
      </c>
      <c r="V430" s="25">
        <v>0.51027083333333312</v>
      </c>
      <c r="W430" s="25">
        <v>0.52983333333333349</v>
      </c>
      <c r="X430" s="25">
        <v>0.50785416666666661</v>
      </c>
      <c r="Y430" s="25">
        <v>0.41495833333333326</v>
      </c>
      <c r="Z430" s="25">
        <v>0.40893750000000012</v>
      </c>
      <c r="AA430" s="25">
        <v>0.35704166666666654</v>
      </c>
      <c r="AB430" s="25">
        <v>0.40435416666666679</v>
      </c>
      <c r="AC430" s="53">
        <f t="shared" si="22"/>
        <v>0.17471662916666678</v>
      </c>
      <c r="AD430" s="25">
        <v>0.31170833333333348</v>
      </c>
      <c r="AE430" s="27">
        <f t="shared" si="19"/>
        <v>0.4167708333333332</v>
      </c>
      <c r="AF430" s="27">
        <f t="shared" si="20"/>
        <v>0.44444097222222217</v>
      </c>
      <c r="AG430" s="27">
        <f t="shared" si="21"/>
        <v>0.43941003787878774</v>
      </c>
    </row>
    <row r="431" spans="1:33" x14ac:dyDescent="0.25">
      <c r="A431" s="9">
        <v>44138</v>
      </c>
      <c r="B431" s="3">
        <v>42.225535874941158</v>
      </c>
      <c r="C431" s="3">
        <v>53.754392470465412</v>
      </c>
      <c r="D431" s="3">
        <v>99.606495417973022</v>
      </c>
      <c r="E431" s="3">
        <v>203.50406156556488</v>
      </c>
      <c r="F431" s="2">
        <v>269.61850104005833</v>
      </c>
      <c r="G431" s="3">
        <v>213.29197372896093</v>
      </c>
      <c r="H431" s="3">
        <v>263.24790181610848</v>
      </c>
      <c r="I431" s="3">
        <v>275.6171648774324</v>
      </c>
      <c r="J431" s="23">
        <v>44138</v>
      </c>
      <c r="K431" s="24">
        <v>81.020833333333329</v>
      </c>
      <c r="L431" s="24">
        <v>80.656250000000014</v>
      </c>
      <c r="M431" s="24">
        <v>9.6062499999999975</v>
      </c>
      <c r="N431" s="24">
        <v>0.4</v>
      </c>
      <c r="O431" s="24">
        <v>237.4375</v>
      </c>
      <c r="P431" s="24">
        <v>4.0625</v>
      </c>
      <c r="Q431" s="24">
        <v>2.0833333333333332E-2</v>
      </c>
      <c r="R431" s="24">
        <v>6.3375000000000012</v>
      </c>
      <c r="S431" s="10">
        <v>0.24497329168460505</v>
      </c>
      <c r="T431" s="25">
        <v>0.32156249999999997</v>
      </c>
      <c r="U431" s="25">
        <v>0.43935416666666693</v>
      </c>
      <c r="V431" s="25">
        <v>0.50518750000000001</v>
      </c>
      <c r="W431" s="25">
        <v>0.52339583333333317</v>
      </c>
      <c r="X431" s="25">
        <v>0.50225000000000031</v>
      </c>
      <c r="Y431" s="25">
        <v>0.41083333333333316</v>
      </c>
      <c r="Z431" s="25">
        <v>0.40587499999999993</v>
      </c>
      <c r="AA431" s="25">
        <v>0.35360416666666666</v>
      </c>
      <c r="AB431" s="25">
        <v>0.39652083333333343</v>
      </c>
      <c r="AC431" s="53">
        <f t="shared" si="22"/>
        <v>0.17311041041666669</v>
      </c>
      <c r="AD431" s="25">
        <v>0.30889583333333337</v>
      </c>
      <c r="AE431" s="27">
        <f t="shared" si="19"/>
        <v>0.41190625000000014</v>
      </c>
      <c r="AF431" s="27">
        <f t="shared" si="20"/>
        <v>0.43970833333333331</v>
      </c>
      <c r="AG431" s="27">
        <f t="shared" si="21"/>
        <v>0.4346534090909091</v>
      </c>
    </row>
    <row r="432" spans="1:33" x14ac:dyDescent="0.25">
      <c r="A432" s="9">
        <v>44139</v>
      </c>
      <c r="B432" s="3">
        <v>27.636587306997704</v>
      </c>
      <c r="C432" s="3">
        <v>56.478436333741776</v>
      </c>
      <c r="D432" s="3">
        <v>116.72392202656299</v>
      </c>
      <c r="E432" s="3">
        <v>258.30900551515072</v>
      </c>
      <c r="F432" s="2">
        <v>124.59796051503275</v>
      </c>
      <c r="G432" s="3">
        <v>203.8998404861054</v>
      </c>
      <c r="H432" s="3">
        <v>121.65393528122706</v>
      </c>
      <c r="I432" s="3">
        <v>325.6721340624614</v>
      </c>
      <c r="J432" s="23">
        <v>44139</v>
      </c>
      <c r="K432" s="24">
        <v>77.354166666666671</v>
      </c>
      <c r="L432" s="24">
        <v>78.862500000000011</v>
      </c>
      <c r="M432" s="24">
        <v>9.970833333333335</v>
      </c>
      <c r="N432" s="24">
        <v>0</v>
      </c>
      <c r="O432" s="24">
        <v>232.5625</v>
      </c>
      <c r="P432" s="24">
        <v>3.5833333333333335</v>
      </c>
      <c r="Q432" s="24">
        <v>8.3333333333333329E-2</v>
      </c>
      <c r="R432" s="24">
        <v>6.3833333333333329</v>
      </c>
      <c r="S432" s="10">
        <v>0.27453754222998328</v>
      </c>
      <c r="T432" s="25">
        <v>0.31741666666666679</v>
      </c>
      <c r="U432" s="25">
        <v>0.4336666666666662</v>
      </c>
      <c r="V432" s="25">
        <v>0.5000625000000003</v>
      </c>
      <c r="W432" s="25">
        <v>0.51706249999999998</v>
      </c>
      <c r="X432" s="25">
        <v>0.49774999999999991</v>
      </c>
      <c r="Y432" s="25">
        <v>0.40716666666666684</v>
      </c>
      <c r="Z432" s="25">
        <v>0.40258333333333324</v>
      </c>
      <c r="AA432" s="25">
        <v>0.35045833333333309</v>
      </c>
      <c r="AB432" s="25">
        <v>0.38881249999999995</v>
      </c>
      <c r="AC432" s="25">
        <v>0.21647619047619054</v>
      </c>
      <c r="AD432" s="25">
        <v>0.3038333333333334</v>
      </c>
      <c r="AE432" s="27">
        <f t="shared" si="19"/>
        <v>0.40758333333333335</v>
      </c>
      <c r="AF432" s="27">
        <f t="shared" si="20"/>
        <v>0.43516666666666665</v>
      </c>
      <c r="AG432" s="27">
        <f t="shared" si="21"/>
        <v>0.43015151515151512</v>
      </c>
    </row>
    <row r="433" spans="1:33" x14ac:dyDescent="0.25">
      <c r="A433" s="9">
        <v>44140</v>
      </c>
      <c r="B433" s="3">
        <v>0.36460200316773694</v>
      </c>
      <c r="C433" s="3">
        <v>31.271930885137298</v>
      </c>
      <c r="D433" s="3">
        <v>2.6119237276486582</v>
      </c>
      <c r="E433" s="3">
        <v>11.469001426972355</v>
      </c>
      <c r="F433" s="2">
        <v>0</v>
      </c>
      <c r="G433" s="3">
        <v>1.9391963886501374E-2</v>
      </c>
      <c r="H433" s="3">
        <v>0</v>
      </c>
      <c r="I433" s="3">
        <v>18.062674327803002</v>
      </c>
      <c r="J433" s="23">
        <v>44140</v>
      </c>
      <c r="K433" s="24">
        <v>28.4375</v>
      </c>
      <c r="L433" s="24">
        <v>94.512499999999989</v>
      </c>
      <c r="M433" s="24">
        <v>10.866666666666667</v>
      </c>
      <c r="N433" s="24">
        <v>1.7999999999999998</v>
      </c>
      <c r="O433" s="24">
        <v>242.91666666666666</v>
      </c>
      <c r="P433" s="24">
        <v>2.0833333333333335</v>
      </c>
      <c r="Q433" s="24">
        <v>0</v>
      </c>
      <c r="R433" s="24">
        <v>10.016666666666666</v>
      </c>
      <c r="S433" s="10">
        <v>7.1481170229758542E-2</v>
      </c>
      <c r="T433" s="25">
        <v>0.31545833333333351</v>
      </c>
      <c r="U433" s="25">
        <v>0.42977083333333299</v>
      </c>
      <c r="V433" s="25">
        <v>0.49702083333333319</v>
      </c>
      <c r="W433" s="25">
        <v>0.51289583333333366</v>
      </c>
      <c r="X433" s="25">
        <v>0.49564583333333273</v>
      </c>
      <c r="Y433" s="25">
        <v>0.4054374999999999</v>
      </c>
      <c r="Z433" s="25">
        <v>0.40027083333333319</v>
      </c>
      <c r="AA433" s="25">
        <v>0.34900000000000014</v>
      </c>
      <c r="AB433" s="25">
        <v>0.38670833333333327</v>
      </c>
      <c r="AC433" s="25">
        <v>0.21316666666666664</v>
      </c>
      <c r="AD433" s="25">
        <v>0.30181250000000021</v>
      </c>
      <c r="AE433" s="27">
        <f t="shared" si="19"/>
        <v>0.40555208333333315</v>
      </c>
      <c r="AF433" s="27">
        <f t="shared" si="20"/>
        <v>0.4323993055555555</v>
      </c>
      <c r="AG433" s="27">
        <f t="shared" si="21"/>
        <v>0.42751799242424238</v>
      </c>
    </row>
    <row r="434" spans="1:33" x14ac:dyDescent="0.25">
      <c r="A434" s="9">
        <v>44141</v>
      </c>
      <c r="B434" s="3">
        <v>21.476172705820563</v>
      </c>
      <c r="C434" s="3">
        <v>66.899001366105168</v>
      </c>
      <c r="D434" s="3">
        <v>70.961114557808983</v>
      </c>
      <c r="E434" s="3">
        <v>198.67845512614161</v>
      </c>
      <c r="F434" s="2">
        <v>161.95462114958463</v>
      </c>
      <c r="G434" s="3">
        <v>132.16725575506942</v>
      </c>
      <c r="H434" s="3">
        <v>158.12792535597015</v>
      </c>
      <c r="I434" s="3">
        <v>159.98681945649622</v>
      </c>
      <c r="J434" s="23">
        <v>44141</v>
      </c>
      <c r="K434" s="24">
        <v>86.375</v>
      </c>
      <c r="L434" s="24">
        <v>86.035416666666663</v>
      </c>
      <c r="M434" s="24">
        <v>11.806250000000006</v>
      </c>
      <c r="N434" s="24">
        <v>1.3</v>
      </c>
      <c r="O434" s="24">
        <v>195.375</v>
      </c>
      <c r="P434" s="24">
        <v>3.25</v>
      </c>
      <c r="Q434" s="24">
        <v>0</v>
      </c>
      <c r="R434" s="24">
        <v>9.4416666666666682</v>
      </c>
      <c r="S434" s="10">
        <v>0.21336008449048158</v>
      </c>
      <c r="T434" s="25">
        <v>0.31652083333333353</v>
      </c>
      <c r="U434" s="25">
        <v>0.42906249999999974</v>
      </c>
      <c r="V434" s="25">
        <v>0.4959583333333335</v>
      </c>
      <c r="W434" s="25">
        <v>0.51050000000000006</v>
      </c>
      <c r="X434" s="25">
        <v>0.49560416666666612</v>
      </c>
      <c r="Y434" s="25">
        <v>0.40587500000000015</v>
      </c>
      <c r="Z434" s="25">
        <v>0.39956250000000049</v>
      </c>
      <c r="AA434" s="25">
        <v>0.34793750000000007</v>
      </c>
      <c r="AB434" s="25">
        <v>0.39900000000000008</v>
      </c>
      <c r="AC434" s="25">
        <v>0.23506250000000001</v>
      </c>
      <c r="AD434" s="25">
        <v>0.30831249999999993</v>
      </c>
      <c r="AE434" s="27">
        <f t="shared" si="19"/>
        <v>0.40606249999999983</v>
      </c>
      <c r="AF434" s="27">
        <f t="shared" si="20"/>
        <v>0.43148263888888905</v>
      </c>
      <c r="AG434" s="27">
        <f t="shared" si="21"/>
        <v>0.42686079545454558</v>
      </c>
    </row>
    <row r="435" spans="1:33" x14ac:dyDescent="0.25">
      <c r="A435" s="9">
        <v>44142</v>
      </c>
      <c r="B435" s="3">
        <v>131.40188202691425</v>
      </c>
      <c r="C435" s="3">
        <v>252.55893777873413</v>
      </c>
      <c r="D435" s="3">
        <v>310.08199110031342</v>
      </c>
      <c r="E435" s="3">
        <v>583.0993463220309</v>
      </c>
      <c r="F435" s="2">
        <v>151.78667985689015</v>
      </c>
      <c r="G435" s="3">
        <v>489.63417395207637</v>
      </c>
      <c r="H435" s="3">
        <v>148.20023418950416</v>
      </c>
      <c r="I435" s="3">
        <v>344.04514650828776</v>
      </c>
      <c r="J435" s="23">
        <v>44142</v>
      </c>
      <c r="K435" s="24">
        <v>180.8125</v>
      </c>
      <c r="L435" s="24">
        <v>74.687499999999986</v>
      </c>
      <c r="M435" s="24">
        <v>13.599999999999996</v>
      </c>
      <c r="N435" s="24">
        <v>0</v>
      </c>
      <c r="O435" s="24">
        <v>244.16666666666666</v>
      </c>
      <c r="P435" s="24">
        <v>3.2083333333333335</v>
      </c>
      <c r="Q435" s="24">
        <v>4.1666666666666664E-2</v>
      </c>
      <c r="R435" s="24">
        <v>8.78541666666667</v>
      </c>
      <c r="S435" s="10">
        <v>0.49526584147024072</v>
      </c>
      <c r="T435" s="25">
        <v>0.31393750000000015</v>
      </c>
      <c r="U435" s="25">
        <v>0.42687499999999984</v>
      </c>
      <c r="V435" s="25">
        <v>0.49285416666666654</v>
      </c>
      <c r="W435" s="25">
        <v>0.50652083333333364</v>
      </c>
      <c r="X435" s="25">
        <v>0.49464583333333301</v>
      </c>
      <c r="Y435" s="25">
        <v>0.4028958333333334</v>
      </c>
      <c r="Z435" s="25">
        <v>0.39650000000000002</v>
      </c>
      <c r="AA435" s="25">
        <v>0.34458333333333341</v>
      </c>
      <c r="AB435" s="25">
        <v>0.39185416666666667</v>
      </c>
      <c r="AC435" s="25">
        <v>0.218</v>
      </c>
      <c r="AD435" s="25">
        <v>0.30481249999999999</v>
      </c>
      <c r="AE435" s="27">
        <f t="shared" si="19"/>
        <v>0.4042916666666666</v>
      </c>
      <c r="AF435" s="27">
        <f t="shared" si="20"/>
        <v>0.42837152777777782</v>
      </c>
      <c r="AG435" s="27">
        <f t="shared" si="21"/>
        <v>0.42399337121212122</v>
      </c>
    </row>
    <row r="436" spans="1:33" x14ac:dyDescent="0.25">
      <c r="A436" s="9">
        <v>44143</v>
      </c>
      <c r="B436" s="3">
        <v>53.019876380744662</v>
      </c>
      <c r="C436" s="3">
        <v>216.10999134117606</v>
      </c>
      <c r="D436" s="3">
        <v>249.02601583399107</v>
      </c>
      <c r="E436" s="3">
        <v>470.38773034111875</v>
      </c>
      <c r="F436" s="2">
        <v>64.714850896510455</v>
      </c>
      <c r="G436" s="3">
        <v>403.08827547755845</v>
      </c>
      <c r="H436" s="3">
        <v>63.185755610730766</v>
      </c>
      <c r="I436" s="3">
        <v>338.50078856313206</v>
      </c>
      <c r="J436" s="23">
        <v>44143</v>
      </c>
      <c r="K436" s="24">
        <v>130.4375</v>
      </c>
      <c r="L436" s="24">
        <v>74.847916666666649</v>
      </c>
      <c r="M436" s="24">
        <v>13.335416666666674</v>
      </c>
      <c r="N436" s="24">
        <v>0</v>
      </c>
      <c r="O436" s="24">
        <v>179.66666666666666</v>
      </c>
      <c r="P436" s="24">
        <v>2.0833333333333335</v>
      </c>
      <c r="Q436" s="24">
        <v>2.0833333333333332E-2</v>
      </c>
      <c r="R436" s="24">
        <v>8.7395833333333339</v>
      </c>
      <c r="S436" s="10">
        <v>0.43988951388174308</v>
      </c>
      <c r="T436" s="25">
        <v>0.30877083333333327</v>
      </c>
      <c r="U436" s="25">
        <v>0.42270833333333319</v>
      </c>
      <c r="V436" s="25">
        <v>0.48760416666666656</v>
      </c>
      <c r="W436" s="25">
        <v>0.50262500000000021</v>
      </c>
      <c r="X436" s="25">
        <v>0.4921458333333335</v>
      </c>
      <c r="Y436" s="25">
        <v>0.3978750000000002</v>
      </c>
      <c r="Z436" s="25">
        <v>0.39177083333333335</v>
      </c>
      <c r="AA436" s="25">
        <v>0.34081249999999996</v>
      </c>
      <c r="AB436" s="25">
        <v>0.38150000000000001</v>
      </c>
      <c r="AC436" s="53">
        <f t="shared" ref="AC436:AC437" si="23">AD436*0.5711-0.0033</f>
        <v>0.16511501041666662</v>
      </c>
      <c r="AD436" s="25">
        <v>0.29489583333333325</v>
      </c>
      <c r="AE436" s="27">
        <f t="shared" si="19"/>
        <v>0.40045833333333336</v>
      </c>
      <c r="AF436" s="27">
        <f t="shared" si="20"/>
        <v>0.42389930555555555</v>
      </c>
      <c r="AG436" s="27">
        <f t="shared" si="21"/>
        <v>0.41963731060606058</v>
      </c>
    </row>
    <row r="437" spans="1:33" x14ac:dyDescent="0.25">
      <c r="A437" s="9">
        <v>44144</v>
      </c>
      <c r="B437" s="3">
        <v>142.75965420640924</v>
      </c>
      <c r="C437" s="3">
        <v>300.46681432746141</v>
      </c>
      <c r="D437" s="3">
        <v>384.36989485661445</v>
      </c>
      <c r="E437" s="3">
        <v>573.35479248111812</v>
      </c>
      <c r="F437" s="2">
        <v>108.6759297314709</v>
      </c>
      <c r="G437" s="3">
        <v>725.16423016109479</v>
      </c>
      <c r="H437" s="3">
        <v>106.10811338749356</v>
      </c>
      <c r="I437" s="3">
        <v>653.47698805944412</v>
      </c>
      <c r="J437" s="23">
        <v>44144</v>
      </c>
      <c r="K437" s="24">
        <v>175.35416666666666</v>
      </c>
      <c r="L437" s="24">
        <v>53.45000000000001</v>
      </c>
      <c r="M437" s="24">
        <v>14.639583333333333</v>
      </c>
      <c r="N437" s="24">
        <v>0</v>
      </c>
      <c r="O437" s="24">
        <v>213.39583333333334</v>
      </c>
      <c r="P437" s="24">
        <v>3.3333333333333335</v>
      </c>
      <c r="Q437" s="24">
        <v>6.25E-2</v>
      </c>
      <c r="R437" s="24">
        <v>4.3249999999999993</v>
      </c>
      <c r="S437" s="10">
        <v>0.88269616599950673</v>
      </c>
      <c r="T437" s="25">
        <v>0.30181250000000009</v>
      </c>
      <c r="U437" s="25">
        <v>0.41645833333333315</v>
      </c>
      <c r="V437" s="25">
        <v>0.47987500000000027</v>
      </c>
      <c r="W437" s="25">
        <v>0.49781250000000005</v>
      </c>
      <c r="X437" s="25">
        <v>0.48662500000000003</v>
      </c>
      <c r="Y437" s="25">
        <v>0.39006250000000015</v>
      </c>
      <c r="Z437" s="25">
        <v>0.38508333333333317</v>
      </c>
      <c r="AA437" s="25">
        <v>0.33600000000000013</v>
      </c>
      <c r="AB437" s="25">
        <v>0.37067500000000003</v>
      </c>
      <c r="AC437" s="53">
        <f t="shared" si="23"/>
        <v>0.15897568541666668</v>
      </c>
      <c r="AD437" s="25">
        <v>0.28414583333333332</v>
      </c>
      <c r="AE437" s="27">
        <f t="shared" si="19"/>
        <v>0.39421875000000006</v>
      </c>
      <c r="AF437" s="27">
        <f t="shared" si="20"/>
        <v>0.41754861111111113</v>
      </c>
      <c r="AG437" s="27">
        <f t="shared" si="21"/>
        <v>0.41330681818181814</v>
      </c>
    </row>
    <row r="438" spans="1:33" x14ac:dyDescent="0.25">
      <c r="A438" s="9">
        <v>44145</v>
      </c>
      <c r="B438" s="3">
        <v>157.95503116676684</v>
      </c>
      <c r="C438" s="3">
        <v>365.39709343984043</v>
      </c>
      <c r="D438" s="3">
        <v>411.70218348460071</v>
      </c>
      <c r="E438" s="3">
        <v>611.12194847602098</v>
      </c>
      <c r="F438" s="2">
        <v>156.52620522062463</v>
      </c>
      <c r="G438" s="3">
        <v>517.17441763323961</v>
      </c>
      <c r="H438" s="3">
        <v>152.82777311133043</v>
      </c>
      <c r="I438" s="3">
        <v>649.19170167990762</v>
      </c>
      <c r="J438" s="23">
        <v>44145</v>
      </c>
      <c r="K438" s="24">
        <v>188.83333333333334</v>
      </c>
      <c r="L438" s="24">
        <v>52.512499999999996</v>
      </c>
      <c r="M438" s="24">
        <v>14.235416666666666</v>
      </c>
      <c r="N438" s="24">
        <v>0</v>
      </c>
      <c r="O438" s="24">
        <v>196.9375</v>
      </c>
      <c r="P438" s="24">
        <v>3.0833333333333335</v>
      </c>
      <c r="Q438" s="24">
        <v>0.125</v>
      </c>
      <c r="R438" s="24">
        <v>3.8000000000000003</v>
      </c>
      <c r="S438" s="10">
        <v>0.92180404086401158</v>
      </c>
      <c r="T438" s="25">
        <v>0.29224999999999984</v>
      </c>
      <c r="U438" s="25">
        <v>0.40633333333333338</v>
      </c>
      <c r="V438" s="25">
        <v>0.4685208333333335</v>
      </c>
      <c r="W438" s="25">
        <v>0.49091666666666667</v>
      </c>
      <c r="X438" s="25">
        <v>0.47760416666666655</v>
      </c>
      <c r="Y438" s="25">
        <v>0.37916666666666649</v>
      </c>
      <c r="Z438" s="25">
        <v>0.37583333333333319</v>
      </c>
      <c r="AA438" s="25">
        <v>0.32958333333333345</v>
      </c>
      <c r="AB438" s="25">
        <v>0.35358536585365852</v>
      </c>
      <c r="AC438" s="25">
        <v>0.1613333333333333</v>
      </c>
      <c r="AD438" s="25">
        <v>0.26737499999999986</v>
      </c>
      <c r="AE438" s="27">
        <f t="shared" si="19"/>
        <v>0.3849270833333332</v>
      </c>
      <c r="AF438" s="27">
        <f t="shared" si="20"/>
        <v>0.4083923611111111</v>
      </c>
      <c r="AG438" s="27">
        <f t="shared" si="21"/>
        <v>0.40412594696969695</v>
      </c>
    </row>
    <row r="439" spans="1:33" x14ac:dyDescent="0.25">
      <c r="A439" s="9">
        <v>44146</v>
      </c>
      <c r="B439" s="3">
        <v>198.67318227012871</v>
      </c>
      <c r="C439" s="3">
        <v>366.83150138054287</v>
      </c>
      <c r="D439" s="3">
        <v>417.9355292813745</v>
      </c>
      <c r="E439" s="3">
        <v>623.37245852771935</v>
      </c>
      <c r="F439" s="2">
        <v>214.42438565458366</v>
      </c>
      <c r="G439" s="3">
        <v>345.21803616429804</v>
      </c>
      <c r="H439" s="3">
        <v>209.35792389629336</v>
      </c>
      <c r="I439" s="3">
        <v>643.10405776135519</v>
      </c>
      <c r="J439" s="23">
        <v>44146</v>
      </c>
      <c r="K439" s="24">
        <v>188.16666666666666</v>
      </c>
      <c r="L439" s="24">
        <v>54.120833333333316</v>
      </c>
      <c r="M439" s="24">
        <v>14.010416666666666</v>
      </c>
      <c r="N439" s="24">
        <v>0</v>
      </c>
      <c r="O439" s="24">
        <v>209.125</v>
      </c>
      <c r="P439" s="24">
        <v>2.3958333333333335</v>
      </c>
      <c r="Q439" s="24">
        <v>0</v>
      </c>
      <c r="R439" s="24">
        <v>4.2250000000000014</v>
      </c>
      <c r="S439" s="10">
        <v>0.87638695739803463</v>
      </c>
      <c r="T439" s="25">
        <v>0.28337500000000004</v>
      </c>
      <c r="U439" s="25">
        <v>0.39602083333333332</v>
      </c>
      <c r="V439" s="25">
        <v>0.45893749999999955</v>
      </c>
      <c r="W439" s="25">
        <v>0.48331250000000009</v>
      </c>
      <c r="X439" s="25">
        <v>0.46897916666666667</v>
      </c>
      <c r="Y439" s="25">
        <v>0.3688958333333332</v>
      </c>
      <c r="Z439" s="25">
        <v>0.36783333333333346</v>
      </c>
      <c r="AA439" s="25">
        <v>0.32352083333333326</v>
      </c>
      <c r="AB439" s="25">
        <v>0.33595454545454545</v>
      </c>
      <c r="AC439" s="25">
        <v>0.1529166666666667</v>
      </c>
      <c r="AD439" s="25">
        <v>0.25183333333333324</v>
      </c>
      <c r="AE439" s="27">
        <f t="shared" si="19"/>
        <v>0.37617708333333333</v>
      </c>
      <c r="AF439" s="27">
        <f t="shared" si="20"/>
        <v>0.39975347222222207</v>
      </c>
      <c r="AG439" s="27">
        <f t="shared" si="21"/>
        <v>0.39546685606060594</v>
      </c>
    </row>
    <row r="440" spans="1:33" x14ac:dyDescent="0.25">
      <c r="A440" s="9">
        <v>44147</v>
      </c>
      <c r="B440" s="3">
        <v>189.47253000893545</v>
      </c>
      <c r="C440" s="3">
        <v>321.9206066505094</v>
      </c>
      <c r="D440" s="3">
        <v>389.25703356986105</v>
      </c>
      <c r="E440" s="3">
        <v>609.70628959054636</v>
      </c>
      <c r="F440" s="2">
        <v>234.98445807690712</v>
      </c>
      <c r="G440" s="3">
        <v>333.14901872657629</v>
      </c>
      <c r="H440" s="3">
        <v>229.43219886438891</v>
      </c>
      <c r="I440" s="3">
        <v>580.19279061127952</v>
      </c>
      <c r="J440" s="23">
        <v>44147</v>
      </c>
      <c r="K440" s="24">
        <v>173.72916666666666</v>
      </c>
      <c r="L440" s="24">
        <v>59.677083333333336</v>
      </c>
      <c r="M440" s="24">
        <v>14.272916666666665</v>
      </c>
      <c r="N440" s="24">
        <v>0</v>
      </c>
      <c r="O440" s="24">
        <v>204.9375</v>
      </c>
      <c r="P440" s="24">
        <v>1.1041666666666667</v>
      </c>
      <c r="Q440" s="24">
        <v>0</v>
      </c>
      <c r="R440" s="24">
        <v>5.9375</v>
      </c>
      <c r="S440" s="10">
        <v>0.79878502173037358</v>
      </c>
      <c r="T440" s="25">
        <v>0.27672916666666669</v>
      </c>
      <c r="U440" s="25">
        <v>0.38714583333333347</v>
      </c>
      <c r="V440" s="25">
        <v>0.45145833333333335</v>
      </c>
      <c r="W440" s="25">
        <v>0.47633333333333305</v>
      </c>
      <c r="X440" s="25">
        <v>0.46133333333333332</v>
      </c>
      <c r="Y440" s="25">
        <v>0.36068750000000005</v>
      </c>
      <c r="Z440" s="25">
        <v>0.36181249999999993</v>
      </c>
      <c r="AA440" s="25">
        <v>0.31837500000000024</v>
      </c>
      <c r="AB440" s="25">
        <v>0.31957446808510637</v>
      </c>
      <c r="AC440" s="25">
        <v>0.14368749999999997</v>
      </c>
      <c r="AD440" s="25">
        <v>0.23931250000000004</v>
      </c>
      <c r="AE440" s="27">
        <f t="shared" si="19"/>
        <v>0.36903125000000003</v>
      </c>
      <c r="AF440" s="27">
        <f t="shared" si="20"/>
        <v>0.39263541666666663</v>
      </c>
      <c r="AG440" s="27">
        <f t="shared" si="21"/>
        <v>0.38834374999999999</v>
      </c>
    </row>
    <row r="441" spans="1:33" x14ac:dyDescent="0.25">
      <c r="A441" s="9">
        <v>44148</v>
      </c>
      <c r="B441" s="3">
        <v>182.52180340649571</v>
      </c>
      <c r="C441" s="3">
        <v>311.70140756977372</v>
      </c>
      <c r="D441" s="3">
        <v>379.80012991759179</v>
      </c>
      <c r="E441" s="3">
        <v>643.5504519619833</v>
      </c>
      <c r="F441" s="2">
        <v>251.44653414205521</v>
      </c>
      <c r="G441" s="3">
        <v>362.84802254419202</v>
      </c>
      <c r="H441" s="3">
        <v>245.50530574307285</v>
      </c>
      <c r="I441" s="3">
        <v>590.11655537828949</v>
      </c>
      <c r="J441" s="23">
        <v>44148</v>
      </c>
      <c r="K441" s="24">
        <v>174.83333333333334</v>
      </c>
      <c r="L441" s="24">
        <v>57.379166666666691</v>
      </c>
      <c r="M441" s="24">
        <v>14.974999999999996</v>
      </c>
      <c r="N441" s="24">
        <v>0</v>
      </c>
      <c r="O441" s="24">
        <v>214.52083333333334</v>
      </c>
      <c r="P441" s="24">
        <v>2.5416666666666665</v>
      </c>
      <c r="Q441" s="24">
        <v>8.3333333333333329E-2</v>
      </c>
      <c r="R441" s="24">
        <v>5.9437499999999988</v>
      </c>
      <c r="S441" s="10">
        <v>0.86757433512385307</v>
      </c>
      <c r="T441" s="25">
        <v>0.27127083333333324</v>
      </c>
      <c r="U441" s="25">
        <v>0.3792916666666668</v>
      </c>
      <c r="V441" s="25">
        <v>0.44477083333333328</v>
      </c>
      <c r="W441" s="25">
        <v>0.46968749999999987</v>
      </c>
      <c r="X441" s="25">
        <v>0.4548541666666665</v>
      </c>
      <c r="Y441" s="25">
        <v>0.3538124999999997</v>
      </c>
      <c r="Z441" s="25">
        <v>0.35627083333333309</v>
      </c>
      <c r="AA441" s="25">
        <v>0.31360416666666674</v>
      </c>
      <c r="AB441" s="25">
        <v>0.30268181818181805</v>
      </c>
      <c r="AC441" s="25">
        <v>0.13760714285714279</v>
      </c>
      <c r="AD441" s="25">
        <v>0.22868750000000007</v>
      </c>
      <c r="AE441" s="27">
        <f t="shared" si="19"/>
        <v>0.36306249999999984</v>
      </c>
      <c r="AF441" s="27">
        <f t="shared" si="20"/>
        <v>0.38623958333333325</v>
      </c>
      <c r="AG441" s="27">
        <f t="shared" si="21"/>
        <v>0.38202556818181804</v>
      </c>
    </row>
    <row r="442" spans="1:33" x14ac:dyDescent="0.25">
      <c r="A442" s="9">
        <v>44149</v>
      </c>
      <c r="B442" s="3">
        <v>214.78421688318582</v>
      </c>
      <c r="C442" s="3">
        <v>320.95843523145879</v>
      </c>
      <c r="D442" s="3">
        <v>386.0731077623887</v>
      </c>
      <c r="E442" s="3">
        <v>698.9758656025308</v>
      </c>
      <c r="F442" s="2">
        <v>255.20393733610723</v>
      </c>
      <c r="G442" s="3">
        <v>377.51987358068959</v>
      </c>
      <c r="H442" s="3">
        <v>249.1739282719266</v>
      </c>
      <c r="I442" s="3">
        <v>548.73710926943363</v>
      </c>
      <c r="J442" s="23">
        <v>44149</v>
      </c>
      <c r="K442" s="24">
        <v>180.33333333333334</v>
      </c>
      <c r="L442" s="24">
        <v>55.758333333333326</v>
      </c>
      <c r="M442" s="24">
        <v>14.16666666666667</v>
      </c>
      <c r="N442" s="24">
        <v>0</v>
      </c>
      <c r="O442" s="24">
        <v>204.54166666666666</v>
      </c>
      <c r="P442" s="24">
        <v>3.4166666666666665</v>
      </c>
      <c r="Q442" s="24">
        <v>2.0833333333333332E-2</v>
      </c>
      <c r="R442" s="24">
        <v>5.0145833333333343</v>
      </c>
      <c r="S442" s="10">
        <v>0.82272313491469917</v>
      </c>
      <c r="T442" s="25">
        <v>0.26616666666666672</v>
      </c>
      <c r="U442" s="25">
        <v>0.37116666666666648</v>
      </c>
      <c r="V442" s="25">
        <v>0.43835416666666638</v>
      </c>
      <c r="W442" s="25">
        <v>0.46327083333333335</v>
      </c>
      <c r="X442" s="25">
        <v>0.44791666666666657</v>
      </c>
      <c r="Y442" s="25">
        <v>0.34770833333333334</v>
      </c>
      <c r="Z442" s="25">
        <v>0.35129166666666656</v>
      </c>
      <c r="AA442" s="25">
        <v>0.30922916666666661</v>
      </c>
      <c r="AB442" s="25">
        <v>0.28482222222222214</v>
      </c>
      <c r="AC442" s="25">
        <v>0.13144444444444447</v>
      </c>
      <c r="AD442" s="25">
        <v>0.21939583333333332</v>
      </c>
      <c r="AE442" s="27">
        <f t="shared" si="19"/>
        <v>0.35704166666666665</v>
      </c>
      <c r="AF442" s="27">
        <f t="shared" si="20"/>
        <v>0.38017013888888873</v>
      </c>
      <c r="AG442" s="27">
        <f t="shared" si="21"/>
        <v>0.375964962121212</v>
      </c>
    </row>
    <row r="443" spans="1:33" x14ac:dyDescent="0.25">
      <c r="A443" s="9">
        <v>44150</v>
      </c>
      <c r="B443" s="3">
        <v>166.32170522237104</v>
      </c>
      <c r="C443" s="3">
        <v>315.05028657041248</v>
      </c>
      <c r="D443" s="3">
        <v>422.8916254686323</v>
      </c>
      <c r="E443" s="3">
        <v>788.92633292897824</v>
      </c>
      <c r="F443" s="2">
        <v>297.08678902966398</v>
      </c>
      <c r="G443" s="3">
        <v>428.97627865407145</v>
      </c>
      <c r="H443" s="3">
        <v>290.06716366887713</v>
      </c>
      <c r="I443" s="3">
        <v>514.95194230452057</v>
      </c>
      <c r="J443" s="23">
        <v>44150</v>
      </c>
      <c r="K443" s="24">
        <v>179.0625</v>
      </c>
      <c r="L443" s="24">
        <v>66.466666666666683</v>
      </c>
      <c r="M443" s="24">
        <v>14.339583333333332</v>
      </c>
      <c r="N443" s="24">
        <v>0</v>
      </c>
      <c r="O443" s="24">
        <v>229.9375</v>
      </c>
      <c r="P443" s="24">
        <v>5.875</v>
      </c>
      <c r="Q443" s="24">
        <v>0.58333333333333337</v>
      </c>
      <c r="R443" s="24">
        <v>7.5583333333333336</v>
      </c>
      <c r="S443" s="10">
        <v>0.6816385243377111</v>
      </c>
      <c r="T443" s="25">
        <v>0.26225000000000009</v>
      </c>
      <c r="U443" s="25">
        <v>0.36399999999999993</v>
      </c>
      <c r="V443" s="25">
        <v>0.43264583333333323</v>
      </c>
      <c r="W443" s="25">
        <v>0.45729166666666615</v>
      </c>
      <c r="X443" s="25">
        <v>0.442</v>
      </c>
      <c r="Y443" s="25">
        <v>0.34314583333333332</v>
      </c>
      <c r="Z443" s="25">
        <v>0.34766666666666679</v>
      </c>
      <c r="AA443" s="25">
        <v>0.30554166666666677</v>
      </c>
      <c r="AB443" s="25">
        <v>0.26734090909090891</v>
      </c>
      <c r="AC443" s="25">
        <v>0.12699999999999995</v>
      </c>
      <c r="AD443" s="25">
        <v>0.2136458333333334</v>
      </c>
      <c r="AE443" s="27">
        <f t="shared" si="19"/>
        <v>0.35212500000000002</v>
      </c>
      <c r="AF443" s="27">
        <f t="shared" si="20"/>
        <v>0.37504861111111104</v>
      </c>
      <c r="AG443" s="27">
        <f t="shared" si="21"/>
        <v>0.37088068181818185</v>
      </c>
    </row>
    <row r="444" spans="1:33" x14ac:dyDescent="0.25">
      <c r="A444" s="9">
        <v>44151</v>
      </c>
      <c r="B444" s="3"/>
      <c r="C444" s="3"/>
      <c r="D444" s="3"/>
      <c r="E444" s="3"/>
      <c r="F444" s="3"/>
      <c r="G444" s="3"/>
      <c r="H444" s="3"/>
      <c r="I444" s="3"/>
      <c r="J444" s="23">
        <v>44151</v>
      </c>
      <c r="K444" s="24">
        <v>139.35416666666666</v>
      </c>
      <c r="L444" s="24">
        <v>81.239583333333314</v>
      </c>
      <c r="M444" s="24">
        <v>16.431250000000002</v>
      </c>
      <c r="N444" s="24">
        <v>0</v>
      </c>
      <c r="O444" s="24">
        <v>199.54166666666666</v>
      </c>
      <c r="P444" s="24">
        <v>12</v>
      </c>
      <c r="Q444" s="24">
        <v>2.2083333333333335</v>
      </c>
      <c r="R444" s="24">
        <v>13.00416666666667</v>
      </c>
      <c r="S444" s="10">
        <v>0.41735204329428055</v>
      </c>
      <c r="T444" s="25">
        <v>0.26106250000000003</v>
      </c>
      <c r="U444" s="25">
        <v>0.35970833333333346</v>
      </c>
      <c r="V444" s="25">
        <v>0.42999999999999988</v>
      </c>
      <c r="W444" s="25">
        <v>0.45258333333333334</v>
      </c>
      <c r="X444" s="25">
        <v>0.44006250000000002</v>
      </c>
      <c r="Y444" s="25">
        <v>0.34114583333333309</v>
      </c>
      <c r="Z444" s="25">
        <v>0.34537500000000004</v>
      </c>
      <c r="AA444" s="25">
        <v>0.30281249999999993</v>
      </c>
      <c r="AB444" s="25">
        <v>0.25234285714285704</v>
      </c>
      <c r="AC444" s="25">
        <v>0.125</v>
      </c>
      <c r="AD444" s="25">
        <v>0.21104166666666682</v>
      </c>
      <c r="AE444" s="27">
        <f t="shared" si="19"/>
        <v>0.3505625</v>
      </c>
      <c r="AF444" s="27">
        <f t="shared" si="20"/>
        <v>0.37193749999999987</v>
      </c>
      <c r="AG444" s="27">
        <f t="shared" si="21"/>
        <v>0.36805113636363623</v>
      </c>
    </row>
    <row r="445" spans="1:33" x14ac:dyDescent="0.25">
      <c r="A445" s="9">
        <v>44152</v>
      </c>
      <c r="B445" s="3"/>
      <c r="C445" s="3"/>
      <c r="D445" s="3"/>
      <c r="E445" s="3"/>
      <c r="F445" s="3"/>
      <c r="G445" s="3"/>
      <c r="H445" s="3"/>
      <c r="I445" s="3"/>
      <c r="J445" s="23">
        <v>44152</v>
      </c>
      <c r="K445" s="24">
        <v>151.14583333333334</v>
      </c>
      <c r="L445" s="24">
        <v>80.02291666666666</v>
      </c>
      <c r="M445" s="24">
        <v>18.65208333333333</v>
      </c>
      <c r="N445" s="24">
        <v>0</v>
      </c>
      <c r="O445" s="24">
        <v>228.5625</v>
      </c>
      <c r="P445" s="24">
        <v>22.020833333333332</v>
      </c>
      <c r="Q445" s="24">
        <v>4.5625</v>
      </c>
      <c r="R445" s="24">
        <v>14.966666666666663</v>
      </c>
      <c r="S445" s="10">
        <v>0.47676088726843452</v>
      </c>
      <c r="T445" s="25">
        <v>0.26072916666666662</v>
      </c>
      <c r="U445" s="25">
        <v>0.35760416666666645</v>
      </c>
      <c r="V445" s="25">
        <v>0.43010416666666668</v>
      </c>
      <c r="W445" s="25">
        <v>0.45010416666666697</v>
      </c>
      <c r="X445" s="25">
        <v>0.44029166666666675</v>
      </c>
      <c r="Y445" s="25">
        <v>0.34054166666666669</v>
      </c>
      <c r="Z445" s="25">
        <v>0.34445833333333314</v>
      </c>
      <c r="AA445" s="25">
        <v>0.30075000000000024</v>
      </c>
      <c r="AB445" s="25">
        <v>0.24010526315789466</v>
      </c>
      <c r="AC445" s="25">
        <v>0.12483333333333335</v>
      </c>
      <c r="AD445" s="25">
        <v>0.2101875</v>
      </c>
      <c r="AE445" s="27">
        <f t="shared" si="19"/>
        <v>0.35051041666666671</v>
      </c>
      <c r="AF445" s="27">
        <f t="shared" si="20"/>
        <v>0.37059375</v>
      </c>
      <c r="AG445" s="27">
        <f t="shared" si="21"/>
        <v>0.36694223484848487</v>
      </c>
    </row>
    <row r="446" spans="1:33" x14ac:dyDescent="0.25">
      <c r="A446" s="9">
        <v>44153</v>
      </c>
      <c r="B446" s="3"/>
      <c r="C446" s="3"/>
      <c r="D446" s="3"/>
      <c r="E446" s="3"/>
      <c r="F446" s="3"/>
      <c r="G446" s="3"/>
      <c r="H446" s="3"/>
      <c r="I446" s="3"/>
      <c r="J446" s="23">
        <v>44153</v>
      </c>
      <c r="K446" s="24">
        <v>176.47916666666666</v>
      </c>
      <c r="L446" s="24">
        <v>65.008333333333326</v>
      </c>
      <c r="M446" s="24">
        <v>19.402083333333334</v>
      </c>
      <c r="N446" s="24">
        <v>0</v>
      </c>
      <c r="O446" s="24">
        <v>240.5625</v>
      </c>
      <c r="P446" s="24">
        <v>17.333333333333332</v>
      </c>
      <c r="Q446" s="24">
        <v>3.2291666666666665</v>
      </c>
      <c r="R446" s="24">
        <v>12.014583333333336</v>
      </c>
      <c r="S446" s="10">
        <v>0.89085677598249413</v>
      </c>
      <c r="T446" s="25">
        <v>0.25856249999999986</v>
      </c>
      <c r="U446" s="25">
        <v>0.35493749999999974</v>
      </c>
      <c r="V446" s="25">
        <v>0.42943749999999997</v>
      </c>
      <c r="W446" s="25">
        <v>0.44770833333333365</v>
      </c>
      <c r="X446" s="25">
        <v>0.43849999999999995</v>
      </c>
      <c r="Y446" s="25">
        <v>0.33945833333333325</v>
      </c>
      <c r="Z446" s="25">
        <v>0.34316666666666684</v>
      </c>
      <c r="AA446" s="25">
        <v>0.29937499999999989</v>
      </c>
      <c r="AB446" s="25">
        <v>0.22532432432432431</v>
      </c>
      <c r="AC446" s="25">
        <v>0.12119230769230772</v>
      </c>
      <c r="AD446" s="25">
        <v>0.2073541666666667</v>
      </c>
      <c r="AE446" s="27">
        <f t="shared" si="19"/>
        <v>0.3485312499999999</v>
      </c>
      <c r="AF446" s="27">
        <f t="shared" si="20"/>
        <v>0.36901388888888892</v>
      </c>
      <c r="AG446" s="27">
        <f t="shared" si="21"/>
        <v>0.3652897727272727</v>
      </c>
    </row>
    <row r="447" spans="1:33" x14ac:dyDescent="0.25">
      <c r="A447" s="9">
        <v>44154</v>
      </c>
      <c r="B447" s="3"/>
      <c r="C447" s="3"/>
      <c r="D447" s="3"/>
      <c r="E447" s="3"/>
      <c r="F447" s="3"/>
      <c r="G447" s="3"/>
      <c r="H447" s="3"/>
      <c r="I447" s="3"/>
      <c r="J447" s="23">
        <v>44154</v>
      </c>
      <c r="K447" s="24">
        <v>155.04166666666666</v>
      </c>
      <c r="L447" s="24">
        <v>64.445833333333326</v>
      </c>
      <c r="M447" s="24">
        <v>17.341666666666665</v>
      </c>
      <c r="N447" s="24">
        <v>0</v>
      </c>
      <c r="O447" s="24">
        <v>235.89583333333334</v>
      </c>
      <c r="P447" s="24">
        <v>5.729166666666667</v>
      </c>
      <c r="Q447" s="24">
        <v>0.41666666666666669</v>
      </c>
      <c r="R447" s="24">
        <v>10.022916666666667</v>
      </c>
      <c r="S447" s="10">
        <v>0.80519459540803207</v>
      </c>
      <c r="T447" s="25">
        <v>0.25502083333333342</v>
      </c>
      <c r="U447" s="25">
        <v>0.35047916666666673</v>
      </c>
      <c r="V447" s="25">
        <v>0.42695833333333316</v>
      </c>
      <c r="W447" s="25">
        <v>0.44429166666666681</v>
      </c>
      <c r="X447" s="25">
        <v>0.43449999999999994</v>
      </c>
      <c r="Y447" s="25">
        <v>0.33697916666666683</v>
      </c>
      <c r="Z447" s="25">
        <v>0.34124999999999983</v>
      </c>
      <c r="AA447" s="25">
        <v>0.29745833333333349</v>
      </c>
      <c r="AB447" s="25">
        <v>0.20907142857142855</v>
      </c>
      <c r="AC447" s="25">
        <v>0.12466666666666662</v>
      </c>
      <c r="AD447" s="25">
        <v>0.20285416666666675</v>
      </c>
      <c r="AE447" s="27">
        <f t="shared" si="19"/>
        <v>0.34476041666666668</v>
      </c>
      <c r="AF447" s="27">
        <f t="shared" si="20"/>
        <v>0.36623611111111115</v>
      </c>
      <c r="AG447" s="27">
        <f t="shared" si="21"/>
        <v>0.36233143939393947</v>
      </c>
    </row>
    <row r="448" spans="1:33" x14ac:dyDescent="0.25">
      <c r="A448" s="9">
        <v>44155</v>
      </c>
      <c r="B448" s="3"/>
      <c r="C448" s="3"/>
      <c r="D448" s="3"/>
      <c r="E448" s="3"/>
      <c r="F448" s="3"/>
      <c r="G448" s="3"/>
      <c r="H448" s="3"/>
      <c r="I448" s="3"/>
      <c r="J448" s="23">
        <v>44155</v>
      </c>
      <c r="K448" s="24">
        <v>170.75</v>
      </c>
      <c r="L448" s="24">
        <v>69.408333333333346</v>
      </c>
      <c r="M448" s="24">
        <v>17.895833333333332</v>
      </c>
      <c r="N448" s="24">
        <v>0</v>
      </c>
      <c r="O448" s="24">
        <v>225.54166666666666</v>
      </c>
      <c r="P448" s="24">
        <v>12.145833333333334</v>
      </c>
      <c r="Q448" s="24">
        <v>2.9791666666666665</v>
      </c>
      <c r="R448" s="24">
        <v>11.889583333333334</v>
      </c>
      <c r="S448" s="10">
        <v>0.69878500409608346</v>
      </c>
      <c r="T448" s="25">
        <v>0.25270833333333331</v>
      </c>
      <c r="U448" s="25">
        <v>0.34714583333333326</v>
      </c>
      <c r="V448" s="25">
        <v>0.42452083333333318</v>
      </c>
      <c r="W448" s="25">
        <v>0.44014583333333307</v>
      </c>
      <c r="X448" s="25">
        <v>0.43152083333333319</v>
      </c>
      <c r="Y448" s="25">
        <v>0.33493750000000017</v>
      </c>
      <c r="Z448" s="25">
        <v>0.33920833333333311</v>
      </c>
      <c r="AA448" s="25">
        <v>0.29545833333333343</v>
      </c>
      <c r="AB448" s="25">
        <v>0.19865853658536584</v>
      </c>
      <c r="AC448" s="25">
        <v>0.11512500000000003</v>
      </c>
      <c r="AD448" s="25">
        <v>0.20024999999999996</v>
      </c>
      <c r="AE448" s="27">
        <f t="shared" si="19"/>
        <v>0.34211458333333322</v>
      </c>
      <c r="AF448" s="27">
        <f t="shared" si="20"/>
        <v>0.36356944444444439</v>
      </c>
      <c r="AG448" s="27">
        <f t="shared" si="21"/>
        <v>0.35966856060606062</v>
      </c>
    </row>
    <row r="449" spans="1:33" x14ac:dyDescent="0.25">
      <c r="A449" s="9">
        <v>44156</v>
      </c>
      <c r="B449" s="3"/>
      <c r="C449" s="3"/>
      <c r="D449" s="3"/>
      <c r="E449" s="3"/>
      <c r="F449" s="3"/>
      <c r="G449" s="3"/>
      <c r="H449" s="3"/>
      <c r="I449" s="3"/>
      <c r="J449" s="23">
        <v>44156</v>
      </c>
      <c r="K449" s="24">
        <v>163.60416666666666</v>
      </c>
      <c r="L449" s="24">
        <v>74.150000000000006</v>
      </c>
      <c r="M449" s="24">
        <v>17.427083333333336</v>
      </c>
      <c r="N449" s="24">
        <v>0</v>
      </c>
      <c r="O449" s="24">
        <v>239.875</v>
      </c>
      <c r="P449" s="24">
        <v>9.0208333333333339</v>
      </c>
      <c r="Q449" s="24">
        <v>0.75</v>
      </c>
      <c r="R449" s="24">
        <v>12.347916666666663</v>
      </c>
      <c r="S449" s="10">
        <v>0.61157296291943175</v>
      </c>
      <c r="T449" s="25">
        <v>0.25122916666666673</v>
      </c>
      <c r="U449" s="25">
        <v>0.34441666666666659</v>
      </c>
      <c r="V449" s="25">
        <v>0.42306249999999984</v>
      </c>
      <c r="W449" s="25">
        <v>0.43685416666666638</v>
      </c>
      <c r="X449" s="25">
        <v>0.43029166666666674</v>
      </c>
      <c r="Y449" s="25">
        <v>0.33397916666666688</v>
      </c>
      <c r="Z449" s="25">
        <v>0.33772916666666658</v>
      </c>
      <c r="AA449" s="25">
        <v>0.29370833333333307</v>
      </c>
      <c r="AB449" s="25">
        <v>0.19061904761904758</v>
      </c>
      <c r="AC449" s="25">
        <v>0.11425</v>
      </c>
      <c r="AD449" s="25">
        <v>0.19839583333333322</v>
      </c>
      <c r="AE449" s="27">
        <f t="shared" si="19"/>
        <v>0.34076041666666673</v>
      </c>
      <c r="AF449" s="27">
        <f t="shared" si="20"/>
        <v>0.36162499999999992</v>
      </c>
      <c r="AG449" s="27">
        <f t="shared" si="21"/>
        <v>0.35783143939393935</v>
      </c>
    </row>
    <row r="450" spans="1:33" x14ac:dyDescent="0.25">
      <c r="A450" s="9">
        <v>44157</v>
      </c>
      <c r="B450" s="3"/>
      <c r="C450" s="3"/>
      <c r="D450" s="3"/>
      <c r="E450" s="3"/>
      <c r="F450" s="3"/>
      <c r="G450" s="3"/>
      <c r="H450" s="3"/>
      <c r="I450" s="3"/>
      <c r="J450" s="23">
        <v>44157</v>
      </c>
      <c r="K450" s="24">
        <v>29.1875</v>
      </c>
      <c r="L450" s="24">
        <v>88.212499999999991</v>
      </c>
      <c r="M450" s="24">
        <v>10.077083333333329</v>
      </c>
      <c r="N450" s="24">
        <v>0</v>
      </c>
      <c r="O450" s="24">
        <v>227.1875</v>
      </c>
      <c r="P450" s="24">
        <v>6.375</v>
      </c>
      <c r="Q450" s="24">
        <v>4.1666666666666664E-2</v>
      </c>
      <c r="R450" s="24">
        <v>8.2020833333333325</v>
      </c>
      <c r="S450" s="10">
        <v>0.148551482444329</v>
      </c>
      <c r="T450" s="25">
        <v>0.24635416666666668</v>
      </c>
      <c r="U450" s="25">
        <v>0.34127083333333319</v>
      </c>
      <c r="V450" s="25">
        <v>0.42143750000000019</v>
      </c>
      <c r="W450" s="25">
        <v>0.43475000000000014</v>
      </c>
      <c r="X450" s="25">
        <v>0.42458333333333337</v>
      </c>
      <c r="Y450" s="25">
        <v>0.33227083333333329</v>
      </c>
      <c r="Z450" s="25">
        <v>0.33670833333333339</v>
      </c>
      <c r="AA450" s="25">
        <v>0.29272916666666654</v>
      </c>
      <c r="AB450" s="25">
        <v>0.18341666666666667</v>
      </c>
      <c r="AC450" s="25">
        <v>0.11051612903225806</v>
      </c>
      <c r="AD450" s="25">
        <v>0.1939374999999999</v>
      </c>
      <c r="AE450" s="27">
        <f t="shared" si="19"/>
        <v>0.33546875000000004</v>
      </c>
      <c r="AF450" s="27">
        <f t="shared" si="20"/>
        <v>0.35986111111111113</v>
      </c>
      <c r="AG450" s="27">
        <f t="shared" si="21"/>
        <v>0.3554261363636364</v>
      </c>
    </row>
    <row r="451" spans="1:33" x14ac:dyDescent="0.25">
      <c r="A451" s="9">
        <v>44158</v>
      </c>
      <c r="B451" s="3"/>
      <c r="C451" s="3"/>
      <c r="D451" s="3"/>
      <c r="E451" s="3"/>
      <c r="F451" s="3"/>
      <c r="G451" s="3"/>
      <c r="H451" s="3"/>
      <c r="I451" s="3"/>
      <c r="J451" s="23">
        <v>44158</v>
      </c>
      <c r="K451" s="24">
        <v>28.625</v>
      </c>
      <c r="L451" s="24">
        <v>95.15625</v>
      </c>
      <c r="M451" s="24">
        <v>5.654166666666665</v>
      </c>
      <c r="N451" s="24">
        <v>0.60000000000000009</v>
      </c>
      <c r="O451" s="24">
        <v>254.64583333333334</v>
      </c>
      <c r="P451" s="24">
        <v>4.104166666666667</v>
      </c>
      <c r="Q451" s="24">
        <v>0</v>
      </c>
      <c r="R451" s="24">
        <v>4.9437499999999988</v>
      </c>
      <c r="S451" s="10">
        <v>4.4628717651223053E-2</v>
      </c>
      <c r="T451" s="25">
        <v>0.23968750000000005</v>
      </c>
      <c r="U451" s="25">
        <v>0.33385416666666673</v>
      </c>
      <c r="V451" s="25">
        <v>0.41239583333333329</v>
      </c>
      <c r="W451" s="25">
        <v>0.43062499999999976</v>
      </c>
      <c r="X451" s="25">
        <v>0.41429166666666695</v>
      </c>
      <c r="Y451" s="25">
        <v>0.32700000000000001</v>
      </c>
      <c r="Z451" s="25">
        <v>0.33385416666666673</v>
      </c>
      <c r="AA451" s="25">
        <v>0.2909374999999999</v>
      </c>
      <c r="AB451" s="25">
        <v>0.18016666666666659</v>
      </c>
      <c r="AC451" s="25">
        <v>0.108</v>
      </c>
      <c r="AD451" s="25">
        <v>0.1909583333333332</v>
      </c>
      <c r="AE451" s="27">
        <f t="shared" si="19"/>
        <v>0.3269895833333335</v>
      </c>
      <c r="AF451" s="27">
        <f t="shared" si="20"/>
        <v>0.3547777777777778</v>
      </c>
      <c r="AG451" s="27">
        <f t="shared" si="21"/>
        <v>0.34972537878787885</v>
      </c>
    </row>
    <row r="452" spans="1:33" x14ac:dyDescent="0.25">
      <c r="A452" s="9">
        <v>44159</v>
      </c>
      <c r="B452" s="3"/>
      <c r="C452" s="3"/>
      <c r="D452" s="3"/>
      <c r="E452" s="3"/>
      <c r="F452" s="3"/>
      <c r="G452" s="3"/>
      <c r="H452" s="3"/>
      <c r="I452" s="3"/>
      <c r="J452" s="23">
        <v>44159</v>
      </c>
      <c r="K452" s="24">
        <v>48.375</v>
      </c>
      <c r="L452" s="24">
        <v>93.877083333333346</v>
      </c>
      <c r="M452" s="24">
        <v>9.9645833333333336</v>
      </c>
      <c r="N452" s="24">
        <v>0.4</v>
      </c>
      <c r="O452" s="24">
        <v>211.45833333333334</v>
      </c>
      <c r="P452" s="24">
        <v>3.25</v>
      </c>
      <c r="Q452" s="24">
        <v>4.1666666666666664E-2</v>
      </c>
      <c r="R452" s="24">
        <v>8.9895833333333304</v>
      </c>
      <c r="S452" s="10">
        <v>8.7797014697346132E-2</v>
      </c>
      <c r="T452" s="25">
        <v>0.23762500000000017</v>
      </c>
      <c r="U452" s="25">
        <v>0.32874999999999982</v>
      </c>
      <c r="V452" s="25">
        <v>0.40685416666666668</v>
      </c>
      <c r="W452" s="25">
        <v>0.42566666666666647</v>
      </c>
      <c r="X452" s="25">
        <v>0.40906250000000005</v>
      </c>
      <c r="Y452" s="25">
        <v>0.32295833333333324</v>
      </c>
      <c r="Z452" s="25">
        <v>0.3303958333333335</v>
      </c>
      <c r="AA452" s="25">
        <v>0.2883333333333335</v>
      </c>
      <c r="AB452" s="25">
        <v>0.18027659574468086</v>
      </c>
      <c r="AC452" s="25">
        <v>0.10875000000000011</v>
      </c>
      <c r="AD452" s="25">
        <v>0.19124999999999989</v>
      </c>
      <c r="AE452" s="27">
        <f t="shared" si="19"/>
        <v>0.3233437500000001</v>
      </c>
      <c r="AF452" s="27">
        <f t="shared" si="20"/>
        <v>0.35049305555555549</v>
      </c>
      <c r="AG452" s="27">
        <f t="shared" si="21"/>
        <v>0.34555681818181816</v>
      </c>
    </row>
    <row r="453" spans="1:33" x14ac:dyDescent="0.25">
      <c r="A453" s="9">
        <v>44160</v>
      </c>
      <c r="B453" s="3"/>
      <c r="C453" s="3"/>
      <c r="D453" s="3"/>
      <c r="E453" s="3"/>
      <c r="F453" s="3"/>
      <c r="G453" s="3"/>
      <c r="H453" s="3"/>
      <c r="I453" s="3"/>
      <c r="J453" s="23">
        <v>44160</v>
      </c>
      <c r="K453" s="24">
        <v>42.083333333333336</v>
      </c>
      <c r="L453" s="24">
        <v>89.506250000000009</v>
      </c>
      <c r="M453" s="24">
        <v>8.8958333333333339</v>
      </c>
      <c r="N453" s="24">
        <v>0</v>
      </c>
      <c r="O453" s="24">
        <v>255.4375</v>
      </c>
      <c r="P453" s="24">
        <v>6.125</v>
      </c>
      <c r="Q453" s="24">
        <v>6.25E-2</v>
      </c>
      <c r="R453" s="24">
        <v>7.2479166666666659</v>
      </c>
      <c r="S453" s="10">
        <v>0.12361646927421766</v>
      </c>
      <c r="T453" s="25">
        <v>0.23829166666666649</v>
      </c>
      <c r="U453" s="25">
        <v>0.32841666666666641</v>
      </c>
      <c r="V453" s="25">
        <v>0.40599999999999997</v>
      </c>
      <c r="W453" s="25">
        <v>0.42241666666666683</v>
      </c>
      <c r="X453" s="25">
        <v>0.40939583333333379</v>
      </c>
      <c r="Y453" s="25">
        <v>0.32300000000000023</v>
      </c>
      <c r="Z453" s="25">
        <v>0.32900000000000024</v>
      </c>
      <c r="AA453" s="25">
        <v>0.28697916666666695</v>
      </c>
      <c r="AB453" s="25">
        <v>0.17997916666666672</v>
      </c>
      <c r="AC453" s="25">
        <v>0.10906249999999994</v>
      </c>
      <c r="AD453" s="25">
        <v>0.1920416666666668</v>
      </c>
      <c r="AE453" s="27">
        <f t="shared" si="19"/>
        <v>0.32384375000000015</v>
      </c>
      <c r="AF453" s="27">
        <f t="shared" si="20"/>
        <v>0.3493020833333334</v>
      </c>
      <c r="AG453" s="27">
        <f t="shared" si="21"/>
        <v>0.34467329545454556</v>
      </c>
    </row>
    <row r="454" spans="1:33" x14ac:dyDescent="0.25">
      <c r="A454" s="9">
        <v>44161</v>
      </c>
      <c r="B454" s="3"/>
      <c r="C454" s="3"/>
      <c r="D454" s="3"/>
      <c r="E454" s="3"/>
      <c r="F454" s="3"/>
      <c r="G454" s="3"/>
      <c r="H454" s="3"/>
      <c r="I454" s="3"/>
      <c r="J454" s="23">
        <v>44161</v>
      </c>
      <c r="K454" s="24">
        <v>25.125</v>
      </c>
      <c r="L454" s="24">
        <v>90.793750000000031</v>
      </c>
      <c r="M454" s="24">
        <v>6.081249999999998</v>
      </c>
      <c r="N454" s="24">
        <v>0.2</v>
      </c>
      <c r="O454" s="24">
        <v>159.60416666666666</v>
      </c>
      <c r="P454" s="24">
        <v>3.8541666666666665</v>
      </c>
      <c r="Q454" s="24">
        <v>0</v>
      </c>
      <c r="R454" s="24">
        <v>4.6687500000000011</v>
      </c>
      <c r="S454" s="10">
        <v>8.8436976400247003E-2</v>
      </c>
      <c r="T454" s="25">
        <v>0.23537499999999992</v>
      </c>
      <c r="U454" s="25">
        <v>0.32489583333333327</v>
      </c>
      <c r="V454" s="25">
        <v>0.40331250000000018</v>
      </c>
      <c r="W454" s="25">
        <v>0.41987500000000005</v>
      </c>
      <c r="X454" s="25">
        <v>0.40495833333333309</v>
      </c>
      <c r="Y454" s="25">
        <v>0.32068750000000013</v>
      </c>
      <c r="Z454" s="25">
        <v>0.32764583333333336</v>
      </c>
      <c r="AA454" s="25">
        <v>0.28566666666666657</v>
      </c>
      <c r="AB454" s="25">
        <v>0.17724999999999982</v>
      </c>
      <c r="AC454" s="25">
        <v>0.10760465116279079</v>
      </c>
      <c r="AD454" s="25">
        <v>0.18977083333333344</v>
      </c>
      <c r="AE454" s="27">
        <f t="shared" ref="AE454:AE517" si="24">AVERAGE(T454,X454)</f>
        <v>0.32016666666666649</v>
      </c>
      <c r="AF454" s="27">
        <f t="shared" ref="AF454:AF517" si="25">AVERAGE(U454:W454,Y454:AA454)</f>
        <v>0.34701388888888896</v>
      </c>
      <c r="AG454" s="27">
        <f t="shared" ref="AG454:AG517" si="26">(AE454*10+AF454*45)/55</f>
        <v>0.34213257575757583</v>
      </c>
    </row>
    <row r="455" spans="1:33" x14ac:dyDescent="0.25">
      <c r="A455" s="9">
        <v>44162</v>
      </c>
      <c r="B455" s="3"/>
      <c r="C455" s="3"/>
      <c r="D455" s="3"/>
      <c r="E455" s="3"/>
      <c r="F455" s="3"/>
      <c r="G455" s="3"/>
      <c r="H455" s="3"/>
      <c r="I455" s="3"/>
      <c r="J455" s="23">
        <v>44162</v>
      </c>
      <c r="K455" s="24">
        <v>32.375</v>
      </c>
      <c r="L455" s="24">
        <v>90.666666666666671</v>
      </c>
      <c r="M455" s="24">
        <v>6.0770833333333343</v>
      </c>
      <c r="N455" s="24">
        <v>0.2</v>
      </c>
      <c r="O455" s="24">
        <v>195.375</v>
      </c>
      <c r="P455" s="24">
        <v>2.75</v>
      </c>
      <c r="Q455" s="24">
        <v>2.0833333333333332E-2</v>
      </c>
      <c r="R455" s="24">
        <v>4.645833333333333</v>
      </c>
      <c r="S455" s="10">
        <v>9.1064318500785724E-2</v>
      </c>
      <c r="T455" s="25">
        <v>0.23383333333333334</v>
      </c>
      <c r="U455" s="25">
        <v>0.32177083333333317</v>
      </c>
      <c r="V455" s="25">
        <v>0.39983333333333371</v>
      </c>
      <c r="W455" s="25">
        <v>0.41658333333333325</v>
      </c>
      <c r="X455" s="25">
        <v>0.40210416666666643</v>
      </c>
      <c r="Y455" s="25">
        <v>0.3185416666666665</v>
      </c>
      <c r="Z455" s="25">
        <v>0.32547916666666626</v>
      </c>
      <c r="AA455" s="25">
        <v>0.28410416666666688</v>
      </c>
      <c r="AB455" s="25">
        <v>0.17674358974358975</v>
      </c>
      <c r="AC455" s="25">
        <v>0.10700000000000011</v>
      </c>
      <c r="AD455" s="25">
        <v>0.18852083333333339</v>
      </c>
      <c r="AE455" s="27">
        <f t="shared" si="24"/>
        <v>0.31796874999999991</v>
      </c>
      <c r="AF455" s="27">
        <f t="shared" si="25"/>
        <v>0.34438541666666667</v>
      </c>
      <c r="AG455" s="27">
        <f t="shared" si="26"/>
        <v>0.33958238636363636</v>
      </c>
    </row>
    <row r="456" spans="1:33" x14ac:dyDescent="0.25">
      <c r="A456" s="9">
        <v>44163</v>
      </c>
      <c r="B456" s="3"/>
      <c r="C456" s="3"/>
      <c r="D456" s="3"/>
      <c r="E456" s="3"/>
      <c r="F456" s="3"/>
      <c r="G456" s="3"/>
      <c r="H456" s="3"/>
      <c r="I456" s="3"/>
      <c r="J456" s="23">
        <v>44163</v>
      </c>
      <c r="K456" s="24">
        <v>37.604166666666664</v>
      </c>
      <c r="L456" s="24">
        <v>87.204166666666666</v>
      </c>
      <c r="M456" s="24">
        <v>5.6291666666666664</v>
      </c>
      <c r="N456" s="24">
        <v>0.2</v>
      </c>
      <c r="O456" s="24">
        <v>218.25</v>
      </c>
      <c r="P456" s="24">
        <v>3.8541666666666665</v>
      </c>
      <c r="Q456" s="24">
        <v>0</v>
      </c>
      <c r="R456" s="24">
        <v>3.6145833333333335</v>
      </c>
      <c r="S456" s="10">
        <v>0.12315103689994218</v>
      </c>
      <c r="T456" s="25">
        <v>0.23297916666666674</v>
      </c>
      <c r="U456" s="25">
        <v>0.31935416666666705</v>
      </c>
      <c r="V456" s="25">
        <v>0.39727083333333352</v>
      </c>
      <c r="W456" s="25">
        <v>0.41372916666666654</v>
      </c>
      <c r="X456" s="25">
        <v>0.39966666666666706</v>
      </c>
      <c r="Y456" s="25">
        <v>0.31704166666666694</v>
      </c>
      <c r="Z456" s="25">
        <v>0.32406249999999998</v>
      </c>
      <c r="AA456" s="25">
        <v>0.28277083333333336</v>
      </c>
      <c r="AB456" s="25">
        <v>0.17581395348837212</v>
      </c>
      <c r="AC456" s="25">
        <v>0.10616666666666662</v>
      </c>
      <c r="AD456" s="25">
        <v>0.18747916666666653</v>
      </c>
      <c r="AE456" s="27">
        <f t="shared" si="24"/>
        <v>0.3163229166666669</v>
      </c>
      <c r="AF456" s="27">
        <f t="shared" si="25"/>
        <v>0.34237152777777785</v>
      </c>
      <c r="AG456" s="27">
        <f t="shared" si="26"/>
        <v>0.33763541666666674</v>
      </c>
    </row>
    <row r="457" spans="1:33" x14ac:dyDescent="0.25">
      <c r="A457" s="9">
        <v>44164</v>
      </c>
      <c r="B457" s="3"/>
      <c r="C457" s="3"/>
      <c r="D457" s="3"/>
      <c r="E457" s="3"/>
      <c r="F457" s="3"/>
      <c r="G457" s="3"/>
      <c r="H457" s="3"/>
      <c r="I457" s="3"/>
      <c r="J457" s="23">
        <v>44164</v>
      </c>
      <c r="K457" s="24">
        <v>38.0625</v>
      </c>
      <c r="L457" s="24">
        <v>84.681250000000006</v>
      </c>
      <c r="M457" s="24">
        <v>6.9395833333333306</v>
      </c>
      <c r="N457" s="24">
        <v>0</v>
      </c>
      <c r="O457" s="24">
        <v>228.5625</v>
      </c>
      <c r="P457" s="24">
        <v>3.5</v>
      </c>
      <c r="Q457" s="24">
        <v>2.0833333333333332E-2</v>
      </c>
      <c r="R457" s="24">
        <v>4.5062500000000005</v>
      </c>
      <c r="S457" s="10">
        <v>0.15959322968504611</v>
      </c>
      <c r="T457" s="25">
        <v>0.2324791666666669</v>
      </c>
      <c r="U457" s="25">
        <v>0.31752083333333336</v>
      </c>
      <c r="V457" s="25">
        <v>0.39527083333333307</v>
      </c>
      <c r="W457" s="25">
        <v>0.41110416666666655</v>
      </c>
      <c r="X457" s="25">
        <v>0.39860416666666687</v>
      </c>
      <c r="Y457" s="25">
        <v>0.31552083333333319</v>
      </c>
      <c r="Z457" s="25">
        <v>0.32245833333333301</v>
      </c>
      <c r="AA457" s="25">
        <v>0.28120833333333328</v>
      </c>
      <c r="AB457" s="25">
        <v>0.17444680851063826</v>
      </c>
      <c r="AC457" s="25">
        <v>0.10597916666666661</v>
      </c>
      <c r="AD457" s="25">
        <v>0.18695833333333331</v>
      </c>
      <c r="AE457" s="27">
        <f t="shared" si="24"/>
        <v>0.31554166666666689</v>
      </c>
      <c r="AF457" s="27">
        <f t="shared" si="25"/>
        <v>0.34051388888888878</v>
      </c>
      <c r="AG457" s="27">
        <f t="shared" si="26"/>
        <v>0.33597348484848483</v>
      </c>
    </row>
    <row r="458" spans="1:33" x14ac:dyDescent="0.25">
      <c r="A458" s="9">
        <v>44165</v>
      </c>
      <c r="B458" s="3"/>
      <c r="C458" s="3"/>
      <c r="D458" s="3"/>
      <c r="E458" s="3"/>
      <c r="F458" s="3"/>
      <c r="G458" s="3"/>
      <c r="H458" s="3"/>
      <c r="I458" s="3"/>
      <c r="J458" s="23">
        <v>44165</v>
      </c>
      <c r="K458" s="24">
        <v>50.6875</v>
      </c>
      <c r="L458" s="24">
        <v>84.17916666666666</v>
      </c>
      <c r="M458" s="24">
        <v>6.8604166666666657</v>
      </c>
      <c r="N458" s="24">
        <v>0.2</v>
      </c>
      <c r="O458" s="24">
        <v>242.29166666666666</v>
      </c>
      <c r="P458" s="24">
        <v>5.125</v>
      </c>
      <c r="Q458" s="24">
        <v>8.3333333333333329E-2</v>
      </c>
      <c r="R458" s="24">
        <v>4.3125</v>
      </c>
      <c r="S458" s="10">
        <v>0.16817606623296277</v>
      </c>
      <c r="T458" s="25">
        <v>0.23229166666666681</v>
      </c>
      <c r="U458" s="25">
        <v>0.31635416666666699</v>
      </c>
      <c r="V458" s="25">
        <v>0.39412500000000006</v>
      </c>
      <c r="W458" s="25">
        <v>0.40902083333333378</v>
      </c>
      <c r="X458" s="25">
        <v>0.39831250000000007</v>
      </c>
      <c r="Y458" s="25">
        <v>0.31497916666666664</v>
      </c>
      <c r="Z458" s="25">
        <v>0.3214999999999999</v>
      </c>
      <c r="AA458" s="25">
        <v>0.2799791666666665</v>
      </c>
      <c r="AB458" s="25">
        <v>0.17322727272727281</v>
      </c>
      <c r="AC458" s="25">
        <v>0.10543333333333331</v>
      </c>
      <c r="AD458" s="25">
        <v>0.18664583333333337</v>
      </c>
      <c r="AE458" s="27">
        <f t="shared" si="24"/>
        <v>0.31530208333333343</v>
      </c>
      <c r="AF458" s="27">
        <f t="shared" si="25"/>
        <v>0.33932638888888894</v>
      </c>
      <c r="AG458" s="27">
        <f t="shared" si="26"/>
        <v>0.33495833333333336</v>
      </c>
    </row>
    <row r="459" spans="1:33" x14ac:dyDescent="0.25">
      <c r="A459" s="9">
        <v>44166</v>
      </c>
      <c r="B459" s="3"/>
      <c r="C459" s="3"/>
      <c r="D459" s="3"/>
      <c r="E459" s="3"/>
      <c r="F459" s="3"/>
      <c r="G459" s="3"/>
      <c r="H459" s="3"/>
      <c r="I459" s="3"/>
      <c r="J459" s="23">
        <v>44166</v>
      </c>
      <c r="K459" s="24">
        <v>21.375</v>
      </c>
      <c r="L459" s="24">
        <v>93.862500000000011</v>
      </c>
      <c r="M459" s="24">
        <v>4.9979166666666659</v>
      </c>
      <c r="N459" s="24">
        <v>3.3000000000000012</v>
      </c>
      <c r="O459" s="24">
        <v>223.45833333333334</v>
      </c>
      <c r="P459" s="24">
        <v>4.833333333333333</v>
      </c>
      <c r="Q459" s="24">
        <v>0.14583333333333334</v>
      </c>
      <c r="R459" s="24">
        <v>4.0916666666666677</v>
      </c>
      <c r="S459" s="10">
        <v>5.3689175891326095E-2</v>
      </c>
      <c r="T459" s="25">
        <v>0.23160416666666669</v>
      </c>
      <c r="U459" s="25">
        <v>0.31535416666666649</v>
      </c>
      <c r="V459" s="25">
        <v>0.39268749999999991</v>
      </c>
      <c r="W459" s="25">
        <v>0.4076041666666666</v>
      </c>
      <c r="X459" s="25">
        <v>0.39668750000000047</v>
      </c>
      <c r="Y459" s="25">
        <v>0.31410416666666668</v>
      </c>
      <c r="Z459" s="25">
        <v>0.32079166666666664</v>
      </c>
      <c r="AA459" s="25">
        <v>0.27833333333333354</v>
      </c>
      <c r="AB459" s="25">
        <v>0.17479166666666671</v>
      </c>
      <c r="AC459" s="25">
        <v>0.11131249999999994</v>
      </c>
      <c r="AD459" s="25">
        <v>0.20879166666666679</v>
      </c>
      <c r="AE459" s="27">
        <f t="shared" si="24"/>
        <v>0.31414583333333357</v>
      </c>
      <c r="AF459" s="27">
        <f t="shared" si="25"/>
        <v>0.33814583333333331</v>
      </c>
      <c r="AG459" s="27">
        <f t="shared" si="26"/>
        <v>0.33378219696969696</v>
      </c>
    </row>
    <row r="460" spans="1:33" x14ac:dyDescent="0.25">
      <c r="A460" s="9">
        <v>44167</v>
      </c>
      <c r="B460" s="3"/>
      <c r="C460" s="3"/>
      <c r="D460" s="3"/>
      <c r="E460" s="3"/>
      <c r="F460" s="3"/>
      <c r="G460" s="3"/>
      <c r="H460" s="3"/>
      <c r="I460" s="3"/>
      <c r="J460" s="23">
        <v>44167</v>
      </c>
      <c r="K460" s="24">
        <v>16.875</v>
      </c>
      <c r="L460" s="24">
        <v>94.05625000000002</v>
      </c>
      <c r="M460" s="24">
        <v>4.4249999999999998</v>
      </c>
      <c r="N460" s="24">
        <v>1.7</v>
      </c>
      <c r="O460" s="24">
        <v>198.52083333333334</v>
      </c>
      <c r="P460" s="24">
        <v>3.1458333333333335</v>
      </c>
      <c r="Q460" s="24">
        <v>0</v>
      </c>
      <c r="R460" s="24">
        <v>3.5437500000000006</v>
      </c>
      <c r="S460" s="10">
        <v>4.9462761851259064E-2</v>
      </c>
      <c r="T460" s="25">
        <v>0.23095833333333327</v>
      </c>
      <c r="U460" s="25">
        <v>0.31347916666666686</v>
      </c>
      <c r="V460" s="25">
        <v>0.39066666666666688</v>
      </c>
      <c r="W460" s="25">
        <v>0.40583333333333355</v>
      </c>
      <c r="X460" s="25">
        <v>0.39497916666666621</v>
      </c>
      <c r="Y460" s="25">
        <v>0.31297916666666686</v>
      </c>
      <c r="Z460" s="25">
        <v>0.31956250000000042</v>
      </c>
      <c r="AA460" s="25">
        <v>0.27716666666666645</v>
      </c>
      <c r="AB460" s="25">
        <v>0.18139130434782599</v>
      </c>
      <c r="AC460" s="25">
        <v>0.12060416666666673</v>
      </c>
      <c r="AD460" s="25">
        <v>0.21712500000000012</v>
      </c>
      <c r="AE460" s="27">
        <f t="shared" si="24"/>
        <v>0.31296874999999974</v>
      </c>
      <c r="AF460" s="27">
        <f t="shared" si="25"/>
        <v>0.33661458333333344</v>
      </c>
      <c r="AG460" s="27">
        <f t="shared" si="26"/>
        <v>0.33231534090909093</v>
      </c>
    </row>
    <row r="461" spans="1:33" x14ac:dyDescent="0.25">
      <c r="A461" s="9">
        <v>44168</v>
      </c>
      <c r="B461" s="3"/>
      <c r="C461" s="3"/>
      <c r="D461" s="3"/>
      <c r="E461" s="3"/>
      <c r="F461" s="3"/>
      <c r="G461" s="3"/>
      <c r="H461" s="3"/>
      <c r="I461" s="3"/>
      <c r="J461" s="23">
        <v>44168</v>
      </c>
      <c r="K461" s="24">
        <v>33.270833333333336</v>
      </c>
      <c r="L461" s="24">
        <v>88.816666666666663</v>
      </c>
      <c r="M461" s="24">
        <v>3.5666666666666678</v>
      </c>
      <c r="N461" s="24">
        <v>0</v>
      </c>
      <c r="O461" s="24">
        <v>194.16666666666666</v>
      </c>
      <c r="P461" s="24">
        <v>4.645833333333333</v>
      </c>
      <c r="Q461" s="24">
        <v>6.25E-2</v>
      </c>
      <c r="R461" s="24">
        <v>1.8833333333333326</v>
      </c>
      <c r="S461" s="10">
        <v>8.9225015428366292E-2</v>
      </c>
      <c r="T461" s="25">
        <v>0.22981250000000017</v>
      </c>
      <c r="U461" s="25">
        <v>0.3111458333333334</v>
      </c>
      <c r="V461" s="25">
        <v>0.38827083333333351</v>
      </c>
      <c r="W461" s="25">
        <v>0.40352083333333327</v>
      </c>
      <c r="X461" s="25">
        <v>0.39320833333333366</v>
      </c>
      <c r="Y461" s="25">
        <v>0.31193749999999987</v>
      </c>
      <c r="Z461" s="25">
        <v>0.31870833333333337</v>
      </c>
      <c r="AA461" s="25">
        <v>0.27697916666666644</v>
      </c>
      <c r="AB461" s="25">
        <v>0.18299999999999991</v>
      </c>
      <c r="AC461" s="25">
        <v>0.11970212765957451</v>
      </c>
      <c r="AD461" s="25">
        <v>0.21418750000000006</v>
      </c>
      <c r="AE461" s="27">
        <f t="shared" si="24"/>
        <v>0.3115104166666669</v>
      </c>
      <c r="AF461" s="27">
        <f t="shared" si="25"/>
        <v>0.33509374999999997</v>
      </c>
      <c r="AG461" s="27">
        <f t="shared" si="26"/>
        <v>0.33080587121212124</v>
      </c>
    </row>
    <row r="462" spans="1:33" x14ac:dyDescent="0.25">
      <c r="A462" s="9">
        <v>44169</v>
      </c>
      <c r="B462" s="3"/>
      <c r="C462" s="3"/>
      <c r="D462" s="3"/>
      <c r="E462" s="3"/>
      <c r="F462" s="3"/>
      <c r="G462" s="3"/>
      <c r="H462" s="3"/>
      <c r="I462" s="3"/>
      <c r="J462" s="23">
        <v>44169</v>
      </c>
      <c r="K462" s="24">
        <v>40.854166666666664</v>
      </c>
      <c r="L462" s="24">
        <v>85.8020833333333</v>
      </c>
      <c r="M462" s="24">
        <v>2.4270833333333335</v>
      </c>
      <c r="N462" s="24">
        <v>0</v>
      </c>
      <c r="O462" s="24">
        <v>230.35416666666666</v>
      </c>
      <c r="P462" s="24">
        <v>5.041666666666667</v>
      </c>
      <c r="Q462" s="24">
        <v>2.0833333333333332E-2</v>
      </c>
      <c r="R462" s="24">
        <v>0.27083333333333331</v>
      </c>
      <c r="S462" s="10">
        <v>0.10576716621289545</v>
      </c>
      <c r="T462" s="25">
        <v>0.22885416666666644</v>
      </c>
      <c r="U462" s="25">
        <v>0.30939583333333298</v>
      </c>
      <c r="V462" s="25">
        <v>0.38597916666666671</v>
      </c>
      <c r="W462" s="25">
        <v>0.40122916666666636</v>
      </c>
      <c r="X462" s="25">
        <v>0.39139583333333317</v>
      </c>
      <c r="Y462" s="25">
        <v>0.3104583333333335</v>
      </c>
      <c r="Z462" s="25">
        <v>0.31756249999999997</v>
      </c>
      <c r="AA462" s="25">
        <v>0.27618749999999992</v>
      </c>
      <c r="AB462" s="25">
        <v>0.18218181818181819</v>
      </c>
      <c r="AC462" s="25">
        <v>0.11655555555555559</v>
      </c>
      <c r="AD462" s="25">
        <v>0.20906250000000001</v>
      </c>
      <c r="AE462" s="27">
        <f t="shared" si="24"/>
        <v>0.31012499999999982</v>
      </c>
      <c r="AF462" s="27">
        <f t="shared" si="25"/>
        <v>0.33346874999999992</v>
      </c>
      <c r="AG462" s="27">
        <f t="shared" si="26"/>
        <v>0.32922443181818173</v>
      </c>
    </row>
    <row r="463" spans="1:33" x14ac:dyDescent="0.25">
      <c r="A463" s="9">
        <v>44170</v>
      </c>
      <c r="B463" s="3"/>
      <c r="C463" s="3"/>
      <c r="D463" s="3"/>
      <c r="E463" s="3"/>
      <c r="F463" s="3"/>
      <c r="G463" s="3"/>
      <c r="H463" s="3"/>
      <c r="I463" s="3"/>
      <c r="J463" s="23">
        <v>44170</v>
      </c>
      <c r="K463" s="24">
        <v>63.020833333333336</v>
      </c>
      <c r="L463" s="24">
        <v>84.556249999999991</v>
      </c>
      <c r="M463" s="24">
        <v>4.147916666666668</v>
      </c>
      <c r="N463" s="24">
        <v>0</v>
      </c>
      <c r="O463" s="24">
        <v>234.5</v>
      </c>
      <c r="P463" s="24">
        <v>5.1875</v>
      </c>
      <c r="Q463" s="24">
        <v>0.125</v>
      </c>
      <c r="R463" s="24">
        <v>1.6854166666666666</v>
      </c>
      <c r="S463" s="10">
        <v>0.14162671274732402</v>
      </c>
      <c r="T463" s="25">
        <v>0.2284166666666666</v>
      </c>
      <c r="U463" s="25">
        <v>0.30756250000000013</v>
      </c>
      <c r="V463" s="25">
        <v>0.38443750000000015</v>
      </c>
      <c r="W463" s="25">
        <v>0.39897916666666688</v>
      </c>
      <c r="X463" s="25">
        <v>0.3906666666666665</v>
      </c>
      <c r="Y463" s="25">
        <v>0.30974999999999991</v>
      </c>
      <c r="Z463" s="25">
        <v>0.31645833333333367</v>
      </c>
      <c r="AA463" s="25">
        <v>0.27502083333333355</v>
      </c>
      <c r="AB463" s="25">
        <v>0.18172093023255825</v>
      </c>
      <c r="AC463" s="25">
        <v>0.11411111111111108</v>
      </c>
      <c r="AD463" s="25">
        <v>0.20556250000000001</v>
      </c>
      <c r="AE463" s="27">
        <f t="shared" si="24"/>
        <v>0.30954166666666655</v>
      </c>
      <c r="AF463" s="27">
        <f t="shared" si="25"/>
        <v>0.33203472222222236</v>
      </c>
      <c r="AG463" s="27">
        <f t="shared" si="26"/>
        <v>0.32794507575757587</v>
      </c>
    </row>
    <row r="464" spans="1:33" x14ac:dyDescent="0.25">
      <c r="A464" s="9">
        <v>44171</v>
      </c>
      <c r="B464" s="3"/>
      <c r="C464" s="3"/>
      <c r="D464" s="3"/>
      <c r="E464" s="3"/>
      <c r="F464" s="3"/>
      <c r="G464" s="3"/>
      <c r="H464" s="3"/>
      <c r="I464" s="3"/>
      <c r="J464" s="23">
        <v>44171</v>
      </c>
      <c r="K464" s="24">
        <v>19</v>
      </c>
      <c r="L464" s="24">
        <v>95.495833333333294</v>
      </c>
      <c r="M464" s="24">
        <v>4.8937499999999989</v>
      </c>
      <c r="N464" s="24">
        <v>1.5999999999999999</v>
      </c>
      <c r="O464" s="24">
        <v>209.04166666666666</v>
      </c>
      <c r="P464" s="24">
        <v>4.25</v>
      </c>
      <c r="Q464" s="24">
        <v>0.125</v>
      </c>
      <c r="R464" s="24">
        <v>4.2354166666666675</v>
      </c>
      <c r="S464" s="10">
        <v>3.9172739305235654E-2</v>
      </c>
      <c r="T464" s="25">
        <v>0.22968750000000024</v>
      </c>
      <c r="U464" s="25">
        <v>0.30799999999999988</v>
      </c>
      <c r="V464" s="25">
        <v>0.38412500000000022</v>
      </c>
      <c r="W464" s="25">
        <v>0.39799999999999985</v>
      </c>
      <c r="X464" s="25">
        <v>0.39193749999999977</v>
      </c>
      <c r="Y464" s="25">
        <v>0.30931249999999977</v>
      </c>
      <c r="Z464" s="25">
        <v>0.31600000000000028</v>
      </c>
      <c r="AA464" s="25">
        <v>0.27358333333333329</v>
      </c>
      <c r="AB464" s="25">
        <v>0.18262499999999984</v>
      </c>
      <c r="AC464" s="25">
        <v>0.11309756097560979</v>
      </c>
      <c r="AD464" s="25">
        <v>0.20395833333333335</v>
      </c>
      <c r="AE464" s="27">
        <f t="shared" si="24"/>
        <v>0.31081249999999999</v>
      </c>
      <c r="AF464" s="27">
        <f t="shared" si="25"/>
        <v>0.33150347222222226</v>
      </c>
      <c r="AG464" s="27">
        <f t="shared" si="26"/>
        <v>0.32774147727272729</v>
      </c>
    </row>
    <row r="465" spans="1:33" x14ac:dyDescent="0.25">
      <c r="A465" s="9">
        <v>44172</v>
      </c>
      <c r="B465" s="3"/>
      <c r="C465" s="3"/>
      <c r="D465" s="3"/>
      <c r="E465" s="3"/>
      <c r="F465" s="3"/>
      <c r="G465" s="3"/>
      <c r="H465" s="3"/>
      <c r="I465" s="3"/>
      <c r="J465" s="23">
        <v>44172</v>
      </c>
      <c r="K465" s="24">
        <v>16.041666666666668</v>
      </c>
      <c r="L465" s="24">
        <v>93.541666666666671</v>
      </c>
      <c r="M465" s="24">
        <v>3.7520833333333328</v>
      </c>
      <c r="N465" s="24">
        <v>0.4</v>
      </c>
      <c r="O465" s="24">
        <v>175.58333333333334</v>
      </c>
      <c r="P465" s="24">
        <v>2.1666666666666665</v>
      </c>
      <c r="Q465" s="24">
        <v>0</v>
      </c>
      <c r="R465" s="24">
        <v>2.8020833333333344</v>
      </c>
      <c r="S465" s="10">
        <v>5.2330993928497133E-2</v>
      </c>
      <c r="T465" s="25">
        <v>0.22912499999999983</v>
      </c>
      <c r="U465" s="25">
        <v>0.30697916666666675</v>
      </c>
      <c r="V465" s="25">
        <v>0.38349999999999967</v>
      </c>
      <c r="W465" s="25">
        <v>0.39697916666666683</v>
      </c>
      <c r="X465" s="25">
        <v>0.39106249999999987</v>
      </c>
      <c r="Y465" s="25">
        <v>0.30902083333333302</v>
      </c>
      <c r="Z465" s="25">
        <v>0.31577083333333344</v>
      </c>
      <c r="AA465" s="25">
        <v>0.27333333333333326</v>
      </c>
      <c r="AB465" s="25">
        <v>0.18447916666666656</v>
      </c>
      <c r="AC465" s="25">
        <v>0.11583333333333339</v>
      </c>
      <c r="AD465" s="25">
        <v>0.20445833333333349</v>
      </c>
      <c r="AE465" s="27">
        <f t="shared" si="24"/>
        <v>0.31009374999999983</v>
      </c>
      <c r="AF465" s="27">
        <f t="shared" si="25"/>
        <v>0.33093055555555545</v>
      </c>
      <c r="AG465" s="27">
        <f t="shared" si="26"/>
        <v>0.32714204545454534</v>
      </c>
    </row>
    <row r="466" spans="1:33" x14ac:dyDescent="0.25">
      <c r="A466" s="9">
        <v>44173</v>
      </c>
      <c r="B466" s="3"/>
      <c r="C466" s="3"/>
      <c r="D466" s="3"/>
      <c r="E466" s="3"/>
      <c r="F466" s="3"/>
      <c r="G466" s="3"/>
      <c r="H466" s="3"/>
      <c r="I466" s="3"/>
      <c r="J466" s="23">
        <v>44173</v>
      </c>
      <c r="K466" s="24">
        <v>57.666666666666664</v>
      </c>
      <c r="L466" s="24">
        <v>88.177083333333329</v>
      </c>
      <c r="M466" s="24">
        <v>5.1854166666666677</v>
      </c>
      <c r="N466" s="24">
        <v>0</v>
      </c>
      <c r="O466" s="24">
        <v>254.83333333333334</v>
      </c>
      <c r="P466" s="24">
        <v>4.416666666666667</v>
      </c>
      <c r="Q466" s="24">
        <v>2.0833333333333332E-2</v>
      </c>
      <c r="R466" s="24">
        <v>3.337499999999999</v>
      </c>
      <c r="S466" s="10">
        <v>0.11148891545583965</v>
      </c>
      <c r="T466" s="25">
        <v>0.22929166666666681</v>
      </c>
      <c r="U466" s="25">
        <v>0.30566666666666636</v>
      </c>
      <c r="V466" s="25">
        <v>0.38204166666666667</v>
      </c>
      <c r="W466" s="25">
        <v>0.39547916666666644</v>
      </c>
      <c r="X466" s="25">
        <v>0.39077083333333323</v>
      </c>
      <c r="Y466" s="25">
        <v>0.3085833333333331</v>
      </c>
      <c r="Z466" s="25">
        <v>0.31499999999999989</v>
      </c>
      <c r="AA466" s="25">
        <v>0.2729791666666665</v>
      </c>
      <c r="AB466" s="25">
        <v>0.18452083333333325</v>
      </c>
      <c r="AC466" s="25">
        <v>0.11491666666666676</v>
      </c>
      <c r="AD466" s="25">
        <v>0.2038541666666667</v>
      </c>
      <c r="AE466" s="27">
        <f t="shared" si="24"/>
        <v>0.31003125000000004</v>
      </c>
      <c r="AF466" s="27">
        <f t="shared" si="25"/>
        <v>0.32995833333333319</v>
      </c>
      <c r="AG466" s="27">
        <f t="shared" si="26"/>
        <v>0.32633522727272718</v>
      </c>
    </row>
    <row r="467" spans="1:33" x14ac:dyDescent="0.25">
      <c r="A467" s="9">
        <v>44174</v>
      </c>
      <c r="B467" s="3"/>
      <c r="C467" s="3"/>
      <c r="D467" s="3"/>
      <c r="E467" s="3"/>
      <c r="F467" s="3"/>
      <c r="G467" s="3"/>
      <c r="H467" s="3"/>
      <c r="I467" s="3"/>
      <c r="J467" s="23">
        <v>44174</v>
      </c>
      <c r="K467" s="24">
        <v>13.625</v>
      </c>
      <c r="L467" s="24">
        <v>96.233333333333348</v>
      </c>
      <c r="M467" s="24">
        <v>6.4041666666666694</v>
      </c>
      <c r="N467" s="24">
        <v>3.0000000000000004</v>
      </c>
      <c r="O467" s="24">
        <v>224.41666666666666</v>
      </c>
      <c r="P467" s="24">
        <v>3.2916666666666665</v>
      </c>
      <c r="Q467" s="24">
        <v>2.0833333333333332E-2</v>
      </c>
      <c r="R467" s="24">
        <v>5.8333333333333357</v>
      </c>
      <c r="S467" s="10">
        <v>3.6257540217340851E-2</v>
      </c>
      <c r="T467" s="25">
        <v>0.23043750000000005</v>
      </c>
      <c r="U467" s="25">
        <v>0.30629166666666668</v>
      </c>
      <c r="V467" s="25">
        <v>0.38243749999999982</v>
      </c>
      <c r="W467" s="25">
        <v>0.39499999999999974</v>
      </c>
      <c r="X467" s="25">
        <v>0.39235416666666684</v>
      </c>
      <c r="Y467" s="25">
        <v>0.30810416666666657</v>
      </c>
      <c r="Z467" s="25">
        <v>0.31499999999999989</v>
      </c>
      <c r="AA467" s="25">
        <v>0.27175000000000032</v>
      </c>
      <c r="AB467" s="25">
        <v>0.18906249999999994</v>
      </c>
      <c r="AC467" s="25">
        <v>0.11872916666666671</v>
      </c>
      <c r="AD467" s="25">
        <v>0.20629166666666662</v>
      </c>
      <c r="AE467" s="27">
        <f t="shared" si="24"/>
        <v>0.31139583333333343</v>
      </c>
      <c r="AF467" s="27">
        <f t="shared" si="25"/>
        <v>0.32976388888888886</v>
      </c>
      <c r="AG467" s="27">
        <f t="shared" si="26"/>
        <v>0.32642424242424239</v>
      </c>
    </row>
    <row r="468" spans="1:33" x14ac:dyDescent="0.25">
      <c r="A468" s="9">
        <v>44175</v>
      </c>
      <c r="B468" s="3"/>
      <c r="C468" s="3"/>
      <c r="D468" s="3"/>
      <c r="E468" s="3"/>
      <c r="F468" s="3"/>
      <c r="G468" s="3"/>
      <c r="H468" s="3"/>
      <c r="I468" s="3"/>
      <c r="J468" s="23">
        <v>44175</v>
      </c>
      <c r="K468" s="24">
        <v>21.333333333333332</v>
      </c>
      <c r="L468" s="24">
        <v>93.8125</v>
      </c>
      <c r="M468" s="24">
        <v>4.5479166666666684</v>
      </c>
      <c r="N468" s="24">
        <v>1</v>
      </c>
      <c r="O468" s="24">
        <v>180.125</v>
      </c>
      <c r="P468" s="24">
        <v>1.8958333333333333</v>
      </c>
      <c r="Q468" s="24">
        <v>2.0833333333333332E-2</v>
      </c>
      <c r="R468" s="24">
        <v>3.6250000000000004</v>
      </c>
      <c r="S468" s="10">
        <v>5.3346311561002648E-2</v>
      </c>
      <c r="T468" s="25">
        <v>0.23018750000000024</v>
      </c>
      <c r="U468" s="25">
        <v>0.3061249999999997</v>
      </c>
      <c r="V468" s="25">
        <v>0.38227083333333334</v>
      </c>
      <c r="W468" s="25">
        <v>0.39464583333333292</v>
      </c>
      <c r="X468" s="25">
        <v>0.39214583333333314</v>
      </c>
      <c r="Y468" s="25">
        <v>0.30877083333333316</v>
      </c>
      <c r="Z468" s="25">
        <v>0.31495833333333323</v>
      </c>
      <c r="AA468" s="25">
        <v>0.27166666666666694</v>
      </c>
      <c r="AB468" s="25">
        <v>0.20318749999999999</v>
      </c>
      <c r="AC468" s="25">
        <v>0.13222916666666659</v>
      </c>
      <c r="AD468" s="25">
        <v>0.22356250000000019</v>
      </c>
      <c r="AE468" s="27">
        <f t="shared" si="24"/>
        <v>0.3111666666666667</v>
      </c>
      <c r="AF468" s="27">
        <f t="shared" si="25"/>
        <v>0.32973958333333325</v>
      </c>
      <c r="AG468" s="27">
        <f t="shared" si="26"/>
        <v>0.32636268939393931</v>
      </c>
    </row>
    <row r="469" spans="1:33" x14ac:dyDescent="0.25">
      <c r="A469" s="9">
        <v>44176</v>
      </c>
      <c r="B469" s="3"/>
      <c r="C469" s="3"/>
      <c r="D469" s="3"/>
      <c r="E469" s="3"/>
      <c r="F469" s="3"/>
      <c r="G469" s="3"/>
      <c r="H469" s="3"/>
      <c r="I469" s="3"/>
      <c r="J469" s="23">
        <v>44176</v>
      </c>
      <c r="K469" s="24">
        <v>17.5</v>
      </c>
      <c r="L469" s="24">
        <v>96.514583333333306</v>
      </c>
      <c r="M469" s="24">
        <v>5.1187499999999995</v>
      </c>
      <c r="N469" s="24">
        <v>2.1999999999999997</v>
      </c>
      <c r="O469" s="24">
        <v>213.91666666666666</v>
      </c>
      <c r="P469" s="24">
        <v>1.3333333333333333</v>
      </c>
      <c r="Q469" s="24">
        <v>0</v>
      </c>
      <c r="R469" s="24">
        <v>4.6083333333333334</v>
      </c>
      <c r="S469" s="10">
        <v>3.0713582662449876E-2</v>
      </c>
      <c r="T469" s="25">
        <v>0.23002083333333359</v>
      </c>
      <c r="U469" s="25">
        <v>0.30527083333333316</v>
      </c>
      <c r="V469" s="25">
        <v>0.38112500000000016</v>
      </c>
      <c r="W469" s="25">
        <v>0.39391666666666664</v>
      </c>
      <c r="X469" s="25">
        <v>0.3920208333333331</v>
      </c>
      <c r="Y469" s="25">
        <v>0.30750000000000005</v>
      </c>
      <c r="Z469" s="25">
        <v>0.3143541666666666</v>
      </c>
      <c r="AA469" s="25">
        <v>0.2710000000000003</v>
      </c>
      <c r="AB469" s="25">
        <v>0.21152083333333338</v>
      </c>
      <c r="AC469" s="25">
        <v>0.14377083333333332</v>
      </c>
      <c r="AD469" s="25">
        <v>0.2311458333333333</v>
      </c>
      <c r="AE469" s="27">
        <f t="shared" si="24"/>
        <v>0.31102083333333336</v>
      </c>
      <c r="AF469" s="27">
        <f t="shared" si="25"/>
        <v>0.32886111111111122</v>
      </c>
      <c r="AG469" s="27">
        <f t="shared" si="26"/>
        <v>0.32561742424242435</v>
      </c>
    </row>
    <row r="470" spans="1:33" x14ac:dyDescent="0.25">
      <c r="A470" s="9">
        <v>44177</v>
      </c>
      <c r="B470" s="3"/>
      <c r="C470" s="3"/>
      <c r="D470" s="3"/>
      <c r="E470" s="3"/>
      <c r="F470" s="3"/>
      <c r="G470" s="3"/>
      <c r="H470" s="3"/>
      <c r="I470" s="3"/>
      <c r="J470" s="23">
        <v>44177</v>
      </c>
      <c r="K470" s="24">
        <v>18.979166666666668</v>
      </c>
      <c r="L470" s="24">
        <v>96.085416666666674</v>
      </c>
      <c r="M470" s="24">
        <v>5.2229166666666655</v>
      </c>
      <c r="N470" s="24">
        <v>1.5999999999999999</v>
      </c>
      <c r="O470" s="24">
        <v>185.0625</v>
      </c>
      <c r="P470" s="24">
        <v>1.375</v>
      </c>
      <c r="Q470" s="24">
        <v>0</v>
      </c>
      <c r="R470" s="24">
        <v>4.6437500000000016</v>
      </c>
      <c r="S470" s="10">
        <v>3.4840588850235381E-2</v>
      </c>
      <c r="T470" s="25">
        <v>0.23020833333333349</v>
      </c>
      <c r="U470" s="25">
        <v>0.30499999999999983</v>
      </c>
      <c r="V470" s="25">
        <v>0.38060416666666685</v>
      </c>
      <c r="W470" s="25">
        <v>0.39308333333333367</v>
      </c>
      <c r="X470" s="25">
        <v>0.39208333333333317</v>
      </c>
      <c r="Y470" s="25">
        <v>0.3075208333333333</v>
      </c>
      <c r="Z470" s="25">
        <v>0.31408333333333338</v>
      </c>
      <c r="AA470" s="25">
        <v>0.2708958333333335</v>
      </c>
      <c r="AB470" s="25">
        <v>0.21916666666666665</v>
      </c>
      <c r="AC470" s="25">
        <v>0.15935416666666671</v>
      </c>
      <c r="AD470" s="25">
        <v>0.23858333333333315</v>
      </c>
      <c r="AE470" s="27">
        <f t="shared" si="24"/>
        <v>0.31114583333333334</v>
      </c>
      <c r="AF470" s="27">
        <f t="shared" si="25"/>
        <v>0.32853125000000011</v>
      </c>
      <c r="AG470" s="27">
        <f t="shared" si="26"/>
        <v>0.32537026515151529</v>
      </c>
    </row>
    <row r="471" spans="1:33" x14ac:dyDescent="0.25">
      <c r="A471" s="9">
        <v>44178</v>
      </c>
      <c r="B471" s="3"/>
      <c r="C471" s="3"/>
      <c r="D471" s="3"/>
      <c r="E471" s="3"/>
      <c r="F471" s="3"/>
      <c r="G471" s="3"/>
      <c r="H471" s="3"/>
      <c r="I471" s="3"/>
      <c r="J471" s="23">
        <v>44178</v>
      </c>
      <c r="K471" s="24">
        <v>20.395833333333332</v>
      </c>
      <c r="L471" s="24">
        <v>95.822916666666686</v>
      </c>
      <c r="M471" s="24">
        <v>5.0750000000000002</v>
      </c>
      <c r="N471" s="24">
        <v>1.9999999999999998</v>
      </c>
      <c r="O471" s="24">
        <v>145.60416666666666</v>
      </c>
      <c r="P471" s="24">
        <v>2.2916666666666665</v>
      </c>
      <c r="Q471" s="24">
        <v>0</v>
      </c>
      <c r="R471" s="24">
        <v>4.4562500000000016</v>
      </c>
      <c r="S471" s="10">
        <v>3.6739609797924025E-2</v>
      </c>
      <c r="T471" s="25">
        <v>0.2309999999999999</v>
      </c>
      <c r="U471" s="25">
        <v>0.30499999999999983</v>
      </c>
      <c r="V471" s="25">
        <v>0.38018750000000029</v>
      </c>
      <c r="W471" s="25">
        <v>0.39237499999999986</v>
      </c>
      <c r="X471" s="25">
        <v>0.39272916666666696</v>
      </c>
      <c r="Y471" s="25">
        <v>0.3073333333333334</v>
      </c>
      <c r="Z471" s="25">
        <v>0.314</v>
      </c>
      <c r="AA471" s="25">
        <v>0.27056249999999998</v>
      </c>
      <c r="AB471" s="25">
        <v>0.22952083333333329</v>
      </c>
      <c r="AC471" s="25">
        <v>0.17685416666666656</v>
      </c>
      <c r="AD471" s="25">
        <v>0.24349999999999997</v>
      </c>
      <c r="AE471" s="27">
        <f t="shared" si="24"/>
        <v>0.31186458333333344</v>
      </c>
      <c r="AF471" s="27">
        <f t="shared" si="25"/>
        <v>0.32824305555555561</v>
      </c>
      <c r="AG471" s="27">
        <f t="shared" si="26"/>
        <v>0.32526515151515162</v>
      </c>
    </row>
    <row r="472" spans="1:33" x14ac:dyDescent="0.25">
      <c r="A472" s="9">
        <v>44179</v>
      </c>
      <c r="B472" s="3"/>
      <c r="C472" s="3"/>
      <c r="D472" s="3"/>
      <c r="E472" s="3"/>
      <c r="F472" s="3"/>
      <c r="G472" s="3"/>
      <c r="H472" s="3"/>
      <c r="I472" s="3"/>
      <c r="J472" s="23">
        <v>44179</v>
      </c>
      <c r="K472" s="24">
        <v>27.229166666666668</v>
      </c>
      <c r="L472" s="24">
        <v>93.839583333333351</v>
      </c>
      <c r="M472" s="24">
        <v>2.160416666666666</v>
      </c>
      <c r="N472" s="24">
        <v>1.2</v>
      </c>
      <c r="O472" s="24">
        <v>212.52083333333334</v>
      </c>
      <c r="P472" s="24">
        <v>4.354166666666667</v>
      </c>
      <c r="Q472" s="24">
        <v>0</v>
      </c>
      <c r="R472" s="24">
        <v>1.26875</v>
      </c>
      <c r="S472" s="10">
        <v>4.4001778672470404E-2</v>
      </c>
      <c r="T472" s="25">
        <v>0.23027083333333356</v>
      </c>
      <c r="U472" s="25">
        <v>0.30412500000000026</v>
      </c>
      <c r="V472" s="25">
        <v>0.37958333333333344</v>
      </c>
      <c r="W472" s="25">
        <v>0.39185416666666634</v>
      </c>
      <c r="X472" s="25">
        <v>0.39300000000000029</v>
      </c>
      <c r="Y472" s="25">
        <v>0.30700000000000022</v>
      </c>
      <c r="Z472" s="25">
        <v>0.314</v>
      </c>
      <c r="AA472" s="25">
        <v>0.2703958333333335</v>
      </c>
      <c r="AB472" s="25">
        <v>0.24300000000000002</v>
      </c>
      <c r="AC472" s="25">
        <v>0.20847916666666669</v>
      </c>
      <c r="AD472" s="25">
        <v>0.26093749999999993</v>
      </c>
      <c r="AE472" s="27">
        <f t="shared" si="24"/>
        <v>0.31163541666666694</v>
      </c>
      <c r="AF472" s="27">
        <f t="shared" si="25"/>
        <v>0.32782638888888899</v>
      </c>
      <c r="AG472" s="27">
        <f t="shared" si="26"/>
        <v>0.32488257575757584</v>
      </c>
    </row>
    <row r="473" spans="1:33" x14ac:dyDescent="0.25">
      <c r="A473" s="9">
        <v>44180</v>
      </c>
      <c r="B473" s="3"/>
      <c r="C473" s="3"/>
      <c r="D473" s="3"/>
      <c r="E473" s="3"/>
      <c r="F473" s="3"/>
      <c r="G473" s="3"/>
      <c r="H473" s="3"/>
      <c r="I473" s="3"/>
      <c r="J473" s="23">
        <v>44180</v>
      </c>
      <c r="K473" s="24">
        <v>27.520833333333332</v>
      </c>
      <c r="L473" s="24">
        <v>92.941666666666677</v>
      </c>
      <c r="M473" s="24">
        <v>-0.13541666666666663</v>
      </c>
      <c r="N473" s="24">
        <v>0.4</v>
      </c>
      <c r="O473" s="24">
        <v>212.5</v>
      </c>
      <c r="P473" s="24">
        <v>3.1041666666666665</v>
      </c>
      <c r="Q473" s="24">
        <v>2.0833333333333332E-2</v>
      </c>
      <c r="R473" s="24">
        <v>-1.1479166666666665</v>
      </c>
      <c r="S473" s="10">
        <v>4.3312034491937233E-2</v>
      </c>
      <c r="T473" s="25">
        <v>0.2285208333333332</v>
      </c>
      <c r="U473" s="25">
        <v>0.30177083333333327</v>
      </c>
      <c r="V473" s="25">
        <v>0.37722916666666695</v>
      </c>
      <c r="W473" s="25">
        <v>0.39047916666666677</v>
      </c>
      <c r="X473" s="25">
        <v>0.39149999999999974</v>
      </c>
      <c r="Y473" s="25">
        <v>0.30549999999999988</v>
      </c>
      <c r="Z473" s="25">
        <v>0.31287499999999996</v>
      </c>
      <c r="AA473" s="25">
        <v>0.26987499999999981</v>
      </c>
      <c r="AB473" s="25">
        <v>0.23831249999999993</v>
      </c>
      <c r="AC473" s="25">
        <v>0.19819230769230767</v>
      </c>
      <c r="AD473" s="25">
        <v>0.25777083333333334</v>
      </c>
      <c r="AE473" s="27">
        <f t="shared" si="24"/>
        <v>0.31001041666666646</v>
      </c>
      <c r="AF473" s="27">
        <f t="shared" si="25"/>
        <v>0.32628819444444446</v>
      </c>
      <c r="AG473" s="27">
        <f t="shared" si="26"/>
        <v>0.32332859848484846</v>
      </c>
    </row>
    <row r="474" spans="1:33" x14ac:dyDescent="0.25">
      <c r="A474" s="9">
        <v>44181</v>
      </c>
      <c r="B474" s="3"/>
      <c r="C474" s="3"/>
      <c r="D474" s="3"/>
      <c r="E474" s="3"/>
      <c r="F474" s="3"/>
      <c r="G474" s="3"/>
      <c r="H474" s="3"/>
      <c r="I474" s="3"/>
      <c r="J474" s="23">
        <v>44181</v>
      </c>
      <c r="K474" s="24">
        <v>29.6875</v>
      </c>
      <c r="L474" s="24">
        <v>89.818750000000009</v>
      </c>
      <c r="M474" s="24">
        <v>0.51666666666666672</v>
      </c>
      <c r="N474" s="24">
        <v>0</v>
      </c>
      <c r="O474" s="24">
        <v>219.20833333333334</v>
      </c>
      <c r="P474" s="24">
        <v>3.0833333333333335</v>
      </c>
      <c r="Q474" s="24">
        <v>2.0833333333333332E-2</v>
      </c>
      <c r="R474" s="24">
        <v>-0.97291666666666654</v>
      </c>
      <c r="S474" s="10">
        <v>6.690368200667593E-2</v>
      </c>
      <c r="T474" s="25">
        <v>0.22793749999999993</v>
      </c>
      <c r="U474" s="25">
        <v>0.29958333333333309</v>
      </c>
      <c r="V474" s="25">
        <v>0.3746666666666667</v>
      </c>
      <c r="W474" s="25">
        <v>0.38841666666666685</v>
      </c>
      <c r="X474" s="25">
        <v>0.39022916666666685</v>
      </c>
      <c r="Y474" s="25">
        <v>0.30435416666666681</v>
      </c>
      <c r="Z474" s="25">
        <v>0.31152083333333336</v>
      </c>
      <c r="AA474" s="25">
        <v>0.26902083333333343</v>
      </c>
      <c r="AB474" s="25">
        <v>0.23497916666666671</v>
      </c>
      <c r="AC474" s="25">
        <v>0.18942500000000004</v>
      </c>
      <c r="AD474" s="25">
        <v>0.2551458333333334</v>
      </c>
      <c r="AE474" s="27">
        <f t="shared" si="24"/>
        <v>0.30908333333333338</v>
      </c>
      <c r="AF474" s="27">
        <f t="shared" si="25"/>
        <v>0.32459375000000007</v>
      </c>
      <c r="AG474" s="27">
        <f t="shared" si="26"/>
        <v>0.32177367424242426</v>
      </c>
    </row>
    <row r="475" spans="1:33" x14ac:dyDescent="0.25">
      <c r="A475" s="9">
        <v>44182</v>
      </c>
      <c r="B475" s="3"/>
      <c r="C475" s="3"/>
      <c r="D475" s="3"/>
      <c r="E475" s="3"/>
      <c r="F475" s="3"/>
      <c r="G475" s="3"/>
      <c r="H475" s="3"/>
      <c r="I475" s="3"/>
      <c r="J475" s="23">
        <v>44182</v>
      </c>
      <c r="K475" s="24">
        <v>31.958333333333332</v>
      </c>
      <c r="L475" s="24">
        <v>91.164583333333326</v>
      </c>
      <c r="M475" s="24">
        <v>-0.37083333333333329</v>
      </c>
      <c r="N475" s="24">
        <v>0.2</v>
      </c>
      <c r="O475" s="24">
        <v>226.75</v>
      </c>
      <c r="P475" s="24">
        <v>3.375</v>
      </c>
      <c r="Q475" s="24">
        <v>0</v>
      </c>
      <c r="R475" s="24">
        <v>-1.6583333333333334</v>
      </c>
      <c r="S475" s="10">
        <v>5.4211959950310022E-2</v>
      </c>
      <c r="T475" s="25">
        <v>0.22810416666666655</v>
      </c>
      <c r="U475" s="25">
        <v>0.29837500000000006</v>
      </c>
      <c r="V475" s="25">
        <v>0.3730624999999998</v>
      </c>
      <c r="W475" s="25">
        <v>0.38649999999999979</v>
      </c>
      <c r="X475" s="25">
        <v>0.38927083333333301</v>
      </c>
      <c r="Y475" s="25">
        <v>0.30345833333333372</v>
      </c>
      <c r="Z475" s="25">
        <v>0.31041666666666684</v>
      </c>
      <c r="AA475" s="25">
        <v>0.26825000000000015</v>
      </c>
      <c r="AB475" s="25">
        <v>0.23222499999999999</v>
      </c>
      <c r="AC475" s="53">
        <f>AD475*0.5711-0.0033</f>
        <v>0.14112881041666675</v>
      </c>
      <c r="AD475" s="25">
        <v>0.25289583333333343</v>
      </c>
      <c r="AE475" s="27">
        <f t="shared" si="24"/>
        <v>0.30868749999999978</v>
      </c>
      <c r="AF475" s="27">
        <f t="shared" si="25"/>
        <v>0.32334375000000004</v>
      </c>
      <c r="AG475" s="27">
        <f t="shared" si="26"/>
        <v>0.32067897727272726</v>
      </c>
    </row>
    <row r="476" spans="1:33" x14ac:dyDescent="0.25">
      <c r="A476" s="9">
        <v>44183</v>
      </c>
      <c r="B476" s="3"/>
      <c r="C476" s="3"/>
      <c r="D476" s="3"/>
      <c r="E476" s="3"/>
      <c r="F476" s="3"/>
      <c r="G476" s="3"/>
      <c r="H476" s="3"/>
      <c r="I476" s="3"/>
      <c r="J476" s="23">
        <v>44183</v>
      </c>
      <c r="K476" s="24">
        <v>51.041666666666664</v>
      </c>
      <c r="L476" s="24">
        <v>86.110416666666694</v>
      </c>
      <c r="M476" s="24">
        <v>0.85416666666666652</v>
      </c>
      <c r="N476" s="24">
        <v>0</v>
      </c>
      <c r="O476" s="24">
        <v>236.22916666666666</v>
      </c>
      <c r="P476" s="24">
        <v>4.479166666666667</v>
      </c>
      <c r="Q476" s="24">
        <v>8.3333333333333329E-2</v>
      </c>
      <c r="R476" s="24">
        <v>-1.2583333333333326</v>
      </c>
      <c r="S476" s="10">
        <v>9.5774588902808586E-2</v>
      </c>
      <c r="T476" s="25">
        <v>0.22843749999999977</v>
      </c>
      <c r="U476" s="25">
        <v>0.29743750000000008</v>
      </c>
      <c r="V476" s="25">
        <v>0.37193749999999998</v>
      </c>
      <c r="W476" s="25">
        <v>0.38506250000000009</v>
      </c>
      <c r="X476" s="25">
        <v>0.38943749999999994</v>
      </c>
      <c r="Y476" s="25">
        <v>0.30272916666666683</v>
      </c>
      <c r="Z476" s="25">
        <v>0.31000000000000011</v>
      </c>
      <c r="AA476" s="25">
        <v>0.26727083333333318</v>
      </c>
      <c r="AB476" s="25">
        <v>0.23070370370370374</v>
      </c>
      <c r="AC476" s="25">
        <v>0.17833333333333337</v>
      </c>
      <c r="AD476" s="25">
        <v>0.25250000000000006</v>
      </c>
      <c r="AE476" s="27">
        <f t="shared" si="24"/>
        <v>0.30893749999999986</v>
      </c>
      <c r="AF476" s="27">
        <f t="shared" si="25"/>
        <v>0.32240625000000006</v>
      </c>
      <c r="AG476" s="27">
        <f t="shared" si="26"/>
        <v>0.31995738636363635</v>
      </c>
    </row>
    <row r="477" spans="1:33" x14ac:dyDescent="0.25">
      <c r="A477" s="9">
        <v>44184</v>
      </c>
      <c r="B477" s="3"/>
      <c r="C477" s="3"/>
      <c r="D477" s="3"/>
      <c r="E477" s="3"/>
      <c r="F477" s="3"/>
      <c r="G477" s="3"/>
      <c r="H477" s="3"/>
      <c r="I477" s="3"/>
      <c r="J477" s="23">
        <v>44184</v>
      </c>
      <c r="K477" s="24">
        <v>34.645833333333336</v>
      </c>
      <c r="L477" s="24">
        <v>83.656250000000028</v>
      </c>
      <c r="M477" s="24">
        <v>0.12291666666666677</v>
      </c>
      <c r="N477" s="24">
        <v>0</v>
      </c>
      <c r="O477" s="24">
        <v>204.54166666666666</v>
      </c>
      <c r="P477" s="24">
        <v>4.6875</v>
      </c>
      <c r="Q477" s="24">
        <v>0</v>
      </c>
      <c r="R477" s="24">
        <v>-2.3374999999999995</v>
      </c>
      <c r="S477" s="10">
        <v>0.1027343529573549</v>
      </c>
      <c r="T477" s="25">
        <v>0.22870833333333307</v>
      </c>
      <c r="U477" s="25">
        <v>0.29712500000000019</v>
      </c>
      <c r="V477" s="25">
        <v>0.37135416666666671</v>
      </c>
      <c r="W477" s="25">
        <v>0.38452083333333337</v>
      </c>
      <c r="X477" s="25">
        <v>0.38945833333333324</v>
      </c>
      <c r="Y477" s="25">
        <v>0.30285416666666681</v>
      </c>
      <c r="Z477" s="25">
        <v>0.30966666666666648</v>
      </c>
      <c r="AA477" s="25">
        <v>0.26689583333333328</v>
      </c>
      <c r="AB477" s="25">
        <v>0.22808510638297874</v>
      </c>
      <c r="AC477" s="25">
        <v>0.17375675675675667</v>
      </c>
      <c r="AD477" s="25">
        <v>0.25129166666666669</v>
      </c>
      <c r="AE477" s="27">
        <f t="shared" si="24"/>
        <v>0.30908333333333315</v>
      </c>
      <c r="AF477" s="27">
        <f t="shared" si="25"/>
        <v>0.32206944444444452</v>
      </c>
      <c r="AG477" s="27">
        <f t="shared" si="26"/>
        <v>0.31970833333333337</v>
      </c>
    </row>
    <row r="478" spans="1:33" x14ac:dyDescent="0.25">
      <c r="A478" s="9">
        <v>44185</v>
      </c>
      <c r="B478" s="3"/>
      <c r="C478" s="3"/>
      <c r="D478" s="3"/>
      <c r="E478" s="3"/>
      <c r="F478" s="3"/>
      <c r="G478" s="3"/>
      <c r="H478" s="3"/>
      <c r="I478" s="3"/>
      <c r="J478" s="23">
        <v>44185</v>
      </c>
      <c r="K478" s="24"/>
      <c r="L478" s="24"/>
      <c r="M478" s="24"/>
      <c r="N478" s="24"/>
      <c r="O478" s="24"/>
      <c r="P478" s="24"/>
      <c r="Q478" s="24"/>
      <c r="R478" s="24"/>
      <c r="S478" s="10">
        <v>0.14848026759848687</v>
      </c>
      <c r="T478" s="25">
        <v>0.22854166666666662</v>
      </c>
      <c r="U478" s="25">
        <v>0.29658333333333348</v>
      </c>
      <c r="V478" s="25">
        <v>0.37004166666666644</v>
      </c>
      <c r="W478" s="25">
        <v>0.38381250000000011</v>
      </c>
      <c r="X478" s="25">
        <v>0.39002083333333326</v>
      </c>
      <c r="Y478" s="25">
        <v>0.30241666666666678</v>
      </c>
      <c r="Z478" s="25">
        <v>0.30899999999999972</v>
      </c>
      <c r="AA478" s="25">
        <v>0.26624999999999999</v>
      </c>
      <c r="AB478" s="25">
        <v>0.22644680851063848</v>
      </c>
      <c r="AC478" s="25">
        <v>0.16949999999999993</v>
      </c>
      <c r="AD478" s="25">
        <v>0.25074999999999997</v>
      </c>
      <c r="AE478" s="27">
        <f t="shared" si="24"/>
        <v>0.30928124999999995</v>
      </c>
      <c r="AF478" s="27">
        <f t="shared" si="25"/>
        <v>0.32135069444444442</v>
      </c>
      <c r="AG478" s="27">
        <f t="shared" si="26"/>
        <v>0.31915624999999997</v>
      </c>
    </row>
    <row r="479" spans="1:33" x14ac:dyDescent="0.25">
      <c r="A479" s="9">
        <v>44186</v>
      </c>
      <c r="B479" s="3"/>
      <c r="C479" s="3"/>
      <c r="D479" s="3"/>
      <c r="E479" s="3"/>
      <c r="F479" s="3"/>
      <c r="G479" s="3"/>
      <c r="H479" s="3"/>
      <c r="I479" s="3"/>
      <c r="J479" s="23">
        <v>44186</v>
      </c>
      <c r="K479" s="24"/>
      <c r="L479" s="24"/>
      <c r="M479" s="24"/>
      <c r="N479" s="24"/>
      <c r="O479" s="24"/>
      <c r="P479" s="24"/>
      <c r="Q479" s="24"/>
      <c r="R479" s="24"/>
      <c r="S479" s="10"/>
      <c r="T479" s="25">
        <v>0.23072916666666674</v>
      </c>
      <c r="U479" s="25">
        <v>0.29777083333333337</v>
      </c>
      <c r="V479" s="25">
        <v>0.37081249999999999</v>
      </c>
      <c r="W479" s="25">
        <v>0.38383333333333347</v>
      </c>
      <c r="X479" s="25">
        <v>0.39483333333333331</v>
      </c>
      <c r="Y479" s="25">
        <v>0.30320833333333325</v>
      </c>
      <c r="Z479" s="25">
        <v>0.30922916666666667</v>
      </c>
      <c r="AA479" s="25">
        <v>0.26602083333333337</v>
      </c>
      <c r="AB479" s="25">
        <v>0.22476595744680852</v>
      </c>
      <c r="AC479" s="25">
        <v>0.16302500000000003</v>
      </c>
      <c r="AD479" s="25">
        <v>0.25262500000000004</v>
      </c>
      <c r="AE479" s="27">
        <f t="shared" si="24"/>
        <v>0.31278125000000001</v>
      </c>
      <c r="AF479" s="27">
        <f t="shared" si="25"/>
        <v>0.3218125</v>
      </c>
      <c r="AG479" s="27">
        <f t="shared" si="26"/>
        <v>0.32017045454545456</v>
      </c>
    </row>
    <row r="480" spans="1:33" x14ac:dyDescent="0.25">
      <c r="A480" s="9">
        <v>44187</v>
      </c>
      <c r="B480" s="3"/>
      <c r="C480" s="3"/>
      <c r="D480" s="3"/>
      <c r="E480" s="3"/>
      <c r="F480" s="3"/>
      <c r="G480" s="3"/>
      <c r="H480" s="3"/>
      <c r="I480" s="3"/>
      <c r="J480" s="23">
        <v>44187</v>
      </c>
      <c r="K480" s="24"/>
      <c r="L480" s="24"/>
      <c r="M480" s="24"/>
      <c r="N480" s="24"/>
      <c r="O480" s="24"/>
      <c r="P480" s="24"/>
      <c r="Q480" s="24"/>
      <c r="R480" s="24"/>
      <c r="S480" s="10"/>
      <c r="T480" s="25">
        <v>0.23250000000000007</v>
      </c>
      <c r="U480" s="25">
        <v>0.3010000000000001</v>
      </c>
      <c r="V480" s="25">
        <v>0.3739791666666667</v>
      </c>
      <c r="W480" s="25">
        <v>0.38516666666666649</v>
      </c>
      <c r="X480" s="25">
        <v>0.39912500000000034</v>
      </c>
      <c r="Y480" s="25">
        <v>0.30545833333333317</v>
      </c>
      <c r="Z480" s="25">
        <v>0.3108541666666666</v>
      </c>
      <c r="AA480" s="25">
        <v>0.26687499999999986</v>
      </c>
      <c r="AB480" s="25">
        <v>0.21606249999999996</v>
      </c>
      <c r="AC480" s="25">
        <v>0.15621428571428572</v>
      </c>
      <c r="AD480" s="25">
        <v>0.25068749999999984</v>
      </c>
      <c r="AE480" s="27">
        <f t="shared" si="24"/>
        <v>0.31581250000000022</v>
      </c>
      <c r="AF480" s="27">
        <f t="shared" si="25"/>
        <v>0.32388888888888884</v>
      </c>
      <c r="AG480" s="27">
        <f t="shared" si="26"/>
        <v>0.32242045454545459</v>
      </c>
    </row>
    <row r="481" spans="1:33" x14ac:dyDescent="0.25">
      <c r="A481" s="9">
        <v>44188</v>
      </c>
      <c r="B481" s="3"/>
      <c r="C481" s="3"/>
      <c r="D481" s="3"/>
      <c r="E481" s="3"/>
      <c r="F481" s="3"/>
      <c r="G481" s="3"/>
      <c r="H481" s="3"/>
      <c r="I481" s="3"/>
      <c r="J481" s="23">
        <v>44188</v>
      </c>
      <c r="K481" s="24"/>
      <c r="L481" s="24"/>
      <c r="M481" s="24"/>
      <c r="N481" s="24"/>
      <c r="O481" s="24"/>
      <c r="P481" s="24"/>
      <c r="Q481" s="24"/>
      <c r="R481" s="24"/>
      <c r="S481" s="10"/>
      <c r="T481" s="25">
        <v>0.23233333333333347</v>
      </c>
      <c r="U481" s="25">
        <v>0.3010000000000001</v>
      </c>
      <c r="V481" s="25">
        <v>0.37410416666666668</v>
      </c>
      <c r="W481" s="25">
        <v>0.38597916666666632</v>
      </c>
      <c r="X481" s="25">
        <v>0.39925000000000027</v>
      </c>
      <c r="Y481" s="25">
        <v>0.30583333333333301</v>
      </c>
      <c r="Z481" s="25">
        <v>0.311</v>
      </c>
      <c r="AA481" s="25">
        <v>0.26699999999999985</v>
      </c>
      <c r="AB481" s="25">
        <v>0.21347916666666666</v>
      </c>
      <c r="AC481" s="25">
        <v>0.15035483870967734</v>
      </c>
      <c r="AD481" s="25">
        <v>0.24931249999999991</v>
      </c>
      <c r="AE481" s="27">
        <f t="shared" si="24"/>
        <v>0.31579166666666686</v>
      </c>
      <c r="AF481" s="27">
        <f t="shared" si="25"/>
        <v>0.32415277777777768</v>
      </c>
      <c r="AG481" s="27">
        <f t="shared" si="26"/>
        <v>0.3226325757575757</v>
      </c>
    </row>
    <row r="482" spans="1:33" x14ac:dyDescent="0.25">
      <c r="A482" s="9">
        <v>44189</v>
      </c>
      <c r="B482" s="3"/>
      <c r="C482" s="3"/>
      <c r="D482" s="3"/>
      <c r="E482" s="3"/>
      <c r="F482" s="3"/>
      <c r="G482" s="3"/>
      <c r="H482" s="3"/>
      <c r="I482" s="3"/>
      <c r="J482" s="23">
        <v>44189</v>
      </c>
      <c r="K482" s="24"/>
      <c r="L482" s="24"/>
      <c r="M482" s="24"/>
      <c r="N482" s="24"/>
      <c r="O482" s="24"/>
      <c r="P482" s="24"/>
      <c r="Q482" s="24"/>
      <c r="R482" s="24"/>
      <c r="S482" s="10"/>
      <c r="T482" s="25">
        <v>0.23225000000000021</v>
      </c>
      <c r="U482" s="25">
        <v>0.30070833333333347</v>
      </c>
      <c r="V482" s="25">
        <v>0.3742708333333335</v>
      </c>
      <c r="W482" s="25">
        <v>0.38599999999999962</v>
      </c>
      <c r="X482" s="25">
        <v>0.3994166666666667</v>
      </c>
      <c r="Y482" s="25">
        <v>0.3058749999999999</v>
      </c>
      <c r="Z482" s="25">
        <v>0.311</v>
      </c>
      <c r="AA482" s="25">
        <v>0.26699999999999985</v>
      </c>
      <c r="AB482" s="25">
        <v>0.21142553191489363</v>
      </c>
      <c r="AC482" s="25">
        <v>0.14610869565217383</v>
      </c>
      <c r="AD482" s="25">
        <v>0.24783333333333324</v>
      </c>
      <c r="AE482" s="27">
        <f t="shared" si="24"/>
        <v>0.31583333333333347</v>
      </c>
      <c r="AF482" s="27">
        <f t="shared" si="25"/>
        <v>0.32414236111111105</v>
      </c>
      <c r="AG482" s="27">
        <f t="shared" si="26"/>
        <v>0.32263162878787877</v>
      </c>
    </row>
    <row r="483" spans="1:33" x14ac:dyDescent="0.25">
      <c r="A483" s="9">
        <v>44190</v>
      </c>
      <c r="B483" s="3"/>
      <c r="C483" s="3"/>
      <c r="D483" s="3"/>
      <c r="E483" s="3"/>
      <c r="F483" s="3"/>
      <c r="G483" s="3"/>
      <c r="H483" s="3"/>
      <c r="I483" s="3"/>
      <c r="J483" s="23">
        <v>44190</v>
      </c>
      <c r="K483" s="24"/>
      <c r="L483" s="24"/>
      <c r="M483" s="24"/>
      <c r="N483" s="24"/>
      <c r="O483" s="24"/>
      <c r="P483" s="24"/>
      <c r="Q483" s="24"/>
      <c r="R483" s="24"/>
      <c r="S483" s="10"/>
      <c r="T483" s="25">
        <v>0.23256250000000023</v>
      </c>
      <c r="U483" s="25">
        <v>0.3010000000000001</v>
      </c>
      <c r="V483" s="25">
        <v>0.3746458333333334</v>
      </c>
      <c r="W483" s="25">
        <v>0.38599999999999962</v>
      </c>
      <c r="X483" s="25">
        <v>0.3998541666666669</v>
      </c>
      <c r="Y483" s="25">
        <v>0.30570833333333297</v>
      </c>
      <c r="Z483" s="25">
        <v>0.3113749999999999</v>
      </c>
      <c r="AA483" s="25">
        <v>0.26681249999999984</v>
      </c>
      <c r="AB483" s="25">
        <v>0.20966666666666681</v>
      </c>
      <c r="AC483" s="25">
        <v>0.14209677419354833</v>
      </c>
      <c r="AD483" s="25">
        <v>0.24614583333333348</v>
      </c>
      <c r="AE483" s="27">
        <f t="shared" si="24"/>
        <v>0.31620833333333354</v>
      </c>
      <c r="AF483" s="27">
        <f t="shared" si="25"/>
        <v>0.32425694444444436</v>
      </c>
      <c r="AG483" s="27">
        <f t="shared" si="26"/>
        <v>0.32279356060606057</v>
      </c>
    </row>
    <row r="484" spans="1:33" x14ac:dyDescent="0.25">
      <c r="A484" s="9">
        <v>44191</v>
      </c>
      <c r="B484" s="3"/>
      <c r="C484" s="3"/>
      <c r="D484" s="3"/>
      <c r="E484" s="3"/>
      <c r="F484" s="3"/>
      <c r="G484" s="3"/>
      <c r="H484" s="3"/>
      <c r="I484" s="3"/>
      <c r="J484" s="23">
        <v>44191</v>
      </c>
      <c r="K484" s="24"/>
      <c r="L484" s="24"/>
      <c r="M484" s="24"/>
      <c r="N484" s="24"/>
      <c r="O484" s="24"/>
      <c r="P484" s="24"/>
      <c r="Q484" s="24"/>
      <c r="R484" s="24"/>
      <c r="S484" s="10"/>
      <c r="T484" s="25">
        <v>0.23297916666666671</v>
      </c>
      <c r="U484" s="25">
        <v>0.3010000000000001</v>
      </c>
      <c r="V484" s="25">
        <v>0.37493749999999998</v>
      </c>
      <c r="W484" s="25">
        <v>0.38599999999999962</v>
      </c>
      <c r="X484" s="25">
        <v>0.40027083333333335</v>
      </c>
      <c r="Y484" s="25">
        <v>0.3053958333333332</v>
      </c>
      <c r="Z484" s="25">
        <v>0.31149999999999983</v>
      </c>
      <c r="AA484" s="25">
        <v>0.26614583333333336</v>
      </c>
      <c r="AB484" s="25">
        <v>0.20887804878048771</v>
      </c>
      <c r="AC484" s="25">
        <v>0.1408958333333333</v>
      </c>
      <c r="AD484" s="25">
        <v>0.24516666666666651</v>
      </c>
      <c r="AE484" s="27">
        <f t="shared" si="24"/>
        <v>0.31662500000000005</v>
      </c>
      <c r="AF484" s="27">
        <f t="shared" si="25"/>
        <v>0.32416319444444436</v>
      </c>
      <c r="AG484" s="27">
        <f t="shared" si="26"/>
        <v>0.32279261363636358</v>
      </c>
    </row>
    <row r="485" spans="1:33" x14ac:dyDescent="0.25">
      <c r="A485" s="9">
        <v>44192</v>
      </c>
      <c r="B485" s="3"/>
      <c r="C485" s="3"/>
      <c r="D485" s="3"/>
      <c r="E485" s="3"/>
      <c r="F485" s="3"/>
      <c r="G485" s="3"/>
      <c r="H485" s="3"/>
      <c r="I485" s="3"/>
      <c r="J485" s="23">
        <v>44192</v>
      </c>
      <c r="K485" s="24"/>
      <c r="L485" s="24"/>
      <c r="M485" s="24"/>
      <c r="N485" s="24"/>
      <c r="O485" s="24"/>
      <c r="P485" s="24"/>
      <c r="Q485" s="24"/>
      <c r="R485" s="24"/>
      <c r="S485" s="10"/>
      <c r="T485" s="25">
        <v>0.23266666666666672</v>
      </c>
      <c r="U485" s="25">
        <v>0.3005208333333334</v>
      </c>
      <c r="V485" s="25">
        <v>0.3742708333333335</v>
      </c>
      <c r="W485" s="25">
        <v>0.38599999999999962</v>
      </c>
      <c r="X485" s="25">
        <v>0.40008333333333357</v>
      </c>
      <c r="Y485" s="25">
        <v>0.30545833333333311</v>
      </c>
      <c r="Z485" s="25">
        <v>0.31154166666666661</v>
      </c>
      <c r="AA485" s="25">
        <v>0.26637499999999992</v>
      </c>
      <c r="AB485" s="25">
        <v>0.20847916666666655</v>
      </c>
      <c r="AC485" s="25">
        <v>0.14026086956521747</v>
      </c>
      <c r="AD485" s="25">
        <v>0.24502083333333347</v>
      </c>
      <c r="AE485" s="27">
        <f t="shared" si="24"/>
        <v>0.31637500000000013</v>
      </c>
      <c r="AF485" s="27">
        <f t="shared" si="25"/>
        <v>0.32402777777777775</v>
      </c>
      <c r="AG485" s="27">
        <f t="shared" si="26"/>
        <v>0.32263636363636367</v>
      </c>
    </row>
    <row r="486" spans="1:33" x14ac:dyDescent="0.25">
      <c r="A486" s="9">
        <v>44193</v>
      </c>
      <c r="B486" s="3"/>
      <c r="C486" s="3"/>
      <c r="D486" s="3"/>
      <c r="E486" s="3"/>
      <c r="F486" s="3"/>
      <c r="G486" s="3"/>
      <c r="H486" s="3"/>
      <c r="I486" s="3"/>
      <c r="J486" s="23">
        <v>44193</v>
      </c>
      <c r="K486" s="24"/>
      <c r="L486" s="24"/>
      <c r="M486" s="24"/>
      <c r="N486" s="24"/>
      <c r="O486" s="24"/>
      <c r="P486" s="24"/>
      <c r="Q486" s="24"/>
      <c r="R486" s="24"/>
      <c r="S486" s="10"/>
      <c r="T486" s="25">
        <v>0.23572916666666663</v>
      </c>
      <c r="U486" s="25">
        <v>0.30258333333333332</v>
      </c>
      <c r="V486" s="25">
        <v>0.37618750000000006</v>
      </c>
      <c r="W486" s="25">
        <v>0.38664583333333363</v>
      </c>
      <c r="X486" s="25">
        <v>0.40475</v>
      </c>
      <c r="Y486" s="25">
        <v>0.30710416666666673</v>
      </c>
      <c r="Z486" s="25">
        <v>0.31222916666666684</v>
      </c>
      <c r="AA486" s="25">
        <v>0.26645833333333319</v>
      </c>
      <c r="AB486" s="25">
        <v>0.20964444444444447</v>
      </c>
      <c r="AC486" s="25">
        <v>0.13823809523809524</v>
      </c>
      <c r="AD486" s="25">
        <v>0.24672916666666678</v>
      </c>
      <c r="AE486" s="27">
        <f t="shared" si="24"/>
        <v>0.3202395833333333</v>
      </c>
      <c r="AF486" s="27">
        <f t="shared" si="25"/>
        <v>0.32520138888888894</v>
      </c>
      <c r="AG486" s="27">
        <f t="shared" si="26"/>
        <v>0.32429924242424246</v>
      </c>
    </row>
    <row r="487" spans="1:33" x14ac:dyDescent="0.25">
      <c r="A487" s="9">
        <v>44194</v>
      </c>
      <c r="B487" s="3"/>
      <c r="C487" s="3"/>
      <c r="D487" s="3"/>
      <c r="E487" s="3"/>
      <c r="F487" s="3"/>
      <c r="G487" s="3"/>
      <c r="H487" s="3"/>
      <c r="I487" s="3"/>
      <c r="J487" s="23">
        <v>44194</v>
      </c>
      <c r="K487" s="24"/>
      <c r="L487" s="24"/>
      <c r="M487" s="24"/>
      <c r="N487" s="24"/>
      <c r="O487" s="24"/>
      <c r="P487" s="24"/>
      <c r="Q487" s="24"/>
      <c r="R487" s="24"/>
      <c r="S487" s="10"/>
      <c r="T487" s="25">
        <v>0.23541666666666669</v>
      </c>
      <c r="U487" s="25">
        <v>0.30431250000000015</v>
      </c>
      <c r="V487" s="25">
        <v>0.37883333333333319</v>
      </c>
      <c r="W487" s="25">
        <v>0.38868749999999963</v>
      </c>
      <c r="X487" s="25">
        <v>0.40564583333333304</v>
      </c>
      <c r="Y487" s="25">
        <v>0.31016666666666676</v>
      </c>
      <c r="Z487" s="25">
        <v>0.31375000000000008</v>
      </c>
      <c r="AA487" s="25">
        <v>0.26779166666666682</v>
      </c>
      <c r="AB487" s="25">
        <v>0.20539583333333333</v>
      </c>
      <c r="AC487" s="25">
        <v>0.1344166666666666</v>
      </c>
      <c r="AD487" s="25">
        <v>0.24389583333333334</v>
      </c>
      <c r="AE487" s="27">
        <f t="shared" si="24"/>
        <v>0.32053124999999988</v>
      </c>
      <c r="AF487" s="27">
        <f t="shared" si="25"/>
        <v>0.32725694444444448</v>
      </c>
      <c r="AG487" s="27">
        <f t="shared" si="26"/>
        <v>0.32603409090909091</v>
      </c>
    </row>
    <row r="488" spans="1:33" x14ac:dyDescent="0.25">
      <c r="A488" s="9">
        <v>44195</v>
      </c>
      <c r="B488" s="3"/>
      <c r="C488" s="3"/>
      <c r="D488" s="3"/>
      <c r="E488" s="3"/>
      <c r="F488" s="3"/>
      <c r="G488" s="3"/>
      <c r="H488" s="3"/>
      <c r="I488" s="3"/>
      <c r="J488" s="23">
        <v>44195</v>
      </c>
      <c r="K488" s="24"/>
      <c r="L488" s="24"/>
      <c r="M488" s="24"/>
      <c r="N488" s="24"/>
      <c r="O488" s="24"/>
      <c r="P488" s="24"/>
      <c r="Q488" s="24"/>
      <c r="R488" s="24"/>
      <c r="S488" s="10"/>
      <c r="T488" s="25">
        <v>0.23183333333333334</v>
      </c>
      <c r="U488" s="25">
        <v>0.30145833333333344</v>
      </c>
      <c r="V488" s="25">
        <v>0.37618749999999984</v>
      </c>
      <c r="W488" s="25">
        <v>0.38810416666666675</v>
      </c>
      <c r="X488" s="25">
        <v>0.40027083333333358</v>
      </c>
      <c r="Y488" s="25">
        <v>0.30822916666666672</v>
      </c>
      <c r="Z488" s="25">
        <v>0.31277083333333316</v>
      </c>
      <c r="AA488" s="25">
        <v>0.26797916666666682</v>
      </c>
      <c r="AB488" s="25">
        <v>0.20087499999999983</v>
      </c>
      <c r="AC488" s="25">
        <v>0.13077083333333336</v>
      </c>
      <c r="AD488" s="25">
        <v>0.23954166666666679</v>
      </c>
      <c r="AE488" s="27">
        <f t="shared" si="24"/>
        <v>0.31605208333333346</v>
      </c>
      <c r="AF488" s="27">
        <f t="shared" si="25"/>
        <v>0.32578819444444446</v>
      </c>
      <c r="AG488" s="27">
        <f t="shared" si="26"/>
        <v>0.32401799242424245</v>
      </c>
    </row>
    <row r="489" spans="1:33" x14ac:dyDescent="0.25">
      <c r="A489" s="9">
        <v>44196</v>
      </c>
      <c r="B489" s="3"/>
      <c r="C489" s="3"/>
      <c r="D489" s="3"/>
      <c r="E489" s="3"/>
      <c r="F489" s="3"/>
      <c r="G489" s="3"/>
      <c r="H489" s="3"/>
      <c r="I489" s="3"/>
      <c r="J489" s="23">
        <v>44196</v>
      </c>
      <c r="K489" s="24"/>
      <c r="L489" s="24"/>
      <c r="M489" s="24"/>
      <c r="N489" s="24"/>
      <c r="O489" s="24"/>
      <c r="P489" s="24"/>
      <c r="Q489" s="24"/>
      <c r="R489" s="24"/>
      <c r="S489" s="10"/>
      <c r="T489" s="25">
        <v>0.23004166666666684</v>
      </c>
      <c r="U489" s="25">
        <v>0.29866666666666675</v>
      </c>
      <c r="V489" s="25">
        <v>0.37293749999999987</v>
      </c>
      <c r="W489" s="25">
        <v>0.38608333333333328</v>
      </c>
      <c r="X489" s="25">
        <v>0.39631250000000035</v>
      </c>
      <c r="Y489" s="25">
        <v>0.30564583333333323</v>
      </c>
      <c r="Z489" s="25">
        <v>0.31104166666666672</v>
      </c>
      <c r="AA489" s="25">
        <v>0.2669999999999999</v>
      </c>
      <c r="AB489" s="25">
        <v>0.19762500000000005</v>
      </c>
      <c r="AC489" s="25">
        <v>0.12809090909090909</v>
      </c>
      <c r="AD489" s="25">
        <v>0.23647916666666671</v>
      </c>
      <c r="AE489" s="27">
        <f t="shared" si="24"/>
        <v>0.31317708333333361</v>
      </c>
      <c r="AF489" s="27">
        <f t="shared" si="25"/>
        <v>0.32356249999999992</v>
      </c>
      <c r="AG489" s="27">
        <f t="shared" si="26"/>
        <v>0.32167424242424242</v>
      </c>
    </row>
    <row r="490" spans="1:33" x14ac:dyDescent="0.25">
      <c r="A490" s="9">
        <v>44197</v>
      </c>
      <c r="B490" s="3"/>
      <c r="C490" s="3"/>
      <c r="D490" s="3"/>
      <c r="E490" s="3"/>
      <c r="F490" s="3"/>
      <c r="G490" s="3"/>
      <c r="H490" s="3"/>
      <c r="I490" s="3"/>
      <c r="J490" s="23">
        <v>44197</v>
      </c>
      <c r="K490" s="24"/>
      <c r="L490" s="24"/>
      <c r="M490" s="24"/>
      <c r="N490" s="24"/>
      <c r="O490" s="24"/>
      <c r="P490" s="24"/>
      <c r="Q490" s="24"/>
      <c r="R490" s="24"/>
      <c r="S490" s="10"/>
      <c r="T490" s="25">
        <v>0.22958333333333336</v>
      </c>
      <c r="U490" s="25">
        <v>0.29702083333333351</v>
      </c>
      <c r="V490" s="25">
        <v>0.37077083333333299</v>
      </c>
      <c r="W490" s="25">
        <v>0.38460416666666669</v>
      </c>
      <c r="X490" s="25">
        <v>0.39466666666666694</v>
      </c>
      <c r="Y490" s="25">
        <v>0.30437500000000012</v>
      </c>
      <c r="Z490" s="25">
        <v>0.30995833333333339</v>
      </c>
      <c r="AA490" s="25">
        <v>0.26602083333333332</v>
      </c>
      <c r="AB490" s="25">
        <v>0.19589583333333327</v>
      </c>
      <c r="AC490" s="25">
        <v>0.12622222222222215</v>
      </c>
      <c r="AD490" s="25">
        <v>0.23512500000000003</v>
      </c>
      <c r="AE490" s="27">
        <f t="shared" si="24"/>
        <v>0.31212500000000015</v>
      </c>
      <c r="AF490" s="27">
        <f t="shared" si="25"/>
        <v>0.32212499999999999</v>
      </c>
      <c r="AG490" s="27">
        <f t="shared" si="26"/>
        <v>0.32030681818181816</v>
      </c>
    </row>
    <row r="491" spans="1:33" x14ac:dyDescent="0.25">
      <c r="A491" s="9">
        <v>44198</v>
      </c>
      <c r="B491" s="3"/>
      <c r="C491" s="3"/>
      <c r="D491" s="3"/>
      <c r="E491" s="3"/>
      <c r="F491" s="3"/>
      <c r="G491" s="3"/>
      <c r="H491" s="3"/>
      <c r="I491" s="3"/>
      <c r="J491" s="23">
        <v>44198</v>
      </c>
      <c r="K491" s="24"/>
      <c r="L491" s="24"/>
      <c r="M491" s="24"/>
      <c r="N491" s="24"/>
      <c r="O491" s="24"/>
      <c r="P491" s="24"/>
      <c r="Q491" s="24"/>
      <c r="R491" s="24"/>
      <c r="S491" s="10"/>
      <c r="T491" s="25">
        <v>0.23093749999999993</v>
      </c>
      <c r="U491" s="25">
        <v>0.29722916666666682</v>
      </c>
      <c r="V491" s="25">
        <v>0.37100000000000016</v>
      </c>
      <c r="W491" s="25">
        <v>0.38400000000000017</v>
      </c>
      <c r="X491" s="25">
        <v>0.39614583333333359</v>
      </c>
      <c r="Y491" s="25">
        <v>0.30443750000000008</v>
      </c>
      <c r="Z491" s="25">
        <v>0.31000000000000011</v>
      </c>
      <c r="AA491" s="25">
        <v>0.2652916666666667</v>
      </c>
      <c r="AB491" s="25">
        <v>0.19462500000000008</v>
      </c>
      <c r="AC491" s="53">
        <f t="shared" ref="AC491:AC493" si="27">AD491*0.5711-0.0033</f>
        <v>0.13032550208333338</v>
      </c>
      <c r="AD491" s="25">
        <v>0.23397916666666671</v>
      </c>
      <c r="AE491" s="27">
        <f t="shared" si="24"/>
        <v>0.31354166666666677</v>
      </c>
      <c r="AF491" s="27">
        <f t="shared" si="25"/>
        <v>0.32199305555555569</v>
      </c>
      <c r="AG491" s="27">
        <f t="shared" si="26"/>
        <v>0.32045643939393953</v>
      </c>
    </row>
    <row r="492" spans="1:33" x14ac:dyDescent="0.25">
      <c r="A492" s="9">
        <v>44199</v>
      </c>
      <c r="B492" s="3"/>
      <c r="C492" s="3"/>
      <c r="D492" s="3"/>
      <c r="E492" s="3"/>
      <c r="F492" s="3"/>
      <c r="G492" s="3"/>
      <c r="H492" s="3"/>
      <c r="I492" s="3"/>
      <c r="J492" s="23">
        <v>44199</v>
      </c>
      <c r="K492" s="24"/>
      <c r="L492" s="24"/>
      <c r="M492" s="24"/>
      <c r="N492" s="24"/>
      <c r="O492" s="24"/>
      <c r="P492" s="24"/>
      <c r="Q492" s="24"/>
      <c r="R492" s="24"/>
      <c r="S492" s="10"/>
      <c r="T492" s="25">
        <v>0.2309999999999999</v>
      </c>
      <c r="U492" s="25">
        <v>0.2972916666666669</v>
      </c>
      <c r="V492" s="25">
        <v>0.37075000000000019</v>
      </c>
      <c r="W492" s="25">
        <v>0.38395833333333346</v>
      </c>
      <c r="X492" s="25">
        <v>0.39543749999999983</v>
      </c>
      <c r="Y492" s="25">
        <v>0.30387500000000017</v>
      </c>
      <c r="Z492" s="25">
        <v>0.3097499999999998</v>
      </c>
      <c r="AA492" s="25">
        <v>0.26445833333333346</v>
      </c>
      <c r="AB492" s="25">
        <v>0.19422916666666679</v>
      </c>
      <c r="AC492" s="53">
        <f t="shared" si="27"/>
        <v>0.13144390625000005</v>
      </c>
      <c r="AD492" s="25">
        <v>0.23593750000000005</v>
      </c>
      <c r="AE492" s="27">
        <f t="shared" si="24"/>
        <v>0.31321874999999988</v>
      </c>
      <c r="AF492" s="27">
        <f t="shared" si="25"/>
        <v>0.32168055555555564</v>
      </c>
      <c r="AG492" s="27">
        <f t="shared" si="26"/>
        <v>0.3201420454545455</v>
      </c>
    </row>
    <row r="493" spans="1:33" x14ac:dyDescent="0.25">
      <c r="A493" s="9">
        <v>44200</v>
      </c>
      <c r="B493" s="3"/>
      <c r="C493" s="3"/>
      <c r="D493" s="3"/>
      <c r="E493" s="3"/>
      <c r="F493" s="3"/>
      <c r="G493" s="3"/>
      <c r="H493" s="3"/>
      <c r="I493" s="3"/>
      <c r="J493" s="23">
        <v>44200</v>
      </c>
      <c r="K493" s="24"/>
      <c r="L493" s="24"/>
      <c r="M493" s="24"/>
      <c r="N493" s="24"/>
      <c r="O493" s="24"/>
      <c r="P493" s="24"/>
      <c r="Q493" s="24"/>
      <c r="R493" s="24"/>
      <c r="S493" s="10"/>
      <c r="T493" s="25">
        <v>0.23070833333333332</v>
      </c>
      <c r="U493" s="25">
        <v>0.29700000000000021</v>
      </c>
      <c r="V493" s="25">
        <v>0.3700833333333331</v>
      </c>
      <c r="W493" s="25">
        <v>0.38306249999999958</v>
      </c>
      <c r="X493" s="25">
        <v>0.39454166666666657</v>
      </c>
      <c r="Y493" s="25">
        <v>0.30241666666666661</v>
      </c>
      <c r="Z493" s="25">
        <v>0.3092916666666663</v>
      </c>
      <c r="AA493" s="25">
        <v>0.26377083333333334</v>
      </c>
      <c r="AB493" s="25">
        <v>0.1965744680851064</v>
      </c>
      <c r="AC493" s="53">
        <f t="shared" si="27"/>
        <v>0.13296683958333333</v>
      </c>
      <c r="AD493" s="25">
        <v>0.23860416666666662</v>
      </c>
      <c r="AE493" s="27">
        <f t="shared" si="24"/>
        <v>0.31262499999999993</v>
      </c>
      <c r="AF493" s="27">
        <f t="shared" si="25"/>
        <v>0.32093749999999982</v>
      </c>
      <c r="AG493" s="27">
        <f t="shared" si="26"/>
        <v>0.3194261363636362</v>
      </c>
    </row>
    <row r="494" spans="1:33" x14ac:dyDescent="0.25">
      <c r="A494" s="9">
        <v>44201</v>
      </c>
      <c r="B494" s="3"/>
      <c r="C494" s="3"/>
      <c r="D494" s="3"/>
      <c r="E494" s="3"/>
      <c r="F494" s="3"/>
      <c r="G494" s="3"/>
      <c r="H494" s="3"/>
      <c r="I494" s="3"/>
      <c r="J494" s="23">
        <v>44201</v>
      </c>
      <c r="K494" s="24"/>
      <c r="L494" s="24"/>
      <c r="M494" s="24"/>
      <c r="N494" s="24"/>
      <c r="O494" s="24"/>
      <c r="P494" s="24"/>
      <c r="Q494" s="24"/>
      <c r="R494" s="24"/>
      <c r="S494" s="10"/>
      <c r="T494" s="25">
        <v>0.23112499999999989</v>
      </c>
      <c r="U494" s="25">
        <v>0.29700000000000021</v>
      </c>
      <c r="V494" s="25">
        <v>0.36999999999999972</v>
      </c>
      <c r="W494" s="25">
        <v>0.38299999999999951</v>
      </c>
      <c r="X494" s="25">
        <v>0.39504166666666646</v>
      </c>
      <c r="Y494" s="25">
        <v>0.30291666666666689</v>
      </c>
      <c r="Z494" s="25">
        <v>0.30899999999999972</v>
      </c>
      <c r="AA494" s="25">
        <v>0.26362499999999983</v>
      </c>
      <c r="AB494" s="25">
        <v>0.22562222222222231</v>
      </c>
      <c r="AC494" s="25">
        <v>0.18483783783783783</v>
      </c>
      <c r="AD494" s="25">
        <v>0.25616666666666643</v>
      </c>
      <c r="AE494" s="27">
        <f t="shared" si="24"/>
        <v>0.31308333333333316</v>
      </c>
      <c r="AF494" s="27">
        <f t="shared" si="25"/>
        <v>0.32092361111111095</v>
      </c>
      <c r="AG494" s="27">
        <f t="shared" si="26"/>
        <v>0.31949810606060591</v>
      </c>
    </row>
    <row r="495" spans="1:33" x14ac:dyDescent="0.25">
      <c r="A495" s="9">
        <v>44202</v>
      </c>
      <c r="B495" s="3"/>
      <c r="C495" s="3"/>
      <c r="D495" s="3"/>
      <c r="E495" s="3"/>
      <c r="F495" s="3"/>
      <c r="G495" s="3"/>
      <c r="H495" s="3"/>
      <c r="I495" s="3"/>
      <c r="J495" s="23">
        <v>44202</v>
      </c>
      <c r="K495" s="24">
        <v>28.076923076923077</v>
      </c>
      <c r="L495" s="24">
        <v>94.402564102564099</v>
      </c>
      <c r="M495" s="24">
        <v>0.75128205128205117</v>
      </c>
      <c r="N495" s="24">
        <v>0.60000000000000009</v>
      </c>
      <c r="O495" s="24">
        <v>217.02564102564102</v>
      </c>
      <c r="P495" s="24">
        <v>3.4358974358974357</v>
      </c>
      <c r="Q495" s="24">
        <v>0.12820512820512819</v>
      </c>
      <c r="R495" s="24">
        <v>-4.3589743589743608E-2</v>
      </c>
      <c r="S495" s="10">
        <v>3.6279950429882565E-2</v>
      </c>
      <c r="T495" s="25">
        <v>0.2309999999999999</v>
      </c>
      <c r="U495" s="25">
        <v>0.29662499999999997</v>
      </c>
      <c r="V495" s="25">
        <v>0.36937499999999995</v>
      </c>
      <c r="W495" s="25">
        <v>0.38250000000000006</v>
      </c>
      <c r="X495" s="25">
        <v>0.39418749999999986</v>
      </c>
      <c r="Y495" s="25">
        <v>0.30233333333333318</v>
      </c>
      <c r="Z495" s="25">
        <v>0.30891666666666645</v>
      </c>
      <c r="AA495" s="25">
        <v>0.26333333333333325</v>
      </c>
      <c r="AB495" s="25">
        <v>0.22634210526315793</v>
      </c>
      <c r="AC495" s="25">
        <v>0.18681250000000008</v>
      </c>
      <c r="AD495" s="25">
        <v>0.26191666666666674</v>
      </c>
      <c r="AE495" s="27">
        <f t="shared" si="24"/>
        <v>0.31259374999999989</v>
      </c>
      <c r="AF495" s="27">
        <f t="shared" si="25"/>
        <v>0.32051388888888882</v>
      </c>
      <c r="AG495" s="27">
        <f t="shared" si="26"/>
        <v>0.31907386363636359</v>
      </c>
    </row>
    <row r="496" spans="1:33" x14ac:dyDescent="0.25">
      <c r="A496" s="9">
        <v>44203</v>
      </c>
      <c r="B496" s="3"/>
      <c r="C496" s="3"/>
      <c r="D496" s="3"/>
      <c r="E496" s="3"/>
      <c r="F496" s="3"/>
      <c r="G496" s="3"/>
      <c r="H496" s="3"/>
      <c r="I496" s="3"/>
      <c r="J496" s="23">
        <v>44203</v>
      </c>
      <c r="K496" s="24">
        <v>19.5</v>
      </c>
      <c r="L496" s="24">
        <v>93.293749999999989</v>
      </c>
      <c r="M496" s="24">
        <v>-1.3791666666666667</v>
      </c>
      <c r="N496" s="24">
        <v>0.2</v>
      </c>
      <c r="O496" s="24">
        <v>227.27083333333334</v>
      </c>
      <c r="P496" s="24">
        <v>4.916666666666667</v>
      </c>
      <c r="Q496" s="24">
        <v>0.10416666666666667</v>
      </c>
      <c r="R496" s="24">
        <v>-2.3291666666666666</v>
      </c>
      <c r="S496" s="10">
        <v>3.7003657403551764E-2</v>
      </c>
      <c r="T496" s="25">
        <v>0.23018750000000018</v>
      </c>
      <c r="U496" s="25">
        <v>0.29525000000000001</v>
      </c>
      <c r="V496" s="25">
        <v>0.36847916666666664</v>
      </c>
      <c r="W496" s="25">
        <v>0.3816666666666666</v>
      </c>
      <c r="X496" s="25">
        <v>0.39231249999999962</v>
      </c>
      <c r="Y496" s="25">
        <v>0.30179166666666651</v>
      </c>
      <c r="Z496" s="25">
        <v>0.30806249999999991</v>
      </c>
      <c r="AA496" s="25">
        <v>0.26299999999999996</v>
      </c>
      <c r="AB496" s="25">
        <v>0.22543749999999987</v>
      </c>
      <c r="AC496" s="25">
        <v>0.18734042553191493</v>
      </c>
      <c r="AD496" s="25">
        <v>0.26352083333333309</v>
      </c>
      <c r="AE496" s="27">
        <f t="shared" si="24"/>
        <v>0.31124999999999992</v>
      </c>
      <c r="AF496" s="27">
        <f t="shared" si="25"/>
        <v>0.31970833333333326</v>
      </c>
      <c r="AG496" s="27">
        <f t="shared" si="26"/>
        <v>0.31817045454545445</v>
      </c>
    </row>
    <row r="497" spans="1:33" x14ac:dyDescent="0.25">
      <c r="A497" s="9">
        <v>44204</v>
      </c>
      <c r="B497" s="3"/>
      <c r="C497" s="3"/>
      <c r="D497" s="3"/>
      <c r="E497" s="3"/>
      <c r="F497" s="3"/>
      <c r="G497" s="3"/>
      <c r="H497" s="3"/>
      <c r="I497" s="3"/>
      <c r="J497" s="23">
        <v>44204</v>
      </c>
      <c r="K497" s="24">
        <v>23.916666666666668</v>
      </c>
      <c r="L497" s="24">
        <v>90.470833333333346</v>
      </c>
      <c r="M497" s="24">
        <v>-2.9520833333333347</v>
      </c>
      <c r="N497" s="24">
        <v>0</v>
      </c>
      <c r="O497" s="24">
        <v>219.04166666666666</v>
      </c>
      <c r="P497" s="24">
        <v>4.604166666666667</v>
      </c>
      <c r="Q497" s="24">
        <v>6.25E-2</v>
      </c>
      <c r="R497" s="24">
        <v>-4.3000000000000007</v>
      </c>
      <c r="S497" s="10">
        <v>4.7151724524248657E-2</v>
      </c>
      <c r="T497" s="25">
        <v>0.22860416666666647</v>
      </c>
      <c r="U497" s="25">
        <v>0.29304166666666653</v>
      </c>
      <c r="V497" s="25">
        <v>0.36597916666666652</v>
      </c>
      <c r="W497" s="25">
        <v>0.38000000000000034</v>
      </c>
      <c r="X497" s="25">
        <v>0.38949999999999968</v>
      </c>
      <c r="Y497" s="25">
        <v>0.30064583333333367</v>
      </c>
      <c r="Z497" s="25">
        <v>0.30672916666666655</v>
      </c>
      <c r="AA497" s="25">
        <v>0.26299999999999996</v>
      </c>
      <c r="AB497" s="25">
        <v>0.22233333333333338</v>
      </c>
      <c r="AC497" s="25">
        <v>0.18381250000000005</v>
      </c>
      <c r="AD497" s="25">
        <v>0.26374999999999982</v>
      </c>
      <c r="AE497" s="27">
        <f t="shared" si="24"/>
        <v>0.30905208333333306</v>
      </c>
      <c r="AF497" s="27">
        <f t="shared" si="25"/>
        <v>0.31823263888888892</v>
      </c>
      <c r="AG497" s="27">
        <f t="shared" si="26"/>
        <v>0.31656344696969696</v>
      </c>
    </row>
    <row r="498" spans="1:33" x14ac:dyDescent="0.25">
      <c r="A498" s="9">
        <v>44205</v>
      </c>
      <c r="B498" s="3"/>
      <c r="C498" s="3"/>
      <c r="D498" s="3"/>
      <c r="E498" s="3"/>
      <c r="F498" s="3"/>
      <c r="G498" s="3"/>
      <c r="H498" s="3"/>
      <c r="I498" s="3"/>
      <c r="J498" s="23">
        <v>44205</v>
      </c>
      <c r="K498" s="24">
        <v>54.25</v>
      </c>
      <c r="L498" s="24">
        <v>78.566666666666663</v>
      </c>
      <c r="M498" s="24">
        <v>-1.5770833333333336</v>
      </c>
      <c r="N498" s="24">
        <v>0.2</v>
      </c>
      <c r="O498" s="24">
        <v>233.75</v>
      </c>
      <c r="P498" s="24">
        <v>3.9583333333333335</v>
      </c>
      <c r="Q498" s="24">
        <v>2.0833333333333332E-2</v>
      </c>
      <c r="R498" s="24">
        <v>-4.9291666666666663</v>
      </c>
      <c r="S498" s="10">
        <v>0.12209767764246758</v>
      </c>
      <c r="T498" s="25">
        <v>0.22852083333333309</v>
      </c>
      <c r="U498" s="25">
        <v>0.29175000000000001</v>
      </c>
      <c r="V498" s="25">
        <v>0.36420833333333374</v>
      </c>
      <c r="W498" s="25">
        <v>0.37829166666666664</v>
      </c>
      <c r="X498" s="25">
        <v>0.38887500000000008</v>
      </c>
      <c r="Y498" s="25">
        <v>0.29960416666666673</v>
      </c>
      <c r="Z498" s="25">
        <v>0.30535416666666648</v>
      </c>
      <c r="AA498" s="25">
        <v>0.26210416666666697</v>
      </c>
      <c r="AB498" s="25">
        <v>0.22090000000000015</v>
      </c>
      <c r="AC498" s="25">
        <v>0.1806521739130435</v>
      </c>
      <c r="AD498" s="25">
        <v>0.26464583333333341</v>
      </c>
      <c r="AE498" s="27">
        <f t="shared" si="24"/>
        <v>0.30869791666666657</v>
      </c>
      <c r="AF498" s="27">
        <f t="shared" si="25"/>
        <v>0.31688541666666675</v>
      </c>
      <c r="AG498" s="27">
        <f t="shared" si="26"/>
        <v>0.31539678030303031</v>
      </c>
    </row>
    <row r="499" spans="1:33" x14ac:dyDescent="0.25">
      <c r="A499" s="9">
        <v>44206</v>
      </c>
      <c r="B499" s="3"/>
      <c r="C499" s="3"/>
      <c r="D499" s="3"/>
      <c r="E499" s="3"/>
      <c r="F499" s="3"/>
      <c r="G499" s="3"/>
      <c r="H499" s="3"/>
      <c r="I499" s="3"/>
      <c r="J499" s="23">
        <v>44206</v>
      </c>
      <c r="K499" s="24">
        <v>33.604166666666664</v>
      </c>
      <c r="L499" s="24">
        <v>75.177083333333329</v>
      </c>
      <c r="M499" s="24">
        <v>-1.1937499999999996</v>
      </c>
      <c r="N499" s="24">
        <v>0</v>
      </c>
      <c r="O499" s="24">
        <v>199.4375</v>
      </c>
      <c r="P499" s="24">
        <v>4.020833333333333</v>
      </c>
      <c r="Q499" s="24">
        <v>0</v>
      </c>
      <c r="R499" s="24">
        <v>-5.0687500000000005</v>
      </c>
      <c r="S499" s="10">
        <v>0.14028227452256437</v>
      </c>
      <c r="T499" s="25">
        <v>0.2288958333333331</v>
      </c>
      <c r="U499" s="25">
        <v>0.29125000000000023</v>
      </c>
      <c r="V499" s="25">
        <v>0.36347916666666641</v>
      </c>
      <c r="W499" s="25">
        <v>0.37702083333333342</v>
      </c>
      <c r="X499" s="25">
        <v>0.38899999999999985</v>
      </c>
      <c r="Y499" s="25">
        <v>0.29960416666666673</v>
      </c>
      <c r="Z499" s="25">
        <v>0.30499999999999983</v>
      </c>
      <c r="AA499" s="25">
        <v>0.26139583333333311</v>
      </c>
      <c r="AB499" s="25">
        <v>0.21875000000000003</v>
      </c>
      <c r="AC499" s="25">
        <v>0.17587179487179494</v>
      </c>
      <c r="AD499" s="25">
        <v>0.26472916666666674</v>
      </c>
      <c r="AE499" s="27">
        <f t="shared" si="24"/>
        <v>0.30894791666666649</v>
      </c>
      <c r="AF499" s="27">
        <f t="shared" si="25"/>
        <v>0.31629166666666658</v>
      </c>
      <c r="AG499" s="27">
        <f t="shared" si="26"/>
        <v>0.3149564393939393</v>
      </c>
    </row>
    <row r="500" spans="1:33" x14ac:dyDescent="0.25">
      <c r="A500" s="9">
        <v>44207</v>
      </c>
      <c r="B500" s="3"/>
      <c r="C500" s="3"/>
      <c r="D500" s="3"/>
      <c r="E500" s="3"/>
      <c r="F500" s="3"/>
      <c r="G500" s="3"/>
      <c r="H500" s="3"/>
      <c r="I500" s="3"/>
      <c r="J500" s="23">
        <v>44207</v>
      </c>
      <c r="K500" s="24">
        <v>35.25</v>
      </c>
      <c r="L500" s="24">
        <v>80.558333333333323</v>
      </c>
      <c r="M500" s="24">
        <v>-1.252083333333333</v>
      </c>
      <c r="N500" s="24">
        <v>0.4</v>
      </c>
      <c r="O500" s="24">
        <v>202.27083333333334</v>
      </c>
      <c r="P500" s="24">
        <v>4.479166666666667</v>
      </c>
      <c r="Q500" s="24">
        <v>0</v>
      </c>
      <c r="R500" s="24">
        <v>-4.2250000000000005</v>
      </c>
      <c r="S500" s="10">
        <v>0.11102442650166555</v>
      </c>
      <c r="T500" s="25">
        <v>0.22858333333333311</v>
      </c>
      <c r="U500" s="25">
        <v>0.29041666666666638</v>
      </c>
      <c r="V500" s="25">
        <v>0.36270833333333313</v>
      </c>
      <c r="W500" s="25">
        <v>0.37610416666666663</v>
      </c>
      <c r="X500" s="25">
        <v>0.3885416666666664</v>
      </c>
      <c r="Y500" s="25">
        <v>0.29881249999999998</v>
      </c>
      <c r="Z500" s="25">
        <v>0.3046875</v>
      </c>
      <c r="AA500" s="25">
        <v>0.26099999999999979</v>
      </c>
      <c r="AB500" s="25">
        <v>0.21714634146341455</v>
      </c>
      <c r="AC500" s="25">
        <v>0.17256666666666665</v>
      </c>
      <c r="AD500" s="25">
        <v>0.2642500000000001</v>
      </c>
      <c r="AE500" s="27">
        <f t="shared" si="24"/>
        <v>0.30856249999999974</v>
      </c>
      <c r="AF500" s="27">
        <f t="shared" si="25"/>
        <v>0.31562152777777763</v>
      </c>
      <c r="AG500" s="27">
        <f t="shared" si="26"/>
        <v>0.31433806818181798</v>
      </c>
    </row>
    <row r="501" spans="1:33" x14ac:dyDescent="0.25">
      <c r="A501" s="9">
        <v>44208</v>
      </c>
      <c r="B501" s="3"/>
      <c r="C501" s="3"/>
      <c r="D501" s="3"/>
      <c r="E501" s="3"/>
      <c r="F501" s="3"/>
      <c r="G501" s="3"/>
      <c r="H501" s="3"/>
      <c r="I501" s="3"/>
      <c r="J501" s="23">
        <v>44208</v>
      </c>
      <c r="K501" s="24">
        <v>129.02083333333334</v>
      </c>
      <c r="L501" s="24">
        <v>52.79583333333332</v>
      </c>
      <c r="M501" s="24">
        <v>3.2166666666666672</v>
      </c>
      <c r="N501" s="24">
        <v>0</v>
      </c>
      <c r="O501" s="24">
        <v>162.33333333333334</v>
      </c>
      <c r="P501" s="24">
        <v>6.1875</v>
      </c>
      <c r="Q501" s="24">
        <v>0.70833333333333337</v>
      </c>
      <c r="R501" s="24">
        <v>-6.887500000000002</v>
      </c>
      <c r="S501" s="10">
        <v>0.42675090022809731</v>
      </c>
      <c r="T501" s="25">
        <v>0.23006250000000014</v>
      </c>
      <c r="U501" s="25">
        <v>0.2907708333333332</v>
      </c>
      <c r="V501" s="25">
        <v>0.36237500000000006</v>
      </c>
      <c r="W501" s="25">
        <v>0.37520833333333331</v>
      </c>
      <c r="X501" s="25">
        <v>0.39122916666666691</v>
      </c>
      <c r="Y501" s="25">
        <v>0.29879166666666673</v>
      </c>
      <c r="Z501" s="25">
        <v>0.30414583333333345</v>
      </c>
      <c r="AA501" s="25">
        <v>0.26099999999999979</v>
      </c>
      <c r="AB501" s="25">
        <v>0.21740425531914889</v>
      </c>
      <c r="AC501" s="25">
        <v>0.16718518518518521</v>
      </c>
      <c r="AD501" s="25">
        <v>0.26652083333333343</v>
      </c>
      <c r="AE501" s="27">
        <f t="shared" si="24"/>
        <v>0.31064583333333351</v>
      </c>
      <c r="AF501" s="27">
        <f t="shared" si="25"/>
        <v>0.3153819444444444</v>
      </c>
      <c r="AG501" s="27">
        <f t="shared" si="26"/>
        <v>0.31452083333333331</v>
      </c>
    </row>
    <row r="502" spans="1:33" x14ac:dyDescent="0.25">
      <c r="A502" s="9">
        <v>44209</v>
      </c>
      <c r="B502" s="3"/>
      <c r="C502" s="3"/>
      <c r="D502" s="3"/>
      <c r="E502" s="3"/>
      <c r="F502" s="3"/>
      <c r="G502" s="3"/>
      <c r="H502" s="3"/>
      <c r="I502" s="3"/>
      <c r="J502" s="23">
        <v>44209</v>
      </c>
      <c r="K502" s="24">
        <v>146.375</v>
      </c>
      <c r="L502" s="24">
        <v>50.60416666666665</v>
      </c>
      <c r="M502" s="24">
        <v>6.560416666666665</v>
      </c>
      <c r="N502" s="24">
        <v>0</v>
      </c>
      <c r="O502" s="24">
        <v>181.52083333333334</v>
      </c>
      <c r="P502" s="24">
        <v>3.9583333333333335</v>
      </c>
      <c r="Q502" s="24">
        <v>8.3333333333333329E-2</v>
      </c>
      <c r="R502" s="24">
        <v>-3.2791666666666686</v>
      </c>
      <c r="S502" s="10">
        <v>0.54395172872547282</v>
      </c>
      <c r="T502" s="25">
        <v>0.23324999999999999</v>
      </c>
      <c r="U502" s="25">
        <v>0.29414583333333338</v>
      </c>
      <c r="V502" s="25">
        <v>0.36543750000000008</v>
      </c>
      <c r="W502" s="25">
        <v>0.37595833333333317</v>
      </c>
      <c r="X502" s="25">
        <v>0.39789583333333328</v>
      </c>
      <c r="Y502" s="25">
        <v>0.30141666666666672</v>
      </c>
      <c r="Z502" s="25">
        <v>0.30518749999999978</v>
      </c>
      <c r="AA502" s="25">
        <v>0.26102083333333315</v>
      </c>
      <c r="AB502" s="25">
        <v>0.21545652173913044</v>
      </c>
      <c r="AC502" s="25">
        <v>0.1594883720930233</v>
      </c>
      <c r="AD502" s="25">
        <v>0.26739583333333344</v>
      </c>
      <c r="AE502" s="27">
        <f t="shared" si="24"/>
        <v>0.31557291666666665</v>
      </c>
      <c r="AF502" s="27">
        <f t="shared" si="25"/>
        <v>0.31719444444444433</v>
      </c>
      <c r="AG502" s="27">
        <f t="shared" si="26"/>
        <v>0.31689962121212106</v>
      </c>
    </row>
    <row r="503" spans="1:33" x14ac:dyDescent="0.25">
      <c r="A503" s="9">
        <v>44210</v>
      </c>
      <c r="B503" s="3"/>
      <c r="C503" s="3"/>
      <c r="D503" s="3"/>
      <c r="E503" s="3"/>
      <c r="F503" s="3"/>
      <c r="G503" s="3"/>
      <c r="H503" s="3"/>
      <c r="I503" s="3"/>
      <c r="J503" s="23">
        <v>44210</v>
      </c>
      <c r="K503" s="24">
        <v>146.375</v>
      </c>
      <c r="L503" s="24">
        <v>56.26874999999999</v>
      </c>
      <c r="M503" s="24">
        <v>7.770833333333333</v>
      </c>
      <c r="N503" s="24">
        <v>0</v>
      </c>
      <c r="O503" s="24">
        <v>142.8125</v>
      </c>
      <c r="P503" s="24">
        <v>2.75</v>
      </c>
      <c r="Q503" s="24">
        <v>2.0833333333333332E-2</v>
      </c>
      <c r="R503" s="24">
        <v>-0.82500000000000029</v>
      </c>
      <c r="S503" s="10">
        <v>0.54148254646061955</v>
      </c>
      <c r="T503" s="25">
        <v>0.23645833333333333</v>
      </c>
      <c r="U503" s="25">
        <v>0.29812500000000008</v>
      </c>
      <c r="V503" s="25">
        <v>0.36949999999999988</v>
      </c>
      <c r="W503" s="25">
        <v>0.37839583333333332</v>
      </c>
      <c r="X503" s="25">
        <v>0.40514583333333337</v>
      </c>
      <c r="Y503" s="25">
        <v>0.30549999999999988</v>
      </c>
      <c r="Z503" s="25">
        <v>0.30795833333333317</v>
      </c>
      <c r="AA503" s="25">
        <v>0.26235416666666678</v>
      </c>
      <c r="AB503" s="25">
        <v>0.21068888888888895</v>
      </c>
      <c r="AC503" s="25">
        <v>0.15118604651162795</v>
      </c>
      <c r="AD503" s="25">
        <v>0.26633333333333342</v>
      </c>
      <c r="AE503" s="27">
        <f t="shared" si="24"/>
        <v>0.32080208333333338</v>
      </c>
      <c r="AF503" s="27">
        <f t="shared" si="25"/>
        <v>0.32030555555555545</v>
      </c>
      <c r="AG503" s="27">
        <f t="shared" si="26"/>
        <v>0.32039583333333327</v>
      </c>
    </row>
    <row r="504" spans="1:33" x14ac:dyDescent="0.25">
      <c r="A504" s="9">
        <v>44211</v>
      </c>
      <c r="B504" s="3"/>
      <c r="C504" s="3"/>
      <c r="D504" s="3"/>
      <c r="E504" s="3"/>
      <c r="F504" s="3"/>
      <c r="G504" s="3"/>
      <c r="H504" s="3"/>
      <c r="I504" s="3"/>
      <c r="J504" s="23">
        <v>44211</v>
      </c>
      <c r="K504" s="24">
        <v>143.04166666666666</v>
      </c>
      <c r="L504" s="24">
        <v>61.687499999999979</v>
      </c>
      <c r="M504" s="24">
        <v>10.316666666666672</v>
      </c>
      <c r="N504" s="24">
        <v>0</v>
      </c>
      <c r="O504" s="24">
        <v>190.91666666666666</v>
      </c>
      <c r="P504" s="24">
        <v>3.7083333333333335</v>
      </c>
      <c r="Q504" s="24">
        <v>0.3125</v>
      </c>
      <c r="R504" s="24">
        <v>2.9354166666666672</v>
      </c>
      <c r="S504" s="10">
        <v>0.56394200842651609</v>
      </c>
      <c r="T504" s="25">
        <v>0.23883333333333337</v>
      </c>
      <c r="U504" s="25">
        <v>0.30166666666666681</v>
      </c>
      <c r="V504" s="25">
        <v>0.37377083333333316</v>
      </c>
      <c r="W504" s="25">
        <v>0.38110416666666685</v>
      </c>
      <c r="X504" s="25">
        <v>0.41079166666666689</v>
      </c>
      <c r="Y504" s="25">
        <v>0.30883333333333324</v>
      </c>
      <c r="Z504" s="25">
        <v>0.3101458333333334</v>
      </c>
      <c r="AA504" s="25">
        <v>0.26352083333333315</v>
      </c>
      <c r="AB504" s="25">
        <v>0.20478048780487806</v>
      </c>
      <c r="AC504" s="25">
        <v>0.14390697674418609</v>
      </c>
      <c r="AD504" s="25">
        <v>0.2642916666666667</v>
      </c>
      <c r="AE504" s="27">
        <f t="shared" si="24"/>
        <v>0.32481250000000012</v>
      </c>
      <c r="AF504" s="27">
        <f t="shared" si="25"/>
        <v>0.32317361111111109</v>
      </c>
      <c r="AG504" s="27">
        <f t="shared" si="26"/>
        <v>0.32347159090909089</v>
      </c>
    </row>
    <row r="505" spans="1:33" x14ac:dyDescent="0.25">
      <c r="A505" s="9">
        <v>44212</v>
      </c>
      <c r="B505" s="3"/>
      <c r="C505" s="3"/>
      <c r="D505" s="3"/>
      <c r="E505" s="3"/>
      <c r="F505" s="3"/>
      <c r="G505" s="3"/>
      <c r="H505" s="3"/>
      <c r="I505" s="3"/>
      <c r="J505" s="23">
        <v>44212</v>
      </c>
      <c r="K505" s="24">
        <v>7.916666666666667</v>
      </c>
      <c r="L505" s="24">
        <v>86.16249999999998</v>
      </c>
      <c r="M505" s="24">
        <v>6.3562499999999984</v>
      </c>
      <c r="N505" s="24">
        <v>4.0000000000000009</v>
      </c>
      <c r="O505" s="24">
        <v>187.83333333333334</v>
      </c>
      <c r="P505" s="24">
        <v>5.020833333333333</v>
      </c>
      <c r="Q505" s="24">
        <v>0.16666666666666666</v>
      </c>
      <c r="R505" s="24">
        <v>4.0750000000000002</v>
      </c>
      <c r="S505" s="10">
        <v>0.14896417084695762</v>
      </c>
      <c r="T505" s="25">
        <v>0.23910416666666659</v>
      </c>
      <c r="U505" s="25">
        <v>0.3046666666666667</v>
      </c>
      <c r="V505" s="25">
        <v>0.37756250000000008</v>
      </c>
      <c r="W505" s="25">
        <v>0.38433333333333358</v>
      </c>
      <c r="X505" s="25">
        <v>0.41262500000000019</v>
      </c>
      <c r="Y505" s="25">
        <v>0.31100000000000022</v>
      </c>
      <c r="Z505" s="25">
        <v>0.31275000000000019</v>
      </c>
      <c r="AA505" s="25">
        <v>0.26460416666666675</v>
      </c>
      <c r="AB505" s="25">
        <v>0.19935416666666669</v>
      </c>
      <c r="AC505" s="25">
        <v>0.14497916666666658</v>
      </c>
      <c r="AD505" s="25">
        <v>0.26018749999999985</v>
      </c>
      <c r="AE505" s="27">
        <f t="shared" si="24"/>
        <v>0.3258645833333334</v>
      </c>
      <c r="AF505" s="27">
        <f t="shared" si="25"/>
        <v>0.32581944444444455</v>
      </c>
      <c r="AG505" s="27">
        <f t="shared" si="26"/>
        <v>0.32582765151515158</v>
      </c>
    </row>
    <row r="506" spans="1:33" x14ac:dyDescent="0.25">
      <c r="A506" s="9">
        <v>44213</v>
      </c>
      <c r="B506" s="3"/>
      <c r="C506" s="3"/>
      <c r="D506" s="3"/>
      <c r="E506" s="3"/>
      <c r="F506" s="3"/>
      <c r="G506" s="3"/>
      <c r="H506" s="3"/>
      <c r="I506" s="3"/>
      <c r="J506" s="23">
        <v>44213</v>
      </c>
      <c r="K506" s="24">
        <v>32.916666666666664</v>
      </c>
      <c r="L506" s="24">
        <v>89.00624999999998</v>
      </c>
      <c r="M506" s="24">
        <v>1.0416666666666665</v>
      </c>
      <c r="N506" s="24">
        <v>1.9</v>
      </c>
      <c r="O506" s="24">
        <v>210.08333333333334</v>
      </c>
      <c r="P506" s="24">
        <v>5</v>
      </c>
      <c r="Q506" s="24">
        <v>8.3333333333333329E-2</v>
      </c>
      <c r="R506" s="24">
        <v>-0.58125000000000004</v>
      </c>
      <c r="S506" s="10">
        <v>7.2752870018791452E-2</v>
      </c>
      <c r="T506" s="25">
        <v>0.2347708333333334</v>
      </c>
      <c r="U506" s="25">
        <v>0.30133333333333351</v>
      </c>
      <c r="V506" s="25">
        <v>0.37452083333333341</v>
      </c>
      <c r="W506" s="25">
        <v>0.38477083333333328</v>
      </c>
      <c r="X506" s="25">
        <v>0.40541666666666637</v>
      </c>
      <c r="Y506" s="25">
        <v>0.30847916666666664</v>
      </c>
      <c r="Z506" s="25">
        <v>0.31206249999999991</v>
      </c>
      <c r="AA506" s="25">
        <v>0.26504166666666679</v>
      </c>
      <c r="AB506" s="25">
        <v>0.19935416666666664</v>
      </c>
      <c r="AC506" s="25">
        <v>0.17156250000000006</v>
      </c>
      <c r="AD506" s="25">
        <v>0.26404166666666673</v>
      </c>
      <c r="AE506" s="27">
        <f t="shared" si="24"/>
        <v>0.3200937499999999</v>
      </c>
      <c r="AF506" s="27">
        <f t="shared" si="25"/>
        <v>0.32436805555555559</v>
      </c>
      <c r="AG506" s="27">
        <f t="shared" si="26"/>
        <v>0.3235909090909091</v>
      </c>
    </row>
    <row r="507" spans="1:33" x14ac:dyDescent="0.25">
      <c r="A507" s="9">
        <v>44214</v>
      </c>
      <c r="B507" s="3"/>
      <c r="C507" s="3"/>
      <c r="D507" s="3"/>
      <c r="E507" s="3"/>
      <c r="F507" s="3"/>
      <c r="G507" s="3"/>
      <c r="H507" s="3"/>
      <c r="I507" s="3"/>
      <c r="J507" s="23">
        <v>44214</v>
      </c>
      <c r="K507" s="24">
        <v>162.72916666666666</v>
      </c>
      <c r="L507" s="24">
        <v>68.591666666666669</v>
      </c>
      <c r="M507" s="24">
        <v>5.6625000000000005</v>
      </c>
      <c r="N507" s="24">
        <v>0</v>
      </c>
      <c r="O507" s="24">
        <v>231.04166666666666</v>
      </c>
      <c r="P507" s="24">
        <v>3.6875</v>
      </c>
      <c r="Q507" s="24">
        <v>0.125</v>
      </c>
      <c r="R507" s="24">
        <v>-0.51875000000000004</v>
      </c>
      <c r="S507" s="10">
        <v>0.40229180154050431</v>
      </c>
      <c r="T507" s="25">
        <v>0.23452083333333351</v>
      </c>
      <c r="U507" s="25">
        <v>0.29929166666666662</v>
      </c>
      <c r="V507" s="25">
        <v>0.37141666666666656</v>
      </c>
      <c r="W507" s="25">
        <v>0.38308333333333305</v>
      </c>
      <c r="X507" s="25">
        <v>0.40466666666666673</v>
      </c>
      <c r="Y507" s="25">
        <v>0.30645833333333333</v>
      </c>
      <c r="Z507" s="25">
        <v>0.3103125000000001</v>
      </c>
      <c r="AA507" s="25">
        <v>0.26464583333333341</v>
      </c>
      <c r="AB507" s="25">
        <v>0.20389583333333336</v>
      </c>
      <c r="AC507" s="25">
        <v>0.18128888888888892</v>
      </c>
      <c r="AD507" s="25">
        <v>0.2710833333333334</v>
      </c>
      <c r="AE507" s="27">
        <f t="shared" si="24"/>
        <v>0.31959375000000012</v>
      </c>
      <c r="AF507" s="27">
        <f t="shared" si="25"/>
        <v>0.32253472222222218</v>
      </c>
      <c r="AG507" s="27">
        <f t="shared" si="26"/>
        <v>0.32200000000000001</v>
      </c>
    </row>
    <row r="508" spans="1:33" x14ac:dyDescent="0.25">
      <c r="A508" s="9">
        <v>44215</v>
      </c>
      <c r="B508" s="3"/>
      <c r="C508" s="3"/>
      <c r="D508" s="3"/>
      <c r="E508" s="3"/>
      <c r="F508" s="3"/>
      <c r="G508" s="3"/>
      <c r="H508" s="3"/>
      <c r="I508" s="3"/>
      <c r="J508" s="23">
        <v>44215</v>
      </c>
      <c r="K508" s="24">
        <v>153.47916666666666</v>
      </c>
      <c r="L508" s="24">
        <v>64.795833333333306</v>
      </c>
      <c r="M508" s="24">
        <v>8.5395833333333346</v>
      </c>
      <c r="N508" s="24">
        <v>0</v>
      </c>
      <c r="O508" s="24">
        <v>230.27083333333334</v>
      </c>
      <c r="P508" s="24">
        <v>12.083333333333334</v>
      </c>
      <c r="Q508" s="24">
        <v>1.7083333333333333</v>
      </c>
      <c r="R508" s="24">
        <v>2.1750000000000007</v>
      </c>
      <c r="S508" s="10">
        <v>0.41976472859392172</v>
      </c>
      <c r="T508" s="25">
        <v>0.23783333333333331</v>
      </c>
      <c r="U508" s="25">
        <v>0.30235416666666665</v>
      </c>
      <c r="V508" s="25">
        <v>0.37481249999999999</v>
      </c>
      <c r="W508" s="25">
        <v>0.38379166666666692</v>
      </c>
      <c r="X508" s="25">
        <v>0.41041666666666665</v>
      </c>
      <c r="Y508" s="25">
        <v>0.3093749999999999</v>
      </c>
      <c r="Z508" s="25">
        <v>0.31118749999999989</v>
      </c>
      <c r="AA508" s="25">
        <v>0.26506250000000009</v>
      </c>
      <c r="AB508" s="25">
        <v>0.20329166666666673</v>
      </c>
      <c r="AC508" s="25">
        <v>0.17397777777777779</v>
      </c>
      <c r="AD508" s="25">
        <v>0.27106250000000004</v>
      </c>
      <c r="AE508" s="27">
        <f t="shared" si="24"/>
        <v>0.324125</v>
      </c>
      <c r="AF508" s="27">
        <f t="shared" si="25"/>
        <v>0.32443055555555561</v>
      </c>
      <c r="AG508" s="27">
        <f t="shared" si="26"/>
        <v>0.32437500000000002</v>
      </c>
    </row>
    <row r="509" spans="1:33" x14ac:dyDescent="0.25">
      <c r="A509" s="9">
        <v>44216</v>
      </c>
      <c r="B509" s="3"/>
      <c r="C509" s="3"/>
      <c r="D509" s="3"/>
      <c r="E509" s="3"/>
      <c r="F509" s="3"/>
      <c r="G509" s="3"/>
      <c r="H509" s="3"/>
      <c r="I509" s="3"/>
      <c r="J509" s="23">
        <v>44216</v>
      </c>
      <c r="K509" s="24">
        <v>38.625</v>
      </c>
      <c r="L509" s="24">
        <v>80.15000000000002</v>
      </c>
      <c r="M509" s="24">
        <v>7.1645833333333329</v>
      </c>
      <c r="N509" s="24">
        <v>0.7</v>
      </c>
      <c r="O509" s="24">
        <v>230.1875</v>
      </c>
      <c r="P509" s="24">
        <v>4.625</v>
      </c>
      <c r="Q509" s="24">
        <v>0.10416666666666667</v>
      </c>
      <c r="R509" s="24">
        <v>3.9395833333333328</v>
      </c>
      <c r="S509" s="10">
        <v>0.20679379691587149</v>
      </c>
      <c r="T509" s="25">
        <v>0.23837499999999975</v>
      </c>
      <c r="U509" s="25">
        <v>0.30450000000000005</v>
      </c>
      <c r="V509" s="25">
        <v>0.37758333333333344</v>
      </c>
      <c r="W509" s="25">
        <v>0.38549999999999957</v>
      </c>
      <c r="X509" s="25">
        <v>0.41160416666666677</v>
      </c>
      <c r="Y509" s="25">
        <v>0.31143750000000003</v>
      </c>
      <c r="Z509" s="25">
        <v>0.31293750000000026</v>
      </c>
      <c r="AA509" s="25">
        <v>0.26600000000000001</v>
      </c>
      <c r="AB509" s="25">
        <v>0.19939583333333324</v>
      </c>
      <c r="AC509" s="25">
        <v>0.16570833333333335</v>
      </c>
      <c r="AD509" s="25">
        <v>0.2669583333333333</v>
      </c>
      <c r="AE509" s="27">
        <f t="shared" si="24"/>
        <v>0.32498958333333328</v>
      </c>
      <c r="AF509" s="27">
        <f t="shared" si="25"/>
        <v>0.32632638888888893</v>
      </c>
      <c r="AG509" s="27">
        <f t="shared" si="26"/>
        <v>0.32608333333333339</v>
      </c>
    </row>
    <row r="510" spans="1:33" x14ac:dyDescent="0.25">
      <c r="A510" s="9">
        <v>44217</v>
      </c>
      <c r="B510" s="3"/>
      <c r="C510" s="3"/>
      <c r="D510" s="3"/>
      <c r="E510" s="3"/>
      <c r="F510" s="3"/>
      <c r="G510" s="3"/>
      <c r="H510" s="3"/>
      <c r="I510" s="3"/>
      <c r="J510" s="23">
        <v>44217</v>
      </c>
      <c r="K510" s="24">
        <v>31.958333333333332</v>
      </c>
      <c r="L510" s="24">
        <v>88.299999999999969</v>
      </c>
      <c r="M510" s="24">
        <v>4.8937499999999998</v>
      </c>
      <c r="N510" s="24">
        <v>4.3000000000000007</v>
      </c>
      <c r="O510" s="24">
        <v>205.72916666666666</v>
      </c>
      <c r="P510" s="24">
        <v>1.9583333333333333</v>
      </c>
      <c r="Q510" s="24">
        <v>0</v>
      </c>
      <c r="R510" s="24">
        <v>3.0874999999999999</v>
      </c>
      <c r="S510" s="10">
        <v>0.10547891798516379</v>
      </c>
      <c r="T510" s="25">
        <v>0.23760416666666659</v>
      </c>
      <c r="U510" s="25">
        <v>0.30345833333333372</v>
      </c>
      <c r="V510" s="25">
        <v>0.37647916666666653</v>
      </c>
      <c r="W510" s="25">
        <v>0.38599999999999962</v>
      </c>
      <c r="X510" s="25">
        <v>0.40850000000000003</v>
      </c>
      <c r="Y510" s="25">
        <v>0.30991666666666678</v>
      </c>
      <c r="Z510" s="25">
        <v>0.31277083333333328</v>
      </c>
      <c r="AA510" s="25">
        <v>0.26575000000000004</v>
      </c>
      <c r="AB510" s="25">
        <v>0.21072340425531919</v>
      </c>
      <c r="AC510" s="25">
        <v>0.19995833333333335</v>
      </c>
      <c r="AD510" s="25">
        <v>0.28156250000000027</v>
      </c>
      <c r="AE510" s="27">
        <f t="shared" si="24"/>
        <v>0.3230520833333333</v>
      </c>
      <c r="AF510" s="27">
        <f t="shared" si="25"/>
        <v>0.32572916666666668</v>
      </c>
      <c r="AG510" s="27">
        <f t="shared" si="26"/>
        <v>0.32524242424242422</v>
      </c>
    </row>
    <row r="511" spans="1:33" x14ac:dyDescent="0.25">
      <c r="A511" s="9">
        <v>44218</v>
      </c>
      <c r="B511" s="3"/>
      <c r="C511" s="3"/>
      <c r="D511" s="3"/>
      <c r="E511" s="3"/>
      <c r="F511" s="3"/>
      <c r="G511" s="3"/>
      <c r="H511" s="3"/>
      <c r="I511" s="3"/>
      <c r="J511" s="23">
        <v>44218</v>
      </c>
      <c r="K511" s="24">
        <v>143.125</v>
      </c>
      <c r="L511" s="24">
        <v>75.687500000000014</v>
      </c>
      <c r="M511" s="24">
        <v>8.1604166666666664</v>
      </c>
      <c r="N511" s="24">
        <v>0.2</v>
      </c>
      <c r="O511" s="24">
        <v>242.14583333333334</v>
      </c>
      <c r="P511" s="24">
        <v>2.75</v>
      </c>
      <c r="Q511" s="24">
        <v>6.25E-2</v>
      </c>
      <c r="R511" s="24">
        <v>3.504166666666666</v>
      </c>
      <c r="S511" s="10">
        <v>0.34714304898663301</v>
      </c>
      <c r="T511" s="25">
        <v>0.23941666666666669</v>
      </c>
      <c r="U511" s="25">
        <v>0.30362499999999987</v>
      </c>
      <c r="V511" s="25">
        <v>0.37606250000000013</v>
      </c>
      <c r="W511" s="25">
        <v>0.38558333333333311</v>
      </c>
      <c r="X511" s="25">
        <v>0.41079166666666667</v>
      </c>
      <c r="Y511" s="25">
        <v>0.3096666666666667</v>
      </c>
      <c r="Z511" s="25">
        <v>0.31245833333333323</v>
      </c>
      <c r="AA511" s="25">
        <v>0.26585416666666667</v>
      </c>
      <c r="AB511" s="25">
        <v>0.21456249999999999</v>
      </c>
      <c r="AC511" s="25">
        <v>0.19844680851063837</v>
      </c>
      <c r="AD511" s="25">
        <v>0.28854166666666675</v>
      </c>
      <c r="AE511" s="27">
        <f t="shared" si="24"/>
        <v>0.32510416666666669</v>
      </c>
      <c r="AF511" s="27">
        <f t="shared" si="25"/>
        <v>0.32554166666666667</v>
      </c>
      <c r="AG511" s="27">
        <f t="shared" si="26"/>
        <v>0.32546212121212126</v>
      </c>
    </row>
    <row r="512" spans="1:33" x14ac:dyDescent="0.25">
      <c r="A512" s="9">
        <v>44219</v>
      </c>
      <c r="B512" s="3"/>
      <c r="C512" s="3"/>
      <c r="D512" s="3"/>
      <c r="E512" s="3"/>
      <c r="F512" s="3"/>
      <c r="G512" s="3"/>
      <c r="H512" s="3"/>
      <c r="I512" s="3"/>
      <c r="J512" s="23">
        <v>44219</v>
      </c>
      <c r="K512" s="24">
        <v>91.291666666666671</v>
      </c>
      <c r="L512" s="24">
        <v>82.506250000000009</v>
      </c>
      <c r="M512" s="24">
        <v>8.7979166666666675</v>
      </c>
      <c r="N512" s="24">
        <v>0.2</v>
      </c>
      <c r="O512" s="24">
        <v>231.75</v>
      </c>
      <c r="P512" s="24">
        <v>10.645833333333334</v>
      </c>
      <c r="Q512" s="24">
        <v>2.1041666666666665</v>
      </c>
      <c r="R512" s="24">
        <v>5.7937499999999993</v>
      </c>
      <c r="S512" s="10">
        <v>0.24242231199481232</v>
      </c>
      <c r="T512" s="25">
        <v>0.24125000000000008</v>
      </c>
      <c r="U512" s="25">
        <v>0.30635416666666654</v>
      </c>
      <c r="V512" s="25">
        <v>0.37947916666666637</v>
      </c>
      <c r="W512" s="25">
        <v>0.38722916666666701</v>
      </c>
      <c r="X512" s="25">
        <v>0.41412500000000024</v>
      </c>
      <c r="Y512" s="25">
        <v>0.3126666666666667</v>
      </c>
      <c r="Z512" s="25">
        <v>0.314</v>
      </c>
      <c r="AA512" s="25">
        <v>0.26622916666666657</v>
      </c>
      <c r="AB512" s="25">
        <v>0.2106666666666667</v>
      </c>
      <c r="AC512" s="25">
        <v>0.18816666666666659</v>
      </c>
      <c r="AD512" s="25">
        <v>0.2845208333333335</v>
      </c>
      <c r="AE512" s="27">
        <f t="shared" si="24"/>
        <v>0.32768750000000013</v>
      </c>
      <c r="AF512" s="27">
        <f t="shared" si="25"/>
        <v>0.32765972222222217</v>
      </c>
      <c r="AG512" s="27">
        <f t="shared" si="26"/>
        <v>0.32766477272727268</v>
      </c>
    </row>
    <row r="513" spans="1:33" x14ac:dyDescent="0.25">
      <c r="A513" s="9">
        <v>44220</v>
      </c>
      <c r="B513" s="3"/>
      <c r="C513" s="3"/>
      <c r="D513" s="3"/>
      <c r="E513" s="3"/>
      <c r="F513" s="3"/>
      <c r="G513" s="3"/>
      <c r="H513" s="3"/>
      <c r="I513" s="3"/>
      <c r="J513" s="23">
        <v>44220</v>
      </c>
      <c r="K513" s="24">
        <v>60.354166666666664</v>
      </c>
      <c r="L513" s="24">
        <v>80.424999999999983</v>
      </c>
      <c r="M513" s="24">
        <v>12.741666666666667</v>
      </c>
      <c r="N513" s="24">
        <v>0</v>
      </c>
      <c r="O513" s="24">
        <v>230.1875</v>
      </c>
      <c r="P513" s="24">
        <v>17.645833333333332</v>
      </c>
      <c r="Q513" s="24">
        <v>4.541666666666667</v>
      </c>
      <c r="R513" s="24">
        <v>9.3812499999999996</v>
      </c>
      <c r="S513" s="10">
        <v>0.303253786478141</v>
      </c>
      <c r="T513" s="25">
        <v>0.24287499999999992</v>
      </c>
      <c r="U513" s="25">
        <v>0.30847916666666653</v>
      </c>
      <c r="V513" s="25">
        <v>0.38177083333333317</v>
      </c>
      <c r="W513" s="25">
        <v>0.3888749999999998</v>
      </c>
      <c r="X513" s="25">
        <v>0.41660416666666644</v>
      </c>
      <c r="Y513" s="25">
        <v>0.31395833333333339</v>
      </c>
      <c r="Z513" s="25">
        <v>0.3149583333333334</v>
      </c>
      <c r="AA513" s="25">
        <v>0.26725000000000015</v>
      </c>
      <c r="AB513" s="25">
        <v>0.20918749999999994</v>
      </c>
      <c r="AC513" s="25">
        <v>0.18014893617021274</v>
      </c>
      <c r="AD513" s="25">
        <v>0.28256249999999999</v>
      </c>
      <c r="AE513" s="27">
        <f t="shared" si="24"/>
        <v>0.3297395833333332</v>
      </c>
      <c r="AF513" s="27">
        <f t="shared" si="25"/>
        <v>0.32921527777777776</v>
      </c>
      <c r="AG513" s="27">
        <f t="shared" si="26"/>
        <v>0.32931060606060603</v>
      </c>
    </row>
    <row r="514" spans="1:33" x14ac:dyDescent="0.25">
      <c r="A514" s="9">
        <v>44221</v>
      </c>
      <c r="B514" s="3"/>
      <c r="C514" s="3"/>
      <c r="D514" s="3"/>
      <c r="E514" s="3"/>
      <c r="F514" s="3"/>
      <c r="G514" s="3"/>
      <c r="H514" s="3"/>
      <c r="I514" s="3"/>
      <c r="J514" s="23">
        <v>44221</v>
      </c>
      <c r="K514" s="24">
        <v>49.520833333333336</v>
      </c>
      <c r="L514" s="24">
        <v>76.66458333333334</v>
      </c>
      <c r="M514" s="24">
        <v>8.6854166666666668</v>
      </c>
      <c r="N514" s="24">
        <v>0</v>
      </c>
      <c r="O514" s="24">
        <v>203.27083333333334</v>
      </c>
      <c r="P514" s="24">
        <v>6.104166666666667</v>
      </c>
      <c r="Q514" s="24">
        <v>0.10416666666666667</v>
      </c>
      <c r="R514" s="24">
        <v>4.7270833333333337</v>
      </c>
      <c r="S514" s="10">
        <v>0.27113086464863428</v>
      </c>
      <c r="T514" s="25">
        <v>0.24247916666666688</v>
      </c>
      <c r="U514" s="25">
        <v>0.30964583333333301</v>
      </c>
      <c r="V514" s="25">
        <v>0.38333333333333292</v>
      </c>
      <c r="W514" s="25">
        <v>0.39066666666666644</v>
      </c>
      <c r="X514" s="25">
        <v>0.41658333333333347</v>
      </c>
      <c r="Y514" s="25">
        <v>0.31518749999999984</v>
      </c>
      <c r="Z514" s="25">
        <v>0.31597916666666698</v>
      </c>
      <c r="AA514" s="25">
        <v>0.26820833333333338</v>
      </c>
      <c r="AB514" s="25">
        <v>0.2054791666666668</v>
      </c>
      <c r="AC514" s="25">
        <v>0.17104166666666668</v>
      </c>
      <c r="AD514" s="25">
        <v>0.27685416666666662</v>
      </c>
      <c r="AE514" s="27">
        <f t="shared" si="24"/>
        <v>0.32953125000000016</v>
      </c>
      <c r="AF514" s="27">
        <f t="shared" si="25"/>
        <v>0.33050347222222209</v>
      </c>
      <c r="AG514" s="27">
        <f t="shared" si="26"/>
        <v>0.33032670454545449</v>
      </c>
    </row>
    <row r="515" spans="1:33" x14ac:dyDescent="0.25">
      <c r="A515" s="9">
        <v>44222</v>
      </c>
      <c r="B515" s="3"/>
      <c r="C515" s="3"/>
      <c r="D515" s="3"/>
      <c r="E515" s="3"/>
      <c r="F515" s="3"/>
      <c r="G515" s="3"/>
      <c r="H515" s="3"/>
      <c r="I515" s="3"/>
      <c r="J515" s="23">
        <v>44222</v>
      </c>
      <c r="K515" s="24">
        <v>18.354166666666668</v>
      </c>
      <c r="L515" s="24">
        <v>90.40000000000002</v>
      </c>
      <c r="M515" s="24">
        <v>5.7687500000000016</v>
      </c>
      <c r="N515" s="24">
        <v>1</v>
      </c>
      <c r="O515" s="24">
        <v>223.97916666666666</v>
      </c>
      <c r="P515" s="24">
        <v>3.9583333333333335</v>
      </c>
      <c r="Q515" s="24">
        <v>0</v>
      </c>
      <c r="R515" s="24">
        <v>4.3145833333333314</v>
      </c>
      <c r="S515" s="10">
        <v>8.8718215347846519E-2</v>
      </c>
      <c r="T515" s="25">
        <v>0.24000000000000021</v>
      </c>
      <c r="U515" s="25">
        <v>0.3081875</v>
      </c>
      <c r="V515" s="25">
        <v>0.38212499999999999</v>
      </c>
      <c r="W515" s="25">
        <v>0.39099999999999974</v>
      </c>
      <c r="X515" s="25">
        <v>0.41300000000000009</v>
      </c>
      <c r="Y515" s="25">
        <v>0.31395833333333345</v>
      </c>
      <c r="Z515" s="25">
        <v>0.31595833333333356</v>
      </c>
      <c r="AA515" s="25">
        <v>0.26858333333333351</v>
      </c>
      <c r="AB515" s="25">
        <v>0.20131249999999992</v>
      </c>
      <c r="AC515" s="25">
        <v>0.1647708333333332</v>
      </c>
      <c r="AD515" s="25">
        <v>0.27143750000000028</v>
      </c>
      <c r="AE515" s="27">
        <f t="shared" si="24"/>
        <v>0.32650000000000012</v>
      </c>
      <c r="AF515" s="27">
        <f t="shared" si="25"/>
        <v>0.32996874999999998</v>
      </c>
      <c r="AG515" s="27">
        <f t="shared" si="26"/>
        <v>0.32933806818181816</v>
      </c>
    </row>
    <row r="516" spans="1:33" x14ac:dyDescent="0.25">
      <c r="A516" s="9">
        <v>44223</v>
      </c>
      <c r="B516" s="3"/>
      <c r="C516" s="3"/>
      <c r="D516" s="3"/>
      <c r="E516" s="3"/>
      <c r="F516" s="3"/>
      <c r="G516" s="3"/>
      <c r="H516" s="3"/>
      <c r="I516" s="3"/>
      <c r="J516" s="23">
        <v>44223</v>
      </c>
      <c r="K516" s="24">
        <v>25.9375</v>
      </c>
      <c r="L516" s="24">
        <v>94.512499999999989</v>
      </c>
      <c r="M516" s="24">
        <v>4.1499999999999977</v>
      </c>
      <c r="N516" s="24">
        <v>1.9999999999999998</v>
      </c>
      <c r="O516" s="24">
        <v>191.47916666666666</v>
      </c>
      <c r="P516" s="24">
        <v>3.9583333333333335</v>
      </c>
      <c r="Q516" s="24">
        <v>4.1666666666666664E-2</v>
      </c>
      <c r="R516" s="24">
        <v>3.3437500000000004</v>
      </c>
      <c r="S516" s="10">
        <v>4.5107190898813036E-2</v>
      </c>
      <c r="T516" s="25">
        <v>0.23889583333333339</v>
      </c>
      <c r="U516" s="25">
        <v>0.30641666666666634</v>
      </c>
      <c r="V516" s="25">
        <v>0.38020833333333376</v>
      </c>
      <c r="W516" s="25">
        <v>0.39020833333333355</v>
      </c>
      <c r="X516" s="25">
        <v>0.40999999999999992</v>
      </c>
      <c r="Y516" s="25">
        <v>0.31124999999999992</v>
      </c>
      <c r="Z516" s="25">
        <v>0.31497916666666653</v>
      </c>
      <c r="AA516" s="25">
        <v>0.26725000000000004</v>
      </c>
      <c r="AB516" s="25">
        <v>0.20535416666666675</v>
      </c>
      <c r="AC516" s="25">
        <v>0.17041666666666658</v>
      </c>
      <c r="AD516" s="25">
        <v>0.27543749999999978</v>
      </c>
      <c r="AE516" s="27">
        <f t="shared" si="24"/>
        <v>0.32444791666666667</v>
      </c>
      <c r="AF516" s="27">
        <f t="shared" si="25"/>
        <v>0.32838541666666665</v>
      </c>
      <c r="AG516" s="27">
        <f t="shared" si="26"/>
        <v>0.32766950757575758</v>
      </c>
    </row>
    <row r="517" spans="1:33" x14ac:dyDescent="0.25">
      <c r="A517" s="9">
        <v>44224</v>
      </c>
      <c r="B517" s="3"/>
      <c r="C517" s="3"/>
      <c r="D517" s="3"/>
      <c r="E517" s="3"/>
      <c r="F517" s="3"/>
      <c r="G517" s="3"/>
      <c r="H517" s="3"/>
      <c r="I517" s="3"/>
      <c r="J517" s="23">
        <v>44224</v>
      </c>
      <c r="K517" s="24">
        <v>44.5625</v>
      </c>
      <c r="L517" s="24">
        <v>79.791666666666671</v>
      </c>
      <c r="M517" s="24">
        <v>4.8874999999999993</v>
      </c>
      <c r="N517" s="24">
        <v>0</v>
      </c>
      <c r="O517" s="24">
        <v>220.70833333333334</v>
      </c>
      <c r="P517" s="24">
        <v>2.5625</v>
      </c>
      <c r="Q517" s="24">
        <v>0</v>
      </c>
      <c r="R517" s="24">
        <v>1.6624999999999999</v>
      </c>
      <c r="S517" s="10">
        <v>0.17910505790136741</v>
      </c>
      <c r="T517" s="25">
        <v>0.23752083333333321</v>
      </c>
      <c r="U517" s="25">
        <v>0.30483333333333323</v>
      </c>
      <c r="V517" s="25">
        <v>0.37822916666666678</v>
      </c>
      <c r="W517" s="25">
        <v>0.38900000000000001</v>
      </c>
      <c r="X517" s="25">
        <v>0.40729166666666689</v>
      </c>
      <c r="Y517" s="25">
        <v>0.31060416666666674</v>
      </c>
      <c r="Z517" s="25">
        <v>0.31402083333333336</v>
      </c>
      <c r="AA517" s="25">
        <v>0.26704166666666657</v>
      </c>
      <c r="AB517" s="25">
        <v>0.20693750000000011</v>
      </c>
      <c r="AC517" s="25">
        <v>0.17247916666666666</v>
      </c>
      <c r="AD517" s="25">
        <v>0.27608333333333318</v>
      </c>
      <c r="AE517" s="27">
        <f t="shared" si="24"/>
        <v>0.32240625000000006</v>
      </c>
      <c r="AF517" s="27">
        <f t="shared" si="25"/>
        <v>0.32728819444444446</v>
      </c>
      <c r="AG517" s="27">
        <f t="shared" si="26"/>
        <v>0.32640056818181817</v>
      </c>
    </row>
    <row r="518" spans="1:33" x14ac:dyDescent="0.25">
      <c r="A518" s="9">
        <v>44225</v>
      </c>
      <c r="B518" s="3"/>
      <c r="C518" s="3"/>
      <c r="D518" s="3"/>
      <c r="E518" s="3"/>
      <c r="F518" s="3"/>
      <c r="G518" s="3"/>
      <c r="H518" s="3"/>
      <c r="I518" s="3"/>
      <c r="J518" s="23">
        <v>44225</v>
      </c>
      <c r="K518" s="24">
        <v>19.25</v>
      </c>
      <c r="L518" s="24">
        <v>90.24375000000002</v>
      </c>
      <c r="M518" s="24">
        <v>4.9479166666666652</v>
      </c>
      <c r="N518" s="24">
        <v>2.2999999999999998</v>
      </c>
      <c r="O518" s="24">
        <v>214.0625</v>
      </c>
      <c r="P518" s="24">
        <v>5.395833333333333</v>
      </c>
      <c r="Q518" s="24">
        <v>0.25</v>
      </c>
      <c r="R518" s="24">
        <v>3.4562500000000003</v>
      </c>
      <c r="S518" s="10">
        <v>8.531526783443065E-2</v>
      </c>
      <c r="T518" s="25">
        <v>0.23791666666666653</v>
      </c>
      <c r="U518" s="25">
        <v>0.30437500000000012</v>
      </c>
      <c r="V518" s="25">
        <v>0.37747916666666681</v>
      </c>
      <c r="W518" s="25">
        <v>0.38800000000000018</v>
      </c>
      <c r="X518" s="25">
        <v>0.40645833333333337</v>
      </c>
      <c r="Y518" s="25">
        <v>0.30991666666666656</v>
      </c>
      <c r="Z518" s="25">
        <v>0.3137916666666668</v>
      </c>
      <c r="AA518" s="25">
        <v>0.26639583333333328</v>
      </c>
      <c r="AB518" s="25">
        <v>0.20706249999999995</v>
      </c>
      <c r="AC518" s="25">
        <v>0.17102083333333337</v>
      </c>
      <c r="AD518" s="25">
        <v>0.27454166666666679</v>
      </c>
      <c r="AE518" s="27">
        <f t="shared" ref="AE518:AE581" si="28">AVERAGE(T518,X518)</f>
        <v>0.32218749999999996</v>
      </c>
      <c r="AF518" s="27">
        <f t="shared" ref="AF518:AF581" si="29">AVERAGE(U518:W518,Y518:AA518)</f>
        <v>0.32665972222222228</v>
      </c>
      <c r="AG518" s="27">
        <f t="shared" ref="AG518:AG581" si="30">(AE518*10+AF518*45)/55</f>
        <v>0.32584659090909096</v>
      </c>
    </row>
    <row r="519" spans="1:33" x14ac:dyDescent="0.25">
      <c r="A519" s="9">
        <v>44226</v>
      </c>
      <c r="B519" s="3"/>
      <c r="C519" s="3"/>
      <c r="D519" s="3"/>
      <c r="E519" s="3"/>
      <c r="F519" s="3"/>
      <c r="G519" s="3"/>
      <c r="H519" s="3"/>
      <c r="I519" s="3"/>
      <c r="J519" s="23">
        <v>44226</v>
      </c>
      <c r="K519" s="24">
        <v>34.5625</v>
      </c>
      <c r="L519" s="24">
        <v>91.820833333333326</v>
      </c>
      <c r="M519" s="24">
        <v>4.831249999999998</v>
      </c>
      <c r="N519" s="24">
        <v>1.7999999999999998</v>
      </c>
      <c r="O519" s="24">
        <v>213.375</v>
      </c>
      <c r="P519" s="24">
        <v>3.0208333333333335</v>
      </c>
      <c r="Q519" s="24">
        <v>0</v>
      </c>
      <c r="R519" s="24">
        <v>3.5916666666666663</v>
      </c>
      <c r="S519" s="10">
        <v>7.2566828771776795E-2</v>
      </c>
      <c r="T519" s="25">
        <v>0.2384166666666668</v>
      </c>
      <c r="U519" s="25">
        <v>0.30402083333333346</v>
      </c>
      <c r="V519" s="25">
        <v>0.37689583333333326</v>
      </c>
      <c r="W519" s="25">
        <v>0.38750000000000018</v>
      </c>
      <c r="X519" s="25">
        <v>0.41627083333333342</v>
      </c>
      <c r="Y519" s="25">
        <v>0.3094583333333335</v>
      </c>
      <c r="Z519" s="25">
        <v>0.31308333333333355</v>
      </c>
      <c r="AA519" s="25">
        <v>0.26600000000000001</v>
      </c>
      <c r="AB519" s="25">
        <v>0.22997916666666682</v>
      </c>
      <c r="AC519" s="25">
        <v>0.21025000000000005</v>
      </c>
      <c r="AD519" s="25">
        <v>0.30181249999999976</v>
      </c>
      <c r="AE519" s="27">
        <f t="shared" si="28"/>
        <v>0.3273437500000001</v>
      </c>
      <c r="AF519" s="27">
        <f t="shared" si="29"/>
        <v>0.32615972222222234</v>
      </c>
      <c r="AG519" s="27">
        <f t="shared" si="30"/>
        <v>0.32637500000000008</v>
      </c>
    </row>
    <row r="520" spans="1:33" x14ac:dyDescent="0.25">
      <c r="A520" s="9">
        <v>44227</v>
      </c>
      <c r="B520" s="3"/>
      <c r="C520" s="3"/>
      <c r="D520" s="3"/>
      <c r="E520" s="3"/>
      <c r="F520" s="3"/>
      <c r="G520" s="3"/>
      <c r="H520" s="3"/>
      <c r="I520" s="3"/>
      <c r="J520" s="23">
        <v>44227</v>
      </c>
      <c r="K520" s="24">
        <v>15.708333333333334</v>
      </c>
      <c r="L520" s="24">
        <v>96.424999999999997</v>
      </c>
      <c r="M520" s="24">
        <v>5.025000000000003</v>
      </c>
      <c r="N520" s="24">
        <v>3.4000000000000008</v>
      </c>
      <c r="O520" s="24">
        <v>241.54166666666666</v>
      </c>
      <c r="P520" s="24">
        <v>1.7916666666666667</v>
      </c>
      <c r="Q520" s="24">
        <v>0</v>
      </c>
      <c r="R520" s="24">
        <v>4.4937500000000012</v>
      </c>
      <c r="S520" s="10">
        <v>3.1224922734034894E-2</v>
      </c>
      <c r="T520" s="25">
        <v>0.23906250000000015</v>
      </c>
      <c r="U520" s="25">
        <v>0.30408333333333343</v>
      </c>
      <c r="V520" s="25">
        <v>0.3768333333333333</v>
      </c>
      <c r="W520" s="25">
        <v>0.38718750000000024</v>
      </c>
      <c r="X520" s="25">
        <v>0.42479166666666651</v>
      </c>
      <c r="Y520" s="25">
        <v>0.30906249999999974</v>
      </c>
      <c r="Z520" s="25">
        <v>0.31300000000000022</v>
      </c>
      <c r="AA520" s="25">
        <v>0.26560416666666681</v>
      </c>
      <c r="AB520" s="25">
        <v>0.24306249999999996</v>
      </c>
      <c r="AC520" s="25">
        <v>0.22377083333333339</v>
      </c>
      <c r="AD520" s="25">
        <v>0.3306041666666667</v>
      </c>
      <c r="AE520" s="27">
        <f t="shared" si="28"/>
        <v>0.33192708333333332</v>
      </c>
      <c r="AF520" s="27">
        <f t="shared" si="29"/>
        <v>0.32596180555555565</v>
      </c>
      <c r="AG520" s="27">
        <f t="shared" si="30"/>
        <v>0.32704640151515157</v>
      </c>
    </row>
    <row r="521" spans="1:33" x14ac:dyDescent="0.25">
      <c r="A521" s="9">
        <v>44228</v>
      </c>
      <c r="B521" s="3"/>
      <c r="C521" s="3"/>
      <c r="D521" s="3"/>
      <c r="E521" s="3"/>
      <c r="F521" s="3"/>
      <c r="G521" s="3"/>
      <c r="H521" s="3"/>
      <c r="I521" s="3"/>
      <c r="J521" s="23">
        <v>44228</v>
      </c>
      <c r="K521" s="24">
        <v>54.458333333333336</v>
      </c>
      <c r="L521" s="24">
        <v>90.733333333333334</v>
      </c>
      <c r="M521" s="24">
        <v>7.2041666666666657</v>
      </c>
      <c r="N521" s="24">
        <v>1</v>
      </c>
      <c r="O521" s="24">
        <v>215.52083333333334</v>
      </c>
      <c r="P521" s="24">
        <v>3.1041666666666665</v>
      </c>
      <c r="Q521" s="24">
        <v>2.0833333333333332E-2</v>
      </c>
      <c r="R521" s="24">
        <v>5.7291666666666652</v>
      </c>
      <c r="S521" s="10">
        <v>0.10597389224419247</v>
      </c>
      <c r="T521" s="25">
        <v>0.24116666666666675</v>
      </c>
      <c r="U521" s="25">
        <v>0.30433333333333329</v>
      </c>
      <c r="V521" s="25">
        <v>0.37681249999999994</v>
      </c>
      <c r="W521" s="25">
        <v>0.38700000000000029</v>
      </c>
      <c r="X521" s="25">
        <v>0.43802083333333358</v>
      </c>
      <c r="Y521" s="25">
        <v>0.31195833333333339</v>
      </c>
      <c r="Z521" s="25">
        <v>0.31300000000000022</v>
      </c>
      <c r="AA521" s="25">
        <v>0.26554166666666673</v>
      </c>
      <c r="AB521" s="25">
        <v>0.26643750000000005</v>
      </c>
      <c r="AC521" s="25">
        <v>0.22933333333333339</v>
      </c>
      <c r="AD521" s="25">
        <v>0.3780624999999998</v>
      </c>
      <c r="AE521" s="27">
        <f t="shared" si="28"/>
        <v>0.33959375000000014</v>
      </c>
      <c r="AF521" s="27">
        <f t="shared" si="29"/>
        <v>0.32644097222222229</v>
      </c>
      <c r="AG521" s="27">
        <f t="shared" si="30"/>
        <v>0.32883238636363643</v>
      </c>
    </row>
    <row r="522" spans="1:33" x14ac:dyDescent="0.25">
      <c r="A522" s="9">
        <v>44229</v>
      </c>
      <c r="B522" s="3"/>
      <c r="C522" s="3"/>
      <c r="D522" s="3"/>
      <c r="E522" s="3"/>
      <c r="F522" s="3"/>
      <c r="G522" s="3"/>
      <c r="H522" s="3"/>
      <c r="I522" s="3"/>
      <c r="J522" s="23">
        <v>44229</v>
      </c>
      <c r="K522" s="24">
        <v>25.875</v>
      </c>
      <c r="L522" s="24">
        <v>95.956250000000054</v>
      </c>
      <c r="M522" s="24">
        <v>7.3645833333333321</v>
      </c>
      <c r="N522" s="24">
        <v>1.8999999999999997</v>
      </c>
      <c r="O522" s="24">
        <v>228.95833333333334</v>
      </c>
      <c r="P522" s="24">
        <v>3.3333333333333335</v>
      </c>
      <c r="Q522" s="24">
        <v>0</v>
      </c>
      <c r="R522" s="24">
        <v>6.7520833333333314</v>
      </c>
      <c r="S522" s="10">
        <v>4.1983082023375168E-2</v>
      </c>
      <c r="T522" s="25">
        <v>0.24543750000000006</v>
      </c>
      <c r="U522" s="25">
        <v>0.30624999999999997</v>
      </c>
      <c r="V522" s="25">
        <v>0.37879166666666647</v>
      </c>
      <c r="W522" s="25">
        <v>0.38770833333333354</v>
      </c>
      <c r="X522" s="25">
        <v>0.44220833333333354</v>
      </c>
      <c r="Y522" s="25">
        <v>0.31612499999999999</v>
      </c>
      <c r="Z522" s="25">
        <v>0.31379166666666669</v>
      </c>
      <c r="AA522" s="25">
        <v>0.26556249999999998</v>
      </c>
      <c r="AB522" s="25">
        <v>0.30450000000000005</v>
      </c>
      <c r="AC522" s="25">
        <v>0.22420833333333334</v>
      </c>
      <c r="AD522" s="25">
        <v>0.39024999999999976</v>
      </c>
      <c r="AE522" s="27">
        <f t="shared" si="28"/>
        <v>0.34382291666666681</v>
      </c>
      <c r="AF522" s="27">
        <f t="shared" si="29"/>
        <v>0.32803819444444443</v>
      </c>
      <c r="AG522" s="27">
        <f t="shared" si="30"/>
        <v>0.33090814393939399</v>
      </c>
    </row>
    <row r="523" spans="1:33" x14ac:dyDescent="0.25">
      <c r="A523" s="9">
        <v>44230</v>
      </c>
      <c r="B523" s="3"/>
      <c r="C523" s="3"/>
      <c r="D523" s="3"/>
      <c r="E523" s="3"/>
      <c r="F523" s="3"/>
      <c r="G523" s="3"/>
      <c r="H523" s="3"/>
      <c r="I523" s="3"/>
      <c r="J523" s="23">
        <v>44230</v>
      </c>
      <c r="K523" s="24">
        <v>30.020833333333332</v>
      </c>
      <c r="L523" s="24">
        <v>95.877083333333303</v>
      </c>
      <c r="M523" s="24">
        <v>8.1375000000000011</v>
      </c>
      <c r="N523" s="24">
        <v>0.60000000000000009</v>
      </c>
      <c r="O523" s="24">
        <v>145.5</v>
      </c>
      <c r="P523" s="24">
        <v>1.0416666666666667</v>
      </c>
      <c r="Q523" s="24">
        <v>0</v>
      </c>
      <c r="R523" s="24">
        <v>7.5187499999999998</v>
      </c>
      <c r="S523" s="10">
        <v>4.6407078105184074E-2</v>
      </c>
      <c r="T523" s="25">
        <v>0.25439583333333321</v>
      </c>
      <c r="U523" s="25">
        <v>0.30706250000000013</v>
      </c>
      <c r="V523" s="25">
        <v>0.37943749999999987</v>
      </c>
      <c r="W523" s="25">
        <v>0.38889583333333305</v>
      </c>
      <c r="X523" s="25">
        <v>0.44554166666666695</v>
      </c>
      <c r="Y523" s="25">
        <v>0.32004166666666656</v>
      </c>
      <c r="Z523" s="25">
        <v>0.314</v>
      </c>
      <c r="AA523" s="25">
        <v>0.26593749999999999</v>
      </c>
      <c r="AB523" s="25">
        <v>0.34614583333333343</v>
      </c>
      <c r="AC523" s="25">
        <v>0.22779166666666673</v>
      </c>
      <c r="AD523" s="25">
        <v>0.39945833333333319</v>
      </c>
      <c r="AE523" s="27">
        <f t="shared" si="28"/>
        <v>0.34996875000000005</v>
      </c>
      <c r="AF523" s="27">
        <f t="shared" si="29"/>
        <v>0.32922916666666663</v>
      </c>
      <c r="AG523" s="27">
        <f t="shared" si="30"/>
        <v>0.33299999999999996</v>
      </c>
    </row>
    <row r="524" spans="1:33" x14ac:dyDescent="0.25">
      <c r="A524" s="9">
        <v>44231</v>
      </c>
      <c r="B524" s="3"/>
      <c r="C524" s="3"/>
      <c r="D524" s="3"/>
      <c r="E524" s="3"/>
      <c r="F524" s="3"/>
      <c r="G524" s="3"/>
      <c r="H524" s="3"/>
      <c r="I524" s="3"/>
      <c r="J524" s="23">
        <v>44231</v>
      </c>
      <c r="K524" s="24">
        <v>58.833333333333336</v>
      </c>
      <c r="L524" s="24">
        <v>87.69583333333334</v>
      </c>
      <c r="M524" s="24">
        <v>11.745833333333332</v>
      </c>
      <c r="N524" s="24">
        <v>0.2</v>
      </c>
      <c r="O524" s="24">
        <v>236.70833333333334</v>
      </c>
      <c r="P524" s="24">
        <v>9.0833333333333339</v>
      </c>
      <c r="Q524" s="24">
        <v>1.8125</v>
      </c>
      <c r="R524" s="24">
        <v>9.6458333333333321</v>
      </c>
      <c r="S524" s="10">
        <v>0.20244115610112365</v>
      </c>
      <c r="T524" s="25">
        <v>0.26589583333333339</v>
      </c>
      <c r="U524" s="25">
        <v>0.30891666666666662</v>
      </c>
      <c r="V524" s="25">
        <v>0.38127083333333339</v>
      </c>
      <c r="W524" s="25">
        <v>0.38945833333333352</v>
      </c>
      <c r="X524" s="25">
        <v>0.4468750000000003</v>
      </c>
      <c r="Y524" s="25">
        <v>0.32320833333333338</v>
      </c>
      <c r="Z524" s="25">
        <v>0.31502083333333336</v>
      </c>
      <c r="AA524" s="25">
        <v>0.26622916666666657</v>
      </c>
      <c r="AB524" s="25">
        <v>0.3514374999999999</v>
      </c>
      <c r="AC524" s="25">
        <v>0.22097826086956526</v>
      </c>
      <c r="AD524" s="25">
        <v>0.39904166666666674</v>
      </c>
      <c r="AE524" s="27">
        <f t="shared" si="28"/>
        <v>0.35638541666666684</v>
      </c>
      <c r="AF524" s="27">
        <f t="shared" si="29"/>
        <v>0.33068402777777778</v>
      </c>
      <c r="AG524" s="27">
        <f t="shared" si="30"/>
        <v>0.33535700757575759</v>
      </c>
    </row>
    <row r="525" spans="1:33" x14ac:dyDescent="0.25">
      <c r="A525" s="9">
        <v>44232</v>
      </c>
      <c r="B525" s="3"/>
      <c r="C525" s="3"/>
      <c r="D525" s="3"/>
      <c r="E525" s="3"/>
      <c r="F525" s="3"/>
      <c r="G525" s="3"/>
      <c r="H525" s="3"/>
      <c r="I525" s="3"/>
      <c r="J525" s="23">
        <v>44232</v>
      </c>
      <c r="K525" s="24">
        <v>55.666666666666664</v>
      </c>
      <c r="L525" s="24">
        <v>79.041666666666657</v>
      </c>
      <c r="M525" s="24">
        <v>9.3312499999999989</v>
      </c>
      <c r="N525" s="24">
        <v>0</v>
      </c>
      <c r="O525" s="24">
        <v>212.85416666666666</v>
      </c>
      <c r="P525" s="24">
        <v>4.479166666666667</v>
      </c>
      <c r="Q525" s="24">
        <v>0</v>
      </c>
      <c r="R525" s="24">
        <v>5.7854166666666664</v>
      </c>
      <c r="S525" s="10">
        <v>0.25775183001847479</v>
      </c>
      <c r="T525" s="25">
        <v>0.27158333333333329</v>
      </c>
      <c r="U525" s="25">
        <v>0.31160416666666652</v>
      </c>
      <c r="V525" s="25">
        <v>0.38410416666666708</v>
      </c>
      <c r="W525" s="25">
        <v>0.39135416666666645</v>
      </c>
      <c r="X525" s="25">
        <v>0.4478541666666665</v>
      </c>
      <c r="Y525" s="25">
        <v>0.32604166666666662</v>
      </c>
      <c r="Z525" s="25">
        <v>0.31670833333333342</v>
      </c>
      <c r="AA525" s="25">
        <v>0.26741666666666691</v>
      </c>
      <c r="AB525" s="25">
        <v>0.35047916666666651</v>
      </c>
      <c r="AC525" s="25">
        <v>0.21241176470588233</v>
      </c>
      <c r="AD525" s="25">
        <v>0.39135416666666673</v>
      </c>
      <c r="AE525" s="27">
        <f t="shared" si="28"/>
        <v>0.35971874999999986</v>
      </c>
      <c r="AF525" s="27">
        <f t="shared" si="29"/>
        <v>0.33287152777777779</v>
      </c>
      <c r="AG525" s="27">
        <f t="shared" si="30"/>
        <v>0.33775284090909086</v>
      </c>
    </row>
    <row r="526" spans="1:33" x14ac:dyDescent="0.25">
      <c r="A526" s="9">
        <v>44233</v>
      </c>
      <c r="B526" s="3"/>
      <c r="C526" s="3"/>
      <c r="D526" s="3"/>
      <c r="E526" s="3"/>
      <c r="F526" s="3"/>
      <c r="G526" s="3"/>
      <c r="H526" s="3"/>
      <c r="I526" s="3"/>
      <c r="J526" s="23">
        <v>44233</v>
      </c>
      <c r="K526" s="24">
        <v>80.416666666666671</v>
      </c>
      <c r="L526" s="24">
        <v>85.681249999999991</v>
      </c>
      <c r="M526" s="24">
        <v>11.300000000000002</v>
      </c>
      <c r="N526" s="24">
        <v>0.2</v>
      </c>
      <c r="O526" s="24">
        <v>220.625</v>
      </c>
      <c r="P526" s="24">
        <v>7.145833333333333</v>
      </c>
      <c r="Q526" s="24">
        <v>0.6875</v>
      </c>
      <c r="R526" s="24">
        <v>8.8062500000000039</v>
      </c>
      <c r="S526" s="10">
        <v>0.23909507768666494</v>
      </c>
      <c r="T526" s="25">
        <v>0.27408333333333318</v>
      </c>
      <c r="U526" s="25">
        <v>0.31237500000000001</v>
      </c>
      <c r="V526" s="25">
        <v>0.38510416666666653</v>
      </c>
      <c r="W526" s="25">
        <v>0.39218749999999991</v>
      </c>
      <c r="X526" s="25">
        <v>0.44699999999999984</v>
      </c>
      <c r="Y526" s="25">
        <v>0.32631249999999978</v>
      </c>
      <c r="Z526" s="25">
        <v>0.31745833333333323</v>
      </c>
      <c r="AA526" s="25">
        <v>0.26802083333333349</v>
      </c>
      <c r="AB526" s="25">
        <v>0.34948837209302297</v>
      </c>
      <c r="AC526" s="25">
        <v>0.20521276595744692</v>
      </c>
      <c r="AD526" s="25">
        <v>0.38397916666666648</v>
      </c>
      <c r="AE526" s="27">
        <f t="shared" si="28"/>
        <v>0.36054166666666654</v>
      </c>
      <c r="AF526" s="27">
        <f t="shared" si="29"/>
        <v>0.3335763888888888</v>
      </c>
      <c r="AG526" s="27">
        <f t="shared" si="30"/>
        <v>0.33847916666666655</v>
      </c>
    </row>
    <row r="527" spans="1:33" x14ac:dyDescent="0.25">
      <c r="A527" s="9">
        <v>44234</v>
      </c>
      <c r="B527" s="3"/>
      <c r="C527" s="3"/>
      <c r="D527" s="3"/>
      <c r="E527" s="3"/>
      <c r="F527" s="3"/>
      <c r="G527" s="3"/>
      <c r="H527" s="3"/>
      <c r="I527" s="3"/>
      <c r="J527" s="23">
        <v>44234</v>
      </c>
      <c r="K527" s="24">
        <v>15.520833333333334</v>
      </c>
      <c r="L527" s="24">
        <v>90.010416666666671</v>
      </c>
      <c r="M527" s="24">
        <v>9.8458333333333332</v>
      </c>
      <c r="N527" s="24">
        <v>3.1000000000000005</v>
      </c>
      <c r="O527" s="24">
        <v>218.58333333333334</v>
      </c>
      <c r="P527" s="24">
        <v>6.125</v>
      </c>
      <c r="Q527" s="24">
        <v>0.25</v>
      </c>
      <c r="R527" s="24">
        <v>8.25</v>
      </c>
      <c r="S527" s="10">
        <v>0.12958365931203833</v>
      </c>
      <c r="T527" s="25">
        <v>0.27620833333333333</v>
      </c>
      <c r="U527" s="25">
        <v>0.31454166666666666</v>
      </c>
      <c r="V527" s="25">
        <v>0.38760416666666692</v>
      </c>
      <c r="W527" s="25">
        <v>0.39410416666666653</v>
      </c>
      <c r="X527" s="25">
        <v>0.44825000000000004</v>
      </c>
      <c r="Y527" s="25">
        <v>0.32837499999999986</v>
      </c>
      <c r="Z527" s="25">
        <v>0.31885416666666705</v>
      </c>
      <c r="AA527" s="25">
        <v>0.26879166666666687</v>
      </c>
      <c r="AB527" s="25">
        <v>0.35027083333333331</v>
      </c>
      <c r="AC527" s="25">
        <v>0.20258333333333334</v>
      </c>
      <c r="AD527" s="25">
        <v>0.37908333333333338</v>
      </c>
      <c r="AE527" s="27">
        <f t="shared" si="28"/>
        <v>0.36222916666666671</v>
      </c>
      <c r="AF527" s="27">
        <f t="shared" si="29"/>
        <v>0.33537847222222233</v>
      </c>
      <c r="AG527" s="27">
        <f t="shared" si="30"/>
        <v>0.34026041666666679</v>
      </c>
    </row>
    <row r="528" spans="1:33" x14ac:dyDescent="0.25">
      <c r="A528" s="9">
        <v>44235</v>
      </c>
      <c r="B528" s="3"/>
      <c r="C528" s="3"/>
      <c r="D528" s="3"/>
      <c r="E528" s="3"/>
      <c r="F528" s="3"/>
      <c r="G528" s="3"/>
      <c r="H528" s="3"/>
      <c r="I528" s="3"/>
      <c r="J528" s="23">
        <v>44235</v>
      </c>
      <c r="K528" s="24">
        <v>32.1875</v>
      </c>
      <c r="L528" s="24">
        <v>90.652083333333323</v>
      </c>
      <c r="M528" s="24">
        <v>7.1812500000000012</v>
      </c>
      <c r="N528" s="24">
        <v>3.3000000000000007</v>
      </c>
      <c r="O528" s="24">
        <v>229.33333333333334</v>
      </c>
      <c r="P528" s="24">
        <v>2.875</v>
      </c>
      <c r="Q528" s="24">
        <v>8.3333333333333329E-2</v>
      </c>
      <c r="R528" s="24">
        <v>5.7458333333333336</v>
      </c>
      <c r="S528" s="10">
        <v>9.5673019860401262E-2</v>
      </c>
      <c r="T528" s="25">
        <v>0.31262499999999999</v>
      </c>
      <c r="U528" s="25">
        <v>0.31495833333333345</v>
      </c>
      <c r="V528" s="25">
        <v>0.38658333333333306</v>
      </c>
      <c r="W528" s="25">
        <v>0.39491666666666631</v>
      </c>
      <c r="X528" s="25">
        <v>0.44766666666666638</v>
      </c>
      <c r="Y528" s="25">
        <v>0.32679166666666676</v>
      </c>
      <c r="Z528" s="25">
        <v>0.31900000000000039</v>
      </c>
      <c r="AA528" s="25">
        <v>0.26895833333333347</v>
      </c>
      <c r="AB528" s="25">
        <v>0.36212500000000003</v>
      </c>
      <c r="AC528" s="25">
        <v>0.23672916666666668</v>
      </c>
      <c r="AD528" s="25">
        <v>0.40425</v>
      </c>
      <c r="AE528" s="27">
        <f t="shared" si="28"/>
        <v>0.38014583333333318</v>
      </c>
      <c r="AF528" s="27">
        <f t="shared" si="29"/>
        <v>0.33520138888888895</v>
      </c>
      <c r="AG528" s="27">
        <f t="shared" si="30"/>
        <v>0.34337310606060606</v>
      </c>
    </row>
    <row r="529" spans="1:33" x14ac:dyDescent="0.25">
      <c r="A529" s="9">
        <v>44236</v>
      </c>
      <c r="B529" s="3"/>
      <c r="C529" s="3"/>
      <c r="D529" s="3"/>
      <c r="E529" s="3"/>
      <c r="F529" s="3"/>
      <c r="G529" s="3"/>
      <c r="H529" s="3"/>
      <c r="I529" s="3"/>
      <c r="J529" s="23">
        <v>44236</v>
      </c>
      <c r="K529" s="24">
        <v>35.333333333333336</v>
      </c>
      <c r="L529" s="24">
        <v>93.854166666666671</v>
      </c>
      <c r="M529" s="24">
        <v>6.7250000000000014</v>
      </c>
      <c r="N529" s="24">
        <v>7.0000000000000009</v>
      </c>
      <c r="O529" s="24">
        <v>102.9375</v>
      </c>
      <c r="P529" s="24">
        <v>1.0208333333333333</v>
      </c>
      <c r="Q529" s="24">
        <v>0</v>
      </c>
      <c r="R529" s="24">
        <v>5.7979166666666657</v>
      </c>
      <c r="S529" s="10">
        <v>6.171955070228783E-2</v>
      </c>
      <c r="T529" s="25">
        <v>0.40691666666666676</v>
      </c>
      <c r="U529" s="25">
        <v>0.33133333333333337</v>
      </c>
      <c r="V529" s="25">
        <v>0.3935833333333334</v>
      </c>
      <c r="W529" s="25">
        <v>0.39485416666666645</v>
      </c>
      <c r="X529" s="25">
        <v>0.45618750000000019</v>
      </c>
      <c r="Y529" s="25">
        <v>0.3291458333333333</v>
      </c>
      <c r="Z529" s="25">
        <v>0.31881250000000017</v>
      </c>
      <c r="AA529" s="25">
        <v>0.2686041666666667</v>
      </c>
      <c r="AB529" s="25">
        <v>0.37287500000000001</v>
      </c>
      <c r="AC529" s="25">
        <v>0.24612500000000012</v>
      </c>
      <c r="AD529" s="25">
        <v>0.42918749999999983</v>
      </c>
      <c r="AE529" s="27">
        <f t="shared" si="28"/>
        <v>0.4315520833333335</v>
      </c>
      <c r="AF529" s="27">
        <f t="shared" si="29"/>
        <v>0.33938888888888891</v>
      </c>
      <c r="AG529" s="27">
        <f t="shared" si="30"/>
        <v>0.35614583333333338</v>
      </c>
    </row>
    <row r="530" spans="1:33" x14ac:dyDescent="0.25">
      <c r="A530" s="9">
        <v>44237</v>
      </c>
      <c r="B530" s="3"/>
      <c r="C530" s="3"/>
      <c r="D530" s="3"/>
      <c r="E530" s="3"/>
      <c r="F530" s="3"/>
      <c r="G530" s="3"/>
      <c r="H530" s="3"/>
      <c r="I530" s="3"/>
      <c r="J530" s="23">
        <v>44237</v>
      </c>
      <c r="K530" s="24">
        <v>120.16666666666667</v>
      </c>
      <c r="L530" s="24">
        <v>83.783333333333317</v>
      </c>
      <c r="M530" s="24">
        <v>8.4437499999999996</v>
      </c>
      <c r="N530" s="24">
        <v>0.89999999999999991</v>
      </c>
      <c r="O530" s="24">
        <v>177.9375</v>
      </c>
      <c r="P530" s="24">
        <v>3.625</v>
      </c>
      <c r="Q530" s="24">
        <v>0.10416666666666667</v>
      </c>
      <c r="R530" s="24">
        <v>5.6562499999999991</v>
      </c>
      <c r="S530" s="10">
        <v>0.21000384111512935</v>
      </c>
      <c r="T530" s="25">
        <v>0.40443749999999973</v>
      </c>
      <c r="U530" s="25">
        <v>0.35052083333333317</v>
      </c>
      <c r="V530" s="25">
        <v>0.41510416666666655</v>
      </c>
      <c r="W530" s="25">
        <v>0.39504166666666646</v>
      </c>
      <c r="X530" s="25">
        <v>0.46004166666666674</v>
      </c>
      <c r="Y530" s="25">
        <v>0.33741666666666664</v>
      </c>
      <c r="Z530" s="25">
        <v>0.3186250000000001</v>
      </c>
      <c r="AA530" s="25">
        <v>0.26879166666666671</v>
      </c>
      <c r="AB530" s="25">
        <v>0.37102173913043479</v>
      </c>
      <c r="AC530" s="25">
        <v>0.23680000000000001</v>
      </c>
      <c r="AD530" s="25">
        <v>0.43072916666666655</v>
      </c>
      <c r="AE530" s="27">
        <f t="shared" si="28"/>
        <v>0.43223958333333323</v>
      </c>
      <c r="AF530" s="27">
        <f t="shared" si="29"/>
        <v>0.3475833333333333</v>
      </c>
      <c r="AG530" s="27">
        <f t="shared" si="30"/>
        <v>0.36297537878787872</v>
      </c>
    </row>
    <row r="531" spans="1:33" x14ac:dyDescent="0.25">
      <c r="A531" s="9">
        <v>44238</v>
      </c>
      <c r="B531" s="3"/>
      <c r="C531" s="3"/>
      <c r="D531" s="3"/>
      <c r="E531" s="3"/>
      <c r="F531" s="3"/>
      <c r="G531" s="3"/>
      <c r="H531" s="3"/>
      <c r="I531" s="3"/>
      <c r="J531" s="23">
        <v>44238</v>
      </c>
      <c r="K531" s="24">
        <v>47.375</v>
      </c>
      <c r="L531" s="24">
        <v>87.191666666666677</v>
      </c>
      <c r="M531" s="24">
        <v>6.9958333333333309</v>
      </c>
      <c r="N531" s="24">
        <v>0</v>
      </c>
      <c r="O531" s="24">
        <v>219.41666666666666</v>
      </c>
      <c r="P531" s="24">
        <v>2.5</v>
      </c>
      <c r="Q531" s="24">
        <v>2.0833333333333332E-2</v>
      </c>
      <c r="R531" s="24">
        <v>4.96875</v>
      </c>
      <c r="S531" s="10">
        <v>0.13606592220369837</v>
      </c>
      <c r="T531" s="25">
        <v>0.38989583333333339</v>
      </c>
      <c r="U531" s="25">
        <v>0.35443749999999968</v>
      </c>
      <c r="V531" s="25">
        <v>0.42474999999999996</v>
      </c>
      <c r="W531" s="25">
        <v>0.39639583333333323</v>
      </c>
      <c r="X531" s="25">
        <v>0.45804166666666651</v>
      </c>
      <c r="Y531" s="25">
        <v>0.34124999999999978</v>
      </c>
      <c r="Z531" s="25">
        <v>0.31900000000000039</v>
      </c>
      <c r="AA531" s="25">
        <v>0.26900000000000007</v>
      </c>
      <c r="AB531" s="25">
        <v>0.36497916666666685</v>
      </c>
      <c r="AC531" s="25">
        <v>0.22927083333333323</v>
      </c>
      <c r="AD531" s="25">
        <v>0.41729166666666667</v>
      </c>
      <c r="AE531" s="27">
        <f t="shared" si="28"/>
        <v>0.42396874999999995</v>
      </c>
      <c r="AF531" s="27">
        <f t="shared" si="29"/>
        <v>0.35080555555555554</v>
      </c>
      <c r="AG531" s="27">
        <f t="shared" si="30"/>
        <v>0.36410795454545453</v>
      </c>
    </row>
    <row r="532" spans="1:33" x14ac:dyDescent="0.25">
      <c r="A532" s="9">
        <v>44239</v>
      </c>
      <c r="B532" s="3"/>
      <c r="C532" s="3"/>
      <c r="D532" s="3"/>
      <c r="E532" s="3"/>
      <c r="F532" s="3"/>
      <c r="G532" s="3"/>
      <c r="H532" s="3"/>
      <c r="I532" s="3"/>
      <c r="J532" s="23">
        <v>44239</v>
      </c>
      <c r="K532" s="24">
        <v>69.541666666666671</v>
      </c>
      <c r="L532" s="24">
        <v>83.716666666666683</v>
      </c>
      <c r="M532" s="24">
        <v>9.1312499999999996</v>
      </c>
      <c r="N532" s="24">
        <v>0</v>
      </c>
      <c r="O532" s="24">
        <v>200.66666666666666</v>
      </c>
      <c r="P532" s="24">
        <v>2.6041666666666665</v>
      </c>
      <c r="Q532" s="24">
        <v>6.25E-2</v>
      </c>
      <c r="R532" s="24">
        <v>6.4312499999999986</v>
      </c>
      <c r="S532" s="10">
        <v>0.20623062718647958</v>
      </c>
      <c r="T532" s="25">
        <v>0.38443750000000015</v>
      </c>
      <c r="U532" s="25">
        <v>0.35500000000000004</v>
      </c>
      <c r="V532" s="25">
        <v>0.42685416666666659</v>
      </c>
      <c r="W532" s="25">
        <v>0.39699999999999996</v>
      </c>
      <c r="X532" s="25">
        <v>0.45716666666666655</v>
      </c>
      <c r="Y532" s="25">
        <v>0.34097916666666667</v>
      </c>
      <c r="Z532" s="25">
        <v>0.31912500000000033</v>
      </c>
      <c r="AA532" s="25">
        <v>0.26906250000000004</v>
      </c>
      <c r="AB532" s="25">
        <v>0.36341666666666655</v>
      </c>
      <c r="AC532" s="25">
        <v>0.22668085106382987</v>
      </c>
      <c r="AD532" s="25">
        <v>0.40987499999999999</v>
      </c>
      <c r="AE532" s="27">
        <f t="shared" si="28"/>
        <v>0.42080208333333335</v>
      </c>
      <c r="AF532" s="27">
        <f t="shared" si="29"/>
        <v>0.35133680555555563</v>
      </c>
      <c r="AG532" s="27">
        <f t="shared" si="30"/>
        <v>0.36396685606060614</v>
      </c>
    </row>
    <row r="533" spans="1:33" x14ac:dyDescent="0.25">
      <c r="A533" s="9">
        <v>44240</v>
      </c>
      <c r="B533" s="3"/>
      <c r="C533" s="3"/>
      <c r="D533" s="3"/>
      <c r="E533" s="3"/>
      <c r="F533" s="3"/>
      <c r="G533" s="3"/>
      <c r="H533" s="3"/>
      <c r="I533" s="3"/>
      <c r="J533" s="23">
        <v>44240</v>
      </c>
      <c r="K533" s="24">
        <v>24.375</v>
      </c>
      <c r="L533" s="24">
        <v>88.866666666666674</v>
      </c>
      <c r="M533" s="24">
        <v>9.7208333333333332</v>
      </c>
      <c r="N533" s="24">
        <v>0</v>
      </c>
      <c r="O533" s="24">
        <v>230.39583333333334</v>
      </c>
      <c r="P533" s="24">
        <v>4.291666666666667</v>
      </c>
      <c r="Q533" s="24">
        <v>6.25E-2</v>
      </c>
      <c r="R533" s="24">
        <v>7.970833333333335</v>
      </c>
      <c r="S533" s="10">
        <v>0.13570926991924623</v>
      </c>
      <c r="T533" s="25">
        <v>0.38168750000000012</v>
      </c>
      <c r="U533" s="25">
        <v>0.35627083333333309</v>
      </c>
      <c r="V533" s="25">
        <v>0.42862499999999987</v>
      </c>
      <c r="W533" s="25">
        <v>0.39814583333333337</v>
      </c>
      <c r="X533" s="25">
        <v>0.45752083333333315</v>
      </c>
      <c r="Y533" s="25">
        <v>0.34162499999999985</v>
      </c>
      <c r="Z533" s="25">
        <v>0.32014583333333341</v>
      </c>
      <c r="AA533" s="25">
        <v>0.26979166666666643</v>
      </c>
      <c r="AB533" s="25">
        <v>0.3621041666666665</v>
      </c>
      <c r="AC533" s="25">
        <v>0.22499999999999978</v>
      </c>
      <c r="AD533" s="25">
        <v>0.40306250000000016</v>
      </c>
      <c r="AE533" s="27">
        <f t="shared" si="28"/>
        <v>0.41960416666666667</v>
      </c>
      <c r="AF533" s="27">
        <f t="shared" si="29"/>
        <v>0.35243402777777771</v>
      </c>
      <c r="AG533" s="27">
        <f t="shared" si="30"/>
        <v>0.36464678030303022</v>
      </c>
    </row>
    <row r="534" spans="1:33" x14ac:dyDescent="0.25">
      <c r="A534" s="9">
        <v>44241</v>
      </c>
      <c r="B534" s="3"/>
      <c r="C534" s="3"/>
      <c r="D534" s="3"/>
      <c r="E534" s="3"/>
      <c r="F534" s="3"/>
      <c r="G534" s="3"/>
      <c r="H534" s="3"/>
      <c r="I534" s="3"/>
      <c r="J534" s="23">
        <v>44241</v>
      </c>
      <c r="K534" s="24">
        <v>167.97916666666666</v>
      </c>
      <c r="L534" s="24">
        <v>78.887499999999989</v>
      </c>
      <c r="M534" s="24">
        <v>12.041666666666663</v>
      </c>
      <c r="N534" s="24">
        <v>0</v>
      </c>
      <c r="O534" s="24">
        <v>134.1875</v>
      </c>
      <c r="P534" s="24">
        <v>6.4375</v>
      </c>
      <c r="Q534" s="24">
        <v>0.79166666666666663</v>
      </c>
      <c r="R534" s="24">
        <v>8.2104166666666671</v>
      </c>
      <c r="S534" s="10">
        <v>0.3597565922240154</v>
      </c>
      <c r="T534" s="25">
        <v>0.38106250000000014</v>
      </c>
      <c r="U534" s="25">
        <v>0.35797916666666657</v>
      </c>
      <c r="V534" s="25">
        <v>0.43014583333333317</v>
      </c>
      <c r="W534" s="25">
        <v>0.39910416666666698</v>
      </c>
      <c r="X534" s="25">
        <v>0.4597291666666668</v>
      </c>
      <c r="Y534" s="25">
        <v>0.34199999999999992</v>
      </c>
      <c r="Z534" s="25">
        <v>0.32110416666666641</v>
      </c>
      <c r="AA534" s="25">
        <v>0.27008333333333318</v>
      </c>
      <c r="AB534" s="25">
        <v>0.36215217391304361</v>
      </c>
      <c r="AC534" s="25">
        <v>0.22284090909090917</v>
      </c>
      <c r="AD534" s="25">
        <v>0.39995833333333314</v>
      </c>
      <c r="AE534" s="27">
        <f t="shared" si="28"/>
        <v>0.42039583333333347</v>
      </c>
      <c r="AF534" s="27">
        <f t="shared" si="29"/>
        <v>0.35340277777777768</v>
      </c>
      <c r="AG534" s="27">
        <f t="shared" si="30"/>
        <v>0.36558333333333326</v>
      </c>
    </row>
    <row r="535" spans="1:33" x14ac:dyDescent="0.25">
      <c r="A535" s="9">
        <v>44242</v>
      </c>
      <c r="B535" s="3"/>
      <c r="C535" s="3"/>
      <c r="D535" s="3"/>
      <c r="E535" s="3"/>
      <c r="F535" s="3"/>
      <c r="G535" s="3"/>
      <c r="H535" s="3"/>
      <c r="I535" s="3"/>
      <c r="J535" s="23">
        <v>44242</v>
      </c>
      <c r="K535" s="24">
        <v>75.354166666666671</v>
      </c>
      <c r="L535" s="24">
        <v>80.991666666666646</v>
      </c>
      <c r="M535" s="24">
        <v>12.797916666666664</v>
      </c>
      <c r="N535" s="24">
        <v>0</v>
      </c>
      <c r="O535" s="24">
        <v>224.875</v>
      </c>
      <c r="P535" s="24">
        <v>8.0208333333333339</v>
      </c>
      <c r="Q535" s="24">
        <v>0.97916666666666663</v>
      </c>
      <c r="R535" s="24">
        <v>9.5166666666666693</v>
      </c>
      <c r="S535" s="10">
        <v>0.30421276294998428</v>
      </c>
      <c r="T535" s="25">
        <v>0.3811041666666668</v>
      </c>
      <c r="U535" s="25">
        <v>0.36243750000000013</v>
      </c>
      <c r="V535" s="25">
        <v>0.43433333333333302</v>
      </c>
      <c r="W535" s="25">
        <v>0.4018958333333329</v>
      </c>
      <c r="X535" s="25">
        <v>0.46402083333333355</v>
      </c>
      <c r="Y535" s="25">
        <v>0.34504166666666664</v>
      </c>
      <c r="Z535" s="25">
        <v>0.32352083333333331</v>
      </c>
      <c r="AA535" s="25">
        <v>0.2712291666666668</v>
      </c>
      <c r="AB535" s="25">
        <v>0.36010638297872349</v>
      </c>
      <c r="AC535" s="25">
        <v>0.21799999999999997</v>
      </c>
      <c r="AD535" s="25">
        <v>0.39375000000000004</v>
      </c>
      <c r="AE535" s="27">
        <f t="shared" si="28"/>
        <v>0.42256250000000017</v>
      </c>
      <c r="AF535" s="27">
        <f t="shared" si="29"/>
        <v>0.35640972222222217</v>
      </c>
      <c r="AG535" s="27">
        <f t="shared" si="30"/>
        <v>0.36843749999999997</v>
      </c>
    </row>
    <row r="536" spans="1:33" x14ac:dyDescent="0.25">
      <c r="A536" s="9">
        <v>44243</v>
      </c>
      <c r="B536" s="3"/>
      <c r="C536" s="3"/>
      <c r="D536" s="3"/>
      <c r="E536" s="3"/>
      <c r="F536" s="3"/>
      <c r="G536" s="3"/>
      <c r="H536" s="3"/>
      <c r="I536" s="3"/>
      <c r="J536" s="23">
        <v>44243</v>
      </c>
      <c r="K536" s="24">
        <v>69.416666666666671</v>
      </c>
      <c r="L536" s="24">
        <v>80.77500000000002</v>
      </c>
      <c r="M536" s="24">
        <v>8.3249999999999993</v>
      </c>
      <c r="N536" s="24">
        <v>2.9000000000000004</v>
      </c>
      <c r="O536" s="24">
        <v>211.5</v>
      </c>
      <c r="P536" s="24">
        <v>5</v>
      </c>
      <c r="Q536" s="24">
        <v>0</v>
      </c>
      <c r="R536" s="24">
        <v>5.0770833333333352</v>
      </c>
      <c r="S536" s="10">
        <v>0.22755224734315302</v>
      </c>
      <c r="T536" s="25">
        <v>0.37560416666666674</v>
      </c>
      <c r="U536" s="25">
        <v>0.3628958333333332</v>
      </c>
      <c r="V536" s="25">
        <v>0.43527083333333327</v>
      </c>
      <c r="W536" s="25">
        <v>0.40472916666666664</v>
      </c>
      <c r="X536" s="25">
        <v>0.46162499999999995</v>
      </c>
      <c r="Y536" s="25">
        <v>0.34499999999999992</v>
      </c>
      <c r="Z536" s="25">
        <v>0.32485416666666639</v>
      </c>
      <c r="AA536" s="25">
        <v>0.27197916666666672</v>
      </c>
      <c r="AB536" s="25">
        <v>0.36347916666666658</v>
      </c>
      <c r="AC536" s="25">
        <v>0.23180952380952377</v>
      </c>
      <c r="AD536" s="25">
        <v>0.39362499999999995</v>
      </c>
      <c r="AE536" s="27">
        <f t="shared" si="28"/>
        <v>0.41861458333333335</v>
      </c>
      <c r="AF536" s="27">
        <f t="shared" si="29"/>
        <v>0.35745486111111102</v>
      </c>
      <c r="AG536" s="27">
        <f t="shared" si="30"/>
        <v>0.36857481060606057</v>
      </c>
    </row>
    <row r="537" spans="1:33" x14ac:dyDescent="0.25">
      <c r="A537" s="9">
        <v>44244</v>
      </c>
      <c r="B537" s="3"/>
      <c r="C537" s="3"/>
      <c r="D537" s="3"/>
      <c r="E537" s="3"/>
      <c r="F537" s="3"/>
      <c r="G537" s="3"/>
      <c r="H537" s="3"/>
      <c r="I537" s="3"/>
      <c r="J537" s="23">
        <v>44244</v>
      </c>
      <c r="K537" s="24">
        <v>117.375</v>
      </c>
      <c r="L537" s="24">
        <v>68.912499999999994</v>
      </c>
      <c r="M537" s="24">
        <v>9.3125</v>
      </c>
      <c r="N537" s="24">
        <v>0</v>
      </c>
      <c r="O537" s="24">
        <v>248.41666666666666</v>
      </c>
      <c r="P537" s="24">
        <v>3.2083333333333335</v>
      </c>
      <c r="Q537" s="24">
        <v>0.10416666666666667</v>
      </c>
      <c r="R537" s="24">
        <v>3.5583333333333331</v>
      </c>
      <c r="S537" s="10">
        <v>0.40571714665711106</v>
      </c>
      <c r="T537" s="25">
        <v>0.37220833333333325</v>
      </c>
      <c r="U537" s="25">
        <v>0.36193750000000019</v>
      </c>
      <c r="V537" s="25">
        <v>0.43399999999999994</v>
      </c>
      <c r="W537" s="25">
        <v>0.40500000000000003</v>
      </c>
      <c r="X537" s="25">
        <v>0.4596875000000003</v>
      </c>
      <c r="Y537" s="25">
        <v>0.3435416666666668</v>
      </c>
      <c r="Z537" s="25">
        <v>0.32456249999999986</v>
      </c>
      <c r="AA537" s="25">
        <v>0.27285416666666656</v>
      </c>
      <c r="AB537" s="25">
        <v>0.36000000000000004</v>
      </c>
      <c r="AC537" s="25">
        <v>0.22133333333333338</v>
      </c>
      <c r="AD537" s="25">
        <v>0.38927083333333329</v>
      </c>
      <c r="AE537" s="27">
        <f t="shared" si="28"/>
        <v>0.41594791666666675</v>
      </c>
      <c r="AF537" s="27">
        <f t="shared" si="29"/>
        <v>0.35698263888888887</v>
      </c>
      <c r="AG537" s="27">
        <f t="shared" si="30"/>
        <v>0.36770359848484846</v>
      </c>
    </row>
    <row r="538" spans="1:33" x14ac:dyDescent="0.25">
      <c r="A538" s="9">
        <v>44245</v>
      </c>
      <c r="B538" s="3"/>
      <c r="C538" s="3"/>
      <c r="D538" s="3"/>
      <c r="E538" s="3"/>
      <c r="F538" s="3"/>
      <c r="G538" s="3"/>
      <c r="H538" s="3"/>
      <c r="I538" s="3"/>
      <c r="J538" s="23">
        <v>44245</v>
      </c>
      <c r="K538" s="24">
        <v>42.104166666666664</v>
      </c>
      <c r="L538" s="24">
        <v>64.987499999999997</v>
      </c>
      <c r="M538" s="24">
        <v>8.6416666666666675</v>
      </c>
      <c r="N538" s="24">
        <v>0</v>
      </c>
      <c r="O538" s="24">
        <v>231.02083333333334</v>
      </c>
      <c r="P538" s="24">
        <v>4.416666666666667</v>
      </c>
      <c r="Q538" s="24">
        <v>0.1875</v>
      </c>
      <c r="R538" s="24">
        <v>2.3916666666666662</v>
      </c>
      <c r="S538" s="10">
        <v>0.39552663906202629</v>
      </c>
      <c r="T538" s="25">
        <v>0.37020833333333325</v>
      </c>
      <c r="U538" s="25">
        <v>0.36254166666666648</v>
      </c>
      <c r="V538" s="25">
        <v>0.43462500000000021</v>
      </c>
      <c r="W538" s="25">
        <v>0.40581249999999996</v>
      </c>
      <c r="X538" s="25">
        <v>0.45868749999999986</v>
      </c>
      <c r="Y538" s="25">
        <v>0.34379166666666672</v>
      </c>
      <c r="Z538" s="25">
        <v>0.32499999999999968</v>
      </c>
      <c r="AA538" s="25">
        <v>0.27306249999999993</v>
      </c>
      <c r="AB538" s="25">
        <v>0.3556875000000001</v>
      </c>
      <c r="AC538" s="25">
        <v>0.21362500000000015</v>
      </c>
      <c r="AD538" s="25">
        <v>0.38064583333333341</v>
      </c>
      <c r="AE538" s="27">
        <f t="shared" si="28"/>
        <v>0.41444791666666658</v>
      </c>
      <c r="AF538" s="27">
        <f t="shared" si="29"/>
        <v>0.35747222222222219</v>
      </c>
      <c r="AG538" s="27">
        <f t="shared" si="30"/>
        <v>0.36783143939393936</v>
      </c>
    </row>
    <row r="539" spans="1:33" x14ac:dyDescent="0.25">
      <c r="A539" s="9">
        <v>44246</v>
      </c>
      <c r="B539" s="3"/>
      <c r="C539" s="3"/>
      <c r="D539" s="3"/>
      <c r="E539" s="3"/>
      <c r="F539" s="3"/>
      <c r="G539" s="3"/>
      <c r="H539" s="3"/>
      <c r="I539" s="3"/>
      <c r="J539" s="23">
        <v>44246</v>
      </c>
      <c r="K539" s="24">
        <v>69.541666666666671</v>
      </c>
      <c r="L539" s="24">
        <v>75.4375</v>
      </c>
      <c r="M539" s="24">
        <v>8.9312499999999986</v>
      </c>
      <c r="N539" s="24">
        <v>0</v>
      </c>
      <c r="O539" s="24">
        <v>192.60416666666666</v>
      </c>
      <c r="P539" s="24">
        <v>2.5625</v>
      </c>
      <c r="Q539" s="24">
        <v>0</v>
      </c>
      <c r="R539" s="24">
        <v>4.760416666666667</v>
      </c>
      <c r="S539" s="10">
        <v>0.29362964691311816</v>
      </c>
      <c r="T539" s="25">
        <v>0.36741666666666667</v>
      </c>
      <c r="U539" s="25">
        <v>0.36125000000000013</v>
      </c>
      <c r="V539" s="25">
        <v>0.43358333333333338</v>
      </c>
      <c r="W539" s="25">
        <v>0.40599999999999997</v>
      </c>
      <c r="X539" s="25">
        <v>0.45570833333333355</v>
      </c>
      <c r="Y539" s="25">
        <v>0.34231250000000019</v>
      </c>
      <c r="Z539" s="25">
        <v>0.32479166666666648</v>
      </c>
      <c r="AA539" s="25">
        <v>0.27302083333333316</v>
      </c>
      <c r="AB539" s="25">
        <v>0.35306382978723394</v>
      </c>
      <c r="AC539" s="25">
        <v>0.20839583333333325</v>
      </c>
      <c r="AD539" s="25">
        <v>0.37324999999999986</v>
      </c>
      <c r="AE539" s="27">
        <f t="shared" si="28"/>
        <v>0.41156250000000011</v>
      </c>
      <c r="AF539" s="27">
        <f t="shared" si="29"/>
        <v>0.3568263888888889</v>
      </c>
      <c r="AG539" s="27">
        <f t="shared" si="30"/>
        <v>0.36677840909090914</v>
      </c>
    </row>
    <row r="540" spans="1:33" x14ac:dyDescent="0.25">
      <c r="A540" s="9">
        <v>44247</v>
      </c>
      <c r="B540" s="3"/>
      <c r="C540" s="3"/>
      <c r="D540" s="3"/>
      <c r="E540" s="3"/>
      <c r="F540" s="3"/>
      <c r="G540" s="3"/>
      <c r="H540" s="3"/>
      <c r="I540" s="3"/>
      <c r="J540" s="23">
        <v>44247</v>
      </c>
      <c r="K540" s="24">
        <v>67.541666666666671</v>
      </c>
      <c r="L540" s="24">
        <v>83.84375</v>
      </c>
      <c r="M540" s="24">
        <v>10.266666666666664</v>
      </c>
      <c r="N540" s="24">
        <v>0</v>
      </c>
      <c r="O540" s="24">
        <v>254.5</v>
      </c>
      <c r="P540" s="24">
        <v>1.5625</v>
      </c>
      <c r="Q540" s="24">
        <v>0</v>
      </c>
      <c r="R540" s="24">
        <v>7.6083333333333334</v>
      </c>
      <c r="S540" s="10">
        <v>0.21378057512719131</v>
      </c>
      <c r="T540" s="25">
        <v>0.36647916666666652</v>
      </c>
      <c r="U540" s="25">
        <v>0.36193750000000002</v>
      </c>
      <c r="V540" s="25">
        <v>0.43395833333333328</v>
      </c>
      <c r="W540" s="25">
        <v>0.40608333333333335</v>
      </c>
      <c r="X540" s="25">
        <v>0.45606249999999965</v>
      </c>
      <c r="Y540" s="25">
        <v>0.34231250000000019</v>
      </c>
      <c r="Z540" s="25">
        <v>0.32497916666666637</v>
      </c>
      <c r="AA540" s="25">
        <v>0.27304166666666657</v>
      </c>
      <c r="AB540" s="25">
        <v>0.35210416666666666</v>
      </c>
      <c r="AC540" s="25">
        <v>0.20523404255319161</v>
      </c>
      <c r="AD540" s="25">
        <v>0.36927083333333316</v>
      </c>
      <c r="AE540" s="27">
        <f t="shared" si="28"/>
        <v>0.41127083333333309</v>
      </c>
      <c r="AF540" s="27">
        <f t="shared" si="29"/>
        <v>0.35705208333333327</v>
      </c>
      <c r="AG540" s="27">
        <f t="shared" si="30"/>
        <v>0.36691003787878773</v>
      </c>
    </row>
    <row r="541" spans="1:33" x14ac:dyDescent="0.25">
      <c r="A541" s="9">
        <v>44248</v>
      </c>
      <c r="B541" s="3"/>
      <c r="C541" s="3"/>
      <c r="D541" s="3"/>
      <c r="E541" s="3"/>
      <c r="F541" s="3"/>
      <c r="G541" s="3"/>
      <c r="H541" s="3"/>
      <c r="I541" s="3"/>
      <c r="J541" s="23">
        <v>44248</v>
      </c>
      <c r="K541" s="24">
        <v>72.104166666666671</v>
      </c>
      <c r="L541" s="24">
        <v>83.50833333333334</v>
      </c>
      <c r="M541" s="24">
        <v>12.79166666666667</v>
      </c>
      <c r="N541" s="24">
        <v>0.2</v>
      </c>
      <c r="O541" s="24">
        <v>244.77083333333334</v>
      </c>
      <c r="P541" s="24">
        <v>4.395833333333333</v>
      </c>
      <c r="Q541" s="24">
        <v>0.10416666666666667</v>
      </c>
      <c r="R541" s="24">
        <v>9.9770833333333311</v>
      </c>
      <c r="S541" s="10">
        <v>0.26393009674502033</v>
      </c>
      <c r="T541" s="25">
        <v>0.3665000000000001</v>
      </c>
      <c r="U541" s="25">
        <v>0.36431250000000021</v>
      </c>
      <c r="V541" s="25">
        <v>0.43566666666666681</v>
      </c>
      <c r="W541" s="25">
        <v>0.40741666666666676</v>
      </c>
      <c r="X541" s="25">
        <v>0.4581458333333337</v>
      </c>
      <c r="Y541" s="25">
        <v>0.34352083333333333</v>
      </c>
      <c r="Z541" s="25">
        <v>0.32589583333333344</v>
      </c>
      <c r="AA541" s="25">
        <v>0.27397916666666705</v>
      </c>
      <c r="AB541" s="25">
        <v>0.3536382978723403</v>
      </c>
      <c r="AC541" s="25">
        <v>0.21518181818181806</v>
      </c>
      <c r="AD541" s="25">
        <v>0.3670208333333333</v>
      </c>
      <c r="AE541" s="27">
        <f t="shared" si="28"/>
        <v>0.41232291666666687</v>
      </c>
      <c r="AF541" s="27">
        <f t="shared" si="29"/>
        <v>0.35846527777777792</v>
      </c>
      <c r="AG541" s="27">
        <f t="shared" si="30"/>
        <v>0.36825757575757589</v>
      </c>
    </row>
    <row r="542" spans="1:33" x14ac:dyDescent="0.25">
      <c r="A542" s="9">
        <v>44249</v>
      </c>
      <c r="B542" s="3"/>
      <c r="C542" s="3"/>
      <c r="D542" s="3"/>
      <c r="E542" s="3"/>
      <c r="F542" s="3"/>
      <c r="G542" s="3"/>
      <c r="H542" s="3"/>
      <c r="I542" s="3"/>
      <c r="J542" s="23">
        <v>44249</v>
      </c>
      <c r="K542" s="24">
        <v>143.72916666666666</v>
      </c>
      <c r="L542" s="24">
        <v>83.50833333333334</v>
      </c>
      <c r="M542" s="24">
        <v>13.110416666666667</v>
      </c>
      <c r="N542" s="24">
        <v>0</v>
      </c>
      <c r="O542" s="24">
        <v>216.91666666666666</v>
      </c>
      <c r="P542" s="24">
        <v>3.9583333333333335</v>
      </c>
      <c r="Q542" s="24">
        <v>0.35416666666666669</v>
      </c>
      <c r="R542" s="24">
        <v>10.033333333333331</v>
      </c>
      <c r="S542" s="10">
        <v>0.34093455084318713</v>
      </c>
      <c r="T542" s="25">
        <v>0.36564583333333323</v>
      </c>
      <c r="U542" s="25">
        <v>0.3665416666666666</v>
      </c>
      <c r="V542" s="25">
        <v>0.43781249999999988</v>
      </c>
      <c r="W542" s="25">
        <v>0.40870833333333323</v>
      </c>
      <c r="X542" s="25">
        <v>0.46083333333333326</v>
      </c>
      <c r="Y542" s="25">
        <v>0.34504166666666669</v>
      </c>
      <c r="Z542" s="25">
        <v>0.32727083333333323</v>
      </c>
      <c r="AA542" s="25">
        <v>0.27427083333333352</v>
      </c>
      <c r="AB542" s="25">
        <v>0.35261702127659561</v>
      </c>
      <c r="AC542" s="25">
        <v>0.19775609756097562</v>
      </c>
      <c r="AD542" s="25">
        <v>0.36343749999999986</v>
      </c>
      <c r="AE542" s="27">
        <f t="shared" si="28"/>
        <v>0.41323958333333322</v>
      </c>
      <c r="AF542" s="27">
        <f t="shared" si="29"/>
        <v>0.35994097222222221</v>
      </c>
      <c r="AG542" s="27">
        <f t="shared" si="30"/>
        <v>0.3696316287878787</v>
      </c>
    </row>
    <row r="543" spans="1:33" x14ac:dyDescent="0.25">
      <c r="A543" s="9">
        <v>44250</v>
      </c>
      <c r="B543" s="3"/>
      <c r="C543" s="3"/>
      <c r="D543" s="3"/>
      <c r="E543" s="3"/>
      <c r="F543" s="3"/>
      <c r="G543" s="3"/>
      <c r="H543" s="3"/>
      <c r="I543" s="3"/>
      <c r="J543" s="23">
        <v>44250</v>
      </c>
      <c r="K543" s="24">
        <v>140.83333333333334</v>
      </c>
      <c r="L543" s="24">
        <v>77.256250000000023</v>
      </c>
      <c r="M543" s="24">
        <v>15.685416666666669</v>
      </c>
      <c r="N543" s="24">
        <v>0</v>
      </c>
      <c r="O543" s="24">
        <v>226.54166666666666</v>
      </c>
      <c r="P543" s="24">
        <v>9.8958333333333339</v>
      </c>
      <c r="Q543" s="24">
        <v>1.3958333333333333</v>
      </c>
      <c r="R543" s="24">
        <v>11.454166666666666</v>
      </c>
      <c r="S543" s="10">
        <v>0.45911084527420026</v>
      </c>
      <c r="T543" s="25">
        <v>0.36562500000000009</v>
      </c>
      <c r="U543" s="25">
        <v>0.3705416666666666</v>
      </c>
      <c r="V543" s="25">
        <v>0.4419583333333334</v>
      </c>
      <c r="W543" s="25">
        <v>0.4108124999999998</v>
      </c>
      <c r="X543" s="25">
        <v>0.46599999999999969</v>
      </c>
      <c r="Y543" s="25">
        <v>0.34841666666666654</v>
      </c>
      <c r="Z543" s="25">
        <v>0.32949999999999996</v>
      </c>
      <c r="AA543" s="25">
        <v>0.27593749999999978</v>
      </c>
      <c r="AB543" s="25">
        <v>0.35136170212765944</v>
      </c>
      <c r="AC543" s="25">
        <v>0.19210526315789472</v>
      </c>
      <c r="AD543" s="25">
        <v>0.35972916666666671</v>
      </c>
      <c r="AE543" s="27">
        <f t="shared" si="28"/>
        <v>0.41581249999999992</v>
      </c>
      <c r="AF543" s="27">
        <f t="shared" si="29"/>
        <v>0.36286111111111102</v>
      </c>
      <c r="AG543" s="27">
        <f t="shared" si="30"/>
        <v>0.37248863636363627</v>
      </c>
    </row>
    <row r="544" spans="1:33" x14ac:dyDescent="0.25">
      <c r="A544" s="9">
        <v>44251</v>
      </c>
      <c r="B544" s="3"/>
      <c r="C544" s="3"/>
      <c r="D544" s="3"/>
      <c r="E544" s="3"/>
      <c r="F544" s="3"/>
      <c r="G544" s="3"/>
      <c r="H544" s="3"/>
      <c r="I544" s="3"/>
      <c r="J544" s="23">
        <v>44251</v>
      </c>
      <c r="K544" s="24">
        <v>142.45833333333334</v>
      </c>
      <c r="L544" s="24">
        <v>73.752083333333317</v>
      </c>
      <c r="M544" s="24">
        <v>16.991666666666664</v>
      </c>
      <c r="N544" s="24">
        <v>0</v>
      </c>
      <c r="O544" s="24">
        <v>233.10416666666666</v>
      </c>
      <c r="P544" s="24">
        <v>14.645833333333334</v>
      </c>
      <c r="Q544" s="24">
        <v>3.375</v>
      </c>
      <c r="R544" s="24">
        <v>12.0875</v>
      </c>
      <c r="S544" s="10">
        <v>0.5528110845120161</v>
      </c>
      <c r="T544" s="25">
        <v>0.36293750000000008</v>
      </c>
      <c r="U544" s="25">
        <v>0.37293749999999998</v>
      </c>
      <c r="V544" s="25">
        <v>0.44537500000000024</v>
      </c>
      <c r="W544" s="25">
        <v>0.41387499999999977</v>
      </c>
      <c r="X544" s="25">
        <v>0.46833333333333332</v>
      </c>
      <c r="Y544" s="25">
        <v>0.35043749999999996</v>
      </c>
      <c r="Z544" s="25">
        <v>0.3320625000000002</v>
      </c>
      <c r="AA544" s="25">
        <v>0.27743750000000028</v>
      </c>
      <c r="AB544" s="25">
        <v>0.34787234042553178</v>
      </c>
      <c r="AC544" s="25">
        <v>0.1862</v>
      </c>
      <c r="AD544" s="25">
        <v>0.35185416666666663</v>
      </c>
      <c r="AE544" s="27">
        <f t="shared" si="28"/>
        <v>0.4156354166666667</v>
      </c>
      <c r="AF544" s="27">
        <f t="shared" si="29"/>
        <v>0.3653541666666667</v>
      </c>
      <c r="AG544" s="27">
        <f t="shared" si="30"/>
        <v>0.37449621212121215</v>
      </c>
    </row>
    <row r="545" spans="1:33" x14ac:dyDescent="0.25">
      <c r="A545" s="9">
        <v>44252</v>
      </c>
      <c r="B545" s="3"/>
      <c r="C545" s="3"/>
      <c r="D545" s="3"/>
      <c r="E545" s="3"/>
      <c r="F545" s="3"/>
      <c r="G545" s="3"/>
      <c r="H545" s="3"/>
      <c r="I545" s="3"/>
      <c r="J545" s="23">
        <v>44252</v>
      </c>
      <c r="K545" s="24">
        <v>128.02083333333334</v>
      </c>
      <c r="L545" s="24">
        <v>74.814583333333346</v>
      </c>
      <c r="M545" s="24">
        <v>16.829166666666666</v>
      </c>
      <c r="N545" s="24">
        <v>0</v>
      </c>
      <c r="O545" s="24">
        <v>230.52083333333334</v>
      </c>
      <c r="P545" s="24">
        <v>8.8333333333333339</v>
      </c>
      <c r="Q545" s="24">
        <v>0.79166666666666663</v>
      </c>
      <c r="R545" s="24">
        <v>12.083333333333334</v>
      </c>
      <c r="S545" s="10">
        <v>0.53857039427237252</v>
      </c>
      <c r="T545" s="25">
        <v>0.35981250000000015</v>
      </c>
      <c r="U545" s="25">
        <v>0.37485416666666693</v>
      </c>
      <c r="V545" s="25">
        <v>0.44804166666666684</v>
      </c>
      <c r="W545" s="25">
        <v>0.4167083333333334</v>
      </c>
      <c r="X545" s="25">
        <v>0.47016666666666657</v>
      </c>
      <c r="Y545" s="25">
        <v>0.35241666666666643</v>
      </c>
      <c r="Z545" s="25">
        <v>0.33427083333333346</v>
      </c>
      <c r="AA545" s="25">
        <v>0.27922916666666642</v>
      </c>
      <c r="AB545" s="25">
        <v>0.34356249999999999</v>
      </c>
      <c r="AC545" s="25">
        <v>0.17399999999999996</v>
      </c>
      <c r="AD545" s="25">
        <v>0.34122916666666675</v>
      </c>
      <c r="AE545" s="27">
        <f t="shared" si="28"/>
        <v>0.41498958333333336</v>
      </c>
      <c r="AF545" s="27">
        <f t="shared" si="29"/>
        <v>0.36758680555555562</v>
      </c>
      <c r="AG545" s="27">
        <f t="shared" si="30"/>
        <v>0.37620549242424245</v>
      </c>
    </row>
    <row r="546" spans="1:33" x14ac:dyDescent="0.25">
      <c r="A546" s="9">
        <v>44253</v>
      </c>
      <c r="B546" s="3"/>
      <c r="C546" s="3"/>
      <c r="D546" s="3"/>
      <c r="E546" s="3"/>
      <c r="F546" s="3"/>
      <c r="G546" s="3"/>
      <c r="H546" s="3"/>
      <c r="I546" s="3"/>
      <c r="J546" s="23">
        <v>44253</v>
      </c>
      <c r="K546" s="24">
        <v>44.666666666666664</v>
      </c>
      <c r="L546" s="24">
        <v>87.831249999999997</v>
      </c>
      <c r="M546" s="24">
        <v>9.3166666666666682</v>
      </c>
      <c r="N546" s="24">
        <v>13.799999999999997</v>
      </c>
      <c r="O546" s="24">
        <v>223.60416666666666</v>
      </c>
      <c r="P546" s="24">
        <v>6.583333333333333</v>
      </c>
      <c r="Q546" s="24">
        <v>0.14583333333333334</v>
      </c>
      <c r="R546" s="24">
        <v>7.3770833333333323</v>
      </c>
      <c r="S546" s="10">
        <v>0.14539350252634348</v>
      </c>
      <c r="T546" s="25">
        <v>0.38587499999999997</v>
      </c>
      <c r="U546" s="25">
        <v>0.40024999999999999</v>
      </c>
      <c r="V546" s="25">
        <v>0.45835416666666712</v>
      </c>
      <c r="W546" s="25">
        <v>0.42106250000000034</v>
      </c>
      <c r="X546" s="25">
        <v>0.4765833333333333</v>
      </c>
      <c r="Y546" s="25">
        <v>0.36854166666666655</v>
      </c>
      <c r="Z546" s="25">
        <v>0.33860416666666687</v>
      </c>
      <c r="AA546" s="25">
        <v>0.27985416666666652</v>
      </c>
      <c r="AB546" s="25">
        <v>0.3876458333333333</v>
      </c>
      <c r="AC546" s="25">
        <v>0.17125000000000001</v>
      </c>
      <c r="AD546" s="25">
        <v>0.40933333333333333</v>
      </c>
      <c r="AE546" s="27">
        <f t="shared" si="28"/>
        <v>0.43122916666666666</v>
      </c>
      <c r="AF546" s="27">
        <f t="shared" si="29"/>
        <v>0.37777777777777793</v>
      </c>
      <c r="AG546" s="27">
        <f t="shared" si="30"/>
        <v>0.38749621212121227</v>
      </c>
    </row>
    <row r="547" spans="1:33" x14ac:dyDescent="0.25">
      <c r="A547" s="9">
        <v>44254</v>
      </c>
      <c r="B547" s="3"/>
      <c r="C547" s="3"/>
      <c r="D547" s="3"/>
      <c r="E547" s="3"/>
      <c r="F547" s="3"/>
      <c r="G547" s="3"/>
      <c r="H547" s="3"/>
      <c r="I547" s="3"/>
      <c r="J547" s="23">
        <v>44254</v>
      </c>
      <c r="K547" s="24">
        <v>26.75</v>
      </c>
      <c r="L547" s="24">
        <v>92.63124999999998</v>
      </c>
      <c r="M547" s="24">
        <v>6.8166666666666655</v>
      </c>
      <c r="N547" s="24">
        <v>0</v>
      </c>
      <c r="O547" s="24">
        <v>224.52083333333334</v>
      </c>
      <c r="P547" s="24">
        <v>6.729166666666667</v>
      </c>
      <c r="Q547" s="24">
        <v>0.41666666666666669</v>
      </c>
      <c r="R547" s="24">
        <v>5.7020833333333334</v>
      </c>
      <c r="S547" s="10">
        <v>7.3214762137856007E-2</v>
      </c>
      <c r="T547" s="25">
        <v>0.38262499999999999</v>
      </c>
      <c r="U547" s="25">
        <v>0.3977083333333335</v>
      </c>
      <c r="V547" s="25">
        <v>0.45818750000000019</v>
      </c>
      <c r="W547" s="25">
        <v>0.42143749999999969</v>
      </c>
      <c r="X547" s="25">
        <v>0.46729166666666666</v>
      </c>
      <c r="Y547" s="25">
        <v>0.36422916666666655</v>
      </c>
      <c r="Z547" s="25">
        <v>0.33816666666666645</v>
      </c>
      <c r="AA547" s="25">
        <v>0.28008333333333318</v>
      </c>
      <c r="AB547" s="25">
        <v>0.38122916666666701</v>
      </c>
      <c r="AC547" s="25">
        <v>0.23393750000000005</v>
      </c>
      <c r="AD547" s="25">
        <v>0.4041458333333332</v>
      </c>
      <c r="AE547" s="27">
        <f t="shared" si="28"/>
        <v>0.42495833333333333</v>
      </c>
      <c r="AF547" s="27">
        <f t="shared" si="29"/>
        <v>0.37663541666666661</v>
      </c>
      <c r="AG547" s="27">
        <f t="shared" si="30"/>
        <v>0.38542140151515147</v>
      </c>
    </row>
    <row r="548" spans="1:33" x14ac:dyDescent="0.25">
      <c r="A548" s="9">
        <v>44255</v>
      </c>
      <c r="B548" s="3"/>
      <c r="C548" s="3"/>
      <c r="D548" s="3"/>
      <c r="E548" s="3"/>
      <c r="F548" s="3"/>
      <c r="G548" s="3"/>
      <c r="H548" s="3"/>
      <c r="I548" s="3"/>
      <c r="J548" s="23">
        <v>44255</v>
      </c>
      <c r="K548" s="24">
        <v>123</v>
      </c>
      <c r="L548" s="24">
        <v>85.4375</v>
      </c>
      <c r="M548" s="24">
        <v>12.656250000000002</v>
      </c>
      <c r="N548" s="24">
        <v>0.4</v>
      </c>
      <c r="O548" s="24">
        <v>235.14583333333334</v>
      </c>
      <c r="P548" s="24">
        <v>13.958333333333334</v>
      </c>
      <c r="Q548" s="24">
        <v>2.7916666666666665</v>
      </c>
      <c r="R548" s="24">
        <v>10.006250000000003</v>
      </c>
      <c r="S548" s="10">
        <v>0.28178455943168346</v>
      </c>
      <c r="T548" s="25">
        <v>0.38089583333333327</v>
      </c>
      <c r="U548" s="25">
        <v>0.39460416666666681</v>
      </c>
      <c r="V548" s="25">
        <v>0.45637499999999975</v>
      </c>
      <c r="W548" s="25">
        <v>0.42025000000000029</v>
      </c>
      <c r="X548" s="25">
        <v>0.46529166666666627</v>
      </c>
      <c r="Y548" s="25">
        <v>0.36095833333333327</v>
      </c>
      <c r="Z548" s="25">
        <v>0.33625000000000016</v>
      </c>
      <c r="AA548" s="25">
        <v>0.27974999999999978</v>
      </c>
      <c r="AB548" s="25">
        <v>0.38006382978723402</v>
      </c>
      <c r="AC548" s="25">
        <v>0.23310714285714279</v>
      </c>
      <c r="AD548" s="25">
        <v>0.39797916666666672</v>
      </c>
      <c r="AE548" s="27">
        <f t="shared" si="28"/>
        <v>0.42309374999999977</v>
      </c>
      <c r="AF548" s="27">
        <f t="shared" si="29"/>
        <v>0.37469791666666669</v>
      </c>
      <c r="AG548" s="27">
        <f t="shared" si="30"/>
        <v>0.38349715909090903</v>
      </c>
    </row>
    <row r="549" spans="1:33" x14ac:dyDescent="0.25">
      <c r="A549" s="9">
        <v>44256</v>
      </c>
      <c r="B549" s="3"/>
      <c r="C549" s="3"/>
      <c r="D549" s="3"/>
      <c r="E549" s="3"/>
      <c r="F549" s="3"/>
      <c r="G549" s="3"/>
      <c r="H549" s="3"/>
      <c r="I549" s="3"/>
      <c r="J549" s="23">
        <v>44256</v>
      </c>
      <c r="K549" s="24">
        <v>58.416666666666664</v>
      </c>
      <c r="L549" s="24">
        <v>74.599999999999994</v>
      </c>
      <c r="M549" s="24">
        <v>7.7395833333333321</v>
      </c>
      <c r="N549" s="24">
        <v>0</v>
      </c>
      <c r="O549" s="24">
        <v>220.91666666666666</v>
      </c>
      <c r="P549" s="24">
        <v>7.041666666666667</v>
      </c>
      <c r="Q549" s="24">
        <v>4.1666666666666664E-2</v>
      </c>
      <c r="R549" s="24">
        <v>3.4333333333333336</v>
      </c>
      <c r="S549" s="10">
        <v>0.27355106393402112</v>
      </c>
      <c r="T549" s="25">
        <v>0.37931250000000011</v>
      </c>
      <c r="U549" s="25">
        <v>0.39566666666666644</v>
      </c>
      <c r="V549" s="25">
        <v>0.45877083333333285</v>
      </c>
      <c r="W549" s="25">
        <v>0.42143750000000013</v>
      </c>
      <c r="X549" s="25">
        <v>0.46581249999999996</v>
      </c>
      <c r="Y549" s="25">
        <v>0.3612499999999999</v>
      </c>
      <c r="Z549" s="25">
        <v>0.3368124999999999</v>
      </c>
      <c r="AA549" s="25">
        <v>0.27999999999999986</v>
      </c>
      <c r="AB549" s="25">
        <v>0.37389583333333326</v>
      </c>
      <c r="AC549" s="25">
        <v>0.22553333333333339</v>
      </c>
      <c r="AD549" s="25">
        <v>0.38758333333333334</v>
      </c>
      <c r="AE549" s="27">
        <f t="shared" si="28"/>
        <v>0.42256250000000006</v>
      </c>
      <c r="AF549" s="27">
        <f t="shared" si="29"/>
        <v>0.37565624999999986</v>
      </c>
      <c r="AG549" s="27">
        <f t="shared" si="30"/>
        <v>0.38418465909090899</v>
      </c>
    </row>
    <row r="550" spans="1:33" x14ac:dyDescent="0.25">
      <c r="A550" s="9">
        <v>44257</v>
      </c>
      <c r="B550" s="3"/>
      <c r="C550" s="3"/>
      <c r="D550" s="3"/>
      <c r="E550" s="3"/>
      <c r="F550" s="3"/>
      <c r="G550" s="3"/>
      <c r="H550" s="3"/>
      <c r="I550" s="3"/>
      <c r="J550" s="23">
        <v>44257</v>
      </c>
      <c r="K550" s="24">
        <v>60.729166666666664</v>
      </c>
      <c r="L550" s="24">
        <v>74.533333333333346</v>
      </c>
      <c r="M550" s="24">
        <v>6.1999999999999984</v>
      </c>
      <c r="N550" s="24">
        <v>0</v>
      </c>
      <c r="O550" s="24">
        <v>228.27083333333334</v>
      </c>
      <c r="P550" s="24">
        <v>5.3125</v>
      </c>
      <c r="Q550" s="24">
        <v>0.14583333333333334</v>
      </c>
      <c r="R550" s="24">
        <v>1.9937500000000001</v>
      </c>
      <c r="S550" s="10">
        <v>0.24581333934932834</v>
      </c>
      <c r="T550" s="25">
        <v>0.37283333333333329</v>
      </c>
      <c r="U550" s="25">
        <v>0.39127083333333362</v>
      </c>
      <c r="V550" s="25">
        <v>0.4560833333333329</v>
      </c>
      <c r="W550" s="25">
        <v>0.42118750000000005</v>
      </c>
      <c r="X550" s="25">
        <v>0.45929166666666643</v>
      </c>
      <c r="Y550" s="25">
        <v>0.35785416666666631</v>
      </c>
      <c r="Z550" s="25">
        <v>0.33577083333333374</v>
      </c>
      <c r="AA550" s="25">
        <v>0.27999999999999986</v>
      </c>
      <c r="AB550" s="25">
        <v>0.36656249999999996</v>
      </c>
      <c r="AC550" s="25">
        <v>0.22</v>
      </c>
      <c r="AD550" s="25">
        <v>0.37508333333333344</v>
      </c>
      <c r="AE550" s="27">
        <f t="shared" si="28"/>
        <v>0.41606249999999989</v>
      </c>
      <c r="AF550" s="27">
        <f t="shared" si="29"/>
        <v>0.3736944444444445</v>
      </c>
      <c r="AG550" s="27">
        <f t="shared" si="30"/>
        <v>0.3813977272727273</v>
      </c>
    </row>
    <row r="551" spans="1:33" x14ac:dyDescent="0.25">
      <c r="A551" s="9">
        <v>44258</v>
      </c>
      <c r="B551" s="3"/>
      <c r="C551" s="3"/>
      <c r="D551" s="3"/>
      <c r="E551" s="3"/>
      <c r="F551" s="3"/>
      <c r="G551" s="3"/>
      <c r="H551" s="3"/>
      <c r="I551" s="3"/>
      <c r="J551" s="23">
        <v>44258</v>
      </c>
      <c r="K551" s="24">
        <v>45.645833333333336</v>
      </c>
      <c r="L551" s="24">
        <v>87.060416666666683</v>
      </c>
      <c r="M551" s="24">
        <v>5.7874999999999979</v>
      </c>
      <c r="N551" s="24">
        <v>0.8</v>
      </c>
      <c r="O551" s="24">
        <v>147.83333333333334</v>
      </c>
      <c r="P551" s="24">
        <v>2.5625</v>
      </c>
      <c r="Q551" s="24">
        <v>2.0833333333333332E-2</v>
      </c>
      <c r="R551" s="24">
        <v>3.725000000000001</v>
      </c>
      <c r="S551" s="10">
        <v>0.12899836024429354</v>
      </c>
      <c r="T551" s="25">
        <v>0.36970833333333325</v>
      </c>
      <c r="U551" s="25">
        <v>0.38860416666666692</v>
      </c>
      <c r="V551" s="25">
        <v>0.45333333333333309</v>
      </c>
      <c r="W551" s="25">
        <v>0.42016666666666697</v>
      </c>
      <c r="X551" s="25">
        <v>0.45612499999999984</v>
      </c>
      <c r="Y551" s="25">
        <v>0.35575000000000018</v>
      </c>
      <c r="Z551" s="25">
        <v>0.33485416666666695</v>
      </c>
      <c r="AA551" s="25">
        <v>0.27916666666666662</v>
      </c>
      <c r="AB551" s="25">
        <v>0.36427083333333349</v>
      </c>
      <c r="AC551" s="25">
        <v>0.21571739130434792</v>
      </c>
      <c r="AD551" s="25">
        <v>0.36679166666666685</v>
      </c>
      <c r="AE551" s="27">
        <f t="shared" si="28"/>
        <v>0.41291666666666654</v>
      </c>
      <c r="AF551" s="27">
        <f t="shared" si="29"/>
        <v>0.37197916666666681</v>
      </c>
      <c r="AG551" s="27">
        <f t="shared" si="30"/>
        <v>0.37942234848484857</v>
      </c>
    </row>
    <row r="552" spans="1:33" x14ac:dyDescent="0.25">
      <c r="A552" s="9">
        <v>44259</v>
      </c>
      <c r="B552" s="3"/>
      <c r="C552" s="3"/>
      <c r="D552" s="3"/>
      <c r="E552" s="3"/>
      <c r="F552" s="3"/>
      <c r="G552" s="3"/>
      <c r="H552" s="3"/>
      <c r="I552" s="3"/>
      <c r="J552" s="23">
        <v>44259</v>
      </c>
      <c r="K552" s="24">
        <v>35.4375</v>
      </c>
      <c r="L552" s="24">
        <v>94.210416666666717</v>
      </c>
      <c r="M552" s="24">
        <v>7.2458333333333327</v>
      </c>
      <c r="N552" s="24">
        <v>1.4</v>
      </c>
      <c r="O552" s="24">
        <v>235.04166666666666</v>
      </c>
      <c r="P552" s="24">
        <v>2.4166666666666665</v>
      </c>
      <c r="Q552" s="24">
        <v>4.1666666666666664E-2</v>
      </c>
      <c r="R552" s="24">
        <v>6.3666666666666671</v>
      </c>
      <c r="S552" s="10">
        <v>6.1866130048236816E-2</v>
      </c>
      <c r="T552" s="25">
        <v>0.36864583333333334</v>
      </c>
      <c r="U552" s="25">
        <v>0.3875000000000004</v>
      </c>
      <c r="V552" s="25">
        <v>0.45195833333333374</v>
      </c>
      <c r="W552" s="25">
        <v>0.41987500000000028</v>
      </c>
      <c r="X552" s="25">
        <v>0.45454166666666634</v>
      </c>
      <c r="Y552" s="25">
        <v>0.35422916666666632</v>
      </c>
      <c r="Z552" s="25">
        <v>0.33402083333333304</v>
      </c>
      <c r="AA552" s="25">
        <v>0.27883333333333338</v>
      </c>
      <c r="AB552" s="25">
        <v>0.36360000000000003</v>
      </c>
      <c r="AC552" s="25">
        <v>0.21583333333333332</v>
      </c>
      <c r="AD552" s="25">
        <v>0.36156250000000029</v>
      </c>
      <c r="AE552" s="27">
        <f t="shared" si="28"/>
        <v>0.41159374999999987</v>
      </c>
      <c r="AF552" s="27">
        <f t="shared" si="29"/>
        <v>0.37106944444444451</v>
      </c>
      <c r="AG552" s="27">
        <f t="shared" si="30"/>
        <v>0.37843750000000004</v>
      </c>
    </row>
    <row r="553" spans="1:33" x14ac:dyDescent="0.25">
      <c r="A553" s="9">
        <v>44260</v>
      </c>
      <c r="B553" s="3"/>
      <c r="C553" s="3"/>
      <c r="D553" s="3"/>
      <c r="E553" s="3"/>
      <c r="F553" s="3"/>
      <c r="G553" s="3"/>
      <c r="H553" s="3"/>
      <c r="I553" s="3"/>
      <c r="J553" s="23">
        <v>44260</v>
      </c>
      <c r="K553" s="24">
        <v>73.583333333333329</v>
      </c>
      <c r="L553" s="24">
        <v>89.952083333333334</v>
      </c>
      <c r="M553" s="24">
        <v>9.2104166666666689</v>
      </c>
      <c r="N553" s="24">
        <v>0.2</v>
      </c>
      <c r="O553" s="24">
        <v>219.85416666666666</v>
      </c>
      <c r="P553" s="24">
        <v>4.291666666666667</v>
      </c>
      <c r="Q553" s="24">
        <v>2.0833333333333332E-2</v>
      </c>
      <c r="R553" s="24">
        <v>7.5833333333333348</v>
      </c>
      <c r="S553" s="10">
        <v>0.1267206010757059</v>
      </c>
      <c r="T553" s="25">
        <v>0.36920833333333336</v>
      </c>
      <c r="U553" s="25">
        <v>0.38814583333333325</v>
      </c>
      <c r="V553" s="25">
        <v>0.45237499999999992</v>
      </c>
      <c r="W553" s="25">
        <v>0.42000000000000032</v>
      </c>
      <c r="X553" s="25">
        <v>0.45597916666666632</v>
      </c>
      <c r="Y553" s="25">
        <v>0.35416666666666652</v>
      </c>
      <c r="Z553" s="25">
        <v>0.3339999999999998</v>
      </c>
      <c r="AA553" s="25">
        <v>0.27841666666666676</v>
      </c>
      <c r="AB553" s="25">
        <v>0.36814583333333334</v>
      </c>
      <c r="AC553" s="25">
        <v>0.22131428571428571</v>
      </c>
      <c r="AD553" s="25">
        <v>0.36085416666666675</v>
      </c>
      <c r="AE553" s="27">
        <f t="shared" si="28"/>
        <v>0.41259374999999987</v>
      </c>
      <c r="AF553" s="27">
        <f t="shared" si="29"/>
        <v>0.37118402777777781</v>
      </c>
      <c r="AG553" s="27">
        <f t="shared" si="30"/>
        <v>0.37871306818181821</v>
      </c>
    </row>
    <row r="554" spans="1:33" x14ac:dyDescent="0.25">
      <c r="A554" s="9">
        <v>44261</v>
      </c>
      <c r="B554" s="3"/>
      <c r="C554" s="3"/>
      <c r="D554" s="3"/>
      <c r="E554" s="3"/>
      <c r="F554" s="3"/>
      <c r="G554" s="3"/>
      <c r="H554" s="3"/>
      <c r="I554" s="3"/>
      <c r="J554" s="23">
        <v>44261</v>
      </c>
      <c r="K554" s="24">
        <v>97.833333333333329</v>
      </c>
      <c r="L554" s="24">
        <v>76.99166666666666</v>
      </c>
      <c r="M554" s="24">
        <v>10.45833333333333</v>
      </c>
      <c r="N554" s="24">
        <v>0</v>
      </c>
      <c r="O554" s="24">
        <v>217.91666666666666</v>
      </c>
      <c r="P554" s="24">
        <v>4.395833333333333</v>
      </c>
      <c r="Q554" s="24">
        <v>6.25E-2</v>
      </c>
      <c r="R554" s="24">
        <v>6.4395833333333341</v>
      </c>
      <c r="S554" s="10">
        <v>0.31722784226238493</v>
      </c>
      <c r="T554" s="25">
        <v>0.36893749999999992</v>
      </c>
      <c r="U554" s="25">
        <v>0.38987499999999969</v>
      </c>
      <c r="V554" s="25">
        <v>0.4548124999999999</v>
      </c>
      <c r="W554" s="25">
        <v>0.42091666666666638</v>
      </c>
      <c r="X554" s="25">
        <v>0.45770833333333344</v>
      </c>
      <c r="Y554" s="25">
        <v>0.35491666666666671</v>
      </c>
      <c r="Z554" s="25">
        <v>0.33485416666666695</v>
      </c>
      <c r="AA554" s="25">
        <v>0.27902083333333327</v>
      </c>
      <c r="AB554" s="25">
        <v>0.36552083333333352</v>
      </c>
      <c r="AC554" s="25">
        <v>0.21616666666666673</v>
      </c>
      <c r="AD554" s="25">
        <v>0.35627083333333331</v>
      </c>
      <c r="AE554" s="27">
        <f t="shared" si="28"/>
        <v>0.41332291666666665</v>
      </c>
      <c r="AF554" s="27">
        <f t="shared" si="29"/>
        <v>0.3723993055555555</v>
      </c>
      <c r="AG554" s="27">
        <f t="shared" si="30"/>
        <v>0.37983996212121207</v>
      </c>
    </row>
    <row r="555" spans="1:33" x14ac:dyDescent="0.25">
      <c r="A555" s="9">
        <v>44262</v>
      </c>
      <c r="B555" s="3"/>
      <c r="C555" s="3"/>
      <c r="D555" s="3"/>
      <c r="E555" s="3"/>
      <c r="F555" s="3"/>
      <c r="G555" s="3"/>
      <c r="H555" s="3"/>
      <c r="I555" s="3"/>
      <c r="J555" s="23">
        <v>44262</v>
      </c>
      <c r="K555" s="24">
        <v>31.770833333333332</v>
      </c>
      <c r="L555" s="24">
        <v>87.479166666666686</v>
      </c>
      <c r="M555" s="24">
        <v>8.5749999999999993</v>
      </c>
      <c r="N555" s="24">
        <v>0.8</v>
      </c>
      <c r="O555" s="24">
        <v>228.02083333333334</v>
      </c>
      <c r="P555" s="24">
        <v>5.395833333333333</v>
      </c>
      <c r="Q555" s="24">
        <v>0.27083333333333331</v>
      </c>
      <c r="R555" s="24">
        <v>6.604166666666667</v>
      </c>
      <c r="S555" s="10">
        <v>0.14032844882007564</v>
      </c>
      <c r="T555" s="25">
        <v>0.36681249999999982</v>
      </c>
      <c r="U555" s="25">
        <v>0.39045833333333363</v>
      </c>
      <c r="V555" s="25">
        <v>0.45604166666666623</v>
      </c>
      <c r="W555" s="25">
        <v>0.42212500000000003</v>
      </c>
      <c r="X555" s="25">
        <v>0.45729166666666693</v>
      </c>
      <c r="Y555" s="25">
        <v>0.35541666666666688</v>
      </c>
      <c r="Z555" s="25">
        <v>0.33500000000000041</v>
      </c>
      <c r="AA555" s="25">
        <v>0.27983333333333321</v>
      </c>
      <c r="AB555" s="25">
        <v>0.3622083333333333</v>
      </c>
      <c r="AC555" s="53">
        <f t="shared" ref="AC555:AC558" si="31">AD555*0.5711-0.0033</f>
        <v>0.19562126875000002</v>
      </c>
      <c r="AD555" s="25">
        <v>0.34831250000000002</v>
      </c>
      <c r="AE555" s="27">
        <f t="shared" si="28"/>
        <v>0.41205208333333337</v>
      </c>
      <c r="AF555" s="27">
        <f t="shared" si="29"/>
        <v>0.37314583333333345</v>
      </c>
      <c r="AG555" s="27">
        <f t="shared" si="30"/>
        <v>0.38021969696969704</v>
      </c>
    </row>
    <row r="556" spans="1:33" x14ac:dyDescent="0.25">
      <c r="A556" s="9">
        <v>44263</v>
      </c>
      <c r="B556" s="3"/>
      <c r="C556" s="3"/>
      <c r="D556" s="3"/>
      <c r="E556" s="3"/>
      <c r="F556" s="3"/>
      <c r="G556" s="3"/>
      <c r="H556" s="3"/>
      <c r="I556" s="3"/>
      <c r="J556" s="23">
        <v>44263</v>
      </c>
      <c r="K556" s="24">
        <v>29.395833333333332</v>
      </c>
      <c r="L556" s="24">
        <v>96.785416666666663</v>
      </c>
      <c r="M556" s="24">
        <v>8.9541666666666639</v>
      </c>
      <c r="N556" s="24">
        <v>1.2</v>
      </c>
      <c r="O556" s="24">
        <v>217.47916666666666</v>
      </c>
      <c r="P556" s="24">
        <v>3.75</v>
      </c>
      <c r="Q556" s="24">
        <v>0.20833333333333334</v>
      </c>
      <c r="R556" s="24">
        <v>8.4791666666666679</v>
      </c>
      <c r="S556" s="10">
        <v>3.6914809599831684E-2</v>
      </c>
      <c r="T556" s="25">
        <v>0.3651875</v>
      </c>
      <c r="U556" s="25">
        <v>0.3896041666666667</v>
      </c>
      <c r="V556" s="25">
        <v>0.45499999999999963</v>
      </c>
      <c r="W556" s="25">
        <v>0.4229999999999996</v>
      </c>
      <c r="X556" s="25">
        <v>0.45591666666666669</v>
      </c>
      <c r="Y556" s="25">
        <v>0.35427083333333304</v>
      </c>
      <c r="Z556" s="25">
        <v>0.33500000000000041</v>
      </c>
      <c r="AA556" s="25">
        <v>0.27947916666666639</v>
      </c>
      <c r="AB556" s="25">
        <v>0.36954166666666671</v>
      </c>
      <c r="AC556" s="53">
        <f t="shared" si="31"/>
        <v>0.19594251249999994</v>
      </c>
      <c r="AD556" s="25">
        <v>0.34887499999999988</v>
      </c>
      <c r="AE556" s="27">
        <f t="shared" si="28"/>
        <v>0.41055208333333337</v>
      </c>
      <c r="AF556" s="27">
        <f t="shared" si="29"/>
        <v>0.37272569444444431</v>
      </c>
      <c r="AG556" s="27">
        <f t="shared" si="30"/>
        <v>0.37960321969696958</v>
      </c>
    </row>
    <row r="557" spans="1:33" x14ac:dyDescent="0.25">
      <c r="A557" s="9">
        <v>44264</v>
      </c>
      <c r="B557" s="3"/>
      <c r="C557" s="3"/>
      <c r="D557" s="3"/>
      <c r="E557" s="3"/>
      <c r="F557" s="3"/>
      <c r="G557" s="3"/>
      <c r="H557" s="3"/>
      <c r="I557" s="3"/>
      <c r="J557" s="23">
        <v>44264</v>
      </c>
      <c r="K557" s="24">
        <v>23.8125</v>
      </c>
      <c r="L557" s="24">
        <v>97.064583333333317</v>
      </c>
      <c r="M557" s="24">
        <v>7.3645833333333348</v>
      </c>
      <c r="N557" s="24">
        <v>1.2</v>
      </c>
      <c r="O557" s="24">
        <v>217.64583333333334</v>
      </c>
      <c r="P557" s="24">
        <v>4.5625</v>
      </c>
      <c r="Q557" s="24">
        <v>6.25E-2</v>
      </c>
      <c r="R557" s="24">
        <v>6.9250000000000007</v>
      </c>
      <c r="S557" s="10">
        <v>3.0349994917071309E-2</v>
      </c>
      <c r="T557" s="25">
        <v>0.36345833333333305</v>
      </c>
      <c r="U557" s="25">
        <v>0.38943749999999971</v>
      </c>
      <c r="V557" s="25">
        <v>0.45489583333333306</v>
      </c>
      <c r="W557" s="25">
        <v>0.4239374999999998</v>
      </c>
      <c r="X557" s="25">
        <v>0.45510416666666637</v>
      </c>
      <c r="Y557" s="25">
        <v>0.35364583333333321</v>
      </c>
      <c r="Z557" s="25">
        <v>0.33500000000000041</v>
      </c>
      <c r="AA557" s="25">
        <v>0.27977083333333314</v>
      </c>
      <c r="AB557" s="25">
        <v>0.37060416666666668</v>
      </c>
      <c r="AC557" s="53">
        <f t="shared" si="31"/>
        <v>0.19569265625000012</v>
      </c>
      <c r="AD557" s="25">
        <v>0.34843750000000018</v>
      </c>
      <c r="AE557" s="27">
        <f t="shared" si="28"/>
        <v>0.40928124999999971</v>
      </c>
      <c r="AF557" s="27">
        <f t="shared" si="29"/>
        <v>0.3727812499999999</v>
      </c>
      <c r="AG557" s="27">
        <f t="shared" si="30"/>
        <v>0.3794176136363635</v>
      </c>
    </row>
    <row r="558" spans="1:33" x14ac:dyDescent="0.25">
      <c r="A558" s="9">
        <v>44265</v>
      </c>
      <c r="B558" s="3"/>
      <c r="C558" s="3"/>
      <c r="D558" s="3"/>
      <c r="E558" s="3"/>
      <c r="F558" s="3"/>
      <c r="G558" s="3"/>
      <c r="H558" s="3"/>
      <c r="I558" s="3"/>
      <c r="J558" s="23">
        <v>44265</v>
      </c>
      <c r="K558" s="24">
        <v>28.083333333333332</v>
      </c>
      <c r="L558" s="24">
        <v>97.325000000000003</v>
      </c>
      <c r="M558" s="24">
        <v>7.5687500000000014</v>
      </c>
      <c r="N558" s="24">
        <v>0.60000000000000009</v>
      </c>
      <c r="O558" s="24">
        <v>219.25</v>
      </c>
      <c r="P558" s="24">
        <v>3.3125</v>
      </c>
      <c r="Q558" s="24">
        <v>0</v>
      </c>
      <c r="R558" s="24">
        <v>7.1645833333333337</v>
      </c>
      <c r="S558" s="10">
        <v>2.8301242683134012E-2</v>
      </c>
      <c r="T558" s="25">
        <v>0.3614791666666668</v>
      </c>
      <c r="U558" s="25">
        <v>0.38854166666666656</v>
      </c>
      <c r="V558" s="25">
        <v>0.45347916666666627</v>
      </c>
      <c r="W558" s="25">
        <v>0.42399999999999977</v>
      </c>
      <c r="X558" s="25">
        <v>0.45312499999999978</v>
      </c>
      <c r="Y558" s="25">
        <v>0.35275000000000006</v>
      </c>
      <c r="Z558" s="25">
        <v>0.33500000000000041</v>
      </c>
      <c r="AA558" s="25">
        <v>0.2799791666666665</v>
      </c>
      <c r="AB558" s="25">
        <v>0.37347619047619057</v>
      </c>
      <c r="AC558" s="53">
        <f t="shared" si="31"/>
        <v>0.1945980479166666</v>
      </c>
      <c r="AD558" s="25">
        <v>0.34652083333333317</v>
      </c>
      <c r="AE558" s="27">
        <f t="shared" si="28"/>
        <v>0.40730208333333329</v>
      </c>
      <c r="AF558" s="27">
        <f t="shared" si="29"/>
        <v>0.37229166666666663</v>
      </c>
      <c r="AG558" s="27">
        <f t="shared" si="30"/>
        <v>0.37865719696969685</v>
      </c>
    </row>
    <row r="559" spans="1:33" x14ac:dyDescent="0.25">
      <c r="A559" s="9">
        <v>44266</v>
      </c>
      <c r="B559" s="3"/>
      <c r="C559" s="3"/>
      <c r="D559" s="3"/>
      <c r="E559" s="3"/>
      <c r="F559" s="3"/>
      <c r="G559" s="3"/>
      <c r="H559" s="3"/>
      <c r="I559" s="3"/>
      <c r="J559" s="23">
        <v>44266</v>
      </c>
      <c r="K559" s="24">
        <v>66.854166666666671</v>
      </c>
      <c r="L559" s="24">
        <v>88.268750000000011</v>
      </c>
      <c r="M559" s="24">
        <v>10.170833333333334</v>
      </c>
      <c r="N559" s="24">
        <v>0.2</v>
      </c>
      <c r="O559" s="24">
        <v>240.125</v>
      </c>
      <c r="P559" s="24">
        <v>3.5625</v>
      </c>
      <c r="Q559" s="24">
        <v>0.1875</v>
      </c>
      <c r="R559" s="24">
        <v>8.2458333333333318</v>
      </c>
      <c r="S559" s="10">
        <v>0.16333861940123917</v>
      </c>
      <c r="T559" s="25">
        <v>0.36149999999999993</v>
      </c>
      <c r="U559" s="25">
        <v>0.38897916666666665</v>
      </c>
      <c r="V559" s="25">
        <v>0.45370833333333277</v>
      </c>
      <c r="W559" s="25">
        <v>0.42399999999999977</v>
      </c>
      <c r="X559" s="25">
        <v>0.45412499999999983</v>
      </c>
      <c r="Y559" s="25">
        <v>0.35264583333333338</v>
      </c>
      <c r="Z559" s="25">
        <v>0.33500000000000041</v>
      </c>
      <c r="AA559" s="25">
        <v>0.27999999999999986</v>
      </c>
      <c r="AB559" s="25">
        <v>0.37595652173913052</v>
      </c>
      <c r="AC559" s="25">
        <v>0.22809090909090915</v>
      </c>
      <c r="AD559" s="25">
        <v>0.34566666666666657</v>
      </c>
      <c r="AE559" s="27">
        <f t="shared" si="28"/>
        <v>0.40781249999999991</v>
      </c>
      <c r="AF559" s="27">
        <f t="shared" si="29"/>
        <v>0.37238888888888882</v>
      </c>
      <c r="AG559" s="27">
        <f t="shared" si="30"/>
        <v>0.37882954545454539</v>
      </c>
    </row>
    <row r="560" spans="1:33" x14ac:dyDescent="0.25">
      <c r="A560" s="9">
        <v>44267</v>
      </c>
      <c r="B560" s="3"/>
      <c r="C560" s="3"/>
      <c r="D560" s="3"/>
      <c r="E560" s="3"/>
      <c r="F560" s="3"/>
      <c r="G560" s="3"/>
      <c r="H560" s="3"/>
      <c r="I560" s="3"/>
      <c r="J560" s="23">
        <v>44267</v>
      </c>
      <c r="K560" s="24">
        <v>59.666666666666664</v>
      </c>
      <c r="L560" s="24">
        <v>92.177083333333314</v>
      </c>
      <c r="M560" s="24">
        <v>11.425000000000006</v>
      </c>
      <c r="N560" s="24">
        <v>0.8</v>
      </c>
      <c r="O560" s="24">
        <v>229.60416666666666</v>
      </c>
      <c r="P560" s="24">
        <v>3.6458333333333335</v>
      </c>
      <c r="Q560" s="24">
        <v>0.14583333333333334</v>
      </c>
      <c r="R560" s="24">
        <v>10.1625</v>
      </c>
      <c r="S560" s="10">
        <v>0.11614381905858663</v>
      </c>
      <c r="T560" s="25">
        <v>0.36235416666666659</v>
      </c>
      <c r="U560" s="25">
        <v>0.39133333333333331</v>
      </c>
      <c r="V560" s="25">
        <v>0.45614583333333325</v>
      </c>
      <c r="W560" s="25">
        <v>0.42560416666666634</v>
      </c>
      <c r="X560" s="25">
        <v>0.45697916666666655</v>
      </c>
      <c r="Y560" s="25">
        <v>0.35395833333333332</v>
      </c>
      <c r="Z560" s="25">
        <v>0.33575000000000021</v>
      </c>
      <c r="AA560" s="25">
        <v>0.28004166666666658</v>
      </c>
      <c r="AB560" s="25">
        <v>0.37854166666666683</v>
      </c>
      <c r="AC560" s="25">
        <v>0.22900000000000004</v>
      </c>
      <c r="AD560" s="25">
        <v>0.34441666666666687</v>
      </c>
      <c r="AE560" s="27">
        <f t="shared" si="28"/>
        <v>0.40966666666666657</v>
      </c>
      <c r="AF560" s="27">
        <f t="shared" si="29"/>
        <v>0.3738055555555555</v>
      </c>
      <c r="AG560" s="27">
        <f t="shared" si="30"/>
        <v>0.38032575757575754</v>
      </c>
    </row>
    <row r="561" spans="1:33" x14ac:dyDescent="0.25">
      <c r="A561" s="9">
        <v>44268</v>
      </c>
      <c r="B561" s="3"/>
      <c r="C561" s="3"/>
      <c r="D561" s="3"/>
      <c r="E561" s="3"/>
      <c r="F561" s="3"/>
      <c r="G561" s="3"/>
      <c r="H561" s="3"/>
      <c r="I561" s="3"/>
      <c r="J561" s="23">
        <v>44268</v>
      </c>
      <c r="K561" s="24">
        <v>89.3125</v>
      </c>
      <c r="L561" s="24">
        <v>87.402083333333337</v>
      </c>
      <c r="M561" s="24">
        <v>14.029166666666669</v>
      </c>
      <c r="N561" s="24">
        <v>0.4</v>
      </c>
      <c r="O561" s="24">
        <v>229.79166666666666</v>
      </c>
      <c r="P561" s="24">
        <v>3.3333333333333335</v>
      </c>
      <c r="Q561" s="24">
        <v>6.25E-2</v>
      </c>
      <c r="R561" s="24">
        <v>11.812499999999995</v>
      </c>
      <c r="S561" s="10">
        <v>0.23681439600186496</v>
      </c>
      <c r="T561" s="25">
        <v>0.36333333333333323</v>
      </c>
      <c r="U561" s="25">
        <v>0.39377083333333346</v>
      </c>
      <c r="V561" s="25">
        <v>0.45862500000000006</v>
      </c>
      <c r="W561" s="25">
        <v>0.42745833333333355</v>
      </c>
      <c r="X561" s="25">
        <v>0.46014583333333348</v>
      </c>
      <c r="Y561" s="25">
        <v>0.35541666666666677</v>
      </c>
      <c r="Z561" s="25">
        <v>0.33697916666666644</v>
      </c>
      <c r="AA561" s="25">
        <v>0.2806875000000002</v>
      </c>
      <c r="AB561" s="25">
        <v>0.37949999999999995</v>
      </c>
      <c r="AC561" s="25">
        <v>0.22925925925925941</v>
      </c>
      <c r="AD561" s="25">
        <v>0.3437291666666667</v>
      </c>
      <c r="AE561" s="27">
        <f t="shared" si="28"/>
        <v>0.41173958333333338</v>
      </c>
      <c r="AF561" s="27">
        <f t="shared" si="29"/>
        <v>0.37548958333333338</v>
      </c>
      <c r="AG561" s="27">
        <f t="shared" si="30"/>
        <v>0.38208049242424247</v>
      </c>
    </row>
    <row r="562" spans="1:33" x14ac:dyDescent="0.25">
      <c r="A562" s="9">
        <v>44269</v>
      </c>
      <c r="B562" s="3"/>
      <c r="C562" s="3"/>
      <c r="D562" s="3"/>
      <c r="E562" s="3"/>
      <c r="F562" s="3"/>
      <c r="G562" s="3"/>
      <c r="H562" s="3"/>
      <c r="I562" s="3"/>
      <c r="J562" s="23">
        <v>44269</v>
      </c>
      <c r="K562" s="24">
        <v>149.39583333333334</v>
      </c>
      <c r="L562" s="24">
        <v>82.860416666666666</v>
      </c>
      <c r="M562" s="24">
        <v>16.62083333333333</v>
      </c>
      <c r="N562" s="24">
        <v>0.4</v>
      </c>
      <c r="O562" s="24">
        <v>230.70833333333334</v>
      </c>
      <c r="P562" s="24">
        <v>17</v>
      </c>
      <c r="Q562" s="24">
        <v>3.625</v>
      </c>
      <c r="R562" s="24">
        <v>13.497916666666669</v>
      </c>
      <c r="S562" s="10">
        <v>0.37454488342155962</v>
      </c>
      <c r="T562" s="25">
        <v>0.36460416666666667</v>
      </c>
      <c r="U562" s="25">
        <v>0.39731250000000001</v>
      </c>
      <c r="V562" s="25">
        <v>0.46220833333333328</v>
      </c>
      <c r="W562" s="25">
        <v>0.43012500000000004</v>
      </c>
      <c r="X562" s="25">
        <v>0.46481250000000007</v>
      </c>
      <c r="Y562" s="25">
        <v>0.35768749999999988</v>
      </c>
      <c r="Z562" s="25">
        <v>0.33893750000000017</v>
      </c>
      <c r="AA562" s="25">
        <v>0.28220833333333317</v>
      </c>
      <c r="AB562" s="25">
        <v>0.37941666666666668</v>
      </c>
      <c r="AC562" s="25">
        <v>0.2205</v>
      </c>
      <c r="AD562" s="25">
        <v>0.3411249999999999</v>
      </c>
      <c r="AE562" s="27">
        <f t="shared" si="28"/>
        <v>0.41470833333333335</v>
      </c>
      <c r="AF562" s="27">
        <f t="shared" si="29"/>
        <v>0.37807986111111108</v>
      </c>
      <c r="AG562" s="27">
        <f t="shared" si="30"/>
        <v>0.3847395833333333</v>
      </c>
    </row>
    <row r="563" spans="1:33" x14ac:dyDescent="0.25">
      <c r="A563" s="9">
        <v>44270</v>
      </c>
      <c r="B563" s="3"/>
      <c r="C563" s="3"/>
      <c r="D563" s="3"/>
      <c r="E563" s="3"/>
      <c r="F563" s="3"/>
      <c r="G563" s="3"/>
      <c r="H563" s="3"/>
      <c r="I563" s="3"/>
      <c r="J563" s="23">
        <v>44270</v>
      </c>
      <c r="K563" s="24">
        <v>193.85416666666666</v>
      </c>
      <c r="L563" s="24">
        <v>71.341666666666669</v>
      </c>
      <c r="M563" s="24">
        <v>19.283333333333335</v>
      </c>
      <c r="N563" s="24">
        <v>0</v>
      </c>
      <c r="O563" s="24">
        <v>234.22916666666666</v>
      </c>
      <c r="P563" s="24">
        <v>9.3125</v>
      </c>
      <c r="Q563" s="24">
        <v>1.4166666666666667</v>
      </c>
      <c r="R563" s="24">
        <v>13.477083333333335</v>
      </c>
      <c r="S563" s="10">
        <v>0.7559690671996645</v>
      </c>
      <c r="T563" s="25">
        <v>0.36547916666666658</v>
      </c>
      <c r="U563" s="25">
        <v>0.40083333333333332</v>
      </c>
      <c r="V563" s="25">
        <v>0.46714583333333332</v>
      </c>
      <c r="W563" s="25">
        <v>0.43352083333333291</v>
      </c>
      <c r="X563" s="25">
        <v>0.47095833333333331</v>
      </c>
      <c r="Y563" s="25">
        <v>0.36037500000000006</v>
      </c>
      <c r="Z563" s="25">
        <v>0.3415000000000003</v>
      </c>
      <c r="AA563" s="25">
        <v>0.28404166666666675</v>
      </c>
      <c r="AB563" s="25">
        <v>0.37616666666666654</v>
      </c>
      <c r="AC563" s="25">
        <v>0.21783333333333335</v>
      </c>
      <c r="AD563" s="25">
        <v>0.3322500000000001</v>
      </c>
      <c r="AE563" s="27">
        <f t="shared" si="28"/>
        <v>0.41821874999999997</v>
      </c>
      <c r="AF563" s="27">
        <f t="shared" si="29"/>
        <v>0.38123611111111105</v>
      </c>
      <c r="AG563" s="27">
        <f t="shared" si="30"/>
        <v>0.38796022727272722</v>
      </c>
    </row>
    <row r="564" spans="1:33" x14ac:dyDescent="0.25">
      <c r="A564" s="9">
        <v>44271</v>
      </c>
      <c r="B564" s="3"/>
      <c r="C564" s="3"/>
      <c r="D564" s="3"/>
      <c r="E564" s="3"/>
      <c r="F564" s="3"/>
      <c r="G564" s="3"/>
      <c r="H564" s="3"/>
      <c r="I564" s="3"/>
      <c r="J564" s="23">
        <v>44271</v>
      </c>
      <c r="K564" s="24">
        <v>173.41666666666666</v>
      </c>
      <c r="L564" s="24">
        <v>76.772916666666688</v>
      </c>
      <c r="M564" s="24">
        <v>19.112500000000004</v>
      </c>
      <c r="N564" s="24">
        <v>0</v>
      </c>
      <c r="O564" s="24">
        <v>232.83333333333334</v>
      </c>
      <c r="P564" s="24">
        <v>11.458333333333334</v>
      </c>
      <c r="Q564" s="24">
        <v>1.9791666666666667</v>
      </c>
      <c r="R564" s="24">
        <v>14.681250000000004</v>
      </c>
      <c r="S564" s="10">
        <v>0.57917474797373059</v>
      </c>
      <c r="T564" s="25">
        <v>0.36437499999999989</v>
      </c>
      <c r="U564" s="25">
        <v>0.40385416666666701</v>
      </c>
      <c r="V564" s="25">
        <v>0.47125000000000011</v>
      </c>
      <c r="W564" s="25">
        <v>0.43760416666666685</v>
      </c>
      <c r="X564" s="25">
        <v>0.47435416666666669</v>
      </c>
      <c r="Y564" s="25">
        <v>0.36262500000000003</v>
      </c>
      <c r="Z564" s="25">
        <v>0.34399999999999992</v>
      </c>
      <c r="AA564" s="25">
        <v>0.28606250000000011</v>
      </c>
      <c r="AB564" s="25">
        <v>0.36935714285714288</v>
      </c>
      <c r="AC564" s="25">
        <v>0.19474999999999998</v>
      </c>
      <c r="AD564" s="25">
        <v>0.3171041666666668</v>
      </c>
      <c r="AE564" s="27">
        <f t="shared" si="28"/>
        <v>0.41936458333333326</v>
      </c>
      <c r="AF564" s="27">
        <f t="shared" si="29"/>
        <v>0.38423263888888898</v>
      </c>
      <c r="AG564" s="27">
        <f t="shared" si="30"/>
        <v>0.39062026515151521</v>
      </c>
    </row>
    <row r="565" spans="1:33" x14ac:dyDescent="0.25">
      <c r="A565" s="9">
        <v>44272</v>
      </c>
      <c r="B565" s="3"/>
      <c r="C565" s="3"/>
      <c r="D565" s="3"/>
      <c r="E565" s="3"/>
      <c r="F565" s="3"/>
      <c r="G565" s="3"/>
      <c r="H565" s="3"/>
      <c r="I565" s="3"/>
      <c r="J565" s="23">
        <v>44272</v>
      </c>
      <c r="K565" s="24">
        <v>213.52083333333334</v>
      </c>
      <c r="L565" s="24">
        <v>71.218749999999986</v>
      </c>
      <c r="M565" s="24">
        <v>20.668749999999999</v>
      </c>
      <c r="N565" s="24">
        <v>0</v>
      </c>
      <c r="O565" s="24">
        <v>234.79166666666666</v>
      </c>
      <c r="P565" s="24">
        <v>15.895833333333334</v>
      </c>
      <c r="Q565" s="24">
        <v>3.4791666666666665</v>
      </c>
      <c r="R565" s="24">
        <v>14.797916666666667</v>
      </c>
      <c r="S565" s="10">
        <v>0.81254563463007956</v>
      </c>
      <c r="T565" s="25">
        <v>0.36154166666666665</v>
      </c>
      <c r="U565" s="25">
        <v>0.40520833333333311</v>
      </c>
      <c r="V565" s="25">
        <v>0.4741666666666669</v>
      </c>
      <c r="W565" s="25">
        <v>0.44108333333333366</v>
      </c>
      <c r="X565" s="25">
        <v>0.47539583333333368</v>
      </c>
      <c r="Y565" s="25">
        <v>0.36256250000000007</v>
      </c>
      <c r="Z565" s="25">
        <v>0.34597916666666673</v>
      </c>
      <c r="AA565" s="25">
        <v>0.28754166666666675</v>
      </c>
      <c r="AB565" s="25">
        <v>0.36287499999999989</v>
      </c>
      <c r="AC565" s="25">
        <v>0.19091428571428573</v>
      </c>
      <c r="AD565" s="25">
        <v>0.29943750000000008</v>
      </c>
      <c r="AE565" s="27">
        <f t="shared" si="28"/>
        <v>0.41846875000000017</v>
      </c>
      <c r="AF565" s="27">
        <f t="shared" si="29"/>
        <v>0.38609027777777793</v>
      </c>
      <c r="AG565" s="27">
        <f t="shared" si="30"/>
        <v>0.3919772727272729</v>
      </c>
    </row>
    <row r="566" spans="1:33" x14ac:dyDescent="0.25">
      <c r="A566" s="9">
        <v>44273</v>
      </c>
      <c r="B566" s="3"/>
      <c r="C566" s="3"/>
      <c r="D566" s="3"/>
      <c r="E566" s="3"/>
      <c r="F566" s="3"/>
      <c r="G566" s="3"/>
      <c r="H566" s="3"/>
      <c r="I566" s="3"/>
      <c r="J566" s="23">
        <v>44273</v>
      </c>
      <c r="K566" s="24">
        <v>218.1875</v>
      </c>
      <c r="L566" s="24">
        <v>64.377083333333346</v>
      </c>
      <c r="M566" s="24">
        <v>21.5625</v>
      </c>
      <c r="N566" s="24">
        <v>0</v>
      </c>
      <c r="O566" s="24">
        <v>232.5625</v>
      </c>
      <c r="P566" s="24">
        <v>15.5</v>
      </c>
      <c r="Q566" s="24">
        <v>3.8541666666666665</v>
      </c>
      <c r="R566" s="24">
        <v>13.589583333333332</v>
      </c>
      <c r="S566" s="10">
        <v>1.0894872885038709</v>
      </c>
      <c r="T566" s="25">
        <v>0.35583333333333339</v>
      </c>
      <c r="U566" s="25">
        <v>0.40450000000000008</v>
      </c>
      <c r="V566" s="25">
        <v>0.47535416666666669</v>
      </c>
      <c r="W566" s="25">
        <v>0.44466666666666682</v>
      </c>
      <c r="X566" s="25">
        <v>0.47343750000000001</v>
      </c>
      <c r="Y566" s="25">
        <v>0.36022916666666688</v>
      </c>
      <c r="Z566" s="25">
        <v>0.3469999999999997</v>
      </c>
      <c r="AA566" s="25">
        <v>0.28906249999999972</v>
      </c>
      <c r="AB566" s="25">
        <v>0.35208695652173916</v>
      </c>
      <c r="AC566" s="25">
        <v>0.17213157894736839</v>
      </c>
      <c r="AD566" s="25">
        <v>0.2765833333333334</v>
      </c>
      <c r="AE566" s="27">
        <f t="shared" si="28"/>
        <v>0.4146354166666667</v>
      </c>
      <c r="AF566" s="27">
        <f t="shared" si="29"/>
        <v>0.38680208333333327</v>
      </c>
      <c r="AG566" s="27">
        <f t="shared" si="30"/>
        <v>0.39186268939393937</v>
      </c>
    </row>
    <row r="567" spans="1:33" x14ac:dyDescent="0.25">
      <c r="A567" s="9">
        <v>44274</v>
      </c>
      <c r="B567" s="3"/>
      <c r="C567" s="3"/>
      <c r="D567" s="3"/>
      <c r="E567" s="3"/>
      <c r="F567" s="3"/>
      <c r="G567" s="3"/>
      <c r="H567" s="3"/>
      <c r="I567" s="3"/>
      <c r="J567" s="23">
        <v>44274</v>
      </c>
      <c r="K567" s="24">
        <v>218.625</v>
      </c>
      <c r="L567" s="24">
        <v>65.500000000000014</v>
      </c>
      <c r="M567" s="24">
        <v>21.112500000000001</v>
      </c>
      <c r="N567" s="24">
        <v>0</v>
      </c>
      <c r="O567" s="24">
        <v>225.14583333333334</v>
      </c>
      <c r="P567" s="24">
        <v>11.375</v>
      </c>
      <c r="Q567" s="24">
        <v>1.9375</v>
      </c>
      <c r="R567" s="24">
        <v>13.816666666666668</v>
      </c>
      <c r="S567" s="10">
        <v>1.0033001460892483</v>
      </c>
      <c r="T567" s="25">
        <v>0.34745833333333348</v>
      </c>
      <c r="U567" s="25">
        <v>0.4017916666666666</v>
      </c>
      <c r="V567" s="25">
        <v>0.47445833333333326</v>
      </c>
      <c r="W567" s="25">
        <v>0.4462916666666667</v>
      </c>
      <c r="X567" s="25">
        <v>0.46850000000000014</v>
      </c>
      <c r="Y567" s="25">
        <v>0.35629166666666645</v>
      </c>
      <c r="Z567" s="25">
        <v>0.34666666666666651</v>
      </c>
      <c r="AA567" s="25">
        <v>0.289833333333333</v>
      </c>
      <c r="AB567" s="25">
        <v>0.33887500000000004</v>
      </c>
      <c r="AC567" s="25">
        <v>0.16162499999999996</v>
      </c>
      <c r="AD567" s="25">
        <v>0.25481249999999994</v>
      </c>
      <c r="AE567" s="27">
        <f t="shared" si="28"/>
        <v>0.40797916666666678</v>
      </c>
      <c r="AF567" s="27">
        <f t="shared" si="29"/>
        <v>0.38588888888888878</v>
      </c>
      <c r="AG567" s="27">
        <f t="shared" si="30"/>
        <v>0.38990530303030296</v>
      </c>
    </row>
    <row r="568" spans="1:33" x14ac:dyDescent="0.25">
      <c r="A568" s="9">
        <v>44275</v>
      </c>
      <c r="B568" s="3"/>
      <c r="C568" s="3"/>
      <c r="D568" s="3"/>
      <c r="E568" s="3"/>
      <c r="F568" s="3"/>
      <c r="G568" s="3"/>
      <c r="H568" s="3"/>
      <c r="I568" s="3"/>
      <c r="J568" s="23">
        <v>44275</v>
      </c>
      <c r="K568" s="24">
        <v>46.1875</v>
      </c>
      <c r="L568" s="24">
        <v>83.30625000000002</v>
      </c>
      <c r="M568" s="24">
        <v>12.566666666666672</v>
      </c>
      <c r="N568" s="24">
        <v>0</v>
      </c>
      <c r="O568" s="24">
        <v>209.16666666666666</v>
      </c>
      <c r="P568" s="24">
        <v>6.291666666666667</v>
      </c>
      <c r="Q568" s="24">
        <v>0.16666666666666666</v>
      </c>
      <c r="R568" s="24">
        <v>9.7833333333333332</v>
      </c>
      <c r="S568" s="10">
        <v>0.24797426534023737</v>
      </c>
      <c r="T568" s="25">
        <v>0.33710416666666682</v>
      </c>
      <c r="U568" s="25">
        <v>0.39806250000000015</v>
      </c>
      <c r="V568" s="25">
        <v>0.47264583333333338</v>
      </c>
      <c r="W568" s="25">
        <v>0.44731249999999984</v>
      </c>
      <c r="X568" s="25">
        <v>0.4606458333333332</v>
      </c>
      <c r="Y568" s="25">
        <v>0.35252083333333317</v>
      </c>
      <c r="Z568" s="25">
        <v>0.3460625</v>
      </c>
      <c r="AA568" s="25">
        <v>0.28999999999999965</v>
      </c>
      <c r="AB568" s="25">
        <v>0.3232916666666667</v>
      </c>
      <c r="AC568" s="25">
        <v>0.14929032258064515</v>
      </c>
      <c r="AD568" s="25">
        <v>0.23935416666666667</v>
      </c>
      <c r="AE568" s="27">
        <f t="shared" si="28"/>
        <v>0.39887499999999998</v>
      </c>
      <c r="AF568" s="27">
        <f t="shared" si="29"/>
        <v>0.38443402777777774</v>
      </c>
      <c r="AG568" s="27">
        <f t="shared" si="30"/>
        <v>0.38705965909090906</v>
      </c>
    </row>
    <row r="569" spans="1:33" x14ac:dyDescent="0.25">
      <c r="A569" s="9">
        <v>44276</v>
      </c>
      <c r="B569" s="3"/>
      <c r="C569" s="3"/>
      <c r="D569" s="3"/>
      <c r="E569" s="3"/>
      <c r="F569" s="3"/>
      <c r="G569" s="3"/>
      <c r="H569" s="3"/>
      <c r="I569" s="3"/>
      <c r="J569" s="23">
        <v>44276</v>
      </c>
      <c r="K569" s="24">
        <v>27.5</v>
      </c>
      <c r="L569" s="24">
        <v>83.668750000000003</v>
      </c>
      <c r="M569" s="24">
        <v>5.9020833333333345</v>
      </c>
      <c r="N569" s="24">
        <v>0.89999999999999991</v>
      </c>
      <c r="O569" s="24">
        <v>223.85416666666666</v>
      </c>
      <c r="P569" s="24">
        <v>6.9375</v>
      </c>
      <c r="Q569" s="24">
        <v>6.25E-2</v>
      </c>
      <c r="R569" s="24">
        <v>3.3208333333333329</v>
      </c>
      <c r="S569" s="10">
        <v>0.15368136657518403</v>
      </c>
      <c r="T569" s="25">
        <v>0.32395833333333329</v>
      </c>
      <c r="U569" s="25">
        <v>0.38864583333333336</v>
      </c>
      <c r="V569" s="25">
        <v>0.46552083333333316</v>
      </c>
      <c r="W569" s="25">
        <v>0.44560416666666641</v>
      </c>
      <c r="X569" s="25">
        <v>0.44716666666666666</v>
      </c>
      <c r="Y569" s="25">
        <v>0.34658333333333341</v>
      </c>
      <c r="Z569" s="25">
        <v>0.3437708333333333</v>
      </c>
      <c r="AA569" s="25">
        <v>0.28993749999999968</v>
      </c>
      <c r="AB569" s="25">
        <v>0.31187499999999996</v>
      </c>
      <c r="AC569" s="25">
        <v>0.14599999999999999</v>
      </c>
      <c r="AD569" s="25">
        <v>0.23243749999999999</v>
      </c>
      <c r="AE569" s="27">
        <f t="shared" si="28"/>
        <v>0.38556249999999997</v>
      </c>
      <c r="AF569" s="27">
        <f t="shared" si="29"/>
        <v>0.38001041666666652</v>
      </c>
      <c r="AG569" s="27">
        <f t="shared" si="30"/>
        <v>0.38101988636363626</v>
      </c>
    </row>
    <row r="570" spans="1:33" x14ac:dyDescent="0.25">
      <c r="A570" s="9">
        <v>44277</v>
      </c>
      <c r="B570" s="3"/>
      <c r="C570" s="3"/>
      <c r="D570" s="3"/>
      <c r="E570" s="3"/>
      <c r="F570" s="3"/>
      <c r="G570" s="3"/>
      <c r="H570" s="3"/>
      <c r="I570" s="3"/>
      <c r="J570" s="23">
        <v>44277</v>
      </c>
      <c r="K570" s="24">
        <v>52.708333333333336</v>
      </c>
      <c r="L570" s="24">
        <v>74.237499999999997</v>
      </c>
      <c r="M570" s="24">
        <v>5.3166666666666664</v>
      </c>
      <c r="N570" s="24">
        <v>0</v>
      </c>
      <c r="O570" s="24">
        <v>208.5</v>
      </c>
      <c r="P570" s="24">
        <v>2.7708333333333335</v>
      </c>
      <c r="Q570" s="24">
        <v>0</v>
      </c>
      <c r="R570" s="24">
        <v>0.83958333333333313</v>
      </c>
      <c r="S570" s="10">
        <v>0.24622608272861604</v>
      </c>
      <c r="T570" s="25">
        <v>0.31562500000000004</v>
      </c>
      <c r="U570" s="25">
        <v>0.38002083333333331</v>
      </c>
      <c r="V570" s="25">
        <v>0.45712499999999978</v>
      </c>
      <c r="W570" s="25">
        <v>0.4409583333333334</v>
      </c>
      <c r="X570" s="25">
        <v>0.43677083333333333</v>
      </c>
      <c r="Y570" s="25">
        <v>0.34056250000000005</v>
      </c>
      <c r="Z570" s="25">
        <v>0.34018750000000003</v>
      </c>
      <c r="AA570" s="25">
        <v>0.28843750000000007</v>
      </c>
      <c r="AB570" s="25">
        <v>0.30516666666666675</v>
      </c>
      <c r="AC570" s="25">
        <v>0.14346153846153833</v>
      </c>
      <c r="AD570" s="25">
        <v>0.22779166666666664</v>
      </c>
      <c r="AE570" s="27">
        <f t="shared" si="28"/>
        <v>0.37619791666666669</v>
      </c>
      <c r="AF570" s="27">
        <f t="shared" si="29"/>
        <v>0.3745486111111111</v>
      </c>
      <c r="AG570" s="27">
        <f t="shared" si="30"/>
        <v>0.37484848484848488</v>
      </c>
    </row>
    <row r="571" spans="1:33" x14ac:dyDescent="0.25">
      <c r="A571" s="9">
        <v>44278</v>
      </c>
      <c r="B571" s="3"/>
      <c r="C571" s="3"/>
      <c r="D571" s="3"/>
      <c r="E571" s="3"/>
      <c r="F571" s="3"/>
      <c r="G571" s="3"/>
      <c r="H571" s="3"/>
      <c r="I571" s="3"/>
      <c r="J571" s="23">
        <v>44278</v>
      </c>
      <c r="K571" s="24">
        <v>194.1875</v>
      </c>
      <c r="L571" s="24">
        <v>61.227083333333333</v>
      </c>
      <c r="M571" s="24">
        <v>10.643750000000002</v>
      </c>
      <c r="N571" s="24">
        <v>0</v>
      </c>
      <c r="O571" s="24">
        <v>243.79166666666666</v>
      </c>
      <c r="P571" s="24">
        <v>4.916666666666667</v>
      </c>
      <c r="Q571" s="24">
        <v>0.14583333333333334</v>
      </c>
      <c r="R571" s="24">
        <v>3.1750000000000003</v>
      </c>
      <c r="S571" s="10">
        <v>0.56917391843463805</v>
      </c>
      <c r="T571" s="25">
        <v>0.3116666666666667</v>
      </c>
      <c r="U571" s="25">
        <v>0.37460416666666663</v>
      </c>
      <c r="V571" s="25">
        <v>0.4509166666666668</v>
      </c>
      <c r="W571" s="25">
        <v>0.43699999999999983</v>
      </c>
      <c r="X571" s="25">
        <v>0.43270833333333308</v>
      </c>
      <c r="Y571" s="25">
        <v>0.3362083333333335</v>
      </c>
      <c r="Z571" s="25">
        <v>0.33656250000000026</v>
      </c>
      <c r="AA571" s="25">
        <v>0.28614583333333327</v>
      </c>
      <c r="AB571" s="25">
        <v>0.30093750000000014</v>
      </c>
      <c r="AC571" s="25">
        <v>0.14025000000000007</v>
      </c>
      <c r="AD571" s="25">
        <v>0.2239791666666667</v>
      </c>
      <c r="AE571" s="27">
        <f t="shared" si="28"/>
        <v>0.37218749999999989</v>
      </c>
      <c r="AF571" s="27">
        <f t="shared" si="29"/>
        <v>0.3702395833333334</v>
      </c>
      <c r="AG571" s="27">
        <f t="shared" si="30"/>
        <v>0.37059375000000006</v>
      </c>
    </row>
    <row r="572" spans="1:33" x14ac:dyDescent="0.25">
      <c r="A572" s="9">
        <v>44279</v>
      </c>
      <c r="B572" s="3"/>
      <c r="C572" s="3"/>
      <c r="D572" s="3"/>
      <c r="E572" s="3"/>
      <c r="F572" s="3"/>
      <c r="G572" s="3"/>
      <c r="H572" s="3"/>
      <c r="I572" s="3"/>
      <c r="J572" s="23">
        <v>44279</v>
      </c>
      <c r="K572" s="24">
        <v>162.22916666666666</v>
      </c>
      <c r="L572" s="24">
        <v>72.327083333333306</v>
      </c>
      <c r="M572" s="24">
        <v>12.527083333333332</v>
      </c>
      <c r="N572" s="24">
        <v>0</v>
      </c>
      <c r="O572" s="24">
        <v>211.33333333333334</v>
      </c>
      <c r="P572" s="24">
        <v>6.791666666666667</v>
      </c>
      <c r="Q572" s="24">
        <v>1.375</v>
      </c>
      <c r="R572" s="24">
        <v>7.5083333333333337</v>
      </c>
      <c r="S572" s="10">
        <v>0.46086957847253557</v>
      </c>
      <c r="T572" s="25">
        <v>0.30820833333333325</v>
      </c>
      <c r="U572" s="25">
        <v>0.37347916666666658</v>
      </c>
      <c r="V572" s="25">
        <v>0.45010416666666681</v>
      </c>
      <c r="W572" s="25">
        <v>0.43579166666666641</v>
      </c>
      <c r="X572" s="25">
        <v>0.43274999999999997</v>
      </c>
      <c r="Y572" s="25">
        <v>0.33487500000000009</v>
      </c>
      <c r="Z572" s="25">
        <v>0.3352708333333338</v>
      </c>
      <c r="AA572" s="25">
        <v>0.28454166666666697</v>
      </c>
      <c r="AB572" s="25">
        <v>0.29291666666666666</v>
      </c>
      <c r="AC572" s="25">
        <v>0.14668965517241378</v>
      </c>
      <c r="AD572" s="25">
        <v>0.21933333333333327</v>
      </c>
      <c r="AE572" s="27">
        <f t="shared" si="28"/>
        <v>0.37047916666666658</v>
      </c>
      <c r="AF572" s="27">
        <f t="shared" si="29"/>
        <v>0.36901041666666679</v>
      </c>
      <c r="AG572" s="27">
        <f t="shared" si="30"/>
        <v>0.36927746212121221</v>
      </c>
    </row>
    <row r="573" spans="1:33" x14ac:dyDescent="0.25">
      <c r="A573" s="9">
        <v>44280</v>
      </c>
      <c r="B573" s="3"/>
      <c r="C573" s="3"/>
      <c r="D573" s="3"/>
      <c r="E573" s="3"/>
      <c r="F573" s="3"/>
      <c r="G573" s="3"/>
      <c r="H573" s="3"/>
      <c r="I573" s="3"/>
      <c r="J573" s="23">
        <v>44280</v>
      </c>
      <c r="K573" s="24">
        <v>18.375</v>
      </c>
      <c r="L573" s="24">
        <v>92.422916666666694</v>
      </c>
      <c r="M573" s="24">
        <v>12.072916666666664</v>
      </c>
      <c r="N573" s="24">
        <v>1.2</v>
      </c>
      <c r="O573" s="24">
        <v>224.375</v>
      </c>
      <c r="P573" s="24">
        <v>10.479166666666666</v>
      </c>
      <c r="Q573" s="24">
        <v>1.9791666666666667</v>
      </c>
      <c r="R573" s="24">
        <v>10.862499999999999</v>
      </c>
      <c r="S573" s="10">
        <v>0.10805240260878725</v>
      </c>
      <c r="T573" s="25">
        <v>0.30477083333333355</v>
      </c>
      <c r="U573" s="25">
        <v>0.37218749999999995</v>
      </c>
      <c r="V573" s="25">
        <v>0.45008333333333339</v>
      </c>
      <c r="W573" s="25">
        <v>0.436</v>
      </c>
      <c r="X573" s="25">
        <v>0.43279166666666641</v>
      </c>
      <c r="Y573" s="25">
        <v>0.33458333333333345</v>
      </c>
      <c r="Z573" s="25">
        <v>0.33500000000000041</v>
      </c>
      <c r="AA573" s="25">
        <v>0.28397916666666684</v>
      </c>
      <c r="AB573" s="25">
        <v>0.28610416666666655</v>
      </c>
      <c r="AC573" s="25">
        <v>0.13575000000000001</v>
      </c>
      <c r="AD573" s="25">
        <v>0.21656250000000007</v>
      </c>
      <c r="AE573" s="27">
        <f t="shared" si="28"/>
        <v>0.36878124999999995</v>
      </c>
      <c r="AF573" s="27">
        <f t="shared" si="29"/>
        <v>0.36863888888888896</v>
      </c>
      <c r="AG573" s="27">
        <f t="shared" si="30"/>
        <v>0.36866477272727283</v>
      </c>
    </row>
    <row r="574" spans="1:33" x14ac:dyDescent="0.25">
      <c r="A574" s="9">
        <v>44281</v>
      </c>
      <c r="B574" s="3"/>
      <c r="C574" s="3"/>
      <c r="D574" s="3"/>
      <c r="E574" s="3"/>
      <c r="F574" s="3"/>
      <c r="G574" s="3"/>
      <c r="H574" s="3"/>
      <c r="I574" s="3"/>
      <c r="J574" s="23">
        <v>44281</v>
      </c>
      <c r="K574" s="24">
        <v>154.41666666666666</v>
      </c>
      <c r="L574" s="24">
        <v>81.15208333333328</v>
      </c>
      <c r="M574" s="24">
        <v>16.460416666666667</v>
      </c>
      <c r="N574" s="24">
        <v>0.2</v>
      </c>
      <c r="O574" s="24">
        <v>232.29166666666666</v>
      </c>
      <c r="P574" s="24">
        <v>10.020833333333334</v>
      </c>
      <c r="Q574" s="24">
        <v>0.6875</v>
      </c>
      <c r="R574" s="24">
        <v>12.954166666666667</v>
      </c>
      <c r="S574" s="10">
        <v>0.42197697219465952</v>
      </c>
      <c r="T574" s="25">
        <v>0.30179166666666674</v>
      </c>
      <c r="U574" s="25">
        <v>0.36987499999999995</v>
      </c>
      <c r="V574" s="25">
        <v>0.44789583333333322</v>
      </c>
      <c r="W574" s="25">
        <v>0.43572916666666645</v>
      </c>
      <c r="X574" s="25">
        <v>0.43302083333333313</v>
      </c>
      <c r="Y574" s="25">
        <v>0.33262500000000006</v>
      </c>
      <c r="Z574" s="25">
        <v>0.33460416666666665</v>
      </c>
      <c r="AA574" s="25">
        <v>0.28368749999999981</v>
      </c>
      <c r="AB574" s="25">
        <v>0.28387499999999999</v>
      </c>
      <c r="AC574" s="25">
        <v>0.1358421052631579</v>
      </c>
      <c r="AD574" s="25">
        <v>0.21804166666666669</v>
      </c>
      <c r="AE574" s="27">
        <f t="shared" si="28"/>
        <v>0.36740624999999993</v>
      </c>
      <c r="AF574" s="27">
        <f t="shared" si="29"/>
        <v>0.36740277777777769</v>
      </c>
      <c r="AG574" s="27">
        <f t="shared" si="30"/>
        <v>0.36740340909090896</v>
      </c>
    </row>
    <row r="575" spans="1:33" x14ac:dyDescent="0.25">
      <c r="A575" s="9">
        <v>44282</v>
      </c>
      <c r="B575" s="3"/>
      <c r="C575" s="3"/>
      <c r="D575" s="3"/>
      <c r="E575" s="3"/>
      <c r="F575" s="3"/>
      <c r="G575" s="3"/>
      <c r="H575" s="3"/>
      <c r="I575" s="3"/>
      <c r="J575" s="23">
        <v>44282</v>
      </c>
      <c r="K575" s="24">
        <v>151.5625</v>
      </c>
      <c r="L575" s="24">
        <v>72.972916666666663</v>
      </c>
      <c r="M575" s="24">
        <v>15.385416666666671</v>
      </c>
      <c r="N575" s="24">
        <v>0</v>
      </c>
      <c r="O575" s="24">
        <v>182.41666666666666</v>
      </c>
      <c r="P575" s="24">
        <v>4.479166666666667</v>
      </c>
      <c r="Q575" s="24">
        <v>0</v>
      </c>
      <c r="R575" s="24">
        <v>10.295833333333334</v>
      </c>
      <c r="S575" s="10">
        <v>0.5490539050526817</v>
      </c>
      <c r="T575" s="25">
        <v>0.294375</v>
      </c>
      <c r="U575" s="25">
        <v>0.36708333333333326</v>
      </c>
      <c r="V575" s="25">
        <v>0.4466666666666666</v>
      </c>
      <c r="W575" s="25">
        <v>0.43595833333333328</v>
      </c>
      <c r="X575" s="25">
        <v>0.43245833333333322</v>
      </c>
      <c r="Y575" s="25">
        <v>0.33191666666666669</v>
      </c>
      <c r="Z575" s="25">
        <v>0.33406249999999998</v>
      </c>
      <c r="AA575" s="25">
        <v>0.28354166666666641</v>
      </c>
      <c r="AB575" s="25">
        <v>0.27191666666666664</v>
      </c>
      <c r="AC575" s="25">
        <v>0.13357142857142854</v>
      </c>
      <c r="AD575" s="25">
        <v>0.21585416666666654</v>
      </c>
      <c r="AE575" s="27">
        <f t="shared" si="28"/>
        <v>0.36341666666666661</v>
      </c>
      <c r="AF575" s="27">
        <f t="shared" si="29"/>
        <v>0.36653819444444435</v>
      </c>
      <c r="AG575" s="27">
        <f t="shared" si="30"/>
        <v>0.36597064393939382</v>
      </c>
    </row>
    <row r="576" spans="1:33" x14ac:dyDescent="0.25">
      <c r="A576" s="9">
        <v>44283</v>
      </c>
      <c r="B576" s="3"/>
      <c r="C576" s="3"/>
      <c r="D576" s="3"/>
      <c r="E576" s="3"/>
      <c r="F576" s="3"/>
      <c r="G576" s="3"/>
      <c r="H576" s="3"/>
      <c r="I576" s="3"/>
      <c r="J576" s="23">
        <v>44283</v>
      </c>
      <c r="K576" s="24">
        <v>211.58333333333334</v>
      </c>
      <c r="L576" s="24">
        <v>72.427083333333357</v>
      </c>
      <c r="M576" s="24">
        <v>18.5</v>
      </c>
      <c r="N576" s="24">
        <v>0</v>
      </c>
      <c r="O576" s="24">
        <v>252.58333333333334</v>
      </c>
      <c r="P576" s="24">
        <v>8.375</v>
      </c>
      <c r="Q576" s="24">
        <v>1.2291666666666667</v>
      </c>
      <c r="R576" s="24">
        <v>13.268750000000002</v>
      </c>
      <c r="S576" s="10">
        <v>0.6565583811487169</v>
      </c>
      <c r="T576" s="25">
        <v>0.28633333333333355</v>
      </c>
      <c r="U576" s="25">
        <v>0.36231249999999987</v>
      </c>
      <c r="V576" s="25">
        <v>0.44279166666666686</v>
      </c>
      <c r="W576" s="25">
        <v>0.43577083333333316</v>
      </c>
      <c r="X576" s="25">
        <v>0.43183333333333324</v>
      </c>
      <c r="Y576" s="25">
        <v>0.32956250000000004</v>
      </c>
      <c r="Z576" s="25">
        <v>0.3323958333333335</v>
      </c>
      <c r="AA576" s="25">
        <v>0.28256250000000005</v>
      </c>
      <c r="AB576" s="25">
        <v>0.25734042553191488</v>
      </c>
      <c r="AC576" s="25">
        <v>0.13120000000000001</v>
      </c>
      <c r="AD576" s="25">
        <v>0.21416666666666664</v>
      </c>
      <c r="AE576" s="27">
        <f t="shared" si="28"/>
        <v>0.35908333333333342</v>
      </c>
      <c r="AF576" s="27">
        <f t="shared" si="29"/>
        <v>0.36423263888888896</v>
      </c>
      <c r="AG576" s="27">
        <f t="shared" si="30"/>
        <v>0.36329640151515163</v>
      </c>
    </row>
    <row r="577" spans="1:33" x14ac:dyDescent="0.25">
      <c r="A577" s="9">
        <v>44284</v>
      </c>
      <c r="B577" s="3"/>
      <c r="C577" s="3"/>
      <c r="D577" s="3"/>
      <c r="E577" s="3"/>
      <c r="F577" s="3"/>
      <c r="G577" s="3"/>
      <c r="H577" s="3"/>
      <c r="I577" s="3"/>
      <c r="J577" s="23">
        <v>44284</v>
      </c>
      <c r="K577" s="24">
        <v>233.16666666666666</v>
      </c>
      <c r="L577" s="24">
        <v>52.272916666666667</v>
      </c>
      <c r="M577" s="24">
        <v>23.722916666666674</v>
      </c>
      <c r="N577" s="24">
        <v>0</v>
      </c>
      <c r="O577" s="24">
        <v>228.95833333333334</v>
      </c>
      <c r="P577" s="24">
        <v>12.375</v>
      </c>
      <c r="Q577" s="24">
        <v>1.625</v>
      </c>
      <c r="R577" s="24">
        <v>10.66666666666667</v>
      </c>
      <c r="S577" s="10">
        <v>1.7470368449587763</v>
      </c>
      <c r="T577" s="25">
        <v>0.27777083333333358</v>
      </c>
      <c r="U577" s="25">
        <v>0.35754166666666659</v>
      </c>
      <c r="V577" s="25">
        <v>0.43889583333333332</v>
      </c>
      <c r="W577" s="25">
        <v>0.43577083333333305</v>
      </c>
      <c r="X577" s="25">
        <v>0.43191666666666628</v>
      </c>
      <c r="Y577" s="25">
        <v>0.32779166666666676</v>
      </c>
      <c r="Z577" s="25">
        <v>0.33116666666666661</v>
      </c>
      <c r="AA577" s="25">
        <v>0.28172916666666686</v>
      </c>
      <c r="AB577" s="25">
        <v>0.23858333333333329</v>
      </c>
      <c r="AC577" s="25">
        <v>0.12699999999999997</v>
      </c>
      <c r="AD577" s="25">
        <v>0.21087500000000001</v>
      </c>
      <c r="AE577" s="27">
        <f t="shared" si="28"/>
        <v>0.3548437499999999</v>
      </c>
      <c r="AF577" s="27">
        <f t="shared" si="29"/>
        <v>0.36214930555555552</v>
      </c>
      <c r="AG577" s="27">
        <f t="shared" si="30"/>
        <v>0.36082102272727268</v>
      </c>
    </row>
    <row r="578" spans="1:33" x14ac:dyDescent="0.25">
      <c r="A578" s="9">
        <v>44285</v>
      </c>
      <c r="B578" s="3"/>
      <c r="C578" s="3"/>
      <c r="D578" s="3"/>
      <c r="E578" s="3"/>
      <c r="F578" s="3"/>
      <c r="G578" s="3"/>
      <c r="H578" s="3"/>
      <c r="I578" s="3"/>
      <c r="J578" s="23">
        <v>44285</v>
      </c>
      <c r="K578" s="24">
        <v>210.83333333333334</v>
      </c>
      <c r="L578" s="24">
        <v>31.439583333333346</v>
      </c>
      <c r="M578" s="24">
        <v>24.310416666666669</v>
      </c>
      <c r="N578" s="24">
        <v>0</v>
      </c>
      <c r="O578" s="24">
        <v>224.58333333333334</v>
      </c>
      <c r="P578" s="24">
        <v>14.333333333333334</v>
      </c>
      <c r="Q578" s="24">
        <v>2.5</v>
      </c>
      <c r="R578" s="24">
        <v>5.7104166666666663</v>
      </c>
      <c r="S578" s="10">
        <v>2.1346427040830127</v>
      </c>
      <c r="T578" s="25">
        <v>0.26637500000000003</v>
      </c>
      <c r="U578" s="25">
        <v>0.3487291666666667</v>
      </c>
      <c r="V578" s="25">
        <v>0.43266666666666631</v>
      </c>
      <c r="W578" s="25">
        <v>0.43435416666666643</v>
      </c>
      <c r="X578" s="25">
        <v>0.42858333333333354</v>
      </c>
      <c r="Y578" s="25">
        <v>0.32537499999999991</v>
      </c>
      <c r="Z578" s="25">
        <v>0.32937500000000003</v>
      </c>
      <c r="AA578" s="25">
        <v>0.28062499999999974</v>
      </c>
      <c r="AB578" s="25">
        <v>0.21445652173913049</v>
      </c>
      <c r="AC578" s="25">
        <v>0.12296969696969702</v>
      </c>
      <c r="AD578" s="25">
        <v>0.20493749999999999</v>
      </c>
      <c r="AE578" s="27">
        <f t="shared" si="28"/>
        <v>0.34747916666666678</v>
      </c>
      <c r="AF578" s="27">
        <f t="shared" si="29"/>
        <v>0.35852083333333318</v>
      </c>
      <c r="AG578" s="27">
        <f t="shared" si="30"/>
        <v>0.35651325757575747</v>
      </c>
    </row>
    <row r="579" spans="1:33" x14ac:dyDescent="0.25">
      <c r="A579" s="9">
        <v>44286</v>
      </c>
      <c r="B579" s="3"/>
      <c r="C579" s="3"/>
      <c r="D579" s="3"/>
      <c r="E579" s="3"/>
      <c r="F579" s="3"/>
      <c r="G579" s="3"/>
      <c r="H579" s="3"/>
      <c r="I579" s="3"/>
      <c r="J579" s="23">
        <v>44286</v>
      </c>
      <c r="K579" s="24">
        <v>209.25</v>
      </c>
      <c r="L579" s="24">
        <v>40.620833333333344</v>
      </c>
      <c r="M579" s="24">
        <v>24.004166666666666</v>
      </c>
      <c r="N579" s="24">
        <v>0</v>
      </c>
      <c r="O579" s="24">
        <v>240</v>
      </c>
      <c r="P579" s="24">
        <v>15.166666666666666</v>
      </c>
      <c r="Q579" s="24">
        <v>2.9375</v>
      </c>
      <c r="R579" s="24">
        <v>9.5979166666666664</v>
      </c>
      <c r="S579" s="10">
        <v>1.8309253405017294</v>
      </c>
      <c r="T579" s="25">
        <v>0.25793750000000021</v>
      </c>
      <c r="U579" s="25">
        <v>0.33993749999999995</v>
      </c>
      <c r="V579" s="25">
        <v>0.42629166666666635</v>
      </c>
      <c r="W579" s="25">
        <v>0.43058333333333348</v>
      </c>
      <c r="X579" s="25">
        <v>0.42466666666666647</v>
      </c>
      <c r="Y579" s="25">
        <v>0.32283333333333303</v>
      </c>
      <c r="Z579" s="25">
        <v>0.32731250000000023</v>
      </c>
      <c r="AA579" s="25">
        <v>0.2795625000000001</v>
      </c>
      <c r="AB579" s="25">
        <v>0.19583333333333341</v>
      </c>
      <c r="AC579" s="25">
        <v>0.12489285714285717</v>
      </c>
      <c r="AD579" s="25">
        <v>0.20029166666666662</v>
      </c>
      <c r="AE579" s="27">
        <f t="shared" si="28"/>
        <v>0.34130208333333334</v>
      </c>
      <c r="AF579" s="27">
        <f t="shared" si="29"/>
        <v>0.35442013888888885</v>
      </c>
      <c r="AG579" s="27">
        <f t="shared" si="30"/>
        <v>0.35203503787878782</v>
      </c>
    </row>
    <row r="580" spans="1:33" x14ac:dyDescent="0.25">
      <c r="A580" s="9">
        <v>44287</v>
      </c>
      <c r="B580" s="3"/>
      <c r="C580" s="3"/>
      <c r="D580" s="3"/>
      <c r="E580" s="3"/>
      <c r="F580" s="3"/>
      <c r="G580" s="3"/>
      <c r="H580" s="3"/>
      <c r="I580" s="3"/>
      <c r="J580" s="23">
        <v>44287</v>
      </c>
      <c r="K580" s="24">
        <v>205.625</v>
      </c>
      <c r="L580" s="24">
        <v>46.377083333333331</v>
      </c>
      <c r="M580" s="24">
        <v>23.825000000000003</v>
      </c>
      <c r="N580" s="24">
        <v>0</v>
      </c>
      <c r="O580" s="24">
        <v>214.16666666666666</v>
      </c>
      <c r="P580" s="24">
        <v>8.4375</v>
      </c>
      <c r="Q580" s="24">
        <v>0.9375</v>
      </c>
      <c r="R580" s="24">
        <v>10.78125</v>
      </c>
      <c r="S580" s="10">
        <v>1.7297397279708291</v>
      </c>
      <c r="T580" s="25">
        <v>0.25224999999999992</v>
      </c>
      <c r="U580" s="25">
        <v>0.33339583333333328</v>
      </c>
      <c r="V580" s="25">
        <v>0.42010416666666678</v>
      </c>
      <c r="W580" s="25">
        <v>0.42549999999999971</v>
      </c>
      <c r="X580" s="25">
        <v>0.42208333333333337</v>
      </c>
      <c r="Y580" s="25">
        <v>0.32112500000000016</v>
      </c>
      <c r="Z580" s="25">
        <v>0.3251874999999998</v>
      </c>
      <c r="AA580" s="25">
        <v>0.27831249999999991</v>
      </c>
      <c r="AB580" s="25">
        <v>0.18389361702127657</v>
      </c>
      <c r="AC580" s="25">
        <v>0.11641666666666672</v>
      </c>
      <c r="AD580" s="25">
        <v>0.19677083333333348</v>
      </c>
      <c r="AE580" s="27">
        <f t="shared" si="28"/>
        <v>0.33716666666666661</v>
      </c>
      <c r="AF580" s="27">
        <f t="shared" si="29"/>
        <v>0.35060416666666661</v>
      </c>
      <c r="AG580" s="27">
        <f t="shared" si="30"/>
        <v>0.34816098484848479</v>
      </c>
    </row>
    <row r="581" spans="1:33" x14ac:dyDescent="0.25">
      <c r="A581" s="9">
        <v>44288</v>
      </c>
      <c r="B581" s="3"/>
      <c r="C581" s="3"/>
      <c r="D581" s="3"/>
      <c r="E581" s="3"/>
      <c r="F581" s="3"/>
      <c r="G581" s="3"/>
      <c r="H581" s="3"/>
      <c r="I581" s="3"/>
      <c r="J581" s="23">
        <v>44288</v>
      </c>
      <c r="K581" s="24">
        <v>227.20833333333334</v>
      </c>
      <c r="L581" s="24">
        <v>67.081250000000011</v>
      </c>
      <c r="M581" s="24">
        <v>19.941666666666663</v>
      </c>
      <c r="N581" s="24">
        <v>0</v>
      </c>
      <c r="O581" s="24">
        <v>231.70833333333334</v>
      </c>
      <c r="P581" s="24">
        <v>7.395833333333333</v>
      </c>
      <c r="Q581" s="24">
        <v>0.6875</v>
      </c>
      <c r="R581" s="24">
        <v>11.766666666666666</v>
      </c>
      <c r="S581" s="10">
        <v>1.0878531145582626</v>
      </c>
      <c r="T581" s="25">
        <v>0.24781250000000019</v>
      </c>
      <c r="U581" s="25">
        <v>0.32862500000000017</v>
      </c>
      <c r="V581" s="25">
        <v>0.41560416666666677</v>
      </c>
      <c r="W581" s="25">
        <v>0.42125000000000012</v>
      </c>
      <c r="X581" s="25">
        <v>0.41985416666666692</v>
      </c>
      <c r="Y581" s="25">
        <v>0.32018750000000012</v>
      </c>
      <c r="Z581" s="25">
        <v>0.32358333333333339</v>
      </c>
      <c r="AA581" s="25">
        <v>0.27745833333333314</v>
      </c>
      <c r="AB581" s="25">
        <v>0.17614893617021274</v>
      </c>
      <c r="AC581" s="25">
        <v>0.11438888888888897</v>
      </c>
      <c r="AD581" s="25">
        <v>0.19431249999999997</v>
      </c>
      <c r="AE581" s="27">
        <f t="shared" si="28"/>
        <v>0.33383333333333354</v>
      </c>
      <c r="AF581" s="27">
        <f t="shared" si="29"/>
        <v>0.34778472222222229</v>
      </c>
      <c r="AG581" s="27">
        <f t="shared" si="30"/>
        <v>0.34524810606060619</v>
      </c>
    </row>
    <row r="582" spans="1:33" x14ac:dyDescent="0.25">
      <c r="A582" s="9">
        <v>44289</v>
      </c>
      <c r="B582" s="3"/>
      <c r="C582" s="3"/>
      <c r="D582" s="3"/>
      <c r="E582" s="3"/>
      <c r="F582" s="3"/>
      <c r="G582" s="3"/>
      <c r="H582" s="3"/>
      <c r="I582" s="3"/>
      <c r="J582" s="23">
        <v>44289</v>
      </c>
      <c r="K582" s="24">
        <v>105.5625</v>
      </c>
      <c r="L582" s="24">
        <v>78.575000000000003</v>
      </c>
      <c r="M582" s="24">
        <v>13.749999999999998</v>
      </c>
      <c r="N582" s="24">
        <v>0</v>
      </c>
      <c r="O582" s="24">
        <v>208.33333333333334</v>
      </c>
      <c r="P582" s="24">
        <v>6.416666666666667</v>
      </c>
      <c r="Q582" s="24">
        <v>0.10416666666666667</v>
      </c>
      <c r="R582" s="24">
        <v>9.9979166666666703</v>
      </c>
      <c r="S582" s="10">
        <v>0.35986127476869217</v>
      </c>
      <c r="T582" s="25">
        <v>0.24245833333333314</v>
      </c>
      <c r="U582" s="25">
        <v>0.32320833333333321</v>
      </c>
      <c r="V582" s="25">
        <v>0.41116666666666685</v>
      </c>
      <c r="W582" s="25">
        <v>0.41789583333333319</v>
      </c>
      <c r="X582" s="25">
        <v>0.41450000000000004</v>
      </c>
      <c r="Y582" s="25">
        <v>0.31866666666666654</v>
      </c>
      <c r="Z582" s="25">
        <v>0.32170833333333332</v>
      </c>
      <c r="AA582" s="25">
        <v>0.27658333333333335</v>
      </c>
      <c r="AB582" s="25">
        <v>0.16927083333333323</v>
      </c>
      <c r="AC582" s="25">
        <v>0.11115000000000005</v>
      </c>
      <c r="AD582" s="25">
        <v>0.19087499999999982</v>
      </c>
      <c r="AE582" s="27">
        <f t="shared" ref="AE582:AE645" si="32">AVERAGE(T582,X582)</f>
        <v>0.3284791666666666</v>
      </c>
      <c r="AF582" s="27">
        <f t="shared" ref="AF582:AF645" si="33">AVERAGE(U582:W582,Y582:AA582)</f>
        <v>0.34487152777777769</v>
      </c>
      <c r="AG582" s="27">
        <f t="shared" ref="AG582:AG645" si="34">(AE582*10+AF582*45)/55</f>
        <v>0.34189109848484844</v>
      </c>
    </row>
    <row r="583" spans="1:33" x14ac:dyDescent="0.25">
      <c r="A583" s="9">
        <v>44290</v>
      </c>
      <c r="B583" s="3"/>
      <c r="C583" s="3"/>
      <c r="D583" s="3"/>
      <c r="E583" s="3"/>
      <c r="F583" s="3"/>
      <c r="G583" s="3"/>
      <c r="H583" s="3"/>
      <c r="I583" s="3"/>
      <c r="J583" s="23">
        <v>44290</v>
      </c>
      <c r="K583" s="24">
        <v>38.875</v>
      </c>
      <c r="L583" s="24">
        <v>93.010416666666686</v>
      </c>
      <c r="M583" s="24">
        <v>10.314583333333333</v>
      </c>
      <c r="N583" s="24">
        <v>0.60000000000000009</v>
      </c>
      <c r="O583" s="24">
        <v>201.91666666666666</v>
      </c>
      <c r="P583" s="24">
        <v>3.9375</v>
      </c>
      <c r="Q583" s="24">
        <v>0.10416666666666667</v>
      </c>
      <c r="R583" s="24">
        <v>9.2250000000000014</v>
      </c>
      <c r="S583" s="10">
        <v>8.8720133971836659E-2</v>
      </c>
      <c r="T583" s="25">
        <v>0.23856249999999993</v>
      </c>
      <c r="U583" s="25">
        <v>0.31829166666666669</v>
      </c>
      <c r="V583" s="25">
        <v>0.40633333333333338</v>
      </c>
      <c r="W583" s="25">
        <v>0.41495833333333337</v>
      </c>
      <c r="X583" s="25">
        <v>0.4083124999999998</v>
      </c>
      <c r="Y583" s="25">
        <v>0.31595833333333317</v>
      </c>
      <c r="Z583" s="25">
        <v>0.31918750000000018</v>
      </c>
      <c r="AA583" s="25">
        <v>0.27541666666666681</v>
      </c>
      <c r="AB583" s="25">
        <v>0.16627083333333351</v>
      </c>
      <c r="AC583" s="25">
        <v>0.11000000000000001</v>
      </c>
      <c r="AD583" s="25">
        <v>0.18885416666666668</v>
      </c>
      <c r="AE583" s="27">
        <f t="shared" si="32"/>
        <v>0.32343749999999988</v>
      </c>
      <c r="AF583" s="27">
        <f t="shared" si="33"/>
        <v>0.34169097222222228</v>
      </c>
      <c r="AG583" s="27">
        <f t="shared" si="34"/>
        <v>0.33837215909090912</v>
      </c>
    </row>
    <row r="584" spans="1:33" x14ac:dyDescent="0.25">
      <c r="A584" s="9">
        <v>44291</v>
      </c>
      <c r="B584" s="3"/>
      <c r="C584" s="3"/>
      <c r="D584" s="3"/>
      <c r="E584" s="3"/>
      <c r="F584" s="3"/>
      <c r="G584" s="3"/>
      <c r="H584" s="3"/>
      <c r="I584" s="3"/>
      <c r="J584" s="23">
        <v>44291</v>
      </c>
      <c r="K584" s="24">
        <v>31.4375</v>
      </c>
      <c r="L584" s="24">
        <v>97.21875</v>
      </c>
      <c r="M584" s="24">
        <v>11.120833333333332</v>
      </c>
      <c r="N584" s="24">
        <v>1.4</v>
      </c>
      <c r="O584" s="24">
        <v>228.66666666666666</v>
      </c>
      <c r="P584" s="24">
        <v>3.4166666666666665</v>
      </c>
      <c r="Q584" s="24">
        <v>8.3333333333333329E-2</v>
      </c>
      <c r="R584" s="24">
        <v>10.695833333333338</v>
      </c>
      <c r="S584" s="10">
        <v>3.6800447319997175E-2</v>
      </c>
      <c r="T584" s="25">
        <v>0.23635416666666684</v>
      </c>
      <c r="U584" s="25">
        <v>0.31472916666666678</v>
      </c>
      <c r="V584" s="25">
        <v>0.40231249999999985</v>
      </c>
      <c r="W584" s="25">
        <v>0.41256250000000011</v>
      </c>
      <c r="X584" s="25">
        <v>0.40350000000000025</v>
      </c>
      <c r="Y584" s="25">
        <v>0.31285416666666654</v>
      </c>
      <c r="Z584" s="25">
        <v>0.31704166666666694</v>
      </c>
      <c r="AA584" s="25">
        <v>0.27420833333333355</v>
      </c>
      <c r="AB584" s="25">
        <v>0.16579166666666681</v>
      </c>
      <c r="AC584" s="25">
        <v>0.11000000000000004</v>
      </c>
      <c r="AD584" s="25">
        <v>0.18799999999999997</v>
      </c>
      <c r="AE584" s="27">
        <f t="shared" si="32"/>
        <v>0.31992708333333353</v>
      </c>
      <c r="AF584" s="27">
        <f t="shared" si="33"/>
        <v>0.33895138888888893</v>
      </c>
      <c r="AG584" s="27">
        <f t="shared" si="34"/>
        <v>0.33549242424242426</v>
      </c>
    </row>
    <row r="585" spans="1:33" x14ac:dyDescent="0.25">
      <c r="A585" s="9">
        <v>44292</v>
      </c>
      <c r="B585" s="3"/>
      <c r="C585" s="3"/>
      <c r="D585" s="3"/>
      <c r="E585" s="3"/>
      <c r="F585" s="3"/>
      <c r="G585" s="3"/>
      <c r="H585" s="3"/>
      <c r="I585" s="3"/>
      <c r="J585" s="23">
        <v>44292</v>
      </c>
      <c r="K585" s="24">
        <v>38.125</v>
      </c>
      <c r="L585" s="24">
        <v>97.53958333333334</v>
      </c>
      <c r="M585" s="24">
        <v>12.814583333333331</v>
      </c>
      <c r="N585" s="24">
        <v>11.899999999999995</v>
      </c>
      <c r="O585" s="24">
        <v>236.39583333333334</v>
      </c>
      <c r="P585" s="24">
        <v>4.416666666666667</v>
      </c>
      <c r="Q585" s="24">
        <v>0.10416666666666667</v>
      </c>
      <c r="R585" s="24">
        <v>12.433333333333337</v>
      </c>
      <c r="S585" s="10">
        <v>3.7114833440757715E-2</v>
      </c>
      <c r="T585" s="25">
        <v>0.23660416666666659</v>
      </c>
      <c r="U585" s="25">
        <v>0.31358333333333338</v>
      </c>
      <c r="V585" s="25">
        <v>0.40014583333333326</v>
      </c>
      <c r="W585" s="25">
        <v>0.41108333333333341</v>
      </c>
      <c r="X585" s="25">
        <v>0.4025625000000001</v>
      </c>
      <c r="Y585" s="25">
        <v>0.30993749999999987</v>
      </c>
      <c r="Z585" s="25">
        <v>0.3153958333333331</v>
      </c>
      <c r="AA585" s="25">
        <v>0.27204166666666701</v>
      </c>
      <c r="AB585" s="25">
        <v>0.19260416666666666</v>
      </c>
      <c r="AC585" s="25">
        <v>0.16360416666666669</v>
      </c>
      <c r="AD585" s="25">
        <v>0.23289583333333339</v>
      </c>
      <c r="AE585" s="27">
        <f t="shared" si="32"/>
        <v>0.31958333333333333</v>
      </c>
      <c r="AF585" s="27">
        <f t="shared" si="33"/>
        <v>0.33703124999999995</v>
      </c>
      <c r="AG585" s="27">
        <f t="shared" si="34"/>
        <v>0.33385890151515146</v>
      </c>
    </row>
    <row r="586" spans="1:33" x14ac:dyDescent="0.25">
      <c r="A586" s="9">
        <v>44293</v>
      </c>
      <c r="B586" s="3"/>
      <c r="C586" s="3"/>
      <c r="D586" s="3"/>
      <c r="E586" s="3"/>
      <c r="F586" s="3"/>
      <c r="G586" s="3"/>
      <c r="H586" s="3"/>
      <c r="I586" s="3"/>
      <c r="J586" s="23">
        <v>44293</v>
      </c>
      <c r="K586" s="24">
        <v>105.41666666666667</v>
      </c>
      <c r="L586" s="24">
        <v>88.818750000000009</v>
      </c>
      <c r="M586" s="24">
        <v>13.897916666666669</v>
      </c>
      <c r="N586" s="24">
        <v>4.5999999999999996</v>
      </c>
      <c r="O586" s="24">
        <v>223.4375</v>
      </c>
      <c r="P586" s="24">
        <v>4.8125</v>
      </c>
      <c r="Q586" s="24">
        <v>0.14583333333333334</v>
      </c>
      <c r="R586" s="24">
        <v>11.966666666666669</v>
      </c>
      <c r="S586" s="10">
        <v>0.20209113095810791</v>
      </c>
      <c r="T586" s="25">
        <v>0.2383333333333334</v>
      </c>
      <c r="U586" s="25">
        <v>0.314</v>
      </c>
      <c r="V586" s="25">
        <v>0.39960416666666682</v>
      </c>
      <c r="W586" s="25">
        <v>0.41072916666666659</v>
      </c>
      <c r="X586" s="25">
        <v>0.43154166666666643</v>
      </c>
      <c r="Y586" s="25">
        <v>0.3103749999999999</v>
      </c>
      <c r="Z586" s="25">
        <v>0.31475000000000003</v>
      </c>
      <c r="AA586" s="25">
        <v>0.27137500000000014</v>
      </c>
      <c r="AB586" s="25">
        <v>0.2480416666666666</v>
      </c>
      <c r="AC586" s="25">
        <v>0.23046874999999997</v>
      </c>
      <c r="AD586" s="25">
        <v>0.30250000000000005</v>
      </c>
      <c r="AE586" s="27">
        <f t="shared" si="32"/>
        <v>0.33493749999999989</v>
      </c>
      <c r="AF586" s="27">
        <f t="shared" si="33"/>
        <v>0.33680555555555558</v>
      </c>
      <c r="AG586" s="27">
        <f t="shared" si="34"/>
        <v>0.33646590909090912</v>
      </c>
    </row>
    <row r="587" spans="1:33" x14ac:dyDescent="0.25">
      <c r="A587" s="9">
        <v>44294</v>
      </c>
      <c r="B587" s="3"/>
      <c r="C587" s="3"/>
      <c r="D587" s="3"/>
      <c r="E587" s="3"/>
      <c r="F587" s="3"/>
      <c r="G587" s="3"/>
      <c r="H587" s="3"/>
      <c r="I587" s="3"/>
      <c r="J587" s="23">
        <v>44294</v>
      </c>
      <c r="K587" s="24">
        <v>42.520833333333336</v>
      </c>
      <c r="L587" s="24">
        <v>90.262499999999989</v>
      </c>
      <c r="M587" s="24">
        <v>11.391666666666666</v>
      </c>
      <c r="N587" s="24">
        <v>0.4</v>
      </c>
      <c r="O587" s="24">
        <v>222.1875</v>
      </c>
      <c r="P587" s="24">
        <v>3.8958333333333335</v>
      </c>
      <c r="Q587" s="24">
        <v>0.125</v>
      </c>
      <c r="R587" s="24">
        <v>9.8166666666666647</v>
      </c>
      <c r="S587" s="10">
        <v>0.13753133386132926</v>
      </c>
      <c r="T587" s="25">
        <v>0.23902083333333349</v>
      </c>
      <c r="U587" s="25">
        <v>0.31366666666666687</v>
      </c>
      <c r="V587" s="25">
        <v>0.39937500000000054</v>
      </c>
      <c r="W587" s="25">
        <v>0.41054166666666658</v>
      </c>
      <c r="X587" s="25">
        <v>0.43316666666666664</v>
      </c>
      <c r="Y587" s="25">
        <v>0.31072916666666667</v>
      </c>
      <c r="Z587" s="25">
        <v>0.31443750000000009</v>
      </c>
      <c r="AA587" s="25">
        <v>0.27129166666666682</v>
      </c>
      <c r="AB587" s="25">
        <v>0.26012499999999994</v>
      </c>
      <c r="AC587" s="25">
        <v>0.22737500000000002</v>
      </c>
      <c r="AD587" s="25">
        <v>0.29516666666666663</v>
      </c>
      <c r="AE587" s="27">
        <f t="shared" si="32"/>
        <v>0.33609375000000008</v>
      </c>
      <c r="AF587" s="27">
        <f t="shared" si="33"/>
        <v>0.33667361111111127</v>
      </c>
      <c r="AG587" s="27">
        <f t="shared" si="34"/>
        <v>0.33656818181818193</v>
      </c>
    </row>
    <row r="588" spans="1:33" x14ac:dyDescent="0.25">
      <c r="A588" s="9">
        <v>44295</v>
      </c>
      <c r="B588" s="3"/>
      <c r="C588" s="3"/>
      <c r="D588" s="3"/>
      <c r="E588" s="3"/>
      <c r="F588" s="3"/>
      <c r="G588" s="3"/>
      <c r="H588" s="3"/>
      <c r="I588" s="3"/>
      <c r="J588" s="23">
        <v>44295</v>
      </c>
      <c r="K588" s="24">
        <v>37.208333333333336</v>
      </c>
      <c r="L588" s="24">
        <v>91.995833333333323</v>
      </c>
      <c r="M588" s="24">
        <v>9.4520833333333343</v>
      </c>
      <c r="N588" s="24">
        <v>1.7999999999999998</v>
      </c>
      <c r="O588" s="24">
        <v>222.16666666666666</v>
      </c>
      <c r="P588" s="24">
        <v>5.270833333333333</v>
      </c>
      <c r="Q588" s="24">
        <v>0.20833333333333334</v>
      </c>
      <c r="R588" s="24">
        <v>8.2041666666666657</v>
      </c>
      <c r="S588" s="10">
        <v>9.6062387734769425E-2</v>
      </c>
      <c r="T588" s="25">
        <v>0.23816666666666639</v>
      </c>
      <c r="U588" s="25">
        <v>0.31177083333333333</v>
      </c>
      <c r="V588" s="25">
        <v>0.39718750000000025</v>
      </c>
      <c r="W588" s="25">
        <v>0.40931250000000041</v>
      </c>
      <c r="X588" s="25">
        <v>0.42664583333333322</v>
      </c>
      <c r="Y588" s="25">
        <v>0.30985416666666654</v>
      </c>
      <c r="Z588" s="25">
        <v>0.31393750000000004</v>
      </c>
      <c r="AA588" s="25">
        <v>0.27108333333333362</v>
      </c>
      <c r="AB588" s="25">
        <v>0.25860416666666647</v>
      </c>
      <c r="AC588" s="25">
        <v>0.21457446808510647</v>
      </c>
      <c r="AD588" s="25">
        <v>0.28579166666666661</v>
      </c>
      <c r="AE588" s="27">
        <f t="shared" si="32"/>
        <v>0.33240624999999979</v>
      </c>
      <c r="AF588" s="27">
        <f t="shared" si="33"/>
        <v>0.33552430555555568</v>
      </c>
      <c r="AG588" s="27">
        <f t="shared" si="34"/>
        <v>0.33495738636363642</v>
      </c>
    </row>
    <row r="589" spans="1:33" x14ac:dyDescent="0.25">
      <c r="A589" s="9">
        <v>44296</v>
      </c>
      <c r="B589" s="3"/>
      <c r="C589" s="3"/>
      <c r="D589" s="3"/>
      <c r="E589" s="3"/>
      <c r="F589" s="3"/>
      <c r="G589" s="3"/>
      <c r="H589" s="3"/>
      <c r="I589" s="3"/>
      <c r="J589" s="23">
        <v>44296</v>
      </c>
      <c r="K589" s="24">
        <v>44.875</v>
      </c>
      <c r="L589" s="24">
        <v>95.216666666666697</v>
      </c>
      <c r="M589" s="24">
        <v>10.170833333333333</v>
      </c>
      <c r="N589" s="24">
        <v>2.9000000000000004</v>
      </c>
      <c r="O589" s="24">
        <v>226.70833333333334</v>
      </c>
      <c r="P589" s="24">
        <v>4.375</v>
      </c>
      <c r="Q589" s="24">
        <v>6.25E-2</v>
      </c>
      <c r="R589" s="24">
        <v>9.4395833333333332</v>
      </c>
      <c r="S589" s="10">
        <v>6.1575015691382462E-2</v>
      </c>
      <c r="T589" s="25">
        <v>0.23760416666666651</v>
      </c>
      <c r="U589" s="25">
        <v>0.31016666666666681</v>
      </c>
      <c r="V589" s="25">
        <v>0.39512499999999978</v>
      </c>
      <c r="W589" s="25">
        <v>0.40766666666666662</v>
      </c>
      <c r="X589" s="25">
        <v>0.42181249999999976</v>
      </c>
      <c r="Y589" s="25">
        <v>0.30781249999999988</v>
      </c>
      <c r="Z589" s="25">
        <v>0.31308333333333355</v>
      </c>
      <c r="AA589" s="25">
        <v>0.26991666666666647</v>
      </c>
      <c r="AB589" s="25">
        <v>0.26289583333333344</v>
      </c>
      <c r="AC589" s="25">
        <v>0.21408333333333343</v>
      </c>
      <c r="AD589" s="25">
        <v>0.28104166666666669</v>
      </c>
      <c r="AE589" s="27">
        <f t="shared" si="32"/>
        <v>0.32970833333333316</v>
      </c>
      <c r="AF589" s="27">
        <f t="shared" si="33"/>
        <v>0.33396180555555555</v>
      </c>
      <c r="AG589" s="27">
        <f t="shared" si="34"/>
        <v>0.33318844696969696</v>
      </c>
    </row>
    <row r="590" spans="1:33" x14ac:dyDescent="0.25">
      <c r="A590" s="9">
        <v>44297</v>
      </c>
      <c r="B590" s="3"/>
      <c r="C590" s="3"/>
      <c r="D590" s="3"/>
      <c r="E590" s="3"/>
      <c r="F590" s="3"/>
      <c r="G590" s="3"/>
      <c r="H590" s="3"/>
      <c r="I590" s="3"/>
      <c r="J590" s="23">
        <v>44297</v>
      </c>
      <c r="K590" s="24">
        <v>38.479166666666664</v>
      </c>
      <c r="L590" s="24">
        <v>97.397916666666674</v>
      </c>
      <c r="M590" s="24">
        <v>11.389583333333334</v>
      </c>
      <c r="N590" s="24">
        <v>3.600000000000001</v>
      </c>
      <c r="O590" s="24">
        <v>236.70833333333334</v>
      </c>
      <c r="P590" s="24">
        <v>2.0625</v>
      </c>
      <c r="Q590" s="24">
        <v>0</v>
      </c>
      <c r="R590" s="24">
        <v>10.987500000000002</v>
      </c>
      <c r="S590" s="10">
        <v>3.5669593115360602E-2</v>
      </c>
      <c r="T590" s="25">
        <v>0.23912500000000003</v>
      </c>
      <c r="U590" s="25">
        <v>0.31000000000000011</v>
      </c>
      <c r="V590" s="25">
        <v>0.3941666666666665</v>
      </c>
      <c r="W590" s="25">
        <v>0.40697916666666667</v>
      </c>
      <c r="X590" s="25">
        <v>0.43229166666666652</v>
      </c>
      <c r="Y590" s="25">
        <v>0.30662499999999987</v>
      </c>
      <c r="Z590" s="25">
        <v>0.31233333333333313</v>
      </c>
      <c r="AA590" s="25">
        <v>0.26900000000000007</v>
      </c>
      <c r="AB590" s="25">
        <v>0.28810416666666655</v>
      </c>
      <c r="AC590" s="25">
        <v>0.24124999999999999</v>
      </c>
      <c r="AD590" s="25">
        <v>0.31504166666666661</v>
      </c>
      <c r="AE590" s="27">
        <f t="shared" si="32"/>
        <v>0.33570833333333328</v>
      </c>
      <c r="AF590" s="27">
        <f t="shared" si="33"/>
        <v>0.33318402777777772</v>
      </c>
      <c r="AG590" s="27">
        <f t="shared" si="34"/>
        <v>0.33364299242424239</v>
      </c>
    </row>
    <row r="591" spans="1:33" x14ac:dyDescent="0.25">
      <c r="A591" s="9">
        <v>44298</v>
      </c>
      <c r="B591" s="3"/>
      <c r="C591" s="3"/>
      <c r="D591" s="3"/>
      <c r="E591" s="3"/>
      <c r="F591" s="3"/>
      <c r="G591" s="3"/>
      <c r="H591" s="3"/>
      <c r="I591" s="3"/>
      <c r="J591" s="23">
        <v>44298</v>
      </c>
      <c r="K591" s="24">
        <v>79.5</v>
      </c>
      <c r="L591" s="24">
        <v>91.208333333333314</v>
      </c>
      <c r="M591" s="24">
        <v>12.914583333333335</v>
      </c>
      <c r="N591" s="24">
        <v>0.8</v>
      </c>
      <c r="O591" s="24">
        <v>185.20833333333334</v>
      </c>
      <c r="P591" s="24">
        <v>2.4166666666666665</v>
      </c>
      <c r="Q591" s="24">
        <v>0</v>
      </c>
      <c r="R591" s="24">
        <v>11.439583333333333</v>
      </c>
      <c r="S591" s="10">
        <v>0.15381391675093595</v>
      </c>
      <c r="T591" s="25">
        <v>0.24070833333333344</v>
      </c>
      <c r="U591" s="25">
        <v>0.31022916666666667</v>
      </c>
      <c r="V591" s="25">
        <v>0.39418749999999997</v>
      </c>
      <c r="W591" s="25">
        <v>0.40643750000000001</v>
      </c>
      <c r="X591" s="25">
        <v>0.44431250000000011</v>
      </c>
      <c r="Y591" s="25">
        <v>0.3075208333333333</v>
      </c>
      <c r="Z591" s="25">
        <v>0.3120416666666665</v>
      </c>
      <c r="AA591" s="25">
        <v>0.26900000000000007</v>
      </c>
      <c r="AB591" s="25">
        <v>0.31720833333333326</v>
      </c>
      <c r="AC591" s="25">
        <v>0.24119565217391306</v>
      </c>
      <c r="AD591" s="25">
        <v>0.3725</v>
      </c>
      <c r="AE591" s="27">
        <f t="shared" si="32"/>
        <v>0.34251041666666676</v>
      </c>
      <c r="AF591" s="27">
        <f t="shared" si="33"/>
        <v>0.33323611111111112</v>
      </c>
      <c r="AG591" s="27">
        <f t="shared" si="34"/>
        <v>0.33492234848484853</v>
      </c>
    </row>
    <row r="592" spans="1:33" x14ac:dyDescent="0.25">
      <c r="A592" s="9">
        <v>44299</v>
      </c>
      <c r="B592" s="3"/>
      <c r="C592" s="3"/>
      <c r="D592" s="3"/>
      <c r="E592" s="3"/>
      <c r="F592" s="3"/>
      <c r="G592" s="3"/>
      <c r="H592" s="3"/>
      <c r="I592" s="3"/>
      <c r="J592" s="23">
        <v>44299</v>
      </c>
      <c r="K592" s="24">
        <v>58.333333333333336</v>
      </c>
      <c r="L592" s="24">
        <v>93.127083333333346</v>
      </c>
      <c r="M592" s="24">
        <v>12.987499999999997</v>
      </c>
      <c r="N592" s="24">
        <v>2.2999999999999998</v>
      </c>
      <c r="O592" s="24">
        <v>178.70833333333334</v>
      </c>
      <c r="P592" s="24">
        <v>2.125</v>
      </c>
      <c r="Q592" s="24">
        <v>0</v>
      </c>
      <c r="R592" s="24">
        <v>11.862500000000002</v>
      </c>
      <c r="S592" s="10">
        <v>0.11241783160414891</v>
      </c>
      <c r="T592" s="25">
        <v>0.24322916666666672</v>
      </c>
      <c r="U592" s="25">
        <v>0.31118749999999989</v>
      </c>
      <c r="V592" s="25">
        <v>0.3950208333333331</v>
      </c>
      <c r="W592" s="25">
        <v>0.40675</v>
      </c>
      <c r="X592" s="25">
        <v>0.43993749999999981</v>
      </c>
      <c r="Y592" s="25">
        <v>0.30866666666666648</v>
      </c>
      <c r="Z592" s="25">
        <v>0.31302083333333358</v>
      </c>
      <c r="AA592" s="25">
        <v>0.26900000000000007</v>
      </c>
      <c r="AB592" s="25">
        <v>0.31877083333333345</v>
      </c>
      <c r="AC592" s="25">
        <v>0.2312127659574468</v>
      </c>
      <c r="AD592" s="25">
        <v>0.37660416666666657</v>
      </c>
      <c r="AE592" s="27">
        <f t="shared" si="32"/>
        <v>0.34158333333333324</v>
      </c>
      <c r="AF592" s="27">
        <f t="shared" si="33"/>
        <v>0.33394097222222219</v>
      </c>
      <c r="AG592" s="27">
        <f t="shared" si="34"/>
        <v>0.3353304924242424</v>
      </c>
    </row>
    <row r="593" spans="1:33" x14ac:dyDescent="0.25">
      <c r="A593" s="9">
        <v>44300</v>
      </c>
      <c r="B593" s="3"/>
      <c r="C593" s="3"/>
      <c r="D593" s="3"/>
      <c r="E593" s="3"/>
      <c r="F593" s="3"/>
      <c r="G593" s="3"/>
      <c r="H593" s="3"/>
      <c r="I593" s="3"/>
      <c r="J593" s="23">
        <v>44300</v>
      </c>
      <c r="K593" s="24">
        <v>117.41666666666667</v>
      </c>
      <c r="L593" s="24">
        <v>88.897916666666674</v>
      </c>
      <c r="M593" s="24">
        <v>14.010416666666666</v>
      </c>
      <c r="N593" s="24">
        <v>1.2</v>
      </c>
      <c r="O593" s="24">
        <v>216.16666666666666</v>
      </c>
      <c r="P593" s="24">
        <v>4.541666666666667</v>
      </c>
      <c r="Q593" s="24">
        <v>0.22916666666666666</v>
      </c>
      <c r="R593" s="24">
        <v>12.099999999999996</v>
      </c>
      <c r="S593" s="10">
        <v>0.20191572694101514</v>
      </c>
      <c r="T593" s="25">
        <v>0.24458333333333326</v>
      </c>
      <c r="U593" s="25">
        <v>0.31220833333333337</v>
      </c>
      <c r="V593" s="25">
        <v>0.39597916666666699</v>
      </c>
      <c r="W593" s="25">
        <v>0.40699999999999997</v>
      </c>
      <c r="X593" s="25">
        <v>0.43664583333333296</v>
      </c>
      <c r="Y593" s="25">
        <v>0.3093333333333334</v>
      </c>
      <c r="Z593" s="25">
        <v>0.31362500000000015</v>
      </c>
      <c r="AA593" s="25">
        <v>0.26935416666666656</v>
      </c>
      <c r="AB593" s="25">
        <v>0.3243125</v>
      </c>
      <c r="AC593" s="25">
        <v>0.23638636363636351</v>
      </c>
      <c r="AD593" s="25">
        <v>0.39454166666666673</v>
      </c>
      <c r="AE593" s="27">
        <f t="shared" si="32"/>
        <v>0.34061458333333311</v>
      </c>
      <c r="AF593" s="27">
        <f t="shared" si="33"/>
        <v>0.33458333333333345</v>
      </c>
      <c r="AG593" s="27">
        <f t="shared" si="34"/>
        <v>0.33567992424242427</v>
      </c>
    </row>
    <row r="594" spans="1:33" x14ac:dyDescent="0.25">
      <c r="A594" s="9">
        <v>44301</v>
      </c>
      <c r="B594" s="3">
        <v>60.059796831</v>
      </c>
      <c r="C594" s="3">
        <v>34.842776502436571</v>
      </c>
      <c r="D594" s="3">
        <v>140.26507513989867</v>
      </c>
      <c r="E594" s="3">
        <v>121.5788322795221</v>
      </c>
      <c r="F594" s="2">
        <v>128.8251497126044</v>
      </c>
      <c r="G594" s="3">
        <v>39.362168664964003</v>
      </c>
      <c r="H594" s="3">
        <v>125.78124361707128</v>
      </c>
      <c r="I594" s="3">
        <v>59.323076980014882</v>
      </c>
      <c r="J594" s="23">
        <v>44301</v>
      </c>
      <c r="K594" s="24">
        <v>51.375</v>
      </c>
      <c r="L594" s="24">
        <v>93.360416666666666</v>
      </c>
      <c r="M594" s="24">
        <v>12.666666666666666</v>
      </c>
      <c r="N594" s="24">
        <v>0.4</v>
      </c>
      <c r="O594" s="24">
        <v>230.41666666666666</v>
      </c>
      <c r="P594" s="24">
        <v>3.1875</v>
      </c>
      <c r="Q594" s="24">
        <v>0</v>
      </c>
      <c r="R594" s="24">
        <v>11.606249999999998</v>
      </c>
      <c r="S594" s="10">
        <v>0.10434639520127058</v>
      </c>
      <c r="T594" s="25">
        <v>0.24568750000000017</v>
      </c>
      <c r="U594" s="25">
        <v>0.31283333333333346</v>
      </c>
      <c r="V594" s="25">
        <v>0.39652083333333382</v>
      </c>
      <c r="W594" s="25">
        <v>0.40702083333333333</v>
      </c>
      <c r="X594" s="25">
        <v>0.43295833333333317</v>
      </c>
      <c r="Y594" s="25">
        <v>0.31054166666666666</v>
      </c>
      <c r="Z594" s="25">
        <v>0.314</v>
      </c>
      <c r="AA594" s="25">
        <v>0.26999999999999974</v>
      </c>
      <c r="AB594" s="25">
        <v>0.31724999999999987</v>
      </c>
      <c r="AC594" s="25">
        <v>0.22431249999999994</v>
      </c>
      <c r="AD594" s="25">
        <v>0.38414583333333341</v>
      </c>
      <c r="AE594" s="27">
        <f t="shared" si="32"/>
        <v>0.3393229166666667</v>
      </c>
      <c r="AF594" s="27">
        <f t="shared" si="33"/>
        <v>0.33515277777777785</v>
      </c>
      <c r="AG594" s="27">
        <f t="shared" si="34"/>
        <v>0.33591098484848492</v>
      </c>
    </row>
    <row r="595" spans="1:33" x14ac:dyDescent="0.25">
      <c r="A595" s="9">
        <v>44302</v>
      </c>
      <c r="B595" s="3">
        <v>119.0693075634</v>
      </c>
      <c r="C595" s="3">
        <v>93.932610439384149</v>
      </c>
      <c r="D595" s="3">
        <v>228.57162342268282</v>
      </c>
      <c r="E595" s="3">
        <v>179.61322632807395</v>
      </c>
      <c r="F595" s="2">
        <v>167.32941728282768</v>
      </c>
      <c r="G595" s="3">
        <v>52.189679515476776</v>
      </c>
      <c r="H595" s="3">
        <v>163.37572474402234</v>
      </c>
      <c r="I595" s="3">
        <v>120.68532314400049</v>
      </c>
      <c r="J595" s="23">
        <v>44302</v>
      </c>
      <c r="K595" s="24">
        <v>70.083333333333329</v>
      </c>
      <c r="L595" s="24">
        <v>89.38124999999998</v>
      </c>
      <c r="M595" s="24">
        <v>13.152083333333337</v>
      </c>
      <c r="N595" s="24">
        <v>4.5</v>
      </c>
      <c r="O595" s="24">
        <v>207.1875</v>
      </c>
      <c r="P595" s="24">
        <v>2.4583333333333335</v>
      </c>
      <c r="Q595" s="24">
        <v>0</v>
      </c>
      <c r="R595" s="24">
        <v>11.389583333333329</v>
      </c>
      <c r="S595" s="10">
        <v>0.17337393730361986</v>
      </c>
      <c r="T595" s="25">
        <v>0.24691666666666648</v>
      </c>
      <c r="U595" s="25">
        <v>0.31291666666666684</v>
      </c>
      <c r="V595" s="25">
        <v>0.39610416666666709</v>
      </c>
      <c r="W595" s="25">
        <v>0.4072291666666667</v>
      </c>
      <c r="X595" s="25">
        <v>0.4500625000000002</v>
      </c>
      <c r="Y595" s="25">
        <v>0.3101875</v>
      </c>
      <c r="Z595" s="25">
        <v>0.314</v>
      </c>
      <c r="AA595" s="25">
        <v>0.26960416666666648</v>
      </c>
      <c r="AB595" s="25">
        <v>0.33741666666666664</v>
      </c>
      <c r="AC595" s="25">
        <v>0.24697916666666675</v>
      </c>
      <c r="AD595" s="25">
        <v>0.41364583333333332</v>
      </c>
      <c r="AE595" s="27">
        <f t="shared" si="32"/>
        <v>0.34848958333333335</v>
      </c>
      <c r="AF595" s="27">
        <f t="shared" si="33"/>
        <v>0.33500694444444457</v>
      </c>
      <c r="AG595" s="27">
        <f t="shared" si="34"/>
        <v>0.33745833333333342</v>
      </c>
    </row>
    <row r="596" spans="1:33" x14ac:dyDescent="0.25">
      <c r="A596" s="9">
        <v>44303</v>
      </c>
      <c r="B596" s="3">
        <v>0.71209800000000045</v>
      </c>
      <c r="C596" s="3">
        <v>6.0645048755988178</v>
      </c>
      <c r="D596" s="3">
        <v>7.3346052061789075</v>
      </c>
      <c r="E596" s="3">
        <v>0.90130771969749002</v>
      </c>
      <c r="F596" s="2">
        <v>40.818489112921952</v>
      </c>
      <c r="G596" s="3">
        <v>1.8453621366633413</v>
      </c>
      <c r="H596" s="3">
        <v>39.854021785707822</v>
      </c>
      <c r="I596" s="3">
        <v>28.514296948708374</v>
      </c>
      <c r="J596" s="23">
        <v>44303</v>
      </c>
      <c r="K596" s="24">
        <v>37.041666666666664</v>
      </c>
      <c r="L596" s="24">
        <v>92.872916666666654</v>
      </c>
      <c r="M596" s="24">
        <v>12.108333333333336</v>
      </c>
      <c r="N596" s="24">
        <v>3</v>
      </c>
      <c r="O596" s="24">
        <v>191.58333333333334</v>
      </c>
      <c r="P596" s="24">
        <v>2.3541666666666665</v>
      </c>
      <c r="Q596" s="24">
        <v>8.3333333333333329E-2</v>
      </c>
      <c r="R596" s="24">
        <v>10.989583333333334</v>
      </c>
      <c r="S596" s="10">
        <v>0.10161151696986215</v>
      </c>
      <c r="T596" s="25">
        <v>0.24799999999999989</v>
      </c>
      <c r="U596" s="25">
        <v>0.31300000000000022</v>
      </c>
      <c r="V596" s="25">
        <v>0.39608333333333379</v>
      </c>
      <c r="W596" s="25">
        <v>0.4070833333333333</v>
      </c>
      <c r="X596" s="25">
        <v>0.44587499999999985</v>
      </c>
      <c r="Y596" s="25">
        <v>0.31050000000000016</v>
      </c>
      <c r="Z596" s="25">
        <v>0.314</v>
      </c>
      <c r="AA596" s="25">
        <v>0.26977083333333318</v>
      </c>
      <c r="AB596" s="25">
        <v>0.33870833333333322</v>
      </c>
      <c r="AC596" s="25">
        <v>0.23558333333333337</v>
      </c>
      <c r="AD596" s="25">
        <v>0.41102083333333334</v>
      </c>
      <c r="AE596" s="27">
        <f t="shared" si="32"/>
        <v>0.3469374999999999</v>
      </c>
      <c r="AF596" s="27">
        <f t="shared" si="33"/>
        <v>0.33507291666666678</v>
      </c>
      <c r="AG596" s="27">
        <f t="shared" si="34"/>
        <v>0.33723011363636368</v>
      </c>
    </row>
    <row r="597" spans="1:33" x14ac:dyDescent="0.25">
      <c r="A597" s="9">
        <v>44304</v>
      </c>
      <c r="B597" s="3">
        <v>3.5052008903999998</v>
      </c>
      <c r="C597" s="3">
        <v>10.283616205068181</v>
      </c>
      <c r="D597" s="3">
        <v>5.4163364228750916</v>
      </c>
      <c r="E597" s="3">
        <v>5.2090273457573932</v>
      </c>
      <c r="F597" s="2">
        <v>27.138165632441961</v>
      </c>
      <c r="G597" s="3">
        <v>5.4987587340985566</v>
      </c>
      <c r="H597" s="3">
        <v>26.496939691898028</v>
      </c>
      <c r="I597" s="3">
        <v>21.214364006974968</v>
      </c>
      <c r="J597" s="23">
        <v>44304</v>
      </c>
      <c r="K597" s="24">
        <v>34.854166666666664</v>
      </c>
      <c r="L597" s="24">
        <v>96.770833333333357</v>
      </c>
      <c r="M597" s="24">
        <v>12.270833333333334</v>
      </c>
      <c r="N597" s="24">
        <v>3.9000000000000012</v>
      </c>
      <c r="O597" s="24">
        <v>226.39583333333334</v>
      </c>
      <c r="P597" s="24">
        <v>2.9375</v>
      </c>
      <c r="Q597" s="24">
        <v>4.1666666666666664E-2</v>
      </c>
      <c r="R597" s="24">
        <v>11.777083333333332</v>
      </c>
      <c r="S597" s="10">
        <v>4.6786763196519143E-2</v>
      </c>
      <c r="T597" s="25">
        <v>0.25277083333333322</v>
      </c>
      <c r="U597" s="25">
        <v>0.3129375000000002</v>
      </c>
      <c r="V597" s="25">
        <v>0.3954999999999998</v>
      </c>
      <c r="W597" s="25">
        <v>0.40702083333333333</v>
      </c>
      <c r="X597" s="25">
        <v>0.45358333333333339</v>
      </c>
      <c r="Y597" s="25">
        <v>0.30947916666666675</v>
      </c>
      <c r="Z597" s="25">
        <v>0.314</v>
      </c>
      <c r="AA597" s="25">
        <v>0.26904166666666673</v>
      </c>
      <c r="AB597" s="25">
        <v>0.3663333333333334</v>
      </c>
      <c r="AC597" s="25">
        <v>0.25310416666666674</v>
      </c>
      <c r="AD597" s="25">
        <v>0.42893749999999969</v>
      </c>
      <c r="AE597" s="27">
        <f t="shared" si="32"/>
        <v>0.35317708333333331</v>
      </c>
      <c r="AF597" s="27">
        <f t="shared" si="33"/>
        <v>0.33466319444444448</v>
      </c>
      <c r="AG597" s="27">
        <f t="shared" si="34"/>
        <v>0.33802935606060608</v>
      </c>
    </row>
    <row r="598" spans="1:33" x14ac:dyDescent="0.25">
      <c r="A598" s="9">
        <v>44305</v>
      </c>
      <c r="B598" s="3">
        <v>87.040902679200002</v>
      </c>
      <c r="C598" s="3">
        <v>23.520338029184636</v>
      </c>
      <c r="D598" s="3">
        <v>94.659077009989986</v>
      </c>
      <c r="E598" s="3">
        <v>245.12275174154561</v>
      </c>
      <c r="F598" s="2">
        <v>126.85469452549329</v>
      </c>
      <c r="G598" s="3">
        <v>18.202490724311396</v>
      </c>
      <c r="H598" s="3">
        <v>123.85734673451795</v>
      </c>
      <c r="I598" s="3">
        <v>72.677869071315541</v>
      </c>
      <c r="J598" s="23">
        <v>44305</v>
      </c>
      <c r="K598" s="24">
        <v>58.5</v>
      </c>
      <c r="L598" s="24">
        <v>95.235416666666652</v>
      </c>
      <c r="M598" s="24">
        <v>14.414583333333333</v>
      </c>
      <c r="N598" s="24">
        <v>3.1000000000000005</v>
      </c>
      <c r="O598" s="24">
        <v>229.22916666666666</v>
      </c>
      <c r="P598" s="24">
        <v>5.020833333333333</v>
      </c>
      <c r="Q598" s="24">
        <v>0.39583333333333331</v>
      </c>
      <c r="R598" s="24">
        <v>13.643749999999997</v>
      </c>
      <c r="S598" s="10">
        <v>8.5266594335494175E-2</v>
      </c>
      <c r="T598" s="25">
        <v>0.2876458333333331</v>
      </c>
      <c r="U598" s="25">
        <v>0.31329166666666675</v>
      </c>
      <c r="V598" s="25">
        <v>0.39593750000000033</v>
      </c>
      <c r="W598" s="25">
        <v>0.40699999999999997</v>
      </c>
      <c r="X598" s="25">
        <v>0.46260416666666665</v>
      </c>
      <c r="Y598" s="25">
        <v>0.30985416666666671</v>
      </c>
      <c r="Z598" s="25">
        <v>0.31402083333333336</v>
      </c>
      <c r="AA598" s="25">
        <v>0.26902083333333343</v>
      </c>
      <c r="AB598" s="25">
        <v>0.38593750000000004</v>
      </c>
      <c r="AC598" s="25">
        <v>0.25754166666666661</v>
      </c>
      <c r="AD598" s="25">
        <v>0.44241666666666712</v>
      </c>
      <c r="AE598" s="27">
        <f t="shared" si="32"/>
        <v>0.37512499999999988</v>
      </c>
      <c r="AF598" s="27">
        <f t="shared" si="33"/>
        <v>0.33485416666666673</v>
      </c>
      <c r="AG598" s="27">
        <f t="shared" si="34"/>
        <v>0.34217613636363636</v>
      </c>
    </row>
    <row r="599" spans="1:33" x14ac:dyDescent="0.25">
      <c r="A599" s="9">
        <v>44306</v>
      </c>
      <c r="B599" s="3">
        <v>246.67116646679997</v>
      </c>
      <c r="C599" s="3">
        <v>263.94449512548249</v>
      </c>
      <c r="D599" s="3">
        <v>635.51835037152614</v>
      </c>
      <c r="E599" s="3">
        <v>741.58309075989246</v>
      </c>
      <c r="F599" s="2">
        <v>416.86682824900237</v>
      </c>
      <c r="G599" s="3">
        <v>349.83221089391333</v>
      </c>
      <c r="H599" s="3">
        <v>407.01701645089082</v>
      </c>
      <c r="I599" s="3">
        <v>355.7805866311345</v>
      </c>
      <c r="J599" s="23">
        <v>44306</v>
      </c>
      <c r="K599" s="24">
        <v>225.1875</v>
      </c>
      <c r="L599" s="24">
        <v>78.583333333333343</v>
      </c>
      <c r="M599" s="24">
        <v>19.706250000000004</v>
      </c>
      <c r="N599" s="24">
        <v>0.2</v>
      </c>
      <c r="O599" s="24">
        <v>231.02083333333334</v>
      </c>
      <c r="P599" s="24">
        <v>10.5</v>
      </c>
      <c r="Q599" s="24">
        <v>1.5833333333333333</v>
      </c>
      <c r="R599" s="24">
        <v>15.495833333333332</v>
      </c>
      <c r="S599" s="10">
        <v>0.59292948142752588</v>
      </c>
      <c r="T599" s="25">
        <v>0.29512499999999992</v>
      </c>
      <c r="U599" s="25">
        <v>0.31541666666666685</v>
      </c>
      <c r="V599" s="25">
        <v>0.39770833333333333</v>
      </c>
      <c r="W599" s="25">
        <v>0.40731250000000013</v>
      </c>
      <c r="X599" s="25">
        <v>0.46047916666666655</v>
      </c>
      <c r="Y599" s="25">
        <v>0.3120208333333333</v>
      </c>
      <c r="Z599" s="25">
        <v>0.31504166666666661</v>
      </c>
      <c r="AA599" s="25">
        <v>0.26970833333333316</v>
      </c>
      <c r="AB599" s="25">
        <v>0.38441666666666657</v>
      </c>
      <c r="AC599" s="25">
        <v>0.24732258064516127</v>
      </c>
      <c r="AD599" s="25">
        <v>0.43181250000000015</v>
      </c>
      <c r="AE599" s="27">
        <f t="shared" si="32"/>
        <v>0.37780208333333321</v>
      </c>
      <c r="AF599" s="27">
        <f t="shared" si="33"/>
        <v>0.3362013888888889</v>
      </c>
      <c r="AG599" s="27">
        <f t="shared" si="34"/>
        <v>0.34376515151515152</v>
      </c>
    </row>
    <row r="600" spans="1:33" x14ac:dyDescent="0.25">
      <c r="A600" s="9">
        <v>44307</v>
      </c>
      <c r="B600" s="3">
        <v>270.30769598879999</v>
      </c>
      <c r="C600" s="3">
        <v>331.65979769427594</v>
      </c>
      <c r="D600" s="3">
        <v>735.62895122379325</v>
      </c>
      <c r="E600" s="3">
        <v>774.08743048799556</v>
      </c>
      <c r="F600" s="2">
        <v>408.5193758443358</v>
      </c>
      <c r="G600" s="3">
        <v>402.64586646600446</v>
      </c>
      <c r="H600" s="3">
        <v>398.86679930124563</v>
      </c>
      <c r="I600" s="3">
        <v>421.7000744585406</v>
      </c>
      <c r="J600" s="23">
        <v>44307</v>
      </c>
      <c r="K600" s="24">
        <v>213.125</v>
      </c>
      <c r="L600" s="24">
        <v>75.489583333333343</v>
      </c>
      <c r="M600" s="24">
        <v>20.497916666666661</v>
      </c>
      <c r="N600" s="24">
        <v>0</v>
      </c>
      <c r="O600" s="24">
        <v>225.02083333333334</v>
      </c>
      <c r="P600" s="24">
        <v>5.166666666666667</v>
      </c>
      <c r="Q600" s="24">
        <v>0.25</v>
      </c>
      <c r="R600" s="24">
        <v>15.42083333333334</v>
      </c>
      <c r="S600" s="10">
        <v>0.75340691730483433</v>
      </c>
      <c r="T600" s="25">
        <v>0.2886666666666669</v>
      </c>
      <c r="U600" s="25">
        <v>0.31852083333333353</v>
      </c>
      <c r="V600" s="25">
        <v>0.40120833333333322</v>
      </c>
      <c r="W600" s="25">
        <v>0.40952083333333333</v>
      </c>
      <c r="X600" s="25">
        <v>0.45306250000000015</v>
      </c>
      <c r="Y600" s="25">
        <v>0.31535416666666671</v>
      </c>
      <c r="Z600" s="25">
        <v>0.31670833333333342</v>
      </c>
      <c r="AA600" s="25">
        <v>0.27106250000000026</v>
      </c>
      <c r="AB600" s="25">
        <v>0.37525000000000003</v>
      </c>
      <c r="AC600" s="25">
        <v>0.22109090909090912</v>
      </c>
      <c r="AD600" s="25">
        <v>0.40749999999999981</v>
      </c>
      <c r="AE600" s="27">
        <f t="shared" si="32"/>
        <v>0.3708645833333335</v>
      </c>
      <c r="AF600" s="27">
        <f t="shared" si="33"/>
        <v>0.33872916666666675</v>
      </c>
      <c r="AG600" s="27">
        <f t="shared" si="34"/>
        <v>0.34457196969696979</v>
      </c>
    </row>
    <row r="601" spans="1:33" x14ac:dyDescent="0.25">
      <c r="A601" s="9">
        <v>44308</v>
      </c>
      <c r="B601" s="3">
        <v>326.71052411580013</v>
      </c>
      <c r="C601" s="3">
        <v>360.32714225482988</v>
      </c>
      <c r="D601" s="3">
        <v>735.33309857771008</v>
      </c>
      <c r="E601" s="3">
        <v>791.40006353503247</v>
      </c>
      <c r="F601" s="2">
        <v>416.67508791146292</v>
      </c>
      <c r="G601" s="3">
        <v>380.31499378556771</v>
      </c>
      <c r="H601" s="3">
        <v>406.82980659193805</v>
      </c>
      <c r="I601" s="3">
        <v>422.9869245072864</v>
      </c>
      <c r="J601" s="23">
        <v>44308</v>
      </c>
      <c r="K601" s="24">
        <v>212.25</v>
      </c>
      <c r="L601" s="24">
        <v>75.985416666666652</v>
      </c>
      <c r="M601" s="24">
        <v>21.189583333333328</v>
      </c>
      <c r="N601" s="24">
        <v>0</v>
      </c>
      <c r="O601" s="24">
        <v>234.70833333333334</v>
      </c>
      <c r="P601" s="24">
        <v>11.770833333333334</v>
      </c>
      <c r="Q601" s="24">
        <v>2.9375</v>
      </c>
      <c r="R601" s="24">
        <v>16.458333333333329</v>
      </c>
      <c r="S601" s="10">
        <v>0.72391247983444673</v>
      </c>
      <c r="T601" s="25">
        <v>0.27839583333333345</v>
      </c>
      <c r="U601" s="25">
        <v>0.31964583333333368</v>
      </c>
      <c r="V601" s="25">
        <v>0.40345833333333342</v>
      </c>
      <c r="W601" s="25">
        <v>0.41112499999999996</v>
      </c>
      <c r="X601" s="25">
        <v>0.44299999999999984</v>
      </c>
      <c r="Y601" s="25">
        <v>0.31675000000000003</v>
      </c>
      <c r="Z601" s="25">
        <v>0.31781249999999978</v>
      </c>
      <c r="AA601" s="25">
        <v>0.27197916666666683</v>
      </c>
      <c r="AB601" s="25">
        <v>0.36248936170212759</v>
      </c>
      <c r="AC601" s="25">
        <v>0.20831250000000004</v>
      </c>
      <c r="AD601" s="25">
        <v>0.38262499999999994</v>
      </c>
      <c r="AE601" s="27">
        <f t="shared" si="32"/>
        <v>0.36069791666666662</v>
      </c>
      <c r="AF601" s="27">
        <f t="shared" si="33"/>
        <v>0.34012847222222226</v>
      </c>
      <c r="AG601" s="27">
        <f t="shared" si="34"/>
        <v>0.34386837121212122</v>
      </c>
    </row>
    <row r="602" spans="1:33" x14ac:dyDescent="0.25">
      <c r="A602" s="9">
        <v>44309</v>
      </c>
      <c r="B602" s="3">
        <v>361.5450662412</v>
      </c>
      <c r="C602" s="3">
        <v>366.24143973085194</v>
      </c>
      <c r="D602" s="3">
        <v>805.32898413079602</v>
      </c>
      <c r="E602" s="3">
        <v>859.8436306990551</v>
      </c>
      <c r="F602" s="2">
        <v>437.70093850472466</v>
      </c>
      <c r="G602" s="3">
        <v>340.09618899431371</v>
      </c>
      <c r="H602" s="3">
        <v>427.35885423230292</v>
      </c>
      <c r="I602" s="3">
        <v>343.19638650716581</v>
      </c>
      <c r="J602" s="23">
        <v>44309</v>
      </c>
      <c r="K602" s="24">
        <v>205.4375</v>
      </c>
      <c r="L602" s="24">
        <v>74.037499999999994</v>
      </c>
      <c r="M602" s="24">
        <v>22.941666666666666</v>
      </c>
      <c r="N602" s="24">
        <v>0</v>
      </c>
      <c r="O602" s="24">
        <v>232.25</v>
      </c>
      <c r="P602" s="24">
        <v>17.875</v>
      </c>
      <c r="Q602" s="24">
        <v>4.645833333333333</v>
      </c>
      <c r="R602" s="24">
        <v>17.941666666666666</v>
      </c>
      <c r="S602" s="10">
        <v>0.77243083366202392</v>
      </c>
      <c r="T602" s="25">
        <v>0.26850000000000013</v>
      </c>
      <c r="U602" s="25">
        <v>0.32002083333333359</v>
      </c>
      <c r="V602" s="25">
        <v>0.40475</v>
      </c>
      <c r="W602" s="25">
        <v>0.41241666666666682</v>
      </c>
      <c r="X602" s="25">
        <v>0.43339583333333298</v>
      </c>
      <c r="Y602" s="25">
        <v>0.3174791666666667</v>
      </c>
      <c r="Z602" s="25">
        <v>0.31822916666666651</v>
      </c>
      <c r="AA602" s="25">
        <v>0.27274999999999994</v>
      </c>
      <c r="AB602" s="25">
        <v>0.34608695652173915</v>
      </c>
      <c r="AC602" s="25">
        <v>0.17364705882352938</v>
      </c>
      <c r="AD602" s="25">
        <v>0.35091666666666649</v>
      </c>
      <c r="AE602" s="27">
        <f t="shared" si="32"/>
        <v>0.35094791666666658</v>
      </c>
      <c r="AF602" s="27">
        <f t="shared" si="33"/>
        <v>0.3409409722222223</v>
      </c>
      <c r="AG602" s="27">
        <f t="shared" si="34"/>
        <v>0.34276041666666673</v>
      </c>
    </row>
    <row r="603" spans="1:33" x14ac:dyDescent="0.25">
      <c r="A603" s="9">
        <v>44310</v>
      </c>
      <c r="B603" s="3">
        <v>324.35257312440012</v>
      </c>
      <c r="C603" s="3">
        <v>336.39039549252669</v>
      </c>
      <c r="D603" s="3">
        <v>674.33871564341075</v>
      </c>
      <c r="E603" s="3">
        <v>712.6739291434908</v>
      </c>
      <c r="F603" s="2">
        <v>382.96176672287902</v>
      </c>
      <c r="G603" s="3">
        <v>277.79801574320607</v>
      </c>
      <c r="H603" s="3">
        <v>373.91307041874541</v>
      </c>
      <c r="I603" s="3">
        <v>265.05015333197514</v>
      </c>
      <c r="J603" s="23">
        <v>44310</v>
      </c>
      <c r="K603" s="24">
        <v>176.47916666666666</v>
      </c>
      <c r="L603" s="24">
        <v>74.250000000000014</v>
      </c>
      <c r="M603" s="24">
        <v>22.783333333333331</v>
      </c>
      <c r="N603" s="24">
        <v>0</v>
      </c>
      <c r="O603" s="24">
        <v>229.70833333333334</v>
      </c>
      <c r="P603" s="24">
        <v>9.0833333333333339</v>
      </c>
      <c r="Q603" s="24">
        <v>0.85416666666666663</v>
      </c>
      <c r="R603" s="24">
        <v>17.681249999999999</v>
      </c>
      <c r="S603" s="10">
        <v>0.80757649764186235</v>
      </c>
      <c r="T603" s="25">
        <v>0.26141666666666669</v>
      </c>
      <c r="U603" s="25">
        <v>0.31985416666666705</v>
      </c>
      <c r="V603" s="25">
        <v>0.4056666666666664</v>
      </c>
      <c r="W603" s="25">
        <v>0.41285416666666669</v>
      </c>
      <c r="X603" s="25">
        <v>0.42660416666666667</v>
      </c>
      <c r="Y603" s="25">
        <v>0.31822916666666673</v>
      </c>
      <c r="Z603" s="25">
        <v>0.31858333333333327</v>
      </c>
      <c r="AA603" s="25">
        <v>0.27306249999999987</v>
      </c>
      <c r="AB603" s="25">
        <v>0.32645833333333335</v>
      </c>
      <c r="AC603" s="25">
        <v>0.1634444444444445</v>
      </c>
      <c r="AD603" s="25">
        <v>0.31354166666666661</v>
      </c>
      <c r="AE603" s="27">
        <f t="shared" si="32"/>
        <v>0.34401041666666665</v>
      </c>
      <c r="AF603" s="27">
        <f t="shared" si="33"/>
        <v>0.34137499999999998</v>
      </c>
      <c r="AG603" s="27">
        <f t="shared" si="34"/>
        <v>0.34185416666666663</v>
      </c>
    </row>
    <row r="604" spans="1:33" x14ac:dyDescent="0.25">
      <c r="A604" s="9">
        <v>44311</v>
      </c>
      <c r="B604" s="3">
        <v>91.147935445200005</v>
      </c>
      <c r="C604" s="3">
        <v>54.031324374771124</v>
      </c>
      <c r="D604" s="3">
        <v>199.71126143746037</v>
      </c>
      <c r="E604" s="3">
        <v>175.16062657692029</v>
      </c>
      <c r="F604" s="2">
        <v>121.77710986362824</v>
      </c>
      <c r="G604" s="3">
        <v>22.68485865292573</v>
      </c>
      <c r="H604" s="3">
        <v>118.89973624646382</v>
      </c>
      <c r="I604" s="3">
        <v>59.466045663597349</v>
      </c>
      <c r="J604" s="23">
        <v>44311</v>
      </c>
      <c r="K604" s="24">
        <v>50</v>
      </c>
      <c r="L604" s="24">
        <v>87.791666666666686</v>
      </c>
      <c r="M604" s="24">
        <v>15.206250000000002</v>
      </c>
      <c r="N604" s="24">
        <v>1.1000000000000001</v>
      </c>
      <c r="O604" s="24">
        <v>227.22916666666666</v>
      </c>
      <c r="P604" s="24">
        <v>7.5</v>
      </c>
      <c r="Q604" s="24">
        <v>0.20833333333333334</v>
      </c>
      <c r="R604" s="24">
        <v>13.170833333333334</v>
      </c>
      <c r="S604" s="10">
        <v>0.22118613206343452</v>
      </c>
      <c r="T604" s="25">
        <v>0.25639583333333343</v>
      </c>
      <c r="U604" s="25">
        <v>0.31877083333333339</v>
      </c>
      <c r="V604" s="25">
        <v>0.4057083333333335</v>
      </c>
      <c r="W604" s="25">
        <v>0.41337499999999999</v>
      </c>
      <c r="X604" s="25">
        <v>0.42087500000000005</v>
      </c>
      <c r="Y604" s="25">
        <v>0.31862500000000005</v>
      </c>
      <c r="Z604" s="25">
        <v>0.31860416666666674</v>
      </c>
      <c r="AA604" s="25">
        <v>0.27314583333333325</v>
      </c>
      <c r="AB604" s="25">
        <v>0.3081458333333334</v>
      </c>
      <c r="AC604" s="53">
        <f t="shared" ref="AC604:AC606" si="35">AD604*0.5711-0.0033</f>
        <v>0.15886860416666665</v>
      </c>
      <c r="AD604" s="25">
        <v>0.28395833333333326</v>
      </c>
      <c r="AE604" s="27">
        <f t="shared" si="32"/>
        <v>0.33863541666666674</v>
      </c>
      <c r="AF604" s="27">
        <f t="shared" si="33"/>
        <v>0.34137152777777785</v>
      </c>
      <c r="AG604" s="27">
        <f t="shared" si="34"/>
        <v>0.3408740530303031</v>
      </c>
    </row>
    <row r="605" spans="1:33" x14ac:dyDescent="0.25">
      <c r="A605" s="9">
        <v>44312</v>
      </c>
      <c r="B605" s="3">
        <v>168.01772311439998</v>
      </c>
      <c r="C605" s="3">
        <v>120.36496671014278</v>
      </c>
      <c r="D605" s="3">
        <v>383.26558764851961</v>
      </c>
      <c r="E605" s="3">
        <v>396.70960222206111</v>
      </c>
      <c r="F605" s="2">
        <v>234.05087813796538</v>
      </c>
      <c r="G605" s="3">
        <v>84.159810818372364</v>
      </c>
      <c r="H605" s="3">
        <v>228.52067773673636</v>
      </c>
      <c r="I605" s="3">
        <v>147.71083544127146</v>
      </c>
      <c r="J605" s="23">
        <v>44312</v>
      </c>
      <c r="K605" s="24">
        <v>100</v>
      </c>
      <c r="L605" s="24">
        <v>83.65</v>
      </c>
      <c r="M605" s="24">
        <v>14.706249999999999</v>
      </c>
      <c r="N605" s="24">
        <v>1.9</v>
      </c>
      <c r="O605" s="24">
        <v>209.41666666666666</v>
      </c>
      <c r="P605" s="24">
        <v>4.208333333333333</v>
      </c>
      <c r="Q605" s="24">
        <v>0.10416666666666667</v>
      </c>
      <c r="R605" s="24">
        <v>11.827083333333333</v>
      </c>
      <c r="S605" s="10">
        <v>0.31021412031893314</v>
      </c>
      <c r="T605" s="25">
        <v>0.2518749999999999</v>
      </c>
      <c r="U605" s="25">
        <v>0.31539583333333326</v>
      </c>
      <c r="V605" s="25">
        <v>0.40216666666666656</v>
      </c>
      <c r="W605" s="25">
        <v>0.41216666666666707</v>
      </c>
      <c r="X605" s="25">
        <v>0.4146875000000001</v>
      </c>
      <c r="Y605" s="25">
        <v>0.31543749999999976</v>
      </c>
      <c r="Z605" s="25">
        <v>0.31706250000000025</v>
      </c>
      <c r="AA605" s="25">
        <v>0.27252083333333332</v>
      </c>
      <c r="AB605" s="25">
        <v>0.30562499999999992</v>
      </c>
      <c r="AC605" s="53">
        <f t="shared" si="35"/>
        <v>0.16916030208333332</v>
      </c>
      <c r="AD605" s="25">
        <v>0.30197916666666663</v>
      </c>
      <c r="AE605" s="27">
        <f t="shared" si="32"/>
        <v>0.33328124999999997</v>
      </c>
      <c r="AF605" s="27">
        <f t="shared" si="33"/>
        <v>0.33912500000000007</v>
      </c>
      <c r="AG605" s="27">
        <f t="shared" si="34"/>
        <v>0.33806250000000004</v>
      </c>
    </row>
    <row r="606" spans="1:33" x14ac:dyDescent="0.25">
      <c r="A606" s="9">
        <v>44313</v>
      </c>
      <c r="B606" s="3">
        <v>85.079512693799998</v>
      </c>
      <c r="C606" s="3">
        <v>112.55772237370431</v>
      </c>
      <c r="D606" s="3">
        <v>197.41177477163976</v>
      </c>
      <c r="E606" s="3">
        <v>204.89215271597575</v>
      </c>
      <c r="F606" s="2">
        <v>154.44303327715525</v>
      </c>
      <c r="G606" s="3">
        <v>59.603134362792652</v>
      </c>
      <c r="H606" s="3">
        <v>150.79382276621291</v>
      </c>
      <c r="I606" s="3">
        <v>92.829209423437504</v>
      </c>
      <c r="J606" s="23">
        <v>44313</v>
      </c>
      <c r="K606" s="24">
        <v>87.1875</v>
      </c>
      <c r="L606" s="24">
        <v>87.060416666666654</v>
      </c>
      <c r="M606" s="24">
        <v>14.683333333333337</v>
      </c>
      <c r="N606" s="24">
        <v>4.4000000000000004</v>
      </c>
      <c r="O606" s="24">
        <v>211.875</v>
      </c>
      <c r="P606" s="24">
        <v>3.4166666666666665</v>
      </c>
      <c r="Q606" s="24">
        <v>4.1666666666666664E-2</v>
      </c>
      <c r="R606" s="24">
        <v>12.445833333333333</v>
      </c>
      <c r="S606" s="10">
        <v>0.24025584832135605</v>
      </c>
      <c r="T606" s="25">
        <v>0.2508749999999999</v>
      </c>
      <c r="U606" s="25">
        <v>0.31427083333333339</v>
      </c>
      <c r="V606" s="25">
        <v>0.40031249999999979</v>
      </c>
      <c r="W606" s="25">
        <v>0.41060416666666649</v>
      </c>
      <c r="X606" s="25">
        <v>0.41208333333333319</v>
      </c>
      <c r="Y606" s="25">
        <v>0.31383333333333335</v>
      </c>
      <c r="Z606" s="25">
        <v>0.31539583333333315</v>
      </c>
      <c r="AA606" s="25">
        <v>0.27114583333333359</v>
      </c>
      <c r="AB606" s="25">
        <v>0.31275000000000008</v>
      </c>
      <c r="AC606" s="53">
        <f t="shared" si="35"/>
        <v>0.16876767083333336</v>
      </c>
      <c r="AD606" s="25">
        <v>0.30129166666666668</v>
      </c>
      <c r="AE606" s="27">
        <f t="shared" si="32"/>
        <v>0.33147916666666655</v>
      </c>
      <c r="AF606" s="27">
        <f t="shared" si="33"/>
        <v>0.33759374999999991</v>
      </c>
      <c r="AG606" s="27">
        <f t="shared" si="34"/>
        <v>0.33648200757575747</v>
      </c>
    </row>
    <row r="607" spans="1:33" x14ac:dyDescent="0.25">
      <c r="A607" s="9">
        <v>44314</v>
      </c>
      <c r="B607" s="3">
        <v>86.528976314399998</v>
      </c>
      <c r="C607" s="3">
        <v>92.227390512029061</v>
      </c>
      <c r="D607" s="3">
        <v>213.12656845992504</v>
      </c>
      <c r="E607" s="3">
        <v>201.65968245563431</v>
      </c>
      <c r="F607" s="2">
        <v>177.22248105818784</v>
      </c>
      <c r="G607" s="3">
        <v>57.114666724345632</v>
      </c>
      <c r="H607" s="3">
        <v>173.03503325345426</v>
      </c>
      <c r="I607" s="3">
        <v>93.581796493892227</v>
      </c>
      <c r="J607" s="23">
        <v>44314</v>
      </c>
      <c r="K607" s="24">
        <v>84.729166666666671</v>
      </c>
      <c r="L607" s="24">
        <v>88.745833333333323</v>
      </c>
      <c r="M607" s="24">
        <v>13.993749999999999</v>
      </c>
      <c r="N607" s="24">
        <v>16.899999999999999</v>
      </c>
      <c r="O607" s="24">
        <v>220.85416666666666</v>
      </c>
      <c r="P607" s="24">
        <v>3.75</v>
      </c>
      <c r="Q607" s="24">
        <v>4.1666666666666664E-2</v>
      </c>
      <c r="R607" s="24">
        <v>12.120833333333335</v>
      </c>
      <c r="S607" s="10">
        <v>0.18891025009461229</v>
      </c>
      <c r="T607" s="25">
        <v>0.2745625000000001</v>
      </c>
      <c r="U607" s="25">
        <v>0.31785416666666683</v>
      </c>
      <c r="V607" s="25">
        <v>0.40075</v>
      </c>
      <c r="W607" s="25">
        <v>0.41187500000000005</v>
      </c>
      <c r="X607" s="25">
        <v>0.44433333333333319</v>
      </c>
      <c r="Y607" s="25">
        <v>0.31770833333333343</v>
      </c>
      <c r="Z607" s="25">
        <v>0.31499999999999989</v>
      </c>
      <c r="AA607" s="25">
        <v>0.27060416666666681</v>
      </c>
      <c r="AB607" s="25">
        <v>0.37831249999999988</v>
      </c>
      <c r="AC607" s="25">
        <v>0.24792307692307688</v>
      </c>
      <c r="AD607" s="25">
        <v>0.39152083333333332</v>
      </c>
      <c r="AE607" s="27">
        <f t="shared" si="32"/>
        <v>0.35944791666666664</v>
      </c>
      <c r="AF607" s="27">
        <f t="shared" si="33"/>
        <v>0.33896527777777785</v>
      </c>
      <c r="AG607" s="27">
        <f t="shared" si="34"/>
        <v>0.34268939393939402</v>
      </c>
    </row>
    <row r="608" spans="1:33" x14ac:dyDescent="0.25">
      <c r="A608" s="9">
        <v>44315</v>
      </c>
      <c r="B608" s="3">
        <v>255.22046749620003</v>
      </c>
      <c r="C608" s="3">
        <v>344.31351064848718</v>
      </c>
      <c r="D608" s="3">
        <v>686.9805457356282</v>
      </c>
      <c r="E608" s="3">
        <v>704.83404597885783</v>
      </c>
      <c r="F608" s="2">
        <v>449.48432624392626</v>
      </c>
      <c r="G608" s="3">
        <v>401.7261224061013</v>
      </c>
      <c r="H608" s="3">
        <v>438.86382175739726</v>
      </c>
      <c r="I608" s="3">
        <v>340.47262205889422</v>
      </c>
      <c r="J608" s="23">
        <v>44315</v>
      </c>
      <c r="K608" s="24">
        <v>271.64583333333331</v>
      </c>
      <c r="L608" s="24">
        <v>65.081249999999983</v>
      </c>
      <c r="M608" s="24">
        <v>18.022916666666667</v>
      </c>
      <c r="N608" s="24">
        <v>0.4</v>
      </c>
      <c r="O608" s="24">
        <v>215.20833333333334</v>
      </c>
      <c r="P608" s="24">
        <v>5.291666666666667</v>
      </c>
      <c r="Q608" s="24">
        <v>0.4375</v>
      </c>
      <c r="R608" s="24">
        <v>10.172916666666666</v>
      </c>
      <c r="S608" s="10">
        <v>0.92031888459238065</v>
      </c>
      <c r="T608" s="25">
        <v>0.28079166666666655</v>
      </c>
      <c r="U608" s="25">
        <v>0.32004166666666684</v>
      </c>
      <c r="V608" s="25">
        <v>0.40104166666666669</v>
      </c>
      <c r="W608" s="25">
        <v>0.41145833333333348</v>
      </c>
      <c r="X608" s="25">
        <v>0.44916666666666671</v>
      </c>
      <c r="Y608" s="25">
        <v>0.31768749999999996</v>
      </c>
      <c r="Z608" s="25">
        <v>0.31454166666666677</v>
      </c>
      <c r="AA608" s="25">
        <v>0.2707083333333335</v>
      </c>
      <c r="AB608" s="25">
        <v>0.38649999999999984</v>
      </c>
      <c r="AC608" s="25">
        <v>0.24363636363636365</v>
      </c>
      <c r="AD608" s="25">
        <v>0.41135416666666647</v>
      </c>
      <c r="AE608" s="27">
        <f t="shared" si="32"/>
        <v>0.36497916666666663</v>
      </c>
      <c r="AF608" s="27">
        <f t="shared" si="33"/>
        <v>0.33924652777777786</v>
      </c>
      <c r="AG608" s="27">
        <f t="shared" si="34"/>
        <v>0.3439251893939394</v>
      </c>
    </row>
    <row r="609" spans="1:33" x14ac:dyDescent="0.25">
      <c r="A609" s="9">
        <v>44316</v>
      </c>
      <c r="B609" s="3">
        <v>281.56057192979995</v>
      </c>
      <c r="C609" s="3">
        <v>395.5354111847264</v>
      </c>
      <c r="D609" s="3">
        <v>785.55270872163987</v>
      </c>
      <c r="E609" s="3">
        <v>800.19257676809582</v>
      </c>
      <c r="F609" s="2">
        <v>427.96885671235736</v>
      </c>
      <c r="G609" s="3">
        <v>404.02759796267469</v>
      </c>
      <c r="H609" s="3">
        <v>417.85672399175684</v>
      </c>
      <c r="I609" s="3">
        <v>341.54932296377604</v>
      </c>
      <c r="J609" s="23">
        <v>44316</v>
      </c>
      <c r="K609" s="24">
        <v>255.85416666666666</v>
      </c>
      <c r="L609" s="24">
        <v>67.949999999999989</v>
      </c>
      <c r="M609" s="24">
        <v>19.204166666666669</v>
      </c>
      <c r="N609" s="24">
        <v>7.5</v>
      </c>
      <c r="O609" s="24">
        <v>196.875</v>
      </c>
      <c r="P609" s="24">
        <v>6.416666666666667</v>
      </c>
      <c r="Q609" s="24">
        <v>0.8125</v>
      </c>
      <c r="R609" s="24">
        <v>12.727083333333331</v>
      </c>
      <c r="S609" s="10">
        <v>0.85998887049472339</v>
      </c>
      <c r="T609" s="25">
        <v>0.27212500000000001</v>
      </c>
      <c r="U609" s="25">
        <v>0.32060416666666675</v>
      </c>
      <c r="V609" s="25">
        <v>0.40156250000000004</v>
      </c>
      <c r="W609" s="25">
        <v>0.41114583333333327</v>
      </c>
      <c r="X609" s="25">
        <v>0.4393749999999999</v>
      </c>
      <c r="Y609" s="25">
        <v>0.31758333333333344</v>
      </c>
      <c r="Z609" s="25">
        <v>0.31499999999999989</v>
      </c>
      <c r="AA609" s="25">
        <v>0.27081250000000007</v>
      </c>
      <c r="AB609" s="25">
        <v>0.37683720930232562</v>
      </c>
      <c r="AC609" s="25">
        <v>0.200875</v>
      </c>
      <c r="AD609" s="25">
        <v>0.38627083333333334</v>
      </c>
      <c r="AE609" s="27">
        <f t="shared" si="32"/>
        <v>0.35574999999999996</v>
      </c>
      <c r="AF609" s="27">
        <f t="shared" si="33"/>
        <v>0.33945138888888887</v>
      </c>
      <c r="AG609" s="27">
        <f t="shared" si="34"/>
        <v>0.34241477272727272</v>
      </c>
    </row>
    <row r="610" spans="1:33" x14ac:dyDescent="0.25">
      <c r="A610" s="9">
        <v>44317</v>
      </c>
      <c r="B610" s="3">
        <v>239.2760938824</v>
      </c>
      <c r="C610" s="3">
        <v>369.1003772979837</v>
      </c>
      <c r="D610" s="3">
        <v>699.55537312960564</v>
      </c>
      <c r="E610" s="3">
        <v>673.752799209165</v>
      </c>
      <c r="F610" s="3">
        <v>944.00515151624575</v>
      </c>
      <c r="G610" s="3">
        <v>344.19004943495173</v>
      </c>
      <c r="H610" s="3">
        <v>403.11452477249554</v>
      </c>
      <c r="I610" s="3">
        <v>325.15608951784662</v>
      </c>
      <c r="J610" s="23">
        <v>44317</v>
      </c>
      <c r="K610" s="24">
        <v>256.8125</v>
      </c>
      <c r="L610" s="24">
        <v>70.152083333333351</v>
      </c>
      <c r="M610" s="24">
        <v>20.231250000000006</v>
      </c>
      <c r="N610" s="24">
        <v>0</v>
      </c>
      <c r="O610" s="24">
        <v>234.89583333333334</v>
      </c>
      <c r="P610" s="24">
        <v>5.083333333333333</v>
      </c>
      <c r="Q610" s="24">
        <v>0.47916666666666669</v>
      </c>
      <c r="R610" s="24">
        <v>14.006250000000001</v>
      </c>
      <c r="S610" s="10">
        <v>0.89570311598521857</v>
      </c>
      <c r="T610" s="25">
        <v>0.2661666666666665</v>
      </c>
      <c r="U610" s="25">
        <v>0.32056250000000008</v>
      </c>
      <c r="V610" s="25">
        <v>0.40204166666666663</v>
      </c>
      <c r="W610" s="25">
        <v>0.41160416666666705</v>
      </c>
      <c r="X610" s="25">
        <v>0.4331666666666667</v>
      </c>
      <c r="Y610" s="25">
        <v>0.31733333333333341</v>
      </c>
      <c r="Z610" s="25">
        <v>0.31541666666666646</v>
      </c>
      <c r="AA610" s="25">
        <v>0.27087500000000025</v>
      </c>
      <c r="AB610" s="25">
        <v>0.3832127659574468</v>
      </c>
      <c r="AC610" s="25">
        <v>0.22466666666666668</v>
      </c>
      <c r="AD610" s="25">
        <v>0.40058333333333351</v>
      </c>
      <c r="AE610" s="27">
        <f t="shared" si="32"/>
        <v>0.34966666666666657</v>
      </c>
      <c r="AF610" s="27">
        <f t="shared" si="33"/>
        <v>0.33963888888888899</v>
      </c>
      <c r="AG610" s="27">
        <f t="shared" si="34"/>
        <v>0.34146212121212127</v>
      </c>
    </row>
    <row r="611" spans="1:33" x14ac:dyDescent="0.25">
      <c r="A611" s="9">
        <v>44318</v>
      </c>
      <c r="B611" s="3">
        <v>341.51864196779997</v>
      </c>
      <c r="C611" s="3">
        <v>420.4981083808392</v>
      </c>
      <c r="D611" s="3">
        <v>827.18356323414241</v>
      </c>
      <c r="E611" s="3">
        <v>757.51087206546242</v>
      </c>
      <c r="F611" s="3">
        <v>542.27472566862093</v>
      </c>
      <c r="G611" s="3">
        <v>388.41516136675574</v>
      </c>
      <c r="H611" s="3">
        <v>446.26277614694925</v>
      </c>
      <c r="I611" s="3">
        <v>331.24141952694481</v>
      </c>
      <c r="J611" s="23">
        <v>44318</v>
      </c>
      <c r="K611" s="24">
        <v>230.875</v>
      </c>
      <c r="L611" s="24">
        <v>70.53125</v>
      </c>
      <c r="M611" s="24">
        <v>22.514583333333334</v>
      </c>
      <c r="N611" s="24">
        <v>0.5</v>
      </c>
      <c r="O611" s="24">
        <v>229.8125</v>
      </c>
      <c r="P611" s="24">
        <v>12</v>
      </c>
      <c r="Q611" s="24">
        <v>2.3125</v>
      </c>
      <c r="R611" s="24">
        <v>16.689583333333335</v>
      </c>
      <c r="S611" s="10">
        <v>0.87739811374063814</v>
      </c>
      <c r="T611" s="25">
        <v>0.26210416666666664</v>
      </c>
      <c r="U611" s="25">
        <v>0.32077083333333339</v>
      </c>
      <c r="V611" s="25">
        <v>0.40314583333333337</v>
      </c>
      <c r="W611" s="25">
        <v>0.41177083333333342</v>
      </c>
      <c r="X611" s="25">
        <v>0.42879166666666629</v>
      </c>
      <c r="Y611" s="25">
        <v>0.31804166666666661</v>
      </c>
      <c r="Z611" s="25">
        <v>0.31597916666666687</v>
      </c>
      <c r="AA611" s="25">
        <v>0.2710000000000003</v>
      </c>
      <c r="AB611" s="25">
        <v>0.36851063829787228</v>
      </c>
      <c r="AC611" s="25">
        <v>0.20200000000000001</v>
      </c>
      <c r="AD611" s="25">
        <v>0.3713541666666666</v>
      </c>
      <c r="AE611" s="27">
        <f t="shared" si="32"/>
        <v>0.34544791666666647</v>
      </c>
      <c r="AF611" s="27">
        <f t="shared" si="33"/>
        <v>0.34011805555555563</v>
      </c>
      <c r="AG611" s="27">
        <f t="shared" si="34"/>
        <v>0.34108712121212126</v>
      </c>
    </row>
    <row r="612" spans="1:33" x14ac:dyDescent="0.25">
      <c r="A612" s="9">
        <v>44319</v>
      </c>
      <c r="B612" s="3">
        <v>281.36383286939997</v>
      </c>
      <c r="C612" s="3">
        <v>412.17425648310882</v>
      </c>
      <c r="D612" s="3">
        <v>725.00970937253794</v>
      </c>
      <c r="E612" s="3">
        <v>706.7196295818859</v>
      </c>
      <c r="F612" s="3">
        <v>207.66815149432293</v>
      </c>
      <c r="G612" s="3">
        <v>366.23492470935412</v>
      </c>
      <c r="H612" s="3">
        <v>492.06490150975651</v>
      </c>
      <c r="I612" s="3">
        <v>316.91752203428302</v>
      </c>
      <c r="J612" s="23">
        <v>44319</v>
      </c>
      <c r="K612" s="24">
        <v>236.1875</v>
      </c>
      <c r="L612" s="24">
        <v>76.270833333333329</v>
      </c>
      <c r="M612" s="24">
        <v>21.997916666666665</v>
      </c>
      <c r="N612" s="24">
        <v>36.6</v>
      </c>
      <c r="O612" s="24">
        <v>237.02083333333334</v>
      </c>
      <c r="P612" s="24">
        <v>11.75</v>
      </c>
      <c r="Q612" s="24">
        <v>1.375</v>
      </c>
      <c r="R612" s="24">
        <v>17.297916666666662</v>
      </c>
      <c r="S612" s="10">
        <v>0.73252931886115924</v>
      </c>
      <c r="T612" s="25">
        <v>0.4124583333333332</v>
      </c>
      <c r="U612" s="25">
        <v>0.39227083333333335</v>
      </c>
      <c r="V612" s="25">
        <v>0.48547916666666663</v>
      </c>
      <c r="W612" s="25">
        <v>0.56193749999999965</v>
      </c>
      <c r="X612" s="25">
        <v>0.54566666666666686</v>
      </c>
      <c r="Y612" s="25">
        <v>0.40762499999999985</v>
      </c>
      <c r="Z612" s="25">
        <v>0.37016666666666648</v>
      </c>
      <c r="AA612" s="25">
        <v>0.29620833333333335</v>
      </c>
      <c r="AB612" s="25">
        <v>0.44430434782608708</v>
      </c>
      <c r="AC612" s="25">
        <v>0.26308333333333339</v>
      </c>
      <c r="AD612" s="25">
        <v>0.4554583333333333</v>
      </c>
      <c r="AE612" s="27">
        <f t="shared" si="32"/>
        <v>0.47906250000000006</v>
      </c>
      <c r="AF612" s="27">
        <f t="shared" si="33"/>
        <v>0.41894791666666659</v>
      </c>
      <c r="AG612" s="27">
        <f t="shared" si="34"/>
        <v>0.42987784090909081</v>
      </c>
    </row>
    <row r="613" spans="1:33" x14ac:dyDescent="0.25">
      <c r="A613" s="9">
        <v>44320</v>
      </c>
      <c r="B613" s="3">
        <v>47.803016248199995</v>
      </c>
      <c r="C613" s="3">
        <v>93.407054651074532</v>
      </c>
      <c r="D613" s="3">
        <v>161.24693996216467</v>
      </c>
      <c r="E613" s="3">
        <v>121.08226913865592</v>
      </c>
      <c r="F613" s="3">
        <v>55.90613728769474</v>
      </c>
      <c r="G613" s="3">
        <v>36.726454146873806</v>
      </c>
      <c r="H613" s="3">
        <v>123.76737917743696</v>
      </c>
      <c r="I613" s="3">
        <v>65.282923009649835</v>
      </c>
      <c r="J613" s="23">
        <v>44320</v>
      </c>
      <c r="K613" s="24">
        <v>70.958333333333329</v>
      </c>
      <c r="L613" s="24">
        <v>91.954166666666652</v>
      </c>
      <c r="M613" s="24">
        <v>17.100000000000001</v>
      </c>
      <c r="N613" s="24">
        <v>28.999999999999993</v>
      </c>
      <c r="O613" s="24">
        <v>194.41666666666666</v>
      </c>
      <c r="P613" s="24">
        <v>4.3125</v>
      </c>
      <c r="Q613" s="24">
        <v>0.14583333333333334</v>
      </c>
      <c r="R613" s="24">
        <v>15.741666666666667</v>
      </c>
      <c r="S613" s="10">
        <v>0.16831817382613079</v>
      </c>
      <c r="T613" s="25">
        <v>0.45372916666666674</v>
      </c>
      <c r="U613" s="25">
        <v>0.45360416666666664</v>
      </c>
      <c r="V613" s="25">
        <v>0.54393750000000018</v>
      </c>
      <c r="W613" s="25">
        <v>0.58391666666666675</v>
      </c>
      <c r="X613" s="25">
        <v>0.59016666666666673</v>
      </c>
      <c r="Y613" s="25">
        <v>0.45941666666666681</v>
      </c>
      <c r="Z613" s="25">
        <v>0.39283333333333315</v>
      </c>
      <c r="AA613" s="25">
        <v>0.32541666666666669</v>
      </c>
      <c r="AB613" s="25">
        <v>0.45672916666666663</v>
      </c>
      <c r="AC613" s="25">
        <v>0.32156756756756755</v>
      </c>
      <c r="AD613" s="25">
        <v>0.48162499999999997</v>
      </c>
      <c r="AE613" s="27">
        <f t="shared" si="32"/>
        <v>0.52194791666666673</v>
      </c>
      <c r="AF613" s="27">
        <f t="shared" si="33"/>
        <v>0.45985416666666667</v>
      </c>
      <c r="AG613" s="27">
        <f t="shared" si="34"/>
        <v>0.47114393939393939</v>
      </c>
    </row>
    <row r="614" spans="1:33" x14ac:dyDescent="0.25">
      <c r="A614" s="9">
        <v>44321</v>
      </c>
      <c r="B614" s="3">
        <v>24.495197268600002</v>
      </c>
      <c r="C614" s="3">
        <v>36.043702899402227</v>
      </c>
      <c r="D614" s="3">
        <v>15.882582272934146</v>
      </c>
      <c r="E614" s="3">
        <v>41.132560702262658</v>
      </c>
      <c r="F614" s="3">
        <v>19.360066306071538</v>
      </c>
      <c r="G614" s="3">
        <v>5.2351783298629515</v>
      </c>
      <c r="H614" s="3">
        <v>5.9751228717857767</v>
      </c>
      <c r="I614" s="3">
        <v>2.2792341189536311</v>
      </c>
      <c r="J614" s="23">
        <v>44321</v>
      </c>
      <c r="K614" s="24">
        <v>33.291666666666664</v>
      </c>
      <c r="L614" s="24">
        <v>95.385416666666643</v>
      </c>
      <c r="M614" s="24">
        <v>14.256250000000001</v>
      </c>
      <c r="N614" s="24">
        <v>14.499999999999996</v>
      </c>
      <c r="O614" s="24">
        <v>235.33333333333334</v>
      </c>
      <c r="P614" s="24">
        <v>3.6041666666666665</v>
      </c>
      <c r="Q614" s="24">
        <v>4.1666666666666664E-2</v>
      </c>
      <c r="R614" s="24">
        <v>13.512500000000005</v>
      </c>
      <c r="S614" s="10">
        <v>7.5966337891031507E-2</v>
      </c>
      <c r="T614" s="25">
        <v>0.46166666666666673</v>
      </c>
      <c r="U614" s="25">
        <v>0.51970833333333311</v>
      </c>
      <c r="V614" s="25">
        <v>0.57274999999999998</v>
      </c>
      <c r="W614" s="25">
        <v>0.58995833333333303</v>
      </c>
      <c r="X614" s="25">
        <v>0.5963750000000001</v>
      </c>
      <c r="Y614" s="25">
        <v>0.49868749999999989</v>
      </c>
      <c r="Z614" s="25">
        <v>0.45079166666666648</v>
      </c>
      <c r="AA614" s="25">
        <v>0.38593750000000004</v>
      </c>
      <c r="AB614" s="25">
        <v>0.45010416666666669</v>
      </c>
      <c r="AC614" s="25">
        <v>0.30672916666666666</v>
      </c>
      <c r="AD614" s="25">
        <v>0.48170833333333324</v>
      </c>
      <c r="AE614" s="27">
        <f t="shared" si="32"/>
        <v>0.52902083333333338</v>
      </c>
      <c r="AF614" s="27">
        <f t="shared" si="33"/>
        <v>0.50297222222222215</v>
      </c>
      <c r="AG614" s="27">
        <f t="shared" si="34"/>
        <v>0.50770833333333332</v>
      </c>
    </row>
    <row r="615" spans="1:33" x14ac:dyDescent="0.25">
      <c r="A615" s="9">
        <v>44322</v>
      </c>
      <c r="B615" s="3">
        <v>82.517744708999984</v>
      </c>
      <c r="C615" s="3">
        <v>207.32770246964469</v>
      </c>
      <c r="D615" s="3">
        <v>251.66584497584884</v>
      </c>
      <c r="E615" s="3">
        <v>258.27138941014124</v>
      </c>
      <c r="F615" s="3">
        <v>138.54232937767668</v>
      </c>
      <c r="G615" s="3">
        <v>119.49465679483798</v>
      </c>
      <c r="H615" s="3">
        <v>192.06237349120437</v>
      </c>
      <c r="I615" s="3">
        <v>156.43324125413972</v>
      </c>
      <c r="J615" s="23">
        <v>44322</v>
      </c>
      <c r="K615" s="24">
        <v>92.583333333333329</v>
      </c>
      <c r="L615" s="24">
        <v>92.320833333333326</v>
      </c>
      <c r="M615" s="24">
        <v>16.943750000000005</v>
      </c>
      <c r="N615" s="24">
        <v>6.4</v>
      </c>
      <c r="O615" s="24">
        <v>232.91666666666666</v>
      </c>
      <c r="P615" s="24">
        <v>4.770833333333333</v>
      </c>
      <c r="Q615" s="24">
        <v>0.22916666666666666</v>
      </c>
      <c r="R615" s="24">
        <v>15.618749999999999</v>
      </c>
      <c r="S615" s="10">
        <v>0.17158127877530926</v>
      </c>
      <c r="T615" s="25">
        <v>0.4433125</v>
      </c>
      <c r="U615" s="25">
        <v>0.51760416666666664</v>
      </c>
      <c r="V615" s="25">
        <v>0.56704166666666689</v>
      </c>
      <c r="W615" s="25">
        <v>0.57516666666666694</v>
      </c>
      <c r="X615" s="25">
        <v>0.58908333333333307</v>
      </c>
      <c r="Y615" s="25">
        <v>0.4841458333333335</v>
      </c>
      <c r="Z615" s="25">
        <v>0.45599999999999974</v>
      </c>
      <c r="AA615" s="25">
        <v>0.39435416666666662</v>
      </c>
      <c r="AB615" s="25">
        <v>0.43154166666666655</v>
      </c>
      <c r="AC615" s="25">
        <v>0.28004347826086962</v>
      </c>
      <c r="AD615" s="25">
        <v>0.46879166666666666</v>
      </c>
      <c r="AE615" s="27">
        <f t="shared" si="32"/>
        <v>0.51619791666666659</v>
      </c>
      <c r="AF615" s="27">
        <f t="shared" si="33"/>
        <v>0.49905208333333334</v>
      </c>
      <c r="AG615" s="27">
        <f t="shared" si="34"/>
        <v>0.50216950757575751</v>
      </c>
    </row>
    <row r="616" spans="1:33" x14ac:dyDescent="0.25">
      <c r="A616" s="9">
        <v>44323</v>
      </c>
      <c r="B616" s="3">
        <v>69.377100510599973</v>
      </c>
      <c r="C616" s="3">
        <v>153.17947985228557</v>
      </c>
      <c r="D616" s="3">
        <v>167.29107944306278</v>
      </c>
      <c r="E616" s="3">
        <v>172.82845782292281</v>
      </c>
      <c r="F616" s="3">
        <v>82.926096937039546</v>
      </c>
      <c r="G616" s="3">
        <v>63.548062485320671</v>
      </c>
      <c r="H616" s="3">
        <v>130.44591098891752</v>
      </c>
      <c r="I616" s="3">
        <v>96.76843534457781</v>
      </c>
      <c r="J616" s="23">
        <v>44323</v>
      </c>
      <c r="K616" s="24">
        <v>65.0625</v>
      </c>
      <c r="L616" s="24">
        <v>93.410416666666677</v>
      </c>
      <c r="M616" s="24">
        <v>15.74166666666666</v>
      </c>
      <c r="N616" s="24">
        <v>6.1000000000000005</v>
      </c>
      <c r="O616" s="24">
        <v>200.1875</v>
      </c>
      <c r="P616" s="24">
        <v>1.3541666666666667</v>
      </c>
      <c r="Q616" s="24">
        <v>0</v>
      </c>
      <c r="R616" s="24">
        <v>14.631249999999996</v>
      </c>
      <c r="S616" s="10">
        <v>0.13035154043464456</v>
      </c>
      <c r="T616" s="25">
        <v>0.46295833333333336</v>
      </c>
      <c r="U616" s="25">
        <v>0.52941666666666687</v>
      </c>
      <c r="V616" s="25">
        <v>0.57522916666666657</v>
      </c>
      <c r="W616" s="25">
        <v>0.58447916666666655</v>
      </c>
      <c r="X616" s="25">
        <v>0.59745833333333331</v>
      </c>
      <c r="Y616" s="25">
        <v>0.4998333333333333</v>
      </c>
      <c r="Z616" s="25">
        <v>0.45962500000000012</v>
      </c>
      <c r="AA616" s="25">
        <v>0.39764583333333353</v>
      </c>
      <c r="AB616" s="25">
        <v>0.44197916666666676</v>
      </c>
      <c r="AC616" s="53">
        <f t="shared" ref="AC616:AC617" si="36">AD616*0.5711-0.0033</f>
        <v>0.27292203333333337</v>
      </c>
      <c r="AD616" s="25">
        <v>0.48366666666666674</v>
      </c>
      <c r="AE616" s="27">
        <f t="shared" si="32"/>
        <v>0.53020833333333339</v>
      </c>
      <c r="AF616" s="27">
        <f t="shared" si="33"/>
        <v>0.50770486111111113</v>
      </c>
      <c r="AG616" s="27">
        <f t="shared" si="34"/>
        <v>0.5117964015151516</v>
      </c>
    </row>
    <row r="617" spans="1:33" x14ac:dyDescent="0.25">
      <c r="A617" s="9">
        <v>44324</v>
      </c>
      <c r="B617" s="3">
        <v>161.18505113399999</v>
      </c>
      <c r="C617" s="3">
        <v>291.32394396313435</v>
      </c>
      <c r="D617" s="3">
        <v>573.2443639868128</v>
      </c>
      <c r="E617" s="3">
        <v>529.83308722388654</v>
      </c>
      <c r="F617" s="3">
        <v>370.75391375024765</v>
      </c>
      <c r="G617" s="3">
        <v>318.3489759214421</v>
      </c>
      <c r="H617" s="3">
        <v>345.3098512456707</v>
      </c>
      <c r="I617" s="3">
        <v>325.04587297954367</v>
      </c>
      <c r="J617" s="23">
        <v>44324</v>
      </c>
      <c r="K617" s="24">
        <v>178.5</v>
      </c>
      <c r="L617" s="24">
        <v>84.104166666666671</v>
      </c>
      <c r="M617" s="24">
        <v>18.729166666666668</v>
      </c>
      <c r="N617" s="24">
        <v>0</v>
      </c>
      <c r="O617" s="24">
        <v>225.45833333333334</v>
      </c>
      <c r="P617" s="24">
        <v>2.1875</v>
      </c>
      <c r="Q617" s="24">
        <v>2.0833333333333332E-2</v>
      </c>
      <c r="R617" s="24">
        <v>15.72916666666667</v>
      </c>
      <c r="S617" s="10">
        <v>0.42596168480927338</v>
      </c>
      <c r="T617" s="25">
        <v>0.45106249999999992</v>
      </c>
      <c r="U617" s="25">
        <v>0.52460416666666643</v>
      </c>
      <c r="V617" s="25">
        <v>0.571583333333333</v>
      </c>
      <c r="W617" s="25">
        <v>0.58095833333333347</v>
      </c>
      <c r="X617" s="25">
        <v>0.59264583333333276</v>
      </c>
      <c r="Y617" s="25">
        <v>0.49237499999999995</v>
      </c>
      <c r="Z617" s="25">
        <v>0.46029166666666682</v>
      </c>
      <c r="AA617" s="25">
        <v>0.39912500000000001</v>
      </c>
      <c r="AB617" s="25">
        <v>0.43304999999999988</v>
      </c>
      <c r="AC617" s="53">
        <f t="shared" si="36"/>
        <v>0.26735380833333322</v>
      </c>
      <c r="AD617" s="25">
        <v>0.47391666666666649</v>
      </c>
      <c r="AE617" s="27">
        <f t="shared" si="32"/>
        <v>0.52185416666666629</v>
      </c>
      <c r="AF617" s="27">
        <f t="shared" si="33"/>
        <v>0.50482291666666668</v>
      </c>
      <c r="AG617" s="27">
        <f t="shared" si="34"/>
        <v>0.50791950757575755</v>
      </c>
    </row>
    <row r="618" spans="1:33" x14ac:dyDescent="0.25">
      <c r="A618" s="9">
        <v>44325</v>
      </c>
      <c r="B618" s="3">
        <v>196.39806359939999</v>
      </c>
      <c r="C618" s="3">
        <v>271.63520384247329</v>
      </c>
      <c r="D618" s="3">
        <v>588.09861667775954</v>
      </c>
      <c r="E618" s="3">
        <v>675.81321295651128</v>
      </c>
      <c r="F618" s="3">
        <v>449.13484169910481</v>
      </c>
      <c r="G618" s="3">
        <v>421.06364985208734</v>
      </c>
      <c r="H618" s="3">
        <v>399.34900546398853</v>
      </c>
      <c r="I618" s="3">
        <v>362.22291357062505</v>
      </c>
      <c r="J618" s="23">
        <v>44325</v>
      </c>
      <c r="K618" s="24">
        <v>222.58333333333334</v>
      </c>
      <c r="L618" s="24">
        <v>80.493749999999991</v>
      </c>
      <c r="M618" s="24">
        <v>21.264583333333345</v>
      </c>
      <c r="N618" s="24">
        <v>7.1</v>
      </c>
      <c r="O618" s="24">
        <v>223.29166666666666</v>
      </c>
      <c r="P618" s="24">
        <v>7.395833333333333</v>
      </c>
      <c r="Q618" s="24">
        <v>1.4166666666666667</v>
      </c>
      <c r="R618" s="24">
        <v>17.510416666666664</v>
      </c>
      <c r="S618" s="10">
        <v>0.58902579294548063</v>
      </c>
      <c r="T618" s="25">
        <v>0.4287708333333336</v>
      </c>
      <c r="U618" s="25">
        <v>0.51127083333333323</v>
      </c>
      <c r="V618" s="25">
        <v>0.56300000000000039</v>
      </c>
      <c r="W618" s="25">
        <v>0.57152083333333359</v>
      </c>
      <c r="X618" s="25">
        <v>0.58622916666666625</v>
      </c>
      <c r="Y618" s="25">
        <v>0.47760416666666677</v>
      </c>
      <c r="Z618" s="25">
        <v>0.45460416666666698</v>
      </c>
      <c r="AA618" s="25">
        <v>0.39337499999999975</v>
      </c>
      <c r="AB618" s="25">
        <v>0.42004347826086957</v>
      </c>
      <c r="AC618" s="25">
        <v>0.25820000000000004</v>
      </c>
      <c r="AD618" s="25">
        <v>0.44933333333333342</v>
      </c>
      <c r="AE618" s="27">
        <f t="shared" si="32"/>
        <v>0.50749999999999995</v>
      </c>
      <c r="AF618" s="27">
        <f t="shared" si="33"/>
        <v>0.49522916666666678</v>
      </c>
      <c r="AG618" s="27">
        <f t="shared" si="34"/>
        <v>0.49746022727272732</v>
      </c>
    </row>
    <row r="619" spans="1:33" x14ac:dyDescent="0.25">
      <c r="A619" s="9">
        <v>44326</v>
      </c>
      <c r="B619" s="3">
        <v>243.80575932599993</v>
      </c>
      <c r="C619" s="3">
        <v>296.24802838227879</v>
      </c>
      <c r="D619" s="3">
        <v>755.62938288803082</v>
      </c>
      <c r="E619" s="3">
        <v>729.22188571833806</v>
      </c>
      <c r="F619" s="3">
        <v>470.32418209078077</v>
      </c>
      <c r="G619" s="3">
        <v>516.3865394656774</v>
      </c>
      <c r="H619" s="3">
        <v>505.70699277199623</v>
      </c>
      <c r="I619" s="3">
        <v>356.84778055068716</v>
      </c>
      <c r="J619" s="23">
        <v>44326</v>
      </c>
      <c r="K619" s="24">
        <v>241.33333333333334</v>
      </c>
      <c r="L619" s="24">
        <v>73.508333333333326</v>
      </c>
      <c r="M619" s="24">
        <v>23.060416666666672</v>
      </c>
      <c r="N619" s="24">
        <v>1.7</v>
      </c>
      <c r="O619" s="24">
        <v>226.25</v>
      </c>
      <c r="P619" s="24">
        <v>11.604166666666666</v>
      </c>
      <c r="Q619" s="24">
        <v>2.1458333333333335</v>
      </c>
      <c r="R619" s="24">
        <v>17.627083333333335</v>
      </c>
      <c r="S619" s="10">
        <v>0.8621002900298288</v>
      </c>
      <c r="T619" s="25">
        <v>0.453125</v>
      </c>
      <c r="U619" s="25">
        <v>0.52310416666666693</v>
      </c>
      <c r="V619" s="25">
        <v>0.57212499999999966</v>
      </c>
      <c r="W619" s="25">
        <v>0.58189583333333361</v>
      </c>
      <c r="X619" s="25">
        <v>0.59702083333333344</v>
      </c>
      <c r="Y619" s="25">
        <v>0.48922916666666655</v>
      </c>
      <c r="Z619" s="25">
        <v>0.45681250000000001</v>
      </c>
      <c r="AA619" s="25">
        <v>0.39266666666666633</v>
      </c>
      <c r="AB619" s="25">
        <v>0.43641666666666662</v>
      </c>
      <c r="AC619" s="25">
        <v>0.26193333333333341</v>
      </c>
      <c r="AD619" s="25">
        <v>0.47016666666666679</v>
      </c>
      <c r="AE619" s="27">
        <f t="shared" si="32"/>
        <v>0.52507291666666678</v>
      </c>
      <c r="AF619" s="27">
        <f t="shared" si="33"/>
        <v>0.50263888888888886</v>
      </c>
      <c r="AG619" s="27">
        <f t="shared" si="34"/>
        <v>0.506717803030303</v>
      </c>
    </row>
    <row r="620" spans="1:33" x14ac:dyDescent="0.25">
      <c r="A620" s="9">
        <v>44327</v>
      </c>
      <c r="B620" s="3">
        <v>220.62331628460001</v>
      </c>
      <c r="C620" s="3">
        <v>232.13523146838932</v>
      </c>
      <c r="D620" s="3">
        <v>630.13180941441021</v>
      </c>
      <c r="E620" s="3">
        <v>642.2797432295697</v>
      </c>
      <c r="F620" s="3">
        <v>345.97466853066902</v>
      </c>
      <c r="G620" s="3">
        <v>381.85433667883825</v>
      </c>
      <c r="H620" s="3">
        <v>423.27753375189263</v>
      </c>
      <c r="I620" s="3">
        <v>245.95583875609958</v>
      </c>
      <c r="J620" s="23">
        <v>44327</v>
      </c>
      <c r="K620" s="24">
        <v>163.70833333333334</v>
      </c>
      <c r="L620" s="24">
        <v>76.33541666666666</v>
      </c>
      <c r="M620" s="24">
        <v>21.322916666666661</v>
      </c>
      <c r="N620" s="24">
        <v>10.199999999999999</v>
      </c>
      <c r="O620" s="24">
        <v>229.39583333333334</v>
      </c>
      <c r="P620" s="24">
        <v>5.0625</v>
      </c>
      <c r="Q620" s="24">
        <v>0.125</v>
      </c>
      <c r="R620" s="24">
        <v>16.735416666666669</v>
      </c>
      <c r="S620" s="10">
        <v>0.68205143348969821</v>
      </c>
      <c r="T620" s="25">
        <v>0.42158333333333337</v>
      </c>
      <c r="U620" s="25">
        <v>0.50760416666666675</v>
      </c>
      <c r="V620" s="25">
        <v>0.56191666666666651</v>
      </c>
      <c r="W620" s="25">
        <v>0.57141666666666679</v>
      </c>
      <c r="X620" s="25">
        <v>0.58674999999999977</v>
      </c>
      <c r="Y620" s="25">
        <v>0.47327083333333325</v>
      </c>
      <c r="Z620" s="25">
        <v>0.45318750000000002</v>
      </c>
      <c r="AA620" s="25">
        <v>0.38947916666666688</v>
      </c>
      <c r="AB620" s="25">
        <v>0.41658333333333331</v>
      </c>
      <c r="AC620" s="25">
        <v>0.25170588235294111</v>
      </c>
      <c r="AD620" s="25">
        <v>0.43597916666666653</v>
      </c>
      <c r="AE620" s="27">
        <f t="shared" si="32"/>
        <v>0.50416666666666654</v>
      </c>
      <c r="AF620" s="27">
        <f t="shared" si="33"/>
        <v>0.49281250000000004</v>
      </c>
      <c r="AG620" s="27">
        <f t="shared" si="34"/>
        <v>0.49487689393939394</v>
      </c>
    </row>
    <row r="621" spans="1:33" x14ac:dyDescent="0.25">
      <c r="A621" s="9">
        <v>44328</v>
      </c>
      <c r="B621" s="3">
        <v>181.71288933299999</v>
      </c>
      <c r="C621" s="3">
        <v>200.77190678505607</v>
      </c>
      <c r="D621" s="3">
        <v>521.40176984637856</v>
      </c>
      <c r="E621" s="3">
        <v>438.8689267127595</v>
      </c>
      <c r="F621" s="3">
        <v>822.47192723290823</v>
      </c>
      <c r="G621" s="3">
        <v>270.96793760323612</v>
      </c>
      <c r="H621" s="3">
        <v>382.22804303462698</v>
      </c>
      <c r="I621" s="3">
        <v>257.78685012060942</v>
      </c>
      <c r="J621" s="23">
        <v>44328</v>
      </c>
      <c r="K621" s="24">
        <v>164.29166666666666</v>
      </c>
      <c r="L621" s="24">
        <v>84.952083333333348</v>
      </c>
      <c r="M621" s="24">
        <v>20.295833333333327</v>
      </c>
      <c r="N621" s="24">
        <v>12.899999999999999</v>
      </c>
      <c r="O621" s="24">
        <v>238.72916666666666</v>
      </c>
      <c r="P621" s="24">
        <v>4.979166666666667</v>
      </c>
      <c r="Q621" s="24">
        <v>0.45833333333333331</v>
      </c>
      <c r="R621" s="24">
        <v>17.452083333333338</v>
      </c>
      <c r="S621" s="10">
        <v>0.43927853049394877</v>
      </c>
      <c r="T621" s="25">
        <v>0.46747916666666683</v>
      </c>
      <c r="U621" s="25">
        <v>0.53304166666666675</v>
      </c>
      <c r="V621" s="25">
        <v>0.57935416666666695</v>
      </c>
      <c r="W621" s="25">
        <v>0.59218749999999976</v>
      </c>
      <c r="X621" s="25">
        <v>0.60254166666666686</v>
      </c>
      <c r="Y621" s="25">
        <v>0.50277083333333328</v>
      </c>
      <c r="Z621" s="25">
        <v>0.46762500000000018</v>
      </c>
      <c r="AA621" s="25">
        <v>0.40227083333333341</v>
      </c>
      <c r="AB621" s="25">
        <v>0.45552173913043481</v>
      </c>
      <c r="AC621" s="25">
        <v>0.28158823529411781</v>
      </c>
      <c r="AD621" s="25">
        <v>0.48283333333333323</v>
      </c>
      <c r="AE621" s="27">
        <f t="shared" si="32"/>
        <v>0.53501041666666682</v>
      </c>
      <c r="AF621" s="27">
        <f t="shared" si="33"/>
        <v>0.51287500000000008</v>
      </c>
      <c r="AG621" s="27">
        <f t="shared" si="34"/>
        <v>0.5168996212121213</v>
      </c>
    </row>
    <row r="622" spans="1:33" x14ac:dyDescent="0.25">
      <c r="A622" s="9">
        <v>44329</v>
      </c>
      <c r="B622" s="3">
        <v>228.36304949580003</v>
      </c>
      <c r="C622" s="3">
        <v>279.63730470609164</v>
      </c>
      <c r="D622" s="3">
        <v>705.71491388747222</v>
      </c>
      <c r="E622" s="3">
        <v>641.90738271583257</v>
      </c>
      <c r="F622" s="3">
        <v>508.18511705086979</v>
      </c>
      <c r="G622" s="3">
        <v>452.79984327552569</v>
      </c>
      <c r="H622" s="3">
        <v>531.8131449572254</v>
      </c>
      <c r="I622" s="3">
        <v>409.85226211169339</v>
      </c>
      <c r="J622" s="23">
        <v>44329</v>
      </c>
      <c r="K622" s="24">
        <v>254.22916666666666</v>
      </c>
      <c r="L622" s="24">
        <v>79.229166666666657</v>
      </c>
      <c r="M622" s="24">
        <v>21.304166666666664</v>
      </c>
      <c r="N622" s="24">
        <v>15.1</v>
      </c>
      <c r="O622" s="24">
        <v>213.6875</v>
      </c>
      <c r="P622" s="24">
        <v>10.208333333333334</v>
      </c>
      <c r="Q622" s="24">
        <v>2.375</v>
      </c>
      <c r="R622" s="24">
        <v>17.260416666666668</v>
      </c>
      <c r="S622" s="10">
        <v>0.62617207378706996</v>
      </c>
      <c r="T622" s="25">
        <v>0.47043750000000023</v>
      </c>
      <c r="U622" s="25">
        <v>0.53895833333333332</v>
      </c>
      <c r="V622" s="25">
        <v>0.58254166666666696</v>
      </c>
      <c r="W622" s="25">
        <v>0.595020833333333</v>
      </c>
      <c r="X622" s="25">
        <v>0.60420833333333357</v>
      </c>
      <c r="Y622" s="25">
        <v>0.50506250000000008</v>
      </c>
      <c r="Z622" s="25">
        <v>0.47460416666666688</v>
      </c>
      <c r="AA622" s="25">
        <v>0.41039583333333352</v>
      </c>
      <c r="AB622" s="25">
        <v>0.45843478260869552</v>
      </c>
      <c r="AC622" s="25">
        <v>0.30264000000000013</v>
      </c>
      <c r="AD622" s="25">
        <v>0.48912499999999987</v>
      </c>
      <c r="AE622" s="27">
        <f t="shared" si="32"/>
        <v>0.53732291666666687</v>
      </c>
      <c r="AF622" s="27">
        <f t="shared" si="33"/>
        <v>0.51776388888888902</v>
      </c>
      <c r="AG622" s="27">
        <f t="shared" si="34"/>
        <v>0.52132007575757588</v>
      </c>
    </row>
    <row r="623" spans="1:33" x14ac:dyDescent="0.25">
      <c r="A623" s="9">
        <v>44330</v>
      </c>
      <c r="B623" s="3">
        <v>297.52216268040002</v>
      </c>
      <c r="C623" s="3">
        <v>345.66178145320134</v>
      </c>
      <c r="D623" s="3">
        <v>897.21534454704204</v>
      </c>
      <c r="E623" s="3">
        <v>843.64975466813235</v>
      </c>
      <c r="F623" s="3">
        <v>592.91312606754468</v>
      </c>
      <c r="G623" s="3">
        <v>603.42227180179214</v>
      </c>
      <c r="H623" s="3">
        <v>615.57747473117729</v>
      </c>
      <c r="I623" s="3">
        <v>486.69844426671995</v>
      </c>
      <c r="J623" s="23">
        <v>44330</v>
      </c>
      <c r="K623" s="24">
        <v>264.58333333333331</v>
      </c>
      <c r="L623" s="24">
        <v>68.854166666666671</v>
      </c>
      <c r="M623" s="24">
        <v>23.672916666666666</v>
      </c>
      <c r="N623" s="24">
        <v>0</v>
      </c>
      <c r="O623" s="24">
        <v>228.9375</v>
      </c>
      <c r="P623" s="24">
        <v>21.354166666666668</v>
      </c>
      <c r="Q623" s="24">
        <v>5.333333333333333</v>
      </c>
      <c r="R623" s="24">
        <v>17.460416666666664</v>
      </c>
      <c r="S623" s="10">
        <v>0.97021229785326024</v>
      </c>
      <c r="T623" s="25">
        <v>0.43183333333333335</v>
      </c>
      <c r="U623" s="25">
        <v>0.51575000000000026</v>
      </c>
      <c r="V623" s="25">
        <v>0.56754166666666661</v>
      </c>
      <c r="W623" s="25">
        <v>0.57837500000000031</v>
      </c>
      <c r="X623" s="25">
        <v>0.59129166666666644</v>
      </c>
      <c r="Y623" s="25">
        <v>0.48024999999999968</v>
      </c>
      <c r="Z623" s="25">
        <v>0.46227083333333296</v>
      </c>
      <c r="AA623" s="25">
        <v>0.39610416666666687</v>
      </c>
      <c r="AB623" s="25">
        <v>0.42238636363636367</v>
      </c>
      <c r="AC623" s="25">
        <v>0.26293023255813958</v>
      </c>
      <c r="AD623" s="25">
        <v>0.44372916666666651</v>
      </c>
      <c r="AE623" s="27">
        <f t="shared" si="32"/>
        <v>0.51156249999999992</v>
      </c>
      <c r="AF623" s="27">
        <f t="shared" si="33"/>
        <v>0.50004861111111121</v>
      </c>
      <c r="AG623" s="27">
        <f t="shared" si="34"/>
        <v>0.50214204545454555</v>
      </c>
    </row>
    <row r="624" spans="1:33" x14ac:dyDescent="0.25">
      <c r="A624" s="9">
        <v>44331</v>
      </c>
      <c r="B624" s="3">
        <v>288.77734473300012</v>
      </c>
      <c r="C624" s="3">
        <v>358.93849508437802</v>
      </c>
      <c r="D624" s="3">
        <v>845.52113467115657</v>
      </c>
      <c r="E624" s="3">
        <v>866.29560365884379</v>
      </c>
      <c r="F624" s="3">
        <v>560.7086763381941</v>
      </c>
      <c r="G624" s="3">
        <v>670.64261599357849</v>
      </c>
      <c r="H624" s="3">
        <v>616.76629852642498</v>
      </c>
      <c r="I624" s="3">
        <v>473.25677661528277</v>
      </c>
      <c r="J624" s="23">
        <v>44331</v>
      </c>
      <c r="K624" s="24">
        <v>266.5</v>
      </c>
      <c r="L624" s="24">
        <v>62.62083333333333</v>
      </c>
      <c r="M624" s="24">
        <v>25.224999999999998</v>
      </c>
      <c r="N624" s="24">
        <v>0</v>
      </c>
      <c r="O624" s="24">
        <v>230.3125</v>
      </c>
      <c r="P624" s="24">
        <v>20.958333333333332</v>
      </c>
      <c r="Q624" s="24">
        <v>5.479166666666667</v>
      </c>
      <c r="R624" s="24">
        <v>17.360416666666669</v>
      </c>
      <c r="S624" s="10">
        <v>1.2866305376068625</v>
      </c>
      <c r="T624" s="25">
        <v>0.40493750000000001</v>
      </c>
      <c r="U624" s="25">
        <v>0.50077083333333328</v>
      </c>
      <c r="V624" s="25">
        <v>0.55447916666666663</v>
      </c>
      <c r="W624" s="25">
        <v>0.56983333333333352</v>
      </c>
      <c r="X624" s="25">
        <v>0.58002083333333365</v>
      </c>
      <c r="Y624" s="25">
        <v>0.46708333333333302</v>
      </c>
      <c r="Z624" s="25">
        <v>0.45481250000000023</v>
      </c>
      <c r="AA624" s="25">
        <v>0.38989583333333327</v>
      </c>
      <c r="AB624" s="25">
        <v>0.39713043478260862</v>
      </c>
      <c r="AC624" s="25">
        <v>0.22960416666666672</v>
      </c>
      <c r="AD624" s="25">
        <v>0.40397916666666678</v>
      </c>
      <c r="AE624" s="27">
        <f t="shared" si="32"/>
        <v>0.4924791666666668</v>
      </c>
      <c r="AF624" s="27">
        <f t="shared" si="33"/>
        <v>0.48947916666666663</v>
      </c>
      <c r="AG624" s="27">
        <f t="shared" si="34"/>
        <v>0.4900246212121212</v>
      </c>
    </row>
    <row r="625" spans="1:33" x14ac:dyDescent="0.25">
      <c r="A625" s="9">
        <v>44332</v>
      </c>
      <c r="B625" s="3">
        <v>246.44085966719996</v>
      </c>
      <c r="C625" s="3">
        <v>253.61349468456928</v>
      </c>
      <c r="D625" s="3">
        <v>691.30668344130913</v>
      </c>
      <c r="E625" s="3">
        <v>681.64416138616252</v>
      </c>
      <c r="F625" s="3">
        <v>416.54534898968348</v>
      </c>
      <c r="G625" s="3">
        <v>483.99868288694836</v>
      </c>
      <c r="H625" s="3">
        <v>451.31920685155285</v>
      </c>
      <c r="I625" s="3">
        <v>336.85264133115413</v>
      </c>
      <c r="J625" s="23">
        <v>44332</v>
      </c>
      <c r="K625" s="24">
        <v>162.60416666666666</v>
      </c>
      <c r="L625" s="24">
        <v>74.947916666666657</v>
      </c>
      <c r="M625" s="24">
        <v>20.389583333333334</v>
      </c>
      <c r="N625" s="24">
        <v>0</v>
      </c>
      <c r="O625" s="24">
        <v>248.10416666666666</v>
      </c>
      <c r="P625" s="24">
        <v>4.3125</v>
      </c>
      <c r="Q625" s="24">
        <v>8.3333333333333329E-2</v>
      </c>
      <c r="R625" s="24">
        <v>15.668750000000001</v>
      </c>
      <c r="S625" s="10">
        <v>0.64131754936555041</v>
      </c>
      <c r="T625" s="25">
        <v>0.38045833333333334</v>
      </c>
      <c r="U625" s="25">
        <v>0.48902083333333363</v>
      </c>
      <c r="V625" s="25">
        <v>0.54212500000000008</v>
      </c>
      <c r="W625" s="25">
        <v>0.56168749999999967</v>
      </c>
      <c r="X625" s="25">
        <v>0.56772916666666651</v>
      </c>
      <c r="Y625" s="25">
        <v>0.45391666666666652</v>
      </c>
      <c r="Z625" s="25">
        <v>0.44710416666666669</v>
      </c>
      <c r="AA625" s="25">
        <v>0.3838333333333333</v>
      </c>
      <c r="AB625" s="25">
        <v>0.37321951219512206</v>
      </c>
      <c r="AC625" s="25">
        <v>0.1995744680851064</v>
      </c>
      <c r="AD625" s="25">
        <v>0.35858333333333342</v>
      </c>
      <c r="AE625" s="27">
        <f t="shared" si="32"/>
        <v>0.47409374999999992</v>
      </c>
      <c r="AF625" s="27">
        <f t="shared" si="33"/>
        <v>0.47961458333333334</v>
      </c>
      <c r="AG625" s="27">
        <f t="shared" si="34"/>
        <v>0.47861079545454549</v>
      </c>
    </row>
    <row r="626" spans="1:33" x14ac:dyDescent="0.25">
      <c r="A626" s="9">
        <v>44333</v>
      </c>
      <c r="B626" s="3">
        <v>159.70946133239997</v>
      </c>
      <c r="C626" s="3">
        <v>155.37852516867591</v>
      </c>
      <c r="D626" s="3">
        <v>529.94536938439001</v>
      </c>
      <c r="E626" s="3">
        <v>501.61324753111944</v>
      </c>
      <c r="F626" s="3">
        <v>305.67813056459516</v>
      </c>
      <c r="G626" s="3">
        <v>319.46809782587439</v>
      </c>
      <c r="H626" s="3">
        <v>364.16327987052188</v>
      </c>
      <c r="I626" s="3">
        <v>298.3774164102486</v>
      </c>
      <c r="J626" s="23">
        <v>44333</v>
      </c>
      <c r="K626" s="24">
        <v>92.708333333333329</v>
      </c>
      <c r="L626" s="24">
        <v>77.316666666666649</v>
      </c>
      <c r="M626" s="24">
        <v>16.793750000000003</v>
      </c>
      <c r="N626" s="24">
        <v>0</v>
      </c>
      <c r="O626" s="24">
        <v>226.72916666666666</v>
      </c>
      <c r="P626" s="24">
        <v>3.9375</v>
      </c>
      <c r="Q626" s="24">
        <v>6.25E-2</v>
      </c>
      <c r="R626" s="24">
        <v>12.729166666666671</v>
      </c>
      <c r="S626" s="10">
        <v>0.45152235981549921</v>
      </c>
      <c r="T626" s="25">
        <v>0.35885416666666664</v>
      </c>
      <c r="U626" s="25">
        <v>0.47729166666666667</v>
      </c>
      <c r="V626" s="25">
        <v>0.53112499999999974</v>
      </c>
      <c r="W626" s="25">
        <v>0.55400000000000005</v>
      </c>
      <c r="X626" s="25">
        <v>0.55387500000000012</v>
      </c>
      <c r="Y626" s="25">
        <v>0.44245833333333356</v>
      </c>
      <c r="Z626" s="25">
        <v>0.44022916666666695</v>
      </c>
      <c r="AA626" s="25">
        <v>0.37845833333333334</v>
      </c>
      <c r="AB626" s="25">
        <v>0.35529166666666656</v>
      </c>
      <c r="AC626" s="25">
        <v>0.17927083333333335</v>
      </c>
      <c r="AD626" s="25">
        <v>0.31677083333333339</v>
      </c>
      <c r="AE626" s="27">
        <f t="shared" si="32"/>
        <v>0.45636458333333341</v>
      </c>
      <c r="AF626" s="27">
        <f t="shared" si="33"/>
        <v>0.47059375000000009</v>
      </c>
      <c r="AG626" s="27">
        <f t="shared" si="34"/>
        <v>0.46800662878787891</v>
      </c>
    </row>
    <row r="627" spans="1:33" x14ac:dyDescent="0.25">
      <c r="A627" s="9">
        <v>44334</v>
      </c>
      <c r="B627" s="3">
        <v>74.888200742400016</v>
      </c>
      <c r="C627" s="3">
        <v>74.108864100901798</v>
      </c>
      <c r="D627" s="3">
        <v>270.78283325246707</v>
      </c>
      <c r="E627" s="3">
        <v>299.15902482774169</v>
      </c>
      <c r="F627" s="3">
        <v>144.7967772505518</v>
      </c>
      <c r="G627" s="3">
        <v>121.53596631453902</v>
      </c>
      <c r="H627" s="3">
        <v>225.29123418708403</v>
      </c>
      <c r="I627" s="3">
        <v>154.90349110388749</v>
      </c>
      <c r="J627" s="23">
        <v>44334</v>
      </c>
      <c r="K627" s="24">
        <v>55.479166666666664</v>
      </c>
      <c r="L627" s="24">
        <v>88.429166666666674</v>
      </c>
      <c r="M627" s="24">
        <v>15.33958333333333</v>
      </c>
      <c r="N627" s="24">
        <v>1.5999999999999999</v>
      </c>
      <c r="O627" s="24">
        <v>257.58333333333331</v>
      </c>
      <c r="P627" s="24">
        <v>1.875</v>
      </c>
      <c r="Q627" s="24">
        <v>0</v>
      </c>
      <c r="R627" s="24">
        <v>13.393750000000002</v>
      </c>
      <c r="S627" s="10">
        <v>0.21216307681241439</v>
      </c>
      <c r="T627" s="25">
        <v>0.34424999999999989</v>
      </c>
      <c r="U627" s="25">
        <v>0.46614583333333348</v>
      </c>
      <c r="V627" s="25">
        <v>0.5222291666666663</v>
      </c>
      <c r="W627" s="25">
        <v>0.54662500000000025</v>
      </c>
      <c r="X627" s="25">
        <v>0.5431041666666665</v>
      </c>
      <c r="Y627" s="25">
        <v>0.43422916666666639</v>
      </c>
      <c r="Z627" s="25">
        <v>0.4348541666666666</v>
      </c>
      <c r="AA627" s="25">
        <v>0.37385416666666665</v>
      </c>
      <c r="AB627" s="25">
        <v>0.34468750000000009</v>
      </c>
      <c r="AC627" s="25">
        <v>0.16945833333333324</v>
      </c>
      <c r="AD627" s="25">
        <v>0.29245833333333332</v>
      </c>
      <c r="AE627" s="27">
        <f t="shared" si="32"/>
        <v>0.44367708333333322</v>
      </c>
      <c r="AF627" s="27">
        <f t="shared" si="33"/>
        <v>0.46298958333333334</v>
      </c>
      <c r="AG627" s="27">
        <f t="shared" si="34"/>
        <v>0.45947821969696967</v>
      </c>
    </row>
    <row r="628" spans="1:33" x14ac:dyDescent="0.25">
      <c r="A628" s="9">
        <v>44335</v>
      </c>
      <c r="B628" s="3">
        <v>125.74003330800001</v>
      </c>
      <c r="C628" s="3">
        <v>93.062209717803512</v>
      </c>
      <c r="D628" s="3">
        <v>330.08098975353147</v>
      </c>
      <c r="E628" s="3">
        <v>326.75394260635608</v>
      </c>
      <c r="F628" s="3">
        <v>225.64143757781633</v>
      </c>
      <c r="G628" s="3">
        <v>225.25917086182091</v>
      </c>
      <c r="H628" s="3">
        <v>274.03841311102013</v>
      </c>
      <c r="I628" s="3">
        <v>217.61374656322931</v>
      </c>
      <c r="J628" s="23">
        <v>44335</v>
      </c>
      <c r="K628" s="24">
        <v>117.41666666666667</v>
      </c>
      <c r="L628" s="24">
        <v>88.037500000000009</v>
      </c>
      <c r="M628" s="24">
        <v>17.552083333333336</v>
      </c>
      <c r="N628" s="24">
        <v>2</v>
      </c>
      <c r="O628" s="24">
        <v>201.04166666666666</v>
      </c>
      <c r="P628" s="24">
        <v>1.9166666666666667</v>
      </c>
      <c r="Q628" s="24">
        <v>0</v>
      </c>
      <c r="R628" s="24">
        <v>15.420833333333329</v>
      </c>
      <c r="S628" s="10">
        <v>0.27892202928769588</v>
      </c>
      <c r="T628" s="25">
        <v>0.33724999999999999</v>
      </c>
      <c r="U628" s="25">
        <v>0.45883333333333337</v>
      </c>
      <c r="V628" s="25">
        <v>0.51641666666666697</v>
      </c>
      <c r="W628" s="25">
        <v>0.54070833333333301</v>
      </c>
      <c r="X628" s="25">
        <v>0.53668749999999998</v>
      </c>
      <c r="Y628" s="25">
        <v>0.43018749999999978</v>
      </c>
      <c r="Z628" s="25">
        <v>0.43114583333333351</v>
      </c>
      <c r="AA628" s="25">
        <v>0.37064583333333312</v>
      </c>
      <c r="AB628" s="25">
        <v>0.34606249999999994</v>
      </c>
      <c r="AC628" s="25">
        <v>0.16604166666666673</v>
      </c>
      <c r="AD628" s="25">
        <v>0.28283333333333333</v>
      </c>
      <c r="AE628" s="27">
        <f t="shared" si="32"/>
        <v>0.43696875000000002</v>
      </c>
      <c r="AF628" s="27">
        <f t="shared" si="33"/>
        <v>0.45798958333333323</v>
      </c>
      <c r="AG628" s="27">
        <f t="shared" si="34"/>
        <v>0.4541676136363636</v>
      </c>
    </row>
    <row r="629" spans="1:33" x14ac:dyDescent="0.25">
      <c r="A629" s="9">
        <v>44336</v>
      </c>
      <c r="B629" s="3">
        <v>55.764201015000005</v>
      </c>
      <c r="C629" s="3">
        <v>29.446713195969838</v>
      </c>
      <c r="D629" s="3">
        <v>198.08912423522889</v>
      </c>
      <c r="E629" s="3">
        <v>222.75195394367273</v>
      </c>
      <c r="F629" s="3">
        <v>159.80679640464368</v>
      </c>
      <c r="G629" s="3">
        <v>114.43535554250741</v>
      </c>
      <c r="H629" s="3">
        <v>213.65898438424514</v>
      </c>
      <c r="I629" s="3">
        <v>142.21977124257825</v>
      </c>
      <c r="J629" s="23">
        <v>44336</v>
      </c>
      <c r="K629" s="24">
        <v>62.9375</v>
      </c>
      <c r="L629" s="24">
        <v>89.324999999999974</v>
      </c>
      <c r="M629" s="24">
        <v>16.952083333333327</v>
      </c>
      <c r="N629" s="24">
        <v>0.89999999999999991</v>
      </c>
      <c r="O629" s="24">
        <v>241.6875</v>
      </c>
      <c r="P629" s="24">
        <v>1.5833333333333333</v>
      </c>
      <c r="Q629" s="24">
        <v>0</v>
      </c>
      <c r="R629" s="24">
        <v>15.125</v>
      </c>
      <c r="S629" s="10">
        <v>0.22169648764559269</v>
      </c>
      <c r="T629" s="25">
        <v>0.33070833333333316</v>
      </c>
      <c r="U629" s="25">
        <v>0.45235416666666683</v>
      </c>
      <c r="V629" s="25">
        <v>0.51110416666666636</v>
      </c>
      <c r="W629" s="25">
        <v>0.53537500000000049</v>
      </c>
      <c r="X629" s="25">
        <v>0.53150000000000008</v>
      </c>
      <c r="Y629" s="25">
        <v>0.42527083333333288</v>
      </c>
      <c r="Z629" s="25">
        <v>0.42700000000000027</v>
      </c>
      <c r="AA629" s="25">
        <v>0.36693749999999997</v>
      </c>
      <c r="AB629" s="25">
        <v>0.3443958333333334</v>
      </c>
      <c r="AC629" s="25">
        <v>0.16343750000000004</v>
      </c>
      <c r="AD629" s="25">
        <v>0.2758333333333336</v>
      </c>
      <c r="AE629" s="27">
        <f t="shared" si="32"/>
        <v>0.43110416666666662</v>
      </c>
      <c r="AF629" s="27">
        <f t="shared" si="33"/>
        <v>0.45300694444444445</v>
      </c>
      <c r="AG629" s="27">
        <f t="shared" si="34"/>
        <v>0.44902462121212122</v>
      </c>
    </row>
    <row r="630" spans="1:33" x14ac:dyDescent="0.25">
      <c r="A630" s="9">
        <v>44337</v>
      </c>
      <c r="B630" s="3">
        <v>126.91929357000002</v>
      </c>
      <c r="C630" s="3">
        <v>94.600031833113263</v>
      </c>
      <c r="D630" s="3">
        <v>349.7683552825564</v>
      </c>
      <c r="E630" s="3">
        <v>346.78742666316657</v>
      </c>
      <c r="F630" s="3">
        <v>209.32574004682695</v>
      </c>
      <c r="G630" s="3">
        <v>186.1809351728549</v>
      </c>
      <c r="H630" s="3">
        <v>244.75604370054339</v>
      </c>
      <c r="I630" s="3">
        <v>168.52099226526838</v>
      </c>
      <c r="J630" s="23">
        <v>44337</v>
      </c>
      <c r="K630" s="24">
        <v>94.145833333333329</v>
      </c>
      <c r="L630" s="24">
        <v>90.856249999999989</v>
      </c>
      <c r="M630" s="24">
        <v>19.302083333333332</v>
      </c>
      <c r="N630" s="24">
        <v>1.7</v>
      </c>
      <c r="O630" s="24">
        <v>224.04166666666666</v>
      </c>
      <c r="P630" s="24">
        <v>5</v>
      </c>
      <c r="Q630" s="24">
        <v>0.27083333333333331</v>
      </c>
      <c r="R630" s="24">
        <v>17.691666666666666</v>
      </c>
      <c r="S630" s="10">
        <v>0.23879053316008267</v>
      </c>
      <c r="T630" s="25">
        <v>0.32566666666666649</v>
      </c>
      <c r="U630" s="25">
        <v>0.44672916666666646</v>
      </c>
      <c r="V630" s="25">
        <v>0.50597916666666631</v>
      </c>
      <c r="W630" s="25">
        <v>0.53045833333333359</v>
      </c>
      <c r="X630" s="25">
        <v>0.52687499999999976</v>
      </c>
      <c r="Y630" s="25">
        <v>0.42108333333333348</v>
      </c>
      <c r="Z630" s="25">
        <v>0.42329166666666701</v>
      </c>
      <c r="AA630" s="25">
        <v>0.36362500000000025</v>
      </c>
      <c r="AB630" s="25">
        <v>0.34213333333333323</v>
      </c>
      <c r="AC630" s="25">
        <v>0.1633125</v>
      </c>
      <c r="AD630" s="25">
        <v>0.27177083333333329</v>
      </c>
      <c r="AE630" s="27">
        <f t="shared" si="32"/>
        <v>0.42627083333333315</v>
      </c>
      <c r="AF630" s="27">
        <f t="shared" si="33"/>
        <v>0.44852777777777786</v>
      </c>
      <c r="AG630" s="27">
        <f t="shared" si="34"/>
        <v>0.44448106060606063</v>
      </c>
    </row>
    <row r="631" spans="1:33" x14ac:dyDescent="0.25">
      <c r="A631" s="9">
        <v>44338</v>
      </c>
      <c r="B631" s="3">
        <v>91.307996784000011</v>
      </c>
      <c r="C631" s="3">
        <v>81.237519464246461</v>
      </c>
      <c r="D631" s="3">
        <v>258.40746370512619</v>
      </c>
      <c r="E631" s="3">
        <v>228.26881541443075</v>
      </c>
      <c r="F631" s="3">
        <v>238.65434765248551</v>
      </c>
      <c r="G631" s="3">
        <v>123.14984988784536</v>
      </c>
      <c r="H631" s="3">
        <v>215.91181517914004</v>
      </c>
      <c r="I631" s="3">
        <v>115.74648586321733</v>
      </c>
      <c r="J631" s="23">
        <v>44338</v>
      </c>
      <c r="K631" s="24">
        <v>89.666666666666671</v>
      </c>
      <c r="L631" s="24">
        <v>92.25833333333334</v>
      </c>
      <c r="M631" s="24">
        <v>19.020833333333339</v>
      </c>
      <c r="N631" s="24">
        <v>10.199999999999998</v>
      </c>
      <c r="O631" s="24">
        <v>228.22916666666666</v>
      </c>
      <c r="P631" s="24">
        <v>3.0416666666666665</v>
      </c>
      <c r="Q631" s="24">
        <v>2.0833333333333332E-2</v>
      </c>
      <c r="R631" s="24">
        <v>17.697916666666664</v>
      </c>
      <c r="S631" s="10">
        <v>0.18480406014371911</v>
      </c>
      <c r="T631" s="25">
        <v>0.32406249999999986</v>
      </c>
      <c r="U631" s="25">
        <v>0.44356250000000036</v>
      </c>
      <c r="V631" s="25">
        <v>0.50243749999999987</v>
      </c>
      <c r="W631" s="25">
        <v>0.52666666666666628</v>
      </c>
      <c r="X631" s="25">
        <v>0.52822916666666697</v>
      </c>
      <c r="Y631" s="25">
        <v>0.41837500000000033</v>
      </c>
      <c r="Z631" s="25">
        <v>0.42014583333333338</v>
      </c>
      <c r="AA631" s="25">
        <v>0.36035416666666675</v>
      </c>
      <c r="AB631" s="25">
        <v>0.39613043478260862</v>
      </c>
      <c r="AC631" s="25">
        <v>0.24191666666666667</v>
      </c>
      <c r="AD631" s="25">
        <v>0.32158333333333339</v>
      </c>
      <c r="AE631" s="27">
        <f t="shared" si="32"/>
        <v>0.42614583333333345</v>
      </c>
      <c r="AF631" s="27">
        <f t="shared" si="33"/>
        <v>0.44525694444444452</v>
      </c>
      <c r="AG631" s="27">
        <f t="shared" si="34"/>
        <v>0.44178219696969701</v>
      </c>
    </row>
    <row r="632" spans="1:33" x14ac:dyDescent="0.25">
      <c r="A632" s="9">
        <v>44339</v>
      </c>
      <c r="B632" s="3">
        <v>186.56681931</v>
      </c>
      <c r="C632" s="3">
        <v>131.57746617568355</v>
      </c>
      <c r="D632" s="3">
        <v>323.13051931304148</v>
      </c>
      <c r="E632" s="3">
        <v>276.18236759602382</v>
      </c>
      <c r="F632" s="3">
        <v>185.47091725147249</v>
      </c>
      <c r="G632" s="3">
        <v>172.47934876256909</v>
      </c>
      <c r="H632" s="3">
        <v>305.77505674624103</v>
      </c>
      <c r="I632" s="3">
        <v>219.27475474482029</v>
      </c>
      <c r="J632" s="23">
        <v>44339</v>
      </c>
      <c r="K632" s="24">
        <v>83.791666666666671</v>
      </c>
      <c r="L632" s="24">
        <v>87.524999999999991</v>
      </c>
      <c r="M632" s="24">
        <v>17.772916666666664</v>
      </c>
      <c r="N632" s="24">
        <v>31.499999999999996</v>
      </c>
      <c r="O632" s="24">
        <v>230.41666666666666</v>
      </c>
      <c r="P632" s="24">
        <v>3.7291666666666665</v>
      </c>
      <c r="Q632" s="24">
        <v>0</v>
      </c>
      <c r="R632" s="24">
        <v>15.59375</v>
      </c>
      <c r="S632" s="10">
        <v>0.27026157120155053</v>
      </c>
      <c r="T632" s="25">
        <v>0.4448125</v>
      </c>
      <c r="U632" s="25">
        <v>0.52060416666666676</v>
      </c>
      <c r="V632" s="25">
        <v>0.56670833333333348</v>
      </c>
      <c r="W632" s="25">
        <v>0.58747916666666644</v>
      </c>
      <c r="X632" s="25">
        <v>0.59766666666666668</v>
      </c>
      <c r="Y632" s="25">
        <v>0.49022916666666655</v>
      </c>
      <c r="Z632" s="25">
        <v>0.4607083333333335</v>
      </c>
      <c r="AA632" s="25">
        <v>0.39393750000000005</v>
      </c>
      <c r="AB632" s="25">
        <v>0.45797826086956528</v>
      </c>
      <c r="AC632" s="25">
        <v>0.32306249999999997</v>
      </c>
      <c r="AD632" s="25">
        <v>0.47131249999999986</v>
      </c>
      <c r="AE632" s="27">
        <f t="shared" si="32"/>
        <v>0.52123958333333331</v>
      </c>
      <c r="AF632" s="27">
        <f t="shared" si="33"/>
        <v>0.50327777777777782</v>
      </c>
      <c r="AG632" s="27">
        <f t="shared" si="34"/>
        <v>0.50654356060606065</v>
      </c>
    </row>
    <row r="633" spans="1:33" x14ac:dyDescent="0.25">
      <c r="A633" s="9">
        <v>44340</v>
      </c>
      <c r="B633" s="3">
        <v>76.954577707799999</v>
      </c>
      <c r="C633" s="3">
        <v>96.522803598098093</v>
      </c>
      <c r="D633" s="3">
        <v>252.54710743849645</v>
      </c>
      <c r="E633" s="3">
        <v>190.92967711195055</v>
      </c>
      <c r="F633" s="3">
        <v>157.595599858002</v>
      </c>
      <c r="G633" s="3">
        <v>137.2173307824184</v>
      </c>
      <c r="H633" s="3">
        <v>229.48877878909749</v>
      </c>
      <c r="I633" s="3">
        <v>192.72510957911726</v>
      </c>
      <c r="J633" s="23">
        <v>44340</v>
      </c>
      <c r="K633" s="24">
        <v>89.895833333333329</v>
      </c>
      <c r="L633" s="24">
        <v>87.393750000000011</v>
      </c>
      <c r="M633" s="24">
        <v>15.441666666666668</v>
      </c>
      <c r="N633" s="24">
        <v>4.7000000000000011</v>
      </c>
      <c r="O633" s="24">
        <v>208.9375</v>
      </c>
      <c r="P633" s="24">
        <v>2</v>
      </c>
      <c r="Q633" s="24">
        <v>2.0833333333333332E-2</v>
      </c>
      <c r="R633" s="24">
        <v>13.314583333333337</v>
      </c>
      <c r="S633" s="10">
        <v>0.23396613094426896</v>
      </c>
      <c r="T633" s="25">
        <v>0.44168750000000007</v>
      </c>
      <c r="U633" s="25">
        <v>0.52166666666666639</v>
      </c>
      <c r="V633" s="25">
        <v>0.56995833333333334</v>
      </c>
      <c r="W633" s="25">
        <v>0.58147916666666633</v>
      </c>
      <c r="X633" s="25">
        <v>0.5952291666666667</v>
      </c>
      <c r="Y633" s="25">
        <v>0.48481249999999987</v>
      </c>
      <c r="Z633" s="25">
        <v>0.46393749999999984</v>
      </c>
      <c r="AA633" s="25">
        <v>0.39747916666666666</v>
      </c>
      <c r="AB633" s="25">
        <v>0.43799999999999994</v>
      </c>
      <c r="AC633" s="25">
        <v>0.28602083333333339</v>
      </c>
      <c r="AD633" s="25">
        <v>0.47020833333333339</v>
      </c>
      <c r="AE633" s="27">
        <f t="shared" si="32"/>
        <v>0.51845833333333335</v>
      </c>
      <c r="AF633" s="27">
        <f t="shared" si="33"/>
        <v>0.50322222222222213</v>
      </c>
      <c r="AG633" s="27">
        <f t="shared" si="34"/>
        <v>0.50599242424242419</v>
      </c>
    </row>
    <row r="634" spans="1:33" x14ac:dyDescent="0.25">
      <c r="A634" s="9">
        <v>44341</v>
      </c>
      <c r="B634" s="3">
        <v>235.8290768796</v>
      </c>
      <c r="C634" s="3">
        <v>238.37736270614462</v>
      </c>
      <c r="D634" s="3">
        <v>567.69587194735573</v>
      </c>
      <c r="E634" s="3">
        <v>615.64462698857812</v>
      </c>
      <c r="F634" s="3">
        <v>375.12017746840161</v>
      </c>
      <c r="G634" s="3">
        <v>372.86880684442275</v>
      </c>
      <c r="H634" s="3">
        <v>410.45069990653911</v>
      </c>
      <c r="I634" s="3">
        <v>360.7046582810645</v>
      </c>
      <c r="J634" s="23">
        <v>44341</v>
      </c>
      <c r="K634" s="24">
        <v>150.5625</v>
      </c>
      <c r="L634" s="24">
        <v>85.925000000000011</v>
      </c>
      <c r="M634" s="24">
        <v>18.237499999999994</v>
      </c>
      <c r="N634" s="24">
        <v>0.2</v>
      </c>
      <c r="O634" s="24">
        <v>234.39583333333334</v>
      </c>
      <c r="P634" s="24">
        <v>8.3125</v>
      </c>
      <c r="Q634" s="24">
        <v>1.25</v>
      </c>
      <c r="R634" s="24">
        <v>15.737499999999999</v>
      </c>
      <c r="S634" s="10">
        <v>0.33401848595008427</v>
      </c>
      <c r="T634" s="25">
        <v>0.43491666666666656</v>
      </c>
      <c r="U634" s="25">
        <v>0.5167708333333334</v>
      </c>
      <c r="V634" s="25">
        <v>0.56693749999999954</v>
      </c>
      <c r="W634" s="25">
        <v>0.57904166666666657</v>
      </c>
      <c r="X634" s="25">
        <v>0.59160416666666638</v>
      </c>
      <c r="Y634" s="25">
        <v>0.47925000000000018</v>
      </c>
      <c r="Z634" s="25">
        <v>0.46089583333333328</v>
      </c>
      <c r="AA634" s="25">
        <v>0.39579166666666654</v>
      </c>
      <c r="AB634" s="25">
        <v>0.42957142857142838</v>
      </c>
      <c r="AC634" s="25">
        <v>0.27241666666666664</v>
      </c>
      <c r="AD634" s="25">
        <v>0.4575833333333334</v>
      </c>
      <c r="AE634" s="27">
        <f t="shared" si="32"/>
        <v>0.51326041666666644</v>
      </c>
      <c r="AF634" s="27">
        <f t="shared" si="33"/>
        <v>0.49978124999999984</v>
      </c>
      <c r="AG634" s="27">
        <f t="shared" si="34"/>
        <v>0.50223200757575737</v>
      </c>
    </row>
    <row r="635" spans="1:33" x14ac:dyDescent="0.25">
      <c r="A635" s="9">
        <v>44342</v>
      </c>
      <c r="B635" s="3">
        <v>90.766850405399978</v>
      </c>
      <c r="C635" s="3">
        <v>83.083442413213504</v>
      </c>
      <c r="D635" s="3">
        <v>250.33328654953786</v>
      </c>
      <c r="E635" s="3">
        <v>277.87534348323095</v>
      </c>
      <c r="F635" s="3">
        <v>192.31005004685909</v>
      </c>
      <c r="G635" s="3">
        <v>171.41723557507086</v>
      </c>
      <c r="H635" s="3">
        <v>242.04403486243223</v>
      </c>
      <c r="I635" s="3">
        <v>176.71072731464028</v>
      </c>
      <c r="J635" s="23">
        <v>44342</v>
      </c>
      <c r="K635" s="24">
        <v>75.145833333333329</v>
      </c>
      <c r="L635" s="24">
        <v>86.354166666666686</v>
      </c>
      <c r="M635" s="24">
        <v>18.637499999999999</v>
      </c>
      <c r="N635" s="24">
        <v>0</v>
      </c>
      <c r="O635" s="24">
        <v>202.04166666666666</v>
      </c>
      <c r="P635" s="24">
        <v>7.5625</v>
      </c>
      <c r="Q635" s="24">
        <v>0.875</v>
      </c>
      <c r="R635" s="24">
        <v>16.295833333333338</v>
      </c>
      <c r="S635" s="10">
        <v>0.29956941709796914</v>
      </c>
      <c r="T635" s="25">
        <v>0.42343750000000019</v>
      </c>
      <c r="U635" s="25">
        <v>0.5083958333333336</v>
      </c>
      <c r="V635" s="25">
        <v>0.56199999999999994</v>
      </c>
      <c r="W635" s="25">
        <v>0.57495833333333402</v>
      </c>
      <c r="X635" s="25">
        <v>0.58822916666666647</v>
      </c>
      <c r="Y635" s="25">
        <v>0.47420833333333312</v>
      </c>
      <c r="Z635" s="25">
        <v>0.45922916666666658</v>
      </c>
      <c r="AA635" s="25">
        <v>0.39347916666666705</v>
      </c>
      <c r="AB635" s="25">
        <v>0.41952272727272727</v>
      </c>
      <c r="AC635" s="25">
        <v>0.25979166666666681</v>
      </c>
      <c r="AD635" s="25">
        <v>0.4360208333333333</v>
      </c>
      <c r="AE635" s="27">
        <f t="shared" si="32"/>
        <v>0.50583333333333336</v>
      </c>
      <c r="AF635" s="27">
        <f t="shared" si="33"/>
        <v>0.49537847222222248</v>
      </c>
      <c r="AG635" s="27">
        <f t="shared" si="34"/>
        <v>0.49727935606060625</v>
      </c>
    </row>
    <row r="636" spans="1:33" x14ac:dyDescent="0.25">
      <c r="A636" s="9">
        <v>44343</v>
      </c>
      <c r="B636" s="3">
        <v>318.49113533040003</v>
      </c>
      <c r="C636" s="3">
        <v>334.52967410293735</v>
      </c>
      <c r="D636" s="3">
        <v>707.20352735867982</v>
      </c>
      <c r="E636" s="3">
        <v>720.89835708045086</v>
      </c>
      <c r="F636" s="3">
        <v>481.00526358114524</v>
      </c>
      <c r="G636" s="3">
        <v>460.56597551482514</v>
      </c>
      <c r="H636" s="3">
        <v>487.11656032197988</v>
      </c>
      <c r="I636" s="3">
        <v>393.72842515789375</v>
      </c>
      <c r="J636" s="23">
        <v>44343</v>
      </c>
      <c r="K636" s="24">
        <v>211.5</v>
      </c>
      <c r="L636" s="24">
        <v>74.420833333333334</v>
      </c>
      <c r="M636" s="24">
        <v>19.979166666666668</v>
      </c>
      <c r="N636" s="24">
        <v>0.2</v>
      </c>
      <c r="O636" s="24">
        <v>231.0625</v>
      </c>
      <c r="P636" s="24">
        <v>2.9166666666666665</v>
      </c>
      <c r="Q636" s="24">
        <v>0.14583333333333334</v>
      </c>
      <c r="R636" s="24">
        <v>14.891666666666666</v>
      </c>
      <c r="S636" s="10">
        <v>0.71151823132263481</v>
      </c>
      <c r="T636" s="25">
        <v>0.41083333333333333</v>
      </c>
      <c r="U636" s="25">
        <v>0.50079166666666619</v>
      </c>
      <c r="V636" s="25">
        <v>0.55572916666666661</v>
      </c>
      <c r="W636" s="25">
        <v>0.57085416666666655</v>
      </c>
      <c r="X636" s="25">
        <v>0.58135416666666639</v>
      </c>
      <c r="Y636" s="25">
        <v>0.46829166666666655</v>
      </c>
      <c r="Z636" s="25">
        <v>0.45622916666666707</v>
      </c>
      <c r="AA636" s="25">
        <v>0.39100000000000018</v>
      </c>
      <c r="AB636" s="25">
        <v>0.40577500000000005</v>
      </c>
      <c r="AC636" s="25">
        <v>0.2468541666666666</v>
      </c>
      <c r="AD636" s="25">
        <v>0.41493749999999996</v>
      </c>
      <c r="AE636" s="27">
        <f t="shared" si="32"/>
        <v>0.49609374999999989</v>
      </c>
      <c r="AF636" s="27">
        <f t="shared" si="33"/>
        <v>0.49048263888888882</v>
      </c>
      <c r="AG636" s="27">
        <f t="shared" si="34"/>
        <v>0.49150284090909091</v>
      </c>
    </row>
    <row r="637" spans="1:33" x14ac:dyDescent="0.25">
      <c r="A637" s="9">
        <v>44344</v>
      </c>
      <c r="B637" s="3">
        <v>61.938771434999992</v>
      </c>
      <c r="C637" s="3">
        <v>60.732721837483922</v>
      </c>
      <c r="D637" s="3">
        <v>200.95072876131627</v>
      </c>
      <c r="E637" s="3">
        <v>210.58246904691981</v>
      </c>
      <c r="F637" s="3">
        <v>148.04886775136433</v>
      </c>
      <c r="G637" s="3">
        <v>115.11698473678966</v>
      </c>
      <c r="H637" s="3">
        <v>217.60716078617898</v>
      </c>
      <c r="I637" s="3">
        <v>119.1714361600565</v>
      </c>
      <c r="J637" s="23">
        <v>44344</v>
      </c>
      <c r="K637" s="24">
        <v>58.333333333333336</v>
      </c>
      <c r="L637" s="24">
        <v>87.758333333333326</v>
      </c>
      <c r="M637" s="24">
        <v>18.581249999999997</v>
      </c>
      <c r="N637" s="24">
        <v>3.5999999999999996</v>
      </c>
      <c r="O637" s="24">
        <v>202.70833333333334</v>
      </c>
      <c r="P637" s="24">
        <v>2.5625</v>
      </c>
      <c r="Q637" s="24">
        <v>0.14583333333333334</v>
      </c>
      <c r="R637" s="24">
        <v>16.487500000000001</v>
      </c>
      <c r="S637" s="10">
        <v>0.26804403455386605</v>
      </c>
      <c r="T637" s="25">
        <v>0.3988541666666669</v>
      </c>
      <c r="U637" s="25">
        <v>0.49422916666666666</v>
      </c>
      <c r="V637" s="25">
        <v>0.55039583333333331</v>
      </c>
      <c r="W637" s="25">
        <v>0.56658333333333299</v>
      </c>
      <c r="X637" s="25">
        <v>0.57652083333333348</v>
      </c>
      <c r="Y637" s="25">
        <v>0.46183333333333293</v>
      </c>
      <c r="Z637" s="25">
        <v>0.45237500000000036</v>
      </c>
      <c r="AA637" s="25">
        <v>0.38762500000000016</v>
      </c>
      <c r="AB637" s="25">
        <v>0.3941904761904762</v>
      </c>
      <c r="AC637" s="25">
        <v>0.23143750000000005</v>
      </c>
      <c r="AD637" s="25">
        <v>0.39193750000000005</v>
      </c>
      <c r="AE637" s="27">
        <f t="shared" si="32"/>
        <v>0.48768750000000016</v>
      </c>
      <c r="AF637" s="27">
        <f t="shared" si="33"/>
        <v>0.48550694444444442</v>
      </c>
      <c r="AG637" s="27">
        <f t="shared" si="34"/>
        <v>0.48590340909090912</v>
      </c>
    </row>
    <row r="638" spans="1:33" x14ac:dyDescent="0.25">
      <c r="A638" s="9">
        <v>44345</v>
      </c>
      <c r="B638" s="3">
        <v>69.178785901200001</v>
      </c>
      <c r="C638" s="3">
        <v>70.351169909867934</v>
      </c>
      <c r="D638" s="3">
        <v>200.2063953327912</v>
      </c>
      <c r="E638" s="3">
        <v>234.31672656535915</v>
      </c>
      <c r="F638" s="3">
        <v>140.45705163398182</v>
      </c>
      <c r="G638" s="3">
        <v>123.55079430555931</v>
      </c>
      <c r="H638" s="3">
        <v>206.26269983854056</v>
      </c>
      <c r="I638" s="3">
        <v>141.54691441358921</v>
      </c>
      <c r="J638" s="23">
        <v>44345</v>
      </c>
      <c r="K638" s="24">
        <v>73.541666666666671</v>
      </c>
      <c r="L638" s="24">
        <v>90.106249999999989</v>
      </c>
      <c r="M638" s="24">
        <v>17.479166666666664</v>
      </c>
      <c r="N638" s="24">
        <v>16.100000000000001</v>
      </c>
      <c r="O638" s="24">
        <v>188.41666666666666</v>
      </c>
      <c r="P638" s="24">
        <v>2.5416666666666665</v>
      </c>
      <c r="Q638" s="24">
        <v>0</v>
      </c>
      <c r="R638" s="24">
        <v>15.779166666666663</v>
      </c>
      <c r="S638" s="10">
        <v>0.21815710785141937</v>
      </c>
      <c r="T638" s="25">
        <v>0.40362499999999996</v>
      </c>
      <c r="U638" s="25">
        <v>0.49156249999999974</v>
      </c>
      <c r="V638" s="25">
        <v>0.54887500000000033</v>
      </c>
      <c r="W638" s="25">
        <v>0.56591666666666707</v>
      </c>
      <c r="X638" s="25">
        <v>0.58472916666666608</v>
      </c>
      <c r="Y638" s="25">
        <v>0.46143750000000022</v>
      </c>
      <c r="Z638" s="25">
        <v>0.45170833333333354</v>
      </c>
      <c r="AA638" s="25">
        <v>0.3868125</v>
      </c>
      <c r="AB638" s="25">
        <v>0.43174999999999991</v>
      </c>
      <c r="AC638" s="25">
        <v>0.28460416666666688</v>
      </c>
      <c r="AD638" s="25">
        <v>0.44906249999999992</v>
      </c>
      <c r="AE638" s="27">
        <f t="shared" si="32"/>
        <v>0.49417708333333299</v>
      </c>
      <c r="AF638" s="27">
        <f t="shared" si="33"/>
        <v>0.48438541666666679</v>
      </c>
      <c r="AG638" s="27">
        <f t="shared" si="34"/>
        <v>0.48616571969696976</v>
      </c>
    </row>
    <row r="639" spans="1:33" x14ac:dyDescent="0.25">
      <c r="A639" s="9">
        <v>44346</v>
      </c>
      <c r="B639" s="3">
        <v>193.88939621759999</v>
      </c>
      <c r="C639" s="3">
        <v>258.33808326242951</v>
      </c>
      <c r="D639" s="3">
        <v>577.88489446677136</v>
      </c>
      <c r="E639" s="3">
        <v>533.23038588424981</v>
      </c>
      <c r="F639" s="3">
        <v>337.79066842192395</v>
      </c>
      <c r="G639" s="3">
        <v>341.81670868122114</v>
      </c>
      <c r="H639" s="3">
        <v>401.8009612281038</v>
      </c>
      <c r="I639" s="3">
        <v>340.6693165551564</v>
      </c>
      <c r="J639" s="23">
        <v>44346</v>
      </c>
      <c r="K639" s="24">
        <v>221.9375</v>
      </c>
      <c r="L639" s="24">
        <v>75.972916666666649</v>
      </c>
      <c r="M639" s="24">
        <v>19.954166666666669</v>
      </c>
      <c r="N639" s="24">
        <v>16.5</v>
      </c>
      <c r="O639" s="24">
        <v>149.25</v>
      </c>
      <c r="P639" s="24">
        <v>2.9375</v>
      </c>
      <c r="Q639" s="24">
        <v>0</v>
      </c>
      <c r="R639" s="24">
        <v>15.010416666666664</v>
      </c>
      <c r="S639" s="10">
        <v>0.68564606586919974</v>
      </c>
      <c r="T639" s="25">
        <v>0.46966666666666684</v>
      </c>
      <c r="U639" s="25">
        <v>0.53693749999999996</v>
      </c>
      <c r="V639" s="25">
        <v>0.58110416666666653</v>
      </c>
      <c r="W639" s="25">
        <v>0.6016458333333331</v>
      </c>
      <c r="X639" s="25">
        <v>0.60579166666666673</v>
      </c>
      <c r="Y639" s="25">
        <v>0.50695833333333329</v>
      </c>
      <c r="Z639" s="25">
        <v>0.47506249999999978</v>
      </c>
      <c r="AA639" s="25">
        <v>0.41224999999999984</v>
      </c>
      <c r="AB639" s="25">
        <v>0.46644186046511632</v>
      </c>
      <c r="AC639" s="25">
        <v>0.32345833333333324</v>
      </c>
      <c r="AD639" s="25">
        <v>0.48170833333333324</v>
      </c>
      <c r="AE639" s="27">
        <f t="shared" si="32"/>
        <v>0.53772916666666681</v>
      </c>
      <c r="AF639" s="27">
        <f t="shared" si="33"/>
        <v>0.51899305555555542</v>
      </c>
      <c r="AG639" s="27">
        <f t="shared" si="34"/>
        <v>0.52239962121212113</v>
      </c>
    </row>
    <row r="640" spans="1:33" x14ac:dyDescent="0.25">
      <c r="A640" s="9">
        <v>44347</v>
      </c>
      <c r="B640" s="3">
        <v>10.961354174400002</v>
      </c>
      <c r="C640" s="3">
        <v>58.316573106641812</v>
      </c>
      <c r="D640" s="3">
        <v>175.02054467270369</v>
      </c>
      <c r="E640" s="3">
        <v>127.94103460436898</v>
      </c>
      <c r="F640" s="3">
        <v>86.377736182854079</v>
      </c>
      <c r="G640" s="3">
        <v>93.602775785758013</v>
      </c>
      <c r="H640" s="3">
        <v>146.34575302746697</v>
      </c>
      <c r="I640" s="3">
        <v>112.18042824295652</v>
      </c>
      <c r="J640" s="23">
        <v>44347</v>
      </c>
      <c r="K640" s="24">
        <v>76.958333333333329</v>
      </c>
      <c r="L640" s="24">
        <v>86.822916666666643</v>
      </c>
      <c r="M640" s="24">
        <v>18.293749999999999</v>
      </c>
      <c r="N640" s="24">
        <v>20.299999999999997</v>
      </c>
      <c r="O640" s="24">
        <v>240.25</v>
      </c>
      <c r="P640" s="24">
        <v>2.0208333333333335</v>
      </c>
      <c r="Q640" s="24">
        <v>0</v>
      </c>
      <c r="R640" s="24">
        <v>16.008333333333333</v>
      </c>
      <c r="S640" s="10">
        <v>0.28768800366035008</v>
      </c>
      <c r="T640" s="25">
        <v>0.44666666666666699</v>
      </c>
      <c r="U640" s="25">
        <v>0.52318749999999969</v>
      </c>
      <c r="V640" s="25">
        <v>0.57247916666666665</v>
      </c>
      <c r="W640" s="25">
        <v>0.58585416666666623</v>
      </c>
      <c r="X640" s="25">
        <v>0.5957916666666665</v>
      </c>
      <c r="Y640" s="25">
        <v>0.48547916666666652</v>
      </c>
      <c r="Z640" s="25">
        <v>0.4664375</v>
      </c>
      <c r="AA640" s="25">
        <v>0.39941666666666698</v>
      </c>
      <c r="AB640" s="25">
        <v>0.44486842105263164</v>
      </c>
      <c r="AC640" s="25">
        <v>0.29577083333333343</v>
      </c>
      <c r="AD640" s="25">
        <v>0.46325000000000011</v>
      </c>
      <c r="AE640" s="27">
        <f t="shared" si="32"/>
        <v>0.52122916666666674</v>
      </c>
      <c r="AF640" s="27">
        <f t="shared" si="33"/>
        <v>0.50547569444444429</v>
      </c>
      <c r="AG640" s="27">
        <f t="shared" si="34"/>
        <v>0.50833996212121202</v>
      </c>
    </row>
    <row r="641" spans="1:33" x14ac:dyDescent="0.25">
      <c r="A641" s="9">
        <v>44348</v>
      </c>
      <c r="B641" s="3">
        <v>29.790256681800003</v>
      </c>
      <c r="C641" s="3">
        <v>59.590459356756448</v>
      </c>
      <c r="D641" s="3">
        <v>205.63137769611379</v>
      </c>
      <c r="E641" s="3">
        <v>187.17784392170717</v>
      </c>
      <c r="F641" s="3">
        <v>90.168169624222514</v>
      </c>
      <c r="G641" s="3">
        <v>67.095652599107055</v>
      </c>
      <c r="H641" s="3">
        <v>163.31784271518995</v>
      </c>
      <c r="I641" s="3">
        <v>115.37922565970811</v>
      </c>
      <c r="J641" s="23">
        <v>44348</v>
      </c>
      <c r="K641" s="24">
        <v>83.125</v>
      </c>
      <c r="L641" s="24">
        <v>90.96041666666666</v>
      </c>
      <c r="M641" s="24">
        <v>19.502083333333331</v>
      </c>
      <c r="N641" s="24">
        <v>14.7</v>
      </c>
      <c r="O641" s="24">
        <v>211.75</v>
      </c>
      <c r="P641" s="24">
        <v>2.7916666666666665</v>
      </c>
      <c r="Q641" s="24">
        <v>4.1666666666666664E-2</v>
      </c>
      <c r="R641" s="24">
        <v>17.929166666666664</v>
      </c>
      <c r="S641" s="10">
        <v>0.22420818206002882</v>
      </c>
      <c r="T641" s="25">
        <v>0.49116666666666675</v>
      </c>
      <c r="U641" s="25">
        <v>0.5481666666666668</v>
      </c>
      <c r="V641" s="25">
        <v>0.58904166666666635</v>
      </c>
      <c r="W641" s="25">
        <v>0.60939583333333336</v>
      </c>
      <c r="X641" s="25">
        <v>0.61297916666666696</v>
      </c>
      <c r="Y641" s="25">
        <v>0.52177083333333341</v>
      </c>
      <c r="Z641" s="25">
        <v>0.48427083333333326</v>
      </c>
      <c r="AA641" s="25">
        <v>0.42420833333333324</v>
      </c>
      <c r="AB641" s="25">
        <v>0.48889999999999995</v>
      </c>
      <c r="AC641" s="25">
        <v>0.38264583333333341</v>
      </c>
      <c r="AD641" s="25">
        <v>0.49983333333333341</v>
      </c>
      <c r="AE641" s="27">
        <f t="shared" si="32"/>
        <v>0.55207291666666691</v>
      </c>
      <c r="AF641" s="27">
        <f t="shared" si="33"/>
        <v>0.52947569444444442</v>
      </c>
      <c r="AG641" s="27">
        <f t="shared" si="34"/>
        <v>0.53358428030303029</v>
      </c>
    </row>
    <row r="642" spans="1:33" x14ac:dyDescent="0.25">
      <c r="A642" s="9">
        <v>44349</v>
      </c>
      <c r="B642" s="3">
        <v>20.676118771799995</v>
      </c>
      <c r="C642" s="3">
        <v>64.513185480844783</v>
      </c>
      <c r="D642" s="3">
        <v>167.67897791499865</v>
      </c>
      <c r="E642" s="3">
        <v>120.84340055627715</v>
      </c>
      <c r="F642" s="3">
        <v>71.370402048754244</v>
      </c>
      <c r="G642" s="3">
        <v>68.176421005346</v>
      </c>
      <c r="H642" s="3">
        <v>145.54834199067918</v>
      </c>
      <c r="I642" s="3">
        <v>91.762918660331621</v>
      </c>
      <c r="J642" s="23">
        <v>44349</v>
      </c>
      <c r="K642" s="24">
        <v>77.604166666666671</v>
      </c>
      <c r="L642" s="24">
        <v>92.991666666666688</v>
      </c>
      <c r="M642" s="24">
        <v>20.162500000000001</v>
      </c>
      <c r="N642" s="24">
        <v>14.399999999999999</v>
      </c>
      <c r="O642" s="24">
        <v>252.95833333333334</v>
      </c>
      <c r="P642" s="24">
        <v>1.7291666666666667</v>
      </c>
      <c r="Q642" s="24">
        <v>0</v>
      </c>
      <c r="R642" s="24">
        <v>18.962499999999999</v>
      </c>
      <c r="S642" s="10">
        <v>0.17673071739623447</v>
      </c>
      <c r="T642" s="25">
        <v>0.48839583333333353</v>
      </c>
      <c r="U642" s="25">
        <v>0.54672916666666693</v>
      </c>
      <c r="V642" s="25">
        <v>0.5884999999999998</v>
      </c>
      <c r="W642" s="25">
        <v>0.60477083333333359</v>
      </c>
      <c r="X642" s="25">
        <v>0.61256249999999968</v>
      </c>
      <c r="Y642" s="25">
        <v>0.51533333333333342</v>
      </c>
      <c r="Z642" s="25">
        <v>0.48135416666666681</v>
      </c>
      <c r="AA642" s="25">
        <v>0.41795833333333321</v>
      </c>
      <c r="AB642" s="25">
        <v>0.47164102564102567</v>
      </c>
      <c r="AC642" s="25">
        <v>0.32314583333333335</v>
      </c>
      <c r="AD642" s="25">
        <v>0.49889583333333337</v>
      </c>
      <c r="AE642" s="27">
        <f t="shared" si="32"/>
        <v>0.55047916666666663</v>
      </c>
      <c r="AF642" s="27">
        <f t="shared" si="33"/>
        <v>0.5257743055555556</v>
      </c>
      <c r="AG642" s="27">
        <f t="shared" si="34"/>
        <v>0.53026609848484851</v>
      </c>
    </row>
    <row r="643" spans="1:33" x14ac:dyDescent="0.25">
      <c r="A643" s="9">
        <v>44350</v>
      </c>
      <c r="B643" s="3">
        <v>91.66455820260002</v>
      </c>
      <c r="C643" s="3">
        <v>26.597164430839843</v>
      </c>
      <c r="D643" s="3">
        <v>176.52221149909747</v>
      </c>
      <c r="E643" s="3">
        <v>207.1934281470069</v>
      </c>
      <c r="F643" s="3">
        <v>113.04969442602679</v>
      </c>
      <c r="G643" s="3">
        <v>102.0696613406984</v>
      </c>
      <c r="H643" s="3">
        <v>185.54588812740172</v>
      </c>
      <c r="I643" s="3">
        <v>124.16756830223328</v>
      </c>
      <c r="J643" s="23">
        <v>44350</v>
      </c>
      <c r="K643" s="24">
        <v>70.729166666666671</v>
      </c>
      <c r="L643" s="24">
        <v>87.71666666666664</v>
      </c>
      <c r="M643" s="24">
        <v>18.712499999999999</v>
      </c>
      <c r="N643" s="24">
        <v>6.4000000000000012</v>
      </c>
      <c r="O643" s="24">
        <v>210.875</v>
      </c>
      <c r="P643" s="24">
        <v>5.604166666666667</v>
      </c>
      <c r="Q643" s="24">
        <v>6.25E-2</v>
      </c>
      <c r="R643" s="24">
        <v>16.583333333333339</v>
      </c>
      <c r="S643" s="10">
        <v>0.2491936856170647</v>
      </c>
      <c r="T643" s="25">
        <v>0.48922916666666677</v>
      </c>
      <c r="U643" s="25">
        <v>0.54708333333333359</v>
      </c>
      <c r="V643" s="25">
        <v>0.58991666666666653</v>
      </c>
      <c r="W643" s="25">
        <v>0.60277083333333337</v>
      </c>
      <c r="X643" s="25">
        <v>0.61297916666666652</v>
      </c>
      <c r="Y643" s="25">
        <v>0.51437500000000025</v>
      </c>
      <c r="Z643" s="25">
        <v>0.47852083333333356</v>
      </c>
      <c r="AA643" s="25">
        <v>0.41049999999999986</v>
      </c>
      <c r="AB643" s="25">
        <v>0.46222222222222215</v>
      </c>
      <c r="AC643" s="25">
        <v>0.30768750000000006</v>
      </c>
      <c r="AD643" s="25">
        <v>0.5014791666666667</v>
      </c>
      <c r="AE643" s="27">
        <f t="shared" si="32"/>
        <v>0.55110416666666662</v>
      </c>
      <c r="AF643" s="27">
        <f t="shared" si="33"/>
        <v>0.52386111111111122</v>
      </c>
      <c r="AG643" s="27">
        <f t="shared" si="34"/>
        <v>0.528814393939394</v>
      </c>
    </row>
    <row r="644" spans="1:33" x14ac:dyDescent="0.25">
      <c r="A644" s="9">
        <v>44351</v>
      </c>
      <c r="B644" s="3">
        <v>181.91022131880007</v>
      </c>
      <c r="C644" s="3">
        <v>221.59091330142692</v>
      </c>
      <c r="D644" s="3">
        <v>575.73228181494994</v>
      </c>
      <c r="E644" s="3">
        <v>591.21551358286479</v>
      </c>
      <c r="F644" s="3">
        <v>416.5450862775113</v>
      </c>
      <c r="G644" s="3">
        <v>403.38181943372592</v>
      </c>
      <c r="H644" s="3">
        <v>354.74992429633477</v>
      </c>
      <c r="I644" s="3">
        <v>321.72258541794241</v>
      </c>
      <c r="J644" s="23">
        <v>44351</v>
      </c>
      <c r="K644" s="24">
        <v>223.16666666666666</v>
      </c>
      <c r="L644" s="24">
        <v>71.475000000000009</v>
      </c>
      <c r="M644" s="24">
        <v>17.327083333333334</v>
      </c>
      <c r="N644" s="24">
        <v>1.9999999999999998</v>
      </c>
      <c r="O644" s="24">
        <v>250.95833333333334</v>
      </c>
      <c r="P644" s="24">
        <v>2.6875</v>
      </c>
      <c r="Q644" s="24">
        <v>4.1666666666666664E-2</v>
      </c>
      <c r="R644" s="24">
        <v>11.766666666666666</v>
      </c>
      <c r="S644" s="10">
        <v>0.66777023389990686</v>
      </c>
      <c r="T644" s="25">
        <v>0.45922916666666652</v>
      </c>
      <c r="U644" s="25">
        <v>0.52849999999999964</v>
      </c>
      <c r="V644" s="25">
        <v>0.57862499999999994</v>
      </c>
      <c r="W644" s="25">
        <v>0.59156249999999966</v>
      </c>
      <c r="X644" s="25">
        <v>0.59879166666666706</v>
      </c>
      <c r="Y644" s="25">
        <v>0.49408333333333365</v>
      </c>
      <c r="Z644" s="25">
        <v>0.4723958333333334</v>
      </c>
      <c r="AA644" s="25">
        <v>0.40477083333333325</v>
      </c>
      <c r="AB644" s="25">
        <v>0.44374999999999998</v>
      </c>
      <c r="AC644" s="25">
        <v>0.29051111111111105</v>
      </c>
      <c r="AD644" s="25">
        <v>0.48035416666666664</v>
      </c>
      <c r="AE644" s="27">
        <f t="shared" si="32"/>
        <v>0.52901041666666682</v>
      </c>
      <c r="AF644" s="27">
        <f t="shared" si="33"/>
        <v>0.51165624999999992</v>
      </c>
      <c r="AG644" s="27">
        <f t="shared" si="34"/>
        <v>0.51481155303030302</v>
      </c>
    </row>
    <row r="645" spans="1:33" x14ac:dyDescent="0.25">
      <c r="A645" s="9">
        <v>44352</v>
      </c>
      <c r="B645" s="3">
        <v>149.67004008239999</v>
      </c>
      <c r="C645" s="3">
        <v>285.71373469219157</v>
      </c>
      <c r="D645" s="3">
        <v>695.12950479860604</v>
      </c>
      <c r="E645" s="3">
        <v>762.5706126687146</v>
      </c>
      <c r="F645" s="3">
        <v>555.77207332490775</v>
      </c>
      <c r="G645" s="3">
        <v>582.86709654019478</v>
      </c>
      <c r="H645" s="3">
        <v>411.62192544489585</v>
      </c>
      <c r="I645" s="3">
        <v>423.13480087620468</v>
      </c>
      <c r="J645" s="23">
        <v>44352</v>
      </c>
      <c r="K645" s="24">
        <v>272</v>
      </c>
      <c r="L645" s="24">
        <v>65.266666666666666</v>
      </c>
      <c r="M645" s="24">
        <v>20.96875</v>
      </c>
      <c r="N645" s="24">
        <v>0</v>
      </c>
      <c r="O645" s="24">
        <v>233.14583333333334</v>
      </c>
      <c r="P645" s="24">
        <v>1.25</v>
      </c>
      <c r="Q645" s="24">
        <v>0</v>
      </c>
      <c r="R645" s="24">
        <v>13.647916666666669</v>
      </c>
      <c r="S645" s="10">
        <v>1.038758515438118</v>
      </c>
      <c r="T645" s="25">
        <v>0.43602083333333325</v>
      </c>
      <c r="U645" s="25">
        <v>0.51312500000000028</v>
      </c>
      <c r="V645" s="25">
        <v>0.56702083333333342</v>
      </c>
      <c r="W645" s="25">
        <v>0.58202083333333299</v>
      </c>
      <c r="X645" s="25">
        <v>0.58814583333333303</v>
      </c>
      <c r="Y645" s="25">
        <v>0.4791458333333331</v>
      </c>
      <c r="Z645" s="25">
        <v>0.4648958333333329</v>
      </c>
      <c r="AA645" s="25">
        <v>0.39870833333333344</v>
      </c>
      <c r="AB645" s="25">
        <v>0.42617142857142859</v>
      </c>
      <c r="AC645" s="25">
        <v>0.26634782608695656</v>
      </c>
      <c r="AD645" s="25">
        <v>0.4499583333333334</v>
      </c>
      <c r="AE645" s="27">
        <f t="shared" si="32"/>
        <v>0.51208333333333311</v>
      </c>
      <c r="AF645" s="27">
        <f t="shared" si="33"/>
        <v>0.50081944444444437</v>
      </c>
      <c r="AG645" s="27">
        <f t="shared" si="34"/>
        <v>0.50286742424242414</v>
      </c>
    </row>
    <row r="646" spans="1:33" x14ac:dyDescent="0.25">
      <c r="A646" s="9">
        <v>44353</v>
      </c>
      <c r="B646" s="3">
        <v>178.26228531719997</v>
      </c>
      <c r="C646" s="3">
        <v>297.52354796467415</v>
      </c>
      <c r="D646" s="3">
        <v>628.88361998609287</v>
      </c>
      <c r="E646" s="3">
        <v>742.52645369416064</v>
      </c>
      <c r="F646" s="3">
        <v>459.29136696555963</v>
      </c>
      <c r="G646" s="3">
        <v>568.42635017360283</v>
      </c>
      <c r="H646" s="3">
        <v>407.65415265437639</v>
      </c>
      <c r="I646" s="3">
        <v>375.72684665350937</v>
      </c>
      <c r="J646" s="23">
        <v>44353</v>
      </c>
      <c r="K646" s="24">
        <v>284.9375</v>
      </c>
      <c r="L646" s="24">
        <v>57.722916666666663</v>
      </c>
      <c r="M646" s="24">
        <v>22.370833333333337</v>
      </c>
      <c r="N646" s="24">
        <v>0</v>
      </c>
      <c r="O646" s="24">
        <v>222.375</v>
      </c>
      <c r="P646" s="24">
        <v>4.354166666666667</v>
      </c>
      <c r="Q646" s="24">
        <v>0.41666666666666669</v>
      </c>
      <c r="R646" s="24">
        <v>12.360416666666667</v>
      </c>
      <c r="S646" s="10">
        <v>1.3816618538163958</v>
      </c>
      <c r="T646" s="25">
        <v>0.41360416666666661</v>
      </c>
      <c r="U646" s="25">
        <v>0.50235416666666655</v>
      </c>
      <c r="V646" s="25">
        <v>0.55622916666666677</v>
      </c>
      <c r="W646" s="25">
        <v>0.57408333333333317</v>
      </c>
      <c r="X646" s="25">
        <v>0.57845833333333319</v>
      </c>
      <c r="Y646" s="25">
        <v>0.46774999999999994</v>
      </c>
      <c r="Z646" s="25">
        <v>0.45775000000000038</v>
      </c>
      <c r="AA646" s="25">
        <v>0.3928541666666665</v>
      </c>
      <c r="AB646" s="25">
        <v>0.40740476190476194</v>
      </c>
      <c r="AC646" s="25">
        <v>0.24445454545454545</v>
      </c>
      <c r="AD646" s="25">
        <v>0.41877083333333348</v>
      </c>
      <c r="AE646" s="27">
        <f t="shared" ref="AE646:AE709" si="37">AVERAGE(T646,X646)</f>
        <v>0.49603124999999992</v>
      </c>
      <c r="AF646" s="27">
        <f t="shared" ref="AF646:AF709" si="38">AVERAGE(U646:W646,Y646:AA646)</f>
        <v>0.49183680555555559</v>
      </c>
      <c r="AG646" s="27">
        <f t="shared" ref="AG646:AG709" si="39">(AE646*10+AF646*45)/55</f>
        <v>0.49259943181818178</v>
      </c>
    </row>
    <row r="647" spans="1:33" x14ac:dyDescent="0.25">
      <c r="A647" s="9">
        <v>44354</v>
      </c>
      <c r="B647" s="3">
        <v>132.33146538060004</v>
      </c>
      <c r="C647" s="3">
        <v>253.37696008342152</v>
      </c>
      <c r="D647" s="3">
        <v>644.30013451947116</v>
      </c>
      <c r="E647" s="3">
        <v>743.35567894120788</v>
      </c>
      <c r="F647" s="3">
        <v>466.7443231913133</v>
      </c>
      <c r="G647" s="3">
        <v>518.85736421003446</v>
      </c>
      <c r="H647" s="3">
        <v>417.40701315504396</v>
      </c>
      <c r="I647" s="3">
        <v>337.22349854010037</v>
      </c>
      <c r="J647" s="23">
        <v>44354</v>
      </c>
      <c r="K647" s="24">
        <v>216.54166666666666</v>
      </c>
      <c r="L647" s="24">
        <v>59.039583333333333</v>
      </c>
      <c r="M647" s="24">
        <v>22.839583333333337</v>
      </c>
      <c r="N647" s="24">
        <v>0</v>
      </c>
      <c r="O647" s="24">
        <v>185.5625</v>
      </c>
      <c r="P647" s="24">
        <v>3.0833333333333335</v>
      </c>
      <c r="Q647" s="24">
        <v>6.25E-2</v>
      </c>
      <c r="R647" s="24">
        <v>14.189583333333333</v>
      </c>
      <c r="S647" s="10">
        <v>1.1956994489193311</v>
      </c>
      <c r="T647" s="25">
        <v>0.38487500000000002</v>
      </c>
      <c r="U647" s="25">
        <v>0.48941666666666678</v>
      </c>
      <c r="V647" s="25">
        <v>0.54183333333333306</v>
      </c>
      <c r="W647" s="25">
        <v>0.56370833333333292</v>
      </c>
      <c r="X647" s="25">
        <v>0.56460416666666668</v>
      </c>
      <c r="Y647" s="25">
        <v>0.45258333333333312</v>
      </c>
      <c r="Z647" s="25">
        <v>0.44800000000000001</v>
      </c>
      <c r="AA647" s="25">
        <v>0.3859375000000001</v>
      </c>
      <c r="AB647" s="25">
        <v>0.38439130434782615</v>
      </c>
      <c r="AC647" s="25">
        <v>0.20880000000000001</v>
      </c>
      <c r="AD647" s="25">
        <v>0.38020833333333348</v>
      </c>
      <c r="AE647" s="27">
        <f t="shared" si="37"/>
        <v>0.47473958333333333</v>
      </c>
      <c r="AF647" s="27">
        <f t="shared" si="38"/>
        <v>0.48024652777777765</v>
      </c>
      <c r="AG647" s="27">
        <f t="shared" si="39"/>
        <v>0.47924526515151505</v>
      </c>
    </row>
    <row r="648" spans="1:33" x14ac:dyDescent="0.25">
      <c r="A648" s="9">
        <v>44355</v>
      </c>
      <c r="B648" s="3">
        <v>46.079611189199994</v>
      </c>
      <c r="C648" s="3">
        <v>159.10625051279055</v>
      </c>
      <c r="D648" s="3">
        <v>476.14740313311597</v>
      </c>
      <c r="E648" s="3">
        <v>628.01107286928504</v>
      </c>
      <c r="F648" s="3">
        <v>404.5936193103459</v>
      </c>
      <c r="G648" s="3">
        <v>378.00738973159059</v>
      </c>
      <c r="H648" s="3">
        <v>349.89472140682346</v>
      </c>
      <c r="I648" s="3">
        <v>271.26898313603181</v>
      </c>
      <c r="J648" s="23">
        <v>44355</v>
      </c>
      <c r="K648" s="24">
        <v>136.89583333333334</v>
      </c>
      <c r="L648" s="24">
        <v>72.981249999999989</v>
      </c>
      <c r="M648" s="24">
        <v>21.633333333333336</v>
      </c>
      <c r="N648" s="24">
        <v>0</v>
      </c>
      <c r="O648" s="24">
        <v>173.58333333333334</v>
      </c>
      <c r="P648" s="24">
        <v>0.9375</v>
      </c>
      <c r="Q648" s="24">
        <v>0</v>
      </c>
      <c r="R648" s="24">
        <v>16.474999999999998</v>
      </c>
      <c r="S648" s="10">
        <v>0.74172386617412212</v>
      </c>
      <c r="T648" s="25">
        <v>0.35949999999999999</v>
      </c>
      <c r="U648" s="25">
        <v>0.4766875000000001</v>
      </c>
      <c r="V648" s="25">
        <v>0.52977083333333341</v>
      </c>
      <c r="W648" s="25">
        <v>0.55293750000000041</v>
      </c>
      <c r="X648" s="25">
        <v>0.55216666666666692</v>
      </c>
      <c r="Y648" s="25">
        <v>0.43964583333333357</v>
      </c>
      <c r="Z648" s="25">
        <v>0.43939583333333315</v>
      </c>
      <c r="AA648" s="25">
        <v>0.37933333333333352</v>
      </c>
      <c r="AB648" s="25">
        <v>0.36748648648648657</v>
      </c>
      <c r="AC648" s="25">
        <v>0.18277272727272728</v>
      </c>
      <c r="AD648" s="25">
        <v>0.34131250000000007</v>
      </c>
      <c r="AE648" s="27">
        <f t="shared" si="37"/>
        <v>0.45583333333333342</v>
      </c>
      <c r="AF648" s="27">
        <f t="shared" si="38"/>
        <v>0.46962847222222237</v>
      </c>
      <c r="AG648" s="27">
        <f t="shared" si="39"/>
        <v>0.46712026515151528</v>
      </c>
    </row>
    <row r="649" spans="1:33" x14ac:dyDescent="0.25">
      <c r="A649" s="9">
        <v>44356</v>
      </c>
      <c r="B649" s="3">
        <v>105.24785683499999</v>
      </c>
      <c r="C649" s="3">
        <v>207.28442224402366</v>
      </c>
      <c r="D649" s="3">
        <v>578.42992238025761</v>
      </c>
      <c r="E649" s="3">
        <v>696.45110522306061</v>
      </c>
      <c r="F649" s="3">
        <v>431.47589414779156</v>
      </c>
      <c r="G649" s="3">
        <v>402.71435917459576</v>
      </c>
      <c r="H649" s="3">
        <v>427.85046641780212</v>
      </c>
      <c r="I649" s="3">
        <v>288.60630731988033</v>
      </c>
      <c r="J649" s="23">
        <v>44356</v>
      </c>
      <c r="K649" s="24">
        <v>168.1875</v>
      </c>
      <c r="L649" s="24">
        <v>75.291666666666686</v>
      </c>
      <c r="M649" s="24">
        <v>22.335416666666664</v>
      </c>
      <c r="N649" s="24">
        <v>1.5</v>
      </c>
      <c r="O649" s="24">
        <v>236.25</v>
      </c>
      <c r="P649" s="24">
        <v>4.416666666666667</v>
      </c>
      <c r="Q649" s="24">
        <v>0.20833333333333334</v>
      </c>
      <c r="R649" s="24">
        <v>17.604166666666664</v>
      </c>
      <c r="S649" s="10">
        <v>0.71862134338326633</v>
      </c>
      <c r="T649" s="25">
        <v>0.33918749999999998</v>
      </c>
      <c r="U649" s="25">
        <v>0.46358333333333318</v>
      </c>
      <c r="V649" s="25">
        <v>0.51810416666666714</v>
      </c>
      <c r="W649" s="25">
        <v>0.54166666666666641</v>
      </c>
      <c r="X649" s="25">
        <v>0.54058333333333308</v>
      </c>
      <c r="Y649" s="25">
        <v>0.42785416666666681</v>
      </c>
      <c r="Z649" s="25">
        <v>0.43125000000000008</v>
      </c>
      <c r="AA649" s="25">
        <v>0.37262499999999982</v>
      </c>
      <c r="AB649" s="25">
        <v>0.35431428571428564</v>
      </c>
      <c r="AC649" s="25">
        <v>0.17387234042553196</v>
      </c>
      <c r="AD649" s="25">
        <v>0.30879166666666652</v>
      </c>
      <c r="AE649" s="27">
        <f t="shared" si="37"/>
        <v>0.43988541666666653</v>
      </c>
      <c r="AF649" s="27">
        <f t="shared" si="38"/>
        <v>0.45918055555555554</v>
      </c>
      <c r="AG649" s="27">
        <f t="shared" si="39"/>
        <v>0.4556723484848485</v>
      </c>
    </row>
    <row r="650" spans="1:33" x14ac:dyDescent="0.25">
      <c r="A650" s="9">
        <v>44357</v>
      </c>
      <c r="B650" s="3">
        <v>33.292765888200002</v>
      </c>
      <c r="C650" s="3">
        <v>49.721990227808035</v>
      </c>
      <c r="D650" s="3">
        <v>212.81341508274116</v>
      </c>
      <c r="E650" s="3">
        <v>113.00461642991486</v>
      </c>
      <c r="F650" s="3">
        <v>100.23191147330643</v>
      </c>
      <c r="G650" s="3">
        <v>48.742774725351161</v>
      </c>
      <c r="H650" s="3">
        <v>203.00565726592615</v>
      </c>
      <c r="I650" s="3">
        <v>152.26470289464754</v>
      </c>
      <c r="J650" s="23">
        <v>44357</v>
      </c>
      <c r="K650" s="24">
        <v>86.6875</v>
      </c>
      <c r="L650" s="24">
        <v>91.220833333333346</v>
      </c>
      <c r="M650" s="24">
        <v>18.016666666666669</v>
      </c>
      <c r="N650" s="24">
        <v>72.100000000000037</v>
      </c>
      <c r="O650" s="24">
        <v>195.33333333333334</v>
      </c>
      <c r="P650" s="24">
        <v>1.8541666666666667</v>
      </c>
      <c r="Q650" s="24">
        <v>0</v>
      </c>
      <c r="R650" s="24">
        <v>16.516666666666666</v>
      </c>
      <c r="S650" s="10">
        <v>0.19357746043740384</v>
      </c>
      <c r="T650" s="25">
        <v>0.48272916666666671</v>
      </c>
      <c r="U650" s="25">
        <v>0.54308333333333336</v>
      </c>
      <c r="V650" s="25">
        <v>0.58514583333333314</v>
      </c>
      <c r="W650" s="25">
        <v>0.61329166666666668</v>
      </c>
      <c r="X650" s="25">
        <v>0.60841666666666694</v>
      </c>
      <c r="Y650" s="25">
        <v>0.53464583333333349</v>
      </c>
      <c r="Z650" s="25">
        <v>0.4826666666666668</v>
      </c>
      <c r="AA650" s="25">
        <v>0.42722916666666677</v>
      </c>
      <c r="AB650" s="25">
        <v>0.50934615384615378</v>
      </c>
      <c r="AC650" s="25">
        <v>0.43395833333333339</v>
      </c>
      <c r="AD650" s="25">
        <v>0.49641666666666667</v>
      </c>
      <c r="AE650" s="27">
        <f t="shared" si="37"/>
        <v>0.54557291666666685</v>
      </c>
      <c r="AF650" s="27">
        <f t="shared" si="38"/>
        <v>0.53101041666666671</v>
      </c>
      <c r="AG650" s="27">
        <f t="shared" si="39"/>
        <v>0.53365814393939404</v>
      </c>
    </row>
    <row r="651" spans="1:33" x14ac:dyDescent="0.25">
      <c r="A651" s="9">
        <v>44358</v>
      </c>
      <c r="B651" s="3">
        <v>17.103113603999997</v>
      </c>
      <c r="C651" s="3">
        <v>3.1420989342228345</v>
      </c>
      <c r="D651" s="3">
        <v>29.491712396178141</v>
      </c>
      <c r="E651" s="3">
        <v>15.27720363746198</v>
      </c>
      <c r="F651" s="3">
        <v>53.957500373030982</v>
      </c>
      <c r="G651" s="3">
        <v>6.1694021425815571</v>
      </c>
      <c r="H651" s="3">
        <v>50.430414172675938</v>
      </c>
      <c r="I651" s="3">
        <v>28.509027166426428</v>
      </c>
      <c r="J651" s="23">
        <v>44358</v>
      </c>
      <c r="K651" s="24">
        <v>61.979166666666664</v>
      </c>
      <c r="L651" s="24">
        <v>95.610416666666666</v>
      </c>
      <c r="M651" s="24">
        <v>18.162500000000001</v>
      </c>
      <c r="N651" s="24">
        <v>15.100000000000001</v>
      </c>
      <c r="O651" s="24">
        <v>114.875</v>
      </c>
      <c r="P651" s="24">
        <v>0.52083333333333337</v>
      </c>
      <c r="Q651" s="24">
        <v>0</v>
      </c>
      <c r="R651" s="24">
        <v>17.445833333333336</v>
      </c>
      <c r="S651" s="10">
        <v>9.4290891371694496E-2</v>
      </c>
      <c r="T651" s="25">
        <v>0.48477083333333315</v>
      </c>
      <c r="U651" s="25">
        <v>0.54568749999999977</v>
      </c>
      <c r="V651" s="25">
        <v>0.58722916666666658</v>
      </c>
      <c r="W651" s="25">
        <v>0.60749999999999971</v>
      </c>
      <c r="X651" s="25">
        <v>0.60933333333333306</v>
      </c>
      <c r="Y651" s="25">
        <v>0.51752083333333321</v>
      </c>
      <c r="Z651" s="25">
        <v>0.4805625</v>
      </c>
      <c r="AA651" s="25">
        <v>0.41835416666666658</v>
      </c>
      <c r="AB651" s="25">
        <v>0.46642857142857141</v>
      </c>
      <c r="AC651" s="25">
        <v>0.33518750000000003</v>
      </c>
      <c r="AD651" s="25">
        <v>0.49687500000000001</v>
      </c>
      <c r="AE651" s="27">
        <f t="shared" si="37"/>
        <v>0.54705208333333311</v>
      </c>
      <c r="AF651" s="27">
        <f t="shared" si="38"/>
        <v>0.52614236111111101</v>
      </c>
      <c r="AG651" s="27">
        <f t="shared" si="39"/>
        <v>0.52994412878787867</v>
      </c>
    </row>
    <row r="652" spans="1:33" x14ac:dyDescent="0.25">
      <c r="A652" s="9">
        <v>44359</v>
      </c>
      <c r="B652" s="3">
        <v>99.691407566999985</v>
      </c>
      <c r="C652" s="3">
        <v>169.48699132769451</v>
      </c>
      <c r="D652" s="3">
        <v>526.91179385671046</v>
      </c>
      <c r="E652" s="3">
        <v>465.05553638199564</v>
      </c>
      <c r="F652" s="3">
        <v>388.73057824294534</v>
      </c>
      <c r="G652" s="3">
        <v>344.8965496775794</v>
      </c>
      <c r="H652" s="3">
        <v>407.07564078014923</v>
      </c>
      <c r="I652" s="3">
        <v>376.20907715254504</v>
      </c>
      <c r="J652" s="23">
        <v>44359</v>
      </c>
      <c r="K652" s="24">
        <v>185.60416666666666</v>
      </c>
      <c r="L652" s="24">
        <v>85.843750000000014</v>
      </c>
      <c r="M652" s="24">
        <v>22.022916666666664</v>
      </c>
      <c r="N652" s="24">
        <v>3.4000000000000004</v>
      </c>
      <c r="O652" s="24">
        <v>235.89583333333334</v>
      </c>
      <c r="P652" s="24">
        <v>3.7916666666666665</v>
      </c>
      <c r="Q652" s="24">
        <v>4.1666666666666664E-2</v>
      </c>
      <c r="R652" s="24">
        <v>19.366666666666667</v>
      </c>
      <c r="S652" s="10">
        <v>0.44088145086975522</v>
      </c>
      <c r="T652" s="25">
        <v>0.48108333333333331</v>
      </c>
      <c r="U652" s="25">
        <v>0.54418750000000005</v>
      </c>
      <c r="V652" s="25">
        <v>0.58685416666666612</v>
      </c>
      <c r="W652" s="25">
        <v>0.60162500000000008</v>
      </c>
      <c r="X652" s="25">
        <v>0.61041666666666672</v>
      </c>
      <c r="Y652" s="25">
        <v>0.51304166666666706</v>
      </c>
      <c r="Z652" s="25">
        <v>0.47939583333333319</v>
      </c>
      <c r="AA652" s="25">
        <v>0.41383333333333311</v>
      </c>
      <c r="AB652" s="25">
        <v>0.46329999999999999</v>
      </c>
      <c r="AC652" s="25">
        <v>0.31172916666666667</v>
      </c>
      <c r="AD652" s="25">
        <v>0.49312500000000009</v>
      </c>
      <c r="AE652" s="27">
        <f t="shared" si="37"/>
        <v>0.54574999999999996</v>
      </c>
      <c r="AF652" s="27">
        <f t="shared" si="38"/>
        <v>0.52315624999999988</v>
      </c>
      <c r="AG652" s="27">
        <f t="shared" si="39"/>
        <v>0.52726420454545442</v>
      </c>
    </row>
    <row r="653" spans="1:33" x14ac:dyDescent="0.25">
      <c r="A653" s="9">
        <v>44360</v>
      </c>
      <c r="B653" s="3">
        <v>124.45519434839998</v>
      </c>
      <c r="C653" s="3">
        <v>123.56808336837584</v>
      </c>
      <c r="D653" s="3">
        <v>413.22102198452262</v>
      </c>
      <c r="E653" s="3">
        <v>377.99995783858111</v>
      </c>
      <c r="F653" s="3">
        <v>314.16840632479722</v>
      </c>
      <c r="G653" s="3">
        <v>295.37518025193435</v>
      </c>
      <c r="H653" s="3">
        <v>321.92561266762385</v>
      </c>
      <c r="I653" s="3">
        <v>319.21417191914691</v>
      </c>
      <c r="J653" s="23">
        <v>44360</v>
      </c>
      <c r="K653" s="24">
        <v>148.04166666666666</v>
      </c>
      <c r="L653" s="24">
        <v>86.085416666666674</v>
      </c>
      <c r="M653" s="24">
        <v>21.797916666666669</v>
      </c>
      <c r="N653" s="24">
        <v>2.4</v>
      </c>
      <c r="O653" s="24">
        <v>230.9375</v>
      </c>
      <c r="P653" s="24">
        <v>7.645833333333333</v>
      </c>
      <c r="Q653" s="24">
        <v>0.97916666666666663</v>
      </c>
      <c r="R653" s="24">
        <v>19.268750000000001</v>
      </c>
      <c r="S653" s="10">
        <v>0.39540905252551695</v>
      </c>
      <c r="T653" s="25">
        <v>0.46043750000000033</v>
      </c>
      <c r="U653" s="25">
        <v>0.53239583333333351</v>
      </c>
      <c r="V653" s="25">
        <v>0.58054166666666629</v>
      </c>
      <c r="W653" s="25">
        <v>0.59283333333333321</v>
      </c>
      <c r="X653" s="25">
        <v>0.60443750000000007</v>
      </c>
      <c r="Y653" s="25">
        <v>0.49929166666666686</v>
      </c>
      <c r="Z653" s="25">
        <v>0.47412500000000013</v>
      </c>
      <c r="AA653" s="25">
        <v>0.40616666666666662</v>
      </c>
      <c r="AB653" s="25">
        <v>0.45082758620689656</v>
      </c>
      <c r="AC653" s="25">
        <v>0.29793749999999986</v>
      </c>
      <c r="AD653" s="25">
        <v>0.47662499999999991</v>
      </c>
      <c r="AE653" s="27">
        <f t="shared" si="37"/>
        <v>0.53243750000000023</v>
      </c>
      <c r="AF653" s="27">
        <f t="shared" si="38"/>
        <v>0.51422569444444433</v>
      </c>
      <c r="AG653" s="27">
        <f t="shared" si="39"/>
        <v>0.51753693181818172</v>
      </c>
    </row>
    <row r="654" spans="1:33" x14ac:dyDescent="0.25">
      <c r="A654" s="9">
        <v>44361</v>
      </c>
      <c r="B654" s="3">
        <v>161.55962125199997</v>
      </c>
      <c r="C654" s="3">
        <v>240.12315226039371</v>
      </c>
      <c r="D654" s="3">
        <v>670.15257993545117</v>
      </c>
      <c r="E654" s="3">
        <v>705.88798786425889</v>
      </c>
      <c r="F654" s="3">
        <v>480.31743215511966</v>
      </c>
      <c r="G654" s="3">
        <v>473.53237676978324</v>
      </c>
      <c r="H654" s="3">
        <v>457.97226739563916</v>
      </c>
      <c r="I654" s="3">
        <v>462.10609369858656</v>
      </c>
      <c r="J654" s="23">
        <v>44361</v>
      </c>
      <c r="K654" s="24">
        <v>201.52083333333334</v>
      </c>
      <c r="L654" s="24">
        <v>81.356250000000003</v>
      </c>
      <c r="M654" s="24">
        <v>22.608333333333338</v>
      </c>
      <c r="N654" s="24">
        <v>0</v>
      </c>
      <c r="O654" s="24">
        <v>230.5625</v>
      </c>
      <c r="P654" s="24">
        <v>14.875</v>
      </c>
      <c r="Q654" s="24">
        <v>2.375</v>
      </c>
      <c r="R654" s="24">
        <v>19.162500000000005</v>
      </c>
      <c r="S654" s="10">
        <v>0.54544557398495164</v>
      </c>
      <c r="T654" s="25">
        <v>0.44258333333333333</v>
      </c>
      <c r="U654" s="25">
        <v>0.52195833333333308</v>
      </c>
      <c r="V654" s="25">
        <v>0.57352083333333337</v>
      </c>
      <c r="W654" s="25">
        <v>0.58745833333333308</v>
      </c>
      <c r="X654" s="25">
        <v>0.59810416666666655</v>
      </c>
      <c r="Y654" s="25">
        <v>0.48879166666666701</v>
      </c>
      <c r="Z654" s="25">
        <v>0.46954166666666636</v>
      </c>
      <c r="AA654" s="25">
        <v>0.4018750000000002</v>
      </c>
      <c r="AB654" s="25">
        <v>0.43907142857142867</v>
      </c>
      <c r="AC654" s="25">
        <v>0.2832564102564103</v>
      </c>
      <c r="AD654" s="25">
        <v>0.45514583333333336</v>
      </c>
      <c r="AE654" s="27">
        <f t="shared" si="37"/>
        <v>0.52034374999999988</v>
      </c>
      <c r="AF654" s="27">
        <f t="shared" si="38"/>
        <v>0.5071909722222222</v>
      </c>
      <c r="AG654" s="27">
        <f t="shared" si="39"/>
        <v>0.5095823863636364</v>
      </c>
    </row>
    <row r="655" spans="1:33" x14ac:dyDescent="0.25">
      <c r="A655" s="9">
        <v>44362</v>
      </c>
      <c r="B655" s="3">
        <v>138.9520726092</v>
      </c>
      <c r="C655" s="3">
        <v>187.49608145905634</v>
      </c>
      <c r="D655" s="3">
        <v>556.94208010755608</v>
      </c>
      <c r="E655" s="3">
        <v>610.95875297476096</v>
      </c>
      <c r="F655" s="3">
        <v>412.35621328639871</v>
      </c>
      <c r="G655" s="3">
        <v>387.71488406317013</v>
      </c>
      <c r="H655" s="3">
        <v>416.85091369377352</v>
      </c>
      <c r="I655" s="3">
        <v>422.38652302396235</v>
      </c>
      <c r="J655" s="23">
        <v>44362</v>
      </c>
      <c r="K655" s="24">
        <v>152.6875</v>
      </c>
      <c r="L655" s="24">
        <v>82.581250000000011</v>
      </c>
      <c r="M655" s="24">
        <v>22.929166666666671</v>
      </c>
      <c r="N655" s="24">
        <v>0</v>
      </c>
      <c r="O655" s="24">
        <v>233.5</v>
      </c>
      <c r="P655" s="24">
        <v>11.979166666666666</v>
      </c>
      <c r="Q655" s="24">
        <v>1.9791666666666667</v>
      </c>
      <c r="R655" s="24">
        <v>19.752083333333339</v>
      </c>
      <c r="S655" s="10">
        <v>0.51133482309620271</v>
      </c>
      <c r="T655" s="25">
        <v>0.42468749999999994</v>
      </c>
      <c r="U655" s="25">
        <v>0.512083333333333</v>
      </c>
      <c r="V655" s="25">
        <v>0.56535416666666638</v>
      </c>
      <c r="W655" s="25">
        <v>0.58268749999999936</v>
      </c>
      <c r="X655" s="25">
        <v>0.59114583333333359</v>
      </c>
      <c r="Y655" s="25">
        <v>0.48014583333333305</v>
      </c>
      <c r="Z655" s="25">
        <v>0.46545833333333347</v>
      </c>
      <c r="AA655" s="25">
        <v>0.39812500000000028</v>
      </c>
      <c r="AB655" s="25">
        <v>0.42408823529411754</v>
      </c>
      <c r="AC655" s="25">
        <v>0.25140000000000007</v>
      </c>
      <c r="AD655" s="25">
        <v>0.42854166666666677</v>
      </c>
      <c r="AE655" s="27">
        <f t="shared" si="37"/>
        <v>0.50791666666666679</v>
      </c>
      <c r="AF655" s="27">
        <f t="shared" si="38"/>
        <v>0.50064236111111093</v>
      </c>
      <c r="AG655" s="27">
        <f t="shared" si="39"/>
        <v>0.501964962121212</v>
      </c>
    </row>
    <row r="656" spans="1:33" x14ac:dyDescent="0.25">
      <c r="A656" s="9">
        <v>44363</v>
      </c>
      <c r="B656" s="3">
        <v>156.79480216499999</v>
      </c>
      <c r="C656" s="3">
        <v>221.22706464016073</v>
      </c>
      <c r="D656" s="3">
        <v>610.99765389109143</v>
      </c>
      <c r="E656" s="3">
        <v>692.93170852471064</v>
      </c>
      <c r="F656" s="3">
        <v>456.43648355556667</v>
      </c>
      <c r="G656" s="3">
        <v>448.84715363479012</v>
      </c>
      <c r="H656" s="3">
        <v>454.26750109813872</v>
      </c>
      <c r="I656" s="3">
        <v>461.88706777597923</v>
      </c>
      <c r="J656" s="23">
        <v>44363</v>
      </c>
      <c r="K656" s="24">
        <v>184.0625</v>
      </c>
      <c r="L656" s="24">
        <v>83.010416666666671</v>
      </c>
      <c r="M656" s="24">
        <v>24.283333333333331</v>
      </c>
      <c r="N656" s="24">
        <v>0</v>
      </c>
      <c r="O656" s="24">
        <v>232.16666666666666</v>
      </c>
      <c r="P656" s="24">
        <v>10.645833333333334</v>
      </c>
      <c r="Q656" s="24">
        <v>2.0625</v>
      </c>
      <c r="R656" s="24">
        <v>21.104166666666661</v>
      </c>
      <c r="S656" s="10">
        <v>0.56403229273576028</v>
      </c>
      <c r="T656" s="25">
        <v>0.40618749999999998</v>
      </c>
      <c r="U656" s="25">
        <v>0.5039166666666669</v>
      </c>
      <c r="V656" s="25">
        <v>0.55677083333333344</v>
      </c>
      <c r="W656" s="25">
        <v>0.57762500000000039</v>
      </c>
      <c r="X656" s="25">
        <v>0.58420833333333311</v>
      </c>
      <c r="Y656" s="25">
        <v>0.47185416666666652</v>
      </c>
      <c r="Z656" s="25">
        <v>0.46062500000000001</v>
      </c>
      <c r="AA656" s="25">
        <v>0.39452083333333343</v>
      </c>
      <c r="AB656" s="25">
        <v>0.40979069767441839</v>
      </c>
      <c r="AC656" s="25">
        <v>0.229304347826087</v>
      </c>
      <c r="AD656" s="25">
        <v>0.40287500000000004</v>
      </c>
      <c r="AE656" s="27">
        <f t="shared" si="37"/>
        <v>0.49519791666666657</v>
      </c>
      <c r="AF656" s="27">
        <f t="shared" si="38"/>
        <v>0.4942187500000001</v>
      </c>
      <c r="AG656" s="27">
        <f t="shared" si="39"/>
        <v>0.49439678030303041</v>
      </c>
    </row>
    <row r="657" spans="1:33" x14ac:dyDescent="0.25">
      <c r="A657" s="9">
        <v>44364</v>
      </c>
      <c r="B657" s="3">
        <v>171.89496539460004</v>
      </c>
      <c r="C657" s="3">
        <v>274.37703592565862</v>
      </c>
      <c r="D657" s="3">
        <v>727.92913371966301</v>
      </c>
      <c r="E657" s="3">
        <v>819.60569672899362</v>
      </c>
      <c r="F657" s="3">
        <v>547.96293080664918</v>
      </c>
      <c r="G657" s="3">
        <v>554.22689174933646</v>
      </c>
      <c r="H657" s="3">
        <v>548.26520342733852</v>
      </c>
      <c r="I657" s="3">
        <v>497.77922070781966</v>
      </c>
      <c r="J657" s="23">
        <v>44364</v>
      </c>
      <c r="K657" s="24">
        <v>237.20833333333334</v>
      </c>
      <c r="L657" s="24">
        <v>78.752083333333346</v>
      </c>
      <c r="M657" s="24">
        <v>25.724999999999998</v>
      </c>
      <c r="N657" s="24">
        <v>0</v>
      </c>
      <c r="O657" s="24">
        <v>236.3125</v>
      </c>
      <c r="P657" s="24">
        <v>12.791666666666666</v>
      </c>
      <c r="Q657" s="24">
        <v>2.4166666666666665</v>
      </c>
      <c r="R657" s="24">
        <v>21.637500000000003</v>
      </c>
      <c r="S657" s="10">
        <v>0.75360192460588327</v>
      </c>
      <c r="T657" s="25">
        <v>0.37743750000000015</v>
      </c>
      <c r="U657" s="25">
        <v>0.4922500000000003</v>
      </c>
      <c r="V657" s="25">
        <v>0.54362500000000002</v>
      </c>
      <c r="W657" s="25">
        <v>0.56883333333333352</v>
      </c>
      <c r="X657" s="25">
        <v>0.57325000000000015</v>
      </c>
      <c r="Y657" s="25">
        <v>0.45839583333333339</v>
      </c>
      <c r="Z657" s="25">
        <v>0.45231250000000012</v>
      </c>
      <c r="AA657" s="25">
        <v>0.38860416666666664</v>
      </c>
      <c r="AB657" s="25">
        <v>0.39063157894736861</v>
      </c>
      <c r="AC657" s="25">
        <v>0.21018181818181836</v>
      </c>
      <c r="AD657" s="25">
        <v>0.36133333333333334</v>
      </c>
      <c r="AE657" s="27">
        <f t="shared" si="37"/>
        <v>0.47534375000000018</v>
      </c>
      <c r="AF657" s="27">
        <f t="shared" si="38"/>
        <v>0.48400347222222234</v>
      </c>
      <c r="AG657" s="27">
        <f t="shared" si="39"/>
        <v>0.48242897727272743</v>
      </c>
    </row>
    <row r="658" spans="1:33" x14ac:dyDescent="0.25">
      <c r="A658" s="9">
        <v>44365</v>
      </c>
      <c r="B658" s="3">
        <v>166.75229021220002</v>
      </c>
      <c r="C658" s="3">
        <v>279.7886024137207</v>
      </c>
      <c r="D658" s="3">
        <v>708.60290434200601</v>
      </c>
      <c r="E658" s="3">
        <v>709.62665557226603</v>
      </c>
      <c r="F658" s="3">
        <v>514.36343813036729</v>
      </c>
      <c r="G658" s="3">
        <v>487.29808365687512</v>
      </c>
      <c r="H658" s="3">
        <v>558.62571373506898</v>
      </c>
      <c r="I658" s="3">
        <v>480.12386455702352</v>
      </c>
      <c r="J658" s="23">
        <v>44365</v>
      </c>
      <c r="K658" s="24">
        <v>237.77083333333334</v>
      </c>
      <c r="L658" s="24">
        <v>78.802083333333357</v>
      </c>
      <c r="M658" s="24">
        <v>25.868750000000002</v>
      </c>
      <c r="N658" s="24">
        <v>2.7</v>
      </c>
      <c r="O658" s="24">
        <v>233.125</v>
      </c>
      <c r="P658" s="24">
        <v>13.895833333333334</v>
      </c>
      <c r="Q658" s="24">
        <v>2.25</v>
      </c>
      <c r="R658" s="24">
        <v>21.777083333333334</v>
      </c>
      <c r="S658" s="10">
        <v>0.76659708145289418</v>
      </c>
      <c r="T658" s="25">
        <v>0.34554166666666669</v>
      </c>
      <c r="U658" s="25">
        <v>0.47639583333333319</v>
      </c>
      <c r="V658" s="25">
        <v>0.52760416666666643</v>
      </c>
      <c r="W658" s="25">
        <v>0.55495833333333355</v>
      </c>
      <c r="X658" s="25">
        <v>0.55777083333333322</v>
      </c>
      <c r="Y658" s="25">
        <v>0.4404791666666667</v>
      </c>
      <c r="Z658" s="25">
        <v>0.44022916666666639</v>
      </c>
      <c r="AA658" s="25">
        <v>0.38045833333333334</v>
      </c>
      <c r="AB658" s="25">
        <v>0.38667567567567568</v>
      </c>
      <c r="AC658" s="25">
        <v>0.18788372093023248</v>
      </c>
      <c r="AD658" s="25">
        <v>0.31479166666666669</v>
      </c>
      <c r="AE658" s="27">
        <f t="shared" si="37"/>
        <v>0.45165624999999998</v>
      </c>
      <c r="AF658" s="27">
        <f t="shared" si="38"/>
        <v>0.47002083333333328</v>
      </c>
      <c r="AG658" s="27">
        <f t="shared" si="39"/>
        <v>0.46668181818181814</v>
      </c>
    </row>
    <row r="659" spans="1:33" x14ac:dyDescent="0.25">
      <c r="A659" s="9">
        <v>44366</v>
      </c>
      <c r="B659" s="3">
        <v>101.02763406960001</v>
      </c>
      <c r="C659" s="3">
        <v>237.985116173384</v>
      </c>
      <c r="D659" s="3">
        <v>493.80076346816389</v>
      </c>
      <c r="E659" s="3">
        <v>469.02521300166359</v>
      </c>
      <c r="F659" s="3">
        <v>352.34142863575397</v>
      </c>
      <c r="G659" s="3">
        <v>285.1470152343706</v>
      </c>
      <c r="H659" s="3">
        <v>358.31643398200129</v>
      </c>
      <c r="I659" s="3">
        <v>309.80329011391564</v>
      </c>
      <c r="J659" s="23">
        <v>44366</v>
      </c>
      <c r="K659" s="24">
        <v>165.9375</v>
      </c>
      <c r="L659" s="24">
        <v>84.620833333333323</v>
      </c>
      <c r="M659" s="24">
        <v>21.947916666666668</v>
      </c>
      <c r="N659" s="24">
        <v>0.89999999999999991</v>
      </c>
      <c r="O659" s="24">
        <v>238.41666666666666</v>
      </c>
      <c r="P659" s="24">
        <v>3.125</v>
      </c>
      <c r="Q659" s="24">
        <v>8.3333333333333329E-2</v>
      </c>
      <c r="R659" s="24">
        <v>19.127083333333331</v>
      </c>
      <c r="S659" s="10">
        <v>0.45780380469585591</v>
      </c>
      <c r="T659" s="25">
        <v>0.32362499999999988</v>
      </c>
      <c r="U659" s="25">
        <v>0.46079166666666654</v>
      </c>
      <c r="V659" s="25">
        <v>0.51366666666666716</v>
      </c>
      <c r="W659" s="25">
        <v>0.5411041666666665</v>
      </c>
      <c r="X659" s="25">
        <v>0.54254166666666681</v>
      </c>
      <c r="Y659" s="25">
        <v>0.42343750000000013</v>
      </c>
      <c r="Z659" s="25">
        <v>0.42895833333333333</v>
      </c>
      <c r="AA659" s="25">
        <v>0.37212499999999987</v>
      </c>
      <c r="AB659" s="25">
        <v>0.36618750000000011</v>
      </c>
      <c r="AC659" s="25">
        <v>0.17230434782608706</v>
      </c>
      <c r="AD659" s="25">
        <v>0.28497916666666662</v>
      </c>
      <c r="AE659" s="27">
        <f t="shared" si="37"/>
        <v>0.43308333333333338</v>
      </c>
      <c r="AF659" s="27">
        <f t="shared" si="38"/>
        <v>0.45668055555555559</v>
      </c>
      <c r="AG659" s="27">
        <f t="shared" si="39"/>
        <v>0.45239015151515155</v>
      </c>
    </row>
    <row r="660" spans="1:33" x14ac:dyDescent="0.25">
      <c r="A660" s="9">
        <v>44367</v>
      </c>
      <c r="B660" s="3">
        <v>97.414666212599997</v>
      </c>
      <c r="C660" s="3">
        <v>196.47576323426296</v>
      </c>
      <c r="D660" s="3">
        <v>449.23506790677396</v>
      </c>
      <c r="E660" s="3">
        <v>469.45939179080148</v>
      </c>
      <c r="F660" s="3">
        <v>361.35847030489828</v>
      </c>
      <c r="G660" s="3">
        <v>315.58757739916507</v>
      </c>
      <c r="H660" s="3">
        <v>387.56867159955988</v>
      </c>
      <c r="I660" s="3">
        <v>366.44146233415034</v>
      </c>
      <c r="J660" s="23">
        <v>44367</v>
      </c>
      <c r="K660" s="24">
        <v>144.52083333333334</v>
      </c>
      <c r="L660" s="24">
        <v>83.36666666666666</v>
      </c>
      <c r="M660" s="24">
        <v>20.779166666666665</v>
      </c>
      <c r="N660" s="24">
        <v>1.7</v>
      </c>
      <c r="O660" s="24">
        <v>182.41666666666666</v>
      </c>
      <c r="P660" s="24">
        <v>1.4791666666666667</v>
      </c>
      <c r="Q660" s="24">
        <v>0</v>
      </c>
      <c r="R660" s="24">
        <v>17.724999999999998</v>
      </c>
      <c r="S660" s="10">
        <v>0.45805477906539971</v>
      </c>
      <c r="T660" s="25">
        <v>0.30929166666666658</v>
      </c>
      <c r="U660" s="25">
        <v>0.44633333333333319</v>
      </c>
      <c r="V660" s="25">
        <v>0.50202083333333347</v>
      </c>
      <c r="W660" s="25">
        <v>0.52906249999999999</v>
      </c>
      <c r="X660" s="25">
        <v>0.52749999999999997</v>
      </c>
      <c r="Y660" s="25">
        <v>0.41099999999999975</v>
      </c>
      <c r="Z660" s="25">
        <v>0.4198333333333335</v>
      </c>
      <c r="AA660" s="25">
        <v>0.36629166666666668</v>
      </c>
      <c r="AB660" s="25">
        <v>0.35252380952380952</v>
      </c>
      <c r="AC660" s="25">
        <v>0.16395555555555552</v>
      </c>
      <c r="AD660" s="25">
        <v>0.26981250000000001</v>
      </c>
      <c r="AE660" s="27">
        <f t="shared" si="37"/>
        <v>0.4183958333333333</v>
      </c>
      <c r="AF660" s="27">
        <f t="shared" si="38"/>
        <v>0.44575694444444447</v>
      </c>
      <c r="AG660" s="27">
        <f t="shared" si="39"/>
        <v>0.44078219696969695</v>
      </c>
    </row>
    <row r="661" spans="1:33" x14ac:dyDescent="0.25">
      <c r="A661" s="9">
        <v>44368</v>
      </c>
      <c r="B661" s="3">
        <v>123.76375766460002</v>
      </c>
      <c r="C661" s="3">
        <v>197.31704351996717</v>
      </c>
      <c r="D661" s="3">
        <v>504.99359285380774</v>
      </c>
      <c r="E661" s="3">
        <v>652.97884334183232</v>
      </c>
      <c r="F661" s="3">
        <v>439.33522676448189</v>
      </c>
      <c r="G661" s="3">
        <v>365.58855825682616</v>
      </c>
      <c r="H661" s="3">
        <v>408.90025923929477</v>
      </c>
      <c r="I661" s="3">
        <v>389.41606043403635</v>
      </c>
      <c r="J661" s="23">
        <v>44368</v>
      </c>
      <c r="K661" s="24">
        <v>146.75</v>
      </c>
      <c r="L661" s="24">
        <v>77.304166666666674</v>
      </c>
      <c r="M661" s="24">
        <v>21.5</v>
      </c>
      <c r="N661" s="24">
        <v>0</v>
      </c>
      <c r="O661" s="24">
        <v>274.02083333333331</v>
      </c>
      <c r="P661" s="24">
        <v>1.5833333333333333</v>
      </c>
      <c r="Q661" s="24">
        <v>0</v>
      </c>
      <c r="R661" s="24">
        <v>17.237500000000001</v>
      </c>
      <c r="S661" s="10">
        <v>0.62798267832191745</v>
      </c>
      <c r="T661" s="25">
        <v>0.29654166666666637</v>
      </c>
      <c r="U661" s="25">
        <v>0.42939583333333348</v>
      </c>
      <c r="V661" s="25">
        <v>0.4882708333333336</v>
      </c>
      <c r="W661" s="25">
        <v>0.51327083333333345</v>
      </c>
      <c r="X661" s="25">
        <v>0.51260416666666675</v>
      </c>
      <c r="Y661" s="25">
        <v>0.39660416666666692</v>
      </c>
      <c r="Z661" s="25">
        <v>0.40774999999999983</v>
      </c>
      <c r="AA661" s="25">
        <v>0.35781250000000003</v>
      </c>
      <c r="AB661" s="25">
        <v>0.33291176470588241</v>
      </c>
      <c r="AC661" s="25">
        <v>0.15767499999999998</v>
      </c>
      <c r="AD661" s="25">
        <v>0.25910416666666669</v>
      </c>
      <c r="AE661" s="27">
        <f t="shared" si="37"/>
        <v>0.40457291666666656</v>
      </c>
      <c r="AF661" s="27">
        <f t="shared" si="38"/>
        <v>0.43218402777777792</v>
      </c>
      <c r="AG661" s="27">
        <f t="shared" si="39"/>
        <v>0.42716382575757594</v>
      </c>
    </row>
    <row r="662" spans="1:33" x14ac:dyDescent="0.25">
      <c r="A662" s="9">
        <v>44369</v>
      </c>
      <c r="B662" s="3">
        <v>172.06867150379998</v>
      </c>
      <c r="C662" s="3">
        <v>247.47285110773893</v>
      </c>
      <c r="D662" s="3">
        <v>584.64661811550445</v>
      </c>
      <c r="E662" s="3">
        <v>810.3084117707017</v>
      </c>
      <c r="F662" s="3">
        <v>518.01473256303552</v>
      </c>
      <c r="G662" s="3">
        <v>413.027548805913</v>
      </c>
      <c r="H662" s="3">
        <v>466.83500162254211</v>
      </c>
      <c r="I662" s="3">
        <v>367.14244299923041</v>
      </c>
      <c r="J662" s="23">
        <v>44369</v>
      </c>
      <c r="K662" s="24">
        <v>216.54166666666666</v>
      </c>
      <c r="L662" s="24">
        <v>71.362499999999983</v>
      </c>
      <c r="M662" s="24">
        <v>22.841666666666672</v>
      </c>
      <c r="N662" s="24">
        <v>0</v>
      </c>
      <c r="O662" s="24">
        <v>234.77083333333334</v>
      </c>
      <c r="P662" s="24">
        <v>1.4583333333333333</v>
      </c>
      <c r="Q662" s="24">
        <v>0</v>
      </c>
      <c r="R662" s="24">
        <v>17.070833333333329</v>
      </c>
      <c r="S662" s="10">
        <v>0.90894842435547807</v>
      </c>
      <c r="T662" s="25">
        <v>0.28458333333333319</v>
      </c>
      <c r="U662" s="25">
        <v>0.40956249999999983</v>
      </c>
      <c r="V662" s="25">
        <v>0.47295833333333342</v>
      </c>
      <c r="W662" s="25">
        <v>0.49558333333333326</v>
      </c>
      <c r="X662" s="25">
        <v>0.49699999999999994</v>
      </c>
      <c r="Y662" s="25">
        <v>0.38124999999999981</v>
      </c>
      <c r="Z662" s="25">
        <v>0.39366666666666678</v>
      </c>
      <c r="AA662" s="25">
        <v>0.34806250000000011</v>
      </c>
      <c r="AB662" s="25">
        <v>0.30138095238095236</v>
      </c>
      <c r="AC662" s="25">
        <v>0.14964285714285708</v>
      </c>
      <c r="AD662" s="25">
        <v>0.24827083333333336</v>
      </c>
      <c r="AE662" s="27">
        <f t="shared" si="37"/>
        <v>0.39079166666666654</v>
      </c>
      <c r="AF662" s="27">
        <f t="shared" si="38"/>
        <v>0.4168472222222222</v>
      </c>
      <c r="AG662" s="27">
        <f t="shared" si="39"/>
        <v>0.41210984848484844</v>
      </c>
    </row>
    <row r="663" spans="1:33" x14ac:dyDescent="0.25">
      <c r="A663" s="9">
        <v>44370</v>
      </c>
      <c r="B663" s="3">
        <v>162.69525544679999</v>
      </c>
      <c r="C663" s="3">
        <v>191.76850431217332</v>
      </c>
      <c r="D663" s="3">
        <v>533.32613051828753</v>
      </c>
      <c r="E663" s="3">
        <v>794.71453373605038</v>
      </c>
      <c r="F663" s="3">
        <v>498.90284592574778</v>
      </c>
      <c r="G663" s="3">
        <v>367.62606523732563</v>
      </c>
      <c r="H663" s="3">
        <v>426.72961581275501</v>
      </c>
      <c r="I663" s="3">
        <v>325.36285454568235</v>
      </c>
      <c r="J663" s="23">
        <v>44370</v>
      </c>
      <c r="K663" s="24">
        <v>156.9375</v>
      </c>
      <c r="L663" s="24">
        <v>76.822916666666671</v>
      </c>
      <c r="M663" s="24">
        <v>23.254166666666666</v>
      </c>
      <c r="N663" s="24">
        <v>0</v>
      </c>
      <c r="O663" s="24">
        <v>220.16666666666666</v>
      </c>
      <c r="P663" s="24">
        <v>4.229166666666667</v>
      </c>
      <c r="Q663" s="24">
        <v>6.25E-2</v>
      </c>
      <c r="R663" s="24">
        <v>18.883333333333329</v>
      </c>
      <c r="S663" s="10">
        <v>0.6942300523962327</v>
      </c>
      <c r="T663" s="25">
        <v>0.27456250000000032</v>
      </c>
      <c r="U663" s="25">
        <v>0.3903541666666665</v>
      </c>
      <c r="V663" s="25">
        <v>0.45797916666666688</v>
      </c>
      <c r="W663" s="25">
        <v>0.47774999999999973</v>
      </c>
      <c r="X663" s="25">
        <v>0.48231249999999998</v>
      </c>
      <c r="Y663" s="25">
        <v>0.36616666666666692</v>
      </c>
      <c r="Z663" s="25">
        <v>0.37866666666666665</v>
      </c>
      <c r="AA663" s="25">
        <v>0.33718750000000014</v>
      </c>
      <c r="AB663" s="25">
        <v>0.26958620689655177</v>
      </c>
      <c r="AC663" s="25">
        <v>0.1437272727272727</v>
      </c>
      <c r="AD663" s="25">
        <v>0.23881250000000001</v>
      </c>
      <c r="AE663" s="27">
        <f t="shared" si="37"/>
        <v>0.37843750000000015</v>
      </c>
      <c r="AF663" s="27">
        <f t="shared" si="38"/>
        <v>0.40135069444444449</v>
      </c>
      <c r="AG663" s="27">
        <f t="shared" si="39"/>
        <v>0.39718465909090911</v>
      </c>
    </row>
    <row r="664" spans="1:33" x14ac:dyDescent="0.25">
      <c r="A664" s="9">
        <v>44371</v>
      </c>
      <c r="B664" s="3">
        <v>159.83954808300001</v>
      </c>
      <c r="C664" s="3">
        <v>148.07407219565809</v>
      </c>
      <c r="D664" s="3">
        <v>439.52413543929288</v>
      </c>
      <c r="E664" s="3">
        <v>704.2141351949308</v>
      </c>
      <c r="F664" s="3">
        <v>418.64505549968789</v>
      </c>
      <c r="G664" s="3">
        <v>326.55538703411474</v>
      </c>
      <c r="H664" s="3">
        <v>351.197613421357</v>
      </c>
      <c r="I664" s="3">
        <v>347.98701821096722</v>
      </c>
      <c r="J664" s="23">
        <v>44371</v>
      </c>
      <c r="K664" s="24">
        <v>146.83333333333334</v>
      </c>
      <c r="L664" s="24">
        <v>85.608333333333348</v>
      </c>
      <c r="M664" s="24">
        <v>22.50833333333334</v>
      </c>
      <c r="N664" s="24">
        <v>17.5</v>
      </c>
      <c r="O664" s="24">
        <v>238.47916666666666</v>
      </c>
      <c r="P664" s="24">
        <v>6.1875</v>
      </c>
      <c r="Q664" s="24">
        <v>0.20833333333333334</v>
      </c>
      <c r="R664" s="24">
        <v>19.839583333333341</v>
      </c>
      <c r="S664" s="10">
        <v>0.44115000494772133</v>
      </c>
      <c r="T664" s="25">
        <v>0.27895833333333336</v>
      </c>
      <c r="U664" s="25">
        <v>0.37897916666666659</v>
      </c>
      <c r="V664" s="25">
        <v>0.4464583333333334</v>
      </c>
      <c r="W664" s="25">
        <v>0.46599999999999958</v>
      </c>
      <c r="X664" s="25">
        <v>0.47464583333333327</v>
      </c>
      <c r="Y664" s="25">
        <v>0.36506250000000007</v>
      </c>
      <c r="Z664" s="25">
        <v>0.36989583333333337</v>
      </c>
      <c r="AA664" s="25">
        <v>0.32937499999999986</v>
      </c>
      <c r="AB664" s="25">
        <v>0.28302631578947368</v>
      </c>
      <c r="AC664" s="25">
        <v>0.13933333333333334</v>
      </c>
      <c r="AD664" s="25">
        <v>0.28031250000000002</v>
      </c>
      <c r="AE664" s="27">
        <f t="shared" si="37"/>
        <v>0.37680208333333332</v>
      </c>
      <c r="AF664" s="27">
        <f t="shared" si="38"/>
        <v>0.39262847222222214</v>
      </c>
      <c r="AG664" s="27">
        <f t="shared" si="39"/>
        <v>0.38975094696969692</v>
      </c>
    </row>
    <row r="665" spans="1:33" x14ac:dyDescent="0.25">
      <c r="A665" s="9">
        <v>44372</v>
      </c>
      <c r="B665" s="3">
        <v>107.9114698692</v>
      </c>
      <c r="C665" s="3">
        <v>168.40589268386594</v>
      </c>
      <c r="D665" s="3">
        <v>493.82727364586452</v>
      </c>
      <c r="E665" s="3">
        <v>701.03097024395993</v>
      </c>
      <c r="F665" s="3">
        <v>461.26730007234835</v>
      </c>
      <c r="G665" s="3">
        <v>391.14130549995201</v>
      </c>
      <c r="H665" s="3">
        <v>412.24645259418611</v>
      </c>
      <c r="I665" s="3">
        <v>452.56433400220027</v>
      </c>
      <c r="J665" s="23">
        <v>44372</v>
      </c>
      <c r="K665" s="24">
        <v>175.33333333333334</v>
      </c>
      <c r="L665" s="24">
        <v>82.154166666666654</v>
      </c>
      <c r="M665" s="24">
        <v>23.306250000000002</v>
      </c>
      <c r="N665" s="24">
        <v>0</v>
      </c>
      <c r="O665" s="24">
        <v>225.58333333333334</v>
      </c>
      <c r="P665" s="24">
        <v>6.666666666666667</v>
      </c>
      <c r="Q665" s="24">
        <v>0.41666666666666669</v>
      </c>
      <c r="R665" s="24">
        <v>19.962500000000002</v>
      </c>
      <c r="S665" s="10">
        <v>0.5568939793338572</v>
      </c>
      <c r="T665" s="25">
        <v>0.30485416666666676</v>
      </c>
      <c r="U665" s="25">
        <v>0.37424999999999997</v>
      </c>
      <c r="V665" s="25">
        <v>0.44050000000000028</v>
      </c>
      <c r="W665" s="25">
        <v>0.46039583333333317</v>
      </c>
      <c r="X665" s="25">
        <v>0.47779166666666661</v>
      </c>
      <c r="Y665" s="25">
        <v>0.3757291666666665</v>
      </c>
      <c r="Z665" s="25">
        <v>0.3662083333333333</v>
      </c>
      <c r="AA665" s="25">
        <v>0.32452083333333331</v>
      </c>
      <c r="AB665" s="25">
        <v>0.37006451612903224</v>
      </c>
      <c r="AC665" s="25">
        <v>0.23962962962962966</v>
      </c>
      <c r="AD665" s="25">
        <v>0.41433333333333344</v>
      </c>
      <c r="AE665" s="27">
        <f t="shared" si="37"/>
        <v>0.39132291666666669</v>
      </c>
      <c r="AF665" s="27">
        <f t="shared" si="38"/>
        <v>0.3902673611111111</v>
      </c>
      <c r="AG665" s="27">
        <f t="shared" si="39"/>
        <v>0.39045928030303034</v>
      </c>
    </row>
    <row r="666" spans="1:33" x14ac:dyDescent="0.25">
      <c r="A666" s="9">
        <v>44373</v>
      </c>
      <c r="B666" s="3">
        <v>124.46369623799995</v>
      </c>
      <c r="C666" s="3">
        <v>165.27240690182396</v>
      </c>
      <c r="D666" s="3">
        <v>403.62176788526108</v>
      </c>
      <c r="E666" s="3">
        <v>646.7457837063057</v>
      </c>
      <c r="F666" s="3">
        <v>394.75780447924399</v>
      </c>
      <c r="G666" s="3">
        <v>362.377848118418</v>
      </c>
      <c r="H666" s="3">
        <v>377.70718758621109</v>
      </c>
      <c r="I666" s="3">
        <v>399.74146806178408</v>
      </c>
      <c r="J666" s="23">
        <v>44373</v>
      </c>
      <c r="K666" s="24">
        <v>166.27083333333334</v>
      </c>
      <c r="L666" s="24">
        <v>84.437500000000028</v>
      </c>
      <c r="M666" s="24">
        <v>23.3125</v>
      </c>
      <c r="N666" s="24">
        <v>0.89999999999999991</v>
      </c>
      <c r="O666" s="24">
        <v>235.5</v>
      </c>
      <c r="P666" s="24">
        <v>9.1041666666666661</v>
      </c>
      <c r="Q666" s="24">
        <v>1.3333333333333333</v>
      </c>
      <c r="R666" s="24">
        <v>20.458333333333339</v>
      </c>
      <c r="S666" s="10">
        <v>0.48116569386094121</v>
      </c>
      <c r="T666" s="25">
        <v>0.29168750000000004</v>
      </c>
      <c r="U666" s="25">
        <v>0.37229166666666669</v>
      </c>
      <c r="V666" s="25">
        <v>0.43968749999999979</v>
      </c>
      <c r="W666" s="25">
        <v>0.45831250000000012</v>
      </c>
      <c r="X666" s="25">
        <v>0.47114583333333321</v>
      </c>
      <c r="Y666" s="25">
        <v>0.36381250000000015</v>
      </c>
      <c r="Z666" s="25">
        <v>0.36449999999999988</v>
      </c>
      <c r="AA666" s="25">
        <v>0.32185416666666683</v>
      </c>
      <c r="AB666" s="25">
        <v>0.35137142857142861</v>
      </c>
      <c r="AC666" s="25">
        <v>0.22252941176470592</v>
      </c>
      <c r="AD666" s="25">
        <v>0.36758333333333337</v>
      </c>
      <c r="AE666" s="27">
        <f t="shared" si="37"/>
        <v>0.38141666666666663</v>
      </c>
      <c r="AF666" s="27">
        <f t="shared" si="38"/>
        <v>0.38674305555555555</v>
      </c>
      <c r="AG666" s="27">
        <f t="shared" si="39"/>
        <v>0.38577462121212119</v>
      </c>
    </row>
    <row r="667" spans="1:33" x14ac:dyDescent="0.25">
      <c r="A667" s="9">
        <v>44374</v>
      </c>
      <c r="B667" s="3">
        <v>77.117066319599999</v>
      </c>
      <c r="C667" s="3">
        <v>124.33264812428223</v>
      </c>
      <c r="D667" s="3">
        <v>351.56709045848288</v>
      </c>
      <c r="E667" s="3">
        <v>590.05474643686762</v>
      </c>
      <c r="F667" s="3">
        <v>356.89530465356955</v>
      </c>
      <c r="G667" s="3">
        <v>305.92712285626936</v>
      </c>
      <c r="H667" s="3">
        <v>344.05789647621776</v>
      </c>
      <c r="I667" s="3">
        <v>293.26849200754339</v>
      </c>
      <c r="J667" s="23">
        <v>44374</v>
      </c>
      <c r="K667" s="24">
        <v>126.04166666666667</v>
      </c>
      <c r="L667" s="24">
        <v>83.981250000000003</v>
      </c>
      <c r="M667" s="24">
        <v>23.889583333333331</v>
      </c>
      <c r="N667" s="24">
        <v>0.2</v>
      </c>
      <c r="O667" s="24">
        <v>231.52083333333334</v>
      </c>
      <c r="P667" s="24">
        <v>6.833333333333333</v>
      </c>
      <c r="Q667" s="24">
        <v>0.66666666666666663</v>
      </c>
      <c r="R667" s="24">
        <v>20.958333333333332</v>
      </c>
      <c r="S667" s="10">
        <v>0.50149765947552705</v>
      </c>
      <c r="T667" s="25">
        <v>0.28031249999999996</v>
      </c>
      <c r="U667" s="25">
        <v>0.36856249999999996</v>
      </c>
      <c r="V667" s="25">
        <v>0.4376250000000001</v>
      </c>
      <c r="W667" s="25">
        <v>0.45508333333333328</v>
      </c>
      <c r="X667" s="25">
        <v>0.46427083333333297</v>
      </c>
      <c r="Y667" s="25">
        <v>0.3569583333333331</v>
      </c>
      <c r="Z667" s="25">
        <v>0.36172916666666649</v>
      </c>
      <c r="AA667" s="25">
        <v>0.3187500000000002</v>
      </c>
      <c r="AB667" s="25">
        <v>0.33142424242424251</v>
      </c>
      <c r="AC667" s="53">
        <f t="shared" ref="AC667:AC670" si="40">AD667*0.5711-0.0033</f>
        <v>0.18197435833333334</v>
      </c>
      <c r="AD667" s="25">
        <v>0.32441666666666663</v>
      </c>
      <c r="AE667" s="27">
        <f t="shared" si="37"/>
        <v>0.37229166666666647</v>
      </c>
      <c r="AF667" s="27">
        <f t="shared" si="38"/>
        <v>0.3831180555555555</v>
      </c>
      <c r="AG667" s="27">
        <f t="shared" si="39"/>
        <v>0.38114962121212115</v>
      </c>
    </row>
    <row r="668" spans="1:33" x14ac:dyDescent="0.25">
      <c r="A668" s="9">
        <v>44375</v>
      </c>
      <c r="B668" s="3">
        <v>59.359240756799998</v>
      </c>
      <c r="C668" s="3">
        <v>69.79203665611027</v>
      </c>
      <c r="D668" s="3">
        <v>149.60708842555604</v>
      </c>
      <c r="E668" s="3">
        <v>165.05169717175846</v>
      </c>
      <c r="F668" s="3">
        <v>82.262106817203787</v>
      </c>
      <c r="G668" s="3">
        <v>52.499551779298216</v>
      </c>
      <c r="H668" s="3">
        <v>153.35537197227185</v>
      </c>
      <c r="I668" s="3">
        <v>88.059677587977788</v>
      </c>
      <c r="J668" s="23">
        <v>44375</v>
      </c>
      <c r="K668" s="24">
        <v>95.708333333333329</v>
      </c>
      <c r="L668" s="24">
        <v>92.583333333333329</v>
      </c>
      <c r="M668" s="24">
        <v>21.214583333333341</v>
      </c>
      <c r="N668" s="24">
        <v>74.100000000000023</v>
      </c>
      <c r="O668" s="24">
        <v>249.75</v>
      </c>
      <c r="P668" s="24">
        <v>2.0416666666666665</v>
      </c>
      <c r="Q668" s="24">
        <v>4.1666666666666664E-2</v>
      </c>
      <c r="R668" s="24">
        <v>19.910416666666663</v>
      </c>
      <c r="S668" s="10">
        <v>0.20432607517798251</v>
      </c>
      <c r="T668" s="25">
        <v>0.45422916666666652</v>
      </c>
      <c r="U668" s="25">
        <v>0.51747916666666682</v>
      </c>
      <c r="V668" s="25">
        <v>0.57081249999999994</v>
      </c>
      <c r="W668" s="25">
        <v>0.59850000000000014</v>
      </c>
      <c r="X668" s="25">
        <v>0.60120833333333312</v>
      </c>
      <c r="Y668" s="25">
        <v>0.49093749999999997</v>
      </c>
      <c r="Z668" s="25">
        <v>0.46112500000000006</v>
      </c>
      <c r="AA668" s="25">
        <v>0.39602083333333343</v>
      </c>
      <c r="AB668" s="25">
        <v>0.47539285714285723</v>
      </c>
      <c r="AC668" s="53">
        <f t="shared" si="40"/>
        <v>0.27161326250000012</v>
      </c>
      <c r="AD668" s="25">
        <v>0.48137500000000016</v>
      </c>
      <c r="AE668" s="27">
        <f t="shared" si="37"/>
        <v>0.52771874999999979</v>
      </c>
      <c r="AF668" s="27">
        <f t="shared" si="38"/>
        <v>0.5058125</v>
      </c>
      <c r="AG668" s="27">
        <f t="shared" si="39"/>
        <v>0.5097954545454545</v>
      </c>
    </row>
    <row r="669" spans="1:33" x14ac:dyDescent="0.25">
      <c r="A669" s="9">
        <v>44376</v>
      </c>
      <c r="B669" s="3">
        <v>69.588386161199992</v>
      </c>
      <c r="C669" s="3">
        <v>129.52951893498451</v>
      </c>
      <c r="D669" s="3">
        <v>253.43431198374131</v>
      </c>
      <c r="E669" s="3">
        <v>208.75619074131578</v>
      </c>
      <c r="F669" s="3">
        <v>152.0985188554707</v>
      </c>
      <c r="G669" s="3">
        <v>113.52488675572276</v>
      </c>
      <c r="H669" s="3">
        <v>204.19701315039219</v>
      </c>
      <c r="I669" s="3">
        <v>194.17174967909293</v>
      </c>
      <c r="J669" s="23">
        <v>44376</v>
      </c>
      <c r="K669" s="24">
        <v>110.04166666666667</v>
      </c>
      <c r="L669" s="24">
        <v>92.610416666666666</v>
      </c>
      <c r="M669" s="24">
        <v>21.560416666666669</v>
      </c>
      <c r="N669" s="24">
        <v>13.899999999999999</v>
      </c>
      <c r="O669" s="24">
        <v>245.54166666666666</v>
      </c>
      <c r="P669" s="24">
        <v>0.6875</v>
      </c>
      <c r="Q669" s="24">
        <v>0</v>
      </c>
      <c r="R669" s="24">
        <v>20.243750000000002</v>
      </c>
      <c r="S669" s="10">
        <v>0.22089286690739973</v>
      </c>
      <c r="T669" s="25">
        <v>0.45208333333333334</v>
      </c>
      <c r="U669" s="25">
        <v>0.53595833333333365</v>
      </c>
      <c r="V669" s="25">
        <v>0.58493749999999967</v>
      </c>
      <c r="W669" s="25">
        <v>0.59668750000000026</v>
      </c>
      <c r="X669" s="25">
        <v>0.609375</v>
      </c>
      <c r="Y669" s="25">
        <v>0.49322916666666655</v>
      </c>
      <c r="Z669" s="25">
        <v>0.47616666666666702</v>
      </c>
      <c r="AA669" s="25">
        <v>0.41143750000000012</v>
      </c>
      <c r="AB669" s="25">
        <v>0.45411999999999991</v>
      </c>
      <c r="AC669" s="53">
        <f t="shared" si="40"/>
        <v>0.27735995625000004</v>
      </c>
      <c r="AD669" s="25">
        <v>0.49143750000000003</v>
      </c>
      <c r="AE669" s="27">
        <f t="shared" si="37"/>
        <v>0.5307291666666667</v>
      </c>
      <c r="AF669" s="27">
        <f t="shared" si="38"/>
        <v>0.51640277777777788</v>
      </c>
      <c r="AG669" s="27">
        <f t="shared" si="39"/>
        <v>0.51900757575757583</v>
      </c>
    </row>
    <row r="670" spans="1:33" x14ac:dyDescent="0.25">
      <c r="A670" s="9">
        <v>44377</v>
      </c>
      <c r="B670" s="3">
        <v>71.485216660799992</v>
      </c>
      <c r="C670" s="3">
        <v>100.36206967533046</v>
      </c>
      <c r="D670" s="3">
        <v>8.7052365951142647</v>
      </c>
      <c r="E670" s="3">
        <v>30.078630551444359</v>
      </c>
      <c r="F670" s="3">
        <v>113.37976065703971</v>
      </c>
      <c r="G670" s="3">
        <v>43.356450941234023</v>
      </c>
      <c r="H670" s="3">
        <v>70.000812230577708</v>
      </c>
      <c r="I670" s="3">
        <v>95.255268680047109</v>
      </c>
      <c r="J670" s="23">
        <v>44377</v>
      </c>
      <c r="K670" s="24">
        <v>80.25</v>
      </c>
      <c r="L670" s="24">
        <v>95.381250000000009</v>
      </c>
      <c r="M670" s="24">
        <v>20.954166666666662</v>
      </c>
      <c r="N670" s="24">
        <v>14.699999999999998</v>
      </c>
      <c r="O670" s="24">
        <v>162.16666666666666</v>
      </c>
      <c r="P670" s="24">
        <v>0.35416666666666669</v>
      </c>
      <c r="Q670" s="24">
        <v>0</v>
      </c>
      <c r="R670" s="24">
        <v>20.181249999999999</v>
      </c>
      <c r="S670" s="10">
        <v>0.11922090667953328</v>
      </c>
      <c r="T670" s="25">
        <v>0.49181250000000004</v>
      </c>
      <c r="U670" s="25">
        <v>0.56200000000000017</v>
      </c>
      <c r="V670" s="25">
        <v>0.60197916666666684</v>
      </c>
      <c r="W670" s="25">
        <v>0.62152083333333319</v>
      </c>
      <c r="X670" s="25">
        <v>0.62499999999999989</v>
      </c>
      <c r="Y670" s="25">
        <v>0.53187499999999988</v>
      </c>
      <c r="Z670" s="25">
        <v>0.49222916666666666</v>
      </c>
      <c r="AA670" s="25">
        <v>0.43454166666666655</v>
      </c>
      <c r="AB670" s="25">
        <v>0.47838461538461541</v>
      </c>
      <c r="AC670" s="53">
        <f t="shared" si="40"/>
        <v>0.29220855624999997</v>
      </c>
      <c r="AD670" s="25">
        <v>0.51743749999999999</v>
      </c>
      <c r="AE670" s="27">
        <f t="shared" si="37"/>
        <v>0.55840624999999999</v>
      </c>
      <c r="AF670" s="27">
        <f t="shared" si="38"/>
        <v>0.54069097222222229</v>
      </c>
      <c r="AG670" s="27">
        <f t="shared" si="39"/>
        <v>0.54391193181818187</v>
      </c>
    </row>
    <row r="671" spans="1:33" x14ac:dyDescent="0.25">
      <c r="A671" s="9">
        <v>44378</v>
      </c>
      <c r="B671" s="3">
        <v>63.191378971800006</v>
      </c>
      <c r="C671" s="3">
        <v>166.06433103625008</v>
      </c>
      <c r="D671" s="3">
        <v>487.57705993139103</v>
      </c>
      <c r="E671" s="3">
        <v>394.40846279398698</v>
      </c>
      <c r="F671" s="3">
        <v>354.73478880197075</v>
      </c>
      <c r="G671" s="3">
        <v>176.61313536416495</v>
      </c>
      <c r="H671" s="3">
        <v>262.65958609641217</v>
      </c>
      <c r="I671" s="3">
        <v>355.50808428951268</v>
      </c>
      <c r="J671" s="23">
        <v>44378</v>
      </c>
      <c r="K671" s="24">
        <v>192.25</v>
      </c>
      <c r="L671" s="24">
        <v>88.516666666666694</v>
      </c>
      <c r="M671" s="24">
        <v>22.481249999999999</v>
      </c>
      <c r="N671" s="24">
        <v>60.900000000000013</v>
      </c>
      <c r="O671" s="24">
        <v>257.16666666666669</v>
      </c>
      <c r="P671" s="24">
        <v>1.7083333333333333</v>
      </c>
      <c r="Q671" s="24">
        <v>2.0833333333333332E-2</v>
      </c>
      <c r="R671" s="24">
        <v>20.252083333333335</v>
      </c>
      <c r="S671" s="10">
        <v>0.4055857702446633</v>
      </c>
      <c r="T671" s="25">
        <v>0.49054166666666649</v>
      </c>
      <c r="U671" s="25">
        <v>0.55791666666666651</v>
      </c>
      <c r="V671" s="25">
        <v>0.60054166666666653</v>
      </c>
      <c r="W671" s="25">
        <v>0.61410416666666656</v>
      </c>
      <c r="X671" s="25">
        <v>0.62347916666666658</v>
      </c>
      <c r="Y671" s="25">
        <v>0.5345833333333333</v>
      </c>
      <c r="Z671" s="25">
        <v>0.49254166666666649</v>
      </c>
      <c r="AA671" s="25">
        <v>0.43239583333333331</v>
      </c>
      <c r="AB671" s="25">
        <v>0.47641935483870962</v>
      </c>
      <c r="AC671" s="25">
        <v>0.44771428571428562</v>
      </c>
      <c r="AD671" s="25">
        <v>0.5168124999999999</v>
      </c>
      <c r="AE671" s="27">
        <f t="shared" si="37"/>
        <v>0.55701041666666651</v>
      </c>
      <c r="AF671" s="27">
        <f t="shared" si="38"/>
        <v>0.5386805555555555</v>
      </c>
      <c r="AG671" s="27">
        <f t="shared" si="39"/>
        <v>0.54201325757575747</v>
      </c>
    </row>
    <row r="672" spans="1:33" x14ac:dyDescent="0.25">
      <c r="A672" s="9">
        <v>44379</v>
      </c>
      <c r="B672" s="3">
        <v>36.583710317999994</v>
      </c>
      <c r="C672" s="3">
        <v>90.042688070354643</v>
      </c>
      <c r="D672" s="3">
        <v>156.38784822014856</v>
      </c>
      <c r="E672" s="3">
        <v>71.40030658412293</v>
      </c>
      <c r="F672" s="3">
        <v>104.54719492301747</v>
      </c>
      <c r="G672" s="3">
        <v>39.314511686196845</v>
      </c>
      <c r="H672" s="3">
        <v>150.98004102185598</v>
      </c>
      <c r="I672" s="3">
        <v>98.761088370642156</v>
      </c>
      <c r="J672" s="23">
        <v>44379</v>
      </c>
      <c r="K672" s="24">
        <v>80.729166666666671</v>
      </c>
      <c r="L672" s="24">
        <v>95.008333333333368</v>
      </c>
      <c r="M672" s="24">
        <v>20.308333333333334</v>
      </c>
      <c r="N672" s="24">
        <v>32.299999999999997</v>
      </c>
      <c r="O672" s="24">
        <v>259.625</v>
      </c>
      <c r="P672" s="24">
        <v>1.3541666666666667</v>
      </c>
      <c r="Q672" s="24">
        <v>0</v>
      </c>
      <c r="R672" s="24">
        <v>19.458333333333332</v>
      </c>
      <c r="S672" s="10">
        <v>0.13147497943947309</v>
      </c>
      <c r="T672" s="25">
        <v>0.51114583333333341</v>
      </c>
      <c r="U672" s="25">
        <v>0.56945833333333318</v>
      </c>
      <c r="V672" s="25">
        <v>0.60910416666666667</v>
      </c>
      <c r="W672" s="25">
        <v>0.62660416666666641</v>
      </c>
      <c r="X672" s="25">
        <v>0.62760416666666652</v>
      </c>
      <c r="Y672" s="25">
        <v>0.54749999999999999</v>
      </c>
      <c r="Z672" s="25">
        <v>0.49652083333333324</v>
      </c>
      <c r="AA672" s="25">
        <v>0.44316666666666649</v>
      </c>
      <c r="AB672" s="25">
        <v>0.52049999999999996</v>
      </c>
      <c r="AC672" s="25">
        <v>0.41466666666666674</v>
      </c>
      <c r="AD672" s="25">
        <v>0.54358333333333309</v>
      </c>
      <c r="AE672" s="27">
        <f t="shared" si="37"/>
        <v>0.56937499999999996</v>
      </c>
      <c r="AF672" s="27">
        <f t="shared" si="38"/>
        <v>0.54872569444444441</v>
      </c>
      <c r="AG672" s="27">
        <f t="shared" si="39"/>
        <v>0.55248011363636362</v>
      </c>
    </row>
    <row r="673" spans="1:33" x14ac:dyDescent="0.25">
      <c r="A673" s="9">
        <v>44380</v>
      </c>
      <c r="B673" s="3">
        <v>39.82627144260001</v>
      </c>
      <c r="C673" s="3">
        <v>101.26153387904363</v>
      </c>
      <c r="D673" s="3">
        <v>123.48922219362815</v>
      </c>
      <c r="E673" s="3">
        <v>90.64382519993228</v>
      </c>
      <c r="F673" s="3">
        <v>129.25202531902343</v>
      </c>
      <c r="G673" s="3">
        <v>55.39213698308906</v>
      </c>
      <c r="H673" s="3">
        <v>130.00277381714145</v>
      </c>
      <c r="I673" s="3">
        <v>136.08007381778756</v>
      </c>
      <c r="J673" s="23">
        <v>44380</v>
      </c>
      <c r="K673" s="24">
        <v>80.125</v>
      </c>
      <c r="L673" s="24">
        <v>94.99166666666666</v>
      </c>
      <c r="M673" s="24">
        <v>20.066666666666666</v>
      </c>
      <c r="N673" s="24">
        <v>6.2</v>
      </c>
      <c r="O673" s="24">
        <v>261.625</v>
      </c>
      <c r="P673" s="24">
        <v>0.91666666666666663</v>
      </c>
      <c r="Q673" s="24">
        <v>2.0833333333333332E-2</v>
      </c>
      <c r="R673" s="24">
        <v>19.214583333333341</v>
      </c>
      <c r="S673" s="10">
        <v>0.12547018241287469</v>
      </c>
      <c r="T673" s="25">
        <v>0.50733333333333341</v>
      </c>
      <c r="U673" s="25">
        <v>0.56693749999999998</v>
      </c>
      <c r="V673" s="25">
        <v>0.60629166666666678</v>
      </c>
      <c r="W673" s="25">
        <v>0.62420833333333325</v>
      </c>
      <c r="X673" s="25">
        <v>0.62668749999999995</v>
      </c>
      <c r="Y673" s="25">
        <v>0.54466666666666652</v>
      </c>
      <c r="Z673" s="25">
        <v>0.49558333333333332</v>
      </c>
      <c r="AA673" s="25">
        <v>0.44199999999999995</v>
      </c>
      <c r="AB673" s="25">
        <v>0.5177708333333334</v>
      </c>
      <c r="AC673" s="25">
        <v>0.4048958333333334</v>
      </c>
      <c r="AD673" s="25">
        <v>0.5407708333333332</v>
      </c>
      <c r="AE673" s="27">
        <f t="shared" si="37"/>
        <v>0.56701041666666674</v>
      </c>
      <c r="AF673" s="27">
        <f t="shared" si="38"/>
        <v>0.54661458333333324</v>
      </c>
      <c r="AG673" s="27">
        <f t="shared" si="39"/>
        <v>0.55032291666666666</v>
      </c>
    </row>
    <row r="674" spans="1:33" x14ac:dyDescent="0.25">
      <c r="A674" s="9">
        <v>44381</v>
      </c>
      <c r="B674" s="3">
        <v>155.30090198940002</v>
      </c>
      <c r="C674" s="3">
        <v>173.24679564706574</v>
      </c>
      <c r="D674" s="3">
        <v>478.11902721031805</v>
      </c>
      <c r="E674" s="3">
        <v>423.17417011883424</v>
      </c>
      <c r="F674" s="3">
        <v>352.52543875090811</v>
      </c>
      <c r="G674" s="3">
        <v>357.17072195488646</v>
      </c>
      <c r="H674" s="3">
        <v>357.76303716706536</v>
      </c>
      <c r="I674" s="3">
        <v>445.34068539405524</v>
      </c>
      <c r="J674" s="23">
        <v>44381</v>
      </c>
      <c r="K674" s="24">
        <v>168.45833333333334</v>
      </c>
      <c r="L674" s="24">
        <v>87.966666666666683</v>
      </c>
      <c r="M674" s="24">
        <v>22.685416666666665</v>
      </c>
      <c r="N674" s="24">
        <v>1.4</v>
      </c>
      <c r="O674" s="24">
        <v>221.625</v>
      </c>
      <c r="P674" s="24">
        <v>5.3125</v>
      </c>
      <c r="Q674" s="24">
        <v>0.83333333333333337</v>
      </c>
      <c r="R674" s="24">
        <v>20.439583333333328</v>
      </c>
      <c r="S674" s="10">
        <v>0.39529987072719514</v>
      </c>
      <c r="T674" s="25">
        <v>0.46618749999999959</v>
      </c>
      <c r="U674" s="25">
        <v>0.54366666666666696</v>
      </c>
      <c r="V674" s="25">
        <v>0.59127083333333308</v>
      </c>
      <c r="W674" s="25">
        <v>0.60356250000000033</v>
      </c>
      <c r="X674" s="25">
        <v>0.61441666666666672</v>
      </c>
      <c r="Y674" s="25">
        <v>0.511354166666667</v>
      </c>
      <c r="Z674" s="25">
        <v>0.48231249999999976</v>
      </c>
      <c r="AA674" s="25">
        <v>0.41974999999999979</v>
      </c>
      <c r="AB674" s="25">
        <v>0.46714893617021236</v>
      </c>
      <c r="AC674" s="25">
        <v>0.30686111111111114</v>
      </c>
      <c r="AD674" s="25">
        <v>0.50189583333333332</v>
      </c>
      <c r="AE674" s="27">
        <f t="shared" si="37"/>
        <v>0.54030208333333318</v>
      </c>
      <c r="AF674" s="27">
        <f t="shared" si="38"/>
        <v>0.52531944444444445</v>
      </c>
      <c r="AG674" s="27">
        <f t="shared" si="39"/>
        <v>0.52804356060606061</v>
      </c>
    </row>
    <row r="675" spans="1:33" x14ac:dyDescent="0.25">
      <c r="A675" s="9">
        <v>44382</v>
      </c>
      <c r="B675" s="3">
        <v>185.11517983320002</v>
      </c>
      <c r="C675" s="3">
        <v>259.05933005265143</v>
      </c>
      <c r="D675" s="3">
        <v>495.91455306324031</v>
      </c>
      <c r="E675" s="3">
        <v>383.85004117966167</v>
      </c>
      <c r="F675" s="3">
        <v>366.52761283055901</v>
      </c>
      <c r="G675" s="3">
        <v>380.95043558611496</v>
      </c>
      <c r="H675" s="3">
        <v>343.37453962767626</v>
      </c>
      <c r="I675" s="3">
        <v>474.52958385680483</v>
      </c>
      <c r="J675" s="23">
        <v>44382</v>
      </c>
      <c r="K675" s="24">
        <v>148.20833333333334</v>
      </c>
      <c r="L675" s="24">
        <v>86.64791666666666</v>
      </c>
      <c r="M675" s="24">
        <v>23.274999999999995</v>
      </c>
      <c r="N675" s="24">
        <v>9</v>
      </c>
      <c r="O675" s="24">
        <v>227.97916666666666</v>
      </c>
      <c r="P675" s="24">
        <v>11.916666666666666</v>
      </c>
      <c r="Q675" s="24">
        <v>2.25</v>
      </c>
      <c r="R675" s="24">
        <v>20.868749999999995</v>
      </c>
      <c r="S675" s="10">
        <v>0.40131743328935388</v>
      </c>
      <c r="T675" s="25">
        <v>0.47883333333333306</v>
      </c>
      <c r="U675" s="25">
        <v>0.5529375000000003</v>
      </c>
      <c r="V675" s="25">
        <v>0.59750000000000025</v>
      </c>
      <c r="W675" s="25">
        <v>0.61304166666666693</v>
      </c>
      <c r="X675" s="25">
        <v>0.62258333333333316</v>
      </c>
      <c r="Y675" s="25">
        <v>0.52620833333333339</v>
      </c>
      <c r="Z675" s="25">
        <v>0.48720833333333341</v>
      </c>
      <c r="AA675" s="25">
        <v>0.42320833333333346</v>
      </c>
      <c r="AB675" s="25">
        <v>0.47564583333333327</v>
      </c>
      <c r="AC675" s="25">
        <v>0.30414285714285716</v>
      </c>
      <c r="AD675" s="25">
        <v>0.51291666666666658</v>
      </c>
      <c r="AE675" s="27">
        <f t="shared" si="37"/>
        <v>0.55070833333333313</v>
      </c>
      <c r="AF675" s="27">
        <f t="shared" si="38"/>
        <v>0.53335069444444472</v>
      </c>
      <c r="AG675" s="27">
        <f t="shared" si="39"/>
        <v>0.53650662878787903</v>
      </c>
    </row>
    <row r="676" spans="1:33" x14ac:dyDescent="0.25">
      <c r="A676" s="9">
        <v>44383</v>
      </c>
      <c r="B676" s="3">
        <v>219.31127878319995</v>
      </c>
      <c r="C676" s="3">
        <v>197.5393558308179</v>
      </c>
      <c r="D676" s="3">
        <v>541.18085772840834</v>
      </c>
      <c r="E676" s="3">
        <v>462.23113305633228</v>
      </c>
      <c r="F676" s="3">
        <v>439.50723443584116</v>
      </c>
      <c r="G676" s="3">
        <v>449.23983264711239</v>
      </c>
      <c r="H676" s="3">
        <v>329.25608366879311</v>
      </c>
      <c r="I676" s="3">
        <v>515.15702364437891</v>
      </c>
      <c r="J676" s="23">
        <v>44383</v>
      </c>
      <c r="K676" s="24">
        <v>154.70833333333334</v>
      </c>
      <c r="L676" s="24">
        <v>83.310416666666683</v>
      </c>
      <c r="M676" s="24">
        <v>23.258333333333336</v>
      </c>
      <c r="N676" s="24">
        <v>0.2</v>
      </c>
      <c r="O676" s="24">
        <v>225.83333333333334</v>
      </c>
      <c r="P676" s="24">
        <v>10.895833333333334</v>
      </c>
      <c r="Q676" s="24">
        <v>1.5</v>
      </c>
      <c r="R676" s="24">
        <v>20.191666666666666</v>
      </c>
      <c r="S676" s="10">
        <v>0.50286529046205908</v>
      </c>
      <c r="T676" s="25">
        <v>0.45147916666666649</v>
      </c>
      <c r="U676" s="25">
        <v>0.53533333333333333</v>
      </c>
      <c r="V676" s="25">
        <v>0.58649999999999991</v>
      </c>
      <c r="W676" s="25">
        <v>0.60008333333333364</v>
      </c>
      <c r="X676" s="25">
        <v>0.61143750000000019</v>
      </c>
      <c r="Y676" s="25">
        <v>0.50445833333333356</v>
      </c>
      <c r="Z676" s="25">
        <v>0.47935416666666647</v>
      </c>
      <c r="AA676" s="25">
        <v>0.41402083333333356</v>
      </c>
      <c r="AB676" s="25">
        <v>0.45700000000000035</v>
      </c>
      <c r="AC676" s="25">
        <v>0.27999999999999997</v>
      </c>
      <c r="AD676" s="25">
        <v>0.47858333333333319</v>
      </c>
      <c r="AE676" s="27">
        <f t="shared" si="37"/>
        <v>0.53145833333333337</v>
      </c>
      <c r="AF676" s="27">
        <f t="shared" si="38"/>
        <v>0.51995833333333341</v>
      </c>
      <c r="AG676" s="27">
        <f t="shared" si="39"/>
        <v>0.52204924242424255</v>
      </c>
    </row>
    <row r="677" spans="1:33" x14ac:dyDescent="0.25">
      <c r="A677" s="9">
        <v>44384</v>
      </c>
      <c r="B677" s="3">
        <v>235.43602649459996</v>
      </c>
      <c r="C677" s="3">
        <v>271.90449366265307</v>
      </c>
      <c r="D677" s="3">
        <v>651.69973896039073</v>
      </c>
      <c r="E677" s="3">
        <v>531.57023068441674</v>
      </c>
      <c r="F677" s="3">
        <v>504.49072036711601</v>
      </c>
      <c r="G677" s="3">
        <v>533.94363624591517</v>
      </c>
      <c r="H677" s="3">
        <v>356.60016791082762</v>
      </c>
      <c r="I677" s="3">
        <v>584.24276956132655</v>
      </c>
      <c r="J677" s="23">
        <v>44384</v>
      </c>
      <c r="K677" s="24">
        <v>229.3125</v>
      </c>
      <c r="L677" s="24">
        <v>79.666666666666657</v>
      </c>
      <c r="M677" s="24">
        <v>23.897916666666664</v>
      </c>
      <c r="N677" s="24">
        <v>0</v>
      </c>
      <c r="O677" s="24">
        <v>222.1875</v>
      </c>
      <c r="P677" s="24">
        <v>5.6875</v>
      </c>
      <c r="Q677" s="24">
        <v>0.33333333333333331</v>
      </c>
      <c r="R677" s="24">
        <v>19.922916666666662</v>
      </c>
      <c r="S677" s="10">
        <v>0.69033696014073787</v>
      </c>
      <c r="T677" s="25">
        <v>0.43106249999999996</v>
      </c>
      <c r="U677" s="25">
        <v>0.5236249999999999</v>
      </c>
      <c r="V677" s="25">
        <v>0.57677083333333312</v>
      </c>
      <c r="W677" s="25">
        <v>0.59424999999999983</v>
      </c>
      <c r="X677" s="25">
        <v>0.60245833333333365</v>
      </c>
      <c r="Y677" s="25">
        <v>0.49304166666666654</v>
      </c>
      <c r="Z677" s="25">
        <v>0.47368750000000009</v>
      </c>
      <c r="AA677" s="25">
        <v>0.40877083333333347</v>
      </c>
      <c r="AB677" s="25">
        <v>0.44011627906976736</v>
      </c>
      <c r="AC677" s="25">
        <v>0.27116279069767435</v>
      </c>
      <c r="AD677" s="25">
        <v>0.448625</v>
      </c>
      <c r="AE677" s="27">
        <f t="shared" si="37"/>
        <v>0.51676041666666683</v>
      </c>
      <c r="AF677" s="27">
        <f t="shared" si="38"/>
        <v>0.51169097222222215</v>
      </c>
      <c r="AG677" s="27">
        <f t="shared" si="39"/>
        <v>0.51261268939393934</v>
      </c>
    </row>
    <row r="678" spans="1:33" s="50" customFormat="1" x14ac:dyDescent="0.25">
      <c r="A678" s="44">
        <v>44385</v>
      </c>
      <c r="B678" s="45">
        <v>149.667093126</v>
      </c>
      <c r="C678" s="45">
        <v>147.90854965669172</v>
      </c>
      <c r="D678" s="45">
        <v>444.6140970636398</v>
      </c>
      <c r="E678" s="45">
        <v>379.07819153871208</v>
      </c>
      <c r="F678" s="45">
        <v>292.83426640286393</v>
      </c>
      <c r="G678" s="45">
        <v>326.80052621908544</v>
      </c>
      <c r="H678" s="45">
        <v>236.20256179246957</v>
      </c>
      <c r="I678" s="45">
        <v>396.91010799165599</v>
      </c>
      <c r="J678" s="46">
        <v>44385</v>
      </c>
      <c r="K678" s="47">
        <v>143.85416666666666</v>
      </c>
      <c r="L678" s="47">
        <v>84.754166666666663</v>
      </c>
      <c r="M678" s="47">
        <v>22.270833333333332</v>
      </c>
      <c r="N678" s="47">
        <v>0.2</v>
      </c>
      <c r="O678" s="47">
        <v>222</v>
      </c>
      <c r="P678" s="47">
        <v>6.416666666666667</v>
      </c>
      <c r="Q678" s="47">
        <v>0.6875</v>
      </c>
      <c r="R678" s="47">
        <v>19.516666666666669</v>
      </c>
      <c r="S678" s="48">
        <v>0.43509291928196564</v>
      </c>
      <c r="T678" s="49">
        <v>0.40745833333333342</v>
      </c>
      <c r="U678" s="49">
        <v>0.51200000000000012</v>
      </c>
      <c r="V678" s="49">
        <v>0.56583333333333352</v>
      </c>
      <c r="W678" s="49">
        <v>0.58831249999999946</v>
      </c>
      <c r="X678" s="49">
        <v>0.59229166666666677</v>
      </c>
      <c r="Y678" s="49">
        <v>0.4812083333333334</v>
      </c>
      <c r="Z678" s="49">
        <v>0.4672708333333333</v>
      </c>
      <c r="AA678" s="49">
        <v>0.40318750000000003</v>
      </c>
      <c r="AB678" s="49">
        <v>0.42160416666666672</v>
      </c>
      <c r="AC678" s="49">
        <v>0.25054166666666683</v>
      </c>
      <c r="AD678" s="49">
        <v>0.41972916666666671</v>
      </c>
      <c r="AE678" s="51">
        <f t="shared" si="37"/>
        <v>0.49987500000000007</v>
      </c>
      <c r="AF678" s="51">
        <f t="shared" si="38"/>
        <v>0.50296875000000008</v>
      </c>
      <c r="AG678" s="51">
        <f t="shared" si="39"/>
        <v>0.50240625000000005</v>
      </c>
    </row>
    <row r="679" spans="1:33" x14ac:dyDescent="0.25">
      <c r="A679" s="9">
        <v>44386</v>
      </c>
      <c r="B679" s="3">
        <v>181.3876736094</v>
      </c>
      <c r="C679" s="3">
        <v>230.38701705464231</v>
      </c>
      <c r="D679" s="3">
        <v>669.63104291738603</v>
      </c>
      <c r="E679" s="3">
        <v>574.27587538383091</v>
      </c>
      <c r="F679" s="3">
        <v>411.77000337469241</v>
      </c>
      <c r="G679" s="3">
        <v>490.04462302241228</v>
      </c>
      <c r="H679" s="3">
        <v>363.45665010647673</v>
      </c>
      <c r="I679" s="3">
        <v>540.38217999726248</v>
      </c>
      <c r="J679" s="23">
        <v>44386</v>
      </c>
      <c r="K679" s="24">
        <v>235.8125</v>
      </c>
      <c r="L679" s="24">
        <v>81.358333333333334</v>
      </c>
      <c r="M679" s="24">
        <v>22.695833333333329</v>
      </c>
      <c r="N679" s="24">
        <v>0.4</v>
      </c>
      <c r="O679" s="24">
        <v>233.52083333333334</v>
      </c>
      <c r="P679" s="24">
        <v>12.479166666666666</v>
      </c>
      <c r="Q679" s="24">
        <v>1.625</v>
      </c>
      <c r="R679" s="24">
        <v>19.195833333333322</v>
      </c>
      <c r="S679" s="10">
        <v>0.5633741847165129</v>
      </c>
      <c r="T679" s="25">
        <v>0.38339583333333338</v>
      </c>
      <c r="U679" s="25">
        <v>0.50099999999999989</v>
      </c>
      <c r="V679" s="25">
        <v>0.55445833333333383</v>
      </c>
      <c r="W679" s="25">
        <v>0.58206249999999982</v>
      </c>
      <c r="X679" s="25">
        <v>0.58095833333333369</v>
      </c>
      <c r="Y679" s="25">
        <v>0.47020833333333312</v>
      </c>
      <c r="Z679" s="25">
        <v>0.46110416666666637</v>
      </c>
      <c r="AA679" s="25">
        <v>0.39791666666666675</v>
      </c>
      <c r="AB679" s="25">
        <v>0.40928571428571431</v>
      </c>
      <c r="AC679" s="25">
        <v>0.23848275862068974</v>
      </c>
      <c r="AD679" s="25">
        <v>0.39158333333333317</v>
      </c>
      <c r="AE679" s="27">
        <f t="shared" si="37"/>
        <v>0.48217708333333353</v>
      </c>
      <c r="AF679" s="27">
        <f t="shared" si="38"/>
        <v>0.49445833333333322</v>
      </c>
      <c r="AG679" s="27">
        <f t="shared" si="39"/>
        <v>0.49222537878787875</v>
      </c>
    </row>
    <row r="680" spans="1:33" x14ac:dyDescent="0.25">
      <c r="A680" s="9">
        <v>44387</v>
      </c>
      <c r="B680" s="3">
        <v>236.61603705959996</v>
      </c>
      <c r="C680" s="3">
        <v>269.00149589702676</v>
      </c>
      <c r="D680" s="3">
        <v>734.7411447808214</v>
      </c>
      <c r="E680" s="3">
        <v>665.91468417714759</v>
      </c>
      <c r="F680" s="3">
        <v>480.26357936671707</v>
      </c>
      <c r="G680" s="3">
        <v>552.92713848905396</v>
      </c>
      <c r="H680" s="3">
        <v>407.68384761581507</v>
      </c>
      <c r="I680" s="3">
        <v>529.26487062197839</v>
      </c>
      <c r="J680" s="23">
        <v>44387</v>
      </c>
      <c r="K680" s="24">
        <v>271.625</v>
      </c>
      <c r="L680" s="24">
        <v>76.418750000000017</v>
      </c>
      <c r="M680" s="24">
        <v>23.360416666666666</v>
      </c>
      <c r="N680" s="24">
        <v>0</v>
      </c>
      <c r="O680" s="24">
        <v>225.375</v>
      </c>
      <c r="P680" s="24">
        <v>17.333333333333332</v>
      </c>
      <c r="Q680" s="24">
        <v>3.375</v>
      </c>
      <c r="R680" s="24">
        <v>18.814583333333335</v>
      </c>
      <c r="S680" s="10">
        <v>0.7360902906261716</v>
      </c>
      <c r="T680" s="25">
        <v>0.34804166666666675</v>
      </c>
      <c r="U680" s="25">
        <v>0.48337500000000011</v>
      </c>
      <c r="V680" s="25">
        <v>0.53545833333333326</v>
      </c>
      <c r="W680" s="25">
        <v>0.56945833333333307</v>
      </c>
      <c r="X680" s="25">
        <v>0.56387500000000002</v>
      </c>
      <c r="Y680" s="25">
        <v>0.45120833333333343</v>
      </c>
      <c r="Z680" s="25">
        <v>0.44756250000000009</v>
      </c>
      <c r="AA680" s="25">
        <v>0.38845833333333329</v>
      </c>
      <c r="AB680" s="25">
        <v>0.38886666666666669</v>
      </c>
      <c r="AC680" s="25">
        <v>0.20036842105263156</v>
      </c>
      <c r="AD680" s="25">
        <v>0.34500000000000003</v>
      </c>
      <c r="AE680" s="27">
        <f t="shared" si="37"/>
        <v>0.45595833333333335</v>
      </c>
      <c r="AF680" s="27">
        <f t="shared" si="38"/>
        <v>0.47925347222222214</v>
      </c>
      <c r="AG680" s="27">
        <f t="shared" si="39"/>
        <v>0.47501799242424236</v>
      </c>
    </row>
    <row r="681" spans="1:33" x14ac:dyDescent="0.25">
      <c r="A681" s="9">
        <v>44388</v>
      </c>
      <c r="B681" s="3">
        <v>208.65528715320005</v>
      </c>
      <c r="C681" s="3">
        <v>264.57463501782229</v>
      </c>
      <c r="D681" s="3">
        <v>699.76516216349114</v>
      </c>
      <c r="E681" s="3">
        <v>654.62359251331702</v>
      </c>
      <c r="F681" s="3">
        <v>452.68239371099509</v>
      </c>
      <c r="G681" s="3">
        <v>566.71212908257223</v>
      </c>
      <c r="H681" s="3">
        <v>397.19376009041514</v>
      </c>
      <c r="I681" s="3">
        <v>457.43157933994212</v>
      </c>
      <c r="J681" s="23">
        <v>44388</v>
      </c>
      <c r="K681" s="24">
        <v>266.02083333333331</v>
      </c>
      <c r="L681" s="24">
        <v>74.733333333333334</v>
      </c>
      <c r="M681" s="24">
        <v>23.618750000000002</v>
      </c>
      <c r="N681" s="24">
        <v>0</v>
      </c>
      <c r="O681" s="24">
        <v>225.97916666666666</v>
      </c>
      <c r="P681" s="24">
        <v>15.395833333333334</v>
      </c>
      <c r="Q681" s="24">
        <v>2.6875</v>
      </c>
      <c r="R681" s="24">
        <v>18.783333333333335</v>
      </c>
      <c r="S681" s="10">
        <v>0.77934554577110016</v>
      </c>
      <c r="T681" s="25">
        <v>0.31481250000000011</v>
      </c>
      <c r="U681" s="25">
        <v>0.46095833333333358</v>
      </c>
      <c r="V681" s="25">
        <v>0.51341666666666652</v>
      </c>
      <c r="W681" s="25">
        <v>0.55066666666666686</v>
      </c>
      <c r="X681" s="25">
        <v>0.54156249999999995</v>
      </c>
      <c r="Y681" s="25">
        <v>0.42631250000000004</v>
      </c>
      <c r="Z681" s="25">
        <v>0.42897916666666663</v>
      </c>
      <c r="AA681" s="25">
        <v>0.37547916666666664</v>
      </c>
      <c r="AB681" s="25">
        <v>0.35682051282051275</v>
      </c>
      <c r="AC681" s="25">
        <v>0.17494999999999999</v>
      </c>
      <c r="AD681" s="25">
        <v>0.29414583333333338</v>
      </c>
      <c r="AE681" s="27">
        <f t="shared" si="37"/>
        <v>0.42818750000000005</v>
      </c>
      <c r="AF681" s="27">
        <f t="shared" si="38"/>
        <v>0.45930208333333339</v>
      </c>
      <c r="AG681" s="27">
        <f t="shared" si="39"/>
        <v>0.45364488636363642</v>
      </c>
    </row>
    <row r="682" spans="1:33" x14ac:dyDescent="0.25">
      <c r="A682" s="9">
        <v>44389</v>
      </c>
      <c r="B682" s="3">
        <v>188.22239267219999</v>
      </c>
      <c r="C682" s="3">
        <v>256.61340893945146</v>
      </c>
      <c r="D682" s="3">
        <v>636.01963373919443</v>
      </c>
      <c r="E682" s="3">
        <v>695.59998571955384</v>
      </c>
      <c r="F682" s="3">
        <v>455.30778566786489</v>
      </c>
      <c r="G682" s="3">
        <v>488.97389467303486</v>
      </c>
      <c r="H682" s="3">
        <v>382.64562997313715</v>
      </c>
      <c r="I682" s="3">
        <v>471.22943831752178</v>
      </c>
      <c r="J682" s="23">
        <v>44389</v>
      </c>
      <c r="K682" s="24">
        <v>284.125</v>
      </c>
      <c r="L682" s="24">
        <v>75.810416666666711</v>
      </c>
      <c r="M682" s="24">
        <v>24.489583333333332</v>
      </c>
      <c r="N682" s="24">
        <v>0</v>
      </c>
      <c r="O682" s="24">
        <v>229.125</v>
      </c>
      <c r="P682" s="24">
        <v>14.583333333333334</v>
      </c>
      <c r="Q682" s="24">
        <v>2.375</v>
      </c>
      <c r="R682" s="24">
        <v>19.760416666666668</v>
      </c>
      <c r="S682" s="10">
        <v>0.82395965576254293</v>
      </c>
      <c r="T682" s="25">
        <v>0.29216666666666674</v>
      </c>
      <c r="U682" s="25">
        <v>0.43812499999999993</v>
      </c>
      <c r="V682" s="25">
        <v>0.49308333333333348</v>
      </c>
      <c r="W682" s="25">
        <v>0.52920833333333339</v>
      </c>
      <c r="X682" s="25">
        <v>0.51993750000000027</v>
      </c>
      <c r="Y682" s="25">
        <v>0.40127083333333352</v>
      </c>
      <c r="Z682" s="25">
        <v>0.40918749999999976</v>
      </c>
      <c r="AA682" s="25">
        <v>0.36133333333333328</v>
      </c>
      <c r="AB682" s="25">
        <v>0.3222916666666667</v>
      </c>
      <c r="AC682" s="25">
        <v>0.15786111111111109</v>
      </c>
      <c r="AD682" s="25">
        <v>0.26239583333333338</v>
      </c>
      <c r="AE682" s="27">
        <f t="shared" si="37"/>
        <v>0.40605208333333354</v>
      </c>
      <c r="AF682" s="27">
        <f t="shared" si="38"/>
        <v>0.43870138888888882</v>
      </c>
      <c r="AG682" s="27">
        <f t="shared" si="39"/>
        <v>0.43276515151515149</v>
      </c>
    </row>
    <row r="683" spans="1:33" x14ac:dyDescent="0.25">
      <c r="A683" s="9">
        <v>44390</v>
      </c>
      <c r="B683" s="3">
        <v>145.91058100200001</v>
      </c>
      <c r="C683" s="3">
        <v>199.76212834435279</v>
      </c>
      <c r="D683" s="3">
        <v>541.65074607414033</v>
      </c>
      <c r="E683" s="3">
        <v>607.32209305127617</v>
      </c>
      <c r="F683" s="3">
        <v>411.58984500402994</v>
      </c>
      <c r="G683" s="3">
        <v>341.70982555021772</v>
      </c>
      <c r="H683" s="3">
        <v>360.95843356469396</v>
      </c>
      <c r="I683" s="3">
        <v>392.34770367524311</v>
      </c>
      <c r="J683" s="23">
        <v>44390</v>
      </c>
      <c r="K683" s="24">
        <v>205.39583333333334</v>
      </c>
      <c r="L683" s="24">
        <v>77.229166666666686</v>
      </c>
      <c r="M683" s="24">
        <v>24.612500000000001</v>
      </c>
      <c r="N683" s="24">
        <v>0</v>
      </c>
      <c r="O683" s="24">
        <v>229.77083333333334</v>
      </c>
      <c r="P683" s="24">
        <v>10.1875</v>
      </c>
      <c r="Q683" s="24">
        <v>0.97916666666666663</v>
      </c>
      <c r="R683" s="24">
        <v>20.268749999999997</v>
      </c>
      <c r="S683" s="10">
        <v>0.75309228552959884</v>
      </c>
      <c r="T683" s="25">
        <v>0.27691666666666681</v>
      </c>
      <c r="U683" s="25">
        <v>0.41470833333333323</v>
      </c>
      <c r="V683" s="25">
        <v>0.47483333333333344</v>
      </c>
      <c r="W683" s="25">
        <v>0.50731249999999983</v>
      </c>
      <c r="X683" s="25">
        <v>0.50093749999999992</v>
      </c>
      <c r="Y683" s="25">
        <v>0.38049999999999984</v>
      </c>
      <c r="Z683" s="25">
        <v>0.39083333333333359</v>
      </c>
      <c r="AA683" s="25">
        <v>0.34735416666666663</v>
      </c>
      <c r="AB683" s="25">
        <v>0.28625</v>
      </c>
      <c r="AC683" s="25">
        <v>0.14441666666666664</v>
      </c>
      <c r="AD683" s="25">
        <v>0.24462500000000012</v>
      </c>
      <c r="AE683" s="27">
        <f t="shared" si="37"/>
        <v>0.38892708333333337</v>
      </c>
      <c r="AF683" s="27">
        <f t="shared" si="38"/>
        <v>0.41925694444444445</v>
      </c>
      <c r="AG683" s="27">
        <f t="shared" si="39"/>
        <v>0.4137424242424243</v>
      </c>
    </row>
    <row r="684" spans="1:33" x14ac:dyDescent="0.25">
      <c r="A684" s="9">
        <v>44391</v>
      </c>
      <c r="B684" s="3">
        <v>163.91074134960002</v>
      </c>
      <c r="C684" s="3">
        <v>201.00654489365448</v>
      </c>
      <c r="D684" s="3">
        <v>511.13079382726414</v>
      </c>
      <c r="E684" s="3">
        <v>668.98552820315263</v>
      </c>
      <c r="F684" s="3">
        <v>443.81823623991698</v>
      </c>
      <c r="G684" s="3">
        <v>352.67185785446821</v>
      </c>
      <c r="H684" s="3">
        <v>385.67460148658273</v>
      </c>
      <c r="I684" s="3">
        <v>433.99869006127165</v>
      </c>
      <c r="J684" s="23">
        <v>44391</v>
      </c>
      <c r="K684" s="24">
        <v>207.1875</v>
      </c>
      <c r="L684" s="24">
        <v>78.006250000000009</v>
      </c>
      <c r="M684" s="24">
        <v>24.762499999999992</v>
      </c>
      <c r="N684" s="24">
        <v>0</v>
      </c>
      <c r="O684" s="24">
        <v>230.25</v>
      </c>
      <c r="P684" s="24">
        <v>14.520833333333334</v>
      </c>
      <c r="Q684" s="24">
        <v>2.875</v>
      </c>
      <c r="R684" s="24">
        <v>20.564583333333335</v>
      </c>
      <c r="S684" s="10">
        <v>0.73484804383761426</v>
      </c>
      <c r="T684" s="25">
        <v>0.26666666666666655</v>
      </c>
      <c r="U684" s="25">
        <v>0.39443750000000005</v>
      </c>
      <c r="V684" s="25">
        <v>0.45989583333333356</v>
      </c>
      <c r="W684" s="25">
        <v>0.48695833333333322</v>
      </c>
      <c r="X684" s="25">
        <v>0.48381250000000015</v>
      </c>
      <c r="Y684" s="25">
        <v>0.36502083333333335</v>
      </c>
      <c r="Z684" s="25">
        <v>0.3758333333333333</v>
      </c>
      <c r="AA684" s="25">
        <v>0.3357291666666668</v>
      </c>
      <c r="AB684" s="25">
        <v>0.25520833333333337</v>
      </c>
      <c r="AC684" s="25">
        <v>0.13879999999999998</v>
      </c>
      <c r="AD684" s="25">
        <v>0.23470833333333332</v>
      </c>
      <c r="AE684" s="27">
        <f t="shared" si="37"/>
        <v>0.37523958333333335</v>
      </c>
      <c r="AF684" s="27">
        <f t="shared" si="38"/>
        <v>0.40297916666666672</v>
      </c>
      <c r="AG684" s="27">
        <f t="shared" si="39"/>
        <v>0.39793560606060613</v>
      </c>
    </row>
    <row r="685" spans="1:33" x14ac:dyDescent="0.25">
      <c r="A685" s="9">
        <v>44392</v>
      </c>
      <c r="B685" s="3">
        <v>164.82706021620004</v>
      </c>
      <c r="C685" s="3">
        <v>186.22880379533257</v>
      </c>
      <c r="D685" s="3">
        <v>463.49824163546106</v>
      </c>
      <c r="E685" s="3">
        <v>686.6023577648881</v>
      </c>
      <c r="F685" s="3">
        <v>430.88163131695467</v>
      </c>
      <c r="G685" s="3">
        <v>314.65865386048551</v>
      </c>
      <c r="H685" s="3">
        <v>360.74427923752148</v>
      </c>
      <c r="I685" s="2">
        <v>275.54658318562718</v>
      </c>
      <c r="J685" s="23">
        <v>44392</v>
      </c>
      <c r="K685" s="24">
        <v>208.39583333333334</v>
      </c>
      <c r="L685" s="24">
        <v>78.24166666666666</v>
      </c>
      <c r="M685" s="24">
        <v>24.089583333333334</v>
      </c>
      <c r="N685" s="24">
        <v>0</v>
      </c>
      <c r="O685" s="24">
        <v>228.39583333333334</v>
      </c>
      <c r="P685" s="24">
        <v>16.270833333333332</v>
      </c>
      <c r="Q685" s="24">
        <v>3.2291666666666665</v>
      </c>
      <c r="R685" s="24">
        <v>19.968750000000004</v>
      </c>
      <c r="S685" s="10">
        <v>0.69252270244538439</v>
      </c>
      <c r="T685" s="25">
        <v>0.25843750000000021</v>
      </c>
      <c r="U685" s="25">
        <v>0.37699999999999995</v>
      </c>
      <c r="V685" s="25">
        <v>0.4447291666666669</v>
      </c>
      <c r="W685" s="25">
        <v>0.4684374999999999</v>
      </c>
      <c r="X685" s="25">
        <v>0.46733333333333321</v>
      </c>
      <c r="Y685" s="25">
        <v>0.35252083333333339</v>
      </c>
      <c r="Z685" s="25">
        <v>0.36354166666666665</v>
      </c>
      <c r="AA685" s="25">
        <v>0.32487500000000014</v>
      </c>
      <c r="AB685" s="25">
        <v>0.23008333333333339</v>
      </c>
      <c r="AC685" s="25">
        <v>0.13416666666666666</v>
      </c>
      <c r="AD685" s="25">
        <v>0.22729166666666678</v>
      </c>
      <c r="AE685" s="27">
        <f t="shared" si="37"/>
        <v>0.36288541666666674</v>
      </c>
      <c r="AF685" s="27">
        <f t="shared" si="38"/>
        <v>0.38851736111111107</v>
      </c>
      <c r="AG685" s="27">
        <f t="shared" si="39"/>
        <v>0.38385700757575753</v>
      </c>
    </row>
    <row r="686" spans="1:33" s="50" customFormat="1" x14ac:dyDescent="0.25">
      <c r="A686" s="44">
        <v>44393</v>
      </c>
      <c r="B686" s="45">
        <v>138.242527956</v>
      </c>
      <c r="C686" s="45">
        <v>178.88360727834305</v>
      </c>
      <c r="D686" s="45">
        <v>360.78441766116669</v>
      </c>
      <c r="E686" s="45">
        <v>703.61003767022885</v>
      </c>
      <c r="F686" s="45">
        <v>429.31302422621576</v>
      </c>
      <c r="G686" s="45">
        <v>291.8043271807478</v>
      </c>
      <c r="H686" s="45">
        <v>351.69012426719752</v>
      </c>
      <c r="I686" s="52">
        <v>255.53304931218085</v>
      </c>
      <c r="J686" s="46">
        <v>44393</v>
      </c>
      <c r="K686" s="47">
        <v>208.375</v>
      </c>
      <c r="L686" s="47">
        <v>76.520833333333329</v>
      </c>
      <c r="M686" s="47">
        <v>24.106250000000003</v>
      </c>
      <c r="N686" s="47">
        <v>29.3</v>
      </c>
      <c r="O686" s="47">
        <v>232.16666666666666</v>
      </c>
      <c r="P686" s="47">
        <v>10.395833333333334</v>
      </c>
      <c r="Q686" s="47">
        <v>1.2708333333333333</v>
      </c>
      <c r="R686" s="47">
        <v>19.61666666666666</v>
      </c>
      <c r="S686" s="48">
        <v>0.75639031798874568</v>
      </c>
      <c r="T686" s="49">
        <v>0.25924999999999998</v>
      </c>
      <c r="U686" s="49">
        <v>0.36864583333333334</v>
      </c>
      <c r="V686" s="49">
        <v>0.43724999999999997</v>
      </c>
      <c r="W686" s="49">
        <v>0.45531250000000029</v>
      </c>
      <c r="X686" s="49">
        <v>0.45704166666666673</v>
      </c>
      <c r="Y686" s="49">
        <v>0.35114583333333343</v>
      </c>
      <c r="Z686" s="49">
        <v>0.35733333333333334</v>
      </c>
      <c r="AA686" s="49">
        <v>0.3165</v>
      </c>
      <c r="AB686" s="49">
        <v>0.22137499999999996</v>
      </c>
      <c r="AC686" s="49">
        <v>0.13</v>
      </c>
      <c r="AD686" s="49">
        <v>0.23435416666666661</v>
      </c>
      <c r="AE686" s="51">
        <f t="shared" si="37"/>
        <v>0.35814583333333339</v>
      </c>
      <c r="AF686" s="51">
        <f t="shared" si="38"/>
        <v>0.3810312500000001</v>
      </c>
      <c r="AG686" s="51">
        <f t="shared" si="39"/>
        <v>0.37687026515151528</v>
      </c>
    </row>
    <row r="687" spans="1:33" x14ac:dyDescent="0.25">
      <c r="A687" s="9">
        <v>44394</v>
      </c>
      <c r="B687" s="3">
        <v>52.589986678799995</v>
      </c>
      <c r="C687" s="3">
        <v>71.50661504163314</v>
      </c>
      <c r="D687" s="3">
        <v>216.96002441202626</v>
      </c>
      <c r="E687" s="3">
        <v>270.38783841634404</v>
      </c>
      <c r="F687" s="3">
        <v>131.29562744139153</v>
      </c>
      <c r="G687" s="3">
        <v>77.165020288595983</v>
      </c>
      <c r="H687" s="3">
        <v>164.34535245445559</v>
      </c>
      <c r="I687" s="2">
        <v>67.573408266723504</v>
      </c>
      <c r="J687" s="23">
        <v>44394</v>
      </c>
      <c r="K687" s="24">
        <v>114.39583333333333</v>
      </c>
      <c r="L687" s="24">
        <v>91.793750000000003</v>
      </c>
      <c r="M687" s="24">
        <v>20.747916666666669</v>
      </c>
      <c r="N687" s="24">
        <v>16.399999999999999</v>
      </c>
      <c r="O687" s="24">
        <v>133.8125</v>
      </c>
      <c r="P687" s="24">
        <v>1.25</v>
      </c>
      <c r="Q687" s="24">
        <v>2.0833333333333332E-2</v>
      </c>
      <c r="R687" s="24">
        <v>19.277083333333334</v>
      </c>
      <c r="S687" s="10">
        <v>0.24223084772215112</v>
      </c>
      <c r="T687" s="25">
        <v>0.3958750000000002</v>
      </c>
      <c r="U687" s="25">
        <v>0.4684583333333332</v>
      </c>
      <c r="V687" s="25">
        <v>0.5268541666666664</v>
      </c>
      <c r="W687" s="25">
        <v>0.5074375000000001</v>
      </c>
      <c r="X687" s="25">
        <v>0.51935416666666689</v>
      </c>
      <c r="Y687" s="25">
        <v>0.46147916666666672</v>
      </c>
      <c r="Z687" s="25">
        <v>0.43364583333333351</v>
      </c>
      <c r="AA687" s="25">
        <v>0.33950000000000008</v>
      </c>
      <c r="AB687" s="25">
        <v>0.43008333333333337</v>
      </c>
      <c r="AC687" s="25">
        <v>0.27500000000000002</v>
      </c>
      <c r="AD687" s="25">
        <v>0.46766666666666662</v>
      </c>
      <c r="AE687" s="27">
        <f t="shared" si="37"/>
        <v>0.45761458333333355</v>
      </c>
      <c r="AF687" s="27">
        <f t="shared" si="38"/>
        <v>0.45622916666666669</v>
      </c>
      <c r="AG687" s="27">
        <f t="shared" si="39"/>
        <v>0.45648106060606064</v>
      </c>
    </row>
    <row r="688" spans="1:33" x14ac:dyDescent="0.25">
      <c r="A688" s="9">
        <v>44395</v>
      </c>
      <c r="B688" s="3">
        <v>92.47544766</v>
      </c>
      <c r="C688" s="3">
        <v>87.088402927864749</v>
      </c>
      <c r="D688" s="3">
        <v>244.23535885618705</v>
      </c>
      <c r="E688" s="3">
        <v>381.29371297417225</v>
      </c>
      <c r="F688" s="3">
        <v>193.24214740373822</v>
      </c>
      <c r="G688" s="3">
        <v>104.24251438241814</v>
      </c>
      <c r="H688" s="3">
        <v>201.19402219385194</v>
      </c>
      <c r="I688" s="2">
        <v>91.285169844683566</v>
      </c>
      <c r="J688" s="23">
        <v>44395</v>
      </c>
      <c r="K688" s="24">
        <v>123.29166666666667</v>
      </c>
      <c r="L688" s="24">
        <v>90.770833333333357</v>
      </c>
      <c r="M688" s="24">
        <v>20.541666666666668</v>
      </c>
      <c r="N688" s="24">
        <v>19.099999999999994</v>
      </c>
      <c r="O688" s="24">
        <v>232.20833333333334</v>
      </c>
      <c r="P688" s="24">
        <v>3.2916666666666665</v>
      </c>
      <c r="Q688" s="24">
        <v>0.16666666666666666</v>
      </c>
      <c r="R688" s="24">
        <v>18.893750000000001</v>
      </c>
      <c r="S688" s="10">
        <v>0.25347894551006028</v>
      </c>
      <c r="T688" s="25">
        <v>0.46797916666666689</v>
      </c>
      <c r="U688" s="25">
        <v>0.54962500000000025</v>
      </c>
      <c r="V688" s="25">
        <v>0.5921875000000002</v>
      </c>
      <c r="W688" s="25">
        <v>0.61393750000000014</v>
      </c>
      <c r="X688" s="25">
        <v>0.57468749999999968</v>
      </c>
      <c r="Y688" s="25">
        <v>0.50852083333333342</v>
      </c>
      <c r="Z688" s="25">
        <v>0.46695833333333309</v>
      </c>
      <c r="AA688" s="25">
        <v>0.38437499999999986</v>
      </c>
      <c r="AB688" s="25">
        <v>0.46462500000000007</v>
      </c>
      <c r="AC688" s="25">
        <v>0.316</v>
      </c>
      <c r="AD688" s="25">
        <v>0.50395833333333329</v>
      </c>
      <c r="AE688" s="27">
        <f t="shared" si="37"/>
        <v>0.52133333333333332</v>
      </c>
      <c r="AF688" s="27">
        <f t="shared" si="38"/>
        <v>0.51926736111111105</v>
      </c>
      <c r="AG688" s="27">
        <f t="shared" si="39"/>
        <v>0.51964299242424228</v>
      </c>
    </row>
    <row r="689" spans="1:33" x14ac:dyDescent="0.25">
      <c r="A689" s="9">
        <v>44396</v>
      </c>
      <c r="B689" s="3">
        <v>105.56570055060003</v>
      </c>
      <c r="C689" s="3">
        <v>134.15515330010541</v>
      </c>
      <c r="D689" s="3">
        <v>359.4500866084876</v>
      </c>
      <c r="E689" s="3">
        <v>521.06608740814193</v>
      </c>
      <c r="F689" s="3">
        <v>337.39855939751322</v>
      </c>
      <c r="G689" s="3">
        <v>223.72397833342694</v>
      </c>
      <c r="H689" s="3">
        <v>314.16546158296751</v>
      </c>
      <c r="I689" s="2">
        <v>195.91508782658198</v>
      </c>
      <c r="J689" s="23">
        <v>44396</v>
      </c>
      <c r="K689" s="24">
        <v>167.10416666666666</v>
      </c>
      <c r="L689" s="24">
        <v>87.16249999999998</v>
      </c>
      <c r="M689" s="24">
        <v>21.170833333333338</v>
      </c>
      <c r="N689" s="24">
        <v>0.5</v>
      </c>
      <c r="O689" s="24">
        <v>224.6875</v>
      </c>
      <c r="P689" s="24">
        <v>2.3541666666666665</v>
      </c>
      <c r="Q689" s="24">
        <v>2.0833333333333332E-2</v>
      </c>
      <c r="R689" s="24">
        <v>18.802083333333332</v>
      </c>
      <c r="S689" s="10">
        <v>0.37782055820488242</v>
      </c>
      <c r="T689" s="25">
        <v>0.43706250000000019</v>
      </c>
      <c r="U689" s="25">
        <v>0.5331041666666666</v>
      </c>
      <c r="V689" s="25">
        <v>0.58364583333333331</v>
      </c>
      <c r="W689" s="25">
        <v>0.59781250000000019</v>
      </c>
      <c r="X689" s="25">
        <v>0.57427083333333317</v>
      </c>
      <c r="Y689" s="25">
        <v>0.49272916666666666</v>
      </c>
      <c r="Z689" s="25">
        <v>0.46841666666666693</v>
      </c>
      <c r="AA689" s="25">
        <v>0.40241666666666642</v>
      </c>
      <c r="AB689" s="25">
        <v>0.43927083333333344</v>
      </c>
      <c r="AC689" s="25">
        <v>0.27952380952380951</v>
      </c>
      <c r="AD689" s="25">
        <v>0.47322916666666637</v>
      </c>
      <c r="AE689" s="27">
        <f t="shared" si="37"/>
        <v>0.50566666666666671</v>
      </c>
      <c r="AF689" s="27">
        <f t="shared" si="38"/>
        <v>0.51302083333333337</v>
      </c>
      <c r="AG689" s="27">
        <f t="shared" si="39"/>
        <v>0.51168371212121211</v>
      </c>
    </row>
    <row r="690" spans="1:33" x14ac:dyDescent="0.25">
      <c r="A690" s="9">
        <v>44397</v>
      </c>
      <c r="B690" s="3">
        <v>98.668781632799991</v>
      </c>
      <c r="C690" s="3">
        <v>122.14948607870112</v>
      </c>
      <c r="D690" s="3">
        <v>308.80254900142478</v>
      </c>
      <c r="E690" s="3">
        <v>484.26409461563361</v>
      </c>
      <c r="F690" s="3">
        <v>360.83917550111653</v>
      </c>
      <c r="G690" s="3">
        <v>231.78620238194375</v>
      </c>
      <c r="H690" s="3">
        <v>298.16447144547669</v>
      </c>
      <c r="I690" s="2">
        <v>202.97517742586814</v>
      </c>
      <c r="J690" s="23">
        <v>44397</v>
      </c>
      <c r="K690" s="24">
        <v>176.14583333333334</v>
      </c>
      <c r="L690" s="24">
        <v>86.175000000000011</v>
      </c>
      <c r="M690" s="24">
        <v>22.041666666666661</v>
      </c>
      <c r="N690" s="24">
        <v>1.5999999999999999</v>
      </c>
      <c r="O690" s="24">
        <v>212.0625</v>
      </c>
      <c r="P690" s="24">
        <v>2.4791666666666665</v>
      </c>
      <c r="Q690" s="24">
        <v>4.1666666666666664E-2</v>
      </c>
      <c r="R690" s="24">
        <v>19.487499999999997</v>
      </c>
      <c r="S690" s="10">
        <v>0.42298313960141337</v>
      </c>
      <c r="T690" s="25">
        <v>0.418375</v>
      </c>
      <c r="U690" s="25">
        <v>0.52141666666666675</v>
      </c>
      <c r="V690" s="25">
        <v>0.57564583333333386</v>
      </c>
      <c r="W690" s="25">
        <v>0.59224999999999994</v>
      </c>
      <c r="X690" s="25">
        <v>0.56997916666666704</v>
      </c>
      <c r="Y690" s="25">
        <v>0.48322916666666638</v>
      </c>
      <c r="Z690" s="25">
        <v>0.46320833333333344</v>
      </c>
      <c r="AA690" s="25">
        <v>0.39881250000000001</v>
      </c>
      <c r="AB690" s="25">
        <v>0.43010416666666657</v>
      </c>
      <c r="AC690" s="25">
        <v>0.27102083333333338</v>
      </c>
      <c r="AD690" s="25">
        <v>0.45312500000000022</v>
      </c>
      <c r="AE690" s="27">
        <f t="shared" si="37"/>
        <v>0.49417708333333354</v>
      </c>
      <c r="AF690" s="27">
        <f t="shared" si="38"/>
        <v>0.50576041666666682</v>
      </c>
      <c r="AG690" s="27">
        <f t="shared" si="39"/>
        <v>0.50365435606060627</v>
      </c>
    </row>
    <row r="691" spans="1:33" x14ac:dyDescent="0.25">
      <c r="A691" s="9">
        <v>44398</v>
      </c>
      <c r="B691" s="3">
        <v>93.74462155259998</v>
      </c>
      <c r="C691" s="3">
        <v>118.20981321565932</v>
      </c>
      <c r="D691" s="3">
        <v>432.95669958576929</v>
      </c>
      <c r="E691" s="3">
        <v>608.47401472739125</v>
      </c>
      <c r="F691" s="3">
        <v>457.3097768166736</v>
      </c>
      <c r="G691" s="3">
        <v>330.26479895175771</v>
      </c>
      <c r="H691" s="3">
        <v>359.88909268052731</v>
      </c>
      <c r="I691" s="2">
        <v>289.21288444205425</v>
      </c>
      <c r="J691" s="23">
        <v>44398</v>
      </c>
      <c r="K691" s="24">
        <v>203.20833333333334</v>
      </c>
      <c r="L691" s="24">
        <v>83.212499999999991</v>
      </c>
      <c r="M691" s="24">
        <v>23.106249999999992</v>
      </c>
      <c r="N691" s="24">
        <v>5</v>
      </c>
      <c r="O691" s="24">
        <v>223.45833333333334</v>
      </c>
      <c r="P691" s="24">
        <v>2.8541666666666665</v>
      </c>
      <c r="Q691" s="24">
        <v>0.14583333333333334</v>
      </c>
      <c r="R691" s="24">
        <v>19.902083333333337</v>
      </c>
      <c r="S691" s="10">
        <v>0.5564031939848556</v>
      </c>
      <c r="T691" s="25">
        <v>0.40758333333333335</v>
      </c>
      <c r="U691" s="25">
        <v>0.51443750000000021</v>
      </c>
      <c r="V691" s="25">
        <v>0.56729166666666664</v>
      </c>
      <c r="W691" s="25">
        <v>0.58741666666666636</v>
      </c>
      <c r="X691" s="25">
        <v>0.57139583333333333</v>
      </c>
      <c r="Y691" s="25">
        <v>0.47866666666666696</v>
      </c>
      <c r="Z691" s="25">
        <v>0.45772916666666669</v>
      </c>
      <c r="AA691" s="25">
        <v>0.39468749999999986</v>
      </c>
      <c r="AB691" s="25">
        <v>0.43379166666666652</v>
      </c>
      <c r="AC691" s="25">
        <v>0.27716666666666673</v>
      </c>
      <c r="AD691" s="25">
        <v>0.45762500000000017</v>
      </c>
      <c r="AE691" s="27">
        <f t="shared" si="37"/>
        <v>0.48948958333333337</v>
      </c>
      <c r="AF691" s="27">
        <f t="shared" si="38"/>
        <v>0.50003819444444442</v>
      </c>
      <c r="AG691" s="27">
        <f t="shared" si="39"/>
        <v>0.49812026515151514</v>
      </c>
    </row>
    <row r="692" spans="1:33" x14ac:dyDescent="0.25">
      <c r="A692" s="9">
        <v>44399</v>
      </c>
      <c r="B692" s="3">
        <v>63.108415756800014</v>
      </c>
      <c r="C692" s="3">
        <v>96.951152225347926</v>
      </c>
      <c r="D692" s="3">
        <v>291.94205848810134</v>
      </c>
      <c r="E692" s="3">
        <v>448.8377914525031</v>
      </c>
      <c r="F692" s="3">
        <v>288.61128575318901</v>
      </c>
      <c r="G692" s="3">
        <v>236.28715644392454</v>
      </c>
      <c r="H692" s="3">
        <v>245.6315581295014</v>
      </c>
      <c r="I692" s="2">
        <v>206.91666289794472</v>
      </c>
      <c r="J692" s="23">
        <v>44399</v>
      </c>
      <c r="K692" s="24">
        <v>130.47916666666666</v>
      </c>
      <c r="L692" s="24">
        <v>87.068750000000023</v>
      </c>
      <c r="M692" s="24">
        <v>22.03958333333334</v>
      </c>
      <c r="N692" s="24">
        <v>0.2</v>
      </c>
      <c r="O692" s="24">
        <v>243.39583333333334</v>
      </c>
      <c r="P692" s="24">
        <v>1.7708333333333333</v>
      </c>
      <c r="Q692" s="24">
        <v>0.10416666666666667</v>
      </c>
      <c r="R692" s="24">
        <v>19.6875</v>
      </c>
      <c r="S692" s="10">
        <v>0.38782928637413061</v>
      </c>
      <c r="T692" s="25">
        <v>0.39677083333333324</v>
      </c>
      <c r="U692" s="25">
        <v>0.50845833333333301</v>
      </c>
      <c r="V692" s="25">
        <v>0.55877083333333311</v>
      </c>
      <c r="W692" s="25">
        <v>0.58224999999999927</v>
      </c>
      <c r="X692" s="25">
        <v>0.57062500000000049</v>
      </c>
      <c r="Y692" s="25">
        <v>0.47385416666666641</v>
      </c>
      <c r="Z692" s="25">
        <v>0.45166666666666694</v>
      </c>
      <c r="AA692" s="25">
        <v>0.38937500000000019</v>
      </c>
      <c r="AB692" s="25">
        <v>0.43512499999999998</v>
      </c>
      <c r="AC692" s="25">
        <v>0.27654166666666685</v>
      </c>
      <c r="AD692" s="25">
        <v>0.46241666666666653</v>
      </c>
      <c r="AE692" s="27">
        <f t="shared" si="37"/>
        <v>0.48369791666666684</v>
      </c>
      <c r="AF692" s="27">
        <f t="shared" si="38"/>
        <v>0.49406249999999985</v>
      </c>
      <c r="AG692" s="27">
        <f t="shared" si="39"/>
        <v>0.49217803030303026</v>
      </c>
    </row>
    <row r="693" spans="1:33" x14ac:dyDescent="0.25">
      <c r="A693" s="9">
        <v>44400</v>
      </c>
      <c r="B693" s="3">
        <v>17.602305404399999</v>
      </c>
      <c r="C693" s="3">
        <v>64.896459412237377</v>
      </c>
      <c r="D693" s="3">
        <v>140.24305837978397</v>
      </c>
      <c r="E693" s="3">
        <v>212.42739819264406</v>
      </c>
      <c r="F693" s="3">
        <v>158.72931714777889</v>
      </c>
      <c r="G693" s="3">
        <v>128.79046919904079</v>
      </c>
      <c r="H693" s="3">
        <v>127.06442096574757</v>
      </c>
      <c r="I693" s="2">
        <v>112.78181387760002</v>
      </c>
      <c r="J693" s="23">
        <v>44400</v>
      </c>
      <c r="K693" s="24">
        <v>83.6875</v>
      </c>
      <c r="L693" s="24">
        <v>92.710416666666688</v>
      </c>
      <c r="M693" s="24">
        <v>20.956250000000001</v>
      </c>
      <c r="N693" s="24">
        <v>7.7</v>
      </c>
      <c r="O693" s="24">
        <v>231.5</v>
      </c>
      <c r="P693" s="24">
        <v>0.9375</v>
      </c>
      <c r="Q693" s="24">
        <v>6.25E-2</v>
      </c>
      <c r="R693" s="24">
        <v>19.677083333333332</v>
      </c>
      <c r="S693" s="10">
        <v>0.20362557169737064</v>
      </c>
      <c r="T693" s="25">
        <v>0.38933333333333331</v>
      </c>
      <c r="U693" s="25">
        <v>0.50222916666666695</v>
      </c>
      <c r="V693" s="25">
        <v>0.55512499999999965</v>
      </c>
      <c r="W693" s="25">
        <v>0.57910416666666664</v>
      </c>
      <c r="X693" s="25">
        <v>0.56666666666666676</v>
      </c>
      <c r="Y693" s="25">
        <v>0.46858333333333335</v>
      </c>
      <c r="Z693" s="25">
        <v>0.4487500000000002</v>
      </c>
      <c r="AA693" s="25">
        <v>0.38649999999999979</v>
      </c>
      <c r="AB693" s="25">
        <v>0.44060416666666646</v>
      </c>
      <c r="AC693" s="25">
        <v>0.28566666666666662</v>
      </c>
      <c r="AD693" s="25">
        <v>0.46910416666666671</v>
      </c>
      <c r="AE693" s="27">
        <f t="shared" si="37"/>
        <v>0.47800000000000004</v>
      </c>
      <c r="AF693" s="27">
        <f t="shared" si="38"/>
        <v>0.49004861111111114</v>
      </c>
      <c r="AG693" s="27">
        <f t="shared" si="39"/>
        <v>0.48785795454545461</v>
      </c>
    </row>
    <row r="694" spans="1:33" s="50" customFormat="1" x14ac:dyDescent="0.25">
      <c r="A694" s="44">
        <v>44401</v>
      </c>
      <c r="B694" s="45">
        <v>42.010657745400003</v>
      </c>
      <c r="C694" s="45">
        <v>144.83370432552758</v>
      </c>
      <c r="D694" s="45">
        <v>281.25965069468612</v>
      </c>
      <c r="E694" s="45">
        <v>337.93375551874414</v>
      </c>
      <c r="F694" s="45">
        <v>228.10743999534031</v>
      </c>
      <c r="G694" s="45">
        <v>206.2474336717743</v>
      </c>
      <c r="H694" s="45">
        <v>220.89115308376307</v>
      </c>
      <c r="I694" s="52">
        <v>180.61087766637277</v>
      </c>
      <c r="J694" s="46">
        <v>44401</v>
      </c>
      <c r="K694" s="47">
        <v>140.3125</v>
      </c>
      <c r="L694" s="47">
        <v>90.766666666666652</v>
      </c>
      <c r="M694" s="47">
        <v>21.743750000000006</v>
      </c>
      <c r="N694" s="47">
        <v>2.2000000000000002</v>
      </c>
      <c r="O694" s="47">
        <v>224.20833333333334</v>
      </c>
      <c r="P694" s="47">
        <v>1.2083333333333333</v>
      </c>
      <c r="Q694" s="47">
        <v>4.1666666666666664E-2</v>
      </c>
      <c r="R694" s="47">
        <v>20.029166666666669</v>
      </c>
      <c r="S694" s="48">
        <v>0.29783973425677568</v>
      </c>
      <c r="T694" s="49">
        <v>0.38860416666666647</v>
      </c>
      <c r="U694" s="49">
        <v>0.49843749999999959</v>
      </c>
      <c r="V694" s="49">
        <v>0.55260416666666667</v>
      </c>
      <c r="W694" s="49">
        <v>0.57689583333333394</v>
      </c>
      <c r="X694" s="49">
        <v>0.57085416666666622</v>
      </c>
      <c r="Y694" s="49">
        <v>0.46364583333333348</v>
      </c>
      <c r="Z694" s="49">
        <v>0.44654166666666656</v>
      </c>
      <c r="AA694" s="49">
        <v>0.38506249999999992</v>
      </c>
      <c r="AB694" s="49">
        <v>0.45260416666666664</v>
      </c>
      <c r="AC694" s="49">
        <v>0.29633333333333328</v>
      </c>
      <c r="AD694" s="49">
        <v>0.48741666666666644</v>
      </c>
      <c r="AE694" s="51">
        <f t="shared" si="37"/>
        <v>0.47972916666666632</v>
      </c>
      <c r="AF694" s="51">
        <f t="shared" si="38"/>
        <v>0.48719791666666673</v>
      </c>
      <c r="AG694" s="51">
        <f t="shared" si="39"/>
        <v>0.48583996212121205</v>
      </c>
    </row>
    <row r="695" spans="1:33" x14ac:dyDescent="0.25">
      <c r="A695" s="9">
        <v>44402</v>
      </c>
      <c r="B695" s="3">
        <v>32.635506148199994</v>
      </c>
      <c r="C695" s="3">
        <v>120.11915780180766</v>
      </c>
      <c r="D695" s="3">
        <v>264.69668752211044</v>
      </c>
      <c r="E695" s="3">
        <v>352.43523633460472</v>
      </c>
      <c r="F695" s="3">
        <v>256.85569752346498</v>
      </c>
      <c r="G695" s="3">
        <v>229.18773547722856</v>
      </c>
      <c r="H695" s="3">
        <v>288.90287064508783</v>
      </c>
      <c r="I695" s="2">
        <v>200.69969995740905</v>
      </c>
      <c r="J695" s="23">
        <v>44402</v>
      </c>
      <c r="K695" s="24">
        <v>184.6875</v>
      </c>
      <c r="L695" s="24">
        <v>88.6875</v>
      </c>
      <c r="M695" s="24">
        <v>21.514583333333338</v>
      </c>
      <c r="N695" s="24">
        <v>7.1999999999999993</v>
      </c>
      <c r="O695" s="24">
        <v>224</v>
      </c>
      <c r="P695" s="24">
        <v>1.7708333333333333</v>
      </c>
      <c r="Q695" s="24">
        <v>6.25E-2</v>
      </c>
      <c r="R695" s="24">
        <v>19.450000000000006</v>
      </c>
      <c r="S695" s="10">
        <v>0.34405810248131052</v>
      </c>
      <c r="T695" s="25">
        <v>0.3807708333333335</v>
      </c>
      <c r="U695" s="25">
        <v>0.49481249999999993</v>
      </c>
      <c r="V695" s="25">
        <v>0.54722916666666677</v>
      </c>
      <c r="W695" s="25">
        <v>0.57181249999999972</v>
      </c>
      <c r="X695" s="25">
        <v>0.57437499999999975</v>
      </c>
      <c r="Y695" s="25">
        <v>0.46547916666666667</v>
      </c>
      <c r="Z695" s="25">
        <v>0.44233333333333369</v>
      </c>
      <c r="AA695" s="25">
        <v>0.38170833333333337</v>
      </c>
      <c r="AB695" s="25">
        <v>0.4550416666666664</v>
      </c>
      <c r="AC695" s="25">
        <v>0.29264285714285709</v>
      </c>
      <c r="AD695" s="25">
        <v>0.49108333333333332</v>
      </c>
      <c r="AE695" s="27">
        <f t="shared" si="37"/>
        <v>0.47757291666666662</v>
      </c>
      <c r="AF695" s="27">
        <f t="shared" si="38"/>
        <v>0.48389583333333347</v>
      </c>
      <c r="AG695" s="27">
        <f t="shared" si="39"/>
        <v>0.48274621212121216</v>
      </c>
    </row>
    <row r="696" spans="1:33" x14ac:dyDescent="0.25">
      <c r="A696" s="9">
        <v>44403</v>
      </c>
      <c r="B696" s="3">
        <v>65.925571354200017</v>
      </c>
      <c r="C696" s="3">
        <v>204.84869074901098</v>
      </c>
      <c r="D696" s="3">
        <v>407.974218450367</v>
      </c>
      <c r="E696" s="3">
        <v>572.64992212702577</v>
      </c>
      <c r="F696" s="3">
        <v>423.59622868944967</v>
      </c>
      <c r="G696" s="3">
        <v>414.75292078140581</v>
      </c>
      <c r="H696" s="3">
        <v>451.37847674305266</v>
      </c>
      <c r="I696" s="2">
        <v>363.19913272827705</v>
      </c>
      <c r="J696" s="23">
        <v>44403</v>
      </c>
      <c r="K696" s="24">
        <v>274.77083333333331</v>
      </c>
      <c r="L696" s="24">
        <v>83.200000000000017</v>
      </c>
      <c r="M696" s="24">
        <v>22.925000000000001</v>
      </c>
      <c r="N696" s="24">
        <v>12.1</v>
      </c>
      <c r="O696" s="24">
        <v>219.29166666666666</v>
      </c>
      <c r="P696" s="24">
        <v>2.3333333333333335</v>
      </c>
      <c r="Q696" s="24">
        <v>0.125</v>
      </c>
      <c r="R696" s="24">
        <v>19.529166666666665</v>
      </c>
      <c r="S696" s="10">
        <v>0.62618129312342552</v>
      </c>
      <c r="T696" s="25">
        <v>0.38243749999999993</v>
      </c>
      <c r="U696" s="25">
        <v>0.50174999999999992</v>
      </c>
      <c r="V696" s="25">
        <v>0.54389583333333336</v>
      </c>
      <c r="W696" s="25">
        <v>0.5703125</v>
      </c>
      <c r="X696" s="25">
        <v>0.57866666666666677</v>
      </c>
      <c r="Y696" s="25">
        <v>0.47918749999999993</v>
      </c>
      <c r="Z696" s="25">
        <v>0.4392291666666665</v>
      </c>
      <c r="AA696" s="25">
        <v>0.37781249999999994</v>
      </c>
      <c r="AB696" s="25">
        <v>0.45518749999999991</v>
      </c>
      <c r="AC696" s="25">
        <v>0.30220000000000002</v>
      </c>
      <c r="AD696" s="25">
        <v>0.49906249999999991</v>
      </c>
      <c r="AE696" s="27">
        <f t="shared" si="37"/>
        <v>0.48055208333333332</v>
      </c>
      <c r="AF696" s="27">
        <f t="shared" si="38"/>
        <v>0.48536458333333332</v>
      </c>
      <c r="AG696" s="27">
        <f t="shared" si="39"/>
        <v>0.48448958333333331</v>
      </c>
    </row>
    <row r="697" spans="1:33" x14ac:dyDescent="0.25">
      <c r="A697" s="9">
        <v>44404</v>
      </c>
      <c r="B697" s="3">
        <v>57.799045368000009</v>
      </c>
      <c r="C697" s="3">
        <v>180.74860042973538</v>
      </c>
      <c r="D697" s="3">
        <v>411.23939522712863</v>
      </c>
      <c r="E697" s="3">
        <v>495.9678275816388</v>
      </c>
      <c r="F697" s="3">
        <v>441.58901816348379</v>
      </c>
      <c r="G697" s="3">
        <v>379.27693401969077</v>
      </c>
      <c r="H697" s="3">
        <v>509.82577515004073</v>
      </c>
      <c r="I697" s="2">
        <v>332.13281112104323</v>
      </c>
      <c r="J697" s="23">
        <v>44404</v>
      </c>
      <c r="K697" s="24">
        <v>252.5</v>
      </c>
      <c r="L697" s="24">
        <v>81.562499999999986</v>
      </c>
      <c r="M697" s="24">
        <v>23.477083333333329</v>
      </c>
      <c r="N697" s="24">
        <v>4.8</v>
      </c>
      <c r="O697" s="24">
        <v>211.45833333333334</v>
      </c>
      <c r="P697" s="24">
        <v>2.5625</v>
      </c>
      <c r="Q697" s="24">
        <v>6.25E-2</v>
      </c>
      <c r="R697" s="24">
        <v>19.78541666666667</v>
      </c>
      <c r="S697" s="10">
        <v>0.68163119660690896</v>
      </c>
      <c r="T697" s="25">
        <v>0.44383333333333314</v>
      </c>
      <c r="U697" s="25">
        <v>0.54368749999999999</v>
      </c>
      <c r="V697" s="25">
        <v>0.58535416666666606</v>
      </c>
      <c r="W697" s="25">
        <v>0.60641666666666671</v>
      </c>
      <c r="X697" s="25">
        <v>0.6141875</v>
      </c>
      <c r="Y697" s="25">
        <v>0.497729166666667</v>
      </c>
      <c r="Z697" s="25">
        <v>0.46216666666666645</v>
      </c>
      <c r="AA697" s="25">
        <v>0.38977083333333334</v>
      </c>
      <c r="AB697" s="25">
        <v>0.46418750000000003</v>
      </c>
      <c r="AC697" s="25">
        <v>0.30774418604651144</v>
      </c>
      <c r="AD697" s="25">
        <v>0.50804166666666661</v>
      </c>
      <c r="AE697" s="27">
        <f t="shared" si="37"/>
        <v>0.52901041666666659</v>
      </c>
      <c r="AF697" s="27">
        <f t="shared" si="38"/>
        <v>0.51418749999999991</v>
      </c>
      <c r="AG697" s="27">
        <f t="shared" si="39"/>
        <v>0.51688257575757568</v>
      </c>
    </row>
    <row r="698" spans="1:33" x14ac:dyDescent="0.25">
      <c r="A698" s="9">
        <v>44405</v>
      </c>
      <c r="B698" s="3">
        <v>55.52468081819999</v>
      </c>
      <c r="C698" s="3">
        <v>140.94689259646412</v>
      </c>
      <c r="D698" s="3">
        <v>356.69094843935181</v>
      </c>
      <c r="E698" s="3">
        <v>445.75850609432189</v>
      </c>
      <c r="F698" s="3">
        <v>374.9245977199277</v>
      </c>
      <c r="G698" s="3">
        <v>313.92931791167814</v>
      </c>
      <c r="H698" s="3">
        <v>469.19253852063349</v>
      </c>
      <c r="I698" s="2">
        <v>274.90790369525655</v>
      </c>
      <c r="J698" s="23">
        <v>44405</v>
      </c>
      <c r="K698" s="24">
        <v>211.64583333333334</v>
      </c>
      <c r="L698" s="24">
        <v>86.102083333333312</v>
      </c>
      <c r="M698" s="24">
        <v>23.214583333333326</v>
      </c>
      <c r="N698" s="24">
        <v>9</v>
      </c>
      <c r="O698" s="24">
        <v>216.58333333333334</v>
      </c>
      <c r="P698" s="24">
        <v>1.2708333333333333</v>
      </c>
      <c r="Q698" s="24">
        <v>0</v>
      </c>
      <c r="R698" s="24">
        <v>20.564583333333335</v>
      </c>
      <c r="S698" s="10">
        <v>0.48239316164497614</v>
      </c>
      <c r="T698" s="25">
        <v>0.45808333333333334</v>
      </c>
      <c r="U698" s="25">
        <v>0.55191666666666694</v>
      </c>
      <c r="V698" s="25">
        <v>0.59581250000000019</v>
      </c>
      <c r="W698" s="25">
        <v>0.61566666666666703</v>
      </c>
      <c r="X698" s="25">
        <v>0.62083333333333324</v>
      </c>
      <c r="Y698" s="25">
        <v>0.51289583333333344</v>
      </c>
      <c r="Z698" s="25">
        <v>0.47989583333333313</v>
      </c>
      <c r="AA698" s="25">
        <v>0.41333333333333361</v>
      </c>
      <c r="AB698" s="25">
        <v>0.4731458333333331</v>
      </c>
      <c r="AC698" s="25">
        <v>0.33281481481481479</v>
      </c>
      <c r="AD698" s="25">
        <v>0.51654166666666679</v>
      </c>
      <c r="AE698" s="27">
        <f t="shared" si="37"/>
        <v>0.53945833333333326</v>
      </c>
      <c r="AF698" s="27">
        <f t="shared" si="38"/>
        <v>0.52825347222222241</v>
      </c>
      <c r="AG698" s="27">
        <f t="shared" si="39"/>
        <v>0.53029071969696984</v>
      </c>
    </row>
    <row r="699" spans="1:33" x14ac:dyDescent="0.25">
      <c r="A699" s="9">
        <v>44406</v>
      </c>
      <c r="B699" s="3">
        <v>86.1829549542</v>
      </c>
      <c r="C699" s="3">
        <v>183.18173462507292</v>
      </c>
      <c r="D699" s="3">
        <v>408.31812061621719</v>
      </c>
      <c r="E699" s="3">
        <v>566.1156456755316</v>
      </c>
      <c r="F699" s="3">
        <v>567.84904676871963</v>
      </c>
      <c r="G699" s="3">
        <v>483.23450720904225</v>
      </c>
      <c r="H699" s="3">
        <v>578.43686458770139</v>
      </c>
      <c r="I699" s="2">
        <v>423.16845796295831</v>
      </c>
      <c r="J699" s="23">
        <v>44406</v>
      </c>
      <c r="K699" s="24">
        <v>275.64583333333331</v>
      </c>
      <c r="L699" s="24">
        <v>80.425000000000026</v>
      </c>
      <c r="M699" s="24">
        <v>24.412500000000005</v>
      </c>
      <c r="N699" s="24">
        <v>14.099999999999996</v>
      </c>
      <c r="O699" s="24">
        <v>216.97916666666666</v>
      </c>
      <c r="P699" s="24">
        <v>1.4791666666666667</v>
      </c>
      <c r="Q699" s="24">
        <v>0</v>
      </c>
      <c r="R699" s="24">
        <v>20.46875</v>
      </c>
      <c r="S699" s="10">
        <v>0.74776860978202919</v>
      </c>
      <c r="T699" s="25">
        <v>0.46354166666666669</v>
      </c>
      <c r="U699" s="25">
        <v>0.55550000000000022</v>
      </c>
      <c r="V699" s="25">
        <v>0.59929166666666678</v>
      </c>
      <c r="W699" s="25">
        <v>0.62052083333333341</v>
      </c>
      <c r="X699" s="25">
        <v>0.62291666666666667</v>
      </c>
      <c r="Y699" s="25">
        <v>0.51837500000000014</v>
      </c>
      <c r="Z699" s="25">
        <v>0.48552083333333368</v>
      </c>
      <c r="AA699" s="25">
        <v>0.42158333333333342</v>
      </c>
      <c r="AB699" s="25">
        <v>0.47912500000000002</v>
      </c>
      <c r="AC699" s="25">
        <v>0.32536170212765964</v>
      </c>
      <c r="AD699" s="25">
        <v>0.5215833333333334</v>
      </c>
      <c r="AE699" s="27">
        <f t="shared" si="37"/>
        <v>0.54322916666666665</v>
      </c>
      <c r="AF699" s="27">
        <f t="shared" si="38"/>
        <v>0.53346527777777797</v>
      </c>
      <c r="AG699" s="27">
        <f t="shared" si="39"/>
        <v>0.53524053030303043</v>
      </c>
    </row>
    <row r="700" spans="1:33" s="50" customFormat="1" x14ac:dyDescent="0.25">
      <c r="A700" s="44">
        <v>44407</v>
      </c>
      <c r="B700" s="45">
        <v>26.645154638400008</v>
      </c>
      <c r="C700" s="45">
        <v>176.85279069444294</v>
      </c>
      <c r="D700" s="45">
        <v>427.68539039673198</v>
      </c>
      <c r="E700" s="45">
        <v>585.78112823370964</v>
      </c>
      <c r="F700" s="45">
        <v>528.62056704108829</v>
      </c>
      <c r="G700" s="45">
        <v>448.5447137561876</v>
      </c>
      <c r="H700" s="45">
        <v>534.31228249199944</v>
      </c>
      <c r="I700" s="52">
        <v>392.79060583629348</v>
      </c>
      <c r="J700" s="46">
        <v>44407</v>
      </c>
      <c r="K700" s="47">
        <v>263</v>
      </c>
      <c r="L700" s="47">
        <v>79.620833333333337</v>
      </c>
      <c r="M700" s="47">
        <v>25.360416666666669</v>
      </c>
      <c r="N700" s="47">
        <v>0</v>
      </c>
      <c r="O700" s="47">
        <v>195.52083333333334</v>
      </c>
      <c r="P700" s="47">
        <v>1.4583333333333333</v>
      </c>
      <c r="Q700" s="47">
        <v>8.3333333333333329E-2</v>
      </c>
      <c r="R700" s="47">
        <v>21.247916666666658</v>
      </c>
      <c r="S700" s="48">
        <v>0.80767386415336073</v>
      </c>
      <c r="T700" s="49">
        <v>0.4314791666666668</v>
      </c>
      <c r="U700" s="49">
        <v>0.53400000000000014</v>
      </c>
      <c r="V700" s="49">
        <v>0.58422916666666669</v>
      </c>
      <c r="W700" s="49">
        <v>0.60477083333333381</v>
      </c>
      <c r="X700" s="49">
        <v>0.610104166666667</v>
      </c>
      <c r="Y700" s="49">
        <v>0.49737499999999973</v>
      </c>
      <c r="Z700" s="49">
        <v>0.47702083333333362</v>
      </c>
      <c r="AA700" s="49">
        <v>0.41254166666666697</v>
      </c>
      <c r="AB700" s="49">
        <v>0.45487500000000014</v>
      </c>
      <c r="AC700" s="49">
        <v>0.28904444444444449</v>
      </c>
      <c r="AD700" s="49">
        <v>0.49189583333333337</v>
      </c>
      <c r="AE700" s="51">
        <f t="shared" si="37"/>
        <v>0.52079166666666687</v>
      </c>
      <c r="AF700" s="51">
        <f t="shared" si="38"/>
        <v>0.51832291666666686</v>
      </c>
      <c r="AG700" s="51">
        <f t="shared" si="39"/>
        <v>0.51877178030303051</v>
      </c>
    </row>
    <row r="701" spans="1:33" x14ac:dyDescent="0.25">
      <c r="A701" s="9">
        <v>44408</v>
      </c>
      <c r="B701" s="3">
        <v>1.0129988195999999</v>
      </c>
      <c r="C701" s="3">
        <v>52.140140095209304</v>
      </c>
      <c r="D701" s="3">
        <v>160.97328917498979</v>
      </c>
      <c r="E701" s="3">
        <v>192.60110491288953</v>
      </c>
      <c r="F701" s="3">
        <v>243.24828811458647</v>
      </c>
      <c r="G701" s="3">
        <v>163.99136475684477</v>
      </c>
      <c r="H701" s="3">
        <v>366.22479244849978</v>
      </c>
      <c r="I701" s="2">
        <v>143.60723811756898</v>
      </c>
      <c r="J701" s="23">
        <v>44408</v>
      </c>
      <c r="K701" s="24">
        <v>89.041666666666671</v>
      </c>
      <c r="L701" s="24">
        <v>87.154166666666654</v>
      </c>
      <c r="M701" s="24">
        <v>22.406250000000004</v>
      </c>
      <c r="N701" s="24">
        <v>0</v>
      </c>
      <c r="O701" s="24">
        <v>151.4375</v>
      </c>
      <c r="P701" s="24">
        <v>0.125</v>
      </c>
      <c r="Q701" s="24">
        <v>0</v>
      </c>
      <c r="R701" s="24">
        <v>20.141666666666669</v>
      </c>
      <c r="S701" s="10">
        <v>0.36061390843318558</v>
      </c>
      <c r="T701" s="25">
        <v>0.41091666666666643</v>
      </c>
      <c r="U701" s="25">
        <v>0.52174999999999983</v>
      </c>
      <c r="V701" s="25">
        <v>0.57274999999999998</v>
      </c>
      <c r="W701" s="25">
        <v>0.59945833333333309</v>
      </c>
      <c r="X701" s="25">
        <v>0.60072916666666665</v>
      </c>
      <c r="Y701" s="25">
        <v>0.48512500000000008</v>
      </c>
      <c r="Z701" s="25">
        <v>0.47158333333333302</v>
      </c>
      <c r="AA701" s="25">
        <v>0.40747916666666645</v>
      </c>
      <c r="AB701" s="25">
        <v>0.44097916666666676</v>
      </c>
      <c r="AC701" s="25">
        <v>0.27456249999999999</v>
      </c>
      <c r="AD701" s="25">
        <v>0.46958333333333346</v>
      </c>
      <c r="AE701" s="27">
        <f t="shared" si="37"/>
        <v>0.50582291666666657</v>
      </c>
      <c r="AF701" s="27">
        <f t="shared" si="38"/>
        <v>0.50969097222222215</v>
      </c>
      <c r="AG701" s="27">
        <f t="shared" si="39"/>
        <v>0.50898768939393935</v>
      </c>
    </row>
    <row r="702" spans="1:33" x14ac:dyDescent="0.25">
      <c r="A702" s="9">
        <v>44409</v>
      </c>
      <c r="B702" s="3">
        <v>39.4820659584</v>
      </c>
      <c r="C702" s="3">
        <v>200.54352423935089</v>
      </c>
      <c r="D702" s="3">
        <v>585.46255658920836</v>
      </c>
      <c r="E702" s="3">
        <v>759.38362792111957</v>
      </c>
      <c r="F702" s="3">
        <v>671.22098702944538</v>
      </c>
      <c r="G702" s="3">
        <v>548.60552936862928</v>
      </c>
      <c r="H702" s="3">
        <v>617.26083156612231</v>
      </c>
      <c r="I702" s="2">
        <v>480.4138620681087</v>
      </c>
      <c r="J702" s="23">
        <v>44409</v>
      </c>
      <c r="K702" s="24">
        <v>288.22916666666669</v>
      </c>
      <c r="L702" s="24">
        <v>68.789583333333326</v>
      </c>
      <c r="M702" s="24">
        <v>25.087500000000006</v>
      </c>
      <c r="N702" s="24">
        <v>0</v>
      </c>
      <c r="O702" s="24">
        <v>116.20833333333333</v>
      </c>
      <c r="P702" s="24">
        <v>1.1458333333333333</v>
      </c>
      <c r="Q702" s="24">
        <v>0</v>
      </c>
      <c r="R702" s="24">
        <v>18.160416666666666</v>
      </c>
      <c r="S702" s="10">
        <v>1.2428157284528296</v>
      </c>
      <c r="T702" s="25">
        <v>0.38824999999999993</v>
      </c>
      <c r="U702" s="25">
        <v>0.51035416666666678</v>
      </c>
      <c r="V702" s="25">
        <v>0.56033333333333324</v>
      </c>
      <c r="W702" s="25">
        <v>0.59297916666666628</v>
      </c>
      <c r="X702" s="25">
        <v>0.58962499999999973</v>
      </c>
      <c r="Y702" s="25">
        <v>0.47447916666666662</v>
      </c>
      <c r="Z702" s="25">
        <v>0.46429166666666633</v>
      </c>
      <c r="AA702" s="25">
        <v>0.40202083333333322</v>
      </c>
      <c r="AB702" s="25">
        <v>0.42614583333333339</v>
      </c>
      <c r="AC702" s="25">
        <v>0.25744827586206898</v>
      </c>
      <c r="AD702" s="25">
        <v>0.45575000000000004</v>
      </c>
      <c r="AE702" s="27">
        <f t="shared" si="37"/>
        <v>0.4889374999999998</v>
      </c>
      <c r="AF702" s="27">
        <f t="shared" si="38"/>
        <v>0.50074305555555554</v>
      </c>
      <c r="AG702" s="27">
        <f t="shared" si="39"/>
        <v>0.49859659090909081</v>
      </c>
    </row>
    <row r="703" spans="1:33" x14ac:dyDescent="0.25">
      <c r="A703" s="9">
        <v>44410</v>
      </c>
      <c r="B703" s="3">
        <v>56.530964593800007</v>
      </c>
      <c r="C703" s="3">
        <v>213.51343746700368</v>
      </c>
      <c r="D703" s="3">
        <v>591.91023553546415</v>
      </c>
      <c r="E703" s="3">
        <v>925.29818478742106</v>
      </c>
      <c r="F703" s="3">
        <v>779.14656261353082</v>
      </c>
      <c r="G703" s="3">
        <v>421.55364813346324</v>
      </c>
      <c r="H703" s="3">
        <v>744.926406023661</v>
      </c>
      <c r="I703" s="2">
        <v>369.15452967047378</v>
      </c>
      <c r="J703" s="23">
        <v>44410</v>
      </c>
      <c r="K703" s="24">
        <v>259.79166666666669</v>
      </c>
      <c r="L703" s="24">
        <v>67.122916666666654</v>
      </c>
      <c r="M703" s="24">
        <v>25.343749999999996</v>
      </c>
      <c r="N703" s="24">
        <v>0</v>
      </c>
      <c r="O703" s="24">
        <v>216.08333333333334</v>
      </c>
      <c r="P703" s="24">
        <v>1.6875</v>
      </c>
      <c r="Q703" s="24">
        <v>0</v>
      </c>
      <c r="R703" s="24">
        <v>18.583333333333332</v>
      </c>
      <c r="S703" s="10">
        <v>1.1906514679283202</v>
      </c>
      <c r="T703" s="25">
        <v>0.34133333333333332</v>
      </c>
      <c r="U703" s="25">
        <v>0.4876458333333335</v>
      </c>
      <c r="V703" s="25">
        <v>0.53297916666666667</v>
      </c>
      <c r="W703" s="25">
        <v>0.57658333333333345</v>
      </c>
      <c r="X703" s="25">
        <v>0.56683333333333319</v>
      </c>
      <c r="Y703" s="25">
        <v>0.45022916666666651</v>
      </c>
      <c r="Z703" s="25">
        <v>0.44522916666666679</v>
      </c>
      <c r="AA703" s="25">
        <v>0.38783333333333342</v>
      </c>
      <c r="AB703" s="25">
        <v>0.40087500000000009</v>
      </c>
      <c r="AC703" s="25">
        <v>0.22339285714285709</v>
      </c>
      <c r="AD703" s="25">
        <v>0.43387499999999973</v>
      </c>
      <c r="AE703" s="27">
        <f t="shared" si="37"/>
        <v>0.45408333333333328</v>
      </c>
      <c r="AF703" s="27">
        <f t="shared" si="38"/>
        <v>0.48008333333333336</v>
      </c>
      <c r="AG703" s="27">
        <f t="shared" si="39"/>
        <v>0.47535606060606062</v>
      </c>
    </row>
    <row r="704" spans="1:33" x14ac:dyDescent="0.25">
      <c r="A704" s="9">
        <v>44411</v>
      </c>
      <c r="B704" s="3">
        <v>49.325153191200009</v>
      </c>
      <c r="C704" s="3">
        <v>210.98167984896205</v>
      </c>
      <c r="D704" s="3">
        <v>567.48190306956963</v>
      </c>
      <c r="E704" s="3">
        <v>894.45921899551502</v>
      </c>
      <c r="F704" s="3">
        <v>776.07386272951908</v>
      </c>
      <c r="G704" s="3">
        <v>350.8203523648923</v>
      </c>
      <c r="H704" s="3">
        <v>702.98671816927765</v>
      </c>
      <c r="I704" s="2">
        <v>307.21338256593617</v>
      </c>
      <c r="J704" s="23">
        <v>44411</v>
      </c>
      <c r="K704" s="24">
        <v>268.1875</v>
      </c>
      <c r="L704" s="24">
        <v>66.975000000000009</v>
      </c>
      <c r="M704" s="24">
        <v>25.597916666666674</v>
      </c>
      <c r="N704" s="24">
        <v>0</v>
      </c>
      <c r="O704" s="24">
        <v>216.8125</v>
      </c>
      <c r="P704" s="24">
        <v>1.2291666666666667</v>
      </c>
      <c r="Q704" s="24">
        <v>0</v>
      </c>
      <c r="R704" s="24">
        <v>18.691666666666666</v>
      </c>
      <c r="S704" s="10">
        <v>1.2429253657469082</v>
      </c>
      <c r="T704" s="25">
        <v>0.30572916666666661</v>
      </c>
      <c r="U704" s="25">
        <v>0.46147916666666672</v>
      </c>
      <c r="V704" s="25">
        <v>0.50524999999999987</v>
      </c>
      <c r="W704" s="25">
        <v>0.55327083333333338</v>
      </c>
      <c r="X704" s="25">
        <v>0.53920833333333318</v>
      </c>
      <c r="Y704" s="25">
        <v>0.42066666666666674</v>
      </c>
      <c r="Z704" s="25">
        <v>0.42260416666666667</v>
      </c>
      <c r="AA704" s="25">
        <v>0.37039583333333342</v>
      </c>
      <c r="AB704" s="25">
        <v>0.37468750000000006</v>
      </c>
      <c r="AC704" s="25">
        <v>0.18634999999999999</v>
      </c>
      <c r="AD704" s="25">
        <v>0.40381250000000013</v>
      </c>
      <c r="AE704" s="27">
        <f t="shared" si="37"/>
        <v>0.42246874999999989</v>
      </c>
      <c r="AF704" s="27">
        <f t="shared" si="38"/>
        <v>0.45561111111111113</v>
      </c>
      <c r="AG704" s="27">
        <f t="shared" si="39"/>
        <v>0.44958522727272726</v>
      </c>
    </row>
    <row r="705" spans="1:33" x14ac:dyDescent="0.25">
      <c r="A705" s="9">
        <v>44412</v>
      </c>
      <c r="B705" s="3">
        <v>57.294612790199984</v>
      </c>
      <c r="C705" s="3">
        <v>208.23898200157149</v>
      </c>
      <c r="D705" s="3">
        <v>559.61967758780543</v>
      </c>
      <c r="E705" s="3">
        <v>959.70308266864902</v>
      </c>
      <c r="F705" s="3">
        <v>760.64508790871275</v>
      </c>
      <c r="G705" s="3">
        <v>361.19052028468514</v>
      </c>
      <c r="H705" s="3">
        <v>670.93908297971484</v>
      </c>
      <c r="I705" s="2">
        <v>316.29453861329881</v>
      </c>
      <c r="J705" s="23">
        <v>44412</v>
      </c>
      <c r="K705" s="24">
        <v>277.14583333333331</v>
      </c>
      <c r="L705" s="24">
        <v>67.133333333333326</v>
      </c>
      <c r="M705" s="24">
        <v>25.997916666666665</v>
      </c>
      <c r="N705" s="24">
        <v>0</v>
      </c>
      <c r="O705" s="24">
        <v>234.70833333333334</v>
      </c>
      <c r="P705" s="24">
        <v>2.0833333333333335</v>
      </c>
      <c r="Q705" s="24">
        <v>2.0833333333333332E-2</v>
      </c>
      <c r="R705" s="24">
        <v>19.066666666666666</v>
      </c>
      <c r="S705" s="10">
        <v>1.2748251516316242</v>
      </c>
      <c r="T705" s="25">
        <v>0.28075</v>
      </c>
      <c r="U705" s="25">
        <v>0.43210416666666679</v>
      </c>
      <c r="V705" s="25">
        <v>0.47939583333333308</v>
      </c>
      <c r="W705" s="25">
        <v>0.52531250000000018</v>
      </c>
      <c r="X705" s="25">
        <v>0.51045833333333346</v>
      </c>
      <c r="Y705" s="25">
        <v>0.39079166666666665</v>
      </c>
      <c r="Z705" s="25">
        <v>0.39783333333333348</v>
      </c>
      <c r="AA705" s="25">
        <v>0.35168749999999999</v>
      </c>
      <c r="AB705" s="25">
        <v>0.33997916666666667</v>
      </c>
      <c r="AC705" s="25">
        <v>0.16399999999999998</v>
      </c>
      <c r="AD705" s="25">
        <v>0.36145833333333338</v>
      </c>
      <c r="AE705" s="27">
        <f t="shared" si="37"/>
        <v>0.39560416666666676</v>
      </c>
      <c r="AF705" s="27">
        <f t="shared" si="38"/>
        <v>0.42952083333333335</v>
      </c>
      <c r="AG705" s="27">
        <f t="shared" si="39"/>
        <v>0.4233541666666667</v>
      </c>
    </row>
    <row r="706" spans="1:33" x14ac:dyDescent="0.25">
      <c r="A706" s="9">
        <v>44413</v>
      </c>
      <c r="B706" s="3">
        <v>51.638419074600002</v>
      </c>
      <c r="C706" s="3">
        <v>200.81059006088591</v>
      </c>
      <c r="D706" s="3">
        <v>521.60143843893979</v>
      </c>
      <c r="E706" s="3">
        <v>970.63815170373118</v>
      </c>
      <c r="F706" s="3">
        <v>724.18983020587598</v>
      </c>
      <c r="G706" s="3">
        <v>369.96719166669868</v>
      </c>
      <c r="H706" s="3">
        <v>613.49325473492286</v>
      </c>
      <c r="I706" s="2">
        <v>323.98026974252804</v>
      </c>
      <c r="J706" s="23">
        <v>44413</v>
      </c>
      <c r="K706" s="24">
        <v>272.64583333333331</v>
      </c>
      <c r="L706" s="24">
        <v>66.749999999999986</v>
      </c>
      <c r="M706" s="24">
        <v>26.110416666666669</v>
      </c>
      <c r="N706" s="24">
        <v>0</v>
      </c>
      <c r="O706" s="24">
        <v>210.6875</v>
      </c>
      <c r="P706" s="24">
        <v>2.2291666666666665</v>
      </c>
      <c r="Q706" s="24">
        <v>0</v>
      </c>
      <c r="R706" s="24">
        <v>18.981249999999996</v>
      </c>
      <c r="S706" s="10">
        <v>1.3189600447859569</v>
      </c>
      <c r="T706" s="25">
        <v>0.26441666666666647</v>
      </c>
      <c r="U706" s="25">
        <v>0.40291666666666665</v>
      </c>
      <c r="V706" s="25">
        <v>0.45860416666666687</v>
      </c>
      <c r="W706" s="25">
        <v>0.49637500000000007</v>
      </c>
      <c r="X706" s="25">
        <v>0.48593750000000013</v>
      </c>
      <c r="Y706" s="25">
        <v>0.36779166666666668</v>
      </c>
      <c r="Z706" s="25">
        <v>0.37687500000000013</v>
      </c>
      <c r="AA706" s="25">
        <v>0.33502083333333338</v>
      </c>
      <c r="AB706" s="25">
        <v>0.30014583333333328</v>
      </c>
      <c r="AC706" s="25">
        <v>0.15</v>
      </c>
      <c r="AD706" s="25">
        <v>0.31389583333333326</v>
      </c>
      <c r="AE706" s="27">
        <f t="shared" si="37"/>
        <v>0.37517708333333333</v>
      </c>
      <c r="AF706" s="27">
        <f t="shared" si="38"/>
        <v>0.40626388888888898</v>
      </c>
      <c r="AG706" s="27">
        <f t="shared" si="39"/>
        <v>0.40061174242424252</v>
      </c>
    </row>
    <row r="707" spans="1:33" s="50" customFormat="1" x14ac:dyDescent="0.25">
      <c r="A707" s="44">
        <v>44414</v>
      </c>
      <c r="B707" s="45">
        <v>44.301915095399998</v>
      </c>
      <c r="C707" s="45">
        <v>168.40469999207377</v>
      </c>
      <c r="D707" s="45">
        <v>474.06684936155619</v>
      </c>
      <c r="E707" s="45">
        <v>1026.0412651625702</v>
      </c>
      <c r="F707" s="45">
        <v>664.78148451998788</v>
      </c>
      <c r="G707" s="45">
        <v>349.79073379890667</v>
      </c>
      <c r="H707" s="45">
        <v>584.39686866796978</v>
      </c>
      <c r="I707" s="52">
        <v>306.3117455877026</v>
      </c>
      <c r="J707" s="46">
        <v>44414</v>
      </c>
      <c r="K707" s="47">
        <v>252.39583333333334</v>
      </c>
      <c r="L707" s="47">
        <v>69.964583333333337</v>
      </c>
      <c r="M707" s="47">
        <v>26.112500000000001</v>
      </c>
      <c r="N707" s="47">
        <v>0</v>
      </c>
      <c r="O707" s="47">
        <v>222.41666666666666</v>
      </c>
      <c r="P707" s="47">
        <v>2.5208333333333335</v>
      </c>
      <c r="Q707" s="47">
        <v>6.25E-2</v>
      </c>
      <c r="R707" s="47">
        <v>19.899999999999999</v>
      </c>
      <c r="S707" s="48">
        <v>1.1660348370183631</v>
      </c>
      <c r="T707" s="49">
        <v>0.2539791666666667</v>
      </c>
      <c r="U707" s="49">
        <v>0.37835416666666649</v>
      </c>
      <c r="V707" s="49">
        <v>0.44106249999999997</v>
      </c>
      <c r="W707" s="49">
        <v>0.47020833333333312</v>
      </c>
      <c r="X707" s="49">
        <v>0.46562499999999973</v>
      </c>
      <c r="Y707" s="49">
        <v>0.35114583333333349</v>
      </c>
      <c r="Z707" s="49">
        <v>0.36089583333333314</v>
      </c>
      <c r="AA707" s="49">
        <v>0.32089583333333338</v>
      </c>
      <c r="AB707" s="49">
        <v>0.26158333333333345</v>
      </c>
      <c r="AC707" s="49">
        <v>0.1399</v>
      </c>
      <c r="AD707" s="49">
        <v>0.27470833333333333</v>
      </c>
      <c r="AE707" s="51">
        <f t="shared" si="37"/>
        <v>0.35980208333333319</v>
      </c>
      <c r="AF707" s="51">
        <f t="shared" si="38"/>
        <v>0.38709374999999985</v>
      </c>
      <c r="AG707" s="51">
        <f t="shared" si="39"/>
        <v>0.38213162878787865</v>
      </c>
    </row>
    <row r="708" spans="1:33" x14ac:dyDescent="0.25">
      <c r="A708" s="9">
        <v>44415</v>
      </c>
      <c r="B708" s="3">
        <v>65.578904472600001</v>
      </c>
      <c r="C708" s="3">
        <v>160.42463223429343</v>
      </c>
      <c r="D708" s="3">
        <v>436.15703289268066</v>
      </c>
      <c r="E708" s="3">
        <v>1011.2795208651953</v>
      </c>
      <c r="F708" s="3">
        <v>617.9570694999253</v>
      </c>
      <c r="G708" s="3">
        <v>379.3994014290202</v>
      </c>
      <c r="H708" s="3">
        <v>547.63078276717749</v>
      </c>
      <c r="I708" s="2">
        <v>332.24005583139302</v>
      </c>
      <c r="J708" s="23">
        <v>44415</v>
      </c>
      <c r="K708" s="24">
        <v>238.1875</v>
      </c>
      <c r="L708" s="24">
        <v>74.329166666666666</v>
      </c>
      <c r="M708" s="24">
        <v>26.381250000000005</v>
      </c>
      <c r="N708" s="24">
        <v>0</v>
      </c>
      <c r="O708" s="24">
        <v>222.95833333333334</v>
      </c>
      <c r="P708" s="24">
        <v>4.8125</v>
      </c>
      <c r="Q708" s="24">
        <v>0.29166666666666669</v>
      </c>
      <c r="R708" s="24">
        <v>21.133333333333329</v>
      </c>
      <c r="S708" s="10">
        <v>1.0070133103334029</v>
      </c>
      <c r="T708" s="25">
        <v>0.24743749999999987</v>
      </c>
      <c r="U708" s="25">
        <v>0.36222916666666666</v>
      </c>
      <c r="V708" s="25">
        <v>0.42802083333333352</v>
      </c>
      <c r="W708" s="25">
        <v>0.45064583333333325</v>
      </c>
      <c r="X708" s="25">
        <v>0.4512500000000001</v>
      </c>
      <c r="Y708" s="25">
        <v>0.34087499999999998</v>
      </c>
      <c r="Z708" s="25">
        <v>0.3507083333333334</v>
      </c>
      <c r="AA708" s="25">
        <v>0.31006249999999996</v>
      </c>
      <c r="AB708" s="25">
        <v>0.23185416666666669</v>
      </c>
      <c r="AC708" s="25">
        <v>0.136125</v>
      </c>
      <c r="AD708" s="25">
        <v>0.25091666666666651</v>
      </c>
      <c r="AE708" s="27">
        <f t="shared" si="37"/>
        <v>0.34934374999999995</v>
      </c>
      <c r="AF708" s="27">
        <f t="shared" si="38"/>
        <v>0.37375694444444446</v>
      </c>
      <c r="AG708" s="27">
        <f t="shared" si="39"/>
        <v>0.36931818181818182</v>
      </c>
    </row>
    <row r="709" spans="1:33" x14ac:dyDescent="0.25">
      <c r="A709" s="9">
        <v>44416</v>
      </c>
      <c r="B709" s="3">
        <v>86.083745826600008</v>
      </c>
      <c r="C709" s="3">
        <v>156.42121330005239</v>
      </c>
      <c r="D709" s="3">
        <v>380.48555575923132</v>
      </c>
      <c r="E709" s="3">
        <v>965.79497771031231</v>
      </c>
      <c r="F709" s="3">
        <v>562.27647949926916</v>
      </c>
      <c r="G709" s="3">
        <v>367.59539177106842</v>
      </c>
      <c r="H709" s="3">
        <v>540.47762917684611</v>
      </c>
      <c r="I709" s="2">
        <v>321.90328457392462</v>
      </c>
      <c r="J709" s="23">
        <v>44416</v>
      </c>
      <c r="K709" s="24">
        <v>195.45833333333334</v>
      </c>
      <c r="L709" s="24">
        <v>77.67083333333332</v>
      </c>
      <c r="M709" s="24">
        <v>25.797916666666655</v>
      </c>
      <c r="N709" s="24">
        <v>0</v>
      </c>
      <c r="O709" s="24">
        <v>232.33333333333334</v>
      </c>
      <c r="P709" s="24">
        <v>8.4375</v>
      </c>
      <c r="Q709" s="24">
        <v>0.75</v>
      </c>
      <c r="R709" s="24">
        <v>21.447916666666671</v>
      </c>
      <c r="S709" s="10">
        <v>0.80393698280569603</v>
      </c>
      <c r="T709" s="25">
        <v>0.24333333333333332</v>
      </c>
      <c r="U709" s="25">
        <v>0.34947916666666662</v>
      </c>
      <c r="V709" s="25">
        <v>0.41949999999999998</v>
      </c>
      <c r="W709" s="25">
        <v>0.43620833333333336</v>
      </c>
      <c r="X709" s="25">
        <v>0.44016666666666687</v>
      </c>
      <c r="Y709" s="25">
        <v>0.33420833333333338</v>
      </c>
      <c r="Z709" s="25">
        <v>0.34352083333333328</v>
      </c>
      <c r="AA709" s="25">
        <v>0.3016250000000002</v>
      </c>
      <c r="AB709" s="25">
        <v>0.2111666666666667</v>
      </c>
      <c r="AC709" s="25">
        <v>0.13252380952380957</v>
      </c>
      <c r="AD709" s="25">
        <v>0.23797916666666663</v>
      </c>
      <c r="AE709" s="27">
        <f t="shared" si="37"/>
        <v>0.34175000000000011</v>
      </c>
      <c r="AF709" s="27">
        <f t="shared" si="38"/>
        <v>0.36409027777777775</v>
      </c>
      <c r="AG709" s="27">
        <f t="shared" si="39"/>
        <v>0.36002840909090905</v>
      </c>
    </row>
    <row r="710" spans="1:33" x14ac:dyDescent="0.25">
      <c r="A710" s="9">
        <v>44417</v>
      </c>
      <c r="B710" s="3">
        <v>21.684553480800002</v>
      </c>
      <c r="C710" s="3">
        <v>42.278569449712741</v>
      </c>
      <c r="D710" s="3">
        <v>156.228344113904</v>
      </c>
      <c r="E710" s="3">
        <v>296.9230871507055</v>
      </c>
      <c r="F710" s="3">
        <v>218.98774228151262</v>
      </c>
      <c r="G710" s="3">
        <v>146.15806431824103</v>
      </c>
      <c r="H710" s="3">
        <v>304.49332415966205</v>
      </c>
      <c r="I710" s="2">
        <v>127.99061692348367</v>
      </c>
      <c r="J710" s="23">
        <v>44417</v>
      </c>
      <c r="K710" s="24">
        <v>101.41666666666667</v>
      </c>
      <c r="L710" s="24">
        <v>87.116666666666674</v>
      </c>
      <c r="M710" s="24">
        <v>22.5625</v>
      </c>
      <c r="N710" s="24">
        <v>9.2999999999999989</v>
      </c>
      <c r="O710" s="24">
        <v>234.39583333333334</v>
      </c>
      <c r="P710" s="24">
        <v>2.875</v>
      </c>
      <c r="Q710" s="24">
        <v>6.25E-2</v>
      </c>
      <c r="R710" s="24">
        <v>20.256249999999998</v>
      </c>
      <c r="S710" s="10">
        <v>0.37748627957429653</v>
      </c>
      <c r="T710" s="25">
        <v>0.24197916666666694</v>
      </c>
      <c r="U710" s="25">
        <v>0.34191666666666659</v>
      </c>
      <c r="V710" s="25">
        <v>0.41529166666666623</v>
      </c>
      <c r="W710" s="25">
        <v>0.4294999999999996</v>
      </c>
      <c r="X710" s="25">
        <v>0.43535416666666665</v>
      </c>
      <c r="Y710" s="25">
        <v>0.34193750000000006</v>
      </c>
      <c r="Z710" s="25">
        <v>0.33966666666666673</v>
      </c>
      <c r="AA710" s="25">
        <v>0.29679166666666684</v>
      </c>
      <c r="AB710" s="25">
        <v>0.22377083333333334</v>
      </c>
      <c r="AC710" s="25">
        <v>0.18499999999999997</v>
      </c>
      <c r="AD710" s="25">
        <v>0.28691666666666665</v>
      </c>
      <c r="AE710" s="27">
        <f t="shared" ref="AE710:AE773" si="41">AVERAGE(T710,X710)</f>
        <v>0.33866666666666678</v>
      </c>
      <c r="AF710" s="27">
        <f t="shared" ref="AF710:AF773" si="42">AVERAGE(U710:W710,Y710:AA710)</f>
        <v>0.36085069444444434</v>
      </c>
      <c r="AG710" s="27">
        <f t="shared" ref="AG710:AG773" si="43">(AE710*10+AF710*45)/55</f>
        <v>0.35681723484848477</v>
      </c>
    </row>
    <row r="711" spans="1:33" x14ac:dyDescent="0.25">
      <c r="A711" s="9">
        <v>44418</v>
      </c>
      <c r="B711" s="3">
        <v>36.739177770600001</v>
      </c>
      <c r="C711" s="3">
        <v>143.99484571681788</v>
      </c>
      <c r="D711" s="3">
        <v>438.2471112033835</v>
      </c>
      <c r="E711" s="3">
        <v>730.52183468518854</v>
      </c>
      <c r="F711" s="3">
        <v>487.66551500889904</v>
      </c>
      <c r="G711" s="3">
        <v>392.75579191222306</v>
      </c>
      <c r="H711" s="3">
        <v>450.16644720097634</v>
      </c>
      <c r="I711" s="2">
        <v>343.93624697753376</v>
      </c>
      <c r="J711" s="23">
        <v>44418</v>
      </c>
      <c r="K711" s="24">
        <v>232.625</v>
      </c>
      <c r="L711" s="24">
        <v>80.347916666666649</v>
      </c>
      <c r="M711" s="24">
        <v>24.664583333333336</v>
      </c>
      <c r="N711" s="24">
        <v>0</v>
      </c>
      <c r="O711" s="24">
        <v>238.77083333333334</v>
      </c>
      <c r="P711" s="24">
        <v>2.4791666666666665</v>
      </c>
      <c r="Q711" s="24">
        <v>6.25E-2</v>
      </c>
      <c r="R711" s="24">
        <v>20.716666666666661</v>
      </c>
      <c r="S711" s="10">
        <v>0.75015926574658331</v>
      </c>
      <c r="T711" s="25">
        <v>0.24154166666666654</v>
      </c>
      <c r="U711" s="25">
        <v>0.33931249999999996</v>
      </c>
      <c r="V711" s="25">
        <v>0.41387499999999994</v>
      </c>
      <c r="W711" s="25">
        <v>0.42725000000000007</v>
      </c>
      <c r="X711" s="25">
        <v>0.43237500000000012</v>
      </c>
      <c r="Y711" s="25">
        <v>0.33608333333333357</v>
      </c>
      <c r="Z711" s="25">
        <v>0.33745833333333358</v>
      </c>
      <c r="AA711" s="25">
        <v>0.29539583333333314</v>
      </c>
      <c r="AB711" s="25">
        <v>0.22572916666666673</v>
      </c>
      <c r="AC711" s="25">
        <v>0.17150000000000001</v>
      </c>
      <c r="AD711" s="25">
        <v>0.29664583333333333</v>
      </c>
      <c r="AE711" s="27">
        <f t="shared" si="41"/>
        <v>0.33695833333333336</v>
      </c>
      <c r="AF711" s="27">
        <f t="shared" si="42"/>
        <v>0.35822916666666677</v>
      </c>
      <c r="AG711" s="27">
        <f t="shared" si="43"/>
        <v>0.35436174242424251</v>
      </c>
    </row>
    <row r="712" spans="1:33" x14ac:dyDescent="0.25">
      <c r="A712" s="9">
        <v>44419</v>
      </c>
      <c r="B712" s="3">
        <v>34.385931235799994</v>
      </c>
      <c r="C712" s="3">
        <v>26.198648359813575</v>
      </c>
      <c r="D712" s="3">
        <v>48.698891460444251</v>
      </c>
      <c r="E712" s="3">
        <v>133.54917013575962</v>
      </c>
      <c r="F712" s="3">
        <v>89.575394582921533</v>
      </c>
      <c r="G712" s="3">
        <v>51.375020395377497</v>
      </c>
      <c r="H712" s="3">
        <v>206.51203844605752</v>
      </c>
      <c r="I712" s="2">
        <v>44.989105360232074</v>
      </c>
      <c r="J712" s="23">
        <v>44419</v>
      </c>
      <c r="K712" s="24">
        <v>109.64583333333333</v>
      </c>
      <c r="L712" s="24">
        <v>92.070833333333326</v>
      </c>
      <c r="M712" s="24">
        <v>21.856249999999999</v>
      </c>
      <c r="N712" s="24">
        <v>34.800000000000011</v>
      </c>
      <c r="O712" s="24">
        <v>216.77083333333334</v>
      </c>
      <c r="P712" s="24">
        <v>0.91666666666666663</v>
      </c>
      <c r="Q712" s="24">
        <v>0</v>
      </c>
      <c r="R712" s="24">
        <v>20.472916666666666</v>
      </c>
      <c r="S712" s="10">
        <v>0.22252885022285995</v>
      </c>
      <c r="T712" s="25">
        <v>0.31981250000000006</v>
      </c>
      <c r="U712" s="25">
        <v>0.3949791666666666</v>
      </c>
      <c r="V712" s="25">
        <v>0.45750000000000002</v>
      </c>
      <c r="W712" s="25">
        <v>0.43174999999999991</v>
      </c>
      <c r="X712" s="25">
        <v>0.44777083333333317</v>
      </c>
      <c r="Y712" s="25">
        <v>0.37014583333333334</v>
      </c>
      <c r="Z712" s="25">
        <v>0.33827083333333358</v>
      </c>
      <c r="AA712" s="25">
        <v>0.29239583333333302</v>
      </c>
      <c r="AB712" s="25">
        <v>0.41981249999999992</v>
      </c>
      <c r="AC712" s="25">
        <v>0.29084782608695653</v>
      </c>
      <c r="AD712" s="25">
        <v>0.47829166666666673</v>
      </c>
      <c r="AE712" s="27">
        <f t="shared" si="41"/>
        <v>0.38379166666666664</v>
      </c>
      <c r="AF712" s="27">
        <f t="shared" si="42"/>
        <v>0.38084027777777774</v>
      </c>
      <c r="AG712" s="27">
        <f t="shared" si="43"/>
        <v>0.38137689393939395</v>
      </c>
    </row>
    <row r="713" spans="1:33" x14ac:dyDescent="0.25">
      <c r="A713" s="9">
        <v>44420</v>
      </c>
      <c r="B713" s="3">
        <v>37.526373428400007</v>
      </c>
      <c r="C713" s="3">
        <v>51.778201478708681</v>
      </c>
      <c r="D713" s="3">
        <v>288.79487123506215</v>
      </c>
      <c r="E713" s="3">
        <v>556.63217282400626</v>
      </c>
      <c r="F713" s="3">
        <v>315.23647254842246</v>
      </c>
      <c r="G713" s="3">
        <v>296.8216804509496</v>
      </c>
      <c r="H713" s="3">
        <v>415.16462849720904</v>
      </c>
      <c r="I713" s="2">
        <v>259.92674557089657</v>
      </c>
      <c r="J713" s="23">
        <v>44420</v>
      </c>
      <c r="K713" s="24">
        <v>178.66666666666666</v>
      </c>
      <c r="L713" s="24">
        <v>86.414583333333326</v>
      </c>
      <c r="M713" s="24">
        <v>23.439583333333331</v>
      </c>
      <c r="N713" s="24">
        <v>13.8</v>
      </c>
      <c r="O713" s="24">
        <v>228.27083333333334</v>
      </c>
      <c r="P713" s="24">
        <v>4.229166666666667</v>
      </c>
      <c r="Q713" s="24">
        <v>0.22916666666666666</v>
      </c>
      <c r="R713" s="24">
        <v>20.910416666666666</v>
      </c>
      <c r="S713" s="10">
        <v>0.44772252230613546</v>
      </c>
      <c r="T713" s="25">
        <v>0.31127083333333333</v>
      </c>
      <c r="U713" s="25">
        <v>0.40020833333333344</v>
      </c>
      <c r="V713" s="25">
        <v>0.46531249999999985</v>
      </c>
      <c r="W713" s="25">
        <v>0.43793750000000015</v>
      </c>
      <c r="X713" s="25">
        <v>0.45381250000000034</v>
      </c>
      <c r="Y713" s="25">
        <v>0.36287500000000006</v>
      </c>
      <c r="Z713" s="25">
        <v>0.3399583333333332</v>
      </c>
      <c r="AA713" s="25">
        <v>0.29362500000000008</v>
      </c>
      <c r="AB713" s="25">
        <v>0.43120833333333314</v>
      </c>
      <c r="AC713" s="25">
        <v>0.28708333333333336</v>
      </c>
      <c r="AD713" s="25">
        <v>0.48279166666666667</v>
      </c>
      <c r="AE713" s="27">
        <f t="shared" si="41"/>
        <v>0.38254166666666684</v>
      </c>
      <c r="AF713" s="27">
        <f t="shared" si="42"/>
        <v>0.38331944444444449</v>
      </c>
      <c r="AG713" s="27">
        <f t="shared" si="43"/>
        <v>0.38317803030303038</v>
      </c>
    </row>
    <row r="714" spans="1:33" s="50" customFormat="1" x14ac:dyDescent="0.25">
      <c r="A714" s="44">
        <v>44421</v>
      </c>
      <c r="B714" s="45">
        <v>10.814812268400003</v>
      </c>
      <c r="C714" s="45">
        <v>28.6995119406794</v>
      </c>
      <c r="D714" s="45">
        <v>99.024858462875599</v>
      </c>
      <c r="E714" s="45">
        <v>212.33262036962839</v>
      </c>
      <c r="F714" s="45">
        <v>118.58130926241448</v>
      </c>
      <c r="G714" s="45">
        <v>128.10282711825781</v>
      </c>
      <c r="H714" s="45">
        <v>223.12849090839677</v>
      </c>
      <c r="I714" s="52">
        <v>112.17964570745836</v>
      </c>
      <c r="J714" s="46">
        <v>44421</v>
      </c>
      <c r="K714" s="47">
        <v>94.4375</v>
      </c>
      <c r="L714" s="47">
        <v>90.629166666666677</v>
      </c>
      <c r="M714" s="47">
        <v>22.352083333333329</v>
      </c>
      <c r="N714" s="47">
        <v>12.7</v>
      </c>
      <c r="O714" s="47">
        <v>229.29166666666666</v>
      </c>
      <c r="P714" s="47">
        <v>3.5625</v>
      </c>
      <c r="Q714" s="47">
        <v>0.14583333333333334</v>
      </c>
      <c r="R714" s="47">
        <v>20.710416666666664</v>
      </c>
      <c r="S714" s="48">
        <v>0.26891935664471672</v>
      </c>
      <c r="T714" s="49">
        <v>0.38485416666666672</v>
      </c>
      <c r="U714" s="49">
        <v>0.50793749999999982</v>
      </c>
      <c r="V714" s="49">
        <v>0.56335416666666649</v>
      </c>
      <c r="W714" s="49">
        <v>0.53893749999999996</v>
      </c>
      <c r="X714" s="49">
        <v>0.52043750000000011</v>
      </c>
      <c r="Y714" s="49">
        <v>0.39381249999999984</v>
      </c>
      <c r="Z714" s="49">
        <v>0.35858333333333309</v>
      </c>
      <c r="AA714" s="49">
        <v>0.30570833333333319</v>
      </c>
      <c r="AB714" s="49">
        <v>0.46166666666666661</v>
      </c>
      <c r="AC714" s="49">
        <v>0.31580000000000008</v>
      </c>
      <c r="AD714" s="49">
        <v>0.51200000000000012</v>
      </c>
      <c r="AE714" s="51">
        <f t="shared" si="41"/>
        <v>0.45264583333333341</v>
      </c>
      <c r="AF714" s="51">
        <f t="shared" si="42"/>
        <v>0.44472222222222202</v>
      </c>
      <c r="AG714" s="51">
        <f t="shared" si="43"/>
        <v>0.44616287878787864</v>
      </c>
    </row>
    <row r="715" spans="1:33" x14ac:dyDescent="0.25">
      <c r="A715" s="9">
        <v>44422</v>
      </c>
      <c r="B715" s="3">
        <v>0.89734741559999998</v>
      </c>
      <c r="C715" s="3">
        <v>2.2119767137737303</v>
      </c>
      <c r="D715" s="3">
        <v>31.71613224752554</v>
      </c>
      <c r="E715" s="3">
        <v>177.86492552936781</v>
      </c>
      <c r="F715" s="3">
        <v>117.84629148682367</v>
      </c>
      <c r="G715" s="3">
        <v>99.912424010815542</v>
      </c>
      <c r="H715" s="3">
        <v>256.99874538189198</v>
      </c>
      <c r="I715" s="2">
        <v>87.493309706271177</v>
      </c>
      <c r="J715" s="23">
        <v>44422</v>
      </c>
      <c r="K715" s="24">
        <v>77.458333333333329</v>
      </c>
      <c r="L715" s="24">
        <v>88.366666666666632</v>
      </c>
      <c r="M715" s="24">
        <v>20.262499999999999</v>
      </c>
      <c r="N715" s="24">
        <v>0</v>
      </c>
      <c r="O715" s="24">
        <v>215.60416666666666</v>
      </c>
      <c r="P715" s="24">
        <v>1.1041666666666667</v>
      </c>
      <c r="Q715" s="24">
        <v>0</v>
      </c>
      <c r="R715" s="24">
        <v>18.256250000000005</v>
      </c>
      <c r="S715" s="10">
        <v>0.28285461135652545</v>
      </c>
      <c r="T715" s="25">
        <v>0.39891666666666681</v>
      </c>
      <c r="U715" s="25">
        <v>0.5145833333333335</v>
      </c>
      <c r="V715" s="25">
        <v>0.57733333333333348</v>
      </c>
      <c r="W715" s="25">
        <v>0.57575000000000032</v>
      </c>
      <c r="X715" s="25">
        <v>0.5274791666666665</v>
      </c>
      <c r="Y715" s="25">
        <v>0.39462499999999984</v>
      </c>
      <c r="Z715" s="25">
        <v>0.36185416666666681</v>
      </c>
      <c r="AA715" s="25">
        <v>0.30627083333333321</v>
      </c>
      <c r="AB715" s="25">
        <v>0.4459583333333334</v>
      </c>
      <c r="AC715" s="25">
        <v>0.30053571428571429</v>
      </c>
      <c r="AD715" s="25">
        <v>0.49683333333333329</v>
      </c>
      <c r="AE715" s="27">
        <f t="shared" si="41"/>
        <v>0.46319791666666665</v>
      </c>
      <c r="AF715" s="27">
        <f t="shared" si="42"/>
        <v>0.45506944444444453</v>
      </c>
      <c r="AG715" s="27">
        <f t="shared" si="43"/>
        <v>0.45654734848484851</v>
      </c>
    </row>
    <row r="716" spans="1:33" x14ac:dyDescent="0.25">
      <c r="A716" s="9">
        <v>44423</v>
      </c>
      <c r="B716" s="3">
        <v>12.222314751599997</v>
      </c>
      <c r="C716" s="3">
        <v>24.126868060377625</v>
      </c>
      <c r="D716" s="3">
        <v>2.1771031436701178</v>
      </c>
      <c r="E716" s="3">
        <v>22.789622415531941</v>
      </c>
      <c r="F716" s="3">
        <v>39.041509217751731</v>
      </c>
      <c r="G716" s="3">
        <v>25.792360285521649</v>
      </c>
      <c r="H716" s="3">
        <v>83.919186578099954</v>
      </c>
      <c r="I716" s="2">
        <v>22.586369902031308</v>
      </c>
      <c r="J716" s="23">
        <v>44423</v>
      </c>
      <c r="K716" s="24">
        <v>72.5</v>
      </c>
      <c r="L716" s="24">
        <v>93.879166666666649</v>
      </c>
      <c r="M716" s="24">
        <v>19.716666666666658</v>
      </c>
      <c r="N716" s="24">
        <v>8.3000000000000007</v>
      </c>
      <c r="O716" s="24">
        <v>279.10416666666669</v>
      </c>
      <c r="P716" s="24">
        <v>1.4375</v>
      </c>
      <c r="Q716" s="24">
        <v>0</v>
      </c>
      <c r="R716" s="24">
        <v>18.689583333333335</v>
      </c>
      <c r="S716" s="10">
        <v>0.14461975147830916</v>
      </c>
      <c r="T716" s="25">
        <v>0.4030416666666668</v>
      </c>
      <c r="U716" s="25">
        <v>0.51272916666666668</v>
      </c>
      <c r="V716" s="25">
        <v>0.57427083333333295</v>
      </c>
      <c r="W716" s="25">
        <v>0.57277083333333312</v>
      </c>
      <c r="X716" s="25">
        <v>0.52577083333333285</v>
      </c>
      <c r="Y716" s="25">
        <v>0.3887083333333336</v>
      </c>
      <c r="Z716" s="25">
        <v>0.35952083333333346</v>
      </c>
      <c r="AA716" s="25">
        <v>0.30672916666666677</v>
      </c>
      <c r="AB716" s="25">
        <v>0.44887500000000008</v>
      </c>
      <c r="AC716" s="25">
        <v>0.28791666666666665</v>
      </c>
      <c r="AD716" s="25">
        <v>0.50189583333333354</v>
      </c>
      <c r="AE716" s="27">
        <f t="shared" si="41"/>
        <v>0.4644062499999998</v>
      </c>
      <c r="AF716" s="27">
        <f t="shared" si="42"/>
        <v>0.45245486111111116</v>
      </c>
      <c r="AG716" s="27">
        <f t="shared" si="43"/>
        <v>0.45462784090909092</v>
      </c>
    </row>
    <row r="717" spans="1:33" x14ac:dyDescent="0.25">
      <c r="A717" s="9">
        <v>44424</v>
      </c>
      <c r="B717" s="3">
        <v>9.6758211005999986</v>
      </c>
      <c r="C717" s="3">
        <v>30.652030333430893</v>
      </c>
      <c r="D717" s="3">
        <v>223.53471683859902</v>
      </c>
      <c r="E717" s="3">
        <v>367.88247992586611</v>
      </c>
      <c r="F717" s="3">
        <v>278.97177217008499</v>
      </c>
      <c r="G717" s="3">
        <v>255.66552378670619</v>
      </c>
      <c r="H717" s="3">
        <v>361.85102005930463</v>
      </c>
      <c r="I717" s="2">
        <v>223.88629918001863</v>
      </c>
      <c r="J717" s="23">
        <v>44424</v>
      </c>
      <c r="K717" s="24">
        <v>157.20833333333334</v>
      </c>
      <c r="L717" s="24">
        <v>89.34166666666664</v>
      </c>
      <c r="M717" s="24">
        <v>21.793750000000006</v>
      </c>
      <c r="N717" s="24">
        <v>3.7</v>
      </c>
      <c r="O717" s="24">
        <v>227.6875</v>
      </c>
      <c r="P717" s="24">
        <v>7.833333333333333</v>
      </c>
      <c r="Q717" s="24">
        <v>0.89583333333333337</v>
      </c>
      <c r="R717" s="24">
        <v>19.883333333333336</v>
      </c>
      <c r="S717" s="10">
        <v>0.30852680819944917</v>
      </c>
      <c r="T717" s="25">
        <v>0.44356249999999992</v>
      </c>
      <c r="U717" s="25">
        <v>0.54422916666666676</v>
      </c>
      <c r="V717" s="25">
        <v>0.59462499999999985</v>
      </c>
      <c r="W717" s="25">
        <v>0.60747916666666668</v>
      </c>
      <c r="X717" s="25">
        <v>0.5499791666666668</v>
      </c>
      <c r="Y717" s="25">
        <v>0.41245833333333298</v>
      </c>
      <c r="Z717" s="25">
        <v>0.36272916666666694</v>
      </c>
      <c r="AA717" s="25">
        <v>0.30714583333333351</v>
      </c>
      <c r="AB717" s="25">
        <v>0.45785416666666684</v>
      </c>
      <c r="AC717" s="25">
        <v>0.30409999999999993</v>
      </c>
      <c r="AD717" s="25">
        <v>0.51304166666666684</v>
      </c>
      <c r="AE717" s="27">
        <f t="shared" si="41"/>
        <v>0.49677083333333338</v>
      </c>
      <c r="AF717" s="27">
        <f t="shared" si="42"/>
        <v>0.4714444444444445</v>
      </c>
      <c r="AG717" s="27">
        <f t="shared" si="43"/>
        <v>0.47604924242424251</v>
      </c>
    </row>
    <row r="718" spans="1:33" x14ac:dyDescent="0.25">
      <c r="A718" s="9">
        <v>44425</v>
      </c>
      <c r="B718" s="3">
        <v>9.639761759999999</v>
      </c>
      <c r="C718" s="3">
        <v>42.998676909046715</v>
      </c>
      <c r="D718" s="3">
        <v>166.55877480249018</v>
      </c>
      <c r="E718" s="3">
        <v>409.24635418802779</v>
      </c>
      <c r="F718" s="3">
        <v>268.09761198310281</v>
      </c>
      <c r="G718" s="3">
        <v>260.83907951161473</v>
      </c>
      <c r="H718" s="3">
        <v>440.78757059553647</v>
      </c>
      <c r="I718" s="2">
        <v>228.41678192832103</v>
      </c>
      <c r="J718" s="23">
        <v>44425</v>
      </c>
      <c r="K718" s="24">
        <v>133.22916666666666</v>
      </c>
      <c r="L718" s="24">
        <v>85.839583333333323</v>
      </c>
      <c r="M718" s="24">
        <v>22.572916666666671</v>
      </c>
      <c r="N718" s="24">
        <v>1.2</v>
      </c>
      <c r="O718" s="24">
        <v>226.08333333333334</v>
      </c>
      <c r="P718" s="24">
        <v>11.1875</v>
      </c>
      <c r="Q718" s="24">
        <v>1.8958333333333333</v>
      </c>
      <c r="R718" s="24">
        <v>20.029166666666669</v>
      </c>
      <c r="S718" s="10">
        <v>0.4102184430895599</v>
      </c>
      <c r="T718" s="25">
        <v>0.42214583333333344</v>
      </c>
      <c r="U718" s="25">
        <v>0.52552083333333299</v>
      </c>
      <c r="V718" s="25">
        <v>0.58264583333333275</v>
      </c>
      <c r="W718" s="25">
        <v>0.59841666666666671</v>
      </c>
      <c r="X718" s="25">
        <v>0.54610416666666695</v>
      </c>
      <c r="Y718" s="25">
        <v>0.40531250000000013</v>
      </c>
      <c r="Z718" s="25">
        <v>0.36481250000000026</v>
      </c>
      <c r="AA718" s="25">
        <v>0.30795833333333322</v>
      </c>
      <c r="AB718" s="25">
        <v>0.44624999999999987</v>
      </c>
      <c r="AC718" s="25">
        <v>0.28736363636363632</v>
      </c>
      <c r="AD718" s="25">
        <v>0.4895208333333334</v>
      </c>
      <c r="AE718" s="27">
        <f t="shared" si="41"/>
        <v>0.48412500000000019</v>
      </c>
      <c r="AF718" s="27">
        <f t="shared" si="42"/>
        <v>0.46411111111111092</v>
      </c>
      <c r="AG718" s="27">
        <f t="shared" si="43"/>
        <v>0.46774999999999989</v>
      </c>
    </row>
    <row r="719" spans="1:33" x14ac:dyDescent="0.25">
      <c r="A719" s="9">
        <v>44426</v>
      </c>
      <c r="B719" s="3">
        <v>28.937673898200003</v>
      </c>
      <c r="C719" s="3">
        <v>74.32635139856896</v>
      </c>
      <c r="D719" s="3">
        <v>233.18031906589192</v>
      </c>
      <c r="E719" s="3">
        <v>444.06516642776666</v>
      </c>
      <c r="F719" s="3">
        <v>356.96244373028799</v>
      </c>
      <c r="G719" s="3">
        <v>394.16039104955638</v>
      </c>
      <c r="H719" s="3">
        <v>450.29842940158386</v>
      </c>
      <c r="I719" s="2">
        <v>345.16625444209654</v>
      </c>
      <c r="J719" s="23">
        <v>44426</v>
      </c>
      <c r="K719" s="24">
        <v>181.02083333333334</v>
      </c>
      <c r="L719" s="24">
        <v>85.170833333333334</v>
      </c>
      <c r="M719" s="24">
        <v>22.912499999999998</v>
      </c>
      <c r="N719" s="24">
        <v>29.299999999999997</v>
      </c>
      <c r="O719" s="24">
        <v>230.95833333333334</v>
      </c>
      <c r="P719" s="24">
        <v>8.3958333333333339</v>
      </c>
      <c r="Q719" s="24">
        <v>0.70833333333333337</v>
      </c>
      <c r="R719" s="24">
        <v>20.156249999999996</v>
      </c>
      <c r="S719" s="10">
        <v>0.46800702206195832</v>
      </c>
      <c r="T719" s="25">
        <v>0.45193749999999988</v>
      </c>
      <c r="U719" s="25">
        <v>0.55143750000000014</v>
      </c>
      <c r="V719" s="25">
        <v>0.59687500000000004</v>
      </c>
      <c r="W719" s="25">
        <v>0.62056250000000002</v>
      </c>
      <c r="X719" s="25">
        <v>0.60239583333333313</v>
      </c>
      <c r="Y719" s="25">
        <v>0.46762500000000018</v>
      </c>
      <c r="Z719" s="25">
        <v>0.42162499999999986</v>
      </c>
      <c r="AA719" s="25">
        <v>0.36399999999999988</v>
      </c>
      <c r="AB719" s="25">
        <v>0.47249999999999992</v>
      </c>
      <c r="AC719" s="25">
        <v>0.32561538461538464</v>
      </c>
      <c r="AD719" s="25">
        <v>0.51691666666666669</v>
      </c>
      <c r="AE719" s="27">
        <f t="shared" si="41"/>
        <v>0.52716666666666656</v>
      </c>
      <c r="AF719" s="27">
        <f t="shared" si="42"/>
        <v>0.50368749999999995</v>
      </c>
      <c r="AG719" s="27">
        <f t="shared" si="43"/>
        <v>0.50795643939393931</v>
      </c>
    </row>
    <row r="720" spans="1:33" x14ac:dyDescent="0.25">
      <c r="A720" s="9">
        <v>44427</v>
      </c>
      <c r="B720" s="3">
        <v>29.205910911599997</v>
      </c>
      <c r="C720" s="3">
        <v>115.11425825241091</v>
      </c>
      <c r="D720" s="3">
        <v>361.33830897217956</v>
      </c>
      <c r="E720" s="3">
        <v>584.5025826679323</v>
      </c>
      <c r="F720" s="3">
        <v>442.38354612576279</v>
      </c>
      <c r="G720" s="3">
        <v>462.11944594793817</v>
      </c>
      <c r="H720" s="3">
        <v>574.0789106277449</v>
      </c>
      <c r="I720" s="2">
        <v>404.67799881660949</v>
      </c>
      <c r="J720" s="23">
        <v>44427</v>
      </c>
      <c r="K720" s="24">
        <v>203.89583333333334</v>
      </c>
      <c r="L720" s="24">
        <v>79.899999999999977</v>
      </c>
      <c r="M720" s="24">
        <v>23.966666666666665</v>
      </c>
      <c r="N720" s="24">
        <v>0</v>
      </c>
      <c r="O720" s="24">
        <v>229.29166666666666</v>
      </c>
      <c r="P720" s="24">
        <v>8.0833333333333339</v>
      </c>
      <c r="Q720" s="24">
        <v>0.5</v>
      </c>
      <c r="R720" s="24">
        <v>20.131250000000001</v>
      </c>
      <c r="S720" s="10">
        <v>0.65877077834560704</v>
      </c>
      <c r="T720" s="25">
        <v>0.42654166666666676</v>
      </c>
      <c r="U720" s="25">
        <v>0.53318750000000004</v>
      </c>
      <c r="V720" s="25">
        <v>0.58435416666666651</v>
      </c>
      <c r="W720" s="25">
        <v>0.60375000000000012</v>
      </c>
      <c r="X720" s="25">
        <v>0.606375</v>
      </c>
      <c r="Y720" s="25">
        <v>0.47639583333333335</v>
      </c>
      <c r="Z720" s="25">
        <v>0.46266666666666639</v>
      </c>
      <c r="AA720" s="25">
        <v>0.40374999999999966</v>
      </c>
      <c r="AB720" s="25">
        <v>0.44854166666666678</v>
      </c>
      <c r="AC720" s="25">
        <v>0.2878</v>
      </c>
      <c r="AD720" s="25">
        <v>0.48864583333333339</v>
      </c>
      <c r="AE720" s="27">
        <f t="shared" si="41"/>
        <v>0.51645833333333335</v>
      </c>
      <c r="AF720" s="27">
        <f t="shared" si="42"/>
        <v>0.51068402777777766</v>
      </c>
      <c r="AG720" s="27">
        <f t="shared" si="43"/>
        <v>0.51173390151515141</v>
      </c>
    </row>
    <row r="721" spans="1:33" s="50" customFormat="1" x14ac:dyDescent="0.25">
      <c r="A721" s="44">
        <v>44428</v>
      </c>
      <c r="B721" s="45">
        <v>18.2607863436</v>
      </c>
      <c r="C721" s="45">
        <v>128.63120668547606</v>
      </c>
      <c r="D721" s="45">
        <v>457.27666099019876</v>
      </c>
      <c r="E721" s="45">
        <v>668.14782106672988</v>
      </c>
      <c r="F721" s="45">
        <v>430.30758089244881</v>
      </c>
      <c r="G721" s="45">
        <v>465.38337944279834</v>
      </c>
      <c r="H721" s="45">
        <v>561.31266942161608</v>
      </c>
      <c r="I721" s="52">
        <v>407.53622537805853</v>
      </c>
      <c r="J721" s="46">
        <v>44428</v>
      </c>
      <c r="K721" s="47">
        <v>224.10416666666666</v>
      </c>
      <c r="L721" s="47">
        <v>80.262500000000003</v>
      </c>
      <c r="M721" s="47">
        <v>24.320833333333329</v>
      </c>
      <c r="N721" s="47">
        <v>0</v>
      </c>
      <c r="O721" s="47">
        <v>235.52083333333334</v>
      </c>
      <c r="P721" s="47">
        <v>8.2916666666666661</v>
      </c>
      <c r="Q721" s="47">
        <v>0.39583333333333331</v>
      </c>
      <c r="R721" s="47">
        <v>20.560416666666672</v>
      </c>
      <c r="S721" s="48">
        <v>0.65920919768322139</v>
      </c>
      <c r="T721" s="49">
        <v>0.39987500000000026</v>
      </c>
      <c r="U721" s="49">
        <v>0.5173125000000004</v>
      </c>
      <c r="V721" s="49">
        <v>0.57012499999999999</v>
      </c>
      <c r="W721" s="49">
        <v>0.59506250000000016</v>
      </c>
      <c r="X721" s="49">
        <v>0.59508333333333341</v>
      </c>
      <c r="Y721" s="49">
        <v>0.46722916666666681</v>
      </c>
      <c r="Z721" s="49">
        <v>0.45583333333333315</v>
      </c>
      <c r="AA721" s="49">
        <v>0.39674999999999977</v>
      </c>
      <c r="AB721" s="49">
        <v>0.43229166666666646</v>
      </c>
      <c r="AC721" s="49">
        <v>0.26493333333333335</v>
      </c>
      <c r="AD721" s="49">
        <v>0.45995833333333352</v>
      </c>
      <c r="AE721" s="51">
        <f t="shared" si="41"/>
        <v>0.49747916666666681</v>
      </c>
      <c r="AF721" s="51">
        <f t="shared" si="42"/>
        <v>0.50038541666666669</v>
      </c>
      <c r="AG721" s="51">
        <f t="shared" si="43"/>
        <v>0.49985700757575763</v>
      </c>
    </row>
    <row r="722" spans="1:33" x14ac:dyDescent="0.25">
      <c r="A722" s="9">
        <v>44429</v>
      </c>
      <c r="B722" s="3">
        <v>20.019717568800001</v>
      </c>
      <c r="C722" s="3">
        <v>139.14521071604287</v>
      </c>
      <c r="D722" s="3">
        <v>470.30652214565634</v>
      </c>
      <c r="E722" s="3">
        <v>697.56524884557484</v>
      </c>
      <c r="F722" s="3">
        <v>434.38793425094303</v>
      </c>
      <c r="G722" s="3">
        <v>479.13228566194715</v>
      </c>
      <c r="H722" s="3">
        <v>606.02551819642758</v>
      </c>
      <c r="I722" s="2">
        <v>419.57614255416712</v>
      </c>
      <c r="J722" s="23">
        <v>44429</v>
      </c>
      <c r="K722" s="24">
        <v>227.04166666666666</v>
      </c>
      <c r="L722" s="24">
        <v>79.872916666666669</v>
      </c>
      <c r="M722" s="24">
        <v>24.708333333333332</v>
      </c>
      <c r="N722" s="24">
        <v>0</v>
      </c>
      <c r="O722" s="24">
        <v>236.58333333333334</v>
      </c>
      <c r="P722" s="24">
        <v>9.9791666666666661</v>
      </c>
      <c r="Q722" s="24">
        <v>1.1666666666666667</v>
      </c>
      <c r="R722" s="24">
        <v>20.872916666666672</v>
      </c>
      <c r="S722" s="10">
        <v>0.68056465612410033</v>
      </c>
      <c r="T722" s="25">
        <v>0.37106250000000002</v>
      </c>
      <c r="U722" s="25">
        <v>0.50175000000000003</v>
      </c>
      <c r="V722" s="25">
        <v>0.55312500000000042</v>
      </c>
      <c r="W722" s="25">
        <v>0.58533333333333315</v>
      </c>
      <c r="X722" s="25">
        <v>0.58081249999999995</v>
      </c>
      <c r="Y722" s="25">
        <v>0.45356249999999987</v>
      </c>
      <c r="Z722" s="25">
        <v>0.44504166666666684</v>
      </c>
      <c r="AA722" s="25">
        <v>0.38693749999999988</v>
      </c>
      <c r="AB722" s="25">
        <v>0.41308333333333319</v>
      </c>
      <c r="AC722" s="25">
        <v>0.23459999999999998</v>
      </c>
      <c r="AD722" s="25">
        <v>0.43560416666666663</v>
      </c>
      <c r="AE722" s="27">
        <f t="shared" si="41"/>
        <v>0.47593750000000001</v>
      </c>
      <c r="AF722" s="27">
        <f t="shared" si="42"/>
        <v>0.48762500000000003</v>
      </c>
      <c r="AG722" s="27">
        <f t="shared" si="43"/>
        <v>0.48549999999999999</v>
      </c>
    </row>
    <row r="723" spans="1:33" x14ac:dyDescent="0.25">
      <c r="A723" s="9">
        <v>44430</v>
      </c>
      <c r="B723" s="3">
        <v>13.343193297000001</v>
      </c>
      <c r="C723" s="3">
        <v>126.82725161058235</v>
      </c>
      <c r="D723" s="3">
        <v>454.43357749349701</v>
      </c>
      <c r="E723" s="3">
        <v>721.84329212394448</v>
      </c>
      <c r="F723" s="3">
        <v>439.75261321575505</v>
      </c>
      <c r="G723" s="3">
        <v>472.54032276531166</v>
      </c>
      <c r="H723" s="3">
        <v>660.56851978360021</v>
      </c>
      <c r="I723" s="2">
        <v>413.80356064558345</v>
      </c>
      <c r="J723" s="23">
        <v>44430</v>
      </c>
      <c r="K723" s="24">
        <v>210.79166666666666</v>
      </c>
      <c r="L723" s="24">
        <v>79.329166666666666</v>
      </c>
      <c r="M723" s="24">
        <v>24.7</v>
      </c>
      <c r="N723" s="24">
        <v>0</v>
      </c>
      <c r="O723" s="24">
        <v>227.9375</v>
      </c>
      <c r="P723" s="24">
        <v>13.25</v>
      </c>
      <c r="Q723" s="24">
        <v>2.2708333333333335</v>
      </c>
      <c r="R723" s="24">
        <v>20.80833333333333</v>
      </c>
      <c r="S723" s="10">
        <v>0.67612427235141004</v>
      </c>
      <c r="T723" s="25">
        <v>0.33600000000000008</v>
      </c>
      <c r="U723" s="25">
        <v>0.48083333333333328</v>
      </c>
      <c r="V723" s="25">
        <v>0.53141666666666643</v>
      </c>
      <c r="W723" s="25">
        <v>0.57050000000000001</v>
      </c>
      <c r="X723" s="25">
        <v>0.56041666666666645</v>
      </c>
      <c r="Y723" s="25">
        <v>0.43372916666666655</v>
      </c>
      <c r="Z723" s="25">
        <v>0.4306666666666667</v>
      </c>
      <c r="AA723" s="25">
        <v>0.37458333333333343</v>
      </c>
      <c r="AB723" s="25">
        <v>0.39118750000000002</v>
      </c>
      <c r="AC723" s="25">
        <v>0.20431578947368423</v>
      </c>
      <c r="AD723" s="25">
        <v>0.40454166666666674</v>
      </c>
      <c r="AE723" s="27">
        <f t="shared" si="41"/>
        <v>0.44820833333333326</v>
      </c>
      <c r="AF723" s="27">
        <f t="shared" si="42"/>
        <v>0.47028819444444436</v>
      </c>
      <c r="AG723" s="27">
        <f t="shared" si="43"/>
        <v>0.46627367424242416</v>
      </c>
    </row>
    <row r="724" spans="1:33" x14ac:dyDescent="0.25">
      <c r="A724" s="9">
        <v>44431</v>
      </c>
      <c r="B724" s="3">
        <v>11.090662352999999</v>
      </c>
      <c r="C724" s="3">
        <v>117.04185003396687</v>
      </c>
      <c r="D724" s="3">
        <v>351.05463891626306</v>
      </c>
      <c r="E724" s="3">
        <v>626.0929006764627</v>
      </c>
      <c r="F724" s="3">
        <v>413.20790984878136</v>
      </c>
      <c r="G724" s="3">
        <v>386.94238345390903</v>
      </c>
      <c r="H724" s="3">
        <v>585.34404976340932</v>
      </c>
      <c r="I724" s="2">
        <v>338.84544519058818</v>
      </c>
      <c r="J724" s="23">
        <v>44431</v>
      </c>
      <c r="K724" s="24">
        <v>163.77083333333334</v>
      </c>
      <c r="L724" s="24">
        <v>81.50208333333336</v>
      </c>
      <c r="M724" s="24">
        <v>24.466666666666665</v>
      </c>
      <c r="N724" s="24">
        <v>12.4</v>
      </c>
      <c r="O724" s="24">
        <v>226.89583333333334</v>
      </c>
      <c r="P724" s="24">
        <v>10.1875</v>
      </c>
      <c r="Q724" s="24">
        <v>1.5208333333333333</v>
      </c>
      <c r="R724" s="24">
        <v>21.008333333333329</v>
      </c>
      <c r="S724" s="10">
        <v>0.60689816308951761</v>
      </c>
      <c r="T724" s="25">
        <v>0.30816666666666653</v>
      </c>
      <c r="U724" s="25">
        <v>0.45916666666666689</v>
      </c>
      <c r="V724" s="25">
        <v>0.50950000000000029</v>
      </c>
      <c r="W724" s="25">
        <v>0.55218750000000028</v>
      </c>
      <c r="X724" s="25">
        <v>0.53854166666666659</v>
      </c>
      <c r="Y724" s="25">
        <v>0.41275000000000012</v>
      </c>
      <c r="Z724" s="25">
        <v>0.41564583333333333</v>
      </c>
      <c r="AA724" s="25">
        <v>0.36179166666666657</v>
      </c>
      <c r="AB724" s="25">
        <v>0.37110416666666673</v>
      </c>
      <c r="AC724" s="25">
        <v>0.18272000000000002</v>
      </c>
      <c r="AD724" s="25">
        <v>0.36885416666666671</v>
      </c>
      <c r="AE724" s="27">
        <f t="shared" si="41"/>
        <v>0.42335416666666659</v>
      </c>
      <c r="AF724" s="27">
        <f t="shared" si="42"/>
        <v>0.45184027777777791</v>
      </c>
      <c r="AG724" s="27">
        <f t="shared" si="43"/>
        <v>0.44666098484848493</v>
      </c>
    </row>
    <row r="725" spans="1:33" x14ac:dyDescent="0.25">
      <c r="A725" s="9">
        <v>44432</v>
      </c>
      <c r="B725" s="3">
        <v>21.340455402599996</v>
      </c>
      <c r="C725" s="3">
        <v>29.252784296612074</v>
      </c>
      <c r="D725" s="3">
        <v>105.28278831112392</v>
      </c>
      <c r="E725" s="3">
        <v>250.56142119872962</v>
      </c>
      <c r="F725" s="3">
        <v>148.14529641391792</v>
      </c>
      <c r="G725" s="3">
        <v>134.32586911964214</v>
      </c>
      <c r="H725" s="3">
        <v>263.74191122637143</v>
      </c>
      <c r="I725" s="2">
        <v>117.62916358807063</v>
      </c>
      <c r="J725" s="23">
        <v>44432</v>
      </c>
      <c r="K725" s="24">
        <v>100.04166666666667</v>
      </c>
      <c r="L725" s="24">
        <v>90.339583333333323</v>
      </c>
      <c r="M725" s="24">
        <v>21.341666666666665</v>
      </c>
      <c r="N725" s="24">
        <v>11.2</v>
      </c>
      <c r="O725" s="24">
        <v>246.79166666666666</v>
      </c>
      <c r="P725" s="24">
        <v>1.3333333333333333</v>
      </c>
      <c r="Q725" s="24">
        <v>0</v>
      </c>
      <c r="R725" s="24">
        <v>19.616666666666671</v>
      </c>
      <c r="S725" s="10">
        <v>0.27182000674144152</v>
      </c>
      <c r="T725" s="25">
        <v>0.32579166666666654</v>
      </c>
      <c r="U725" s="25">
        <v>0.45852083333333343</v>
      </c>
      <c r="V725" s="25">
        <v>0.50335416666666688</v>
      </c>
      <c r="W725" s="25">
        <v>0.54110416666666628</v>
      </c>
      <c r="X725" s="25">
        <v>0.53662500000000013</v>
      </c>
      <c r="Y725" s="25">
        <v>0.40362499999999973</v>
      </c>
      <c r="Z725" s="25">
        <v>0.40635416666666657</v>
      </c>
      <c r="AA725" s="25">
        <v>0.35647916666666674</v>
      </c>
      <c r="AB725" s="25">
        <v>0.45633333333333326</v>
      </c>
      <c r="AC725" s="25">
        <v>0.30941176470588244</v>
      </c>
      <c r="AD725" s="25">
        <v>0.48785416666666653</v>
      </c>
      <c r="AE725" s="27">
        <f t="shared" si="41"/>
        <v>0.4312083333333333</v>
      </c>
      <c r="AF725" s="27">
        <f t="shared" si="42"/>
        <v>0.44490624999999989</v>
      </c>
      <c r="AG725" s="27">
        <f t="shared" si="43"/>
        <v>0.44241571969696963</v>
      </c>
    </row>
    <row r="726" spans="1:33" x14ac:dyDescent="0.25">
      <c r="A726" s="9">
        <v>44433</v>
      </c>
      <c r="B726" s="3">
        <v>8.1850368600000021</v>
      </c>
      <c r="C726" s="3">
        <v>51.721812356172862</v>
      </c>
      <c r="D726" s="3">
        <v>222.67263428687508</v>
      </c>
      <c r="E726" s="3">
        <v>446.55733950852016</v>
      </c>
      <c r="F726" s="3">
        <v>294.0965628644567</v>
      </c>
      <c r="G726" s="3">
        <v>271.22454216760741</v>
      </c>
      <c r="H726" s="3">
        <v>250.92655392023124</v>
      </c>
      <c r="I726" s="2">
        <v>237.51133157617383</v>
      </c>
      <c r="J726" s="23">
        <v>44433</v>
      </c>
      <c r="K726" s="24">
        <v>157.35416666666666</v>
      </c>
      <c r="L726" s="24">
        <v>87.487499999999997</v>
      </c>
      <c r="M726" s="24">
        <v>21.910416666666674</v>
      </c>
      <c r="N726" s="24">
        <v>0.2</v>
      </c>
      <c r="O726" s="24">
        <v>225.1875</v>
      </c>
      <c r="P726" s="24">
        <v>7</v>
      </c>
      <c r="Q726" s="24">
        <v>1.0208333333333333</v>
      </c>
      <c r="R726" s="24">
        <v>19.645833333333329</v>
      </c>
      <c r="S726" s="10">
        <v>0.36413263507644117</v>
      </c>
      <c r="T726" s="25">
        <v>0.32216666666666677</v>
      </c>
      <c r="U726" s="25">
        <v>0.45554166666666668</v>
      </c>
      <c r="V726" s="25">
        <v>0.50564583333333346</v>
      </c>
      <c r="W726" s="25">
        <v>0.53737499999999983</v>
      </c>
      <c r="X726" s="25">
        <v>0.53483333333333338</v>
      </c>
      <c r="Y726" s="25">
        <v>0.40141666666666675</v>
      </c>
      <c r="Z726" s="25">
        <v>0.40458333333333324</v>
      </c>
      <c r="AA726" s="25">
        <v>0.35504166666666664</v>
      </c>
      <c r="AB726" s="25">
        <v>0.45012500000000005</v>
      </c>
      <c r="AC726" s="25">
        <v>0.30499999999999999</v>
      </c>
      <c r="AD726" s="25">
        <v>0.48254166666666681</v>
      </c>
      <c r="AE726" s="27">
        <f t="shared" si="41"/>
        <v>0.4285000000000001</v>
      </c>
      <c r="AF726" s="27">
        <f t="shared" si="42"/>
        <v>0.44326736111111109</v>
      </c>
      <c r="AG726" s="27">
        <f t="shared" si="43"/>
        <v>0.44058238636363634</v>
      </c>
    </row>
    <row r="727" spans="1:33" x14ac:dyDescent="0.25">
      <c r="A727" s="9">
        <v>44434</v>
      </c>
      <c r="B727" s="3">
        <v>7.8439573493999992</v>
      </c>
      <c r="C727" s="3">
        <v>69.64290480517181</v>
      </c>
      <c r="D727" s="3">
        <v>320.37193288113593</v>
      </c>
      <c r="E727" s="3">
        <v>563.90966229261699</v>
      </c>
      <c r="F727" s="3">
        <v>407.2965622426965</v>
      </c>
      <c r="G727" s="3">
        <v>364.52113435895149</v>
      </c>
      <c r="H727" s="3">
        <v>397.38124045677409</v>
      </c>
      <c r="I727" s="2">
        <v>319.21115735813385</v>
      </c>
      <c r="J727" s="23">
        <v>44434</v>
      </c>
      <c r="K727" s="24">
        <v>180.95833333333334</v>
      </c>
      <c r="L727" s="24">
        <v>83.104166666666671</v>
      </c>
      <c r="M727" s="24">
        <v>22.035416666666666</v>
      </c>
      <c r="N727" s="24">
        <v>1.8</v>
      </c>
      <c r="O727" s="24">
        <v>207.125</v>
      </c>
      <c r="P727" s="24">
        <v>10.770833333333334</v>
      </c>
      <c r="Q727" s="24">
        <v>1.625</v>
      </c>
      <c r="R727" s="24">
        <v>18.931250000000002</v>
      </c>
      <c r="S727" s="10">
        <v>0.49167302714397509</v>
      </c>
      <c r="T727" s="25">
        <v>0.31204166666666672</v>
      </c>
      <c r="U727" s="25">
        <v>0.44818749999999974</v>
      </c>
      <c r="V727" s="25">
        <v>0.50116666666666687</v>
      </c>
      <c r="W727" s="25">
        <v>0.53054166666666658</v>
      </c>
      <c r="X727" s="25">
        <v>0.52399999999999969</v>
      </c>
      <c r="Y727" s="25">
        <v>0.3966666666666665</v>
      </c>
      <c r="Z727" s="25">
        <v>0.40039583333333312</v>
      </c>
      <c r="AA727" s="25">
        <v>0.35085416666666669</v>
      </c>
      <c r="AB727" s="25">
        <v>0.43674999999999997</v>
      </c>
      <c r="AC727" s="25">
        <v>0.27324999999999999</v>
      </c>
      <c r="AD727" s="25">
        <v>0.4568750000000002</v>
      </c>
      <c r="AE727" s="27">
        <f t="shared" si="41"/>
        <v>0.41802083333333317</v>
      </c>
      <c r="AF727" s="27">
        <f t="shared" si="42"/>
        <v>0.43796874999999996</v>
      </c>
      <c r="AG727" s="27">
        <f t="shared" si="43"/>
        <v>0.43434185606060605</v>
      </c>
    </row>
    <row r="728" spans="1:33" x14ac:dyDescent="0.25">
      <c r="A728" s="9">
        <v>44435</v>
      </c>
      <c r="B728" s="3">
        <v>4.9229390501999983</v>
      </c>
      <c r="C728" s="3">
        <v>36.869796280625188</v>
      </c>
      <c r="D728" s="3">
        <v>181.85894565574992</v>
      </c>
      <c r="E728" s="3">
        <v>364.51173248715361</v>
      </c>
      <c r="F728" s="3">
        <v>251.68047581599373</v>
      </c>
      <c r="G728" s="3">
        <v>207.11642340566468</v>
      </c>
      <c r="H728" s="3">
        <v>341.84950071920582</v>
      </c>
      <c r="I728" s="2">
        <v>181.37185197634057</v>
      </c>
      <c r="J728" s="23">
        <v>44435</v>
      </c>
      <c r="K728" s="24">
        <v>110.4375</v>
      </c>
      <c r="L728" s="24">
        <v>87.24166666666666</v>
      </c>
      <c r="M728" s="24">
        <v>19.270833333333336</v>
      </c>
      <c r="N728" s="24">
        <v>0.7</v>
      </c>
      <c r="O728" s="24">
        <v>206.625</v>
      </c>
      <c r="P728" s="24">
        <v>2.4375</v>
      </c>
      <c r="Q728" s="24">
        <v>4.1666666666666664E-2</v>
      </c>
      <c r="R728" s="24">
        <v>17.020833333333332</v>
      </c>
      <c r="S728" s="10">
        <v>0.31524222487451653</v>
      </c>
      <c r="T728" s="25">
        <v>0.30299999999999999</v>
      </c>
      <c r="U728" s="25">
        <v>0.43947916666666659</v>
      </c>
      <c r="V728" s="25">
        <v>0.49604166666666633</v>
      </c>
      <c r="W728" s="25">
        <v>0.52397916666666677</v>
      </c>
      <c r="X728" s="25">
        <v>0.51156249999999992</v>
      </c>
      <c r="Y728" s="25">
        <v>0.39141666666666658</v>
      </c>
      <c r="Z728" s="25">
        <v>0.39593749999999989</v>
      </c>
      <c r="AA728" s="25">
        <v>0.34779166666666678</v>
      </c>
      <c r="AB728" s="25">
        <v>0.42443750000000008</v>
      </c>
      <c r="AC728" s="25">
        <v>0.2597272727272727</v>
      </c>
      <c r="AD728" s="25">
        <v>0.43797916666666675</v>
      </c>
      <c r="AE728" s="27">
        <f t="shared" si="41"/>
        <v>0.40728124999999993</v>
      </c>
      <c r="AF728" s="27">
        <f t="shared" si="42"/>
        <v>0.43244097222222216</v>
      </c>
      <c r="AG728" s="27">
        <f t="shared" si="43"/>
        <v>0.4278664772727272</v>
      </c>
    </row>
    <row r="729" spans="1:33" x14ac:dyDescent="0.25">
      <c r="A729" s="9">
        <v>44436</v>
      </c>
      <c r="B729" s="3">
        <v>44.663452723799999</v>
      </c>
      <c r="C729" s="3">
        <v>51.497726502180605</v>
      </c>
      <c r="D729" s="3">
        <v>358.83757269816931</v>
      </c>
      <c r="E729" s="3">
        <v>686.30080677188357</v>
      </c>
      <c r="F729" s="3">
        <v>514.18698917638494</v>
      </c>
      <c r="G729" s="3">
        <v>434.30556690831952</v>
      </c>
      <c r="H729" s="3">
        <v>465.07714741065848</v>
      </c>
      <c r="I729" s="2">
        <v>380.32138494161541</v>
      </c>
      <c r="J729" s="23">
        <v>44436</v>
      </c>
      <c r="K729" s="24">
        <v>207.04166666666666</v>
      </c>
      <c r="L729" s="24">
        <v>78.7</v>
      </c>
      <c r="M729" s="24">
        <v>22.045833333333334</v>
      </c>
      <c r="N729" s="24">
        <v>1</v>
      </c>
      <c r="O729" s="24">
        <v>224.375</v>
      </c>
      <c r="P729" s="24">
        <v>12.9375</v>
      </c>
      <c r="Q729" s="24">
        <v>1.5208333333333333</v>
      </c>
      <c r="R729" s="24">
        <v>18.041666666666668</v>
      </c>
      <c r="S729" s="10">
        <v>0.60415036549460588</v>
      </c>
      <c r="T729" s="25">
        <v>0.29179166666666673</v>
      </c>
      <c r="U729" s="25">
        <v>0.42835416666666681</v>
      </c>
      <c r="V729" s="25">
        <v>0.48733333333333356</v>
      </c>
      <c r="W729" s="25">
        <v>0.51512500000000006</v>
      </c>
      <c r="X729" s="25">
        <v>0.50179166666666675</v>
      </c>
      <c r="Y729" s="25">
        <v>0.38502083333333342</v>
      </c>
      <c r="Z729" s="25">
        <v>0.39033333333333359</v>
      </c>
      <c r="AA729" s="25">
        <v>0.34266666666666651</v>
      </c>
      <c r="AB729" s="25">
        <v>0.41745833333333332</v>
      </c>
      <c r="AC729" s="25">
        <v>0.24835714285714286</v>
      </c>
      <c r="AD729" s="25">
        <v>0.42133333333333328</v>
      </c>
      <c r="AE729" s="27">
        <f t="shared" si="41"/>
        <v>0.39679166666666676</v>
      </c>
      <c r="AF729" s="27">
        <f t="shared" si="42"/>
        <v>0.42480555555555566</v>
      </c>
      <c r="AG729" s="27">
        <f t="shared" si="43"/>
        <v>0.41971212121212131</v>
      </c>
    </row>
    <row r="730" spans="1:33" s="50" customFormat="1" x14ac:dyDescent="0.25">
      <c r="A730" s="44">
        <v>44437</v>
      </c>
      <c r="B730" s="45">
        <v>110.32136989740002</v>
      </c>
      <c r="C730" s="45">
        <v>88.312171180969116</v>
      </c>
      <c r="D730" s="45">
        <v>384.2213947712242</v>
      </c>
      <c r="E730" s="45">
        <v>614.20393182032501</v>
      </c>
      <c r="F730" s="45">
        <v>409.33284592327158</v>
      </c>
      <c r="G730" s="45">
        <v>327.60163440234788</v>
      </c>
      <c r="H730" s="45">
        <v>232.87883416874953</v>
      </c>
      <c r="I730" s="52">
        <v>286.88075124613607</v>
      </c>
      <c r="J730" s="46">
        <v>44437</v>
      </c>
      <c r="K730" s="47">
        <v>188.29166666666666</v>
      </c>
      <c r="L730" s="47">
        <v>82.443749999999994</v>
      </c>
      <c r="M730" s="47">
        <v>21.412499999999998</v>
      </c>
      <c r="N730" s="47">
        <v>1.4</v>
      </c>
      <c r="O730" s="47">
        <v>228.66666666666666</v>
      </c>
      <c r="P730" s="47">
        <v>9.5833333333333339</v>
      </c>
      <c r="Q730" s="47">
        <v>0.875</v>
      </c>
      <c r="R730" s="47">
        <v>18.164583333333329</v>
      </c>
      <c r="S730" s="48">
        <v>0.49799996863743634</v>
      </c>
      <c r="T730" s="49">
        <v>0.27729166666666671</v>
      </c>
      <c r="U730" s="49">
        <v>0.41189583333333341</v>
      </c>
      <c r="V730" s="49">
        <v>0.47387499999999999</v>
      </c>
      <c r="W730" s="49">
        <v>0.50187500000000007</v>
      </c>
      <c r="X730" s="49">
        <v>0.48787500000000011</v>
      </c>
      <c r="Y730" s="49">
        <v>0.37464583333333329</v>
      </c>
      <c r="Z730" s="49">
        <v>0.38152083333333314</v>
      </c>
      <c r="AA730" s="49">
        <v>0.33450000000000002</v>
      </c>
      <c r="AB730" s="49">
        <v>0.39831250000000001</v>
      </c>
      <c r="AC730" s="49">
        <v>0.21958333333333335</v>
      </c>
      <c r="AD730" s="49">
        <v>0.37293749999999998</v>
      </c>
      <c r="AE730" s="51">
        <f t="shared" si="41"/>
        <v>0.38258333333333339</v>
      </c>
      <c r="AF730" s="51">
        <f t="shared" si="42"/>
        <v>0.41305208333333338</v>
      </c>
      <c r="AG730" s="51">
        <f t="shared" si="43"/>
        <v>0.40751231060606069</v>
      </c>
    </row>
    <row r="731" spans="1:33" x14ac:dyDescent="0.25">
      <c r="A731" s="9">
        <v>44438</v>
      </c>
      <c r="B731" s="3">
        <v>89.886071143799995</v>
      </c>
      <c r="C731" s="3">
        <v>60.576504964846698</v>
      </c>
      <c r="D731" s="3">
        <v>337.43447876345482</v>
      </c>
      <c r="E731" s="3">
        <v>623.96762596609699</v>
      </c>
      <c r="F731" s="3">
        <v>494.29583333214725</v>
      </c>
      <c r="G731" s="3">
        <v>287.11488340688743</v>
      </c>
      <c r="H731" s="3">
        <v>184.23677140289556</v>
      </c>
      <c r="I731" s="2">
        <v>251.42650339941133</v>
      </c>
      <c r="J731" s="23">
        <v>44438</v>
      </c>
      <c r="K731" s="24">
        <v>162.64583333333334</v>
      </c>
      <c r="L731" s="24">
        <v>80.825000000000003</v>
      </c>
      <c r="M731" s="24">
        <v>21.947916666666661</v>
      </c>
      <c r="N731" s="24">
        <v>0</v>
      </c>
      <c r="O731" s="24">
        <v>232.10416666666666</v>
      </c>
      <c r="P731" s="24">
        <v>12.354166666666666</v>
      </c>
      <c r="Q731" s="24">
        <v>1.8958333333333333</v>
      </c>
      <c r="R731" s="24">
        <v>18.402083333333334</v>
      </c>
      <c r="S731" s="10">
        <v>0.53987922612846562</v>
      </c>
      <c r="T731" s="25">
        <v>0.2683124999999999</v>
      </c>
      <c r="U731" s="25">
        <v>0.39683333333333343</v>
      </c>
      <c r="V731" s="25">
        <v>0.46281249999999985</v>
      </c>
      <c r="W731" s="25">
        <v>0.48929166666666674</v>
      </c>
      <c r="X731" s="25">
        <v>0.47614583333333327</v>
      </c>
      <c r="Y731" s="25">
        <v>0.36602083333333346</v>
      </c>
      <c r="Z731" s="25">
        <v>0.3735833333333331</v>
      </c>
      <c r="AA731" s="25">
        <v>0.32775000000000004</v>
      </c>
      <c r="AB731" s="25">
        <v>0.38487499999999991</v>
      </c>
      <c r="AC731" s="25">
        <v>0.19400000000000001</v>
      </c>
      <c r="AD731" s="25">
        <v>0.33450000000000002</v>
      </c>
      <c r="AE731" s="27">
        <f t="shared" si="41"/>
        <v>0.37222916666666661</v>
      </c>
      <c r="AF731" s="27">
        <f t="shared" si="42"/>
        <v>0.40271527777777777</v>
      </c>
      <c r="AG731" s="27">
        <f t="shared" si="43"/>
        <v>0.39717234848484845</v>
      </c>
    </row>
    <row r="732" spans="1:33" x14ac:dyDescent="0.25">
      <c r="A732" s="9">
        <v>44439</v>
      </c>
      <c r="B732" s="3">
        <v>89.437403430000018</v>
      </c>
      <c r="C732" s="3">
        <v>81.747823061708601</v>
      </c>
      <c r="D732" s="3">
        <v>356.7105345231181</v>
      </c>
      <c r="E732" s="3">
        <v>714.33616174096278</v>
      </c>
      <c r="F732" s="3">
        <v>515.74537284846508</v>
      </c>
      <c r="G732" s="3">
        <v>333.06094655728498</v>
      </c>
      <c r="H732" s="3">
        <v>213.04951494390198</v>
      </c>
      <c r="I732" s="2">
        <v>291.66147090021445</v>
      </c>
      <c r="J732" s="23">
        <v>44439</v>
      </c>
      <c r="K732" s="24">
        <v>165.1875</v>
      </c>
      <c r="L732" s="24">
        <v>78.964583333333323</v>
      </c>
      <c r="M732" s="24">
        <v>22.804166666666671</v>
      </c>
      <c r="N732" s="24">
        <v>0</v>
      </c>
      <c r="O732" s="24">
        <v>228.375</v>
      </c>
      <c r="P732" s="24">
        <v>10.166666666666666</v>
      </c>
      <c r="Q732" s="24">
        <v>0.95833333333333337</v>
      </c>
      <c r="R732" s="24">
        <v>18.870833333333337</v>
      </c>
      <c r="S732" s="10">
        <v>0.61872504115739979</v>
      </c>
      <c r="T732" s="25">
        <v>0.26039583333333333</v>
      </c>
      <c r="U732" s="25">
        <v>0.37983333333333325</v>
      </c>
      <c r="V732" s="25">
        <v>0.45004166666666651</v>
      </c>
      <c r="W732" s="25">
        <v>0.47412500000000013</v>
      </c>
      <c r="X732" s="25">
        <v>0.46502083333333316</v>
      </c>
      <c r="Y732" s="25">
        <v>0.35643749999999996</v>
      </c>
      <c r="Z732" s="25">
        <v>0.36489583333333347</v>
      </c>
      <c r="AA732" s="25">
        <v>0.31985416666666666</v>
      </c>
      <c r="AB732" s="25">
        <v>0.36404166666666676</v>
      </c>
      <c r="AC732" s="25">
        <v>0.17666666666666664</v>
      </c>
      <c r="AD732" s="25">
        <v>0.30512499999999998</v>
      </c>
      <c r="AE732" s="27">
        <f t="shared" si="41"/>
        <v>0.36270833333333324</v>
      </c>
      <c r="AF732" s="27">
        <f t="shared" si="42"/>
        <v>0.39086458333333329</v>
      </c>
      <c r="AG732" s="27">
        <f t="shared" si="43"/>
        <v>0.38574526515151508</v>
      </c>
    </row>
    <row r="733" spans="1:33" x14ac:dyDescent="0.25">
      <c r="A733" s="9">
        <v>44440</v>
      </c>
      <c r="B733" s="3">
        <v>77.660042543999992</v>
      </c>
      <c r="C733" s="3">
        <v>119.90369944260743</v>
      </c>
      <c r="D733" s="3">
        <v>412.91156981441105</v>
      </c>
      <c r="E733" s="3">
        <v>832.87801453430416</v>
      </c>
      <c r="F733" s="3">
        <v>554.03555554677632</v>
      </c>
      <c r="G733" s="3">
        <v>421.69229123012758</v>
      </c>
      <c r="H733" s="3">
        <v>314.92706140365863</v>
      </c>
      <c r="I733" s="2">
        <v>369.27593943022276</v>
      </c>
      <c r="J733" s="23">
        <v>44440</v>
      </c>
      <c r="K733" s="24">
        <v>244.875</v>
      </c>
      <c r="L733" s="24">
        <v>77.493749999999977</v>
      </c>
      <c r="M733" s="24">
        <v>23.731249999999999</v>
      </c>
      <c r="N733" s="24">
        <v>0</v>
      </c>
      <c r="O733" s="24">
        <v>229.83333333333334</v>
      </c>
      <c r="P733" s="24">
        <v>6.75</v>
      </c>
      <c r="Q733" s="24">
        <v>0.41666666666666669</v>
      </c>
      <c r="R733" s="24">
        <v>19.304166666666671</v>
      </c>
      <c r="S733" s="10">
        <v>0.75151568205956576</v>
      </c>
      <c r="T733" s="25">
        <v>0.25366666666666665</v>
      </c>
      <c r="U733" s="25">
        <v>0.36537500000000017</v>
      </c>
      <c r="V733" s="25">
        <v>0.43822916666666661</v>
      </c>
      <c r="W733" s="25">
        <v>0.45877083333333341</v>
      </c>
      <c r="X733" s="25">
        <v>0.45520833333333338</v>
      </c>
      <c r="Y733" s="25">
        <v>0.34789583333333335</v>
      </c>
      <c r="Z733" s="25">
        <v>0.35654166666666653</v>
      </c>
      <c r="AA733" s="25">
        <v>0.31116666666666659</v>
      </c>
      <c r="AB733" s="25">
        <v>0.33472916666666658</v>
      </c>
      <c r="AC733" s="25">
        <v>0.16264705882352942</v>
      </c>
      <c r="AD733" s="25">
        <v>0.27699999999999997</v>
      </c>
      <c r="AE733" s="27">
        <f t="shared" si="41"/>
        <v>0.35443750000000002</v>
      </c>
      <c r="AF733" s="27">
        <f t="shared" si="42"/>
        <v>0.37966319444444441</v>
      </c>
      <c r="AG733" s="27">
        <f t="shared" si="43"/>
        <v>0.3750767045454545</v>
      </c>
    </row>
    <row r="734" spans="1:33" x14ac:dyDescent="0.25">
      <c r="A734" s="9">
        <v>44441</v>
      </c>
      <c r="B734" s="3">
        <v>64.624461982199989</v>
      </c>
      <c r="C734" s="3">
        <v>104.92362169865051</v>
      </c>
      <c r="D734" s="3">
        <v>350.49303131787013</v>
      </c>
      <c r="E734" s="3">
        <v>793.54604229344204</v>
      </c>
      <c r="F734" s="3">
        <v>498.95618267517614</v>
      </c>
      <c r="G734" s="3">
        <v>372.01632520134433</v>
      </c>
      <c r="H734" s="3">
        <v>357.56491873027733</v>
      </c>
      <c r="I734" s="2">
        <v>325.77469597881725</v>
      </c>
      <c r="J734" s="23">
        <v>44441</v>
      </c>
      <c r="K734" s="24">
        <v>202.9375</v>
      </c>
      <c r="L734" s="24">
        <v>77.383333333333312</v>
      </c>
      <c r="M734" s="24">
        <v>23.477083333333326</v>
      </c>
      <c r="N734" s="24">
        <v>0</v>
      </c>
      <c r="O734" s="24">
        <v>228.27083333333334</v>
      </c>
      <c r="P734" s="24">
        <v>6.333333333333333</v>
      </c>
      <c r="Q734" s="24">
        <v>0.41666666666666669</v>
      </c>
      <c r="R734" s="24">
        <v>19.087500000000006</v>
      </c>
      <c r="S734" s="10">
        <v>0.72828064749509946</v>
      </c>
      <c r="T734" s="25">
        <v>0.24722916666666653</v>
      </c>
      <c r="U734" s="25">
        <v>0.35327083333333348</v>
      </c>
      <c r="V734" s="25">
        <v>0.42708333333333343</v>
      </c>
      <c r="W734" s="25">
        <v>0.44391666666666674</v>
      </c>
      <c r="X734" s="25">
        <v>0.44506249999999992</v>
      </c>
      <c r="Y734" s="25">
        <v>0.34039583333333318</v>
      </c>
      <c r="Z734" s="25">
        <v>0.3487083333333334</v>
      </c>
      <c r="AA734" s="25">
        <v>0.30291666666666656</v>
      </c>
      <c r="AB734" s="25">
        <v>0.296875</v>
      </c>
      <c r="AC734" s="25">
        <v>0.15229999999999999</v>
      </c>
      <c r="AD734" s="25">
        <v>0.25237500000000002</v>
      </c>
      <c r="AE734" s="27">
        <f t="shared" si="41"/>
        <v>0.34614583333333321</v>
      </c>
      <c r="AF734" s="27">
        <f t="shared" si="42"/>
        <v>0.36938194444444444</v>
      </c>
      <c r="AG734" s="27">
        <f t="shared" si="43"/>
        <v>0.36515719696969695</v>
      </c>
    </row>
    <row r="735" spans="1:33" x14ac:dyDescent="0.25">
      <c r="A735" s="9">
        <v>44442</v>
      </c>
      <c r="B735" s="3">
        <v>72.290459262599995</v>
      </c>
      <c r="C735" s="3">
        <v>106.78891988872586</v>
      </c>
      <c r="D735" s="3">
        <v>400.18175057765183</v>
      </c>
      <c r="E735" s="3">
        <v>796.37805805048629</v>
      </c>
      <c r="F735" s="3">
        <v>485.16545389149275</v>
      </c>
      <c r="G735" s="3">
        <v>365.1112334204019</v>
      </c>
      <c r="H735" s="3">
        <v>432.31480833556355</v>
      </c>
      <c r="I735" s="2">
        <v>319.72790710624594</v>
      </c>
      <c r="J735" s="23">
        <v>44442</v>
      </c>
      <c r="K735" s="24">
        <v>212.83333333333334</v>
      </c>
      <c r="L735" s="24">
        <v>79.506249999999994</v>
      </c>
      <c r="M735" s="24">
        <v>23.018750000000001</v>
      </c>
      <c r="N735" s="24">
        <v>0</v>
      </c>
      <c r="O735" s="24">
        <v>228.0625</v>
      </c>
      <c r="P735" s="24">
        <v>10.625</v>
      </c>
      <c r="Q735" s="24">
        <v>1.2291666666666667</v>
      </c>
      <c r="R735" s="24">
        <v>19.160416666666663</v>
      </c>
      <c r="S735" s="10">
        <v>0.62287977460016963</v>
      </c>
      <c r="T735" s="25">
        <v>0.24227083333333332</v>
      </c>
      <c r="U735" s="25">
        <v>0.34343750000000006</v>
      </c>
      <c r="V735" s="25">
        <v>0.41839583333333336</v>
      </c>
      <c r="W735" s="25">
        <v>0.43249999999999994</v>
      </c>
      <c r="X735" s="25">
        <v>0.43656250000000019</v>
      </c>
      <c r="Y735" s="25">
        <v>0.33500000000000019</v>
      </c>
      <c r="Z735" s="25">
        <v>0.34277083333333325</v>
      </c>
      <c r="AA735" s="25">
        <v>0.29695833333333349</v>
      </c>
      <c r="AB735" s="25">
        <v>0.26197916666666665</v>
      </c>
      <c r="AC735" s="25">
        <v>0.14307692307692307</v>
      </c>
      <c r="AD735" s="25">
        <v>0.23681249999999987</v>
      </c>
      <c r="AE735" s="27">
        <f t="shared" si="41"/>
        <v>0.33941666666666676</v>
      </c>
      <c r="AF735" s="27">
        <f t="shared" si="42"/>
        <v>0.36151041666666672</v>
      </c>
      <c r="AG735" s="27">
        <f t="shared" si="43"/>
        <v>0.35749337121212127</v>
      </c>
    </row>
    <row r="736" spans="1:33" x14ac:dyDescent="0.25">
      <c r="A736" s="9">
        <v>44443</v>
      </c>
      <c r="B736" s="3">
        <v>59.735848714200003</v>
      </c>
      <c r="C736" s="3">
        <v>89.766154810932775</v>
      </c>
      <c r="D736" s="3">
        <v>356.57339380066134</v>
      </c>
      <c r="E736" s="3">
        <v>799.74646048118848</v>
      </c>
      <c r="F736" s="3">
        <v>427.82206125517274</v>
      </c>
      <c r="G736" s="3">
        <v>338.93312676074322</v>
      </c>
      <c r="H736" s="3">
        <v>457.72321174444306</v>
      </c>
      <c r="I736" s="2">
        <v>296.80373910438283</v>
      </c>
      <c r="J736" s="23">
        <v>44443</v>
      </c>
      <c r="K736" s="24">
        <v>181.5625</v>
      </c>
      <c r="L736" s="24">
        <v>78.970833333333317</v>
      </c>
      <c r="M736" s="24">
        <v>23.229166666666661</v>
      </c>
      <c r="N736" s="24">
        <v>0</v>
      </c>
      <c r="O736" s="24">
        <v>228.89583333333334</v>
      </c>
      <c r="P736" s="24">
        <v>10.416666666666666</v>
      </c>
      <c r="Q736" s="24">
        <v>0.70833333333333337</v>
      </c>
      <c r="R736" s="24">
        <v>19.27291666666666</v>
      </c>
      <c r="S736" s="10">
        <v>0.63930404649074513</v>
      </c>
      <c r="T736" s="25">
        <v>0.2384375</v>
      </c>
      <c r="U736" s="25">
        <v>0.33560416666666676</v>
      </c>
      <c r="V736" s="25">
        <v>0.41208333333333313</v>
      </c>
      <c r="W736" s="25">
        <v>0.42345833333333344</v>
      </c>
      <c r="X736" s="25">
        <v>0.42985416666666687</v>
      </c>
      <c r="Y736" s="25">
        <v>0.33060416666666687</v>
      </c>
      <c r="Z736" s="25">
        <v>0.33716666666666689</v>
      </c>
      <c r="AA736" s="25">
        <v>0.29202083333333312</v>
      </c>
      <c r="AB736" s="25">
        <v>0.2332500000000001</v>
      </c>
      <c r="AC736" s="25">
        <v>0.13800000000000001</v>
      </c>
      <c r="AD736" s="25">
        <v>0.22556250000000011</v>
      </c>
      <c r="AE736" s="27">
        <f t="shared" si="41"/>
        <v>0.33414583333333342</v>
      </c>
      <c r="AF736" s="27">
        <f t="shared" si="42"/>
        <v>0.35515625000000001</v>
      </c>
      <c r="AG736" s="27">
        <f t="shared" si="43"/>
        <v>0.35133617424242425</v>
      </c>
    </row>
    <row r="737" spans="1:33" x14ac:dyDescent="0.25">
      <c r="A737" s="9">
        <v>44444</v>
      </c>
      <c r="B737" s="3">
        <v>69.642770839200026</v>
      </c>
      <c r="C737" s="3">
        <v>50.512863854875519</v>
      </c>
      <c r="D737" s="3">
        <v>325.65415142180012</v>
      </c>
      <c r="E737" s="3">
        <v>666.96752965109567</v>
      </c>
      <c r="F737" s="3">
        <v>393.64925481242273</v>
      </c>
      <c r="G737" s="3">
        <v>323.66539208779056</v>
      </c>
      <c r="H737" s="3">
        <v>452.55558549505059</v>
      </c>
      <c r="I737" s="2">
        <v>283.43378385127824</v>
      </c>
      <c r="J737" s="23">
        <v>44444</v>
      </c>
      <c r="K737" s="24">
        <v>209.16666666666666</v>
      </c>
      <c r="L737" s="24">
        <v>79.74375000000002</v>
      </c>
      <c r="M737" s="24">
        <v>23.135416666666661</v>
      </c>
      <c r="N737" s="24">
        <v>8.5</v>
      </c>
      <c r="O737" s="24">
        <v>227.0625</v>
      </c>
      <c r="P737" s="24">
        <v>8.7916666666666661</v>
      </c>
      <c r="Q737" s="24">
        <v>0.52083333333333337</v>
      </c>
      <c r="R737" s="24">
        <v>19.214583333333337</v>
      </c>
      <c r="S737" s="10">
        <v>0.64863556870670258</v>
      </c>
      <c r="T737" s="25">
        <v>0.23697916666666674</v>
      </c>
      <c r="U737" s="25">
        <v>0.33214583333333331</v>
      </c>
      <c r="V737" s="25">
        <v>0.40818749999999993</v>
      </c>
      <c r="W737" s="25">
        <v>0.41872916666666687</v>
      </c>
      <c r="X737" s="25">
        <v>0.42527083333333321</v>
      </c>
      <c r="Y737" s="25">
        <v>0.32804166666666645</v>
      </c>
      <c r="Z737" s="25">
        <v>0.33331250000000001</v>
      </c>
      <c r="AA737" s="25">
        <v>0.28814583333333349</v>
      </c>
      <c r="AB737" s="25">
        <v>0.25560416666666674</v>
      </c>
      <c r="AC737" s="25">
        <v>0.17933333333333334</v>
      </c>
      <c r="AD737" s="25">
        <v>0.24364583333333326</v>
      </c>
      <c r="AE737" s="27">
        <f t="shared" si="41"/>
        <v>0.331125</v>
      </c>
      <c r="AF737" s="27">
        <f t="shared" si="42"/>
        <v>0.35142708333333333</v>
      </c>
      <c r="AG737" s="27">
        <f t="shared" si="43"/>
        <v>0.34773579545454547</v>
      </c>
    </row>
    <row r="738" spans="1:33" s="50" customFormat="1" x14ac:dyDescent="0.25">
      <c r="A738" s="44">
        <v>44445</v>
      </c>
      <c r="B738" s="45">
        <v>63.168750228600011</v>
      </c>
      <c r="C738" s="45">
        <v>100.82624601453512</v>
      </c>
      <c r="D738" s="45">
        <v>269.08621125918006</v>
      </c>
      <c r="E738" s="45">
        <v>690.21713690840954</v>
      </c>
      <c r="F738" s="45">
        <v>278.78253257675226</v>
      </c>
      <c r="G738" s="45">
        <v>260.45906269759007</v>
      </c>
      <c r="H738" s="45">
        <v>320.22223371631736</v>
      </c>
      <c r="I738" s="52">
        <v>228.08400120427964</v>
      </c>
      <c r="J738" s="46">
        <v>44445</v>
      </c>
      <c r="K738" s="47">
        <v>171.04166666666666</v>
      </c>
      <c r="L738" s="47">
        <v>81.4479166666667</v>
      </c>
      <c r="M738" s="47">
        <v>22.070833333333329</v>
      </c>
      <c r="N738" s="47">
        <v>9.8999999999999986</v>
      </c>
      <c r="O738" s="47">
        <v>209.1875</v>
      </c>
      <c r="P738" s="47">
        <v>2.8125</v>
      </c>
      <c r="Q738" s="47">
        <v>2.0833333333333332E-2</v>
      </c>
      <c r="R738" s="47">
        <v>18.477083333333336</v>
      </c>
      <c r="S738" s="48">
        <v>0.59986442047816524</v>
      </c>
      <c r="T738" s="49">
        <v>0.23720833333333347</v>
      </c>
      <c r="U738" s="49">
        <v>0.32902083333333337</v>
      </c>
      <c r="V738" s="49">
        <v>0.40691666666666654</v>
      </c>
      <c r="W738" s="49">
        <v>0.41706250000000017</v>
      </c>
      <c r="X738" s="49">
        <v>0.42241666666666688</v>
      </c>
      <c r="Y738" s="49">
        <v>0.32731249999999995</v>
      </c>
      <c r="Z738" s="49">
        <v>0.33066666666666683</v>
      </c>
      <c r="AA738" s="49">
        <v>0.28641666666666682</v>
      </c>
      <c r="AB738" s="49">
        <v>0.25422916666666662</v>
      </c>
      <c r="AC738" s="49">
        <v>0.21162499999999998</v>
      </c>
      <c r="AD738" s="49">
        <v>0.26649999999999996</v>
      </c>
      <c r="AE738" s="51">
        <f t="shared" si="41"/>
        <v>0.32981250000000017</v>
      </c>
      <c r="AF738" s="51">
        <f t="shared" si="42"/>
        <v>0.34956597222222224</v>
      </c>
      <c r="AG738" s="51">
        <f t="shared" si="43"/>
        <v>0.34597443181818188</v>
      </c>
    </row>
    <row r="739" spans="1:33" x14ac:dyDescent="0.25">
      <c r="A739" s="9">
        <v>44446</v>
      </c>
      <c r="B739" s="3">
        <v>27.827424903600001</v>
      </c>
      <c r="C739" s="3">
        <v>18.247896218984067</v>
      </c>
      <c r="D739" s="3">
        <v>229.8630277238054</v>
      </c>
      <c r="E739" s="3">
        <v>592.65272017924099</v>
      </c>
      <c r="F739" s="3">
        <v>342.41548823260212</v>
      </c>
      <c r="G739" s="3">
        <v>302.48684322385054</v>
      </c>
      <c r="H739" s="3">
        <v>542.41292192419485</v>
      </c>
      <c r="I739" s="2">
        <v>264.88772861112591</v>
      </c>
      <c r="J739" s="23">
        <v>44446</v>
      </c>
      <c r="K739" s="24">
        <v>153.1875</v>
      </c>
      <c r="L739" s="24">
        <v>76.970833333333317</v>
      </c>
      <c r="M739" s="24">
        <v>19.86666666666666</v>
      </c>
      <c r="N739" s="24">
        <v>0</v>
      </c>
      <c r="O739" s="24">
        <v>259.5</v>
      </c>
      <c r="P739" s="24">
        <v>2.2708333333333335</v>
      </c>
      <c r="Q739" s="24">
        <v>0</v>
      </c>
      <c r="R739" s="24">
        <v>15.566666666666668</v>
      </c>
      <c r="S739" s="10">
        <v>0.59043666973273157</v>
      </c>
      <c r="T739" s="25">
        <v>0.23725000000000007</v>
      </c>
      <c r="U739" s="25">
        <v>0.3254166666666663</v>
      </c>
      <c r="V739" s="25">
        <v>0.40570833333333334</v>
      </c>
      <c r="W739" s="25">
        <v>0.41662500000000002</v>
      </c>
      <c r="X739" s="25">
        <v>0.4166250000000003</v>
      </c>
      <c r="Y739" s="25">
        <v>0.32643749999999999</v>
      </c>
      <c r="Z739" s="25">
        <v>0.32881249999999984</v>
      </c>
      <c r="AA739" s="25">
        <v>0.28585416666666658</v>
      </c>
      <c r="AB739" s="25">
        <v>0.27102083333333338</v>
      </c>
      <c r="AC739" s="25">
        <v>0.21622727272727274</v>
      </c>
      <c r="AD739" s="25">
        <v>0.31768750000000007</v>
      </c>
      <c r="AE739" s="27">
        <f t="shared" si="41"/>
        <v>0.32693750000000021</v>
      </c>
      <c r="AF739" s="27">
        <f t="shared" si="42"/>
        <v>0.34814236111111102</v>
      </c>
      <c r="AG739" s="27">
        <f t="shared" si="43"/>
        <v>0.34428693181818176</v>
      </c>
    </row>
    <row r="740" spans="1:33" x14ac:dyDescent="0.25">
      <c r="A740" s="9">
        <v>44447</v>
      </c>
      <c r="B740" s="3">
        <v>45.744348342599999</v>
      </c>
      <c r="C740" s="3">
        <v>113.5760533135272</v>
      </c>
      <c r="D740" s="3">
        <v>315.92314035112258</v>
      </c>
      <c r="E740" s="3">
        <v>738.85912918788438</v>
      </c>
      <c r="F740" s="3">
        <v>430.21609494947057</v>
      </c>
      <c r="G740" s="3">
        <v>351.29885274446724</v>
      </c>
      <c r="H740" s="3">
        <v>504.05238000664122</v>
      </c>
      <c r="I740" s="2">
        <v>307.63240534833</v>
      </c>
      <c r="J740" s="23">
        <v>44447</v>
      </c>
      <c r="K740" s="24">
        <v>194.4375</v>
      </c>
      <c r="L740" s="24">
        <v>77.03958333333334</v>
      </c>
      <c r="M740" s="24">
        <v>20.818750000000005</v>
      </c>
      <c r="N740" s="24">
        <v>0</v>
      </c>
      <c r="O740" s="24">
        <v>231.8125</v>
      </c>
      <c r="P740" s="24">
        <v>1.8541666666666667</v>
      </c>
      <c r="Q740" s="24">
        <v>0</v>
      </c>
      <c r="R740" s="24">
        <v>16.387500000000006</v>
      </c>
      <c r="S740" s="10">
        <v>0.66275833731216927</v>
      </c>
      <c r="T740" s="25">
        <v>0.23537499999999989</v>
      </c>
      <c r="U740" s="25">
        <v>0.32360416666666686</v>
      </c>
      <c r="V740" s="25">
        <v>0.40416666666666662</v>
      </c>
      <c r="W740" s="25">
        <v>0.41485416666666669</v>
      </c>
      <c r="X740" s="25">
        <v>0.41514583333333316</v>
      </c>
      <c r="Y740" s="25">
        <v>0.32477083333333329</v>
      </c>
      <c r="Z740" s="25">
        <v>0.32643749999999988</v>
      </c>
      <c r="AA740" s="25">
        <v>0.28487500000000004</v>
      </c>
      <c r="AB740" s="25">
        <v>0.25566666666666665</v>
      </c>
      <c r="AC740" s="25">
        <v>0.19541666666666671</v>
      </c>
      <c r="AD740" s="25">
        <v>0.2902499999999999</v>
      </c>
      <c r="AE740" s="27">
        <f t="shared" si="41"/>
        <v>0.3252604166666665</v>
      </c>
      <c r="AF740" s="27">
        <f t="shared" si="42"/>
        <v>0.34645138888888893</v>
      </c>
      <c r="AG740" s="27">
        <f t="shared" si="43"/>
        <v>0.34259848484848487</v>
      </c>
    </row>
    <row r="741" spans="1:33" x14ac:dyDescent="0.25">
      <c r="A741" s="9">
        <v>44448</v>
      </c>
      <c r="B741" s="3">
        <v>70.601229563399983</v>
      </c>
      <c r="C741" s="3">
        <v>150.67961880258605</v>
      </c>
      <c r="D741" s="3">
        <v>378.99838939185577</v>
      </c>
      <c r="E741" s="3">
        <v>844.42765904304019</v>
      </c>
      <c r="F741" s="3">
        <v>437.20432162934821</v>
      </c>
      <c r="G741" s="3">
        <v>412.81555489728885</v>
      </c>
      <c r="H741" s="3">
        <v>512.92564751459145</v>
      </c>
      <c r="I741" s="2">
        <v>361.50258142355585</v>
      </c>
      <c r="J741" s="23">
        <v>44448</v>
      </c>
      <c r="K741" s="24">
        <v>260.20833333333331</v>
      </c>
      <c r="L741" s="24">
        <v>79.343750000000014</v>
      </c>
      <c r="M741" s="24">
        <v>22.574999999999992</v>
      </c>
      <c r="N741" s="24">
        <v>0</v>
      </c>
      <c r="O741" s="24">
        <v>207.41666666666666</v>
      </c>
      <c r="P741" s="24">
        <v>2.9166666666666665</v>
      </c>
      <c r="Q741" s="24">
        <v>2.0833333333333332E-2</v>
      </c>
      <c r="R741" s="24">
        <v>18.481249999999999</v>
      </c>
      <c r="S741" s="10">
        <v>0.6918632154290022</v>
      </c>
      <c r="T741" s="25">
        <v>0.23397916666666663</v>
      </c>
      <c r="U741" s="25">
        <v>0.32168749999999996</v>
      </c>
      <c r="V741" s="25">
        <v>0.40277083333333347</v>
      </c>
      <c r="W741" s="25">
        <v>0.41214583333333338</v>
      </c>
      <c r="X741" s="25">
        <v>0.41506249999999967</v>
      </c>
      <c r="Y741" s="25">
        <v>0.32337500000000002</v>
      </c>
      <c r="Z741" s="25">
        <v>0.32352083333333309</v>
      </c>
      <c r="AA741" s="25">
        <v>0.2824583333333332</v>
      </c>
      <c r="AB741" s="25">
        <v>0.23727083333333332</v>
      </c>
      <c r="AC741" s="25">
        <v>0.16269999999999993</v>
      </c>
      <c r="AD741" s="25">
        <v>0.26541666666666669</v>
      </c>
      <c r="AE741" s="27">
        <f t="shared" si="41"/>
        <v>0.32452083333333315</v>
      </c>
      <c r="AF741" s="27">
        <f t="shared" si="42"/>
        <v>0.34432638888888883</v>
      </c>
      <c r="AG741" s="27">
        <f t="shared" si="43"/>
        <v>0.34072537878787867</v>
      </c>
    </row>
    <row r="742" spans="1:33" x14ac:dyDescent="0.25">
      <c r="A742" s="9">
        <v>44449</v>
      </c>
      <c r="B742" s="3">
        <v>80.732232687599975</v>
      </c>
      <c r="C742" s="3">
        <v>145.4570687748616</v>
      </c>
      <c r="D742" s="3">
        <v>302.37923295230394</v>
      </c>
      <c r="E742" s="3">
        <v>820.71457986382961</v>
      </c>
      <c r="F742" s="3">
        <v>434.13809854525311</v>
      </c>
      <c r="G742" s="3">
        <v>410.14794927668333</v>
      </c>
      <c r="H742" s="3">
        <v>530.41698254434607</v>
      </c>
      <c r="I742" s="2">
        <v>359.16655918159159</v>
      </c>
      <c r="J742" s="23">
        <v>44449</v>
      </c>
      <c r="K742" s="24">
        <v>226.5625</v>
      </c>
      <c r="L742" s="24">
        <v>76.283333333333331</v>
      </c>
      <c r="M742" s="24">
        <v>23.375</v>
      </c>
      <c r="N742" s="24">
        <v>0</v>
      </c>
      <c r="O742" s="24">
        <v>155.66666666666666</v>
      </c>
      <c r="P742" s="24">
        <v>1.9791666666666667</v>
      </c>
      <c r="Q742" s="24">
        <v>0</v>
      </c>
      <c r="R742" s="24">
        <v>18.470833333333339</v>
      </c>
      <c r="S742" s="10">
        <v>0.85322279720821281</v>
      </c>
      <c r="T742" s="25">
        <v>0.23206249999999995</v>
      </c>
      <c r="U742" s="25">
        <v>0.31906250000000008</v>
      </c>
      <c r="V742" s="25">
        <v>0.40104166666666691</v>
      </c>
      <c r="W742" s="25">
        <v>0.40920833333333323</v>
      </c>
      <c r="X742" s="25">
        <v>0.41345833333333354</v>
      </c>
      <c r="Y742" s="25">
        <v>0.32187500000000002</v>
      </c>
      <c r="Z742" s="25">
        <v>0.32070833333333365</v>
      </c>
      <c r="AA742" s="25">
        <v>0.2796041666666666</v>
      </c>
      <c r="AB742" s="25">
        <v>0.21889583333333332</v>
      </c>
      <c r="AC742" s="25">
        <v>0.14829999999999993</v>
      </c>
      <c r="AD742" s="25">
        <v>0.24252083333333332</v>
      </c>
      <c r="AE742" s="27">
        <f t="shared" si="41"/>
        <v>0.32276041666666677</v>
      </c>
      <c r="AF742" s="27">
        <f t="shared" si="42"/>
        <v>0.3419166666666667</v>
      </c>
      <c r="AG742" s="27">
        <f t="shared" si="43"/>
        <v>0.33843371212121215</v>
      </c>
    </row>
    <row r="743" spans="1:33" x14ac:dyDescent="0.25">
      <c r="A743" s="9">
        <v>44450</v>
      </c>
      <c r="B743" s="3">
        <v>53.526417685200002</v>
      </c>
      <c r="C743" s="3">
        <v>186.93052898929074</v>
      </c>
      <c r="D743" s="3">
        <v>263.02609043733725</v>
      </c>
      <c r="E743" s="3">
        <v>890.17932887181928</v>
      </c>
      <c r="F743" s="3">
        <v>458.73835539276473</v>
      </c>
      <c r="G743" s="3">
        <v>424.45308593714009</v>
      </c>
      <c r="H743" s="3">
        <v>537.34369704954065</v>
      </c>
      <c r="I743" s="2">
        <v>371.69356735515356</v>
      </c>
      <c r="J743" s="23">
        <v>44450</v>
      </c>
      <c r="K743" s="24">
        <v>260.04166666666669</v>
      </c>
      <c r="L743" s="24">
        <v>71.575000000000003</v>
      </c>
      <c r="M743" s="24">
        <v>24.264583333333334</v>
      </c>
      <c r="N743" s="24">
        <v>0</v>
      </c>
      <c r="O743" s="24">
        <v>229.125</v>
      </c>
      <c r="P743" s="24">
        <v>4.375</v>
      </c>
      <c r="Q743" s="24">
        <v>0.1875</v>
      </c>
      <c r="R743" s="24">
        <v>18.368750000000002</v>
      </c>
      <c r="S743" s="10">
        <v>1.0168219396142339</v>
      </c>
      <c r="T743" s="25">
        <v>0.22945833333333329</v>
      </c>
      <c r="U743" s="25">
        <v>0.31560416666666663</v>
      </c>
      <c r="V743" s="25">
        <v>0.39829166666666671</v>
      </c>
      <c r="W743" s="25">
        <v>0.4052708333333333</v>
      </c>
      <c r="X743" s="25">
        <v>0.41091666666666665</v>
      </c>
      <c r="Y743" s="25">
        <v>0.31935416666666666</v>
      </c>
      <c r="Z743" s="25">
        <v>0.31693749999999998</v>
      </c>
      <c r="AA743" s="25">
        <v>0.2767083333333335</v>
      </c>
      <c r="AB743" s="25">
        <v>0.20466666666666658</v>
      </c>
      <c r="AC743" s="25">
        <v>0.13704000000000002</v>
      </c>
      <c r="AD743" s="25">
        <v>0.22725000000000006</v>
      </c>
      <c r="AE743" s="27">
        <f t="shared" si="41"/>
        <v>0.32018749999999996</v>
      </c>
      <c r="AF743" s="27">
        <f t="shared" si="42"/>
        <v>0.33869444444444446</v>
      </c>
      <c r="AG743" s="27">
        <f t="shared" si="43"/>
        <v>0.33532954545454546</v>
      </c>
    </row>
    <row r="744" spans="1:33" x14ac:dyDescent="0.25">
      <c r="A744" s="9">
        <v>44451</v>
      </c>
      <c r="B744" s="3">
        <v>36.282361167000005</v>
      </c>
      <c r="C744" s="3">
        <v>167.43049830322468</v>
      </c>
      <c r="D744" s="3">
        <v>217.25813926028718</v>
      </c>
      <c r="E744" s="3">
        <v>782.8593474337265</v>
      </c>
      <c r="F744" s="3">
        <v>312.42265645044733</v>
      </c>
      <c r="G744" s="3">
        <v>354.35562454628678</v>
      </c>
      <c r="H744" s="3">
        <v>427.23220701151632</v>
      </c>
      <c r="I744" s="2">
        <v>310.30922041518335</v>
      </c>
      <c r="J744" s="23">
        <v>44451</v>
      </c>
      <c r="K744" s="24">
        <v>240.14583333333334</v>
      </c>
      <c r="L744" s="24">
        <v>73.081250000000011</v>
      </c>
      <c r="M744" s="24">
        <v>24.572916666666661</v>
      </c>
      <c r="N744" s="24">
        <v>1</v>
      </c>
      <c r="O744" s="24">
        <v>234.14583333333334</v>
      </c>
      <c r="P744" s="24">
        <v>4.125</v>
      </c>
      <c r="Q744" s="24">
        <v>0.16666666666666666</v>
      </c>
      <c r="R744" s="24">
        <v>19.070833333333329</v>
      </c>
      <c r="S744" s="10">
        <v>0.99364804801400775</v>
      </c>
      <c r="T744" s="25">
        <v>0.22702083333333348</v>
      </c>
      <c r="U744" s="25">
        <v>0.3125416666666665</v>
      </c>
      <c r="V744" s="25">
        <v>0.39572916666666669</v>
      </c>
      <c r="W744" s="25">
        <v>0.40129166666666699</v>
      </c>
      <c r="X744" s="25">
        <v>0.40854166666666664</v>
      </c>
      <c r="Y744" s="25">
        <v>0.3168958333333336</v>
      </c>
      <c r="Z744" s="25">
        <v>0.31268749999999995</v>
      </c>
      <c r="AA744" s="25">
        <v>0.27366666666666678</v>
      </c>
      <c r="AB744" s="25">
        <v>0.19197916666666659</v>
      </c>
      <c r="AC744" s="25">
        <v>0.12934782608695655</v>
      </c>
      <c r="AD744" s="25">
        <v>0.21629166666666666</v>
      </c>
      <c r="AE744" s="27">
        <f t="shared" si="41"/>
        <v>0.31778125000000007</v>
      </c>
      <c r="AF744" s="27">
        <f t="shared" si="42"/>
        <v>0.33546875000000015</v>
      </c>
      <c r="AG744" s="27">
        <f t="shared" si="43"/>
        <v>0.33225284090909102</v>
      </c>
    </row>
    <row r="745" spans="1:33" x14ac:dyDescent="0.25">
      <c r="A745" s="9">
        <v>44452</v>
      </c>
      <c r="B745" s="3">
        <v>42.046497169200002</v>
      </c>
      <c r="C745" s="3">
        <v>10.901473601707409</v>
      </c>
      <c r="D745" s="3">
        <v>103.17563499316033</v>
      </c>
      <c r="E745" s="3">
        <v>315.7720370825885</v>
      </c>
      <c r="F745" s="3">
        <v>206.84174517241669</v>
      </c>
      <c r="G745" s="3">
        <v>201.36004945957495</v>
      </c>
      <c r="H745" s="3">
        <v>335.12009473166245</v>
      </c>
      <c r="I745" s="2">
        <v>176.3309953117498</v>
      </c>
      <c r="J745" s="23">
        <v>44452</v>
      </c>
      <c r="K745" s="24">
        <v>136.0625</v>
      </c>
      <c r="L745" s="24">
        <v>86.8125</v>
      </c>
      <c r="M745" s="24">
        <v>21.404166666666672</v>
      </c>
      <c r="N745" s="24">
        <v>64.5</v>
      </c>
      <c r="O745" s="24">
        <v>233.89583333333334</v>
      </c>
      <c r="P745" s="24">
        <v>3.7083333333333335</v>
      </c>
      <c r="Q745" s="24">
        <v>4.1666666666666664E-2</v>
      </c>
      <c r="R745" s="24">
        <v>18.958333333333336</v>
      </c>
      <c r="S745" s="10">
        <v>0.3940462378737502</v>
      </c>
      <c r="T745" s="25">
        <v>0.40849999999999986</v>
      </c>
      <c r="U745" s="25">
        <v>0.53120833333333339</v>
      </c>
      <c r="V745" s="25">
        <v>0.5875416666666663</v>
      </c>
      <c r="W745" s="25">
        <v>0.60060416666666683</v>
      </c>
      <c r="X745" s="25">
        <v>0.47468750000000032</v>
      </c>
      <c r="Y745" s="25">
        <v>0.38589583333333327</v>
      </c>
      <c r="Z745" s="25">
        <v>0.34329166666666672</v>
      </c>
      <c r="AA745" s="25">
        <v>0.2937499999999999</v>
      </c>
      <c r="AB745" s="25">
        <v>0.423375</v>
      </c>
      <c r="AC745" s="25">
        <v>0.28871428571428576</v>
      </c>
      <c r="AD745" s="25">
        <v>0.46158333333333329</v>
      </c>
      <c r="AE745" s="27">
        <f t="shared" si="41"/>
        <v>0.44159375000000012</v>
      </c>
      <c r="AF745" s="27">
        <f t="shared" si="42"/>
        <v>0.457048611111111</v>
      </c>
      <c r="AG745" s="27">
        <f t="shared" si="43"/>
        <v>0.45423863636363632</v>
      </c>
    </row>
    <row r="746" spans="1:33" x14ac:dyDescent="0.25">
      <c r="A746" s="9">
        <v>44453</v>
      </c>
      <c r="B746" s="3">
        <v>43.691077729799993</v>
      </c>
      <c r="C746" s="3">
        <v>60.720540960975605</v>
      </c>
      <c r="D746" s="3">
        <v>173.76781142244565</v>
      </c>
      <c r="E746" s="3">
        <v>364.26111689832794</v>
      </c>
      <c r="F746" s="3">
        <v>306.15009131726134</v>
      </c>
      <c r="G746" s="3">
        <v>277.13477873574709</v>
      </c>
      <c r="H746" s="3">
        <v>402.22800954784748</v>
      </c>
      <c r="I746" s="2">
        <v>242.68692573889373</v>
      </c>
      <c r="J746" s="23">
        <v>44453</v>
      </c>
      <c r="K746" s="24">
        <v>188.75</v>
      </c>
      <c r="L746" s="24">
        <v>82.447916666666657</v>
      </c>
      <c r="M746" s="24">
        <v>22.362500000000001</v>
      </c>
      <c r="N746" s="24">
        <v>5</v>
      </c>
      <c r="O746" s="24">
        <v>228.52083333333334</v>
      </c>
      <c r="P746" s="24">
        <v>5.4375</v>
      </c>
      <c r="Q746" s="24">
        <v>0.25</v>
      </c>
      <c r="R746" s="24">
        <v>19.033333333333339</v>
      </c>
      <c r="S746" s="10">
        <v>0.54425011648052057</v>
      </c>
      <c r="T746" s="25">
        <v>0.39370833333333338</v>
      </c>
      <c r="U746" s="25">
        <v>0.51649999999999996</v>
      </c>
      <c r="V746" s="25">
        <v>0.5742708333333334</v>
      </c>
      <c r="W746" s="25">
        <v>0.58931249999999991</v>
      </c>
      <c r="X746" s="25">
        <v>0.47258333333333319</v>
      </c>
      <c r="Y746" s="25">
        <v>0.37710416666666674</v>
      </c>
      <c r="Z746" s="25">
        <v>0.34437500000000004</v>
      </c>
      <c r="AA746" s="25">
        <v>0.2948958333333333</v>
      </c>
      <c r="AB746" s="25">
        <v>0.41500000000000004</v>
      </c>
      <c r="AC746" s="25">
        <v>0.28265384615384614</v>
      </c>
      <c r="AD746" s="25">
        <v>0.43487499999999996</v>
      </c>
      <c r="AE746" s="27">
        <f t="shared" si="41"/>
        <v>0.43314583333333329</v>
      </c>
      <c r="AF746" s="27">
        <f t="shared" si="42"/>
        <v>0.4494097222222222</v>
      </c>
      <c r="AG746" s="27">
        <f t="shared" si="43"/>
        <v>0.44645265151515151</v>
      </c>
    </row>
    <row r="747" spans="1:33" s="50" customFormat="1" x14ac:dyDescent="0.25">
      <c r="A747" s="44">
        <v>44454</v>
      </c>
      <c r="B747" s="45">
        <v>25.0090215894</v>
      </c>
      <c r="C747" s="45">
        <v>114.63362487096767</v>
      </c>
      <c r="D747" s="45">
        <v>216.09848893075173</v>
      </c>
      <c r="E747" s="45">
        <v>551.31331933231513</v>
      </c>
      <c r="F747" s="45">
        <v>386.35030531082811</v>
      </c>
      <c r="G747" s="45">
        <v>355.13099373629245</v>
      </c>
      <c r="H747" s="45">
        <v>430.16521026614356</v>
      </c>
      <c r="I747" s="52">
        <v>310.98821121487128</v>
      </c>
      <c r="J747" s="46">
        <v>44454</v>
      </c>
      <c r="K747" s="47">
        <v>191.77083333333334</v>
      </c>
      <c r="L747" s="47">
        <v>80.643749999999983</v>
      </c>
      <c r="M747" s="47">
        <v>22.602083333333336</v>
      </c>
      <c r="N747" s="47">
        <v>0</v>
      </c>
      <c r="O747" s="47">
        <v>230.72916666666666</v>
      </c>
      <c r="P747" s="47">
        <v>7.541666666666667</v>
      </c>
      <c r="Q747" s="47">
        <v>0.66666666666666663</v>
      </c>
      <c r="R747" s="47">
        <v>18.945833333333329</v>
      </c>
      <c r="S747" s="48">
        <v>0.59185390682457051</v>
      </c>
      <c r="T747" s="49">
        <v>0.37529166666666658</v>
      </c>
      <c r="U747" s="49">
        <v>0.50600000000000012</v>
      </c>
      <c r="V747" s="49">
        <v>0.56356249999999986</v>
      </c>
      <c r="W747" s="49">
        <v>0.5811041666666662</v>
      </c>
      <c r="X747" s="49">
        <v>0.46639583333333318</v>
      </c>
      <c r="Y747" s="49">
        <v>0.37016666666666653</v>
      </c>
      <c r="Z747" s="49">
        <v>0.34231249999999985</v>
      </c>
      <c r="AA747" s="49">
        <v>0.29529166666666667</v>
      </c>
      <c r="AB747" s="49">
        <v>0.4048333333333331</v>
      </c>
      <c r="AC747" s="49">
        <v>0.25600000000000006</v>
      </c>
      <c r="AD747" s="49">
        <v>0.41068750000000004</v>
      </c>
      <c r="AE747" s="51">
        <f t="shared" si="41"/>
        <v>0.42084374999999985</v>
      </c>
      <c r="AF747" s="51">
        <f t="shared" si="42"/>
        <v>0.44307291666666648</v>
      </c>
      <c r="AG747" s="51">
        <f t="shared" si="43"/>
        <v>0.43903124999999982</v>
      </c>
    </row>
    <row r="748" spans="1:33" x14ac:dyDescent="0.25">
      <c r="A748" s="9">
        <v>44455</v>
      </c>
      <c r="B748" s="3">
        <v>11.395894975200001</v>
      </c>
      <c r="C748" s="3">
        <v>96.446179971283058</v>
      </c>
      <c r="D748" s="3">
        <v>151.14409167847481</v>
      </c>
      <c r="E748" s="3">
        <v>412.46556219355199</v>
      </c>
      <c r="F748" s="3">
        <v>227.04540361960923</v>
      </c>
      <c r="G748" s="3">
        <v>236.54960571430067</v>
      </c>
      <c r="H748" s="3">
        <v>331.58953162971983</v>
      </c>
      <c r="I748" s="2">
        <v>207.14648972401309</v>
      </c>
      <c r="J748" s="23">
        <v>44455</v>
      </c>
      <c r="K748" s="24">
        <v>122.4375</v>
      </c>
      <c r="L748" s="24">
        <v>84.381249999999994</v>
      </c>
      <c r="M748" s="24">
        <v>21.552083333333329</v>
      </c>
      <c r="N748" s="24">
        <v>15.600000000000001</v>
      </c>
      <c r="O748" s="24">
        <v>236.14583333333334</v>
      </c>
      <c r="P748" s="24">
        <v>6.083333333333333</v>
      </c>
      <c r="Q748" s="24">
        <v>0.3125</v>
      </c>
      <c r="R748" s="24">
        <v>18.745833333333334</v>
      </c>
      <c r="S748" s="10">
        <v>0.42651585903287459</v>
      </c>
      <c r="T748" s="25">
        <v>0.35281249999999997</v>
      </c>
      <c r="U748" s="25">
        <v>0.49185416666666654</v>
      </c>
      <c r="V748" s="25">
        <v>0.55004166666666687</v>
      </c>
      <c r="W748" s="25">
        <v>0.57431249999999989</v>
      </c>
      <c r="X748" s="25">
        <v>0.46002083333333327</v>
      </c>
      <c r="Y748" s="25">
        <v>0.36168750000000011</v>
      </c>
      <c r="Z748" s="25">
        <v>0.34106249999999988</v>
      </c>
      <c r="AA748" s="25">
        <v>0.29558333333333325</v>
      </c>
      <c r="AB748" s="25">
        <v>0.39104166666666668</v>
      </c>
      <c r="AC748" s="25">
        <v>0.24475999999999998</v>
      </c>
      <c r="AD748" s="25">
        <v>0.38474999999999993</v>
      </c>
      <c r="AE748" s="27">
        <f t="shared" si="41"/>
        <v>0.40641666666666665</v>
      </c>
      <c r="AF748" s="27">
        <f t="shared" si="42"/>
        <v>0.43575694444444441</v>
      </c>
      <c r="AG748" s="27">
        <f t="shared" si="43"/>
        <v>0.43042234848484845</v>
      </c>
    </row>
    <row r="749" spans="1:33" x14ac:dyDescent="0.25">
      <c r="A749" s="9">
        <v>44456</v>
      </c>
      <c r="B749" s="3">
        <v>26.366588299799997</v>
      </c>
      <c r="C749" s="3">
        <v>115.14122551857072</v>
      </c>
      <c r="D749" s="3">
        <v>111.00173593004352</v>
      </c>
      <c r="E749" s="3">
        <v>325.23670202757921</v>
      </c>
      <c r="F749" s="3">
        <v>238.89141189792127</v>
      </c>
      <c r="G749" s="3">
        <v>239.4385583360681</v>
      </c>
      <c r="H749" s="3">
        <v>336.35402485208027</v>
      </c>
      <c r="I749" s="2">
        <v>209.67634553489484</v>
      </c>
      <c r="J749" s="23">
        <v>44456</v>
      </c>
      <c r="K749" s="24">
        <v>146.14583333333334</v>
      </c>
      <c r="L749" s="24">
        <v>86.935416666666683</v>
      </c>
      <c r="M749" s="24">
        <v>21.300000000000004</v>
      </c>
      <c r="N749" s="24">
        <v>19.799999999999997</v>
      </c>
      <c r="O749" s="24">
        <v>234.95833333333334</v>
      </c>
      <c r="P749" s="24">
        <v>4.625</v>
      </c>
      <c r="Q749" s="24">
        <v>8.3333333333333329E-2</v>
      </c>
      <c r="R749" s="24">
        <v>18.866666666666671</v>
      </c>
      <c r="S749" s="10">
        <v>0.3974607175158576</v>
      </c>
      <c r="T749" s="25">
        <v>0.41402083333333334</v>
      </c>
      <c r="U749" s="25">
        <v>0.5429791666666669</v>
      </c>
      <c r="V749" s="25">
        <v>0.58852083333333294</v>
      </c>
      <c r="W749" s="25">
        <v>0.6151458333333335</v>
      </c>
      <c r="X749" s="25">
        <v>0.48333333333333367</v>
      </c>
      <c r="Y749" s="25">
        <v>0.39314583333333325</v>
      </c>
      <c r="Z749" s="25">
        <v>0.35383333333333361</v>
      </c>
      <c r="AA749" s="25">
        <v>0.31987500000000002</v>
      </c>
      <c r="AB749" s="25">
        <v>0.45989583333333334</v>
      </c>
      <c r="AC749" s="25">
        <v>0.33996428571428561</v>
      </c>
      <c r="AD749" s="25">
        <v>0.48099999999999987</v>
      </c>
      <c r="AE749" s="27">
        <f t="shared" si="41"/>
        <v>0.4486770833333335</v>
      </c>
      <c r="AF749" s="27">
        <f t="shared" si="42"/>
        <v>0.4689166666666667</v>
      </c>
      <c r="AG749" s="27">
        <f t="shared" si="43"/>
        <v>0.46523674242424246</v>
      </c>
    </row>
    <row r="750" spans="1:33" x14ac:dyDescent="0.25">
      <c r="A750" s="9">
        <v>44457</v>
      </c>
      <c r="B750" s="3">
        <v>30.440977585200002</v>
      </c>
      <c r="C750" s="3">
        <v>89.072526445367146</v>
      </c>
      <c r="D750" s="3">
        <v>159.23175648785073</v>
      </c>
      <c r="E750" s="3">
        <v>533.13757688847909</v>
      </c>
      <c r="F750" s="3">
        <v>342.73783813060277</v>
      </c>
      <c r="G750" s="3">
        <v>323.50169733599245</v>
      </c>
      <c r="H750" s="3">
        <v>509.66413645545981</v>
      </c>
      <c r="I750" s="2">
        <v>283.29043635712861</v>
      </c>
      <c r="J750" s="23">
        <v>44457</v>
      </c>
      <c r="K750" s="24">
        <v>164.89583333333334</v>
      </c>
      <c r="L750" s="24">
        <v>82.581249999999983</v>
      </c>
      <c r="M750" s="24">
        <v>22.568749999999998</v>
      </c>
      <c r="N750" s="24">
        <v>7.4</v>
      </c>
      <c r="O750" s="24">
        <v>226.77083333333334</v>
      </c>
      <c r="P750" s="24">
        <v>14.4375</v>
      </c>
      <c r="Q750" s="24">
        <v>2.875</v>
      </c>
      <c r="R750" s="24">
        <v>19.341666666666665</v>
      </c>
      <c r="S750" s="10">
        <v>0.51660529275050193</v>
      </c>
      <c r="T750" s="25">
        <v>0.4236666666666668</v>
      </c>
      <c r="U750" s="25">
        <v>0.54366666666666685</v>
      </c>
      <c r="V750" s="25">
        <v>0.59058333333333335</v>
      </c>
      <c r="W750" s="25">
        <v>0.61208333333333353</v>
      </c>
      <c r="X750" s="25">
        <v>0.48918749999999983</v>
      </c>
      <c r="Y750" s="25">
        <v>0.40583333333333327</v>
      </c>
      <c r="Z750" s="25">
        <v>0.36704166666666643</v>
      </c>
      <c r="AA750" s="25">
        <v>0.33554166666666668</v>
      </c>
      <c r="AB750" s="25">
        <v>0.45110416666666664</v>
      </c>
      <c r="AC750" s="25">
        <v>0.31185714285714283</v>
      </c>
      <c r="AD750" s="25">
        <v>0.47425</v>
      </c>
      <c r="AE750" s="27">
        <f t="shared" si="41"/>
        <v>0.45642708333333332</v>
      </c>
      <c r="AF750" s="27">
        <f t="shared" si="42"/>
        <v>0.47579166666666667</v>
      </c>
      <c r="AG750" s="27">
        <f t="shared" si="43"/>
        <v>0.47227083333333336</v>
      </c>
    </row>
    <row r="751" spans="1:33" x14ac:dyDescent="0.25">
      <c r="A751" s="9">
        <v>44458</v>
      </c>
      <c r="B751" s="3">
        <v>0</v>
      </c>
      <c r="C751" s="3">
        <v>8.0671637691633613</v>
      </c>
      <c r="D751" s="3">
        <v>5.7914251291773668</v>
      </c>
      <c r="E751" s="3">
        <v>39.333031816793898</v>
      </c>
      <c r="F751" s="3">
        <v>59.213850845859206</v>
      </c>
      <c r="G751" s="3">
        <v>34.869561451970263</v>
      </c>
      <c r="H751" s="3">
        <v>193.04100111774389</v>
      </c>
      <c r="I751" s="2">
        <v>30.535274963490359</v>
      </c>
      <c r="J751" s="23">
        <v>44458</v>
      </c>
      <c r="K751" s="24">
        <v>68.354166666666671</v>
      </c>
      <c r="L751" s="24">
        <v>89.681249999999977</v>
      </c>
      <c r="M751" s="24">
        <v>18.985416666666662</v>
      </c>
      <c r="N751" s="24">
        <v>5.7000000000000011</v>
      </c>
      <c r="O751" s="24">
        <v>282.47916666666669</v>
      </c>
      <c r="P751" s="24">
        <v>4.9375</v>
      </c>
      <c r="Q751" s="24">
        <v>0.375</v>
      </c>
      <c r="R751" s="24">
        <v>17.235416666666669</v>
      </c>
      <c r="S751" s="10">
        <v>0.23431647646704559</v>
      </c>
      <c r="T751" s="25">
        <v>0.41216666666666657</v>
      </c>
      <c r="U751" s="25">
        <v>0.53039583333333329</v>
      </c>
      <c r="V751" s="25">
        <v>0.58341666666666614</v>
      </c>
      <c r="W751" s="25">
        <v>0.60041666666666693</v>
      </c>
      <c r="X751" s="25">
        <v>0.48802083333333296</v>
      </c>
      <c r="Y751" s="25">
        <v>0.4008333333333331</v>
      </c>
      <c r="Z751" s="25">
        <v>0.3768958333333336</v>
      </c>
      <c r="AA751" s="25">
        <v>0.3683958333333332</v>
      </c>
      <c r="AB751" s="25">
        <v>0.44385416666666661</v>
      </c>
      <c r="AC751" s="25">
        <v>0.31325000000000003</v>
      </c>
      <c r="AD751" s="25">
        <v>0.46889583333333346</v>
      </c>
      <c r="AE751" s="27">
        <f t="shared" si="41"/>
        <v>0.45009374999999974</v>
      </c>
      <c r="AF751" s="27">
        <f t="shared" si="42"/>
        <v>0.47672569444444429</v>
      </c>
      <c r="AG751" s="27">
        <f t="shared" si="43"/>
        <v>0.47188352272727252</v>
      </c>
    </row>
    <row r="752" spans="1:33" x14ac:dyDescent="0.25">
      <c r="A752" s="9">
        <v>44459</v>
      </c>
      <c r="B752" s="3">
        <v>27.9559910304</v>
      </c>
      <c r="C752" s="3">
        <v>117.63411743896152</v>
      </c>
      <c r="D752" s="3">
        <v>247.91505161062182</v>
      </c>
      <c r="E752" s="3">
        <v>639.83373964983741</v>
      </c>
      <c r="F752" s="3">
        <v>552.15194849293755</v>
      </c>
      <c r="G752" s="3">
        <v>424.39883929703115</v>
      </c>
      <c r="H752" s="3">
        <v>556.12741540546494</v>
      </c>
      <c r="I752" s="2">
        <v>371.64606357241018</v>
      </c>
      <c r="J752" s="23">
        <v>44459</v>
      </c>
      <c r="K752" s="24">
        <v>264</v>
      </c>
      <c r="L752" s="24">
        <v>75.420833333333334</v>
      </c>
      <c r="M752" s="24">
        <v>20.418750000000003</v>
      </c>
      <c r="N752" s="24">
        <v>0</v>
      </c>
      <c r="O752" s="24">
        <v>292.375</v>
      </c>
      <c r="P752" s="24">
        <v>2.8958333333333335</v>
      </c>
      <c r="Q752" s="24">
        <v>0.125</v>
      </c>
      <c r="R752" s="24">
        <v>15.089583333333337</v>
      </c>
      <c r="S752" s="10">
        <v>0.80904150398719299</v>
      </c>
      <c r="T752" s="25">
        <v>0.40510416666666682</v>
      </c>
      <c r="U752" s="25">
        <v>0.52366666666666684</v>
      </c>
      <c r="V752" s="25">
        <v>0.57770833333333349</v>
      </c>
      <c r="W752" s="25">
        <v>0.59475</v>
      </c>
      <c r="X752" s="25">
        <v>0.48677083333333365</v>
      </c>
      <c r="Y752" s="25">
        <v>0.39660416666666681</v>
      </c>
      <c r="Z752" s="25">
        <v>0.38627083333333356</v>
      </c>
      <c r="AA752" s="25">
        <v>0.37791666666666668</v>
      </c>
      <c r="AB752" s="25">
        <v>0.4357083333333332</v>
      </c>
      <c r="AC752" s="25">
        <v>0.28123529411764703</v>
      </c>
      <c r="AD752" s="25">
        <v>0.45993750000000005</v>
      </c>
      <c r="AE752" s="27">
        <f t="shared" si="41"/>
        <v>0.44593750000000021</v>
      </c>
      <c r="AF752" s="27">
        <f t="shared" si="42"/>
        <v>0.47615277777777787</v>
      </c>
      <c r="AG752" s="27">
        <f t="shared" si="43"/>
        <v>0.47065909090909097</v>
      </c>
    </row>
    <row r="753" spans="1:33" x14ac:dyDescent="0.25">
      <c r="A753" s="9">
        <v>44460</v>
      </c>
      <c r="B753" s="3">
        <v>70.144208603999985</v>
      </c>
      <c r="C753" s="3">
        <v>178.58813293050684</v>
      </c>
      <c r="D753" s="3">
        <v>326.53359140477733</v>
      </c>
      <c r="E753" s="3">
        <v>712.08235819194886</v>
      </c>
      <c r="F753" s="3">
        <v>625.79778567076369</v>
      </c>
      <c r="G753" s="3">
        <v>520.22455207852147</v>
      </c>
      <c r="H753" s="3">
        <v>582.81362359271543</v>
      </c>
      <c r="I753" s="2">
        <v>455.56064025516127</v>
      </c>
      <c r="J753" s="23">
        <v>44460</v>
      </c>
      <c r="K753" s="24">
        <v>264.66666666666669</v>
      </c>
      <c r="L753" s="24">
        <v>75.46250000000002</v>
      </c>
      <c r="M753" s="24">
        <v>21.810416666666669</v>
      </c>
      <c r="N753" s="24">
        <v>0</v>
      </c>
      <c r="O753" s="24">
        <v>218.5625</v>
      </c>
      <c r="P753" s="24">
        <v>4.645833333333333</v>
      </c>
      <c r="Q753" s="24">
        <v>0.5</v>
      </c>
      <c r="R753" s="24">
        <v>16.860416666666669</v>
      </c>
      <c r="S753" s="10">
        <v>0.78409174008427251</v>
      </c>
      <c r="T753" s="25">
        <v>0.38256249999999997</v>
      </c>
      <c r="U753" s="25">
        <v>0.50812500000000027</v>
      </c>
      <c r="V753" s="25">
        <v>0.56447916666666664</v>
      </c>
      <c r="W753" s="25">
        <v>0.58683333333333298</v>
      </c>
      <c r="X753" s="25">
        <v>0.48297916666666713</v>
      </c>
      <c r="Y753" s="25">
        <v>0.38950000000000012</v>
      </c>
      <c r="Z753" s="25">
        <v>0.39195833333333324</v>
      </c>
      <c r="AA753" s="25">
        <v>0.3719375000000002</v>
      </c>
      <c r="AB753" s="25">
        <v>0.41697916666666662</v>
      </c>
      <c r="AC753" s="25">
        <v>0.26496296296296296</v>
      </c>
      <c r="AD753" s="25">
        <v>0.42491666666666678</v>
      </c>
      <c r="AE753" s="27">
        <f t="shared" si="41"/>
        <v>0.43277083333333355</v>
      </c>
      <c r="AF753" s="27">
        <f t="shared" si="42"/>
        <v>0.46880555555555548</v>
      </c>
      <c r="AG753" s="27">
        <f t="shared" si="43"/>
        <v>0.46225378787878785</v>
      </c>
    </row>
    <row r="754" spans="1:33" s="50" customFormat="1" x14ac:dyDescent="0.25">
      <c r="A754" s="44">
        <v>44461</v>
      </c>
      <c r="B754" s="45">
        <v>53.860874106599994</v>
      </c>
      <c r="C754" s="45">
        <v>130.37476678085616</v>
      </c>
      <c r="D754" s="45">
        <v>332.58733549052033</v>
      </c>
      <c r="E754" s="45">
        <v>768.57457898817279</v>
      </c>
      <c r="F754" s="45">
        <v>577.61141055161988</v>
      </c>
      <c r="G754" s="45">
        <v>467.08782576347795</v>
      </c>
      <c r="H754" s="45">
        <v>405.169537923929</v>
      </c>
      <c r="I754" s="52">
        <v>409.02880902107768</v>
      </c>
      <c r="J754" s="46">
        <v>44461</v>
      </c>
      <c r="K754" s="47">
        <v>210.52083333333334</v>
      </c>
      <c r="L754" s="47">
        <v>76.30625000000002</v>
      </c>
      <c r="M754" s="47">
        <v>22.581250000000008</v>
      </c>
      <c r="N754" s="47">
        <v>0</v>
      </c>
      <c r="O754" s="47">
        <v>218.64583333333334</v>
      </c>
      <c r="P754" s="47">
        <v>9.9583333333333339</v>
      </c>
      <c r="Q754" s="47">
        <v>1.4791666666666667</v>
      </c>
      <c r="R754" s="47">
        <v>18.016666666666666</v>
      </c>
      <c r="S754" s="48">
        <v>0.71647136452995452</v>
      </c>
      <c r="T754" s="49">
        <v>0.35681249999999992</v>
      </c>
      <c r="U754" s="49">
        <v>0.49254166666666693</v>
      </c>
      <c r="V754" s="49">
        <v>0.54929166666666662</v>
      </c>
      <c r="W754" s="49">
        <v>0.57772916666666652</v>
      </c>
      <c r="X754" s="49">
        <v>0.47510416666666666</v>
      </c>
      <c r="Y754" s="49">
        <v>0.38089583333333343</v>
      </c>
      <c r="Z754" s="49">
        <v>0.39141666666666652</v>
      </c>
      <c r="AA754" s="49">
        <v>0.36339583333333342</v>
      </c>
      <c r="AB754" s="49">
        <v>0.37833333333333341</v>
      </c>
      <c r="AC754" s="49">
        <v>0.22927272727272729</v>
      </c>
      <c r="AD754" s="49">
        <v>0.39522916666666658</v>
      </c>
      <c r="AE754" s="51">
        <f t="shared" si="41"/>
        <v>0.41595833333333332</v>
      </c>
      <c r="AF754" s="51">
        <f t="shared" si="42"/>
        <v>0.45921180555555557</v>
      </c>
      <c r="AG754" s="51">
        <f t="shared" si="43"/>
        <v>0.4513475378787879</v>
      </c>
    </row>
    <row r="755" spans="1:33" x14ac:dyDescent="0.25">
      <c r="A755" s="9">
        <v>44462</v>
      </c>
      <c r="B755" s="3">
        <v>57.473635026600007</v>
      </c>
      <c r="C755" s="3">
        <v>110.42463764460433</v>
      </c>
      <c r="D755" s="3">
        <v>304.02194888961333</v>
      </c>
      <c r="E755" s="3">
        <v>749.83437792123391</v>
      </c>
      <c r="F755" s="3">
        <v>552.75540053879001</v>
      </c>
      <c r="G755" s="3">
        <v>426.14530131925687</v>
      </c>
      <c r="H755" s="3">
        <v>322.48673145509457</v>
      </c>
      <c r="I755" s="2">
        <v>373.17544036527323</v>
      </c>
      <c r="J755" s="23">
        <v>44462</v>
      </c>
      <c r="K755" s="24">
        <v>171.27083333333334</v>
      </c>
      <c r="L755" s="24">
        <v>77.683333333333323</v>
      </c>
      <c r="M755" s="24">
        <v>22.022916666666664</v>
      </c>
      <c r="N755" s="24">
        <v>0</v>
      </c>
      <c r="O755" s="24">
        <v>229.14583333333334</v>
      </c>
      <c r="P755" s="24">
        <v>9.9375</v>
      </c>
      <c r="Q755" s="24">
        <v>0.91666666666666663</v>
      </c>
      <c r="R755" s="24">
        <v>17.825000000000006</v>
      </c>
      <c r="S755" s="10">
        <v>0.63005966000585178</v>
      </c>
      <c r="T755" s="25">
        <v>0.329625</v>
      </c>
      <c r="U755" s="25">
        <v>0.47379166666666667</v>
      </c>
      <c r="V755" s="25">
        <v>0.53208333333333313</v>
      </c>
      <c r="W755" s="25">
        <v>0.56518749999999984</v>
      </c>
      <c r="X755" s="25">
        <v>0.46470833333333306</v>
      </c>
      <c r="Y755" s="25">
        <v>0.37172916666666672</v>
      </c>
      <c r="Z755" s="25">
        <v>0.38783333333333342</v>
      </c>
      <c r="AA755" s="25">
        <v>0.35499999999999993</v>
      </c>
      <c r="AB755" s="25">
        <v>0.3517291666666667</v>
      </c>
      <c r="AC755" s="25">
        <v>0.20795454545454548</v>
      </c>
      <c r="AD755" s="25">
        <v>0.36079166666666668</v>
      </c>
      <c r="AE755" s="27">
        <f t="shared" si="41"/>
        <v>0.39716666666666656</v>
      </c>
      <c r="AF755" s="27">
        <f t="shared" si="42"/>
        <v>0.44760416666666658</v>
      </c>
      <c r="AG755" s="27">
        <f t="shared" si="43"/>
        <v>0.43843371212121207</v>
      </c>
    </row>
    <row r="756" spans="1:33" x14ac:dyDescent="0.25">
      <c r="A756" s="9">
        <v>44463</v>
      </c>
      <c r="B756" s="3">
        <v>72.2600497026</v>
      </c>
      <c r="C756" s="3">
        <v>138.09116196862004</v>
      </c>
      <c r="D756" s="3">
        <v>329.66572130047518</v>
      </c>
      <c r="E756" s="3">
        <v>682.17965222655118</v>
      </c>
      <c r="F756" s="3">
        <v>611.44005995064992</v>
      </c>
      <c r="G756" s="3">
        <v>450.14808614344065</v>
      </c>
      <c r="H756" s="3">
        <v>413.93918358434388</v>
      </c>
      <c r="I756" s="2">
        <v>394.19467903581102</v>
      </c>
      <c r="J756" s="23">
        <v>44463</v>
      </c>
      <c r="K756" s="24">
        <v>180.83333333333334</v>
      </c>
      <c r="L756" s="24">
        <v>77.181249999999991</v>
      </c>
      <c r="M756" s="24">
        <v>21.920833333333338</v>
      </c>
      <c r="N756" s="24">
        <v>0.2</v>
      </c>
      <c r="O756" s="24">
        <v>235.79166666666666</v>
      </c>
      <c r="P756" s="24">
        <v>12.541666666666666</v>
      </c>
      <c r="Q756" s="24">
        <v>2.3958333333333335</v>
      </c>
      <c r="R756" s="24">
        <v>17.59791666666667</v>
      </c>
      <c r="S756" s="10">
        <v>0.6463845860666072</v>
      </c>
      <c r="T756" s="25">
        <v>0.30487499999999995</v>
      </c>
      <c r="U756" s="25">
        <v>0.45297916666666665</v>
      </c>
      <c r="V756" s="25">
        <v>0.5122916666666667</v>
      </c>
      <c r="W756" s="25">
        <v>0.54920833333333341</v>
      </c>
      <c r="X756" s="25">
        <v>0.45558333333333362</v>
      </c>
      <c r="Y756" s="25">
        <v>0.36349999999999999</v>
      </c>
      <c r="Z756" s="25">
        <v>0.38245833333333329</v>
      </c>
      <c r="AA756" s="25">
        <v>0.34706250000000005</v>
      </c>
      <c r="AB756" s="25">
        <v>0.33745833333333342</v>
      </c>
      <c r="AC756" s="25">
        <v>0.19619999999999999</v>
      </c>
      <c r="AD756" s="25">
        <v>0.32320833333333338</v>
      </c>
      <c r="AE756" s="27">
        <f t="shared" si="41"/>
        <v>0.38022916666666678</v>
      </c>
      <c r="AF756" s="27">
        <f t="shared" si="42"/>
        <v>0.43458333333333332</v>
      </c>
      <c r="AG756" s="27">
        <f t="shared" si="43"/>
        <v>0.42470075757575759</v>
      </c>
    </row>
    <row r="757" spans="1:33" x14ac:dyDescent="0.25">
      <c r="A757" s="9">
        <v>44464</v>
      </c>
      <c r="B757" s="3">
        <v>66.1993077618</v>
      </c>
      <c r="C757" s="3">
        <v>162.83598045837715</v>
      </c>
      <c r="D757" s="3">
        <v>334.06144111421969</v>
      </c>
      <c r="E757" s="3">
        <v>734.85121692540315</v>
      </c>
      <c r="F757" s="3">
        <v>623.23491936093319</v>
      </c>
      <c r="G757" s="3">
        <v>452.38741209469441</v>
      </c>
      <c r="H757" s="3">
        <v>481.32465789978778</v>
      </c>
      <c r="I757" s="2">
        <v>396.15565677132389</v>
      </c>
      <c r="J757" s="23">
        <v>44464</v>
      </c>
      <c r="K757" s="24">
        <v>198.91666666666666</v>
      </c>
      <c r="L757" s="24">
        <v>76.052083333333343</v>
      </c>
      <c r="M757" s="24">
        <v>22.322916666666668</v>
      </c>
      <c r="N757" s="24">
        <v>0</v>
      </c>
      <c r="O757" s="24">
        <v>236.75</v>
      </c>
      <c r="P757" s="24">
        <v>11.916666666666666</v>
      </c>
      <c r="Q757" s="24">
        <v>1.75</v>
      </c>
      <c r="R757" s="24">
        <v>17.768750000000001</v>
      </c>
      <c r="S757" s="10">
        <v>0.69565695176932918</v>
      </c>
      <c r="T757" s="25">
        <v>0.28306250000000005</v>
      </c>
      <c r="U757" s="25">
        <v>0.43002083333333346</v>
      </c>
      <c r="V757" s="25">
        <v>0.49062500000000031</v>
      </c>
      <c r="W757" s="25">
        <v>0.52920833333333328</v>
      </c>
      <c r="X757" s="25">
        <v>0.44672916666666662</v>
      </c>
      <c r="Y757" s="25">
        <v>0.35520833333333313</v>
      </c>
      <c r="Z757" s="25">
        <v>0.37543749999999987</v>
      </c>
      <c r="AA757" s="25">
        <v>0.33852083333333333</v>
      </c>
      <c r="AB757" s="25">
        <v>0.3202916666666667</v>
      </c>
      <c r="AC757" s="25">
        <v>0.16666666666666666</v>
      </c>
      <c r="AD757" s="25">
        <v>0.28533333333333338</v>
      </c>
      <c r="AE757" s="27">
        <f t="shared" si="41"/>
        <v>0.36489583333333331</v>
      </c>
      <c r="AF757" s="27">
        <f t="shared" si="42"/>
        <v>0.41983680555555564</v>
      </c>
      <c r="AG757" s="27">
        <f t="shared" si="43"/>
        <v>0.40984753787878797</v>
      </c>
    </row>
    <row r="758" spans="1:33" x14ac:dyDescent="0.25">
      <c r="A758" s="9">
        <v>44465</v>
      </c>
      <c r="B758" s="3">
        <v>57.104839211399991</v>
      </c>
      <c r="C758" s="3">
        <v>162.87333083740404</v>
      </c>
      <c r="D758" s="3">
        <v>338.98103921379334</v>
      </c>
      <c r="E758" s="3">
        <v>785.68886544638053</v>
      </c>
      <c r="F758" s="3">
        <v>652.69784871863453</v>
      </c>
      <c r="G758" s="3">
        <v>482.56361634152586</v>
      </c>
      <c r="H758" s="3">
        <v>562.83234296570936</v>
      </c>
      <c r="I758" s="2">
        <v>422.5809588302742</v>
      </c>
      <c r="J758" s="23">
        <v>44465</v>
      </c>
      <c r="K758" s="24">
        <v>211.20833333333334</v>
      </c>
      <c r="L758" s="24">
        <v>74.212499999999991</v>
      </c>
      <c r="M758" s="24">
        <v>22.545833333333334</v>
      </c>
      <c r="N758" s="24">
        <v>0</v>
      </c>
      <c r="O758" s="24">
        <v>235.3125</v>
      </c>
      <c r="P758" s="24">
        <v>9.875</v>
      </c>
      <c r="Q758" s="24">
        <v>1.2083333333333333</v>
      </c>
      <c r="R758" s="24">
        <v>17.543749999999996</v>
      </c>
      <c r="S758" s="10">
        <v>0.7684428053186676</v>
      </c>
      <c r="T758" s="25">
        <v>0.26722916666666657</v>
      </c>
      <c r="U758" s="25">
        <v>0.40620833333333328</v>
      </c>
      <c r="V758" s="25">
        <v>0.47122916666666642</v>
      </c>
      <c r="W758" s="25">
        <v>0.50693749999999993</v>
      </c>
      <c r="X758" s="25">
        <v>0.43895833333333362</v>
      </c>
      <c r="Y758" s="25">
        <v>0.34831250000000008</v>
      </c>
      <c r="Z758" s="25">
        <v>0.36810416666666684</v>
      </c>
      <c r="AA758" s="25">
        <v>0.32941666666666669</v>
      </c>
      <c r="AB758" s="25">
        <v>0.29845833333333338</v>
      </c>
      <c r="AC758" s="25">
        <v>0.15049999999999997</v>
      </c>
      <c r="AD758" s="25">
        <v>0.25537500000000002</v>
      </c>
      <c r="AE758" s="27">
        <f t="shared" si="41"/>
        <v>0.3530937500000001</v>
      </c>
      <c r="AF758" s="27">
        <f t="shared" si="42"/>
        <v>0.40503472222222214</v>
      </c>
      <c r="AG758" s="27">
        <f t="shared" si="43"/>
        <v>0.39559090909090905</v>
      </c>
    </row>
    <row r="759" spans="1:33" x14ac:dyDescent="0.25">
      <c r="A759" s="9">
        <v>44466</v>
      </c>
      <c r="B759" s="3">
        <v>51.773279081399998</v>
      </c>
      <c r="C759" s="3">
        <v>185.02151956381334</v>
      </c>
      <c r="D759" s="3">
        <v>327.13011178271125</v>
      </c>
      <c r="E759" s="3">
        <v>832.1979531091672</v>
      </c>
      <c r="F759" s="3">
        <v>694.67315534621525</v>
      </c>
      <c r="G759" s="3">
        <v>517.75007837087412</v>
      </c>
      <c r="H759" s="3">
        <v>636.78069087303845</v>
      </c>
      <c r="I759" s="2">
        <v>453.39374362937451</v>
      </c>
      <c r="J759" s="23">
        <v>44466</v>
      </c>
      <c r="K759" s="24">
        <v>238.10416666666666</v>
      </c>
      <c r="L759" s="24">
        <v>71.781249999999986</v>
      </c>
      <c r="M759" s="24">
        <v>22.822916666666668</v>
      </c>
      <c r="N759" s="24">
        <v>0</v>
      </c>
      <c r="O759" s="24">
        <v>225.79166666666666</v>
      </c>
      <c r="P759" s="24">
        <v>6.354166666666667</v>
      </c>
      <c r="Q759" s="24">
        <v>0.72916666666666663</v>
      </c>
      <c r="R759" s="24">
        <v>17.222916666666663</v>
      </c>
      <c r="S759" s="10">
        <v>0.87158836159411512</v>
      </c>
      <c r="T759" s="25">
        <v>0.25493749999999998</v>
      </c>
      <c r="U759" s="25">
        <v>0.3826458333333333</v>
      </c>
      <c r="V759" s="25">
        <v>0.45287499999999992</v>
      </c>
      <c r="W759" s="25">
        <v>0.48304166666666654</v>
      </c>
      <c r="X759" s="25">
        <v>0.43295833333333333</v>
      </c>
      <c r="Y759" s="25">
        <v>0.34164583333333337</v>
      </c>
      <c r="Z759" s="25">
        <v>0.36002083333333329</v>
      </c>
      <c r="AA759" s="25">
        <v>0.31991666666666668</v>
      </c>
      <c r="AB759" s="25">
        <v>0.27164583333333336</v>
      </c>
      <c r="AC759" s="25">
        <v>0.14405000000000001</v>
      </c>
      <c r="AD759" s="25">
        <v>0.23497916666666663</v>
      </c>
      <c r="AE759" s="27">
        <f t="shared" si="41"/>
        <v>0.34394791666666669</v>
      </c>
      <c r="AF759" s="27">
        <f t="shared" si="42"/>
        <v>0.39002430555555562</v>
      </c>
      <c r="AG759" s="27">
        <f t="shared" si="43"/>
        <v>0.3816467803030304</v>
      </c>
    </row>
    <row r="760" spans="1:33" s="50" customFormat="1" x14ac:dyDescent="0.25">
      <c r="A760" s="44">
        <v>44467</v>
      </c>
      <c r="B760" s="45">
        <v>35.0723867958</v>
      </c>
      <c r="C760" s="45">
        <v>153.2809354678173</v>
      </c>
      <c r="D760" s="45">
        <v>276.13882374362447</v>
      </c>
      <c r="E760" s="45">
        <v>769.5456743563492</v>
      </c>
      <c r="F760" s="45">
        <v>498.95957763087114</v>
      </c>
      <c r="G760" s="45">
        <v>393.69769295478142</v>
      </c>
      <c r="H760" s="45">
        <v>523.54730173269684</v>
      </c>
      <c r="I760" s="52">
        <v>344.76106972050212</v>
      </c>
      <c r="J760" s="46">
        <v>44467</v>
      </c>
      <c r="K760" s="47">
        <v>219.22916666666666</v>
      </c>
      <c r="L760" s="47">
        <v>76.329166666666666</v>
      </c>
      <c r="M760" s="47">
        <v>22.366666666666671</v>
      </c>
      <c r="N760" s="47">
        <v>1.0999999999999999</v>
      </c>
      <c r="O760" s="47">
        <v>212.9375</v>
      </c>
      <c r="P760" s="47">
        <v>3.9166666666666665</v>
      </c>
      <c r="Q760" s="47">
        <v>2.0833333333333332E-2</v>
      </c>
      <c r="R760" s="47">
        <v>17.672916666666669</v>
      </c>
      <c r="S760" s="48">
        <v>0.76738611977222071</v>
      </c>
      <c r="T760" s="49">
        <v>0.24514583333333362</v>
      </c>
      <c r="U760" s="49">
        <v>0.36277083333333349</v>
      </c>
      <c r="V760" s="49">
        <v>0.43724999999999975</v>
      </c>
      <c r="W760" s="49">
        <v>0.46004166666666668</v>
      </c>
      <c r="X760" s="49">
        <v>0.42585416666666637</v>
      </c>
      <c r="Y760" s="49">
        <v>0.33616666666666672</v>
      </c>
      <c r="Z760" s="49">
        <v>0.35235416666666675</v>
      </c>
      <c r="AA760" s="49">
        <v>0.31066666666666648</v>
      </c>
      <c r="AB760" s="49">
        <v>0.23406250000000003</v>
      </c>
      <c r="AC760" s="49">
        <v>0.13592307692307692</v>
      </c>
      <c r="AD760" s="49">
        <v>0.22056249999999999</v>
      </c>
      <c r="AE760" s="51">
        <f t="shared" si="41"/>
        <v>0.33550000000000002</v>
      </c>
      <c r="AF760" s="51">
        <f t="shared" si="42"/>
        <v>0.37654166666666661</v>
      </c>
      <c r="AG760" s="51">
        <f t="shared" si="43"/>
        <v>0.36907954545454541</v>
      </c>
    </row>
    <row r="761" spans="1:33" x14ac:dyDescent="0.25">
      <c r="A761" s="9">
        <v>44468</v>
      </c>
      <c r="B761" s="3">
        <v>36.19456555859999</v>
      </c>
      <c r="C761" s="3">
        <v>146.99917107377405</v>
      </c>
      <c r="D761" s="3">
        <v>214.22998890150163</v>
      </c>
      <c r="E761" s="3">
        <v>803.28385801027571</v>
      </c>
      <c r="F761" s="3">
        <v>654.82564410854548</v>
      </c>
      <c r="G761" s="3">
        <v>453.70452178116579</v>
      </c>
      <c r="H761" s="3">
        <v>574.47665022315368</v>
      </c>
      <c r="I761" s="2">
        <v>397.30904972376692</v>
      </c>
      <c r="J761" s="23">
        <v>44468</v>
      </c>
      <c r="K761" s="24">
        <v>258.33333333333331</v>
      </c>
      <c r="L761" s="24">
        <v>65.950000000000017</v>
      </c>
      <c r="M761" s="24">
        <v>22.600000000000005</v>
      </c>
      <c r="N761" s="24">
        <v>0.2</v>
      </c>
      <c r="O761" s="24">
        <v>220.83333333333334</v>
      </c>
      <c r="P761" s="24">
        <v>1.0208333333333333</v>
      </c>
      <c r="Q761" s="24">
        <v>0</v>
      </c>
      <c r="R761" s="24">
        <v>14.610416666666666</v>
      </c>
      <c r="S761" s="10">
        <v>1.210576295633232</v>
      </c>
      <c r="T761" s="25">
        <v>0.23912500000000006</v>
      </c>
      <c r="U761" s="25">
        <v>0.34987499999999999</v>
      </c>
      <c r="V761" s="25">
        <v>0.42570833333333341</v>
      </c>
      <c r="W761" s="25">
        <v>0.44304166666666672</v>
      </c>
      <c r="X761" s="25">
        <v>0.42056250000000023</v>
      </c>
      <c r="Y761" s="25">
        <v>0.33172916666666674</v>
      </c>
      <c r="Z761" s="25">
        <v>0.34633333333333344</v>
      </c>
      <c r="AA761" s="25">
        <v>0.30368750000000005</v>
      </c>
      <c r="AB761" s="25">
        <v>0.21164583333333345</v>
      </c>
      <c r="AC761" s="25">
        <v>0.13130000000000003</v>
      </c>
      <c r="AD761" s="25">
        <v>0.21220833333333333</v>
      </c>
      <c r="AE761" s="27">
        <f t="shared" si="41"/>
        <v>0.32984375000000016</v>
      </c>
      <c r="AF761" s="27">
        <f t="shared" si="42"/>
        <v>0.36672916666666672</v>
      </c>
      <c r="AG761" s="27">
        <f t="shared" si="43"/>
        <v>0.36002272727272733</v>
      </c>
    </row>
    <row r="762" spans="1:33" x14ac:dyDescent="0.25">
      <c r="A762" s="9">
        <v>44469</v>
      </c>
      <c r="B762" s="3">
        <v>38.713241806200003</v>
      </c>
      <c r="C762" s="3">
        <v>190.98401284473476</v>
      </c>
      <c r="D762" s="3">
        <v>256.73169008191684</v>
      </c>
      <c r="E762" s="3">
        <v>833.04216752060086</v>
      </c>
      <c r="F762" s="3">
        <v>650.06865612050535</v>
      </c>
      <c r="G762" s="3">
        <v>459.57022887614994</v>
      </c>
      <c r="H762" s="3">
        <v>608.74219505163489</v>
      </c>
      <c r="I762" s="2">
        <v>402.44564942684451</v>
      </c>
      <c r="J762" s="23">
        <v>44469</v>
      </c>
      <c r="K762" s="24">
        <v>245.04166666666666</v>
      </c>
      <c r="L762" s="24">
        <v>65.902083333333351</v>
      </c>
      <c r="M762" s="24">
        <v>22.814583333333331</v>
      </c>
      <c r="N762" s="24">
        <v>0</v>
      </c>
      <c r="O762" s="24">
        <v>227.8125</v>
      </c>
      <c r="P762" s="24">
        <v>3</v>
      </c>
      <c r="Q762" s="24">
        <v>0.16666666666666666</v>
      </c>
      <c r="R762" s="24">
        <v>15.631249999999996</v>
      </c>
      <c r="S762" s="10">
        <v>1.1234496868251027</v>
      </c>
      <c r="T762" s="25">
        <v>0.23414583333333341</v>
      </c>
      <c r="U762" s="25">
        <v>0.33693750000000017</v>
      </c>
      <c r="V762" s="25">
        <v>0.41343749999999996</v>
      </c>
      <c r="W762" s="25">
        <v>0.42610416666666673</v>
      </c>
      <c r="X762" s="25">
        <v>0.41560416666666655</v>
      </c>
      <c r="Y762" s="25">
        <v>0.32733333333333337</v>
      </c>
      <c r="Z762" s="25">
        <v>0.3396249999999999</v>
      </c>
      <c r="AA762" s="25">
        <v>0.29612499999999997</v>
      </c>
      <c r="AB762" s="25">
        <v>0.19295833333333326</v>
      </c>
      <c r="AC762" s="25">
        <v>0.126</v>
      </c>
      <c r="AD762" s="25">
        <v>0.20429166666666662</v>
      </c>
      <c r="AE762" s="27">
        <f t="shared" si="41"/>
        <v>0.32487499999999997</v>
      </c>
      <c r="AF762" s="27">
        <f t="shared" si="42"/>
        <v>0.35659374999999999</v>
      </c>
      <c r="AG762" s="27">
        <f t="shared" si="43"/>
        <v>0.35082670454545456</v>
      </c>
    </row>
    <row r="763" spans="1:33" x14ac:dyDescent="0.25">
      <c r="A763" s="9">
        <v>44470</v>
      </c>
      <c r="B763" s="3">
        <v>70.846641822599992</v>
      </c>
      <c r="C763" s="3">
        <v>204.83668607045351</v>
      </c>
      <c r="D763" s="3">
        <v>238.07896083438629</v>
      </c>
      <c r="E763" s="3">
        <v>805.91522874941177</v>
      </c>
      <c r="F763" s="3">
        <v>581.00473185899227</v>
      </c>
      <c r="G763" s="3">
        <v>431.49395267125158</v>
      </c>
      <c r="H763" s="3">
        <v>526.26858401974516</v>
      </c>
      <c r="I763" s="2">
        <v>377.85925435421501</v>
      </c>
      <c r="J763" s="23">
        <v>44470</v>
      </c>
      <c r="K763" s="24">
        <v>231.60416666666666</v>
      </c>
      <c r="L763" s="24">
        <v>72.654166666666683</v>
      </c>
      <c r="M763" s="24">
        <v>23.333333333333332</v>
      </c>
      <c r="N763" s="24">
        <v>0</v>
      </c>
      <c r="O763" s="24">
        <v>233.64583333333334</v>
      </c>
      <c r="P763" s="24">
        <v>5.166666666666667</v>
      </c>
      <c r="Q763" s="24">
        <v>0.52083333333333337</v>
      </c>
      <c r="R763" s="24">
        <v>17.737500000000001</v>
      </c>
      <c r="S763" s="10">
        <v>0.92083704684426293</v>
      </c>
      <c r="T763" s="25">
        <v>0.23114583333333349</v>
      </c>
      <c r="U763" s="25">
        <v>0.32752083333333321</v>
      </c>
      <c r="V763" s="25">
        <v>0.40604166666666647</v>
      </c>
      <c r="W763" s="25">
        <v>0.41439583333333313</v>
      </c>
      <c r="X763" s="25">
        <v>0.41249999999999987</v>
      </c>
      <c r="Y763" s="25">
        <v>0.32452083333333337</v>
      </c>
      <c r="Z763" s="25">
        <v>0.33408333333333334</v>
      </c>
      <c r="AA763" s="25">
        <v>0.29027083333333353</v>
      </c>
      <c r="AB763" s="25">
        <v>0.17864583333333331</v>
      </c>
      <c r="AC763" s="25">
        <v>0.12252777777777782</v>
      </c>
      <c r="AD763" s="25">
        <v>0.19860416666666672</v>
      </c>
      <c r="AE763" s="27">
        <f t="shared" si="41"/>
        <v>0.32182291666666668</v>
      </c>
      <c r="AF763" s="27">
        <f t="shared" si="42"/>
        <v>0.34947222222222218</v>
      </c>
      <c r="AG763" s="27">
        <f t="shared" si="43"/>
        <v>0.34444507575757571</v>
      </c>
    </row>
    <row r="764" spans="1:33" x14ac:dyDescent="0.25">
      <c r="A764" s="9">
        <v>44471</v>
      </c>
      <c r="B764" s="3">
        <v>90.297153464400026</v>
      </c>
      <c r="C764" s="3">
        <v>160.43677030630334</v>
      </c>
      <c r="D764" s="3">
        <v>234.7105671741476</v>
      </c>
      <c r="E764" s="3">
        <v>750.91508810842095</v>
      </c>
      <c r="F764" s="3">
        <v>514.7489642719737</v>
      </c>
      <c r="G764" s="3">
        <v>390.95399654634923</v>
      </c>
      <c r="H764" s="3">
        <v>486.84130773338433</v>
      </c>
      <c r="I764" s="2">
        <v>342.35841477563804</v>
      </c>
      <c r="J764" s="23">
        <v>44471</v>
      </c>
      <c r="K764" s="24">
        <v>200.41666666666666</v>
      </c>
      <c r="L764" s="24">
        <v>74.218749999999986</v>
      </c>
      <c r="M764" s="24">
        <v>23.633333333333336</v>
      </c>
      <c r="N764" s="24">
        <v>0</v>
      </c>
      <c r="O764" s="24">
        <v>233.79166666666666</v>
      </c>
      <c r="P764" s="24">
        <v>9.1041666666666661</v>
      </c>
      <c r="Q764" s="24">
        <v>1.2291666666666667</v>
      </c>
      <c r="R764" s="24">
        <v>18.547916666666673</v>
      </c>
      <c r="S764" s="10">
        <v>0.82914898722517083</v>
      </c>
      <c r="T764" s="25">
        <v>0.2288958333333333</v>
      </c>
      <c r="U764" s="25">
        <v>0.3204583333333334</v>
      </c>
      <c r="V764" s="25">
        <v>0.40118750000000031</v>
      </c>
      <c r="W764" s="25">
        <v>0.40689583333333307</v>
      </c>
      <c r="X764" s="25">
        <v>0.40945833333333331</v>
      </c>
      <c r="Y764" s="25">
        <v>0.32212499999999999</v>
      </c>
      <c r="Z764" s="25">
        <v>0.32933333333333342</v>
      </c>
      <c r="AA764" s="25">
        <v>0.28543749999999984</v>
      </c>
      <c r="AB764" s="25">
        <v>0.16718750000000004</v>
      </c>
      <c r="AC764" s="25">
        <v>0.12151428571428571</v>
      </c>
      <c r="AD764" s="25">
        <v>0.19362500000000002</v>
      </c>
      <c r="AE764" s="27">
        <f t="shared" si="41"/>
        <v>0.31917708333333328</v>
      </c>
      <c r="AF764" s="27">
        <f t="shared" si="42"/>
        <v>0.34423958333333338</v>
      </c>
      <c r="AG764" s="27">
        <f t="shared" si="43"/>
        <v>0.33968276515151519</v>
      </c>
    </row>
    <row r="765" spans="1:33" x14ac:dyDescent="0.25">
      <c r="A765" s="9">
        <v>44472</v>
      </c>
      <c r="B765" s="3">
        <v>113.7051572562</v>
      </c>
      <c r="C765" s="3">
        <v>153.01828786320661</v>
      </c>
      <c r="D765" s="3">
        <v>245.99119824928121</v>
      </c>
      <c r="E765" s="3">
        <v>621.7910590069157</v>
      </c>
      <c r="F765" s="3">
        <v>450.78997410961534</v>
      </c>
      <c r="G765" s="3">
        <v>309.39401325623089</v>
      </c>
      <c r="H765" s="3">
        <v>435.83039451224846</v>
      </c>
      <c r="I765" s="2">
        <v>270.93633740848139</v>
      </c>
      <c r="J765" s="23">
        <v>44472</v>
      </c>
      <c r="K765" s="24">
        <v>169.8125</v>
      </c>
      <c r="L765" s="24">
        <v>75.635416666666671</v>
      </c>
      <c r="M765" s="24">
        <v>22.258333333333336</v>
      </c>
      <c r="N765" s="24">
        <v>0</v>
      </c>
      <c r="O765" s="24">
        <v>229.97916666666666</v>
      </c>
      <c r="P765" s="24">
        <v>16.604166666666668</v>
      </c>
      <c r="Q765" s="24">
        <v>4.4375</v>
      </c>
      <c r="R765" s="24">
        <v>17.65208333333333</v>
      </c>
      <c r="S765" s="10">
        <v>0.69231985283720154</v>
      </c>
      <c r="T765" s="25">
        <v>0.22643750000000018</v>
      </c>
      <c r="U765" s="25">
        <v>0.31454166666666672</v>
      </c>
      <c r="V765" s="25">
        <v>0.39716666666666667</v>
      </c>
      <c r="W765" s="25">
        <v>0.40177083333333347</v>
      </c>
      <c r="X765" s="25">
        <v>0.40518750000000009</v>
      </c>
      <c r="Y765" s="25">
        <v>0.31906249999999997</v>
      </c>
      <c r="Z765" s="25">
        <v>0.32441666666666641</v>
      </c>
      <c r="AA765" s="25">
        <v>0.28185416666666657</v>
      </c>
      <c r="AB765" s="25">
        <v>0.15868749999999995</v>
      </c>
      <c r="AC765" s="25">
        <v>0.11811111111111111</v>
      </c>
      <c r="AD765" s="25">
        <v>0.18929166666666666</v>
      </c>
      <c r="AE765" s="27">
        <f t="shared" si="41"/>
        <v>0.31581250000000016</v>
      </c>
      <c r="AF765" s="27">
        <f t="shared" si="42"/>
        <v>0.33980208333333328</v>
      </c>
      <c r="AG765" s="27">
        <f t="shared" si="43"/>
        <v>0.33544034090909092</v>
      </c>
    </row>
    <row r="766" spans="1:33" x14ac:dyDescent="0.25">
      <c r="A766" s="9">
        <v>44473</v>
      </c>
      <c r="B766" s="3">
        <v>55.963129514399995</v>
      </c>
      <c r="C766" s="3">
        <v>76.206440473827257</v>
      </c>
      <c r="D766" s="3">
        <v>189.8232244803234</v>
      </c>
      <c r="E766" s="3">
        <v>560.47210466403646</v>
      </c>
      <c r="F766" s="3">
        <v>398.07148512104646</v>
      </c>
      <c r="G766" s="3">
        <v>256.11772274585581</v>
      </c>
      <c r="H766" s="3">
        <v>381.61237981159644</v>
      </c>
      <c r="I766" s="2">
        <v>224.28228980854595</v>
      </c>
      <c r="J766" s="23">
        <v>44473</v>
      </c>
      <c r="K766" s="24">
        <v>132.0625</v>
      </c>
      <c r="L766" s="24">
        <v>76.312499999999986</v>
      </c>
      <c r="M766" s="24">
        <v>21.881249999999998</v>
      </c>
      <c r="N766" s="24">
        <v>0</v>
      </c>
      <c r="O766" s="24">
        <v>231.77083333333334</v>
      </c>
      <c r="P766" s="24">
        <v>16.5</v>
      </c>
      <c r="Q766" s="24">
        <v>3.6875</v>
      </c>
      <c r="R766" s="24">
        <v>17.477083333333333</v>
      </c>
      <c r="S766" s="10">
        <v>0.6406294546545942</v>
      </c>
      <c r="T766" s="25">
        <v>0.22441666666666671</v>
      </c>
      <c r="U766" s="25">
        <v>0.31016666666666637</v>
      </c>
      <c r="V766" s="25">
        <v>0.39408333333333351</v>
      </c>
      <c r="W766" s="25">
        <v>0.39816666666666661</v>
      </c>
      <c r="X766" s="25">
        <v>0.40114583333333326</v>
      </c>
      <c r="Y766" s="25">
        <v>0.31624999999999998</v>
      </c>
      <c r="Z766" s="25">
        <v>0.31979166666666664</v>
      </c>
      <c r="AA766" s="25">
        <v>0.27868749999999981</v>
      </c>
      <c r="AB766" s="25">
        <v>0.15272916666666664</v>
      </c>
      <c r="AC766" s="53">
        <f>AD766*0.5711-0.0033</f>
        <v>0.10276992708333332</v>
      </c>
      <c r="AD766" s="25">
        <v>0.18572916666666664</v>
      </c>
      <c r="AE766" s="27">
        <f t="shared" si="41"/>
        <v>0.31278125000000001</v>
      </c>
      <c r="AF766" s="27">
        <f t="shared" si="42"/>
        <v>0.33619097222222211</v>
      </c>
      <c r="AG766" s="27">
        <f t="shared" si="43"/>
        <v>0.33193465909090897</v>
      </c>
    </row>
    <row r="767" spans="1:33" x14ac:dyDescent="0.25">
      <c r="A767" s="9">
        <v>44474</v>
      </c>
      <c r="B767" s="3">
        <v>71.464678749000015</v>
      </c>
      <c r="C767" s="3">
        <v>203.63619229053995</v>
      </c>
      <c r="D767" s="3">
        <v>217.26743235015996</v>
      </c>
      <c r="E767" s="3">
        <v>895.10664430965574</v>
      </c>
      <c r="F767" s="3">
        <v>518.42681706324959</v>
      </c>
      <c r="G767" s="3">
        <v>417.20095831854201</v>
      </c>
      <c r="H767" s="3">
        <v>377.0188380253831</v>
      </c>
      <c r="I767" s="2">
        <v>365.34287919954727</v>
      </c>
      <c r="J767" s="23">
        <v>44474</v>
      </c>
      <c r="K767" s="24">
        <v>236.35416666666666</v>
      </c>
      <c r="L767" s="24">
        <v>69.177083333333329</v>
      </c>
      <c r="M767" s="24">
        <v>23.047916666666662</v>
      </c>
      <c r="N767" s="24">
        <v>0</v>
      </c>
      <c r="O767" s="24">
        <v>232.02083333333334</v>
      </c>
      <c r="P767" s="24">
        <v>14.020833333333334</v>
      </c>
      <c r="Q767" s="24">
        <v>3</v>
      </c>
      <c r="R767" s="24">
        <v>16.758333333333329</v>
      </c>
      <c r="S767" s="10">
        <v>0.96966430727233044</v>
      </c>
      <c r="T767" s="25">
        <v>0.22277083333333356</v>
      </c>
      <c r="U767" s="25">
        <v>0.30633333333333324</v>
      </c>
      <c r="V767" s="25">
        <v>0.39085416666666667</v>
      </c>
      <c r="W767" s="25">
        <v>0.39495833333333347</v>
      </c>
      <c r="X767" s="25">
        <v>0.39922916666666647</v>
      </c>
      <c r="Y767" s="25">
        <v>0.31383333333333335</v>
      </c>
      <c r="Z767" s="25">
        <v>0.31512500000000021</v>
      </c>
      <c r="AA767" s="25">
        <v>0.2750416666666668</v>
      </c>
      <c r="AB767" s="25">
        <v>0.1483541666666667</v>
      </c>
      <c r="AC767" s="25">
        <v>0.11327272727272729</v>
      </c>
      <c r="AD767" s="25">
        <v>0.1841249999999999</v>
      </c>
      <c r="AE767" s="27">
        <f t="shared" si="41"/>
        <v>0.311</v>
      </c>
      <c r="AF767" s="27">
        <f t="shared" si="42"/>
        <v>0.33269097222222233</v>
      </c>
      <c r="AG767" s="27">
        <f t="shared" si="43"/>
        <v>0.32874715909090918</v>
      </c>
    </row>
    <row r="768" spans="1:33" x14ac:dyDescent="0.25">
      <c r="A768" s="9">
        <v>44475</v>
      </c>
      <c r="B768" s="3">
        <v>21.918843599400002</v>
      </c>
      <c r="C768" s="3">
        <v>109.35651042872796</v>
      </c>
      <c r="D768" s="3">
        <v>138.87062799839478</v>
      </c>
      <c r="E768" s="3">
        <v>734.41067096714619</v>
      </c>
      <c r="F768" s="3">
        <v>396.63173007638676</v>
      </c>
      <c r="G768" s="3">
        <v>311.74648430518727</v>
      </c>
      <c r="H768" s="3">
        <v>305.05883062735899</v>
      </c>
      <c r="I768" s="2">
        <v>272.99639630605247</v>
      </c>
      <c r="J768" s="23">
        <v>44475</v>
      </c>
      <c r="K768" s="24">
        <v>166</v>
      </c>
      <c r="L768" s="24">
        <v>71.347916666666649</v>
      </c>
      <c r="M768" s="24">
        <v>22.900000000000002</v>
      </c>
      <c r="N768" s="24">
        <v>0</v>
      </c>
      <c r="O768" s="24">
        <v>234.54166666666666</v>
      </c>
      <c r="P768" s="24">
        <v>8.4791666666666661</v>
      </c>
      <c r="Q768" s="24">
        <v>1.1875</v>
      </c>
      <c r="R768" s="24">
        <v>17.272916666666664</v>
      </c>
      <c r="S768" s="10">
        <v>0.85812654559213897</v>
      </c>
      <c r="T768" s="25">
        <v>0.22116666666666665</v>
      </c>
      <c r="U768" s="25">
        <v>0.30354166666666682</v>
      </c>
      <c r="V768" s="25">
        <v>0.38831250000000023</v>
      </c>
      <c r="W768" s="25">
        <v>0.39172916666666674</v>
      </c>
      <c r="X768" s="25">
        <v>0.39664583333333353</v>
      </c>
      <c r="Y768" s="25">
        <v>0.31195833333333328</v>
      </c>
      <c r="Z768" s="25">
        <v>0.31127083333333333</v>
      </c>
      <c r="AA768" s="25">
        <v>0.27174999999999994</v>
      </c>
      <c r="AB768" s="25">
        <v>0.14375000000000002</v>
      </c>
      <c r="AC768" s="25">
        <v>0.1096</v>
      </c>
      <c r="AD768" s="25">
        <v>0.17981250000000001</v>
      </c>
      <c r="AE768" s="27">
        <f t="shared" si="41"/>
        <v>0.3089062500000001</v>
      </c>
      <c r="AF768" s="27">
        <f t="shared" si="42"/>
        <v>0.32976041666666672</v>
      </c>
      <c r="AG768" s="27">
        <f t="shared" si="43"/>
        <v>0.32596875000000008</v>
      </c>
    </row>
    <row r="769" spans="1:33" x14ac:dyDescent="0.25">
      <c r="A769" s="9">
        <v>44476</v>
      </c>
      <c r="B769" s="3">
        <v>5.4751520394000002</v>
      </c>
      <c r="C769" s="3">
        <v>64.693298922896744</v>
      </c>
      <c r="D769" s="3">
        <v>76.400870045057331</v>
      </c>
      <c r="E769" s="3">
        <v>462.15162224418879</v>
      </c>
      <c r="F769" s="3">
        <v>269.78999636273534</v>
      </c>
      <c r="G769" s="3">
        <v>183.88438450255907</v>
      </c>
      <c r="H769" s="3">
        <v>267.84006274392863</v>
      </c>
      <c r="I769" s="2">
        <v>161.027555508891</v>
      </c>
      <c r="J769" s="23">
        <v>44476</v>
      </c>
      <c r="K769" s="24">
        <v>111.33333333333333</v>
      </c>
      <c r="L769" s="24">
        <v>75.914583333333312</v>
      </c>
      <c r="M769" s="24">
        <v>21.589583333333326</v>
      </c>
      <c r="N769" s="24">
        <v>0</v>
      </c>
      <c r="O769" s="24">
        <v>216</v>
      </c>
      <c r="P769" s="24">
        <v>2.8541666666666665</v>
      </c>
      <c r="Q769" s="24">
        <v>8.3333333333333329E-2</v>
      </c>
      <c r="R769" s="24">
        <v>17.056250000000002</v>
      </c>
      <c r="S769" s="10">
        <v>0.66044896499588523</v>
      </c>
      <c r="T769" s="25">
        <v>0.21968750000000012</v>
      </c>
      <c r="U769" s="25">
        <v>0.30127083333333343</v>
      </c>
      <c r="V769" s="25">
        <v>0.38641666666666646</v>
      </c>
      <c r="W769" s="25">
        <v>0.38979166666666648</v>
      </c>
      <c r="X769" s="25">
        <v>0.39316666666666689</v>
      </c>
      <c r="Y769" s="25">
        <v>0.30966666666666631</v>
      </c>
      <c r="Z769" s="25">
        <v>0.30735416666666643</v>
      </c>
      <c r="AA769" s="25">
        <v>0.26958333333333334</v>
      </c>
      <c r="AB769" s="25">
        <v>0.14014583333333333</v>
      </c>
      <c r="AC769" s="25">
        <v>0.108</v>
      </c>
      <c r="AD769" s="25">
        <v>0.17689583333333334</v>
      </c>
      <c r="AE769" s="27">
        <f t="shared" si="41"/>
        <v>0.30642708333333352</v>
      </c>
      <c r="AF769" s="27">
        <f t="shared" si="42"/>
        <v>0.32734722222222207</v>
      </c>
      <c r="AG769" s="27">
        <f t="shared" si="43"/>
        <v>0.32354356060606049</v>
      </c>
    </row>
    <row r="770" spans="1:33" x14ac:dyDescent="0.25">
      <c r="A770" s="9">
        <v>44477</v>
      </c>
      <c r="B770" s="3">
        <v>49.457127475800007</v>
      </c>
      <c r="C770" s="3">
        <v>142.7012430914948</v>
      </c>
      <c r="D770" s="3">
        <v>60.21368426462562</v>
      </c>
      <c r="E770" s="3">
        <v>715.56098412360632</v>
      </c>
      <c r="F770" s="3">
        <v>338.93758896033881</v>
      </c>
      <c r="G770" s="3">
        <v>298.4523386078522</v>
      </c>
      <c r="H770" s="3">
        <v>334.825395324753</v>
      </c>
      <c r="I770" s="2">
        <v>261.35471291889615</v>
      </c>
      <c r="J770" s="23">
        <v>44477</v>
      </c>
      <c r="K770" s="24">
        <v>208.89583333333334</v>
      </c>
      <c r="L770" s="24">
        <v>73.32083333333334</v>
      </c>
      <c r="M770" s="24">
        <v>19.837499999999999</v>
      </c>
      <c r="N770" s="24">
        <v>0.89999999999999991</v>
      </c>
      <c r="O770" s="24">
        <v>235.58333333333334</v>
      </c>
      <c r="P770" s="24">
        <v>5.520833333333333</v>
      </c>
      <c r="Q770" s="24">
        <v>0.1875</v>
      </c>
      <c r="R770" s="24">
        <v>14.437500000000002</v>
      </c>
      <c r="S770" s="10">
        <v>0.73644561989090762</v>
      </c>
      <c r="T770" s="25">
        <v>0.21816666666666659</v>
      </c>
      <c r="U770" s="25">
        <v>0.2988541666666667</v>
      </c>
      <c r="V770" s="25">
        <v>0.38479166666666681</v>
      </c>
      <c r="W770" s="25">
        <v>0.38806249999999992</v>
      </c>
      <c r="X770" s="25">
        <v>0.39066666666666655</v>
      </c>
      <c r="Y770" s="25">
        <v>0.30747916666666647</v>
      </c>
      <c r="Z770" s="25">
        <v>0.30393749999999992</v>
      </c>
      <c r="AA770" s="25">
        <v>0.26779166666666665</v>
      </c>
      <c r="AB770" s="25">
        <v>0.13737500000000005</v>
      </c>
      <c r="AC770" s="25">
        <v>0.10627777777777779</v>
      </c>
      <c r="AD770" s="25">
        <v>0.17662499999999992</v>
      </c>
      <c r="AE770" s="27">
        <f t="shared" si="41"/>
        <v>0.30441666666666656</v>
      </c>
      <c r="AF770" s="27">
        <f t="shared" si="42"/>
        <v>0.32515277777777779</v>
      </c>
      <c r="AG770" s="27">
        <f t="shared" si="43"/>
        <v>0.32138257575757573</v>
      </c>
    </row>
    <row r="771" spans="1:33" s="50" customFormat="1" x14ac:dyDescent="0.25">
      <c r="A771" s="44">
        <v>44478</v>
      </c>
      <c r="B771" s="45">
        <v>1.4816009952000002</v>
      </c>
      <c r="C771" s="45">
        <v>89.595368004690613</v>
      </c>
      <c r="D771" s="45">
        <v>52.773150491237537</v>
      </c>
      <c r="E771" s="45">
        <v>424.61423382953325</v>
      </c>
      <c r="F771" s="45">
        <v>185.12663858039045</v>
      </c>
      <c r="G771" s="45">
        <v>142.66661509251361</v>
      </c>
      <c r="H771" s="45">
        <v>246.58520638197973</v>
      </c>
      <c r="I771" s="52">
        <v>124.93315483651418</v>
      </c>
      <c r="J771" s="46">
        <v>44478</v>
      </c>
      <c r="K771" s="47">
        <v>107.02083333333333</v>
      </c>
      <c r="L771" s="47">
        <v>81.902083333333323</v>
      </c>
      <c r="M771" s="47">
        <v>18.279166666666665</v>
      </c>
      <c r="N771" s="47">
        <v>1.2</v>
      </c>
      <c r="O771" s="47">
        <v>237.33333333333334</v>
      </c>
      <c r="P771" s="47">
        <v>4.6875</v>
      </c>
      <c r="Q771" s="47">
        <v>2.0833333333333332E-2</v>
      </c>
      <c r="R771" s="47">
        <v>14.954166666666667</v>
      </c>
      <c r="S771" s="48">
        <v>0.43639121965116173</v>
      </c>
      <c r="T771" s="49">
        <v>0.21645833333333322</v>
      </c>
      <c r="U771" s="49">
        <v>0.29627083333333321</v>
      </c>
      <c r="V771" s="49">
        <v>0.3829375000000001</v>
      </c>
      <c r="W771" s="49">
        <v>0.38620833333333349</v>
      </c>
      <c r="X771" s="49">
        <v>0.38627083333333351</v>
      </c>
      <c r="Y771" s="49">
        <v>0.30537500000000001</v>
      </c>
      <c r="Z771" s="49">
        <v>0.30100000000000021</v>
      </c>
      <c r="AA771" s="49">
        <v>0.26600000000000018</v>
      </c>
      <c r="AB771" s="49">
        <v>0.12095833333333339</v>
      </c>
      <c r="AC771" s="49">
        <v>0.10356521739130439</v>
      </c>
      <c r="AD771" s="49">
        <v>0.15689583333333332</v>
      </c>
      <c r="AE771" s="51">
        <f t="shared" si="41"/>
        <v>0.30136458333333338</v>
      </c>
      <c r="AF771" s="51">
        <f t="shared" si="42"/>
        <v>0.32296527777777784</v>
      </c>
      <c r="AG771" s="51">
        <f t="shared" si="43"/>
        <v>0.31903787878787887</v>
      </c>
    </row>
    <row r="772" spans="1:33" x14ac:dyDescent="0.25">
      <c r="A772" s="9">
        <v>44479</v>
      </c>
      <c r="B772" s="3">
        <v>14.119006195800003</v>
      </c>
      <c r="C772" s="3">
        <v>22.18666149984729</v>
      </c>
      <c r="D772" s="3">
        <v>2.8198895226843659</v>
      </c>
      <c r="E772" s="3">
        <v>29.649410519099963</v>
      </c>
      <c r="F772" s="3">
        <v>15.98090585640071</v>
      </c>
      <c r="G772" s="3">
        <v>0.92276329538647661</v>
      </c>
      <c r="H772" s="3">
        <v>4.8020821386818442</v>
      </c>
      <c r="I772" s="2">
        <v>0.80806381776993763</v>
      </c>
      <c r="J772" s="23">
        <v>44479</v>
      </c>
      <c r="K772" s="24">
        <v>42.75</v>
      </c>
      <c r="L772" s="24">
        <v>95.064583333333317</v>
      </c>
      <c r="M772" s="24">
        <v>15.652083333333335</v>
      </c>
      <c r="N772" s="24">
        <v>21.599999999999994</v>
      </c>
      <c r="O772" s="24">
        <v>254.85416666666666</v>
      </c>
      <c r="P772" s="24">
        <v>5.854166666666667</v>
      </c>
      <c r="Q772" s="24">
        <v>0</v>
      </c>
      <c r="R772" s="24">
        <v>14.862499999999997</v>
      </c>
      <c r="S772" s="10">
        <v>8.8088862599063941E-2</v>
      </c>
      <c r="T772" s="25">
        <v>0.2157083333333332</v>
      </c>
      <c r="U772" s="25">
        <v>0.29493750000000002</v>
      </c>
      <c r="V772" s="25">
        <v>0.38089583333333343</v>
      </c>
      <c r="W772" s="25">
        <v>0.38650000000000023</v>
      </c>
      <c r="X772" s="25">
        <v>0.39050000000000007</v>
      </c>
      <c r="Y772" s="25">
        <v>0.30052083333333324</v>
      </c>
      <c r="Z772" s="25">
        <v>0.29868750000000005</v>
      </c>
      <c r="AA772" s="25">
        <v>0.26352083333333337</v>
      </c>
      <c r="AB772" s="25">
        <v>0.13839583333333336</v>
      </c>
      <c r="AC772" s="25">
        <v>0.17321875</v>
      </c>
      <c r="AD772" s="25">
        <v>0.25256250000000002</v>
      </c>
      <c r="AE772" s="27">
        <f t="shared" si="41"/>
        <v>0.30310416666666662</v>
      </c>
      <c r="AF772" s="27">
        <f t="shared" si="42"/>
        <v>0.32084375000000009</v>
      </c>
      <c r="AG772" s="27">
        <f t="shared" si="43"/>
        <v>0.31761837121212128</v>
      </c>
    </row>
    <row r="773" spans="1:33" x14ac:dyDescent="0.25">
      <c r="A773" s="9">
        <v>44480</v>
      </c>
      <c r="B773" s="3">
        <v>1.9895850756</v>
      </c>
      <c r="C773" s="3">
        <v>21.095016181172024</v>
      </c>
      <c r="D773" s="3">
        <v>6.2888712402908205</v>
      </c>
      <c r="E773" s="3">
        <v>7.965055940566927</v>
      </c>
      <c r="F773" s="3">
        <v>9.8431814014064525</v>
      </c>
      <c r="G773" s="3">
        <v>0.47427440454007042</v>
      </c>
      <c r="H773" s="3">
        <v>38.085852603355335</v>
      </c>
      <c r="I773" s="2">
        <v>0.41532209605573966</v>
      </c>
      <c r="J773" s="23">
        <v>44480</v>
      </c>
      <c r="K773" s="24">
        <v>47.375</v>
      </c>
      <c r="L773" s="24">
        <v>93.168750000000031</v>
      </c>
      <c r="M773" s="24">
        <v>13.643749999999999</v>
      </c>
      <c r="N773" s="24">
        <v>2.3000000000000003</v>
      </c>
      <c r="O773" s="24">
        <v>210.58333333333334</v>
      </c>
      <c r="P773" s="24">
        <v>4.666666666666667</v>
      </c>
      <c r="Q773" s="24">
        <v>0</v>
      </c>
      <c r="R773" s="24">
        <v>12.552083333333329</v>
      </c>
      <c r="S773" s="10">
        <v>0.10788223566266177</v>
      </c>
      <c r="T773" s="25">
        <v>0.21599999999999997</v>
      </c>
      <c r="U773" s="25">
        <v>0.29397916666666674</v>
      </c>
      <c r="V773" s="25">
        <v>0.37968750000000023</v>
      </c>
      <c r="W773" s="25">
        <v>0.38733333333333353</v>
      </c>
      <c r="X773" s="25">
        <v>0.4225000000000001</v>
      </c>
      <c r="Y773" s="25">
        <v>0.29906249999999984</v>
      </c>
      <c r="Z773" s="25">
        <v>0.29737500000000022</v>
      </c>
      <c r="AA773" s="25">
        <v>0.26299999999999996</v>
      </c>
      <c r="AB773" s="25">
        <v>0.2197500000000002</v>
      </c>
      <c r="AC773" s="25">
        <v>0.2479166666666667</v>
      </c>
      <c r="AD773" s="25">
        <v>0.4140625</v>
      </c>
      <c r="AE773" s="27">
        <f t="shared" si="41"/>
        <v>0.31925000000000003</v>
      </c>
      <c r="AF773" s="27">
        <f t="shared" si="42"/>
        <v>0.32007291666666671</v>
      </c>
      <c r="AG773" s="27">
        <f t="shared" si="43"/>
        <v>0.31992329545454551</v>
      </c>
    </row>
    <row r="774" spans="1:33" x14ac:dyDescent="0.25">
      <c r="A774" s="9">
        <v>44481</v>
      </c>
      <c r="B774" s="3">
        <v>3.4944718068</v>
      </c>
      <c r="C774" s="3">
        <v>20.468941201365428</v>
      </c>
      <c r="D774" s="3">
        <v>22.906496206745505</v>
      </c>
      <c r="E774" s="3">
        <v>164.08301604289159</v>
      </c>
      <c r="F774" s="3">
        <v>94.621949048880253</v>
      </c>
      <c r="G774" s="3">
        <v>74.992321214802615</v>
      </c>
      <c r="H774" s="3">
        <v>227.53264376588106</v>
      </c>
      <c r="I774" s="2">
        <v>65.670775687802646</v>
      </c>
      <c r="J774" s="23">
        <v>44481</v>
      </c>
      <c r="K774" s="24">
        <v>81.229166666666671</v>
      </c>
      <c r="L774" s="24">
        <v>87.866666666666674</v>
      </c>
      <c r="M774" s="24">
        <v>14.514583333333334</v>
      </c>
      <c r="N774" s="24">
        <v>0.2</v>
      </c>
      <c r="O774" s="24">
        <v>212.35416666666666</v>
      </c>
      <c r="P774" s="24">
        <v>4.25</v>
      </c>
      <c r="Q774" s="24">
        <v>4.1666666666666664E-2</v>
      </c>
      <c r="R774" s="24">
        <v>12.460416666666667</v>
      </c>
      <c r="S774" s="10">
        <v>0.2178841865181016</v>
      </c>
      <c r="T774" s="25">
        <v>0.21647916666666681</v>
      </c>
      <c r="U774" s="25">
        <v>0.29302083333333306</v>
      </c>
      <c r="V774" s="25">
        <v>0.37837500000000007</v>
      </c>
      <c r="W774" s="25">
        <v>0.38647916666666643</v>
      </c>
      <c r="X774" s="25">
        <v>0.41320833333333357</v>
      </c>
      <c r="Y774" s="25">
        <v>0.29793750000000002</v>
      </c>
      <c r="Z774" s="25">
        <v>0.29622916666666649</v>
      </c>
      <c r="AA774" s="25">
        <v>0.26299999999999996</v>
      </c>
      <c r="AB774" s="25">
        <v>0.21818750000000001</v>
      </c>
      <c r="AC774" s="25">
        <v>0.22733333333333336</v>
      </c>
      <c r="AD774" s="25">
        <v>0.38116666666666671</v>
      </c>
      <c r="AE774" s="27">
        <f t="shared" ref="AE774:AE804" si="44">AVERAGE(T774,X774)</f>
        <v>0.3148437500000002</v>
      </c>
      <c r="AF774" s="27">
        <f t="shared" ref="AF774:AF804" si="45">AVERAGE(U774:W774,Y774:AA774)</f>
        <v>0.31917361111111103</v>
      </c>
      <c r="AG774" s="27">
        <f t="shared" ref="AG774:AG804" si="46">(AE774*10+AF774*45)/55</f>
        <v>0.31838636363636358</v>
      </c>
    </row>
    <row r="775" spans="1:33" x14ac:dyDescent="0.25">
      <c r="A775" s="9">
        <v>44482</v>
      </c>
      <c r="B775" s="3">
        <v>3.0781602917999993</v>
      </c>
      <c r="C775" s="3">
        <v>22.03735822444068</v>
      </c>
      <c r="D775" s="3">
        <v>4.6312888129245078</v>
      </c>
      <c r="E775" s="3">
        <v>15.264310084642121</v>
      </c>
      <c r="F775" s="3">
        <v>30.467323620343674</v>
      </c>
      <c r="G775" s="3">
        <v>13.875223671993862</v>
      </c>
      <c r="H775" s="3">
        <v>174.65253647135989</v>
      </c>
      <c r="I775" s="2">
        <v>12.150533369565025</v>
      </c>
      <c r="J775" s="23">
        <v>44482</v>
      </c>
      <c r="K775" s="24">
        <v>42.125</v>
      </c>
      <c r="L775" s="24">
        <v>88.470833333333317</v>
      </c>
      <c r="M775" s="24">
        <v>14.283333333333337</v>
      </c>
      <c r="N775" s="24">
        <v>0</v>
      </c>
      <c r="O775" s="24">
        <v>250.75</v>
      </c>
      <c r="P775" s="24">
        <v>6.645833333333333</v>
      </c>
      <c r="Q775" s="24">
        <v>0.125</v>
      </c>
      <c r="R775" s="24">
        <v>12.383333333333331</v>
      </c>
      <c r="S775" s="10">
        <v>0.19316117406423305</v>
      </c>
      <c r="T775" s="25">
        <v>0.21718749999999998</v>
      </c>
      <c r="U775" s="25">
        <v>0.2924166666666666</v>
      </c>
      <c r="V775" s="25">
        <v>0.37781250000000011</v>
      </c>
      <c r="W775" s="25">
        <v>0.38589583333333316</v>
      </c>
      <c r="X775" s="25">
        <v>0.4066666666666669</v>
      </c>
      <c r="Y775" s="25">
        <v>0.29741666666666688</v>
      </c>
      <c r="Z775" s="25">
        <v>0.29558333333333325</v>
      </c>
      <c r="AA775" s="25">
        <v>0.26281250000000006</v>
      </c>
      <c r="AB775" s="25">
        <v>0.21397916666666669</v>
      </c>
      <c r="AC775" s="25">
        <v>0.20938461538461542</v>
      </c>
      <c r="AD775" s="25">
        <v>0.35720833333333318</v>
      </c>
      <c r="AE775" s="27">
        <f t="shared" si="44"/>
        <v>0.31192708333333341</v>
      </c>
      <c r="AF775" s="27">
        <f t="shared" si="45"/>
        <v>0.31865625000000003</v>
      </c>
      <c r="AG775" s="27">
        <f t="shared" si="46"/>
        <v>0.31743276515151519</v>
      </c>
    </row>
    <row r="776" spans="1:33" x14ac:dyDescent="0.25">
      <c r="A776" s="9">
        <v>44483</v>
      </c>
      <c r="B776" s="3">
        <v>1.5533506224</v>
      </c>
      <c r="C776" s="3">
        <v>29.597903798113567</v>
      </c>
      <c r="D776" s="3">
        <v>12.996083565875509</v>
      </c>
      <c r="E776" s="3">
        <v>0.85739404535168129</v>
      </c>
      <c r="F776" s="3">
        <v>6.1139416613738486</v>
      </c>
      <c r="G776" s="3">
        <v>7.695065085957431E-2</v>
      </c>
      <c r="H776" s="3">
        <v>46.750938473908285</v>
      </c>
      <c r="I776" s="2">
        <v>6.7385684957729231E-2</v>
      </c>
      <c r="J776" s="23">
        <v>44483</v>
      </c>
      <c r="K776" s="24">
        <v>44.25</v>
      </c>
      <c r="L776" s="24">
        <v>91.756250000000023</v>
      </c>
      <c r="M776" s="24">
        <v>14.837499999999999</v>
      </c>
      <c r="N776" s="24">
        <v>2.2000000000000002</v>
      </c>
      <c r="O776" s="24">
        <v>216.64583333333334</v>
      </c>
      <c r="P776" s="24">
        <v>5.229166666666667</v>
      </c>
      <c r="Q776" s="24">
        <v>0</v>
      </c>
      <c r="R776" s="24">
        <v>13.506250000000003</v>
      </c>
      <c r="S776" s="10">
        <v>0.13917713859079131</v>
      </c>
      <c r="T776" s="25">
        <v>0.21737499999999996</v>
      </c>
      <c r="U776" s="25">
        <v>0.29158333333333342</v>
      </c>
      <c r="V776" s="25">
        <v>0.37708333333333344</v>
      </c>
      <c r="W776" s="25">
        <v>0.38514583333333335</v>
      </c>
      <c r="X776" s="25">
        <v>0.40260416666666665</v>
      </c>
      <c r="Y776" s="25">
        <v>0.29691666666666677</v>
      </c>
      <c r="Z776" s="25">
        <v>0.29502083333333329</v>
      </c>
      <c r="AA776" s="25">
        <v>0.26174999999999998</v>
      </c>
      <c r="AB776" s="25">
        <v>0.21172916666666655</v>
      </c>
      <c r="AC776" s="25">
        <v>0.20688571428571431</v>
      </c>
      <c r="AD776" s="25">
        <v>0.34329166666666677</v>
      </c>
      <c r="AE776" s="27">
        <f t="shared" si="44"/>
        <v>0.30998958333333332</v>
      </c>
      <c r="AF776" s="27">
        <f t="shared" si="45"/>
        <v>0.31791666666666668</v>
      </c>
      <c r="AG776" s="27">
        <f t="shared" si="46"/>
        <v>0.31647537878787879</v>
      </c>
    </row>
    <row r="777" spans="1:33" x14ac:dyDescent="0.25">
      <c r="A777" s="9">
        <v>44484</v>
      </c>
      <c r="B777" s="3">
        <v>0.70084361519999994</v>
      </c>
      <c r="C777" s="3">
        <v>14.753923441897324</v>
      </c>
      <c r="D777" s="3">
        <v>7.1633952208381242</v>
      </c>
      <c r="E777" s="3">
        <v>1.5870609314555824</v>
      </c>
      <c r="F777" s="3">
        <v>7.2767541423254718</v>
      </c>
      <c r="G777" s="3">
        <v>1.1364808208706241</v>
      </c>
      <c r="H777" s="3">
        <v>81.324077248083242</v>
      </c>
      <c r="I777" s="2">
        <v>0.99521625483640552</v>
      </c>
      <c r="J777" s="23">
        <v>44484</v>
      </c>
      <c r="K777" s="24">
        <v>43.916666666666664</v>
      </c>
      <c r="L777" s="24">
        <v>89.893749999999997</v>
      </c>
      <c r="M777" s="24">
        <v>14.068749999999996</v>
      </c>
      <c r="N777" s="24">
        <v>1.4</v>
      </c>
      <c r="O777" s="24">
        <v>231.3125</v>
      </c>
      <c r="P777" s="24">
        <v>5.229166666666667</v>
      </c>
      <c r="Q777" s="24">
        <v>0</v>
      </c>
      <c r="R777" s="24">
        <v>12.422916666666666</v>
      </c>
      <c r="S777" s="10">
        <v>0.16260612155931461</v>
      </c>
      <c r="T777" s="25">
        <v>0.218</v>
      </c>
      <c r="U777" s="25">
        <v>0.29125000000000018</v>
      </c>
      <c r="V777" s="25">
        <v>0.37662499999999993</v>
      </c>
      <c r="W777" s="25">
        <v>0.38502083333333337</v>
      </c>
      <c r="X777" s="25">
        <v>0.40000000000000019</v>
      </c>
      <c r="Y777" s="25">
        <v>0.29700000000000021</v>
      </c>
      <c r="Z777" s="25">
        <v>0.29504166666666665</v>
      </c>
      <c r="AA777" s="25">
        <v>0.26127083333333317</v>
      </c>
      <c r="AB777" s="25">
        <v>0.21247916666666675</v>
      </c>
      <c r="AC777" s="25">
        <v>0.21226470588235297</v>
      </c>
      <c r="AD777" s="25">
        <v>0.34102083333333316</v>
      </c>
      <c r="AE777" s="27">
        <f t="shared" si="44"/>
        <v>0.30900000000000011</v>
      </c>
      <c r="AF777" s="27">
        <f t="shared" si="45"/>
        <v>0.31770138888888888</v>
      </c>
      <c r="AG777" s="27">
        <f t="shared" si="46"/>
        <v>0.31611931818181821</v>
      </c>
    </row>
    <row r="778" spans="1:33" x14ac:dyDescent="0.25">
      <c r="A778" s="9">
        <v>44485</v>
      </c>
      <c r="B778" s="3">
        <v>3.6504187775999997</v>
      </c>
      <c r="C778" s="3">
        <v>4.12319953677199</v>
      </c>
      <c r="D778" s="3">
        <v>5.4661209556858212</v>
      </c>
      <c r="E778" s="3">
        <v>44.553296805134167</v>
      </c>
      <c r="F778" s="3">
        <v>38.863413187111533</v>
      </c>
      <c r="G778" s="3">
        <v>18.373695912698118</v>
      </c>
      <c r="H778" s="3">
        <v>136.79976491791163</v>
      </c>
      <c r="I778" s="2">
        <v>16.089845510749743</v>
      </c>
      <c r="J778" s="23">
        <v>44485</v>
      </c>
      <c r="K778" s="24">
        <v>43.979166666666664</v>
      </c>
      <c r="L778" s="24">
        <v>84.61666666666666</v>
      </c>
      <c r="M778" s="24">
        <v>11.516666666666667</v>
      </c>
      <c r="N778" s="24">
        <v>0.2</v>
      </c>
      <c r="O778" s="24">
        <v>251.10416666666666</v>
      </c>
      <c r="P778" s="24">
        <v>5.291666666666667</v>
      </c>
      <c r="Q778" s="24">
        <v>6.25E-2</v>
      </c>
      <c r="R778" s="24">
        <v>8.997916666666665</v>
      </c>
      <c r="S778" s="10">
        <v>0.21130365239483226</v>
      </c>
      <c r="T778" s="25">
        <v>0.21674999999999986</v>
      </c>
      <c r="U778" s="25">
        <v>0.28999999999999976</v>
      </c>
      <c r="V778" s="25">
        <v>0.37547916666666664</v>
      </c>
      <c r="W778" s="25">
        <v>0.38458333333333333</v>
      </c>
      <c r="X778" s="25">
        <v>0.39441666666666664</v>
      </c>
      <c r="Y778" s="25">
        <v>0.29679166666666662</v>
      </c>
      <c r="Z778" s="25">
        <v>0.29452083333333351</v>
      </c>
      <c r="AA778" s="25">
        <v>0.26110416666666642</v>
      </c>
      <c r="AB778" s="25">
        <v>0.20927083333333332</v>
      </c>
      <c r="AC778" s="25">
        <v>0.20600000000000002</v>
      </c>
      <c r="AD778" s="25">
        <v>0.3340625000000001</v>
      </c>
      <c r="AE778" s="27">
        <f t="shared" si="44"/>
        <v>0.30558333333333326</v>
      </c>
      <c r="AF778" s="27">
        <f t="shared" si="45"/>
        <v>0.31707986111111103</v>
      </c>
      <c r="AG778" s="27">
        <f t="shared" si="46"/>
        <v>0.31498958333333327</v>
      </c>
    </row>
    <row r="779" spans="1:33" s="50" customFormat="1" x14ac:dyDescent="0.25">
      <c r="A779" s="44">
        <v>44486</v>
      </c>
      <c r="B779" s="45">
        <v>3.2805177750000003</v>
      </c>
      <c r="C779" s="45">
        <v>47.21713658915823</v>
      </c>
      <c r="D779" s="45">
        <v>55.651217808190758</v>
      </c>
      <c r="E779" s="45">
        <v>185.21520850450531</v>
      </c>
      <c r="F779" s="45">
        <v>119.83240771995467</v>
      </c>
      <c r="G779" s="45">
        <v>88.100947586810605</v>
      </c>
      <c r="H779" s="45">
        <v>190.42086990005916</v>
      </c>
      <c r="I779" s="52">
        <v>77.149999801770051</v>
      </c>
      <c r="J779" s="46">
        <v>44486</v>
      </c>
      <c r="K779" s="47">
        <v>88.9375</v>
      </c>
      <c r="L779" s="47">
        <v>83.708333333333329</v>
      </c>
      <c r="M779" s="47">
        <v>11.2875</v>
      </c>
      <c r="N779" s="47">
        <v>0</v>
      </c>
      <c r="O779" s="47">
        <v>241.08333333333334</v>
      </c>
      <c r="P779" s="47">
        <v>4.395833333333333</v>
      </c>
      <c r="Q779" s="47">
        <v>0.27083333333333331</v>
      </c>
      <c r="R779" s="47">
        <v>8.5708333333333311</v>
      </c>
      <c r="S779" s="48">
        <v>0.23138127693421309</v>
      </c>
      <c r="T779" s="49">
        <v>0.21483333333333343</v>
      </c>
      <c r="U779" s="49">
        <v>0.28768750000000032</v>
      </c>
      <c r="V779" s="49">
        <v>0.37293749999999992</v>
      </c>
      <c r="W779" s="49">
        <v>0.38262499999999999</v>
      </c>
      <c r="X779" s="49">
        <v>0.38877083333333345</v>
      </c>
      <c r="Y779" s="49">
        <v>0.29514583333333333</v>
      </c>
      <c r="Z779" s="49">
        <v>0.29347916666666629</v>
      </c>
      <c r="AA779" s="49">
        <v>0.26093749999999982</v>
      </c>
      <c r="AB779" s="49">
        <v>0.19475000000000006</v>
      </c>
      <c r="AC779" s="53">
        <f>AD779*0.5711-0.0033</f>
        <v>0.18130807500000001</v>
      </c>
      <c r="AD779" s="49">
        <v>0.32324999999999998</v>
      </c>
      <c r="AE779" s="51">
        <f t="shared" si="44"/>
        <v>0.30180208333333347</v>
      </c>
      <c r="AF779" s="51">
        <f t="shared" si="45"/>
        <v>0.31546874999999996</v>
      </c>
      <c r="AG779" s="51">
        <f t="shared" si="46"/>
        <v>0.31298390151515154</v>
      </c>
    </row>
    <row r="780" spans="1:33" x14ac:dyDescent="0.25">
      <c r="A780" s="9">
        <v>44487</v>
      </c>
      <c r="B780" s="3">
        <v>64.285386141600029</v>
      </c>
      <c r="C780" s="3">
        <v>125.00338614412181</v>
      </c>
      <c r="D780" s="3">
        <v>157.27652321135076</v>
      </c>
      <c r="E780" s="3">
        <v>319.08797223130148</v>
      </c>
      <c r="F780" s="3">
        <v>244.63913683910755</v>
      </c>
      <c r="G780" s="3">
        <v>215.32221064326066</v>
      </c>
      <c r="H780" s="3">
        <v>255.1796081347444</v>
      </c>
      <c r="I780" s="2">
        <v>188.55765986030337</v>
      </c>
      <c r="J780" s="23">
        <v>44487</v>
      </c>
      <c r="K780" s="24">
        <v>135.33333333333334</v>
      </c>
      <c r="L780" s="24">
        <v>83.985416666666652</v>
      </c>
      <c r="M780" s="24">
        <v>14.381249999999996</v>
      </c>
      <c r="N780" s="24">
        <v>0</v>
      </c>
      <c r="O780" s="24">
        <v>242.08333333333334</v>
      </c>
      <c r="P780" s="24">
        <v>4.4375</v>
      </c>
      <c r="Q780" s="24">
        <v>0.16666666666666666</v>
      </c>
      <c r="R780" s="24">
        <v>11.514583333333336</v>
      </c>
      <c r="S780" s="10">
        <v>0.33493215851641162</v>
      </c>
      <c r="T780" s="25">
        <v>0.21447916666666667</v>
      </c>
      <c r="U780" s="25">
        <v>0.28658333333333336</v>
      </c>
      <c r="V780" s="25">
        <v>0.37189583333333348</v>
      </c>
      <c r="W780" s="25">
        <v>0.38102083333333331</v>
      </c>
      <c r="X780" s="25">
        <v>0.38664583333333341</v>
      </c>
      <c r="Y780" s="25">
        <v>0.29485416666666664</v>
      </c>
      <c r="Z780" s="25">
        <v>0.29277083333333315</v>
      </c>
      <c r="AA780" s="25">
        <v>0.26016666666666655</v>
      </c>
      <c r="AB780" s="25">
        <v>0.18414583333333326</v>
      </c>
      <c r="AC780" s="25">
        <v>0.17879999999999999</v>
      </c>
      <c r="AD780" s="25">
        <v>0.3147916666666668</v>
      </c>
      <c r="AE780" s="27">
        <f t="shared" si="44"/>
        <v>0.30056250000000007</v>
      </c>
      <c r="AF780" s="27">
        <f t="shared" si="45"/>
        <v>0.3145486111111111</v>
      </c>
      <c r="AG780" s="27">
        <f t="shared" si="46"/>
        <v>0.31200568181818183</v>
      </c>
    </row>
    <row r="781" spans="1:33" x14ac:dyDescent="0.25">
      <c r="A781" s="9">
        <v>44488</v>
      </c>
      <c r="B781" s="3">
        <v>7.4393739107999997</v>
      </c>
      <c r="C781" s="3">
        <v>66.005105330996372</v>
      </c>
      <c r="D781" s="3">
        <v>37.678938835678331</v>
      </c>
      <c r="E781" s="3">
        <v>140.96253409364073</v>
      </c>
      <c r="F781" s="3">
        <v>117.73186189823973</v>
      </c>
      <c r="G781" s="3">
        <v>77.000198055702228</v>
      </c>
      <c r="H781" s="3">
        <v>187.08176192944083</v>
      </c>
      <c r="I781" s="2">
        <v>67.429073437378449</v>
      </c>
      <c r="J781" s="23">
        <v>44488</v>
      </c>
      <c r="K781" s="24">
        <v>69.208333333333329</v>
      </c>
      <c r="L781" s="24">
        <v>89.424999999999969</v>
      </c>
      <c r="M781" s="24">
        <v>15.558333333333335</v>
      </c>
      <c r="N781" s="24">
        <v>0.4</v>
      </c>
      <c r="O781" s="24">
        <v>223.52083333333334</v>
      </c>
      <c r="P781" s="24">
        <v>5.395833333333333</v>
      </c>
      <c r="Q781" s="24">
        <v>0.35416666666666669</v>
      </c>
      <c r="R781" s="24">
        <v>13.756250000000003</v>
      </c>
      <c r="S781" s="10">
        <v>0.21910551725581071</v>
      </c>
      <c r="T781" s="25">
        <v>0.21560416666666649</v>
      </c>
      <c r="U781" s="25">
        <v>0.28706250000000028</v>
      </c>
      <c r="V781" s="25">
        <v>0.37299999999999994</v>
      </c>
      <c r="W781" s="25">
        <v>0.38089583333333349</v>
      </c>
      <c r="X781" s="25">
        <v>0.38602083333333326</v>
      </c>
      <c r="Y781" s="25">
        <v>0.29633333333333339</v>
      </c>
      <c r="Z781" s="25">
        <v>0.29356249999999989</v>
      </c>
      <c r="AA781" s="25">
        <v>0.25991666666666652</v>
      </c>
      <c r="AB781" s="25">
        <v>0.18220833333333333</v>
      </c>
      <c r="AC781" s="25">
        <v>0.168625</v>
      </c>
      <c r="AD781" s="25">
        <v>0.30325000000000008</v>
      </c>
      <c r="AE781" s="27">
        <f t="shared" si="44"/>
        <v>0.30081249999999987</v>
      </c>
      <c r="AF781" s="27">
        <f t="shared" si="45"/>
        <v>0.31512847222222223</v>
      </c>
      <c r="AG781" s="27">
        <f t="shared" si="46"/>
        <v>0.31252556818181815</v>
      </c>
    </row>
    <row r="782" spans="1:33" x14ac:dyDescent="0.25">
      <c r="A782" s="9">
        <v>44489</v>
      </c>
      <c r="B782" s="3">
        <v>4.793327837999998</v>
      </c>
      <c r="C782" s="3">
        <v>7.7485391641017047</v>
      </c>
      <c r="D782" s="3">
        <v>2.1828226590884161</v>
      </c>
      <c r="E782" s="3">
        <v>6.4139389115705754</v>
      </c>
      <c r="F782" s="3">
        <v>15.185928578813261</v>
      </c>
      <c r="G782" s="3">
        <v>8.8889367944603475</v>
      </c>
      <c r="H782" s="3">
        <v>9.4665584200360033</v>
      </c>
      <c r="I782" s="2">
        <v>7.7840419509089269</v>
      </c>
      <c r="J782" s="23">
        <v>44489</v>
      </c>
      <c r="K782" s="24">
        <v>20.3125</v>
      </c>
      <c r="L782" s="24">
        <v>93.941666666666677</v>
      </c>
      <c r="M782" s="24">
        <v>11.579166666666667</v>
      </c>
      <c r="N782" s="24">
        <v>5.3000000000000007</v>
      </c>
      <c r="O782" s="24">
        <v>242.27083333333334</v>
      </c>
      <c r="P782" s="24">
        <v>3.2291666666666665</v>
      </c>
      <c r="Q782" s="24">
        <v>0</v>
      </c>
      <c r="R782" s="24">
        <v>10.62708333333333</v>
      </c>
      <c r="S782" s="10">
        <v>8.5840228983713449E-2</v>
      </c>
      <c r="T782" s="25">
        <v>0.21591666666666676</v>
      </c>
      <c r="U782" s="25">
        <v>0.28756250000000039</v>
      </c>
      <c r="V782" s="25">
        <v>0.37349999999999994</v>
      </c>
      <c r="W782" s="25">
        <v>0.38100000000000017</v>
      </c>
      <c r="X782" s="25">
        <v>0.38499999999999984</v>
      </c>
      <c r="Y782" s="25">
        <v>0.29627083333333321</v>
      </c>
      <c r="Z782" s="25">
        <v>0.29395833333333343</v>
      </c>
      <c r="AA782" s="25">
        <v>0.25958333333333333</v>
      </c>
      <c r="AB782" s="25">
        <v>0.18102083333333327</v>
      </c>
      <c r="AC782" s="25">
        <v>0.16400000000000001</v>
      </c>
      <c r="AD782" s="25">
        <v>0.2960833333333332</v>
      </c>
      <c r="AE782" s="27">
        <f t="shared" si="44"/>
        <v>0.30045833333333327</v>
      </c>
      <c r="AF782" s="27">
        <f t="shared" si="45"/>
        <v>0.31531250000000005</v>
      </c>
      <c r="AG782" s="27">
        <f t="shared" si="46"/>
        <v>0.31261174242424244</v>
      </c>
    </row>
    <row r="783" spans="1:33" x14ac:dyDescent="0.25">
      <c r="A783" s="9">
        <v>44490</v>
      </c>
      <c r="B783" s="3">
        <v>3.0300406308000003</v>
      </c>
      <c r="C783" s="3">
        <v>0.81801024452318871</v>
      </c>
      <c r="D783" s="3">
        <v>1.8576790967436843</v>
      </c>
      <c r="E783" s="3">
        <v>6.3238258776267537</v>
      </c>
      <c r="F783" s="3">
        <v>18.717339673758932</v>
      </c>
      <c r="G783" s="3">
        <v>6.1091255688785351</v>
      </c>
      <c r="H783" s="3">
        <v>81.64889763816268</v>
      </c>
      <c r="I783" s="2">
        <v>5.3497612606669334</v>
      </c>
      <c r="J783" s="23">
        <v>44490</v>
      </c>
      <c r="K783" s="24">
        <v>47.145833333333336</v>
      </c>
      <c r="L783" s="24">
        <v>91.585416666666688</v>
      </c>
      <c r="M783" s="24">
        <v>10.412499999999996</v>
      </c>
      <c r="N783" s="24">
        <v>1</v>
      </c>
      <c r="O783" s="24">
        <v>264.89583333333331</v>
      </c>
      <c r="P783" s="24">
        <v>1.9583333333333333</v>
      </c>
      <c r="Q783" s="24">
        <v>0</v>
      </c>
      <c r="R783" s="24">
        <v>9.0791666666666675</v>
      </c>
      <c r="S783" s="10">
        <v>0.11055649452751226</v>
      </c>
      <c r="T783" s="25">
        <v>0.21402083333333358</v>
      </c>
      <c r="U783" s="25">
        <v>0.2855625</v>
      </c>
      <c r="V783" s="25">
        <v>0.37106250000000013</v>
      </c>
      <c r="W783" s="25">
        <v>0.38039583333333366</v>
      </c>
      <c r="X783" s="25">
        <v>0.38106250000000003</v>
      </c>
      <c r="Y783" s="25">
        <v>0.29400000000000009</v>
      </c>
      <c r="Z783" s="25">
        <v>0.2930833333333332</v>
      </c>
      <c r="AA783" s="25">
        <v>0.25883333333333342</v>
      </c>
      <c r="AB783" s="25">
        <v>0.20172916666666676</v>
      </c>
      <c r="AC783" s="25">
        <v>0.19866666666666669</v>
      </c>
      <c r="AD783" s="25">
        <v>0.32354166666666678</v>
      </c>
      <c r="AE783" s="27">
        <f t="shared" si="44"/>
        <v>0.29754166666666682</v>
      </c>
      <c r="AF783" s="27">
        <f t="shared" si="45"/>
        <v>0.31382291666666673</v>
      </c>
      <c r="AG783" s="27">
        <f t="shared" si="46"/>
        <v>0.31086268939393946</v>
      </c>
    </row>
    <row r="784" spans="1:33" x14ac:dyDescent="0.25">
      <c r="A784" s="9">
        <v>44491</v>
      </c>
      <c r="B784" s="3">
        <v>26.611723931399997</v>
      </c>
      <c r="C784" s="3">
        <v>3.7630722096639482</v>
      </c>
      <c r="D784" s="3">
        <v>0.69647980625912842</v>
      </c>
      <c r="E784" s="3">
        <v>91.214368324501848</v>
      </c>
      <c r="F784" s="3">
        <v>67.242565290154062</v>
      </c>
      <c r="G784" s="3">
        <v>28.848459625899235</v>
      </c>
      <c r="H784" s="3">
        <v>196.63320030314139</v>
      </c>
      <c r="I784" s="2">
        <v>25.26259609439996</v>
      </c>
      <c r="J784" s="23">
        <v>44491</v>
      </c>
      <c r="K784" s="24">
        <v>78.5625</v>
      </c>
      <c r="L784" s="24">
        <v>84.722916666666649</v>
      </c>
      <c r="M784" s="24">
        <v>8.5770833333333325</v>
      </c>
      <c r="N784" s="24">
        <v>2.5000000000000004</v>
      </c>
      <c r="O784" s="24">
        <v>243.29166666666666</v>
      </c>
      <c r="P784" s="24">
        <v>4.5</v>
      </c>
      <c r="Q784" s="24">
        <v>0.33333333333333331</v>
      </c>
      <c r="R784" s="24">
        <v>6.0875000000000012</v>
      </c>
      <c r="S784" s="10">
        <v>0.17726568296863307</v>
      </c>
      <c r="T784" s="25">
        <v>0.2129166666666665</v>
      </c>
      <c r="U784" s="25">
        <v>0.28370833333333306</v>
      </c>
      <c r="V784" s="25">
        <v>0.3688958333333332</v>
      </c>
      <c r="W784" s="25">
        <v>0.37872916666666651</v>
      </c>
      <c r="X784" s="25">
        <v>0.3779583333333334</v>
      </c>
      <c r="Y784" s="25">
        <v>0.29233333333333322</v>
      </c>
      <c r="Z784" s="25">
        <v>0.29141666666666682</v>
      </c>
      <c r="AA784" s="25">
        <v>0.25802083333333309</v>
      </c>
      <c r="AB784" s="25">
        <v>0.20745833333333333</v>
      </c>
      <c r="AC784" s="25">
        <v>0.21049999999999996</v>
      </c>
      <c r="AD784" s="25">
        <v>0.35527083333333337</v>
      </c>
      <c r="AE784" s="27">
        <f t="shared" si="44"/>
        <v>0.29543749999999996</v>
      </c>
      <c r="AF784" s="27">
        <f t="shared" si="45"/>
        <v>0.31218402777777771</v>
      </c>
      <c r="AG784" s="27">
        <f t="shared" si="46"/>
        <v>0.30913920454545452</v>
      </c>
    </row>
    <row r="785" spans="1:33" x14ac:dyDescent="0.25">
      <c r="A785" s="9">
        <v>44492</v>
      </c>
      <c r="B785" s="3">
        <v>0.10512000000000001</v>
      </c>
      <c r="C785" s="3">
        <v>41.09673364481683</v>
      </c>
      <c r="D785" s="3">
        <v>111.60630656579271</v>
      </c>
      <c r="E785" s="3">
        <v>262.9657450233413</v>
      </c>
      <c r="F785" s="3">
        <v>169.16341186814932</v>
      </c>
      <c r="G785" s="3">
        <v>117.56848663600293</v>
      </c>
      <c r="H785" s="3">
        <v>292.45796622323689</v>
      </c>
      <c r="I785" s="2">
        <v>102.95472374714777</v>
      </c>
      <c r="J785" s="23">
        <v>44492</v>
      </c>
      <c r="K785" s="24">
        <v>116.22916666666667</v>
      </c>
      <c r="L785" s="24">
        <v>78.749999999999986</v>
      </c>
      <c r="M785" s="24">
        <v>11.202083333333334</v>
      </c>
      <c r="N785" s="24">
        <v>0</v>
      </c>
      <c r="O785" s="24">
        <v>242.60416666666666</v>
      </c>
      <c r="P785" s="24">
        <v>1.9791666666666667</v>
      </c>
      <c r="Q785" s="24">
        <v>0</v>
      </c>
      <c r="R785" s="24">
        <v>7.5249999999999977</v>
      </c>
      <c r="S785" s="10">
        <v>0.31381204751249286</v>
      </c>
      <c r="T785" s="25">
        <v>0.21237499999999979</v>
      </c>
      <c r="U785" s="25">
        <v>0.28237499999999988</v>
      </c>
      <c r="V785" s="25">
        <v>0.36706250000000024</v>
      </c>
      <c r="W785" s="25">
        <v>0.37656249999999997</v>
      </c>
      <c r="X785" s="25">
        <v>0.37660416666666668</v>
      </c>
      <c r="Y785" s="25">
        <v>0.29122916666666671</v>
      </c>
      <c r="Z785" s="25">
        <v>0.29006249999999961</v>
      </c>
      <c r="AA785" s="25">
        <v>0.2573541666666665</v>
      </c>
      <c r="AB785" s="25">
        <v>0.20733333333333326</v>
      </c>
      <c r="AC785" s="25">
        <v>0.1998421052631579</v>
      </c>
      <c r="AD785" s="25">
        <v>0.35593749999999996</v>
      </c>
      <c r="AE785" s="27">
        <f t="shared" si="44"/>
        <v>0.29448958333333325</v>
      </c>
      <c r="AF785" s="27">
        <f t="shared" si="45"/>
        <v>0.31077430555555546</v>
      </c>
      <c r="AG785" s="27">
        <f t="shared" si="46"/>
        <v>0.30781344696969692</v>
      </c>
    </row>
    <row r="786" spans="1:33" x14ac:dyDescent="0.25">
      <c r="A786" s="9">
        <v>44493</v>
      </c>
      <c r="B786" s="3">
        <v>20.483755930799997</v>
      </c>
      <c r="C786" s="3">
        <v>77.945635056689355</v>
      </c>
      <c r="D786" s="3">
        <v>110.52160916706218</v>
      </c>
      <c r="E786" s="3">
        <v>217.17934746330627</v>
      </c>
      <c r="F786" s="3">
        <v>181.17611178362827</v>
      </c>
      <c r="G786" s="3">
        <v>141.03694839286965</v>
      </c>
      <c r="H786" s="3">
        <v>254.26700405759985</v>
      </c>
      <c r="I786" s="2">
        <v>123.50605570763595</v>
      </c>
      <c r="J786" s="23">
        <v>44493</v>
      </c>
      <c r="K786" s="24">
        <v>97.729166666666671</v>
      </c>
      <c r="L786" s="24">
        <v>79.88333333333334</v>
      </c>
      <c r="M786" s="24">
        <v>12.193750000000001</v>
      </c>
      <c r="N786" s="24">
        <v>0</v>
      </c>
      <c r="O786" s="24">
        <v>251.08333333333334</v>
      </c>
      <c r="P786" s="24">
        <v>2.2708333333333335</v>
      </c>
      <c r="Q786" s="24">
        <v>0</v>
      </c>
      <c r="R786" s="24">
        <v>8.7145833333333336</v>
      </c>
      <c r="S786" s="10">
        <v>0.3107960999148609</v>
      </c>
      <c r="T786" s="25">
        <v>0.21272916666666644</v>
      </c>
      <c r="U786" s="25">
        <v>0.28260416666666655</v>
      </c>
      <c r="V786" s="25">
        <v>0.36718750000000028</v>
      </c>
      <c r="W786" s="25">
        <v>0.37547916666666664</v>
      </c>
      <c r="X786" s="25">
        <v>0.37760416666666674</v>
      </c>
      <c r="Y786" s="25">
        <v>0.29197916666666651</v>
      </c>
      <c r="Z786" s="25">
        <v>0.28999999999999965</v>
      </c>
      <c r="AA786" s="25">
        <v>0.25693749999999987</v>
      </c>
      <c r="AB786" s="25">
        <v>0.20260416666666667</v>
      </c>
      <c r="AC786" s="25">
        <v>0.1910869565217391</v>
      </c>
      <c r="AD786" s="25">
        <v>0.34231250000000008</v>
      </c>
      <c r="AE786" s="27">
        <f t="shared" si="44"/>
        <v>0.29516666666666658</v>
      </c>
      <c r="AF786" s="27">
        <f t="shared" si="45"/>
        <v>0.31069791666666652</v>
      </c>
      <c r="AG786" s="27">
        <f t="shared" si="46"/>
        <v>0.30787405303030291</v>
      </c>
    </row>
    <row r="787" spans="1:33" x14ac:dyDescent="0.25">
      <c r="A787" s="9">
        <v>44494</v>
      </c>
      <c r="B787" s="3">
        <v>3.1829811209999996</v>
      </c>
      <c r="C787" s="3">
        <v>40.434863333362131</v>
      </c>
      <c r="D787" s="3">
        <v>48.960310897526988</v>
      </c>
      <c r="E787" s="3">
        <v>121.08027988696905</v>
      </c>
      <c r="F787" s="3">
        <v>74.451930820940291</v>
      </c>
      <c r="G787" s="3">
        <v>31.864201320099241</v>
      </c>
      <c r="H787" s="3">
        <v>155.82326030447123</v>
      </c>
      <c r="I787" s="2">
        <v>27.903481096010907</v>
      </c>
      <c r="J787" s="23">
        <v>44494</v>
      </c>
      <c r="K787" s="24">
        <v>68.416666666666671</v>
      </c>
      <c r="L787" s="24">
        <v>83.870833333333351</v>
      </c>
      <c r="M787" s="24">
        <v>12.600000000000001</v>
      </c>
      <c r="N787" s="24">
        <v>0</v>
      </c>
      <c r="O787" s="24">
        <v>232.375</v>
      </c>
      <c r="P787" s="24">
        <v>5.5</v>
      </c>
      <c r="Q787" s="24">
        <v>0.41666666666666669</v>
      </c>
      <c r="R787" s="24">
        <v>9.9208333333333325</v>
      </c>
      <c r="S787" s="10">
        <v>0.23897778895482968</v>
      </c>
      <c r="T787" s="25">
        <v>0.21297916666666653</v>
      </c>
      <c r="U787" s="25">
        <v>0.28299999999999986</v>
      </c>
      <c r="V787" s="25">
        <v>0.36795833333333339</v>
      </c>
      <c r="W787" s="25">
        <v>0.375</v>
      </c>
      <c r="X787" s="25">
        <v>0.37758333333333355</v>
      </c>
      <c r="Y787" s="25">
        <v>0.29272916666666643</v>
      </c>
      <c r="Z787" s="25">
        <v>0.28999999999999965</v>
      </c>
      <c r="AA787" s="25">
        <v>0.2564583333333334</v>
      </c>
      <c r="AB787" s="25">
        <v>0.19762500000000008</v>
      </c>
      <c r="AC787" s="53">
        <f t="shared" ref="AC787:AC797" si="47">AD787*0.5711-0.0033</f>
        <v>0.18468708333333336</v>
      </c>
      <c r="AD787" s="25">
        <v>0.32916666666666666</v>
      </c>
      <c r="AE787" s="27">
        <f t="shared" si="44"/>
        <v>0.29528125000000005</v>
      </c>
      <c r="AF787" s="27">
        <f t="shared" si="45"/>
        <v>0.31085763888888879</v>
      </c>
      <c r="AG787" s="27">
        <f t="shared" si="46"/>
        <v>0.30802556818181814</v>
      </c>
    </row>
    <row r="788" spans="1:33" x14ac:dyDescent="0.25">
      <c r="A788" s="9">
        <v>44495</v>
      </c>
      <c r="B788" s="3">
        <v>5.8408756686000007</v>
      </c>
      <c r="C788" s="3">
        <v>22.648575970303789</v>
      </c>
      <c r="D788" s="3">
        <v>18.178316335290958</v>
      </c>
      <c r="E788" s="3">
        <v>33.534913338347749</v>
      </c>
      <c r="F788" s="3">
        <v>24.434391148651248</v>
      </c>
      <c r="G788" s="3">
        <v>11.336308367273183</v>
      </c>
      <c r="H788" s="3">
        <v>75.128182622321233</v>
      </c>
      <c r="I788" s="2">
        <v>9.927205237221127</v>
      </c>
      <c r="J788" s="23">
        <v>44495</v>
      </c>
      <c r="K788" s="24">
        <v>48.104166666666664</v>
      </c>
      <c r="L788" s="24">
        <v>90.491666666666688</v>
      </c>
      <c r="M788" s="24">
        <v>12.083333333333334</v>
      </c>
      <c r="N788" s="24">
        <v>1.7</v>
      </c>
      <c r="O788" s="24">
        <v>235.27083333333334</v>
      </c>
      <c r="P788" s="24">
        <v>5.291666666666667</v>
      </c>
      <c r="Q788" s="24">
        <v>0.4375</v>
      </c>
      <c r="R788" s="24">
        <v>10.547916666666666</v>
      </c>
      <c r="S788" s="10">
        <v>0.1371237374116408</v>
      </c>
      <c r="T788" s="25">
        <v>0.21272916666666644</v>
      </c>
      <c r="U788" s="25">
        <v>0.28299999999999986</v>
      </c>
      <c r="V788" s="25">
        <v>0.36733333333333379</v>
      </c>
      <c r="W788" s="25">
        <v>0.375</v>
      </c>
      <c r="X788" s="25">
        <v>0.37716666666666671</v>
      </c>
      <c r="Y788" s="25">
        <v>0.29185416666666675</v>
      </c>
      <c r="Z788" s="25">
        <v>0.28999999999999965</v>
      </c>
      <c r="AA788" s="25">
        <v>0.25566666666666676</v>
      </c>
      <c r="AB788" s="25">
        <v>0.19495833333333337</v>
      </c>
      <c r="AC788" s="53">
        <f t="shared" si="47"/>
        <v>0.17957097916666673</v>
      </c>
      <c r="AD788" s="25">
        <v>0.32020833333333343</v>
      </c>
      <c r="AE788" s="27">
        <f t="shared" si="44"/>
        <v>0.29494791666666659</v>
      </c>
      <c r="AF788" s="27">
        <f t="shared" si="45"/>
        <v>0.31047569444444445</v>
      </c>
      <c r="AG788" s="27">
        <f t="shared" si="46"/>
        <v>0.30765246212121211</v>
      </c>
    </row>
    <row r="789" spans="1:33" x14ac:dyDescent="0.25">
      <c r="A789" s="9">
        <v>44496</v>
      </c>
      <c r="B789" s="3">
        <v>2.1130472825999997</v>
      </c>
      <c r="C789" s="3">
        <v>11.700513481239208</v>
      </c>
      <c r="D789" s="3">
        <v>1.2794408364542122</v>
      </c>
      <c r="E789" s="3">
        <v>4.2375669603029467</v>
      </c>
      <c r="F789" s="3">
        <v>1.3261282282622091</v>
      </c>
      <c r="G789" s="3">
        <v>0.47549234898595227</v>
      </c>
      <c r="H789" s="3">
        <v>46.889833794558605</v>
      </c>
      <c r="I789" s="2">
        <v>0.41638865000699843</v>
      </c>
      <c r="J789" s="23">
        <v>44496</v>
      </c>
      <c r="K789" s="24">
        <v>34.604166666666664</v>
      </c>
      <c r="L789" s="24">
        <v>90.316666666666663</v>
      </c>
      <c r="M789" s="24">
        <v>11.189583333333333</v>
      </c>
      <c r="N789" s="24">
        <v>0.8</v>
      </c>
      <c r="O789" s="24">
        <v>245.875</v>
      </c>
      <c r="P789" s="24">
        <v>0.8125</v>
      </c>
      <c r="Q789" s="24">
        <v>0</v>
      </c>
      <c r="R789" s="24">
        <v>9.6437500000000025</v>
      </c>
      <c r="S789" s="10">
        <v>0.13228199069336832</v>
      </c>
      <c r="T789" s="25">
        <v>0.2120624999999999</v>
      </c>
      <c r="U789" s="25">
        <v>0.28220833333333334</v>
      </c>
      <c r="V789" s="25">
        <v>0.36683333333333357</v>
      </c>
      <c r="W789" s="25">
        <v>0.37462500000000004</v>
      </c>
      <c r="X789" s="25">
        <v>0.37570833333333326</v>
      </c>
      <c r="Y789" s="25">
        <v>0.29150000000000015</v>
      </c>
      <c r="Z789" s="25">
        <v>0.28962499999999985</v>
      </c>
      <c r="AA789" s="25">
        <v>0.25583333333333358</v>
      </c>
      <c r="AB789" s="25">
        <v>0.19233333333333344</v>
      </c>
      <c r="AC789" s="53">
        <f t="shared" si="47"/>
        <v>0.1756565645833334</v>
      </c>
      <c r="AD789" s="25">
        <v>0.31335416666666677</v>
      </c>
      <c r="AE789" s="27">
        <f t="shared" si="44"/>
        <v>0.29388541666666657</v>
      </c>
      <c r="AF789" s="27">
        <f t="shared" si="45"/>
        <v>0.31010416666666674</v>
      </c>
      <c r="AG789" s="27">
        <f t="shared" si="46"/>
        <v>0.30715530303030308</v>
      </c>
    </row>
    <row r="790" spans="1:33" x14ac:dyDescent="0.25">
      <c r="A790" s="9">
        <v>44497</v>
      </c>
      <c r="B790" s="3">
        <v>6.4670311674000009</v>
      </c>
      <c r="C790" s="3">
        <v>10.841243805764103</v>
      </c>
      <c r="D790" s="3">
        <v>4.1651936255780706</v>
      </c>
      <c r="E790" s="3">
        <v>6.7974006172268266</v>
      </c>
      <c r="F790" s="3">
        <v>4.4570874187456537</v>
      </c>
      <c r="G790" s="3">
        <v>4.643138140692014</v>
      </c>
      <c r="H790" s="3">
        <v>5.9143481346457589</v>
      </c>
      <c r="I790" s="2">
        <v>4.0659960698039965</v>
      </c>
      <c r="J790" s="23">
        <v>44497</v>
      </c>
      <c r="K790" s="24">
        <v>22.1875</v>
      </c>
      <c r="L790" s="24">
        <v>96.004166666666663</v>
      </c>
      <c r="M790" s="24">
        <v>11.30625</v>
      </c>
      <c r="N790" s="24">
        <v>6.0000000000000009</v>
      </c>
      <c r="O790" s="24">
        <v>222.39583333333334</v>
      </c>
      <c r="P790" s="24">
        <v>2.2083333333333335</v>
      </c>
      <c r="Q790" s="24">
        <v>0</v>
      </c>
      <c r="R790" s="24">
        <v>10.69166666666667</v>
      </c>
      <c r="S790" s="10">
        <v>5.3695145894106643E-2</v>
      </c>
      <c r="T790" s="25">
        <v>0.21199999999999988</v>
      </c>
      <c r="U790" s="25">
        <v>0.28152083333333344</v>
      </c>
      <c r="V790" s="25">
        <v>0.3657708333333331</v>
      </c>
      <c r="W790" s="25">
        <v>0.37404166666666677</v>
      </c>
      <c r="X790" s="25">
        <v>0.37535416666666666</v>
      </c>
      <c r="Y790" s="25">
        <v>0.28966666666666646</v>
      </c>
      <c r="Z790" s="25">
        <v>0.28899999999999981</v>
      </c>
      <c r="AA790" s="25">
        <v>0.2548125</v>
      </c>
      <c r="AB790" s="25">
        <v>0.20141666666666661</v>
      </c>
      <c r="AC790" s="53">
        <f t="shared" si="47"/>
        <v>0.17938061250000004</v>
      </c>
      <c r="AD790" s="25">
        <v>0.31987500000000002</v>
      </c>
      <c r="AE790" s="27">
        <f t="shared" si="44"/>
        <v>0.29367708333333326</v>
      </c>
      <c r="AF790" s="27">
        <f t="shared" si="45"/>
        <v>0.30913541666666661</v>
      </c>
      <c r="AG790" s="27">
        <f t="shared" si="46"/>
        <v>0.30632481060606054</v>
      </c>
    </row>
    <row r="791" spans="1:33" x14ac:dyDescent="0.25">
      <c r="A791" s="9">
        <v>44498</v>
      </c>
      <c r="B791" s="3">
        <v>5.5642277250000003</v>
      </c>
      <c r="C791" s="3">
        <v>33.438280978263407</v>
      </c>
      <c r="D791" s="3">
        <v>5.0003849427316096</v>
      </c>
      <c r="E791" s="3">
        <v>17.658551642269654</v>
      </c>
      <c r="F791" s="3">
        <v>10.709216216037426</v>
      </c>
      <c r="G791" s="3">
        <v>4.5048400672296642</v>
      </c>
      <c r="H791" s="3">
        <v>55.759351446400629</v>
      </c>
      <c r="I791" s="2">
        <v>3.944888446873017</v>
      </c>
      <c r="J791" s="23">
        <v>44498</v>
      </c>
      <c r="K791" s="24">
        <v>48.604166666666664</v>
      </c>
      <c r="L791" s="24">
        <v>92.38124999999998</v>
      </c>
      <c r="M791" s="24">
        <v>11.62083333333333</v>
      </c>
      <c r="N791" s="24">
        <v>1.6999999999999997</v>
      </c>
      <c r="O791" s="24">
        <v>187.8125</v>
      </c>
      <c r="P791" s="24">
        <v>2.6875</v>
      </c>
      <c r="Q791" s="24">
        <v>0</v>
      </c>
      <c r="R791" s="24">
        <v>10.387499999999998</v>
      </c>
      <c r="S791" s="10">
        <v>0.10953391150034596</v>
      </c>
      <c r="T791" s="25">
        <v>0.21239583333333314</v>
      </c>
      <c r="U791" s="25">
        <v>0.28104166666666686</v>
      </c>
      <c r="V791" s="25">
        <v>0.36537499999999984</v>
      </c>
      <c r="W791" s="25">
        <v>0.37400000000000005</v>
      </c>
      <c r="X791" s="25">
        <v>0.37754166666666672</v>
      </c>
      <c r="Y791" s="25">
        <v>0.28974999999999967</v>
      </c>
      <c r="Z791" s="25">
        <v>0.28899999999999981</v>
      </c>
      <c r="AA791" s="25">
        <v>0.25487500000000024</v>
      </c>
      <c r="AB791" s="25">
        <v>0.25781249999999994</v>
      </c>
      <c r="AC791" s="53">
        <f t="shared" si="47"/>
        <v>0.22744819583333331</v>
      </c>
      <c r="AD791" s="25">
        <v>0.40404166666666658</v>
      </c>
      <c r="AE791" s="27">
        <f t="shared" si="44"/>
        <v>0.29496874999999995</v>
      </c>
      <c r="AF791" s="27">
        <f t="shared" si="45"/>
        <v>0.30900694444444438</v>
      </c>
      <c r="AG791" s="27">
        <f t="shared" si="46"/>
        <v>0.30645454545454542</v>
      </c>
    </row>
    <row r="792" spans="1:33" x14ac:dyDescent="0.25">
      <c r="A792" s="9">
        <v>44499</v>
      </c>
      <c r="B792" s="3">
        <v>0.41534836740000014</v>
      </c>
      <c r="C792" s="3">
        <v>12.972079493423127</v>
      </c>
      <c r="D792" s="3">
        <v>3.2594913816826989</v>
      </c>
      <c r="E792" s="3">
        <v>66.658870034492566</v>
      </c>
      <c r="F792" s="3">
        <v>17.683017604573578</v>
      </c>
      <c r="G792" s="3">
        <v>16.461901135886272</v>
      </c>
      <c r="H792" s="3">
        <v>129.68884503112329</v>
      </c>
      <c r="I792" s="2">
        <v>14.415686824695609</v>
      </c>
      <c r="J792" s="23">
        <v>44499</v>
      </c>
      <c r="K792" s="24">
        <v>60.708333333333336</v>
      </c>
      <c r="L792" s="24">
        <v>88.633333333333312</v>
      </c>
      <c r="M792" s="24">
        <v>12.422916666666664</v>
      </c>
      <c r="N792" s="24">
        <v>1.4999999999999998</v>
      </c>
      <c r="O792" s="24">
        <v>237.0625</v>
      </c>
      <c r="P792" s="24">
        <v>2.0416666666666665</v>
      </c>
      <c r="Q792" s="24">
        <v>2.0833333333333332E-2</v>
      </c>
      <c r="R792" s="24">
        <v>10.541666666666666</v>
      </c>
      <c r="S792" s="10">
        <v>0.17498184570036315</v>
      </c>
      <c r="T792" s="25">
        <v>0.21337500000000018</v>
      </c>
      <c r="U792" s="25">
        <v>0.28116666666666673</v>
      </c>
      <c r="V792" s="25">
        <v>0.36552083333333324</v>
      </c>
      <c r="W792" s="25">
        <v>0.37400000000000005</v>
      </c>
      <c r="X792" s="25">
        <v>0.37950000000000012</v>
      </c>
      <c r="Y792" s="25">
        <v>0.29033333333333328</v>
      </c>
      <c r="Z792" s="25">
        <v>0.28899999999999981</v>
      </c>
      <c r="AA792" s="25">
        <v>0.25493750000000015</v>
      </c>
      <c r="AB792" s="25">
        <v>0.25664583333333352</v>
      </c>
      <c r="AC792" s="53">
        <f t="shared" si="47"/>
        <v>0.22252245833333339</v>
      </c>
      <c r="AD792" s="25">
        <v>0.39541666666666675</v>
      </c>
      <c r="AE792" s="27">
        <f t="shared" si="44"/>
        <v>0.29643750000000013</v>
      </c>
      <c r="AF792" s="27">
        <f t="shared" si="45"/>
        <v>0.30915972222222221</v>
      </c>
      <c r="AG792" s="27">
        <f t="shared" si="46"/>
        <v>0.30684659090909094</v>
      </c>
    </row>
    <row r="793" spans="1:33" x14ac:dyDescent="0.25">
      <c r="A793" s="9">
        <v>44500</v>
      </c>
      <c r="B793" s="3">
        <v>18.536130963000002</v>
      </c>
      <c r="C793" s="3">
        <v>30.31359187413894</v>
      </c>
      <c r="D793" s="3">
        <v>9.9642739908705327</v>
      </c>
      <c r="E793" s="3">
        <v>28.687604747748136</v>
      </c>
      <c r="F793" s="3">
        <v>1.5089043180852588</v>
      </c>
      <c r="G793" s="3">
        <v>11.63903242568594</v>
      </c>
      <c r="H793" s="3">
        <v>6.3701052581265136</v>
      </c>
      <c r="I793" s="2">
        <v>10.192300695173179</v>
      </c>
      <c r="J793" s="23">
        <v>44500</v>
      </c>
      <c r="K793" s="24">
        <v>33.125</v>
      </c>
      <c r="L793" s="24">
        <v>95.447916666666643</v>
      </c>
      <c r="M793" s="24">
        <v>11.64583333333333</v>
      </c>
      <c r="N793" s="24">
        <v>4.9000000000000004</v>
      </c>
      <c r="O793" s="24">
        <v>247</v>
      </c>
      <c r="P793" s="24">
        <v>2.25</v>
      </c>
      <c r="Q793" s="24">
        <v>4.1666666666666664E-2</v>
      </c>
      <c r="R793" s="24">
        <v>10.952083333333334</v>
      </c>
      <c r="S793" s="10">
        <v>6.2350211295016528E-2</v>
      </c>
      <c r="T793" s="25">
        <v>0.21497916666666653</v>
      </c>
      <c r="U793" s="25">
        <v>0.28199999999999997</v>
      </c>
      <c r="V793" s="25">
        <v>0.36562499999999992</v>
      </c>
      <c r="W793" s="25">
        <v>0.37400000000000005</v>
      </c>
      <c r="X793" s="25">
        <v>0.38985416666666667</v>
      </c>
      <c r="Y793" s="25">
        <v>0.2904166666666666</v>
      </c>
      <c r="Z793" s="25">
        <v>0.28939583333333291</v>
      </c>
      <c r="AA793" s="25">
        <v>0.25424999999999998</v>
      </c>
      <c r="AB793" s="25">
        <v>0.27491666666666675</v>
      </c>
      <c r="AC793" s="53">
        <f t="shared" si="47"/>
        <v>0.23331386875000004</v>
      </c>
      <c r="AD793" s="25">
        <v>0.41431250000000003</v>
      </c>
      <c r="AE793" s="27">
        <f t="shared" si="44"/>
        <v>0.30241666666666661</v>
      </c>
      <c r="AF793" s="27">
        <f t="shared" si="45"/>
        <v>0.3092812499999999</v>
      </c>
      <c r="AG793" s="27">
        <f t="shared" si="46"/>
        <v>0.30803314393939379</v>
      </c>
    </row>
    <row r="794" spans="1:33" x14ac:dyDescent="0.25">
      <c r="A794" s="9">
        <v>44501</v>
      </c>
      <c r="B794" s="3">
        <v>4.4885591315999998</v>
      </c>
      <c r="C794" s="3">
        <v>26.649519883161364</v>
      </c>
      <c r="D794" s="3">
        <v>2.109705003319057</v>
      </c>
      <c r="E794" s="3">
        <v>6.1034260204196302</v>
      </c>
      <c r="F794" s="3">
        <v>2.3239964148817935</v>
      </c>
      <c r="G794" s="3">
        <v>0.62801418696975009</v>
      </c>
      <c r="H794" s="3">
        <v>22.237988128221833</v>
      </c>
      <c r="I794" s="2">
        <v>0.54995202352941019</v>
      </c>
      <c r="J794" s="23">
        <v>44501</v>
      </c>
      <c r="K794" s="24">
        <v>32.145833333333336</v>
      </c>
      <c r="L794" s="24">
        <v>94.237499999999969</v>
      </c>
      <c r="M794" s="24">
        <v>11.747916666666669</v>
      </c>
      <c r="N794" s="24">
        <v>0.8</v>
      </c>
      <c r="O794" s="24">
        <v>222.60416666666666</v>
      </c>
      <c r="P794" s="24">
        <v>1.6875</v>
      </c>
      <c r="Q794" s="24">
        <v>0</v>
      </c>
      <c r="R794" s="24">
        <v>10.841666666666669</v>
      </c>
      <c r="S794" s="10">
        <v>8.1149465863885453E-2</v>
      </c>
      <c r="T794" s="25">
        <v>0.21622916666666689</v>
      </c>
      <c r="U794" s="25">
        <v>0.28199999999999997</v>
      </c>
      <c r="V794" s="25">
        <v>0.36579166666666652</v>
      </c>
      <c r="W794" s="25">
        <v>0.3739791666666667</v>
      </c>
      <c r="X794" s="25">
        <v>0.39672916666666702</v>
      </c>
      <c r="Y794" s="25">
        <v>0.29131250000000014</v>
      </c>
      <c r="Z794" s="25">
        <v>0.28989583333333302</v>
      </c>
      <c r="AA794" s="25">
        <v>0.25487500000000007</v>
      </c>
      <c r="AB794" s="25">
        <v>0.27864583333333331</v>
      </c>
      <c r="AC794" s="53">
        <f t="shared" si="47"/>
        <v>0.2330164208333334</v>
      </c>
      <c r="AD794" s="25">
        <v>0.41379166666666672</v>
      </c>
      <c r="AE794" s="27">
        <f t="shared" si="44"/>
        <v>0.30647916666666697</v>
      </c>
      <c r="AF794" s="27">
        <f t="shared" si="45"/>
        <v>0.30964236111111104</v>
      </c>
      <c r="AG794" s="27">
        <f t="shared" si="46"/>
        <v>0.30906723484848481</v>
      </c>
    </row>
    <row r="795" spans="1:33" x14ac:dyDescent="0.25">
      <c r="A795" s="9">
        <v>44502</v>
      </c>
      <c r="B795" s="3">
        <v>0</v>
      </c>
      <c r="C795" s="3">
        <v>18.972832694928911</v>
      </c>
      <c r="D795" s="3">
        <v>2.3493804662735687</v>
      </c>
      <c r="E795" s="3">
        <v>27.889015667247566</v>
      </c>
      <c r="F795" s="3">
        <v>2.2241918259637421</v>
      </c>
      <c r="G795" s="3">
        <v>0.48002905484796504</v>
      </c>
      <c r="H795" s="3">
        <v>11.314765375489506</v>
      </c>
      <c r="I795" s="2">
        <v>0.42036144333036302</v>
      </c>
      <c r="J795" s="23">
        <v>44502</v>
      </c>
      <c r="K795" s="24">
        <v>25.395833333333332</v>
      </c>
      <c r="L795" s="24">
        <v>95.18125000000002</v>
      </c>
      <c r="M795" s="24">
        <v>11.697916666666664</v>
      </c>
      <c r="N795" s="24">
        <v>1.4</v>
      </c>
      <c r="O795" s="24">
        <v>228.20833333333334</v>
      </c>
      <c r="P795" s="24">
        <v>2.125</v>
      </c>
      <c r="Q795" s="24">
        <v>0</v>
      </c>
      <c r="R795" s="24">
        <v>10.945833333333331</v>
      </c>
      <c r="S795" s="10">
        <v>6.670173917171289E-2</v>
      </c>
      <c r="T795" s="25">
        <v>0.21727083333333322</v>
      </c>
      <c r="U795" s="25">
        <v>0.28199999999999997</v>
      </c>
      <c r="V795" s="25">
        <v>0.3655416666666666</v>
      </c>
      <c r="W795" s="25">
        <v>0.37400000000000005</v>
      </c>
      <c r="X795" s="25">
        <v>0.39762499999999984</v>
      </c>
      <c r="Y795" s="25">
        <v>0.29122916666666671</v>
      </c>
      <c r="Z795" s="25">
        <v>0.28999999999999965</v>
      </c>
      <c r="AA795" s="25">
        <v>0.25414583333333313</v>
      </c>
      <c r="AB795" s="25">
        <v>0.27718749999999986</v>
      </c>
      <c r="AC795" s="53">
        <f t="shared" si="47"/>
        <v>0.23312350208333332</v>
      </c>
      <c r="AD795" s="25">
        <v>0.41397916666666662</v>
      </c>
      <c r="AE795" s="27">
        <f t="shared" si="44"/>
        <v>0.30744791666666654</v>
      </c>
      <c r="AF795" s="27">
        <f t="shared" si="45"/>
        <v>0.30948611111111096</v>
      </c>
      <c r="AG795" s="27">
        <f t="shared" si="46"/>
        <v>0.30911553030303013</v>
      </c>
    </row>
    <row r="796" spans="1:33" x14ac:dyDescent="0.25">
      <c r="A796" s="9">
        <v>44503</v>
      </c>
      <c r="B796" s="3">
        <v>0.14455438560000028</v>
      </c>
      <c r="C796" s="3">
        <v>30.444908040764943</v>
      </c>
      <c r="D796" s="3">
        <v>12.364743979325794</v>
      </c>
      <c r="E796" s="3">
        <v>56.491003579238303</v>
      </c>
      <c r="F796" s="3">
        <v>42.802090277612542</v>
      </c>
      <c r="G796" s="3">
        <v>19.565280755692598</v>
      </c>
      <c r="H796" s="3">
        <v>71.438283624689916</v>
      </c>
      <c r="I796" s="2">
        <v>17.133316357760009</v>
      </c>
      <c r="J796" s="23">
        <v>44503</v>
      </c>
      <c r="K796" s="24">
        <v>56.229166666666664</v>
      </c>
      <c r="L796" s="24">
        <v>94.485416666666652</v>
      </c>
      <c r="M796" s="24">
        <v>14.022916666666658</v>
      </c>
      <c r="N796" s="24">
        <v>1</v>
      </c>
      <c r="O796" s="24">
        <v>234.52083333333334</v>
      </c>
      <c r="P796" s="24">
        <v>5.791666666666667</v>
      </c>
      <c r="Q796" s="24">
        <v>0.375</v>
      </c>
      <c r="R796" s="24">
        <v>13.135416666666671</v>
      </c>
      <c r="S796" s="10">
        <v>9.5656113672304019E-2</v>
      </c>
      <c r="T796" s="25">
        <v>0.21841666666666662</v>
      </c>
      <c r="U796" s="25">
        <v>0.28247916666666656</v>
      </c>
      <c r="V796" s="25">
        <v>0.36583333333333318</v>
      </c>
      <c r="W796" s="25">
        <v>0.37400000000000005</v>
      </c>
      <c r="X796" s="25">
        <v>0.41370833333333357</v>
      </c>
      <c r="Y796" s="25">
        <v>0.29160416666666655</v>
      </c>
      <c r="Z796" s="25">
        <v>0.28999999999999965</v>
      </c>
      <c r="AA796" s="25">
        <v>0.25402083333333308</v>
      </c>
      <c r="AB796" s="25">
        <v>0.28316666666666679</v>
      </c>
      <c r="AC796" s="53">
        <f t="shared" si="47"/>
        <v>0.2368356520833334</v>
      </c>
      <c r="AD796" s="25">
        <v>0.42047916666666674</v>
      </c>
      <c r="AE796" s="27">
        <f t="shared" si="44"/>
        <v>0.31606250000000008</v>
      </c>
      <c r="AF796" s="27">
        <f t="shared" si="45"/>
        <v>0.3096562499999998</v>
      </c>
      <c r="AG796" s="27">
        <f t="shared" si="46"/>
        <v>0.31082102272727258</v>
      </c>
    </row>
    <row r="797" spans="1:33" x14ac:dyDescent="0.25">
      <c r="A797" s="9">
        <v>44504</v>
      </c>
      <c r="B797" s="3">
        <v>20.5710727572</v>
      </c>
      <c r="C797" s="3">
        <v>36.011172786472265</v>
      </c>
      <c r="D797" s="3">
        <v>35.683428667736138</v>
      </c>
      <c r="E797" s="3">
        <v>257.56562739142538</v>
      </c>
      <c r="F797" s="3">
        <v>107.98859180954483</v>
      </c>
      <c r="G797" s="3">
        <v>72.254054914935637</v>
      </c>
      <c r="H797" s="3">
        <v>238.60690035866625</v>
      </c>
      <c r="I797" s="2">
        <v>63.272875889009143</v>
      </c>
      <c r="J797" s="23">
        <v>44504</v>
      </c>
      <c r="K797" s="24">
        <v>109.85416666666667</v>
      </c>
      <c r="L797" s="24">
        <v>88.929166666666674</v>
      </c>
      <c r="M797" s="24">
        <v>16.835416666666671</v>
      </c>
      <c r="N797" s="24">
        <v>0.2</v>
      </c>
      <c r="O797" s="24">
        <v>235.0625</v>
      </c>
      <c r="P797" s="24">
        <v>7.416666666666667</v>
      </c>
      <c r="Q797" s="24">
        <v>0.72916666666666663</v>
      </c>
      <c r="R797" s="24">
        <v>14.914583333333331</v>
      </c>
      <c r="S797" s="10">
        <v>0.23679353814954784</v>
      </c>
      <c r="T797" s="25">
        <v>0.22070833333333326</v>
      </c>
      <c r="U797" s="25">
        <v>0.28456249999999988</v>
      </c>
      <c r="V797" s="25">
        <v>0.36764583333333345</v>
      </c>
      <c r="W797" s="25">
        <v>0.37443750000000015</v>
      </c>
      <c r="X797" s="25">
        <v>0.41604166666666687</v>
      </c>
      <c r="Y797" s="25">
        <v>0.29424999999999985</v>
      </c>
      <c r="Z797" s="25">
        <v>0.29093750000000013</v>
      </c>
      <c r="AA797" s="25">
        <v>0.25483333333333352</v>
      </c>
      <c r="AB797" s="25">
        <v>0.28254166666666658</v>
      </c>
      <c r="AC797" s="53">
        <f t="shared" si="47"/>
        <v>0.23365890833333341</v>
      </c>
      <c r="AD797" s="25">
        <v>0.41491666666666677</v>
      </c>
      <c r="AE797" s="27">
        <f t="shared" si="44"/>
        <v>0.31837500000000007</v>
      </c>
      <c r="AF797" s="27">
        <f t="shared" si="45"/>
        <v>0.31111111111111117</v>
      </c>
      <c r="AG797" s="27">
        <f t="shared" si="46"/>
        <v>0.31243181818181825</v>
      </c>
    </row>
    <row r="798" spans="1:33" x14ac:dyDescent="0.25">
      <c r="A798" s="9">
        <v>44505</v>
      </c>
      <c r="B798" s="3">
        <v>60.62690107440001</v>
      </c>
      <c r="C798" s="3">
        <v>100.33016870260003</v>
      </c>
      <c r="D798" s="3">
        <v>148.03916139531324</v>
      </c>
      <c r="E798" s="3">
        <v>302.23400660646456</v>
      </c>
      <c r="F798" s="3">
        <v>243.3813342306189</v>
      </c>
      <c r="G798" s="3">
        <v>218.83366682743141</v>
      </c>
      <c r="H798" s="3">
        <v>292.3247425113704</v>
      </c>
      <c r="I798" s="2">
        <v>191.63264204078169</v>
      </c>
      <c r="J798" s="23">
        <v>44505</v>
      </c>
      <c r="K798" s="24">
        <v>133.625</v>
      </c>
      <c r="L798" s="24">
        <v>84.252083333333346</v>
      </c>
      <c r="M798" s="24">
        <v>18.462500000000009</v>
      </c>
      <c r="N798" s="24">
        <v>0</v>
      </c>
      <c r="O798" s="24">
        <v>227.375</v>
      </c>
      <c r="P798" s="24">
        <v>5.708333333333333</v>
      </c>
      <c r="Q798" s="24">
        <v>0.375</v>
      </c>
      <c r="R798" s="24">
        <v>15.591666666666661</v>
      </c>
      <c r="S798" s="10">
        <v>0.38168800473613679</v>
      </c>
      <c r="T798" s="25">
        <v>0.22275000000000014</v>
      </c>
      <c r="U798" s="25">
        <v>0.28716666666666685</v>
      </c>
      <c r="V798" s="25">
        <v>0.37037499999999995</v>
      </c>
      <c r="W798" s="25">
        <v>0.37587499999999996</v>
      </c>
      <c r="X798" s="25">
        <v>0.41287500000000027</v>
      </c>
      <c r="Y798" s="25">
        <v>0.29716666666666663</v>
      </c>
      <c r="Z798" s="25">
        <v>0.29293749999999991</v>
      </c>
      <c r="AA798" s="25">
        <v>0.25575000000000009</v>
      </c>
      <c r="AB798" s="25">
        <v>0.27579166666666671</v>
      </c>
      <c r="AC798" s="25">
        <v>0.22550000000000001</v>
      </c>
      <c r="AD798" s="25">
        <v>0.40237499999999993</v>
      </c>
      <c r="AE798" s="27">
        <f t="shared" si="44"/>
        <v>0.31781250000000022</v>
      </c>
      <c r="AF798" s="27">
        <f t="shared" si="45"/>
        <v>0.31321180555555556</v>
      </c>
      <c r="AG798" s="27">
        <f t="shared" si="46"/>
        <v>0.31404829545454549</v>
      </c>
    </row>
    <row r="799" spans="1:33" x14ac:dyDescent="0.25">
      <c r="A799" s="9">
        <v>44506</v>
      </c>
      <c r="B799" s="3">
        <v>97.6666028004</v>
      </c>
      <c r="C799" s="3">
        <v>148.97116781650013</v>
      </c>
      <c r="D799" s="3">
        <v>188.03748814411082</v>
      </c>
      <c r="E799" s="3">
        <v>608.7221389079989</v>
      </c>
      <c r="F799" s="3">
        <v>361.65983377854991</v>
      </c>
      <c r="G799" s="3">
        <v>306.16366419270514</v>
      </c>
      <c r="H799" s="3">
        <v>322.890948554641</v>
      </c>
      <c r="I799" s="2">
        <v>268.10752073355189</v>
      </c>
      <c r="J799" s="23">
        <v>44506</v>
      </c>
      <c r="K799" s="24">
        <v>172.95833333333334</v>
      </c>
      <c r="L799" s="24">
        <v>78.845833333333346</v>
      </c>
      <c r="M799" s="24">
        <v>18.925000000000001</v>
      </c>
      <c r="N799" s="24">
        <v>0</v>
      </c>
      <c r="O799" s="24">
        <v>221.22916666666666</v>
      </c>
      <c r="P799" s="24">
        <v>4.104166666666667</v>
      </c>
      <c r="Q799" s="24">
        <v>0.20833333333333334</v>
      </c>
      <c r="R799" s="24">
        <v>14.54791666666666</v>
      </c>
      <c r="S799" s="10">
        <v>0.58810271569958228</v>
      </c>
      <c r="T799" s="25">
        <v>0.22377083333333336</v>
      </c>
      <c r="U799" s="25">
        <v>0.28933333333333294</v>
      </c>
      <c r="V799" s="25">
        <v>0.37333333333333324</v>
      </c>
      <c r="W799" s="25">
        <v>0.37785416666666682</v>
      </c>
      <c r="X799" s="25">
        <v>0.4073958333333334</v>
      </c>
      <c r="Y799" s="25">
        <v>0.29966666666666669</v>
      </c>
      <c r="Z799" s="25">
        <v>0.29466666666666658</v>
      </c>
      <c r="AA799" s="25">
        <v>0.25747916666666643</v>
      </c>
      <c r="AB799" s="25">
        <v>0.26854166666666673</v>
      </c>
      <c r="AC799" s="25">
        <v>0.20670588235294124</v>
      </c>
      <c r="AD799" s="25">
        <v>0.38854166666666679</v>
      </c>
      <c r="AE799" s="27">
        <f t="shared" si="44"/>
        <v>0.31558333333333338</v>
      </c>
      <c r="AF799" s="27">
        <f t="shared" si="45"/>
        <v>0.31538888888888877</v>
      </c>
      <c r="AG799" s="27">
        <f t="shared" si="46"/>
        <v>0.31542424242424233</v>
      </c>
    </row>
    <row r="800" spans="1:33" x14ac:dyDescent="0.25">
      <c r="A800" s="9">
        <v>44507</v>
      </c>
      <c r="B800" s="3">
        <v>18.951458565600003</v>
      </c>
      <c r="C800" s="3">
        <v>19.099658403419454</v>
      </c>
      <c r="D800" s="3">
        <v>51.253518170664627</v>
      </c>
      <c r="E800" s="3">
        <v>118.07046010992858</v>
      </c>
      <c r="F800" s="3">
        <v>52.425785803164487</v>
      </c>
      <c r="G800" s="3">
        <v>27.419088854320631</v>
      </c>
      <c r="H800" s="3">
        <v>85.534422376733843</v>
      </c>
      <c r="I800" s="2">
        <v>24.010896109728577</v>
      </c>
      <c r="J800" s="23">
        <v>44507</v>
      </c>
      <c r="K800" s="24">
        <v>76.333333333333329</v>
      </c>
      <c r="L800" s="24">
        <v>77.989583333333357</v>
      </c>
      <c r="M800" s="24">
        <v>10.543749999999999</v>
      </c>
      <c r="N800" s="24">
        <v>0</v>
      </c>
      <c r="O800" s="24">
        <v>248.125</v>
      </c>
      <c r="P800" s="24">
        <v>7.375</v>
      </c>
      <c r="Q800" s="24">
        <v>0.20833333333333334</v>
      </c>
      <c r="R800" s="24">
        <v>6.8104166666666694</v>
      </c>
      <c r="S800" s="10">
        <v>0.2683729990951122</v>
      </c>
      <c r="T800" s="25">
        <v>0.22204166666666669</v>
      </c>
      <c r="U800" s="25">
        <v>0.28964583333333316</v>
      </c>
      <c r="V800" s="25">
        <v>0.3746458333333334</v>
      </c>
      <c r="W800" s="25">
        <v>0.37962500000000016</v>
      </c>
      <c r="X800" s="25">
        <v>0.39733333333333337</v>
      </c>
      <c r="Y800" s="25">
        <v>0.30097916666666685</v>
      </c>
      <c r="Z800" s="25">
        <v>0.2959374999999998</v>
      </c>
      <c r="AA800" s="25">
        <v>0.25839583333333344</v>
      </c>
      <c r="AB800" s="25">
        <v>0.25639583333333338</v>
      </c>
      <c r="AC800" s="25">
        <v>0.19648936170212769</v>
      </c>
      <c r="AD800" s="25">
        <v>0.36920833333333336</v>
      </c>
      <c r="AE800" s="27">
        <f t="shared" si="44"/>
        <v>0.3096875</v>
      </c>
      <c r="AF800" s="27">
        <f t="shared" si="45"/>
        <v>0.31653819444444442</v>
      </c>
      <c r="AG800" s="27">
        <f t="shared" si="46"/>
        <v>0.31529261363636363</v>
      </c>
    </row>
    <row r="801" spans="1:33" x14ac:dyDescent="0.25">
      <c r="A801" s="9">
        <v>44508</v>
      </c>
      <c r="B801" s="3">
        <v>15.998152768200001</v>
      </c>
      <c r="C801" s="3">
        <v>132.53491595018207</v>
      </c>
      <c r="D801" s="3">
        <v>174.46731023508525</v>
      </c>
      <c r="E801" s="3">
        <v>411.41693988477783</v>
      </c>
      <c r="F801" s="3">
        <v>219.83037782877184</v>
      </c>
      <c r="G801" s="3">
        <v>127.25836711740182</v>
      </c>
      <c r="H801" s="3">
        <v>218.30088630955802</v>
      </c>
      <c r="I801" s="2">
        <v>111.44015208470877</v>
      </c>
      <c r="J801" s="23">
        <v>44508</v>
      </c>
      <c r="K801" s="24">
        <v>145.41666666666666</v>
      </c>
      <c r="L801" s="24">
        <v>63.789583333333333</v>
      </c>
      <c r="M801" s="24">
        <v>8.0374999999999979</v>
      </c>
      <c r="N801" s="24">
        <v>0</v>
      </c>
      <c r="O801" s="24">
        <v>242.5625</v>
      </c>
      <c r="P801" s="24">
        <v>3.8958333333333335</v>
      </c>
      <c r="Q801" s="24">
        <v>0</v>
      </c>
      <c r="R801" s="24">
        <v>1.3979166666666665</v>
      </c>
      <c r="S801" s="10">
        <v>0.42454339627103388</v>
      </c>
      <c r="T801" s="25">
        <v>0.21700000000000016</v>
      </c>
      <c r="U801" s="25">
        <v>0.28558333333333347</v>
      </c>
      <c r="V801" s="25">
        <v>0.37031249999999988</v>
      </c>
      <c r="W801" s="25">
        <v>0.37799999999999995</v>
      </c>
      <c r="X801" s="25">
        <v>0.3848541666666665</v>
      </c>
      <c r="Y801" s="25">
        <v>0.29672916666666643</v>
      </c>
      <c r="Z801" s="25">
        <v>0.29339583333333313</v>
      </c>
      <c r="AA801" s="25">
        <v>0.25824999999999976</v>
      </c>
      <c r="AB801" s="25">
        <v>0.2456666666666667</v>
      </c>
      <c r="AC801" s="25">
        <v>0.18568750000000003</v>
      </c>
      <c r="AD801" s="25">
        <v>0.34889583333333335</v>
      </c>
      <c r="AE801" s="27">
        <f t="shared" si="44"/>
        <v>0.30092708333333335</v>
      </c>
      <c r="AF801" s="27">
        <f t="shared" si="45"/>
        <v>0.31371180555555545</v>
      </c>
      <c r="AG801" s="27">
        <f t="shared" si="46"/>
        <v>0.31138731060606051</v>
      </c>
    </row>
    <row r="802" spans="1:33" x14ac:dyDescent="0.25">
      <c r="A802" s="9">
        <v>44509</v>
      </c>
      <c r="B802" s="3">
        <v>0</v>
      </c>
      <c r="C802" s="3">
        <v>18.990175623962315</v>
      </c>
      <c r="D802" s="3">
        <v>30.09803031198398</v>
      </c>
      <c r="E802" s="3">
        <v>56.90077059517391</v>
      </c>
      <c r="F802" s="3">
        <v>47.718722973690085</v>
      </c>
      <c r="G802" s="3">
        <v>14.805069876534475</v>
      </c>
      <c r="H802" s="3">
        <v>74.374476878751366</v>
      </c>
      <c r="I802" s="2">
        <v>12.96479969088124</v>
      </c>
      <c r="J802" s="23">
        <v>44509</v>
      </c>
      <c r="K802" s="24">
        <v>41.729166666666664</v>
      </c>
      <c r="L802" s="24">
        <v>71.391666666666637</v>
      </c>
      <c r="M802" s="24">
        <v>7.4854166666666684</v>
      </c>
      <c r="N802" s="24">
        <v>0</v>
      </c>
      <c r="O802" s="24">
        <v>228.64583333333334</v>
      </c>
      <c r="P802" s="24">
        <v>4.104166666666667</v>
      </c>
      <c r="Q802" s="24">
        <v>0</v>
      </c>
      <c r="R802" s="24">
        <v>2.6124999999999998</v>
      </c>
      <c r="S802" s="10">
        <v>0.29948533341611233</v>
      </c>
      <c r="T802" s="25">
        <v>0.21537500000000007</v>
      </c>
      <c r="U802" s="25">
        <v>0.28366666666666646</v>
      </c>
      <c r="V802" s="25">
        <v>0.36754166666666688</v>
      </c>
      <c r="W802" s="25">
        <v>0.37545833333333328</v>
      </c>
      <c r="X802" s="25">
        <v>0.37906250000000014</v>
      </c>
      <c r="Y802" s="25">
        <v>0.29460416666666672</v>
      </c>
      <c r="Z802" s="25">
        <v>0.29120833333333324</v>
      </c>
      <c r="AA802" s="25">
        <v>0.25672916666666662</v>
      </c>
      <c r="AB802" s="25">
        <v>0.23704166666666657</v>
      </c>
      <c r="AC802" s="53">
        <f>AD802*0.5711-0.0033</f>
        <v>0.18544855000000002</v>
      </c>
      <c r="AD802" s="25">
        <v>0.33050000000000002</v>
      </c>
      <c r="AE802" s="27">
        <f t="shared" si="44"/>
        <v>0.29721875000000009</v>
      </c>
      <c r="AF802" s="27">
        <f t="shared" si="45"/>
        <v>0.31153472222222223</v>
      </c>
      <c r="AG802" s="27">
        <f t="shared" si="46"/>
        <v>0.3089318181818182</v>
      </c>
    </row>
    <row r="803" spans="1:33" x14ac:dyDescent="0.25">
      <c r="A803" s="9">
        <v>44510</v>
      </c>
      <c r="B803" s="3">
        <v>69.100934889599998</v>
      </c>
      <c r="C803" s="3">
        <v>164.25925701731626</v>
      </c>
      <c r="D803" s="3">
        <v>219.17903534748319</v>
      </c>
      <c r="E803" s="3">
        <v>827.82229258613108</v>
      </c>
      <c r="F803" s="3">
        <v>372.94359480994353</v>
      </c>
      <c r="G803" s="3">
        <v>280.28076218880102</v>
      </c>
      <c r="H803" s="3">
        <v>284.9719911754666</v>
      </c>
      <c r="I803" s="2">
        <v>245.44186344873307</v>
      </c>
      <c r="J803" s="23">
        <v>44510</v>
      </c>
      <c r="K803" s="24">
        <v>184.9375</v>
      </c>
      <c r="L803" s="24">
        <v>63.302083333333336</v>
      </c>
      <c r="M803" s="24">
        <v>11.027083333333335</v>
      </c>
      <c r="N803" s="24">
        <v>0</v>
      </c>
      <c r="O803" s="24">
        <v>276.35416666666669</v>
      </c>
      <c r="P803" s="24">
        <v>2.9166666666666665</v>
      </c>
      <c r="Q803" s="24">
        <v>2.0833333333333332E-2</v>
      </c>
      <c r="R803" s="24">
        <v>3.9187499999999997</v>
      </c>
      <c r="S803" s="10">
        <v>0.56338182536644588</v>
      </c>
      <c r="T803" s="25">
        <v>0.21420833333333331</v>
      </c>
      <c r="U803" s="25">
        <v>0.28179166666666661</v>
      </c>
      <c r="V803" s="25">
        <v>0.36510416666666679</v>
      </c>
      <c r="W803" s="25">
        <v>0.3731041666666664</v>
      </c>
      <c r="X803" s="25">
        <v>0.37606249999999997</v>
      </c>
      <c r="Y803" s="25">
        <v>0.29195833333333315</v>
      </c>
      <c r="Z803" s="25">
        <v>0.28935416666666652</v>
      </c>
      <c r="AA803" s="25">
        <v>0.2552291666666669</v>
      </c>
      <c r="AB803" s="25">
        <v>0.2305625</v>
      </c>
      <c r="AC803" s="25">
        <v>0.159</v>
      </c>
      <c r="AD803" s="25">
        <v>0.31487500000000007</v>
      </c>
      <c r="AE803" s="27">
        <f t="shared" si="44"/>
        <v>0.29513541666666665</v>
      </c>
      <c r="AF803" s="27">
        <f t="shared" si="45"/>
        <v>0.30942361111111105</v>
      </c>
      <c r="AG803" s="27">
        <f t="shared" si="46"/>
        <v>0.30682575757575759</v>
      </c>
    </row>
    <row r="804" spans="1:33" x14ac:dyDescent="0.25">
      <c r="J804" s="23">
        <v>44511</v>
      </c>
      <c r="K804" s="24">
        <v>41.666666666666664</v>
      </c>
      <c r="L804" s="24">
        <v>72.133333333333283</v>
      </c>
      <c r="M804" s="24">
        <v>9.4104166666666664</v>
      </c>
      <c r="N804" s="24">
        <v>0</v>
      </c>
      <c r="O804" s="24">
        <v>217.33333333333334</v>
      </c>
      <c r="P804" s="24">
        <v>2.7083333333333335</v>
      </c>
      <c r="Q804" s="24">
        <v>0</v>
      </c>
      <c r="R804" s="24">
        <v>4.5937500000000009</v>
      </c>
      <c r="S804" s="10">
        <v>0.33683895062899327</v>
      </c>
      <c r="T804" s="25">
        <v>0.21427083333333355</v>
      </c>
      <c r="U804" s="25">
        <v>0.28235416666666674</v>
      </c>
      <c r="V804" s="25">
        <v>0.36545833333333322</v>
      </c>
      <c r="W804" s="25">
        <v>0.37199999999999994</v>
      </c>
      <c r="X804" s="25">
        <v>0.37541666666666668</v>
      </c>
      <c r="Y804" s="25">
        <v>0.29304166666666648</v>
      </c>
      <c r="Z804" s="25">
        <v>0.28893749999999985</v>
      </c>
      <c r="AA804" s="25">
        <v>0.25497916666666692</v>
      </c>
      <c r="AB804" s="25">
        <v>0.22035416666666666</v>
      </c>
      <c r="AC804" s="25">
        <v>0.1474736842105262</v>
      </c>
      <c r="AD804" s="25">
        <v>0.29529166666666662</v>
      </c>
      <c r="AE804" s="27">
        <f t="shared" si="44"/>
        <v>0.29484375000000013</v>
      </c>
      <c r="AF804" s="27">
        <f t="shared" si="45"/>
        <v>0.30946180555555552</v>
      </c>
      <c r="AG804" s="27">
        <f t="shared" si="46"/>
        <v>0.30680397727272729</v>
      </c>
    </row>
  </sheetData>
  <autoFilter ref="A4:AD804" xr:uid="{5A447288-21C0-40FC-8DE9-E5E4DE6020B4}"/>
  <mergeCells count="10">
    <mergeCell ref="AE3:AG3"/>
    <mergeCell ref="AB3:AD3"/>
    <mergeCell ref="K1:S3"/>
    <mergeCell ref="B1:I1"/>
    <mergeCell ref="B2:E2"/>
    <mergeCell ref="J1:J3"/>
    <mergeCell ref="T1:AA1"/>
    <mergeCell ref="T2:W2"/>
    <mergeCell ref="X2:AA2"/>
    <mergeCell ref="T3:AA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ABEE-0D87-4AA4-9063-BE76459D9D0F}">
  <dimension ref="A1:AJ299"/>
  <sheetViews>
    <sheetView tabSelected="1" workbookViewId="0">
      <pane xSplit="1" ySplit="7" topLeftCell="B8" activePane="bottomRight" state="frozen"/>
      <selection pane="topRight" activeCell="B1" sqref="B1"/>
      <selection pane="bottomLeft" activeCell="A5" sqref="A5"/>
      <selection pane="bottomRight" activeCell="O23" sqref="O23"/>
    </sheetView>
  </sheetViews>
  <sheetFormatPr defaultRowHeight="13.8" x14ac:dyDescent="0.25"/>
  <cols>
    <col min="1" max="1" width="11.21875" customWidth="1"/>
    <col min="2" max="2" width="9.5546875" bestFit="1" customWidth="1"/>
    <col min="3" max="3" width="10.6640625" customWidth="1"/>
    <col min="5" max="5" width="11" customWidth="1"/>
    <col min="13" max="13" width="11.33203125" customWidth="1"/>
    <col min="36" max="36" width="8.88671875" style="27"/>
  </cols>
  <sheetData>
    <row r="1" spans="1:36" x14ac:dyDescent="0.25">
      <c r="A1" t="s">
        <v>72</v>
      </c>
      <c r="B1" s="4">
        <f>B3-B2</f>
        <v>590.6638296009429</v>
      </c>
      <c r="C1" s="4">
        <f t="shared" ref="C1:I1" si="0">C3-C2</f>
        <v>1087.1314841564242</v>
      </c>
      <c r="D1" s="4">
        <f t="shared" si="0"/>
        <v>891.74922359135621</v>
      </c>
      <c r="E1" s="4">
        <f t="shared" si="0"/>
        <v>986.13275539607332</v>
      </c>
      <c r="F1" s="4">
        <f t="shared" si="0"/>
        <v>905.14173832913423</v>
      </c>
      <c r="G1" s="4">
        <f t="shared" si="0"/>
        <v>898.38856004808099</v>
      </c>
      <c r="H1" s="4">
        <f t="shared" si="0"/>
        <v>797.23154786903717</v>
      </c>
      <c r="I1" s="4">
        <f t="shared" si="0"/>
        <v>640.51218836856287</v>
      </c>
      <c r="J1" s="32" t="s">
        <v>65</v>
      </c>
      <c r="K1" s="32"/>
      <c r="L1" s="32"/>
      <c r="M1" s="32"/>
      <c r="N1" s="32"/>
      <c r="O1" s="32"/>
      <c r="P1" s="32"/>
      <c r="Q1" s="32"/>
    </row>
    <row r="2" spans="1:36" x14ac:dyDescent="0.25">
      <c r="A2" t="s">
        <v>71</v>
      </c>
      <c r="B2" s="4">
        <f>MIN(B8:B299)</f>
        <v>0</v>
      </c>
      <c r="C2" s="4">
        <f t="shared" ref="C2:I2" si="1">MIN(C8:C299)</f>
        <v>2.2119767137737303</v>
      </c>
      <c r="D2" s="4">
        <f t="shared" si="1"/>
        <v>5.4661209556858212</v>
      </c>
      <c r="E2" s="4">
        <f t="shared" si="1"/>
        <v>39.908509766496906</v>
      </c>
      <c r="F2" s="4">
        <f t="shared" si="1"/>
        <v>38.863413187111533</v>
      </c>
      <c r="G2" s="4">
        <f t="shared" si="1"/>
        <v>14.805069876534475</v>
      </c>
      <c r="H2" s="4">
        <f t="shared" si="1"/>
        <v>3.585425078236113</v>
      </c>
      <c r="I2" s="4">
        <f t="shared" si="1"/>
        <v>12.96479969088124</v>
      </c>
      <c r="J2" s="32"/>
      <c r="K2" s="32"/>
      <c r="L2" s="32"/>
      <c r="M2" s="32"/>
      <c r="N2" s="32"/>
      <c r="O2" s="32"/>
      <c r="P2" s="32"/>
      <c r="Q2" s="32"/>
    </row>
    <row r="3" spans="1:36" x14ac:dyDescent="0.25">
      <c r="A3" t="s">
        <v>70</v>
      </c>
      <c r="B3" s="4">
        <f>MAX(B8:B299)</f>
        <v>590.6638296009429</v>
      </c>
      <c r="C3" s="4">
        <f t="shared" ref="C3:I3" si="2">MAX(C8:C299)</f>
        <v>1089.343460870198</v>
      </c>
      <c r="D3" s="4">
        <f t="shared" si="2"/>
        <v>897.21534454704204</v>
      </c>
      <c r="E3" s="4">
        <f t="shared" si="2"/>
        <v>1026.0412651625702</v>
      </c>
      <c r="F3" s="4">
        <f t="shared" si="2"/>
        <v>944.00515151624575</v>
      </c>
      <c r="G3" s="4">
        <f t="shared" si="2"/>
        <v>913.19362992461549</v>
      </c>
      <c r="H3" s="4">
        <f t="shared" si="2"/>
        <v>800.81697294727326</v>
      </c>
      <c r="I3" s="4">
        <f t="shared" si="2"/>
        <v>653.47698805944412</v>
      </c>
      <c r="J3" s="32"/>
      <c r="K3" s="32"/>
      <c r="L3" s="32"/>
      <c r="M3" s="32"/>
      <c r="N3" s="32"/>
      <c r="O3" s="32"/>
      <c r="P3" s="32"/>
      <c r="Q3" s="32"/>
    </row>
    <row r="4" spans="1:36" x14ac:dyDescent="0.25">
      <c r="A4" s="7"/>
      <c r="B4" s="32" t="s">
        <v>4</v>
      </c>
      <c r="C4" s="32"/>
      <c r="D4" s="32"/>
      <c r="E4" s="32"/>
      <c r="F4" s="32"/>
      <c r="G4" s="32"/>
      <c r="H4" s="32"/>
      <c r="I4" s="32"/>
      <c r="J4" s="54"/>
      <c r="K4" s="54"/>
      <c r="L4" s="54"/>
      <c r="M4" s="37" t="s">
        <v>64</v>
      </c>
      <c r="N4" s="5"/>
      <c r="O4" s="5"/>
      <c r="P4" s="5"/>
      <c r="Q4" s="5"/>
      <c r="R4" s="5"/>
      <c r="S4" s="5"/>
      <c r="T4" s="5"/>
      <c r="U4" s="5"/>
      <c r="V4" s="10"/>
      <c r="W4" s="38" t="s">
        <v>40</v>
      </c>
      <c r="X4" s="38"/>
      <c r="Y4" s="38"/>
      <c r="Z4" s="38"/>
      <c r="AA4" s="38"/>
      <c r="AB4" s="38"/>
      <c r="AC4" s="38"/>
      <c r="AD4" s="38"/>
      <c r="AE4" s="11"/>
      <c r="AF4" s="11"/>
      <c r="AG4" s="11"/>
    </row>
    <row r="5" spans="1:36" ht="16.8" x14ac:dyDescent="0.25">
      <c r="A5" s="1" t="s">
        <v>0</v>
      </c>
      <c r="B5" s="31" t="s">
        <v>1</v>
      </c>
      <c r="C5" s="31"/>
      <c r="D5" s="31"/>
      <c r="E5" s="31"/>
      <c r="F5" s="31" t="s">
        <v>2</v>
      </c>
      <c r="G5" s="31"/>
      <c r="H5" s="31"/>
      <c r="I5" s="31"/>
      <c r="J5" s="41" t="s">
        <v>69</v>
      </c>
      <c r="K5" s="42"/>
      <c r="L5" s="42"/>
      <c r="M5" s="37"/>
      <c r="N5" s="5"/>
      <c r="O5" s="5"/>
      <c r="P5" s="5"/>
      <c r="Q5" s="5"/>
      <c r="R5" s="5"/>
      <c r="S5" s="5"/>
      <c r="T5" s="5"/>
      <c r="U5" s="5"/>
      <c r="V5" s="10"/>
      <c r="W5" s="35" t="s">
        <v>47</v>
      </c>
      <c r="X5" s="35"/>
      <c r="Y5" s="35"/>
      <c r="Z5" s="35"/>
      <c r="AA5" s="35" t="s">
        <v>48</v>
      </c>
      <c r="AB5" s="35"/>
      <c r="AC5" s="35"/>
      <c r="AD5" s="35"/>
      <c r="AE5" s="13" t="s">
        <v>49</v>
      </c>
      <c r="AF5" s="13">
        <v>3</v>
      </c>
      <c r="AG5" s="13">
        <v>4</v>
      </c>
    </row>
    <row r="6" spans="1:36" x14ac:dyDescent="0.25">
      <c r="A6" s="1"/>
      <c r="B6" s="5">
        <v>1</v>
      </c>
      <c r="C6" s="5">
        <v>2</v>
      </c>
      <c r="D6" s="5">
        <v>3</v>
      </c>
      <c r="E6" s="5">
        <v>4</v>
      </c>
      <c r="F6" s="5">
        <v>7</v>
      </c>
      <c r="G6" s="5">
        <v>8</v>
      </c>
      <c r="H6" s="5">
        <v>5</v>
      </c>
      <c r="I6" s="5">
        <v>6</v>
      </c>
      <c r="J6" s="42"/>
      <c r="K6" s="42"/>
      <c r="L6" s="42"/>
      <c r="M6" s="37"/>
      <c r="N6" s="5"/>
      <c r="O6" s="5"/>
      <c r="P6" s="5"/>
      <c r="Q6" s="5"/>
      <c r="R6" s="5"/>
      <c r="S6" s="5"/>
      <c r="T6" s="5"/>
      <c r="U6" s="5"/>
      <c r="V6" s="10"/>
      <c r="W6" s="35" t="s">
        <v>50</v>
      </c>
      <c r="X6" s="35"/>
      <c r="Y6" s="35"/>
      <c r="Z6" s="35"/>
      <c r="AA6" s="35"/>
      <c r="AB6" s="35"/>
      <c r="AC6" s="35"/>
      <c r="AD6" s="35"/>
      <c r="AE6" s="31" t="s">
        <v>53</v>
      </c>
      <c r="AF6" s="31"/>
      <c r="AG6" s="31"/>
      <c r="AH6" s="43" t="s">
        <v>2</v>
      </c>
      <c r="AI6" s="43"/>
      <c r="AJ6" s="43"/>
    </row>
    <row r="7" spans="1:36" ht="41.4" x14ac:dyDescent="0.25">
      <c r="A7" s="26" t="s">
        <v>3</v>
      </c>
      <c r="B7" s="1">
        <v>3.8000000000000002E-4</v>
      </c>
      <c r="C7" s="1">
        <v>6.0999999999999997E-4</v>
      </c>
      <c r="D7" s="1">
        <v>3.8000000000000002E-4</v>
      </c>
      <c r="E7" s="1">
        <v>4.4999999999999999E-4</v>
      </c>
      <c r="F7" s="1">
        <v>1.9599999999999999E-3</v>
      </c>
      <c r="G7" s="1">
        <v>1.9599999999999999E-3</v>
      </c>
      <c r="H7" s="1">
        <v>3.0100000000000001E-3</v>
      </c>
      <c r="I7" s="1">
        <v>3.0100000000000001E-3</v>
      </c>
      <c r="J7" s="1" t="s">
        <v>66</v>
      </c>
      <c r="K7" s="1" t="s">
        <v>67</v>
      </c>
      <c r="L7" s="1" t="s">
        <v>68</v>
      </c>
      <c r="M7" s="16" t="s">
        <v>58</v>
      </c>
      <c r="N7" s="17" t="s">
        <v>5</v>
      </c>
      <c r="O7" s="18" t="s">
        <v>6</v>
      </c>
      <c r="P7" s="18" t="s">
        <v>7</v>
      </c>
      <c r="Q7" s="18" t="s">
        <v>8</v>
      </c>
      <c r="R7" s="17" t="s">
        <v>9</v>
      </c>
      <c r="S7" s="17" t="s">
        <v>10</v>
      </c>
      <c r="T7" s="18" t="s">
        <v>11</v>
      </c>
      <c r="U7" s="18" t="s">
        <v>12</v>
      </c>
      <c r="V7" s="19" t="s">
        <v>59</v>
      </c>
      <c r="W7" s="1">
        <v>1</v>
      </c>
      <c r="X7" s="1">
        <v>2</v>
      </c>
      <c r="Y7" s="1">
        <v>3</v>
      </c>
      <c r="Z7" s="1">
        <v>4</v>
      </c>
      <c r="AA7" s="1">
        <v>5</v>
      </c>
      <c r="AB7" s="1">
        <v>6</v>
      </c>
      <c r="AC7" s="1">
        <v>7</v>
      </c>
      <c r="AD7" s="1">
        <v>8</v>
      </c>
      <c r="AE7" s="14" t="s">
        <v>34</v>
      </c>
      <c r="AF7" s="14" t="s">
        <v>35</v>
      </c>
      <c r="AG7" s="14" t="s">
        <v>36</v>
      </c>
      <c r="AH7" s="30" t="s">
        <v>73</v>
      </c>
      <c r="AI7" s="30" t="s">
        <v>74</v>
      </c>
      <c r="AJ7" s="30" t="s">
        <v>75</v>
      </c>
    </row>
    <row r="8" spans="1:36" x14ac:dyDescent="0.25">
      <c r="A8" s="9">
        <v>43713</v>
      </c>
      <c r="B8" s="2">
        <v>61.18119559299322</v>
      </c>
      <c r="C8" s="3">
        <v>305.24293879635371</v>
      </c>
      <c r="D8" s="3">
        <v>156.67399639690964</v>
      </c>
      <c r="E8" s="3">
        <v>420.40189858794116</v>
      </c>
      <c r="F8" s="3">
        <v>162.82053118589448</v>
      </c>
      <c r="G8" s="3">
        <v>238.22503262457087</v>
      </c>
      <c r="H8" s="3">
        <v>255.22930799751802</v>
      </c>
      <c r="I8" s="3">
        <v>170.0535629535508</v>
      </c>
      <c r="J8" s="3">
        <f>(D8-$D$2)/$D$1</f>
        <v>0.16956322634323345</v>
      </c>
      <c r="K8" s="3">
        <f>(E8-$E$2)/$E$1</f>
        <v>0.38584398169455564</v>
      </c>
      <c r="L8" s="3">
        <f>((F8-$F$2)/$F$1+(G8-$G$2)/$G$1+(H8-$H$2)/$H$1+(I8-$I$2)/$I$1)/4</f>
        <v>0.23663487742597716</v>
      </c>
      <c r="M8" s="23">
        <v>43713</v>
      </c>
      <c r="N8" s="24">
        <v>182.25</v>
      </c>
      <c r="O8" s="24">
        <v>68.768750000000011</v>
      </c>
      <c r="P8" s="24">
        <v>23.229166666666671</v>
      </c>
      <c r="Q8" s="24">
        <v>0</v>
      </c>
      <c r="R8" s="24">
        <v>142.66666666666666</v>
      </c>
      <c r="S8" s="24">
        <v>4.916666666666667</v>
      </c>
      <c r="T8" s="24">
        <v>0.33333333333333331</v>
      </c>
      <c r="U8" s="24">
        <v>16.922916666666673</v>
      </c>
      <c r="V8" s="10">
        <v>0.96945504132439053</v>
      </c>
      <c r="W8" s="25">
        <v>0.25387500000000002</v>
      </c>
      <c r="X8" s="25">
        <v>0.34710416666666655</v>
      </c>
      <c r="Y8" s="25">
        <v>0.43006249999999963</v>
      </c>
      <c r="Z8" s="25">
        <v>0.42489583333333297</v>
      </c>
      <c r="AA8" s="25">
        <v>0.42829166666666713</v>
      </c>
      <c r="AB8" s="25">
        <v>0.31452083333333342</v>
      </c>
      <c r="AC8" s="25">
        <v>0.31787500000000013</v>
      </c>
      <c r="AD8" s="25">
        <v>0.28110416666666638</v>
      </c>
      <c r="AE8" s="25">
        <v>0.17868055555555554</v>
      </c>
      <c r="AF8" s="25">
        <v>0.12035416666666669</v>
      </c>
      <c r="AG8" s="25">
        <v>0.24099305555555553</v>
      </c>
      <c r="AH8" s="28">
        <f>AVERAGE(W8,AA8)</f>
        <v>0.34108333333333357</v>
      </c>
      <c r="AI8" s="28">
        <f>AVERAGE(X8:Z8,AB8:AD8)</f>
        <v>0.35259374999999982</v>
      </c>
      <c r="AJ8" s="28">
        <f>(AH8*10+AI8*45)/55</f>
        <v>0.35050094696969686</v>
      </c>
    </row>
    <row r="9" spans="1:36" x14ac:dyDescent="0.25">
      <c r="A9" s="9">
        <v>43720</v>
      </c>
      <c r="B9" s="2">
        <v>120.16836032647406</v>
      </c>
      <c r="C9" s="3">
        <v>9.7326483098986678</v>
      </c>
      <c r="D9" s="3">
        <v>307.72947586805134</v>
      </c>
      <c r="E9" s="3">
        <v>252.87200160162453</v>
      </c>
      <c r="F9" s="3">
        <v>239.55295354813643</v>
      </c>
      <c r="G9" s="3">
        <v>275.9314528535478</v>
      </c>
      <c r="H9" s="3">
        <v>274.9470584328954</v>
      </c>
      <c r="I9" s="3">
        <v>301.44130226650617</v>
      </c>
      <c r="J9" s="3">
        <f t="shared" ref="J9:J72" si="3">(D9-$D$2)/$D$1</f>
        <v>0.33895555714089143</v>
      </c>
      <c r="K9" s="3">
        <f t="shared" ref="K9:K72" si="4">(E9-$E$2)/$E$1</f>
        <v>0.21595823753931825</v>
      </c>
      <c r="L9" s="3">
        <f t="shared" ref="L9:L72" si="5">((F9-$F$2)/$F$1+(G9-$G$2)/$G$1+(H9-$H$2)/$H$1+(I9-$I$2)/$I$1)/4</f>
        <v>0.32578664187044537</v>
      </c>
      <c r="M9" s="23">
        <v>43720</v>
      </c>
      <c r="N9" s="24">
        <v>174.125</v>
      </c>
      <c r="O9" s="24">
        <v>78.895833333333343</v>
      </c>
      <c r="P9" s="24">
        <v>22.375</v>
      </c>
      <c r="Q9" s="24">
        <v>0</v>
      </c>
      <c r="R9" s="24">
        <v>151.75</v>
      </c>
      <c r="S9" s="24">
        <v>10.708333333333334</v>
      </c>
      <c r="T9" s="24">
        <v>1.3541666666666667</v>
      </c>
      <c r="U9" s="24">
        <v>18.381249999999998</v>
      </c>
      <c r="V9" s="10">
        <v>0.61606613419564316</v>
      </c>
      <c r="W9" s="25">
        <v>0.44339583333333343</v>
      </c>
      <c r="X9" s="25">
        <v>0.55031250000000032</v>
      </c>
      <c r="Y9" s="25">
        <v>0.59054166666666685</v>
      </c>
      <c r="Z9" s="25">
        <v>0.59929166666666689</v>
      </c>
      <c r="AA9" s="25">
        <v>0.61125000000000052</v>
      </c>
      <c r="AB9" s="25">
        <v>0.48552083333333368</v>
      </c>
      <c r="AC9" s="25">
        <v>0.46916666666666645</v>
      </c>
      <c r="AD9" s="25">
        <v>0.41952083333333362</v>
      </c>
      <c r="AE9" s="25">
        <v>0.42286111111111091</v>
      </c>
      <c r="AF9" s="25">
        <v>0.24975000000000003</v>
      </c>
      <c r="AG9" s="25">
        <v>0.45774305555555567</v>
      </c>
      <c r="AH9" s="28">
        <f t="shared" ref="AH9:AH72" si="6">AVERAGE(W9,AA9)</f>
        <v>0.52732291666666697</v>
      </c>
      <c r="AI9" s="28">
        <f t="shared" ref="AI9:AI72" si="7">AVERAGE(X9:Z9,AB9:AD9)</f>
        <v>0.5190590277777779</v>
      </c>
      <c r="AJ9" s="28">
        <f t="shared" ref="AJ9:AJ72" si="8">(AH9*10+AI9*45)/55</f>
        <v>0.52056155303030316</v>
      </c>
    </row>
    <row r="10" spans="1:36" x14ac:dyDescent="0.25">
      <c r="A10" s="9">
        <v>43721</v>
      </c>
      <c r="B10" s="2">
        <v>114.62883165037987</v>
      </c>
      <c r="C10" s="3">
        <v>57.579570188124329</v>
      </c>
      <c r="D10" s="3">
        <v>293.5437430227397</v>
      </c>
      <c r="E10" s="3">
        <v>279.38819177172098</v>
      </c>
      <c r="F10" s="3">
        <v>240.36657705219636</v>
      </c>
      <c r="G10" s="3">
        <v>211.59130188041902</v>
      </c>
      <c r="H10" s="3">
        <v>274.28932263308616</v>
      </c>
      <c r="I10" s="3">
        <v>251.57666941552969</v>
      </c>
      <c r="J10" s="3">
        <f t="shared" si="3"/>
        <v>0.32304779689840846</v>
      </c>
      <c r="K10" s="3">
        <f t="shared" si="4"/>
        <v>0.24284730498485343</v>
      </c>
      <c r="L10" s="3">
        <f t="shared" si="5"/>
        <v>0.28843799045942187</v>
      </c>
      <c r="M10" s="23">
        <v>43721</v>
      </c>
      <c r="N10" s="24">
        <v>237.10416666666666</v>
      </c>
      <c r="O10" s="24">
        <v>74.779166666666683</v>
      </c>
      <c r="P10" s="24">
        <v>23.452083333333324</v>
      </c>
      <c r="Q10" s="24">
        <v>0</v>
      </c>
      <c r="R10" s="24">
        <v>155.77083333333334</v>
      </c>
      <c r="S10" s="24">
        <v>9.7708333333333339</v>
      </c>
      <c r="T10" s="24">
        <v>1.3125</v>
      </c>
      <c r="U10" s="24">
        <v>18.466666666666665</v>
      </c>
      <c r="V10" s="10">
        <v>0.80873882521636287</v>
      </c>
      <c r="W10" s="25">
        <v>0.43858333333333349</v>
      </c>
      <c r="X10" s="25">
        <v>0.54087499999999988</v>
      </c>
      <c r="Y10" s="25">
        <v>0.5859166666666662</v>
      </c>
      <c r="Z10" s="25">
        <v>0.59510416666666666</v>
      </c>
      <c r="AA10" s="25">
        <v>0.60497916666666707</v>
      </c>
      <c r="AB10" s="25">
        <v>0.47808333333333342</v>
      </c>
      <c r="AC10" s="25">
        <v>0.46564583333333337</v>
      </c>
      <c r="AD10" s="25">
        <v>0.4152499999999999</v>
      </c>
      <c r="AE10" s="25">
        <v>0.4080425531914893</v>
      </c>
      <c r="AF10" s="25">
        <v>0.23235416666666664</v>
      </c>
      <c r="AG10" s="25">
        <v>0.43372916666666655</v>
      </c>
      <c r="AH10" s="28">
        <f t="shared" si="6"/>
        <v>0.52178125000000031</v>
      </c>
      <c r="AI10" s="28">
        <f t="shared" si="7"/>
        <v>0.5134791666666666</v>
      </c>
      <c r="AJ10" s="28">
        <f t="shared" si="8"/>
        <v>0.51498863636363634</v>
      </c>
    </row>
    <row r="11" spans="1:36" x14ac:dyDescent="0.25">
      <c r="A11" s="9">
        <v>43722</v>
      </c>
      <c r="B11" s="2">
        <v>117.007756587315</v>
      </c>
      <c r="C11" s="3">
        <v>87.063259590924432</v>
      </c>
      <c r="D11" s="3">
        <v>299.63574030042253</v>
      </c>
      <c r="E11" s="3">
        <v>305.46570474254486</v>
      </c>
      <c r="F11" s="3">
        <v>227.91059172019396</v>
      </c>
      <c r="G11" s="3">
        <v>316.42473698023502</v>
      </c>
      <c r="H11" s="3">
        <v>261.53114871650365</v>
      </c>
      <c r="I11" s="3">
        <v>205.79994106071092</v>
      </c>
      <c r="J11" s="3">
        <f t="shared" si="3"/>
        <v>0.32987931086726668</v>
      </c>
      <c r="K11" s="3">
        <f t="shared" si="4"/>
        <v>0.26929152644299781</v>
      </c>
      <c r="L11" s="3">
        <f t="shared" si="5"/>
        <v>0.29230227150421761</v>
      </c>
      <c r="M11" s="23">
        <v>43722</v>
      </c>
      <c r="N11" s="24">
        <v>253.85416666666666</v>
      </c>
      <c r="O11" s="24">
        <v>69.139583333333334</v>
      </c>
      <c r="P11" s="24">
        <v>23.904166666666665</v>
      </c>
      <c r="Q11" s="24">
        <v>0</v>
      </c>
      <c r="R11" s="24">
        <v>134.0625</v>
      </c>
      <c r="S11" s="24">
        <v>7.708333333333333</v>
      </c>
      <c r="T11" s="24">
        <v>1.2916666666666667</v>
      </c>
      <c r="U11" s="24">
        <v>17.435416666666669</v>
      </c>
      <c r="V11" s="10">
        <v>1.0239300479339237</v>
      </c>
      <c r="W11" s="25">
        <v>0.43512499999999993</v>
      </c>
      <c r="X11" s="25">
        <v>0.53172916666666681</v>
      </c>
      <c r="Y11" s="25">
        <v>0.58093749999999966</v>
      </c>
      <c r="Z11" s="25">
        <v>0.59147916666666656</v>
      </c>
      <c r="AA11" s="25">
        <v>0.59647916666666678</v>
      </c>
      <c r="AB11" s="25">
        <v>0.47054166666666664</v>
      </c>
      <c r="AC11" s="25">
        <v>0.46197916666666661</v>
      </c>
      <c r="AD11" s="25">
        <v>0.41106250000000033</v>
      </c>
      <c r="AE11" s="25">
        <v>0.39343055555555556</v>
      </c>
      <c r="AF11" s="25">
        <v>0.21504861111111109</v>
      </c>
      <c r="AG11" s="25">
        <v>0.40547222222222223</v>
      </c>
      <c r="AH11" s="28">
        <f t="shared" si="6"/>
        <v>0.51580208333333333</v>
      </c>
      <c r="AI11" s="28">
        <f t="shared" si="7"/>
        <v>0.5079548611111111</v>
      </c>
      <c r="AJ11" s="28">
        <f t="shared" si="8"/>
        <v>0.50938162878787874</v>
      </c>
    </row>
    <row r="12" spans="1:36" x14ac:dyDescent="0.25">
      <c r="A12" s="9">
        <v>43723</v>
      </c>
      <c r="B12" s="2">
        <v>113.78283475887832</v>
      </c>
      <c r="C12" s="3">
        <v>165.39406500977049</v>
      </c>
      <c r="D12" s="3">
        <v>291.37729771799826</v>
      </c>
      <c r="E12" s="3">
        <v>343.46578292590743</v>
      </c>
      <c r="F12" s="3">
        <v>174.3469938596221</v>
      </c>
      <c r="G12" s="3">
        <v>336.07711949499702</v>
      </c>
      <c r="H12" s="3">
        <v>175.59573456818052</v>
      </c>
      <c r="I12" s="3">
        <v>157.95194725617517</v>
      </c>
      <c r="J12" s="3">
        <f t="shared" si="3"/>
        <v>0.3206183635471615</v>
      </c>
      <c r="K12" s="3">
        <f t="shared" si="4"/>
        <v>0.30782597119744681</v>
      </c>
      <c r="L12" s="3">
        <f t="shared" si="5"/>
        <v>0.23735305246163188</v>
      </c>
      <c r="M12" s="23">
        <v>43723</v>
      </c>
      <c r="N12" s="24">
        <v>254.14583333333334</v>
      </c>
      <c r="O12" s="24">
        <v>69.441666666666649</v>
      </c>
      <c r="P12" s="24">
        <v>23.231249999999999</v>
      </c>
      <c r="Q12" s="24">
        <v>0</v>
      </c>
      <c r="R12" s="24">
        <v>138.16666666666666</v>
      </c>
      <c r="S12" s="24">
        <v>5.958333333333333</v>
      </c>
      <c r="T12" s="24">
        <v>0.60416666666666663</v>
      </c>
      <c r="U12" s="24">
        <v>16.929166666666667</v>
      </c>
      <c r="V12" s="10">
        <v>0.99045577232761473</v>
      </c>
      <c r="W12" s="25">
        <v>0.41831249999999992</v>
      </c>
      <c r="X12" s="25">
        <v>0.51914583333333375</v>
      </c>
      <c r="Y12" s="25">
        <v>0.57270833333333371</v>
      </c>
      <c r="Z12" s="25">
        <v>0.58710416666666654</v>
      </c>
      <c r="AA12" s="25">
        <v>0.58100000000000018</v>
      </c>
      <c r="AB12" s="25">
        <v>0.4585416666666669</v>
      </c>
      <c r="AC12" s="25">
        <v>0.45589583333333356</v>
      </c>
      <c r="AD12" s="25">
        <v>0.40556250000000021</v>
      </c>
      <c r="AE12" s="25">
        <v>0.37813888888888886</v>
      </c>
      <c r="AF12" s="25">
        <v>0.19675694444444447</v>
      </c>
      <c r="AG12" s="25">
        <v>0.36841666666666667</v>
      </c>
      <c r="AH12" s="28">
        <f t="shared" si="6"/>
        <v>0.49965625000000002</v>
      </c>
      <c r="AI12" s="28">
        <f t="shared" si="7"/>
        <v>0.49982638888888914</v>
      </c>
      <c r="AJ12" s="28">
        <f t="shared" si="8"/>
        <v>0.49979545454545471</v>
      </c>
    </row>
    <row r="13" spans="1:36" x14ac:dyDescent="0.25">
      <c r="A13" s="9">
        <v>43724</v>
      </c>
      <c r="B13" s="2">
        <v>55.007684460168775</v>
      </c>
      <c r="C13" s="3">
        <v>90.347129945601338</v>
      </c>
      <c r="D13" s="3">
        <v>140.86474893769213</v>
      </c>
      <c r="E13" s="3">
        <v>201.14427318979367</v>
      </c>
      <c r="F13" s="3">
        <v>168.75116748101016</v>
      </c>
      <c r="G13" s="3">
        <v>253.59845831364268</v>
      </c>
      <c r="H13" s="3">
        <v>194.60186741355625</v>
      </c>
      <c r="I13" s="3">
        <v>248.53427387773965</v>
      </c>
      <c r="J13" s="3">
        <f t="shared" si="3"/>
        <v>0.15183487061162015</v>
      </c>
      <c r="K13" s="3">
        <f t="shared" si="4"/>
        <v>0.16350310091721632</v>
      </c>
      <c r="L13" s="3">
        <f t="shared" si="5"/>
        <v>0.2541711201275168</v>
      </c>
      <c r="M13" s="23">
        <v>43724</v>
      </c>
      <c r="N13" s="24">
        <v>146.02083333333334</v>
      </c>
      <c r="O13" s="24">
        <v>79.733333333333306</v>
      </c>
      <c r="P13" s="24">
        <v>20.093749999999996</v>
      </c>
      <c r="Q13" s="24">
        <v>1.7</v>
      </c>
      <c r="R13" s="24">
        <v>185.72916666666666</v>
      </c>
      <c r="S13" s="24">
        <v>3.375</v>
      </c>
      <c r="T13" s="24">
        <v>6.25E-2</v>
      </c>
      <c r="U13" s="24">
        <v>16.320833333333333</v>
      </c>
      <c r="V13" s="10">
        <v>0.52871269649274466</v>
      </c>
      <c r="W13" s="25">
        <v>0.39064583333333336</v>
      </c>
      <c r="X13" s="25">
        <v>0.50650000000000028</v>
      </c>
      <c r="Y13" s="25">
        <v>0.56341666666666679</v>
      </c>
      <c r="Z13" s="25">
        <v>0.58310416666666631</v>
      </c>
      <c r="AA13" s="25">
        <v>0.56420833333333331</v>
      </c>
      <c r="AB13" s="25">
        <v>0.4475208333333332</v>
      </c>
      <c r="AC13" s="25">
        <v>0.44945833333333352</v>
      </c>
      <c r="AD13" s="25">
        <v>0.3999791666666665</v>
      </c>
      <c r="AE13" s="25">
        <v>0.36539492753623187</v>
      </c>
      <c r="AF13" s="25">
        <v>0.18083333333333337</v>
      </c>
      <c r="AG13" s="25">
        <v>0.3368680555555556</v>
      </c>
      <c r="AH13" s="28">
        <f t="shared" si="6"/>
        <v>0.47742708333333334</v>
      </c>
      <c r="AI13" s="28">
        <f t="shared" si="7"/>
        <v>0.49166319444444434</v>
      </c>
      <c r="AJ13" s="28">
        <f t="shared" si="8"/>
        <v>0.48907481060606051</v>
      </c>
    </row>
    <row r="14" spans="1:36" x14ac:dyDescent="0.25">
      <c r="A14" s="9">
        <v>43725</v>
      </c>
      <c r="B14" s="2">
        <v>73.699868273810878</v>
      </c>
      <c r="C14" s="3">
        <v>169.59946939160761</v>
      </c>
      <c r="D14" s="3">
        <v>188.73205703920837</v>
      </c>
      <c r="E14" s="3">
        <v>259.448675787441</v>
      </c>
      <c r="F14" s="3">
        <v>237.93485771682657</v>
      </c>
      <c r="G14" s="3">
        <v>250.9228528407875</v>
      </c>
      <c r="H14" s="3">
        <v>206.81993403700309</v>
      </c>
      <c r="I14" s="3">
        <v>221.10658318633483</v>
      </c>
      <c r="J14" s="3">
        <f t="shared" si="3"/>
        <v>0.20551286307315486</v>
      </c>
      <c r="K14" s="3">
        <f t="shared" si="4"/>
        <v>0.22262739455679811</v>
      </c>
      <c r="L14" s="3">
        <f t="shared" si="5"/>
        <v>0.26566111760471312</v>
      </c>
      <c r="M14" s="23">
        <v>43725</v>
      </c>
      <c r="N14" s="24">
        <v>169.47916666666666</v>
      </c>
      <c r="O14" s="24">
        <v>77.00624999999998</v>
      </c>
      <c r="P14" s="24">
        <v>21.797916666666676</v>
      </c>
      <c r="Q14" s="24">
        <v>0</v>
      </c>
      <c r="R14" s="24">
        <v>143.8125</v>
      </c>
      <c r="S14" s="24">
        <v>6.666666666666667</v>
      </c>
      <c r="T14" s="24">
        <v>0.47916666666666669</v>
      </c>
      <c r="U14" s="24">
        <v>17.364583333333332</v>
      </c>
      <c r="V14" s="10">
        <v>0.66831989735542818</v>
      </c>
      <c r="W14" s="25">
        <v>0.36216666666666658</v>
      </c>
      <c r="X14" s="25">
        <v>0.49324999999999997</v>
      </c>
      <c r="Y14" s="25">
        <v>0.5523125000000001</v>
      </c>
      <c r="Z14" s="25">
        <v>0.57843749999999983</v>
      </c>
      <c r="AA14" s="25">
        <v>0.54887500000000022</v>
      </c>
      <c r="AB14" s="25">
        <v>0.4371666666666667</v>
      </c>
      <c r="AC14" s="25">
        <v>0.44293749999999982</v>
      </c>
      <c r="AD14" s="25">
        <v>0.39400000000000013</v>
      </c>
      <c r="AE14" s="25">
        <v>0.35551063829787233</v>
      </c>
      <c r="AF14" s="25">
        <v>0.17097916666666671</v>
      </c>
      <c r="AG14" s="25">
        <v>0.31674305555555554</v>
      </c>
      <c r="AH14" s="28">
        <f t="shared" si="6"/>
        <v>0.45552083333333337</v>
      </c>
      <c r="AI14" s="28">
        <f t="shared" si="7"/>
        <v>0.48301736111111104</v>
      </c>
      <c r="AJ14" s="28">
        <f t="shared" si="8"/>
        <v>0.47801799242424231</v>
      </c>
    </row>
    <row r="15" spans="1:36" x14ac:dyDescent="0.25">
      <c r="A15" s="9">
        <v>43726</v>
      </c>
      <c r="B15" s="2">
        <v>14.473936967934334</v>
      </c>
      <c r="C15" s="3">
        <v>39.741625666612585</v>
      </c>
      <c r="D15" s="3">
        <v>37.065139482546307</v>
      </c>
      <c r="E15" s="3">
        <v>124.71808452583406</v>
      </c>
      <c r="F15" s="3">
        <v>62.406619121085946</v>
      </c>
      <c r="G15" s="3">
        <v>156.70997916363171</v>
      </c>
      <c r="H15" s="3">
        <v>83.173440504841253</v>
      </c>
      <c r="I15" s="3">
        <v>173.15426922305301</v>
      </c>
      <c r="J15" s="3">
        <f t="shared" si="3"/>
        <v>3.5434870803252562E-2</v>
      </c>
      <c r="K15" s="3">
        <f t="shared" si="4"/>
        <v>8.600218813872984E-2</v>
      </c>
      <c r="L15" s="3">
        <f t="shared" si="5"/>
        <v>0.13347296037541354</v>
      </c>
      <c r="M15" s="23">
        <v>43726</v>
      </c>
      <c r="N15" s="24">
        <v>78.645833333333329</v>
      </c>
      <c r="O15" s="24">
        <v>81.414583333333368</v>
      </c>
      <c r="P15" s="24">
        <v>17.931249999999995</v>
      </c>
      <c r="Q15" s="24">
        <v>0.4</v>
      </c>
      <c r="R15" s="24">
        <v>211.66666666666666</v>
      </c>
      <c r="S15" s="24">
        <v>4.1875</v>
      </c>
      <c r="T15" s="24">
        <v>6.25E-2</v>
      </c>
      <c r="U15" s="24">
        <v>14.670833333333333</v>
      </c>
      <c r="V15" s="10">
        <v>0.38986425873090225</v>
      </c>
      <c r="W15" s="25">
        <v>0.33931250000000013</v>
      </c>
      <c r="X15" s="25">
        <v>0.47845833333333315</v>
      </c>
      <c r="Y15" s="25">
        <v>0.54164583333333327</v>
      </c>
      <c r="Z15" s="25">
        <v>0.57285416666666678</v>
      </c>
      <c r="AA15" s="25">
        <v>0.53212500000000007</v>
      </c>
      <c r="AB15" s="25">
        <v>0.4261875</v>
      </c>
      <c r="AC15" s="25">
        <v>0.43520833333333325</v>
      </c>
      <c r="AD15" s="25">
        <v>0.38750000000000001</v>
      </c>
      <c r="AE15" s="25">
        <v>0.34340972222222227</v>
      </c>
      <c r="AF15" s="25">
        <v>0.15910416666666671</v>
      </c>
      <c r="AG15" s="25">
        <v>0.29816666666666669</v>
      </c>
      <c r="AH15" s="28">
        <f t="shared" si="6"/>
        <v>0.4357187500000001</v>
      </c>
      <c r="AI15" s="28">
        <f t="shared" si="7"/>
        <v>0.47364236111111113</v>
      </c>
      <c r="AJ15" s="28">
        <f t="shared" si="8"/>
        <v>0.46674715909090919</v>
      </c>
    </row>
    <row r="16" spans="1:36" x14ac:dyDescent="0.25">
      <c r="A16" s="9">
        <v>43728</v>
      </c>
      <c r="B16" s="2">
        <v>39.919641797003614</v>
      </c>
      <c r="C16" s="3">
        <v>47.964861413383311</v>
      </c>
      <c r="D16" s="3">
        <v>102.2269956389337</v>
      </c>
      <c r="E16" s="3">
        <v>174.51794303146031</v>
      </c>
      <c r="F16" s="3">
        <v>306.95241922178735</v>
      </c>
      <c r="G16" s="3">
        <v>59.477474916043619</v>
      </c>
      <c r="H16" s="3">
        <v>126.09550117085816</v>
      </c>
      <c r="I16" s="3">
        <v>121.34787925496128</v>
      </c>
      <c r="J16" s="3">
        <f t="shared" si="3"/>
        <v>0.10850682246019933</v>
      </c>
      <c r="K16" s="3">
        <f t="shared" si="4"/>
        <v>0.13650234466747679</v>
      </c>
      <c r="L16" s="3">
        <f t="shared" si="5"/>
        <v>0.16719802890355948</v>
      </c>
      <c r="M16" s="23">
        <v>43728</v>
      </c>
      <c r="N16" s="24">
        <v>85.75</v>
      </c>
      <c r="O16" s="24">
        <v>80.874999999999986</v>
      </c>
      <c r="P16" s="24">
        <v>16.810416666666669</v>
      </c>
      <c r="Q16" s="24">
        <v>0.2</v>
      </c>
      <c r="R16" s="24">
        <v>221.91666666666666</v>
      </c>
      <c r="S16" s="24">
        <v>5.645833333333333</v>
      </c>
      <c r="T16" s="24">
        <v>0</v>
      </c>
      <c r="U16" s="24">
        <v>13.431249999999999</v>
      </c>
      <c r="V16" s="10">
        <v>0.37091707540141688</v>
      </c>
      <c r="W16" s="25">
        <v>0.3199583333333334</v>
      </c>
      <c r="X16" s="25">
        <v>0.45935416666666656</v>
      </c>
      <c r="Y16" s="25">
        <v>0.52818749999999992</v>
      </c>
      <c r="Z16" s="25">
        <v>0.56306249999999991</v>
      </c>
      <c r="AA16" s="25">
        <v>0.51564583333333369</v>
      </c>
      <c r="AB16" s="25">
        <v>0.41556250000000006</v>
      </c>
      <c r="AC16" s="25">
        <v>0.42677083333333315</v>
      </c>
      <c r="AD16" s="25">
        <v>0.38014583333333324</v>
      </c>
      <c r="AE16" s="25">
        <v>0.32881944444444455</v>
      </c>
      <c r="AF16" s="25">
        <v>0.15718055555555552</v>
      </c>
      <c r="AG16" s="25">
        <v>0.28765972222222219</v>
      </c>
      <c r="AH16" s="28">
        <f t="shared" si="6"/>
        <v>0.41780208333333357</v>
      </c>
      <c r="AI16" s="28">
        <f t="shared" si="7"/>
        <v>0.46218055555555554</v>
      </c>
      <c r="AJ16" s="28">
        <f t="shared" si="8"/>
        <v>0.4541117424242424</v>
      </c>
    </row>
    <row r="17" spans="1:36" x14ac:dyDescent="0.25">
      <c r="A17" s="9">
        <v>43729</v>
      </c>
      <c r="B17" s="2">
        <v>122.85438078261906</v>
      </c>
      <c r="C17" s="3">
        <v>242.0820084144936</v>
      </c>
      <c r="D17" s="3">
        <v>314.60788932808975</v>
      </c>
      <c r="E17" s="3">
        <v>421.00542348180977</v>
      </c>
      <c r="F17" s="3">
        <v>463.26285357682951</v>
      </c>
      <c r="G17" s="3">
        <v>172.28894282045817</v>
      </c>
      <c r="H17" s="3">
        <v>276.4953538745475</v>
      </c>
      <c r="I17" s="3">
        <v>161.19613700031096</v>
      </c>
      <c r="J17" s="3">
        <f t="shared" si="3"/>
        <v>0.34666895153257576</v>
      </c>
      <c r="K17" s="3">
        <f t="shared" si="4"/>
        <v>0.38645599350591286</v>
      </c>
      <c r="L17" s="3">
        <f t="shared" si="5"/>
        <v>0.30448011613967657</v>
      </c>
      <c r="M17" s="23">
        <v>43729</v>
      </c>
      <c r="N17" s="24">
        <v>158.72916666666666</v>
      </c>
      <c r="O17" s="24">
        <v>63.56458333333331</v>
      </c>
      <c r="P17" s="24">
        <v>17.377083333333335</v>
      </c>
      <c r="Q17" s="24">
        <v>0</v>
      </c>
      <c r="R17" s="24">
        <v>226.85416666666666</v>
      </c>
      <c r="S17" s="24">
        <v>5.958333333333333</v>
      </c>
      <c r="T17" s="24">
        <v>6.25E-2</v>
      </c>
      <c r="U17" s="24">
        <v>10.141666666666667</v>
      </c>
      <c r="V17" s="10">
        <v>0.77102237544459762</v>
      </c>
      <c r="W17" s="25">
        <v>0.30506250000000007</v>
      </c>
      <c r="X17" s="25">
        <v>0.44341666666666674</v>
      </c>
      <c r="Y17" s="25">
        <v>0.5152916666666667</v>
      </c>
      <c r="Z17" s="25">
        <v>0.55452083333333324</v>
      </c>
      <c r="AA17" s="25">
        <v>0.50022916666666661</v>
      </c>
      <c r="AB17" s="25">
        <v>0.40375000000000005</v>
      </c>
      <c r="AC17" s="25">
        <v>0.41677083333333331</v>
      </c>
      <c r="AD17" s="25">
        <v>0.37210416666666685</v>
      </c>
      <c r="AE17" s="25">
        <v>0.31510507246376812</v>
      </c>
      <c r="AF17" s="25">
        <v>0.14757638888888891</v>
      </c>
      <c r="AG17" s="25">
        <v>0.27804861111111118</v>
      </c>
      <c r="AH17" s="28">
        <f t="shared" si="6"/>
        <v>0.40264583333333337</v>
      </c>
      <c r="AI17" s="28">
        <f t="shared" si="7"/>
        <v>0.45097569444444452</v>
      </c>
      <c r="AJ17" s="28">
        <f t="shared" si="8"/>
        <v>0.44218844696969706</v>
      </c>
    </row>
    <row r="18" spans="1:36" x14ac:dyDescent="0.25">
      <c r="A18" s="9">
        <v>43730</v>
      </c>
      <c r="B18" s="2">
        <v>123.11462801616887</v>
      </c>
      <c r="C18" s="3">
        <v>299.8707301316187</v>
      </c>
      <c r="D18" s="3">
        <v>315.27433550875509</v>
      </c>
      <c r="E18" s="3">
        <v>439.73358998602123</v>
      </c>
      <c r="F18" s="3">
        <v>225.86725278495049</v>
      </c>
      <c r="G18" s="3">
        <v>182.7344861584653</v>
      </c>
      <c r="H18" s="3">
        <v>194.2906439075031</v>
      </c>
      <c r="I18" s="3">
        <v>170.39837601385011</v>
      </c>
      <c r="J18" s="3">
        <f t="shared" si="3"/>
        <v>0.3474162986151797</v>
      </c>
      <c r="K18" s="3">
        <f t="shared" si="4"/>
        <v>0.40544752015557722</v>
      </c>
      <c r="L18" s="3">
        <f t="shared" si="5"/>
        <v>0.21963180558480547</v>
      </c>
      <c r="M18" s="23">
        <v>43730</v>
      </c>
      <c r="N18" s="24">
        <v>176.29166666666666</v>
      </c>
      <c r="O18" s="24">
        <v>63.989583333333321</v>
      </c>
      <c r="P18" s="24">
        <v>17.012499999999992</v>
      </c>
      <c r="Q18" s="24">
        <v>0</v>
      </c>
      <c r="R18" s="24">
        <v>184.58333333333334</v>
      </c>
      <c r="S18" s="24">
        <v>3.375</v>
      </c>
      <c r="T18" s="24">
        <v>6.25E-2</v>
      </c>
      <c r="U18" s="24">
        <v>9.8687500000000021</v>
      </c>
      <c r="V18" s="10">
        <v>0.76926874498538378</v>
      </c>
      <c r="W18" s="25">
        <v>0.2913541666666668</v>
      </c>
      <c r="X18" s="25">
        <v>0.42650000000000016</v>
      </c>
      <c r="Y18" s="25">
        <v>0.50162499999999988</v>
      </c>
      <c r="Z18" s="25">
        <v>0.54337500000000005</v>
      </c>
      <c r="AA18" s="25">
        <v>0.4852708333333336</v>
      </c>
      <c r="AB18" s="25">
        <v>0.3887916666666667</v>
      </c>
      <c r="AC18" s="25">
        <v>0.40362499999999985</v>
      </c>
      <c r="AD18" s="25">
        <v>0.36208333333333348</v>
      </c>
      <c r="AE18" s="25">
        <v>0.29963888888888884</v>
      </c>
      <c r="AF18" s="25">
        <v>0.13909027777777785</v>
      </c>
      <c r="AG18" s="25">
        <v>0.26709722222222226</v>
      </c>
      <c r="AH18" s="28">
        <f t="shared" si="6"/>
        <v>0.38831250000000017</v>
      </c>
      <c r="AI18" s="28">
        <f t="shared" si="7"/>
        <v>0.4376666666666667</v>
      </c>
      <c r="AJ18" s="28">
        <f t="shared" si="8"/>
        <v>0.42869318181818183</v>
      </c>
    </row>
    <row r="19" spans="1:36" x14ac:dyDescent="0.25">
      <c r="A19" s="9">
        <v>43731</v>
      </c>
      <c r="B19" s="2">
        <v>129.21574631645242</v>
      </c>
      <c r="C19" s="3">
        <v>370.10392049772446</v>
      </c>
      <c r="D19" s="3">
        <v>330.89819799347612</v>
      </c>
      <c r="E19" s="3">
        <v>451.74658008967083</v>
      </c>
      <c r="F19" s="3">
        <v>247.81604519295962</v>
      </c>
      <c r="G19" s="3">
        <v>216.16551984329863</v>
      </c>
      <c r="H19" s="3">
        <v>183.84298052976436</v>
      </c>
      <c r="I19" s="3">
        <v>203.58479402639648</v>
      </c>
      <c r="J19" s="3">
        <f t="shared" si="3"/>
        <v>0.36493676521205409</v>
      </c>
      <c r="K19" s="3">
        <f t="shared" si="4"/>
        <v>0.41762943992035034</v>
      </c>
      <c r="L19" s="3">
        <f t="shared" si="5"/>
        <v>0.24467395955813331</v>
      </c>
      <c r="M19" s="23">
        <v>43731</v>
      </c>
      <c r="N19" s="24">
        <v>234.79166666666666</v>
      </c>
      <c r="O19" s="24">
        <v>59.095833333333331</v>
      </c>
      <c r="P19" s="24">
        <v>17.879166666666663</v>
      </c>
      <c r="Q19" s="24">
        <v>0</v>
      </c>
      <c r="R19" s="24">
        <v>135.39583333333334</v>
      </c>
      <c r="S19" s="24">
        <v>3.5</v>
      </c>
      <c r="T19" s="24">
        <v>0.10416666666666667</v>
      </c>
      <c r="U19" s="24">
        <v>8.9187500000000011</v>
      </c>
      <c r="V19" s="10">
        <v>0.96526494631767956</v>
      </c>
      <c r="W19" s="25">
        <v>0.2812708333333333</v>
      </c>
      <c r="X19" s="25">
        <v>0.41024999999999984</v>
      </c>
      <c r="Y19" s="25">
        <v>0.4899583333333335</v>
      </c>
      <c r="Z19" s="25">
        <v>0.53179166666666655</v>
      </c>
      <c r="AA19" s="25">
        <v>0.47316666666666696</v>
      </c>
      <c r="AB19" s="25">
        <v>0.37624999999999997</v>
      </c>
      <c r="AC19" s="25">
        <v>0.39170833333333355</v>
      </c>
      <c r="AD19" s="25">
        <v>0.35291666666666677</v>
      </c>
      <c r="AE19" s="25">
        <v>0.2803134920634921</v>
      </c>
      <c r="AF19" s="25">
        <v>0.13290277777777779</v>
      </c>
      <c r="AG19" s="25">
        <v>0.25847222222222216</v>
      </c>
      <c r="AH19" s="28">
        <f t="shared" si="6"/>
        <v>0.37721875000000016</v>
      </c>
      <c r="AI19" s="28">
        <f t="shared" si="7"/>
        <v>0.42547916666666669</v>
      </c>
      <c r="AJ19" s="28">
        <f t="shared" si="8"/>
        <v>0.41670454545454549</v>
      </c>
    </row>
    <row r="20" spans="1:36" x14ac:dyDescent="0.25">
      <c r="A20" s="9">
        <v>43732</v>
      </c>
      <c r="B20" s="2">
        <v>110.76440919029405</v>
      </c>
      <c r="C20" s="3">
        <v>330.64254430670451</v>
      </c>
      <c r="D20" s="3">
        <v>283.64765477668129</v>
      </c>
      <c r="E20" s="3">
        <v>422.05308158874232</v>
      </c>
      <c r="F20" s="3">
        <v>200.83854275082552</v>
      </c>
      <c r="G20" s="3">
        <v>241.9870538635046</v>
      </c>
      <c r="H20" s="3">
        <v>154.68600203133852</v>
      </c>
      <c r="I20" s="3">
        <v>189.87013782781722</v>
      </c>
      <c r="J20" s="3">
        <f t="shared" si="3"/>
        <v>0.31195040765011317</v>
      </c>
      <c r="K20" s="3">
        <f t="shared" si="4"/>
        <v>0.38751838404227812</v>
      </c>
      <c r="L20" s="3">
        <f t="shared" si="5"/>
        <v>0.22438809498599205</v>
      </c>
      <c r="M20" s="23">
        <v>43732</v>
      </c>
      <c r="N20" s="24">
        <v>215.625</v>
      </c>
      <c r="O20" s="24">
        <v>55.829166666666652</v>
      </c>
      <c r="P20" s="24">
        <v>17.902083333333337</v>
      </c>
      <c r="Q20" s="24">
        <v>0</v>
      </c>
      <c r="R20" s="24">
        <v>149.45833333333334</v>
      </c>
      <c r="S20" s="24">
        <v>3.625</v>
      </c>
      <c r="T20" s="24">
        <v>6.25E-2</v>
      </c>
      <c r="U20" s="24">
        <v>8.4729166666666682</v>
      </c>
      <c r="V20" s="10">
        <v>1.0088886127981549</v>
      </c>
      <c r="W20" s="25">
        <v>0.27243749999999994</v>
      </c>
      <c r="X20" s="25">
        <v>0.39362499999999989</v>
      </c>
      <c r="Y20" s="25">
        <v>0.47820833333333296</v>
      </c>
      <c r="Z20" s="25">
        <v>0.51895833333333352</v>
      </c>
      <c r="AA20" s="25">
        <v>0.46189583333333312</v>
      </c>
      <c r="AB20" s="25">
        <v>0.36435416666666676</v>
      </c>
      <c r="AC20" s="25">
        <v>0.38066666666666671</v>
      </c>
      <c r="AD20" s="25">
        <v>0.34318749999999998</v>
      </c>
      <c r="AE20" s="25">
        <v>0.25768217054263565</v>
      </c>
      <c r="AF20" s="25">
        <v>0.12647222222222218</v>
      </c>
      <c r="AG20" s="25">
        <v>0.25015277777777772</v>
      </c>
      <c r="AH20" s="28">
        <f t="shared" si="6"/>
        <v>0.36716666666666653</v>
      </c>
      <c r="AI20" s="28">
        <f t="shared" si="7"/>
        <v>0.41316666666666668</v>
      </c>
      <c r="AJ20" s="28">
        <f t="shared" si="8"/>
        <v>0.40480303030303033</v>
      </c>
    </row>
    <row r="21" spans="1:36" x14ac:dyDescent="0.25">
      <c r="A21" s="9">
        <v>43733</v>
      </c>
      <c r="B21" s="2">
        <v>48.372550472264585</v>
      </c>
      <c r="C21" s="3">
        <v>105.3630257634825</v>
      </c>
      <c r="D21" s="3">
        <v>123.87336868697716</v>
      </c>
      <c r="E21" s="3">
        <v>204.95296870285532</v>
      </c>
      <c r="F21" s="3">
        <v>153.79172314664635</v>
      </c>
      <c r="G21" s="3">
        <v>208.88202929273925</v>
      </c>
      <c r="H21" s="3">
        <v>100.59301573372758</v>
      </c>
      <c r="I21" s="3">
        <v>248.61086684250694</v>
      </c>
      <c r="J21" s="3">
        <f t="shared" si="3"/>
        <v>0.13278088121504372</v>
      </c>
      <c r="K21" s="3">
        <f t="shared" si="4"/>
        <v>0.16736535525591528</v>
      </c>
      <c r="L21" s="3">
        <f t="shared" si="5"/>
        <v>0.20814592614307714</v>
      </c>
      <c r="M21" s="23">
        <v>43733</v>
      </c>
      <c r="N21" s="24">
        <v>99.125</v>
      </c>
      <c r="O21" s="24">
        <v>74.489583333333329</v>
      </c>
      <c r="P21" s="24">
        <v>16.41041666666667</v>
      </c>
      <c r="Q21" s="24">
        <v>0.2</v>
      </c>
      <c r="R21" s="24">
        <v>209.70833333333334</v>
      </c>
      <c r="S21" s="24">
        <v>1.8541666666666667</v>
      </c>
      <c r="T21" s="24">
        <v>0</v>
      </c>
      <c r="U21" s="24">
        <v>11.695833333333335</v>
      </c>
      <c r="V21" s="10">
        <v>0.50482454455497494</v>
      </c>
      <c r="W21" s="25">
        <v>0.26637500000000014</v>
      </c>
      <c r="X21" s="25">
        <v>0.37997916666666659</v>
      </c>
      <c r="Y21" s="25">
        <v>0.46827083333333325</v>
      </c>
      <c r="Z21" s="25">
        <v>0.50756250000000014</v>
      </c>
      <c r="AA21" s="25">
        <v>0.45422916666666696</v>
      </c>
      <c r="AB21" s="25">
        <v>0.35608333333333325</v>
      </c>
      <c r="AC21" s="25">
        <v>0.37231249999999982</v>
      </c>
      <c r="AD21" s="25">
        <v>0.33522916666666686</v>
      </c>
      <c r="AE21" s="25">
        <v>0.23704347826086961</v>
      </c>
      <c r="AF21" s="25">
        <v>0.12169444444444444</v>
      </c>
      <c r="AG21" s="25">
        <v>0.24490277777777769</v>
      </c>
      <c r="AH21" s="28">
        <f t="shared" si="6"/>
        <v>0.36030208333333358</v>
      </c>
      <c r="AI21" s="28">
        <f t="shared" si="7"/>
        <v>0.40323958333333326</v>
      </c>
      <c r="AJ21" s="28">
        <f t="shared" si="8"/>
        <v>0.3954327651515151</v>
      </c>
    </row>
    <row r="22" spans="1:36" x14ac:dyDescent="0.25">
      <c r="A22" s="9">
        <v>43734</v>
      </c>
      <c r="B22" s="2">
        <v>76.461435405917229</v>
      </c>
      <c r="C22" s="3">
        <v>219.11465642713773</v>
      </c>
      <c r="D22" s="3">
        <v>195.80393189735526</v>
      </c>
      <c r="E22" s="3">
        <v>311.33484673655863</v>
      </c>
      <c r="F22" s="3">
        <v>270.64989681735727</v>
      </c>
      <c r="G22" s="3">
        <v>250.08237536703703</v>
      </c>
      <c r="H22" s="3">
        <v>187.12407463412495</v>
      </c>
      <c r="I22" s="3">
        <v>289.4738482291217</v>
      </c>
      <c r="J22" s="3">
        <f t="shared" si="3"/>
        <v>0.21344320343237178</v>
      </c>
      <c r="K22" s="3">
        <f t="shared" si="4"/>
        <v>0.27524320177463857</v>
      </c>
      <c r="L22" s="3">
        <f t="shared" si="5"/>
        <v>0.29497139903035985</v>
      </c>
      <c r="M22" s="23">
        <v>43734</v>
      </c>
      <c r="N22" s="24">
        <v>146.35416666666666</v>
      </c>
      <c r="O22" s="24">
        <v>75.202083333333334</v>
      </c>
      <c r="P22" s="24">
        <v>17.518749999999994</v>
      </c>
      <c r="Q22" s="24">
        <v>0.2</v>
      </c>
      <c r="R22" s="24">
        <v>215.75</v>
      </c>
      <c r="S22" s="24">
        <v>3</v>
      </c>
      <c r="T22" s="24">
        <v>0.10416666666666667</v>
      </c>
      <c r="U22" s="24">
        <v>12.70833333333333</v>
      </c>
      <c r="V22" s="10">
        <v>0.57264237716381439</v>
      </c>
      <c r="W22" s="25">
        <v>0.26210416666666642</v>
      </c>
      <c r="X22" s="25">
        <v>0.36897916666666658</v>
      </c>
      <c r="Y22" s="25">
        <v>0.46020833333333355</v>
      </c>
      <c r="Z22" s="25">
        <v>0.49799999999999994</v>
      </c>
      <c r="AA22" s="25">
        <v>0.44933333333333336</v>
      </c>
      <c r="AB22" s="25">
        <v>0.35052083333333345</v>
      </c>
      <c r="AC22" s="25">
        <v>0.36689583333333342</v>
      </c>
      <c r="AD22" s="25">
        <v>0.32947916666666682</v>
      </c>
      <c r="AE22" s="25">
        <v>0.22374074074074071</v>
      </c>
      <c r="AF22" s="25">
        <v>0.11978472222222229</v>
      </c>
      <c r="AG22" s="25">
        <v>0.24318055555555559</v>
      </c>
      <c r="AH22" s="28">
        <f t="shared" si="6"/>
        <v>0.35571874999999986</v>
      </c>
      <c r="AI22" s="28">
        <f t="shared" si="7"/>
        <v>0.39568055555555559</v>
      </c>
      <c r="AJ22" s="28">
        <f t="shared" si="8"/>
        <v>0.38841477272727276</v>
      </c>
    </row>
    <row r="23" spans="1:36" x14ac:dyDescent="0.25">
      <c r="A23" s="9">
        <v>43735</v>
      </c>
      <c r="B23" s="2">
        <v>86.447930488502237</v>
      </c>
      <c r="C23" s="3">
        <v>279.66760201977849</v>
      </c>
      <c r="D23" s="3">
        <v>221.37754286428228</v>
      </c>
      <c r="E23" s="3">
        <v>412.92257800561498</v>
      </c>
      <c r="F23" s="3">
        <v>331.27302053209797</v>
      </c>
      <c r="G23" s="3">
        <v>313.26592657850694</v>
      </c>
      <c r="H23" s="3">
        <v>272.35274129648491</v>
      </c>
      <c r="I23" s="3">
        <v>244.73789150460368</v>
      </c>
      <c r="J23" s="3">
        <f t="shared" si="3"/>
        <v>0.24212123341027744</v>
      </c>
      <c r="K23" s="3">
        <f t="shared" si="4"/>
        <v>0.37825948504195012</v>
      </c>
      <c r="L23" s="3">
        <f t="shared" si="5"/>
        <v>0.33856340133332807</v>
      </c>
      <c r="M23" s="23">
        <v>43735</v>
      </c>
      <c r="N23" s="24">
        <v>189.4375</v>
      </c>
      <c r="O23" s="24">
        <v>70.277083333333337</v>
      </c>
      <c r="P23" s="24">
        <v>18.497916666666661</v>
      </c>
      <c r="Q23" s="24">
        <v>0</v>
      </c>
      <c r="R23" s="24">
        <v>154.9375</v>
      </c>
      <c r="S23" s="24">
        <v>2.8333333333333335</v>
      </c>
      <c r="T23" s="24">
        <v>4.1666666666666664E-2</v>
      </c>
      <c r="U23" s="24">
        <v>12.406250000000002</v>
      </c>
      <c r="V23" s="10">
        <v>0.7514161818546925</v>
      </c>
      <c r="W23" s="25">
        <v>0.25879166666666636</v>
      </c>
      <c r="X23" s="25">
        <v>0.36010416666666661</v>
      </c>
      <c r="Y23" s="25">
        <v>0.45318749999999991</v>
      </c>
      <c r="Z23" s="25">
        <v>0.48779166666666701</v>
      </c>
      <c r="AA23" s="25">
        <v>0.44477083333333362</v>
      </c>
      <c r="AB23" s="25">
        <v>0.34527083333333336</v>
      </c>
      <c r="AC23" s="25">
        <v>0.36102083333333335</v>
      </c>
      <c r="AD23" s="25">
        <v>0.32335416666666672</v>
      </c>
      <c r="AE23" s="25">
        <v>0.21190873015873007</v>
      </c>
      <c r="AF23" s="25">
        <v>0.11728472222222219</v>
      </c>
      <c r="AG23" s="25">
        <v>0.24097916666666683</v>
      </c>
      <c r="AH23" s="28">
        <f t="shared" si="6"/>
        <v>0.35178124999999999</v>
      </c>
      <c r="AI23" s="28">
        <f t="shared" si="7"/>
        <v>0.38845486111111122</v>
      </c>
      <c r="AJ23" s="28">
        <f t="shared" si="8"/>
        <v>0.38178693181818191</v>
      </c>
    </row>
    <row r="24" spans="1:36" x14ac:dyDescent="0.25">
      <c r="A24" s="9">
        <v>43736</v>
      </c>
      <c r="B24" s="2">
        <v>97.177620930585832</v>
      </c>
      <c r="C24" s="3">
        <v>376.34894397216738</v>
      </c>
      <c r="D24" s="3">
        <v>248.85434297205077</v>
      </c>
      <c r="E24" s="3">
        <v>486.09305946267983</v>
      </c>
      <c r="F24" s="3">
        <v>363.10057104686075</v>
      </c>
      <c r="G24" s="3">
        <v>334.58074710157621</v>
      </c>
      <c r="H24" s="3">
        <v>323.51593698708393</v>
      </c>
      <c r="I24" s="3">
        <v>298.70697951547021</v>
      </c>
      <c r="J24" s="3">
        <f t="shared" si="3"/>
        <v>0.27293348351475272</v>
      </c>
      <c r="K24" s="3">
        <f t="shared" si="4"/>
        <v>0.45245890804730038</v>
      </c>
      <c r="L24" s="3">
        <f t="shared" si="5"/>
        <v>0.39039440614834003</v>
      </c>
      <c r="M24" s="23">
        <v>43736</v>
      </c>
      <c r="N24" s="24">
        <v>237.97916666666666</v>
      </c>
      <c r="O24" s="24">
        <v>62.831250000000011</v>
      </c>
      <c r="P24" s="24">
        <v>19.14791666666666</v>
      </c>
      <c r="Q24" s="24">
        <v>0</v>
      </c>
      <c r="R24" s="24">
        <v>127.29166666666667</v>
      </c>
      <c r="S24" s="24">
        <v>4.166666666666667</v>
      </c>
      <c r="T24" s="24">
        <v>0.16666666666666666</v>
      </c>
      <c r="U24" s="24">
        <v>11.035416666666665</v>
      </c>
      <c r="V24" s="10">
        <v>1.0047445943660289</v>
      </c>
      <c r="W24" s="25">
        <v>0.25504166666666656</v>
      </c>
      <c r="X24" s="25">
        <v>0.35235416666666669</v>
      </c>
      <c r="Y24" s="25">
        <v>0.44533333333333319</v>
      </c>
      <c r="Z24" s="25">
        <v>0.47745833333333326</v>
      </c>
      <c r="AA24" s="25">
        <v>0.4389375000000002</v>
      </c>
      <c r="AB24" s="25">
        <v>0.33977083333333319</v>
      </c>
      <c r="AC24" s="25">
        <v>0.35447916666666668</v>
      </c>
      <c r="AD24" s="25">
        <v>0.31691666666666674</v>
      </c>
      <c r="AE24" s="25">
        <v>0.20055434782608689</v>
      </c>
      <c r="AF24" s="25">
        <v>0.11454166666666672</v>
      </c>
      <c r="AG24" s="25">
        <v>0.23824305555555556</v>
      </c>
      <c r="AH24" s="28">
        <f t="shared" si="6"/>
        <v>0.34698958333333341</v>
      </c>
      <c r="AI24" s="28">
        <f t="shared" si="7"/>
        <v>0.38105208333333329</v>
      </c>
      <c r="AJ24" s="28">
        <f t="shared" si="8"/>
        <v>0.37485890151515144</v>
      </c>
    </row>
    <row r="25" spans="1:36" x14ac:dyDescent="0.25">
      <c r="A25" s="9">
        <v>43737</v>
      </c>
      <c r="B25" s="2">
        <v>94.385197971909776</v>
      </c>
      <c r="C25" s="3">
        <v>395.67709278440969</v>
      </c>
      <c r="D25" s="3">
        <v>241.7034519127011</v>
      </c>
      <c r="E25" s="3">
        <v>459.64482058362881</v>
      </c>
      <c r="F25" s="3">
        <v>329.40098061757413</v>
      </c>
      <c r="G25" s="3">
        <v>281.8688208453965</v>
      </c>
      <c r="H25" s="3">
        <v>267.71089971132898</v>
      </c>
      <c r="I25" s="3">
        <v>270.57007460082315</v>
      </c>
      <c r="J25" s="3">
        <f t="shared" si="3"/>
        <v>0.26491453505909746</v>
      </c>
      <c r="K25" s="3">
        <f t="shared" si="4"/>
        <v>0.42563874744080243</v>
      </c>
      <c r="L25" s="3">
        <f t="shared" si="5"/>
        <v>0.33793629705869005</v>
      </c>
      <c r="M25" s="23">
        <v>43737</v>
      </c>
      <c r="N25" s="24">
        <v>242.375</v>
      </c>
      <c r="O25" s="24">
        <v>60.160416666666656</v>
      </c>
      <c r="P25" s="24">
        <v>19.920833333333331</v>
      </c>
      <c r="Q25" s="24">
        <v>0</v>
      </c>
      <c r="R25" s="24">
        <v>149.85416666666666</v>
      </c>
      <c r="S25" s="24">
        <v>4.6875</v>
      </c>
      <c r="T25" s="24">
        <v>0.33333333333333331</v>
      </c>
      <c r="U25" s="24">
        <v>11.212500000000004</v>
      </c>
      <c r="V25" s="10">
        <v>1.0988046699013785</v>
      </c>
      <c r="W25" s="25">
        <v>0.25162499999999988</v>
      </c>
      <c r="X25" s="25">
        <v>0.34520833333333334</v>
      </c>
      <c r="Y25" s="25">
        <v>0.43697916666666686</v>
      </c>
      <c r="Z25" s="25">
        <v>0.46599999999999991</v>
      </c>
      <c r="AA25" s="25">
        <v>0.43381249999999971</v>
      </c>
      <c r="AB25" s="25">
        <v>0.33433333333333359</v>
      </c>
      <c r="AC25" s="25">
        <v>0.34756250000000005</v>
      </c>
      <c r="AD25" s="25">
        <v>0.3101875</v>
      </c>
      <c r="AE25" s="25">
        <v>0.19010370370370372</v>
      </c>
      <c r="AF25" s="25">
        <v>0.11177083333333339</v>
      </c>
      <c r="AG25" s="25">
        <v>0.235048611111111</v>
      </c>
      <c r="AH25" s="28">
        <f t="shared" si="6"/>
        <v>0.34271874999999979</v>
      </c>
      <c r="AI25" s="28">
        <f t="shared" si="7"/>
        <v>0.37337847222222226</v>
      </c>
      <c r="AJ25" s="28">
        <f t="shared" si="8"/>
        <v>0.36780397727272729</v>
      </c>
    </row>
    <row r="26" spans="1:36" x14ac:dyDescent="0.25">
      <c r="A26" s="9">
        <v>43738</v>
      </c>
      <c r="B26" s="2">
        <v>96.318083409127738</v>
      </c>
      <c r="C26" s="3">
        <v>308.82249080222533</v>
      </c>
      <c r="D26" s="3">
        <v>246.65322255858575</v>
      </c>
      <c r="E26" s="3">
        <v>432.66223447051703</v>
      </c>
      <c r="F26" s="3">
        <v>282.27203397865247</v>
      </c>
      <c r="G26" s="3">
        <v>211.95163398299439</v>
      </c>
      <c r="H26" s="3">
        <v>162.21638693098615</v>
      </c>
      <c r="I26" s="3">
        <v>165.37448299613479</v>
      </c>
      <c r="J26" s="3">
        <f t="shared" si="3"/>
        <v>0.27046516579130081</v>
      </c>
      <c r="K26" s="3">
        <f t="shared" si="4"/>
        <v>0.3982767254762502</v>
      </c>
      <c r="L26" s="3">
        <f t="shared" si="5"/>
        <v>0.23132232813113593</v>
      </c>
      <c r="M26" s="23">
        <v>43738</v>
      </c>
      <c r="N26" s="24">
        <v>184.72916666666666</v>
      </c>
      <c r="O26" s="24">
        <v>61.862499999999983</v>
      </c>
      <c r="P26" s="24">
        <v>20.799999999999994</v>
      </c>
      <c r="Q26" s="24">
        <v>0</v>
      </c>
      <c r="R26" s="24">
        <v>133.20833333333334</v>
      </c>
      <c r="S26" s="24">
        <v>7.041666666666667</v>
      </c>
      <c r="T26" s="24">
        <v>0.5625</v>
      </c>
      <c r="U26" s="24">
        <v>12.94791666666667</v>
      </c>
      <c r="V26" s="10">
        <v>1.0107989586155188</v>
      </c>
      <c r="W26" s="25">
        <v>0.24877083333333314</v>
      </c>
      <c r="X26" s="25">
        <v>0.33920833333333333</v>
      </c>
      <c r="Y26" s="25">
        <v>0.43056250000000013</v>
      </c>
      <c r="Z26" s="25">
        <v>0.45483333333333337</v>
      </c>
      <c r="AA26" s="25">
        <v>0.43018749999999978</v>
      </c>
      <c r="AB26" s="25">
        <v>0.3305416666666669</v>
      </c>
      <c r="AC26" s="25">
        <v>0.34170833333333328</v>
      </c>
      <c r="AD26" s="25">
        <v>0.30370833333333336</v>
      </c>
      <c r="AE26" s="25">
        <v>0.18259782608695649</v>
      </c>
      <c r="AF26" s="25">
        <v>0.10891666666666661</v>
      </c>
      <c r="AG26" s="25">
        <v>0.23222222222222219</v>
      </c>
      <c r="AH26" s="28">
        <f t="shared" si="6"/>
        <v>0.33947916666666644</v>
      </c>
      <c r="AI26" s="28">
        <f t="shared" si="7"/>
        <v>0.36676041666666676</v>
      </c>
      <c r="AJ26" s="28">
        <f t="shared" si="8"/>
        <v>0.36180018939393943</v>
      </c>
    </row>
    <row r="27" spans="1:36" x14ac:dyDescent="0.25">
      <c r="A27" s="9">
        <v>43739</v>
      </c>
      <c r="B27" s="2">
        <v>95.699705786850672</v>
      </c>
      <c r="C27" s="3">
        <v>268.9513127887426</v>
      </c>
      <c r="D27" s="3">
        <v>245.06966910845242</v>
      </c>
      <c r="E27" s="3">
        <v>396.13222577293971</v>
      </c>
      <c r="F27" s="3">
        <v>282.67373245099168</v>
      </c>
      <c r="G27" s="3">
        <v>210.21229714609871</v>
      </c>
      <c r="H27" s="3">
        <v>158.8229213169746</v>
      </c>
      <c r="I27" s="3">
        <v>138.39198851743296</v>
      </c>
      <c r="J27" s="3">
        <f t="shared" si="3"/>
        <v>0.26868938241157903</v>
      </c>
      <c r="K27" s="3">
        <f t="shared" si="4"/>
        <v>0.36123302269111635</v>
      </c>
      <c r="L27" s="3">
        <f t="shared" si="5"/>
        <v>0.21935351238607281</v>
      </c>
      <c r="M27" s="23">
        <v>43739</v>
      </c>
      <c r="N27" s="24">
        <v>187.29166666666666</v>
      </c>
      <c r="O27" s="24">
        <v>63.193750000000001</v>
      </c>
      <c r="P27" s="24">
        <v>21.889583333333334</v>
      </c>
      <c r="Q27" s="24">
        <v>0</v>
      </c>
      <c r="R27" s="24">
        <v>139.70833333333334</v>
      </c>
      <c r="S27" s="24">
        <v>11.395833333333334</v>
      </c>
      <c r="T27" s="24">
        <v>1.9166666666666667</v>
      </c>
      <c r="U27" s="24">
        <v>14.460416666666662</v>
      </c>
      <c r="V27" s="10">
        <v>1.0059413324838318</v>
      </c>
      <c r="W27" s="25">
        <v>0.24647916666666689</v>
      </c>
      <c r="X27" s="25">
        <v>0.33320833333333327</v>
      </c>
      <c r="Y27" s="25">
        <v>0.42516666666666625</v>
      </c>
      <c r="Z27" s="25">
        <v>0.44439583333333349</v>
      </c>
      <c r="AA27" s="25">
        <v>0.42720833333333325</v>
      </c>
      <c r="AB27" s="25">
        <v>0.3277500000000001</v>
      </c>
      <c r="AC27" s="25">
        <v>0.33660416666666687</v>
      </c>
      <c r="AD27" s="25">
        <v>0.29862499999999997</v>
      </c>
      <c r="AE27" s="25">
        <v>0.17684420289855063</v>
      </c>
      <c r="AF27" s="25">
        <v>0.10688194444444447</v>
      </c>
      <c r="AG27" s="25">
        <v>0.23017361111111112</v>
      </c>
      <c r="AH27" s="28">
        <f t="shared" si="6"/>
        <v>0.33684375000000005</v>
      </c>
      <c r="AI27" s="28">
        <f t="shared" si="7"/>
        <v>0.36095833333333333</v>
      </c>
      <c r="AJ27" s="28">
        <f t="shared" si="8"/>
        <v>0.35657386363636362</v>
      </c>
    </row>
    <row r="28" spans="1:36" x14ac:dyDescent="0.25">
      <c r="A28" s="9">
        <v>43741</v>
      </c>
      <c r="B28" s="2">
        <v>50.380990319651829</v>
      </c>
      <c r="C28" s="3">
        <v>175.06433240375591</v>
      </c>
      <c r="D28" s="3">
        <v>129.01662053688048</v>
      </c>
      <c r="E28" s="3">
        <v>202.37371958839438</v>
      </c>
      <c r="F28" s="3">
        <v>165.73099699950751</v>
      </c>
      <c r="G28" s="3">
        <v>178.06901438330954</v>
      </c>
      <c r="H28" s="3">
        <v>165.12227363112177</v>
      </c>
      <c r="I28" s="3">
        <v>151.48180047870071</v>
      </c>
      <c r="J28" s="3">
        <f t="shared" si="3"/>
        <v>0.13854848012495902</v>
      </c>
      <c r="K28" s="3">
        <f t="shared" si="4"/>
        <v>0.16474983609751859</v>
      </c>
      <c r="L28" s="3">
        <f t="shared" si="5"/>
        <v>0.18519374548126472</v>
      </c>
      <c r="M28" s="23">
        <v>43741</v>
      </c>
      <c r="N28" s="24">
        <v>136.45833333333334</v>
      </c>
      <c r="O28" s="24">
        <v>79.19374999999998</v>
      </c>
      <c r="P28" s="24">
        <v>21.474999999999998</v>
      </c>
      <c r="Q28" s="24">
        <v>0.5</v>
      </c>
      <c r="R28" s="24">
        <v>120.77083333333333</v>
      </c>
      <c r="S28" s="24">
        <v>13.916666666666666</v>
      </c>
      <c r="T28" s="24">
        <v>3.5208333333333335</v>
      </c>
      <c r="U28" s="24">
        <v>17.612500000000001</v>
      </c>
      <c r="V28" s="10">
        <v>0.56484445487089141</v>
      </c>
      <c r="W28" s="25">
        <v>0.24395833333333319</v>
      </c>
      <c r="X28" s="25">
        <v>0.32545833333333313</v>
      </c>
      <c r="Y28" s="25">
        <v>0.41970833333333341</v>
      </c>
      <c r="Z28" s="25">
        <v>0.43066666666666675</v>
      </c>
      <c r="AA28" s="25">
        <v>0.42637499999999995</v>
      </c>
      <c r="AB28" s="25">
        <v>0.32714583333333352</v>
      </c>
      <c r="AC28" s="25">
        <v>0.330166666666667</v>
      </c>
      <c r="AD28" s="25">
        <v>0.29183333333333317</v>
      </c>
      <c r="AE28" s="25">
        <v>0.17453260869565215</v>
      </c>
      <c r="AF28" s="25">
        <v>0.11163194444444448</v>
      </c>
      <c r="AG28" s="25">
        <v>0.23290277777777782</v>
      </c>
      <c r="AH28" s="28">
        <f t="shared" si="6"/>
        <v>0.33516666666666656</v>
      </c>
      <c r="AI28" s="28">
        <f t="shared" si="7"/>
        <v>0.3541631944444445</v>
      </c>
      <c r="AJ28" s="28">
        <f t="shared" si="8"/>
        <v>0.35070928030303028</v>
      </c>
    </row>
    <row r="29" spans="1:36" x14ac:dyDescent="0.25">
      <c r="A29" s="9">
        <v>43742</v>
      </c>
      <c r="B29" s="2">
        <v>18.581321124048184</v>
      </c>
      <c r="C29" s="3">
        <v>165.0415647371336</v>
      </c>
      <c r="D29" s="3">
        <v>47.583408768369225</v>
      </c>
      <c r="E29" s="3">
        <v>159.50754100747216</v>
      </c>
      <c r="F29" s="3">
        <v>170.64195671378528</v>
      </c>
      <c r="G29" s="3">
        <v>198.21516360840198</v>
      </c>
      <c r="H29" s="3">
        <v>187.63591541247868</v>
      </c>
      <c r="I29" s="3">
        <v>180.2810670342603</v>
      </c>
      <c r="J29" s="3">
        <f t="shared" si="3"/>
        <v>4.7229968581372864E-2</v>
      </c>
      <c r="K29" s="3">
        <f t="shared" si="4"/>
        <v>0.12128086262882438</v>
      </c>
      <c r="L29" s="3">
        <f t="shared" si="5"/>
        <v>0.21045700420473651</v>
      </c>
      <c r="M29" s="23">
        <v>43742</v>
      </c>
      <c r="N29" s="24">
        <v>155.625</v>
      </c>
      <c r="O29" s="24">
        <v>78.966666666666669</v>
      </c>
      <c r="P29" s="24">
        <v>21.206249999999997</v>
      </c>
      <c r="Q29" s="24">
        <v>1.7</v>
      </c>
      <c r="R29" s="24">
        <v>129.08333333333334</v>
      </c>
      <c r="S29" s="24">
        <v>9.9791666666666661</v>
      </c>
      <c r="T29" s="24">
        <v>2.0416666666666665</v>
      </c>
      <c r="U29" s="24">
        <v>17.268750000000001</v>
      </c>
      <c r="V29" s="10">
        <v>0.57311159791718536</v>
      </c>
      <c r="W29" s="25">
        <v>0.24308333333333346</v>
      </c>
      <c r="X29" s="25">
        <v>0.3232291666666664</v>
      </c>
      <c r="Y29" s="25">
        <v>0.41812499999999991</v>
      </c>
      <c r="Z29" s="25">
        <v>0.42583333333333301</v>
      </c>
      <c r="AA29" s="25">
        <v>0.42570833333333319</v>
      </c>
      <c r="AB29" s="25">
        <v>0.32562499999999966</v>
      </c>
      <c r="AC29" s="25">
        <v>0.32760416666666681</v>
      </c>
      <c r="AD29" s="25">
        <v>0.28931250000000003</v>
      </c>
      <c r="AE29" s="25">
        <v>0.17269629629629629</v>
      </c>
      <c r="AF29" s="25">
        <v>0.10975694444444445</v>
      </c>
      <c r="AG29" s="25">
        <v>0.23223611111111106</v>
      </c>
      <c r="AH29" s="28">
        <f t="shared" si="6"/>
        <v>0.33439583333333334</v>
      </c>
      <c r="AI29" s="28">
        <f t="shared" si="7"/>
        <v>0.35162152777777761</v>
      </c>
      <c r="AJ29" s="28">
        <f t="shared" si="8"/>
        <v>0.34848958333333324</v>
      </c>
    </row>
    <row r="30" spans="1:36" x14ac:dyDescent="0.25">
      <c r="A30" s="9">
        <v>43744</v>
      </c>
      <c r="B30" s="2">
        <v>115.54599291589601</v>
      </c>
      <c r="C30" s="3">
        <v>320.24839693518544</v>
      </c>
      <c r="D30" s="3">
        <v>295.89242744147504</v>
      </c>
      <c r="E30" s="3">
        <v>296.4617748717618</v>
      </c>
      <c r="F30" s="3">
        <v>359.44224492077694</v>
      </c>
      <c r="G30" s="3">
        <v>587.49103411017074</v>
      </c>
      <c r="H30" s="3">
        <v>253.564277430766</v>
      </c>
      <c r="I30" s="3">
        <v>420.10939472128064</v>
      </c>
      <c r="J30" s="3">
        <f t="shared" si="3"/>
        <v>0.32568159164316468</v>
      </c>
      <c r="K30" s="3">
        <f t="shared" si="4"/>
        <v>0.26016098106610613</v>
      </c>
      <c r="L30" s="3">
        <f t="shared" si="5"/>
        <v>0.48521193984030397</v>
      </c>
      <c r="M30" s="23">
        <v>43744</v>
      </c>
      <c r="N30" s="24">
        <v>199.47916666666666</v>
      </c>
      <c r="O30" s="24">
        <v>75.691666666666663</v>
      </c>
      <c r="P30" s="24">
        <v>21.327083333333331</v>
      </c>
      <c r="Q30" s="24">
        <v>0</v>
      </c>
      <c r="R30" s="24">
        <v>143.54166666666666</v>
      </c>
      <c r="S30" s="24">
        <v>10.1875</v>
      </c>
      <c r="T30" s="24">
        <v>1.3541666666666667</v>
      </c>
      <c r="U30" s="24">
        <v>16.572916666666675</v>
      </c>
      <c r="V30" s="10">
        <v>0.68912256674568229</v>
      </c>
      <c r="W30" s="25">
        <v>0.34085416666666668</v>
      </c>
      <c r="X30" s="25">
        <v>0.34629166666666672</v>
      </c>
      <c r="Y30" s="25">
        <v>0.42868750000000005</v>
      </c>
      <c r="Z30" s="25">
        <v>0.43179166666666657</v>
      </c>
      <c r="AA30" s="25">
        <v>0.47931250000000031</v>
      </c>
      <c r="AB30" s="25">
        <v>0.40239583333333312</v>
      </c>
      <c r="AC30" s="25">
        <v>0.34331250000000008</v>
      </c>
      <c r="AD30" s="25">
        <v>0.28933333333333305</v>
      </c>
      <c r="AE30" s="25">
        <v>0.3655193798449613</v>
      </c>
      <c r="AF30" s="25">
        <v>0.21178472222222225</v>
      </c>
      <c r="AG30" s="25">
        <v>0.40127777777777779</v>
      </c>
      <c r="AH30" s="28">
        <f t="shared" si="6"/>
        <v>0.41008333333333347</v>
      </c>
      <c r="AI30" s="28">
        <f t="shared" si="7"/>
        <v>0.37363541666666661</v>
      </c>
      <c r="AJ30" s="28">
        <f t="shared" si="8"/>
        <v>0.38026231060606058</v>
      </c>
    </row>
    <row r="31" spans="1:36" x14ac:dyDescent="0.25">
      <c r="A31" s="9">
        <v>43745</v>
      </c>
      <c r="B31" s="2">
        <v>89.624730632590698</v>
      </c>
      <c r="C31" s="3">
        <v>377.04416797781971</v>
      </c>
      <c r="D31" s="3">
        <v>229.51275450087246</v>
      </c>
      <c r="E31" s="3">
        <v>424.51104472506455</v>
      </c>
      <c r="F31" s="3">
        <v>611.82137934127707</v>
      </c>
      <c r="G31" s="3">
        <v>444.09559796568476</v>
      </c>
      <c r="H31" s="3">
        <v>237.64819853389102</v>
      </c>
      <c r="I31" s="3">
        <v>500.37894083479426</v>
      </c>
      <c r="J31" s="3">
        <f t="shared" si="3"/>
        <v>0.25124399059511371</v>
      </c>
      <c r="K31" s="3">
        <f t="shared" si="4"/>
        <v>0.39001091166888041</v>
      </c>
      <c r="L31" s="3">
        <f t="shared" si="5"/>
        <v>0.54135467463420672</v>
      </c>
      <c r="M31" s="23">
        <v>43745</v>
      </c>
      <c r="N31" s="24">
        <v>232.0625</v>
      </c>
      <c r="O31" s="24">
        <v>67.52291666666666</v>
      </c>
      <c r="P31" s="24">
        <v>21.656250000000004</v>
      </c>
      <c r="Q31" s="24">
        <v>0</v>
      </c>
      <c r="R31" s="24">
        <v>139.20833333333334</v>
      </c>
      <c r="S31" s="24">
        <v>8.125</v>
      </c>
      <c r="T31" s="24">
        <v>0.9375</v>
      </c>
      <c r="U31" s="24">
        <v>14.931249999999999</v>
      </c>
      <c r="V31" s="10">
        <v>0.9350068007456761</v>
      </c>
      <c r="W31" s="25">
        <v>0.31377083333333339</v>
      </c>
      <c r="X31" s="25">
        <v>0.34327083333333358</v>
      </c>
      <c r="Y31" s="25">
        <v>0.43056249999999996</v>
      </c>
      <c r="Z31" s="25">
        <v>0.43308333333333321</v>
      </c>
      <c r="AA31" s="25">
        <v>0.47416666666666663</v>
      </c>
      <c r="AB31" s="25">
        <v>0.38147916666666665</v>
      </c>
      <c r="AC31" s="25">
        <v>0.34204166666666658</v>
      </c>
      <c r="AD31" s="25">
        <v>0.28981249999999975</v>
      </c>
      <c r="AE31" s="25">
        <v>0.34971621621621629</v>
      </c>
      <c r="AF31" s="25">
        <v>0.19380555555555559</v>
      </c>
      <c r="AG31" s="25">
        <v>0.3630902777777778</v>
      </c>
      <c r="AH31" s="28">
        <f t="shared" si="6"/>
        <v>0.39396874999999998</v>
      </c>
      <c r="AI31" s="28">
        <f t="shared" si="7"/>
        <v>0.3700416666666666</v>
      </c>
      <c r="AJ31" s="28">
        <f t="shared" si="8"/>
        <v>0.37439204545454535</v>
      </c>
    </row>
    <row r="32" spans="1:36" x14ac:dyDescent="0.25">
      <c r="A32" s="9">
        <v>43747</v>
      </c>
      <c r="B32" s="2">
        <v>116.59346919183255</v>
      </c>
      <c r="C32" s="3">
        <v>248.07596440498756</v>
      </c>
      <c r="D32" s="3">
        <v>298.57482507511537</v>
      </c>
      <c r="E32" s="3">
        <v>246.70209938389667</v>
      </c>
      <c r="F32" s="3">
        <v>250.51606423282797</v>
      </c>
      <c r="G32" s="3">
        <v>279.39893729257983</v>
      </c>
      <c r="H32" s="3">
        <v>252.63338876966378</v>
      </c>
      <c r="I32" s="3">
        <v>327.60615046149513</v>
      </c>
      <c r="J32" s="3">
        <f t="shared" si="3"/>
        <v>0.32868960955075249</v>
      </c>
      <c r="K32" s="3">
        <f t="shared" si="4"/>
        <v>0.20970157261873182</v>
      </c>
      <c r="L32" s="3">
        <f t="shared" si="5"/>
        <v>0.33299480372617413</v>
      </c>
      <c r="M32" s="23">
        <v>43747</v>
      </c>
      <c r="N32" s="24">
        <v>161.0625</v>
      </c>
      <c r="O32" s="24">
        <v>79.739583333333329</v>
      </c>
      <c r="P32" s="24">
        <v>19.793749999999999</v>
      </c>
      <c r="Q32" s="24">
        <v>1.7</v>
      </c>
      <c r="R32" s="24">
        <v>158.47916666666666</v>
      </c>
      <c r="S32" s="24">
        <v>17.479166666666668</v>
      </c>
      <c r="T32" s="24">
        <v>3.6875</v>
      </c>
      <c r="U32" s="24">
        <v>16.054166666666671</v>
      </c>
      <c r="V32" s="10">
        <v>0.50624929356971693</v>
      </c>
      <c r="W32" s="25">
        <v>0.28779166666666672</v>
      </c>
      <c r="X32" s="25">
        <v>0.33981250000000013</v>
      </c>
      <c r="Y32" s="25">
        <v>0.4298958333333332</v>
      </c>
      <c r="Z32" s="25">
        <v>0.43362499999999987</v>
      </c>
      <c r="AA32" s="25">
        <v>0.47739583333333319</v>
      </c>
      <c r="AB32" s="25">
        <v>0.36414583333333345</v>
      </c>
      <c r="AC32" s="25">
        <v>0.33960416666666676</v>
      </c>
      <c r="AD32" s="25">
        <v>0.28999999999999965</v>
      </c>
      <c r="AE32" s="25">
        <v>0.38489189189189188</v>
      </c>
      <c r="AF32" s="25">
        <v>0.22726388888888885</v>
      </c>
      <c r="AG32" s="25">
        <v>0.41288888888888886</v>
      </c>
      <c r="AH32" s="28">
        <f t="shared" si="6"/>
        <v>0.38259374999999995</v>
      </c>
      <c r="AI32" s="28">
        <f t="shared" si="7"/>
        <v>0.36618055555555551</v>
      </c>
      <c r="AJ32" s="28">
        <f t="shared" si="8"/>
        <v>0.36916477272727266</v>
      </c>
    </row>
    <row r="33" spans="1:36" x14ac:dyDescent="0.25">
      <c r="A33" s="9">
        <v>43750</v>
      </c>
      <c r="B33" s="2">
        <v>95.068913363915655</v>
      </c>
      <c r="C33" s="3">
        <v>76.693462198484127</v>
      </c>
      <c r="D33" s="3">
        <v>243.45432359517451</v>
      </c>
      <c r="E33" s="3">
        <v>77.197896366621336</v>
      </c>
      <c r="F33" s="3">
        <v>166.40127624557979</v>
      </c>
      <c r="G33" s="3">
        <v>116.88585205606768</v>
      </c>
      <c r="H33" s="3">
        <v>131.59154338558901</v>
      </c>
      <c r="I33" s="3">
        <v>158.40569559366591</v>
      </c>
      <c r="J33" s="3">
        <f t="shared" si="3"/>
        <v>0.26687794768246043</v>
      </c>
      <c r="K33" s="3">
        <f t="shared" si="4"/>
        <v>3.781375924902465E-2</v>
      </c>
      <c r="L33" s="3">
        <f t="shared" si="5"/>
        <v>0.16054081271431372</v>
      </c>
      <c r="M33" s="23">
        <v>43750</v>
      </c>
      <c r="N33" s="24">
        <v>68.729166666666671</v>
      </c>
      <c r="O33" s="24">
        <v>85.225000000000009</v>
      </c>
      <c r="P33" s="24">
        <v>14.814583333333333</v>
      </c>
      <c r="Q33" s="24">
        <v>0.2</v>
      </c>
      <c r="R33" s="24">
        <v>216.85416666666666</v>
      </c>
      <c r="S33" s="24">
        <v>3.125</v>
      </c>
      <c r="T33" s="24">
        <v>0</v>
      </c>
      <c r="U33" s="24">
        <v>12.310416666666667</v>
      </c>
      <c r="V33" s="10">
        <v>0.25981954673796992</v>
      </c>
      <c r="W33" s="25">
        <v>0.41281250000000042</v>
      </c>
      <c r="X33" s="25">
        <v>0.5306249999999999</v>
      </c>
      <c r="Y33" s="25">
        <v>0.57454166666666662</v>
      </c>
      <c r="Z33" s="25">
        <v>0.58956249999999977</v>
      </c>
      <c r="AA33" s="25">
        <v>0.56668750000000045</v>
      </c>
      <c r="AB33" s="25">
        <v>0.47218750000000026</v>
      </c>
      <c r="AC33" s="25">
        <v>0.4625833333333329</v>
      </c>
      <c r="AD33" s="25">
        <v>0.41389583333333319</v>
      </c>
      <c r="AE33" s="25">
        <v>0.42155555555555563</v>
      </c>
      <c r="AF33" s="25">
        <v>0.25272222222222235</v>
      </c>
      <c r="AG33" s="25">
        <v>0.44561111111111118</v>
      </c>
      <c r="AH33" s="28">
        <f t="shared" si="6"/>
        <v>0.48975000000000046</v>
      </c>
      <c r="AI33" s="28">
        <f t="shared" si="7"/>
        <v>0.5072326388888887</v>
      </c>
      <c r="AJ33" s="28">
        <f t="shared" si="8"/>
        <v>0.50405397727272716</v>
      </c>
    </row>
    <row r="34" spans="1:36" x14ac:dyDescent="0.25">
      <c r="A34" s="9">
        <v>43756</v>
      </c>
      <c r="B34" s="2">
        <v>121.23903795862543</v>
      </c>
      <c r="C34" s="3">
        <v>101.24354550474871</v>
      </c>
      <c r="D34" s="3">
        <v>310.47128798623669</v>
      </c>
      <c r="E34" s="3">
        <v>273.65126108609337</v>
      </c>
      <c r="F34" s="3">
        <v>216.96232493434846</v>
      </c>
      <c r="G34" s="3">
        <v>271.72212992904917</v>
      </c>
      <c r="H34" s="3">
        <v>320.7677490414834</v>
      </c>
      <c r="I34" s="3">
        <v>235.24818396996642</v>
      </c>
      <c r="J34" s="3">
        <f t="shared" si="3"/>
        <v>0.34203020194646044</v>
      </c>
      <c r="K34" s="3">
        <f t="shared" si="4"/>
        <v>0.23702970014997152</v>
      </c>
      <c r="L34" s="3">
        <f t="shared" si="5"/>
        <v>0.30690843946052804</v>
      </c>
      <c r="M34" s="23">
        <v>43756</v>
      </c>
      <c r="N34" s="24">
        <v>96.770833333333329</v>
      </c>
      <c r="O34" s="24">
        <v>83.75833333333334</v>
      </c>
      <c r="P34" s="24">
        <v>13.274999999999999</v>
      </c>
      <c r="Q34" s="24">
        <v>0</v>
      </c>
      <c r="R34" s="24">
        <v>163.60416666666666</v>
      </c>
      <c r="S34" s="24">
        <v>1.5208333333333333</v>
      </c>
      <c r="T34" s="24">
        <v>0</v>
      </c>
      <c r="U34" s="24">
        <v>10.441666666666665</v>
      </c>
      <c r="V34" s="10">
        <v>0.276642321359368</v>
      </c>
      <c r="W34" s="25">
        <v>0.4268333333333334</v>
      </c>
      <c r="X34" s="25">
        <v>0.53522916666666653</v>
      </c>
      <c r="Y34" s="25">
        <v>0.57531250000000012</v>
      </c>
      <c r="Z34" s="25">
        <v>0.59099999999999997</v>
      </c>
      <c r="AA34" s="25">
        <v>0.59083333333333299</v>
      </c>
      <c r="AB34" s="25">
        <v>0.47733333333333317</v>
      </c>
      <c r="AC34" s="25">
        <v>0.46389583333333295</v>
      </c>
      <c r="AD34" s="25">
        <v>0.41756249999999984</v>
      </c>
      <c r="AE34" s="25">
        <v>0.42410476190476187</v>
      </c>
      <c r="AF34" s="25">
        <v>0.25320138888888882</v>
      </c>
      <c r="AG34" s="25">
        <v>0.46204861111111101</v>
      </c>
      <c r="AH34" s="28">
        <f t="shared" si="6"/>
        <v>0.50883333333333325</v>
      </c>
      <c r="AI34" s="28">
        <f t="shared" si="7"/>
        <v>0.51005555555555537</v>
      </c>
      <c r="AJ34" s="28">
        <f t="shared" si="8"/>
        <v>0.50983333333333314</v>
      </c>
    </row>
    <row r="35" spans="1:36" x14ac:dyDescent="0.25">
      <c r="A35" s="9">
        <v>43757</v>
      </c>
      <c r="B35" s="2">
        <v>82.604740982062197</v>
      </c>
      <c r="C35" s="3">
        <v>99.931583072601313</v>
      </c>
      <c r="D35" s="3">
        <v>211.53582837916056</v>
      </c>
      <c r="E35" s="3">
        <v>155.69442577955908</v>
      </c>
      <c r="F35" s="3">
        <v>169.87845358507647</v>
      </c>
      <c r="G35" s="3">
        <v>209.95845974033975</v>
      </c>
      <c r="H35" s="3">
        <v>227.94428336618546</v>
      </c>
      <c r="I35" s="3">
        <v>196.59378098186662</v>
      </c>
      <c r="J35" s="3">
        <f t="shared" si="3"/>
        <v>0.23108481843535209</v>
      </c>
      <c r="K35" s="3">
        <f t="shared" si="4"/>
        <v>0.11741412642414213</v>
      </c>
      <c r="L35" s="3">
        <f t="shared" si="5"/>
        <v>0.23252116783180635</v>
      </c>
      <c r="M35" s="23">
        <v>43757</v>
      </c>
      <c r="N35" s="24">
        <v>63.125</v>
      </c>
      <c r="O35" s="24">
        <v>87.647916666666674</v>
      </c>
      <c r="P35" s="24">
        <v>14.202083333333329</v>
      </c>
      <c r="Q35" s="24">
        <v>0</v>
      </c>
      <c r="R35" s="24">
        <v>128.75</v>
      </c>
      <c r="S35" s="24">
        <v>3.7291666666666665</v>
      </c>
      <c r="T35" s="24">
        <v>0.10416666666666667</v>
      </c>
      <c r="U35" s="24">
        <v>12.120833333333332</v>
      </c>
      <c r="V35" s="10">
        <v>0.21801398911277289</v>
      </c>
      <c r="W35" s="25">
        <v>0.41614583333333349</v>
      </c>
      <c r="X35" s="25">
        <v>0.52645833333333358</v>
      </c>
      <c r="Y35" s="25">
        <v>0.57039583333333288</v>
      </c>
      <c r="Z35" s="25">
        <v>0.58520833333333322</v>
      </c>
      <c r="AA35" s="25">
        <v>0.58597916666666683</v>
      </c>
      <c r="AB35" s="25">
        <v>0.46952083333333322</v>
      </c>
      <c r="AC35" s="25">
        <v>0.45993750000000011</v>
      </c>
      <c r="AD35" s="25">
        <v>0.41306249999999994</v>
      </c>
      <c r="AE35" s="25">
        <v>0.4174594594594595</v>
      </c>
      <c r="AF35" s="25">
        <v>0.24588888888888882</v>
      </c>
      <c r="AG35" s="25">
        <v>0.44686805555555553</v>
      </c>
      <c r="AH35" s="28">
        <f t="shared" si="6"/>
        <v>0.50106250000000019</v>
      </c>
      <c r="AI35" s="28">
        <f t="shared" si="7"/>
        <v>0.5040972222222222</v>
      </c>
      <c r="AJ35" s="28">
        <f t="shared" si="8"/>
        <v>0.50354545454545452</v>
      </c>
    </row>
    <row r="36" spans="1:36" x14ac:dyDescent="0.25">
      <c r="A36" s="9">
        <v>43761</v>
      </c>
      <c r="B36" s="2">
        <v>52.710939691967255</v>
      </c>
      <c r="C36" s="3">
        <v>35.515274636209739</v>
      </c>
      <c r="D36" s="3">
        <v>134.98320023551153</v>
      </c>
      <c r="E36" s="3">
        <v>39.908509766496906</v>
      </c>
      <c r="F36" s="3">
        <v>136.52614696143786</v>
      </c>
      <c r="G36" s="3">
        <v>123.69488099707496</v>
      </c>
      <c r="H36" s="3">
        <v>150.78429130711956</v>
      </c>
      <c r="I36" s="3">
        <v>172.71643713183423</v>
      </c>
      <c r="J36" s="3">
        <f t="shared" si="3"/>
        <v>0.14523935188664305</v>
      </c>
      <c r="K36" s="3">
        <f t="shared" si="4"/>
        <v>0</v>
      </c>
      <c r="L36" s="3">
        <f t="shared" si="5"/>
        <v>0.16578832101062263</v>
      </c>
      <c r="M36" s="23">
        <v>43761</v>
      </c>
      <c r="N36" s="24">
        <v>41.645833333333336</v>
      </c>
      <c r="O36" s="24">
        <v>87.854166666666686</v>
      </c>
      <c r="P36" s="24">
        <v>14.085416666666667</v>
      </c>
      <c r="Q36" s="24">
        <v>0</v>
      </c>
      <c r="R36" s="24">
        <v>155.875</v>
      </c>
      <c r="S36" s="24">
        <v>3.2291666666666665</v>
      </c>
      <c r="T36" s="24">
        <v>0.125</v>
      </c>
      <c r="U36" s="24">
        <v>12.066666666666665</v>
      </c>
      <c r="V36" s="10">
        <v>0.20082782698713875</v>
      </c>
      <c r="W36" s="25">
        <v>0.42564583333333333</v>
      </c>
      <c r="X36" s="25">
        <v>0.5312916666666665</v>
      </c>
      <c r="Y36" s="25">
        <v>0.57429166666666664</v>
      </c>
      <c r="Z36" s="25">
        <v>0.58749999999999947</v>
      </c>
      <c r="AA36" s="25">
        <v>0.59195833333333359</v>
      </c>
      <c r="AB36" s="25">
        <v>0.47452083333333345</v>
      </c>
      <c r="AC36" s="25">
        <v>0.46093750000000028</v>
      </c>
      <c r="AD36" s="25">
        <v>0.41262500000000002</v>
      </c>
      <c r="AE36" s="25">
        <v>0.42366666666666664</v>
      </c>
      <c r="AF36" s="25">
        <v>0.24770138888888907</v>
      </c>
      <c r="AG36" s="25">
        <v>0.45884027777777775</v>
      </c>
      <c r="AH36" s="28">
        <f t="shared" si="6"/>
        <v>0.50880208333333343</v>
      </c>
      <c r="AI36" s="28">
        <f t="shared" si="7"/>
        <v>0.5068611111111111</v>
      </c>
      <c r="AJ36" s="28">
        <f t="shared" si="8"/>
        <v>0.50721401515151521</v>
      </c>
    </row>
    <row r="37" spans="1:36" x14ac:dyDescent="0.25">
      <c r="A37" s="9">
        <v>43766</v>
      </c>
      <c r="B37" s="2">
        <v>151.99232821843657</v>
      </c>
      <c r="C37" s="3">
        <v>173.95775977570935</v>
      </c>
      <c r="D37" s="3">
        <v>389.22491221110516</v>
      </c>
      <c r="E37" s="3">
        <v>268.38308673981084</v>
      </c>
      <c r="F37" s="3">
        <v>319.46816075647217</v>
      </c>
      <c r="G37" s="3">
        <v>314.38944769175976</v>
      </c>
      <c r="H37" s="3">
        <v>335.26258651912008</v>
      </c>
      <c r="I37" s="3">
        <v>320.38075973784157</v>
      </c>
      <c r="J37" s="3">
        <f t="shared" si="3"/>
        <v>0.43034384679349796</v>
      </c>
      <c r="K37" s="3">
        <f t="shared" si="4"/>
        <v>0.23168744342291794</v>
      </c>
      <c r="L37" s="3">
        <f t="shared" si="5"/>
        <v>0.3848675124688673</v>
      </c>
      <c r="M37" s="23">
        <v>43766</v>
      </c>
      <c r="N37" s="24">
        <v>139.10416666666666</v>
      </c>
      <c r="O37" s="24">
        <v>81.218750000000014</v>
      </c>
      <c r="P37" s="24">
        <v>12.020833333333336</v>
      </c>
      <c r="Q37" s="24">
        <v>1.5999999999999999</v>
      </c>
      <c r="R37" s="24">
        <v>208.54166666666666</v>
      </c>
      <c r="S37" s="24">
        <v>3.8333333333333335</v>
      </c>
      <c r="T37" s="24">
        <v>6.25E-2</v>
      </c>
      <c r="U37" s="24">
        <v>8.6624999999999996</v>
      </c>
      <c r="V37" s="10">
        <v>0.3061727811525578</v>
      </c>
      <c r="W37" s="25">
        <v>0.43185416666666659</v>
      </c>
      <c r="X37" s="25">
        <v>0.53062499999999979</v>
      </c>
      <c r="Y37" s="25">
        <v>0.57099999999999951</v>
      </c>
      <c r="Z37" s="25">
        <v>0.58672916666666619</v>
      </c>
      <c r="AA37" s="25">
        <v>0.58795833333333325</v>
      </c>
      <c r="AB37" s="25">
        <v>0.47170833333333367</v>
      </c>
      <c r="AC37" s="25">
        <v>0.45541666666666653</v>
      </c>
      <c r="AD37" s="25">
        <v>0.40841666666666671</v>
      </c>
      <c r="AE37" s="25">
        <v>0.42613257575757579</v>
      </c>
      <c r="AF37" s="25">
        <v>0.24872916666666656</v>
      </c>
      <c r="AG37" s="25">
        <v>0.47161111111111115</v>
      </c>
      <c r="AH37" s="28">
        <f t="shared" si="6"/>
        <v>0.50990624999999989</v>
      </c>
      <c r="AI37" s="28">
        <f t="shared" si="7"/>
        <v>0.50398263888888872</v>
      </c>
      <c r="AJ37" s="28">
        <f t="shared" si="8"/>
        <v>0.505059659090909</v>
      </c>
    </row>
    <row r="38" spans="1:36" x14ac:dyDescent="0.25">
      <c r="A38" s="9">
        <v>43767</v>
      </c>
      <c r="B38" s="2">
        <v>166.9035980963659</v>
      </c>
      <c r="C38" s="3">
        <v>342.36206066068667</v>
      </c>
      <c r="D38" s="3">
        <v>427.40998232103942</v>
      </c>
      <c r="E38" s="3">
        <v>744.14589500442401</v>
      </c>
      <c r="F38" s="3">
        <v>557.32663745618856</v>
      </c>
      <c r="G38" s="3">
        <v>534.26462486128401</v>
      </c>
      <c r="H38" s="3">
        <v>558.28927584788653</v>
      </c>
      <c r="I38" s="3">
        <v>506.80721394733035</v>
      </c>
      <c r="J38" s="3">
        <f t="shared" si="3"/>
        <v>0.47316425986450789</v>
      </c>
      <c r="K38" s="3">
        <f t="shared" si="4"/>
        <v>0.71414054688313755</v>
      </c>
      <c r="L38" s="3">
        <f t="shared" si="5"/>
        <v>0.65445244127701496</v>
      </c>
      <c r="M38" s="23">
        <v>43767</v>
      </c>
      <c r="N38" s="24">
        <v>209.27083333333334</v>
      </c>
      <c r="O38" s="24">
        <v>65.891666666666666</v>
      </c>
      <c r="P38" s="24">
        <v>14.045833333333336</v>
      </c>
      <c r="Q38" s="24">
        <v>0</v>
      </c>
      <c r="R38" s="24">
        <v>160.9375</v>
      </c>
      <c r="S38" s="24">
        <v>3.2083333333333335</v>
      </c>
      <c r="T38" s="24">
        <v>0.125</v>
      </c>
      <c r="U38" s="24">
        <v>6.310416666666665</v>
      </c>
      <c r="V38" s="10">
        <v>0.73471087807759083</v>
      </c>
      <c r="W38" s="25">
        <v>0.41854166666666676</v>
      </c>
      <c r="X38" s="25">
        <v>0.52200000000000002</v>
      </c>
      <c r="Y38" s="25">
        <v>0.56620833333333331</v>
      </c>
      <c r="Z38" s="25">
        <v>0.58110416666666664</v>
      </c>
      <c r="AA38" s="25">
        <v>0.5825416666666664</v>
      </c>
      <c r="AB38" s="25">
        <v>0.46489583333333301</v>
      </c>
      <c r="AC38" s="25">
        <v>0.45343750000000033</v>
      </c>
      <c r="AD38" s="25">
        <v>0.4062083333333335</v>
      </c>
      <c r="AE38" s="25">
        <v>0.41761111111111104</v>
      </c>
      <c r="AF38" s="25">
        <v>0.24072916666666658</v>
      </c>
      <c r="AG38" s="25">
        <v>0.45364583333333325</v>
      </c>
      <c r="AH38" s="28">
        <f t="shared" si="6"/>
        <v>0.50054166666666655</v>
      </c>
      <c r="AI38" s="28">
        <f t="shared" si="7"/>
        <v>0.49897569444444434</v>
      </c>
      <c r="AJ38" s="28">
        <f t="shared" si="8"/>
        <v>0.49926041666666654</v>
      </c>
    </row>
    <row r="39" spans="1:36" x14ac:dyDescent="0.25">
      <c r="A39" s="9">
        <v>43768</v>
      </c>
      <c r="B39" s="2">
        <v>197.18941564659653</v>
      </c>
      <c r="C39" s="3">
        <v>407.93468435929469</v>
      </c>
      <c r="D39" s="3">
        <v>504.96649333315372</v>
      </c>
      <c r="E39" s="3">
        <v>760.60234285862532</v>
      </c>
      <c r="F39" s="3">
        <v>501.92140633110239</v>
      </c>
      <c r="G39" s="3">
        <v>492.55972021633983</v>
      </c>
      <c r="H39" s="3">
        <v>542.60585733874996</v>
      </c>
      <c r="I39" s="3">
        <v>503.50648136563171</v>
      </c>
      <c r="J39" s="3">
        <f t="shared" si="3"/>
        <v>0.56013547212950954</v>
      </c>
      <c r="K39" s="3">
        <f t="shared" si="4"/>
        <v>0.73082840940890037</v>
      </c>
      <c r="L39" s="3">
        <f t="shared" si="5"/>
        <v>0.62133764502051458</v>
      </c>
      <c r="M39" s="23">
        <v>43768</v>
      </c>
      <c r="N39" s="24">
        <v>203.60416666666666</v>
      </c>
      <c r="O39" s="24">
        <v>64.683333333333351</v>
      </c>
      <c r="P39" s="24">
        <v>15.154166666666669</v>
      </c>
      <c r="Q39" s="24">
        <v>0</v>
      </c>
      <c r="R39" s="24">
        <v>121.16666666666667</v>
      </c>
      <c r="S39" s="24">
        <v>3.8125</v>
      </c>
      <c r="T39" s="24">
        <v>6.25E-2</v>
      </c>
      <c r="U39" s="24">
        <v>7.5750000000000002</v>
      </c>
      <c r="V39" s="10">
        <v>0.7733736450274562</v>
      </c>
      <c r="W39" s="25">
        <v>0.40906249999999994</v>
      </c>
      <c r="X39" s="25">
        <v>0.51433333333333353</v>
      </c>
      <c r="Y39" s="25">
        <v>0.56143750000000014</v>
      </c>
      <c r="Z39" s="25">
        <v>0.57631250000000012</v>
      </c>
      <c r="AA39" s="25">
        <v>0.57785416666666622</v>
      </c>
      <c r="AB39" s="25">
        <v>0.45918750000000036</v>
      </c>
      <c r="AC39" s="25">
        <v>0.45047916666666704</v>
      </c>
      <c r="AD39" s="25">
        <v>0.4035208333333335</v>
      </c>
      <c r="AE39" s="25">
        <v>0.40304022988505744</v>
      </c>
      <c r="AF39" s="25">
        <v>0.23189583333333333</v>
      </c>
      <c r="AG39" s="25">
        <v>0.43329861111111106</v>
      </c>
      <c r="AH39" s="28">
        <f t="shared" si="6"/>
        <v>0.49345833333333311</v>
      </c>
      <c r="AI39" s="28">
        <f t="shared" si="7"/>
        <v>0.49421180555555583</v>
      </c>
      <c r="AJ39" s="28">
        <f t="shared" si="8"/>
        <v>0.49407481060606079</v>
      </c>
    </row>
    <row r="40" spans="1:36" x14ac:dyDescent="0.25">
      <c r="A40" s="9">
        <v>43769</v>
      </c>
      <c r="B40" s="2">
        <v>197.23828383661291</v>
      </c>
      <c r="C40" s="3">
        <v>405.59159092128016</v>
      </c>
      <c r="D40" s="3">
        <v>505.09163594523153</v>
      </c>
      <c r="E40" s="3">
        <v>798.93051527475802</v>
      </c>
      <c r="F40" s="3">
        <v>568.00185532533703</v>
      </c>
      <c r="G40" s="3">
        <v>484.53669746497741</v>
      </c>
      <c r="H40" s="3">
        <v>557.34606883005779</v>
      </c>
      <c r="I40" s="3">
        <v>507.4226302480144</v>
      </c>
      <c r="J40" s="3">
        <f t="shared" si="3"/>
        <v>0.5602758059910562</v>
      </c>
      <c r="K40" s="3">
        <f t="shared" si="4"/>
        <v>0.76969556213899948</v>
      </c>
      <c r="L40" s="3">
        <f t="shared" si="5"/>
        <v>0.64350727360762561</v>
      </c>
      <c r="M40" s="23">
        <v>43769</v>
      </c>
      <c r="N40" s="24">
        <v>206.60416666666666</v>
      </c>
      <c r="O40" s="24">
        <v>63.35</v>
      </c>
      <c r="P40" s="24">
        <v>15.610416666666664</v>
      </c>
      <c r="Q40" s="24">
        <v>0</v>
      </c>
      <c r="R40" s="24">
        <v>125.16666666666667</v>
      </c>
      <c r="S40" s="24">
        <v>3.9791666666666665</v>
      </c>
      <c r="T40" s="24">
        <v>0.20833333333333334</v>
      </c>
      <c r="U40" s="24">
        <v>7.1750000000000016</v>
      </c>
      <c r="V40" s="10">
        <v>0.81846006486643985</v>
      </c>
      <c r="W40" s="25">
        <v>0.40268749999999981</v>
      </c>
      <c r="X40" s="25">
        <v>0.50906250000000053</v>
      </c>
      <c r="Y40" s="25">
        <v>0.5585833333333331</v>
      </c>
      <c r="Z40" s="25">
        <v>0.57410416666666686</v>
      </c>
      <c r="AA40" s="25">
        <v>0.57418749999999996</v>
      </c>
      <c r="AB40" s="25">
        <v>0.45516666666666716</v>
      </c>
      <c r="AC40" s="25">
        <v>0.44800000000000018</v>
      </c>
      <c r="AD40" s="25">
        <v>0.40056250000000015</v>
      </c>
      <c r="AE40" s="25">
        <v>0.39079523809523797</v>
      </c>
      <c r="AF40" s="25">
        <v>0.22230902777777781</v>
      </c>
      <c r="AG40" s="25">
        <v>0.41547222222222208</v>
      </c>
      <c r="AH40" s="28">
        <f t="shared" si="6"/>
        <v>0.48843749999999986</v>
      </c>
      <c r="AI40" s="28">
        <f t="shared" si="7"/>
        <v>0.49091319444444476</v>
      </c>
      <c r="AJ40" s="28">
        <f t="shared" si="8"/>
        <v>0.4904630681818184</v>
      </c>
    </row>
    <row r="41" spans="1:36" x14ac:dyDescent="0.25">
      <c r="A41" s="9">
        <v>43770</v>
      </c>
      <c r="B41" s="2">
        <v>226.04915453369907</v>
      </c>
      <c r="C41" s="3">
        <v>404.27001584728856</v>
      </c>
      <c r="D41" s="3">
        <v>578.87107435006158</v>
      </c>
      <c r="E41" s="3">
        <v>749.24602370557625</v>
      </c>
      <c r="F41" s="3">
        <v>533.37236444885184</v>
      </c>
      <c r="G41" s="3">
        <v>478.56697002759671</v>
      </c>
      <c r="H41" s="3">
        <v>483.32662448116707</v>
      </c>
      <c r="I41" s="3">
        <v>441.45536985606554</v>
      </c>
      <c r="J41" s="3">
        <f t="shared" si="3"/>
        <v>0.64301144113710873</v>
      </c>
      <c r="K41" s="3">
        <f t="shared" si="4"/>
        <v>0.71931239486531295</v>
      </c>
      <c r="L41" s="3">
        <f t="shared" si="5"/>
        <v>0.5833221257031147</v>
      </c>
      <c r="M41" s="23">
        <v>43770</v>
      </c>
      <c r="N41" s="24">
        <v>196.5</v>
      </c>
      <c r="O41" s="24">
        <v>68.693749999999994</v>
      </c>
      <c r="P41" s="24">
        <v>15.827083333333333</v>
      </c>
      <c r="Q41" s="24">
        <v>0</v>
      </c>
      <c r="R41" s="24">
        <v>140.33333333333334</v>
      </c>
      <c r="S41" s="24">
        <v>5.166666666666667</v>
      </c>
      <c r="T41" s="24">
        <v>0.58333333333333337</v>
      </c>
      <c r="U41" s="24">
        <v>9.6416666666666657</v>
      </c>
      <c r="V41" s="10">
        <v>0.64403681361812415</v>
      </c>
      <c r="W41" s="25">
        <v>0.39418749999999986</v>
      </c>
      <c r="X41" s="25">
        <v>0.50275000000000014</v>
      </c>
      <c r="Y41" s="25">
        <v>0.55462500000000026</v>
      </c>
      <c r="Z41" s="25">
        <v>0.57208333333333361</v>
      </c>
      <c r="AA41" s="25">
        <v>0.5681666666666666</v>
      </c>
      <c r="AB41" s="25">
        <v>0.44960416666666642</v>
      </c>
      <c r="AC41" s="25">
        <v>0.44466666666666682</v>
      </c>
      <c r="AD41" s="25">
        <v>0.39702083333333332</v>
      </c>
      <c r="AE41" s="25">
        <v>0.37936842105263163</v>
      </c>
      <c r="AF41" s="25">
        <v>0.21088194444444441</v>
      </c>
      <c r="AG41" s="25">
        <v>0.39478472222222233</v>
      </c>
      <c r="AH41" s="28">
        <f t="shared" si="6"/>
        <v>0.4811770833333332</v>
      </c>
      <c r="AI41" s="28">
        <f t="shared" si="7"/>
        <v>0.48679166666666679</v>
      </c>
      <c r="AJ41" s="28">
        <f t="shared" si="8"/>
        <v>0.48577083333333337</v>
      </c>
    </row>
    <row r="42" spans="1:36" x14ac:dyDescent="0.25">
      <c r="A42" s="9">
        <v>43772</v>
      </c>
      <c r="B42" s="2">
        <v>162.67293538464438</v>
      </c>
      <c r="C42" s="3">
        <v>141.57553052598197</v>
      </c>
      <c r="D42" s="3">
        <v>416.57601891074103</v>
      </c>
      <c r="E42" s="3">
        <v>126.22768075890633</v>
      </c>
      <c r="F42" s="3">
        <v>215.3486877068336</v>
      </c>
      <c r="G42" s="3">
        <v>173.11446533119204</v>
      </c>
      <c r="H42" s="3">
        <v>198.62035184764605</v>
      </c>
      <c r="I42" s="3">
        <v>134.54895740919443</v>
      </c>
      <c r="J42" s="3">
        <f t="shared" si="3"/>
        <v>0.46101514537841209</v>
      </c>
      <c r="K42" s="3">
        <f t="shared" si="4"/>
        <v>8.7533012690304501E-2</v>
      </c>
      <c r="L42" s="3">
        <f t="shared" si="5"/>
        <v>0.20141480966044051</v>
      </c>
      <c r="M42" s="23">
        <v>43772</v>
      </c>
      <c r="N42" s="24">
        <v>84.791666666666671</v>
      </c>
      <c r="O42" s="24">
        <v>83.577083333333306</v>
      </c>
      <c r="P42" s="24">
        <v>12.591666666666669</v>
      </c>
      <c r="Q42" s="24">
        <v>0.2</v>
      </c>
      <c r="R42" s="24">
        <v>206.64583333333334</v>
      </c>
      <c r="S42" s="24">
        <v>3.0208333333333335</v>
      </c>
      <c r="T42" s="24">
        <v>0.10416666666666667</v>
      </c>
      <c r="U42" s="24">
        <v>9.8020833333333304</v>
      </c>
      <c r="V42" s="10">
        <v>0.25346100317309772</v>
      </c>
      <c r="W42" s="25">
        <v>0.38231250000000022</v>
      </c>
      <c r="X42" s="25">
        <v>0.49362500000000004</v>
      </c>
      <c r="Y42" s="25">
        <v>0.54935416666666714</v>
      </c>
      <c r="Z42" s="25">
        <v>0.56931250000000022</v>
      </c>
      <c r="AA42" s="25">
        <v>0.55929166666666641</v>
      </c>
      <c r="AB42" s="25">
        <v>0.44456250000000019</v>
      </c>
      <c r="AC42" s="25">
        <v>0.44204166666666672</v>
      </c>
      <c r="AD42" s="25">
        <v>0.39337500000000003</v>
      </c>
      <c r="AE42" s="25">
        <v>0.36553819444444446</v>
      </c>
      <c r="AF42" s="25">
        <v>0.19625000000000001</v>
      </c>
      <c r="AG42" s="25">
        <v>0.36642361111111121</v>
      </c>
      <c r="AH42" s="28">
        <f t="shared" si="6"/>
        <v>0.47080208333333329</v>
      </c>
      <c r="AI42" s="28">
        <f t="shared" si="7"/>
        <v>0.48204513888888911</v>
      </c>
      <c r="AJ42" s="28">
        <f t="shared" si="8"/>
        <v>0.48000094696969714</v>
      </c>
    </row>
    <row r="43" spans="1:36" x14ac:dyDescent="0.25">
      <c r="A43" s="9">
        <v>43773</v>
      </c>
      <c r="B43" s="2">
        <v>201.41165071475234</v>
      </c>
      <c r="C43" s="3">
        <v>252.53377751274161</v>
      </c>
      <c r="D43" s="3">
        <v>515.77887506978834</v>
      </c>
      <c r="E43" s="3">
        <v>422.23727510092118</v>
      </c>
      <c r="F43" s="3">
        <v>491.03257893872052</v>
      </c>
      <c r="G43" s="3">
        <v>390.8691795392777</v>
      </c>
      <c r="H43" s="3">
        <v>386.2535010608587</v>
      </c>
      <c r="I43" s="3">
        <v>175.29316277340092</v>
      </c>
      <c r="J43" s="3">
        <f t="shared" si="3"/>
        <v>0.57226038511019006</v>
      </c>
      <c r="K43" s="3">
        <f t="shared" si="4"/>
        <v>0.38770516772953617</v>
      </c>
      <c r="L43" s="3">
        <f t="shared" si="5"/>
        <v>0.41289652562340018</v>
      </c>
      <c r="M43" s="23">
        <v>43773</v>
      </c>
      <c r="N43" s="24">
        <v>143.04166666666666</v>
      </c>
      <c r="O43" s="24">
        <v>66.55416666666666</v>
      </c>
      <c r="P43" s="24">
        <v>13.299999999999999</v>
      </c>
      <c r="Q43" s="24">
        <v>0</v>
      </c>
      <c r="R43" s="24">
        <v>129.5</v>
      </c>
      <c r="S43" s="24">
        <v>4.041666666666667</v>
      </c>
      <c r="T43" s="24">
        <v>0.41666666666666669</v>
      </c>
      <c r="U43" s="24">
        <v>6.5791666666666693</v>
      </c>
      <c r="V43" s="10">
        <v>0.58904358750742258</v>
      </c>
      <c r="W43" s="25">
        <v>0.37181250000000005</v>
      </c>
      <c r="X43" s="25">
        <v>0.48627083333333337</v>
      </c>
      <c r="Y43" s="25">
        <v>0.5438333333333335</v>
      </c>
      <c r="Z43" s="25">
        <v>0.56620833333333354</v>
      </c>
      <c r="AA43" s="25">
        <v>0.55104166666666687</v>
      </c>
      <c r="AB43" s="25">
        <v>0.43849999999999967</v>
      </c>
      <c r="AC43" s="25">
        <v>0.43787499999999979</v>
      </c>
      <c r="AD43" s="25">
        <v>0.38979166666666676</v>
      </c>
      <c r="AE43" s="25">
        <v>0.35712698412698402</v>
      </c>
      <c r="AF43" s="25">
        <v>0.18721527777777772</v>
      </c>
      <c r="AG43" s="25">
        <v>0.35006944444444449</v>
      </c>
      <c r="AH43" s="28">
        <f t="shared" si="6"/>
        <v>0.46142708333333349</v>
      </c>
      <c r="AI43" s="28">
        <f t="shared" si="7"/>
        <v>0.47707986111111111</v>
      </c>
      <c r="AJ43" s="28">
        <f t="shared" si="8"/>
        <v>0.47423390151515155</v>
      </c>
    </row>
    <row r="44" spans="1:36" x14ac:dyDescent="0.25">
      <c r="A44" s="9">
        <v>43774</v>
      </c>
      <c r="B44" s="2">
        <v>133.65315712191477</v>
      </c>
      <c r="C44" s="3">
        <v>95.339445575999704</v>
      </c>
      <c r="D44" s="3">
        <v>342.26160594600452</v>
      </c>
      <c r="E44" s="3">
        <v>92.347708509795979</v>
      </c>
      <c r="F44" s="3">
        <v>225.21850060863386</v>
      </c>
      <c r="G44" s="3">
        <v>147.33687765260257</v>
      </c>
      <c r="H44" s="3">
        <v>195.91068166577617</v>
      </c>
      <c r="I44" s="3">
        <v>95.850002389185008</v>
      </c>
      <c r="J44" s="3">
        <f t="shared" si="3"/>
        <v>0.37767959430784448</v>
      </c>
      <c r="K44" s="3">
        <f t="shared" si="4"/>
        <v>5.3176611826708096E-2</v>
      </c>
      <c r="L44" s="3">
        <f t="shared" si="5"/>
        <v>0.18101316213757984</v>
      </c>
      <c r="M44" s="23">
        <v>43774</v>
      </c>
      <c r="N44" s="24">
        <v>51.6875</v>
      </c>
      <c r="O44" s="24">
        <v>73.654166666666654</v>
      </c>
      <c r="P44" s="24">
        <v>12.352083333333333</v>
      </c>
      <c r="Q44" s="24">
        <v>0.2</v>
      </c>
      <c r="R44" s="24">
        <v>128.125</v>
      </c>
      <c r="S44" s="24">
        <v>3.8333333333333335</v>
      </c>
      <c r="T44" s="24">
        <v>6.25E-2</v>
      </c>
      <c r="U44" s="24">
        <v>7.7125000000000012</v>
      </c>
      <c r="V44" s="10">
        <v>0.38468004061654781</v>
      </c>
      <c r="W44" s="25">
        <v>0.35945833333333327</v>
      </c>
      <c r="X44" s="25">
        <v>0.47841666666666666</v>
      </c>
      <c r="Y44" s="25">
        <v>0.53766666666666696</v>
      </c>
      <c r="Z44" s="25">
        <v>0.5624166666666669</v>
      </c>
      <c r="AA44" s="25">
        <v>0.54127083333333326</v>
      </c>
      <c r="AB44" s="25">
        <v>0.4314374999999997</v>
      </c>
      <c r="AC44" s="25">
        <v>0.43272916666666689</v>
      </c>
      <c r="AD44" s="25">
        <v>0.38545833333333329</v>
      </c>
      <c r="AE44" s="25">
        <v>0.34715277777777781</v>
      </c>
      <c r="AF44" s="25">
        <v>0.17752777777777765</v>
      </c>
      <c r="AG44" s="25">
        <v>0.3330555555555556</v>
      </c>
      <c r="AH44" s="28">
        <f t="shared" si="6"/>
        <v>0.45036458333333329</v>
      </c>
      <c r="AI44" s="28">
        <f t="shared" si="7"/>
        <v>0.47135416666666674</v>
      </c>
      <c r="AJ44" s="28">
        <f t="shared" si="8"/>
        <v>0.46753787878787884</v>
      </c>
    </row>
    <row r="45" spans="1:36" x14ac:dyDescent="0.25">
      <c r="A45" s="9">
        <v>43776</v>
      </c>
      <c r="B45" s="2">
        <v>161.80759396678511</v>
      </c>
      <c r="C45" s="3">
        <v>132.06604677253682</v>
      </c>
      <c r="D45" s="3">
        <v>414.36003576641514</v>
      </c>
      <c r="E45" s="3">
        <v>155.0524565193102</v>
      </c>
      <c r="F45" s="3">
        <v>227.75432671129818</v>
      </c>
      <c r="G45" s="3">
        <v>169.35942480315677</v>
      </c>
      <c r="H45" s="3">
        <v>208.3629406946431</v>
      </c>
      <c r="I45" s="3">
        <v>196.44241108505722</v>
      </c>
      <c r="J45" s="3">
        <f t="shared" si="3"/>
        <v>0.45853016071489716</v>
      </c>
      <c r="K45" s="3">
        <f t="shared" si="4"/>
        <v>0.11676312963214221</v>
      </c>
      <c r="L45" s="3">
        <f t="shared" si="5"/>
        <v>0.23100923585113581</v>
      </c>
      <c r="M45" s="23">
        <v>43776</v>
      </c>
      <c r="N45" s="24">
        <v>86.125</v>
      </c>
      <c r="O45" s="24">
        <v>78.141666666666637</v>
      </c>
      <c r="P45" s="24">
        <v>12.320833333333338</v>
      </c>
      <c r="Q45" s="24">
        <v>0</v>
      </c>
      <c r="R45" s="24">
        <v>161.97916666666666</v>
      </c>
      <c r="S45" s="24">
        <v>3.4375</v>
      </c>
      <c r="T45" s="24">
        <v>6.25E-2</v>
      </c>
      <c r="U45" s="24">
        <v>8.497916666666665</v>
      </c>
      <c r="V45" s="10">
        <v>0.33183548399559409</v>
      </c>
      <c r="W45" s="25">
        <v>0.34395833333333337</v>
      </c>
      <c r="X45" s="25">
        <v>0.4655416666666668</v>
      </c>
      <c r="Y45" s="25">
        <v>0.52714583333333287</v>
      </c>
      <c r="Z45" s="25">
        <v>0.55583333333333307</v>
      </c>
      <c r="AA45" s="25">
        <v>0.52831250000000018</v>
      </c>
      <c r="AB45" s="25">
        <v>0.42250000000000032</v>
      </c>
      <c r="AC45" s="25">
        <v>0.42693750000000003</v>
      </c>
      <c r="AD45" s="25">
        <v>0.38014583333333335</v>
      </c>
      <c r="AE45" s="25">
        <v>0.34085416666666674</v>
      </c>
      <c r="AF45" s="25">
        <v>0.16910416666666664</v>
      </c>
      <c r="AG45" s="25">
        <v>0.31699999999999989</v>
      </c>
      <c r="AH45" s="28">
        <f t="shared" si="6"/>
        <v>0.43613541666666678</v>
      </c>
      <c r="AI45" s="28">
        <f t="shared" si="7"/>
        <v>0.46301736111111108</v>
      </c>
      <c r="AJ45" s="28">
        <f t="shared" si="8"/>
        <v>0.4581297348484849</v>
      </c>
    </row>
    <row r="46" spans="1:36" x14ac:dyDescent="0.25">
      <c r="A46" s="9">
        <v>43777</v>
      </c>
      <c r="B46" s="2">
        <v>135.09051494091943</v>
      </c>
      <c r="C46" s="3">
        <v>101.29806909188586</v>
      </c>
      <c r="D46" s="3">
        <v>345.94241982309711</v>
      </c>
      <c r="E46" s="3">
        <v>100.19839200127103</v>
      </c>
      <c r="F46" s="3">
        <v>161.24984608441935</v>
      </c>
      <c r="G46" s="3">
        <v>105.80866726861919</v>
      </c>
      <c r="H46" s="3">
        <v>156.20321059564549</v>
      </c>
      <c r="I46" s="3">
        <v>155.96954633808653</v>
      </c>
      <c r="J46" s="3">
        <f t="shared" si="3"/>
        <v>0.38180722770489839</v>
      </c>
      <c r="K46" s="3">
        <f t="shared" si="4"/>
        <v>6.1137693586254635E-2</v>
      </c>
      <c r="L46" s="3">
        <f t="shared" si="5"/>
        <v>0.16280246786896907</v>
      </c>
      <c r="M46" s="23">
        <v>43777</v>
      </c>
      <c r="N46" s="24">
        <v>56.770833333333336</v>
      </c>
      <c r="O46" s="24">
        <v>78.389583333333306</v>
      </c>
      <c r="P46" s="24">
        <v>11.983333333333329</v>
      </c>
      <c r="Q46" s="24">
        <v>0</v>
      </c>
      <c r="R46" s="24">
        <v>180.47916666666666</v>
      </c>
      <c r="S46" s="24">
        <v>2.75</v>
      </c>
      <c r="T46" s="24">
        <v>4.1666666666666664E-2</v>
      </c>
      <c r="U46" s="24">
        <v>8.2854166666666664</v>
      </c>
      <c r="V46" s="10">
        <v>0.31158692943051569</v>
      </c>
      <c r="W46" s="25">
        <v>0.33408333333333334</v>
      </c>
      <c r="X46" s="25">
        <v>0.45902083333333349</v>
      </c>
      <c r="Y46" s="25">
        <v>0.52216666666666656</v>
      </c>
      <c r="Z46" s="25">
        <v>0.55224999999999969</v>
      </c>
      <c r="AA46" s="25">
        <v>0.52154166666666624</v>
      </c>
      <c r="AB46" s="25">
        <v>0.41702083333333317</v>
      </c>
      <c r="AC46" s="25">
        <v>0.42206250000000028</v>
      </c>
      <c r="AD46" s="25">
        <v>0.37572916666666661</v>
      </c>
      <c r="AE46" s="25">
        <v>0.32931851851851857</v>
      </c>
      <c r="AF46" s="25">
        <v>0.16259027777777776</v>
      </c>
      <c r="AG46" s="25">
        <v>0.30680555555555555</v>
      </c>
      <c r="AH46" s="28">
        <f t="shared" si="6"/>
        <v>0.42781249999999982</v>
      </c>
      <c r="AI46" s="28">
        <f t="shared" si="7"/>
        <v>0.45804166666666662</v>
      </c>
      <c r="AJ46" s="28">
        <f t="shared" si="8"/>
        <v>0.45254545454545447</v>
      </c>
    </row>
    <row r="47" spans="1:36" x14ac:dyDescent="0.25">
      <c r="A47" s="9">
        <v>43778</v>
      </c>
      <c r="B47" s="2">
        <v>82.501331899977075</v>
      </c>
      <c r="C47" s="3">
        <v>62.87381608708268</v>
      </c>
      <c r="D47" s="3">
        <v>211.27101638918583</v>
      </c>
      <c r="E47" s="3">
        <v>47.878127886746917</v>
      </c>
      <c r="F47" s="3">
        <v>87.307430100906032</v>
      </c>
      <c r="G47" s="3">
        <v>49.474828263702577</v>
      </c>
      <c r="H47" s="3">
        <v>98.867473432006818</v>
      </c>
      <c r="I47" s="3">
        <v>94.465596470726794</v>
      </c>
      <c r="J47" s="3">
        <f t="shared" si="3"/>
        <v>0.23078786052053804</v>
      </c>
      <c r="K47" s="3">
        <f t="shared" si="4"/>
        <v>8.0816888767162691E-3</v>
      </c>
      <c r="L47" s="3">
        <f t="shared" si="5"/>
        <v>8.4717821412918476E-2</v>
      </c>
      <c r="M47" s="23">
        <v>43778</v>
      </c>
      <c r="N47" s="24">
        <v>38.25</v>
      </c>
      <c r="O47" s="24">
        <v>83.05</v>
      </c>
      <c r="P47" s="24">
        <v>12.435416666666669</v>
      </c>
      <c r="Q47" s="24">
        <v>1</v>
      </c>
      <c r="R47" s="24">
        <v>158.54166666666666</v>
      </c>
      <c r="S47" s="24">
        <v>3.8125</v>
      </c>
      <c r="T47" s="24">
        <v>0.27083333333333331</v>
      </c>
      <c r="U47" s="24">
        <v>9.6166666666666689</v>
      </c>
      <c r="V47" s="10">
        <v>0.24896009249766529</v>
      </c>
      <c r="W47" s="25">
        <v>0.32568749999999991</v>
      </c>
      <c r="X47" s="25">
        <v>0.45293749999999999</v>
      </c>
      <c r="Y47" s="25">
        <v>0.51783333333333326</v>
      </c>
      <c r="Z47" s="25">
        <v>0.54870833333333335</v>
      </c>
      <c r="AA47" s="25">
        <v>0.5158541666666665</v>
      </c>
      <c r="AB47" s="25">
        <v>0.41229166666666694</v>
      </c>
      <c r="AC47" s="25">
        <v>0.41835416666666686</v>
      </c>
      <c r="AD47" s="25">
        <v>0.37222916666666667</v>
      </c>
      <c r="AE47" s="25">
        <v>0.32198611111111108</v>
      </c>
      <c r="AF47" s="25">
        <v>0.15755555555555553</v>
      </c>
      <c r="AG47" s="25">
        <v>0.2997361111111112</v>
      </c>
      <c r="AH47" s="28">
        <f t="shared" si="6"/>
        <v>0.42077083333333321</v>
      </c>
      <c r="AI47" s="28">
        <f t="shared" si="7"/>
        <v>0.45372569444444455</v>
      </c>
      <c r="AJ47" s="28">
        <f t="shared" si="8"/>
        <v>0.44773390151515158</v>
      </c>
    </row>
    <row r="48" spans="1:36" x14ac:dyDescent="0.25">
      <c r="A48" s="9">
        <v>43780</v>
      </c>
      <c r="B48" s="2">
        <v>151.41550714303105</v>
      </c>
      <c r="C48" s="3">
        <v>126.43099878398071</v>
      </c>
      <c r="D48" s="3">
        <v>387.7477775749835</v>
      </c>
      <c r="E48" s="3">
        <v>213.10549777316393</v>
      </c>
      <c r="F48" s="3">
        <v>208.9842240521757</v>
      </c>
      <c r="G48" s="3">
        <v>199.6846086224906</v>
      </c>
      <c r="H48" s="3">
        <v>241.3124516566954</v>
      </c>
      <c r="I48" s="3">
        <v>223.04475470269452</v>
      </c>
      <c r="J48" s="3">
        <f t="shared" si="3"/>
        <v>0.42868740056731253</v>
      </c>
      <c r="K48" s="3">
        <f t="shared" si="4"/>
        <v>0.17563252722206116</v>
      </c>
      <c r="L48" s="3">
        <f t="shared" si="5"/>
        <v>0.25497941749229525</v>
      </c>
      <c r="M48" s="23">
        <v>43780</v>
      </c>
      <c r="N48" s="24">
        <v>78.604166666666671</v>
      </c>
      <c r="O48" s="24">
        <v>84.82083333333334</v>
      </c>
      <c r="P48" s="24">
        <v>13.693750000000001</v>
      </c>
      <c r="Q48" s="24">
        <v>0</v>
      </c>
      <c r="R48" s="24">
        <v>138.39583333333334</v>
      </c>
      <c r="S48" s="24">
        <v>10.770833333333334</v>
      </c>
      <c r="T48" s="24">
        <v>1.2708333333333333</v>
      </c>
      <c r="U48" s="24">
        <v>11.118749999999997</v>
      </c>
      <c r="V48" s="10">
        <v>0.25734532601014293</v>
      </c>
      <c r="W48" s="25">
        <v>0.31712500000000027</v>
      </c>
      <c r="X48" s="25">
        <v>0.44456250000000042</v>
      </c>
      <c r="Y48" s="25">
        <v>0.51164583333333391</v>
      </c>
      <c r="Z48" s="25">
        <v>0.5430416666666672</v>
      </c>
      <c r="AA48" s="25">
        <v>0.50891666666666657</v>
      </c>
      <c r="AB48" s="25">
        <v>0.40679166666666688</v>
      </c>
      <c r="AC48" s="25">
        <v>0.41389583333333313</v>
      </c>
      <c r="AD48" s="25">
        <v>0.36785416666666659</v>
      </c>
      <c r="AE48" s="25">
        <v>0.31777131782945744</v>
      </c>
      <c r="AF48" s="25">
        <v>0.16674999999999998</v>
      </c>
      <c r="AG48" s="25">
        <v>0.29876388888888888</v>
      </c>
      <c r="AH48" s="28">
        <f t="shared" si="6"/>
        <v>0.41302083333333339</v>
      </c>
      <c r="AI48" s="28">
        <f t="shared" si="7"/>
        <v>0.44796527777777806</v>
      </c>
      <c r="AJ48" s="28">
        <f t="shared" si="8"/>
        <v>0.44161174242424267</v>
      </c>
    </row>
    <row r="49" spans="1:36" x14ac:dyDescent="0.25">
      <c r="A49" s="9">
        <v>43781</v>
      </c>
      <c r="B49" s="2">
        <v>70.827273586875421</v>
      </c>
      <c r="C49" s="3">
        <v>54.154314209767463</v>
      </c>
      <c r="D49" s="3">
        <v>181.37586065781159</v>
      </c>
      <c r="E49" s="3">
        <v>100.51254347917904</v>
      </c>
      <c r="F49" s="3">
        <v>76.207011809841106</v>
      </c>
      <c r="G49" s="3">
        <v>92.212154041635003</v>
      </c>
      <c r="H49" s="3">
        <v>130.28924004945918</v>
      </c>
      <c r="I49" s="3">
        <v>117.62845573372363</v>
      </c>
      <c r="J49" s="3">
        <f t="shared" si="3"/>
        <v>0.1972636869743285</v>
      </c>
      <c r="K49" s="3">
        <f t="shared" si="4"/>
        <v>6.1456262740548509E-2</v>
      </c>
      <c r="L49" s="3">
        <f t="shared" si="5"/>
        <v>0.1124388179935175</v>
      </c>
      <c r="M49" s="23">
        <v>43781</v>
      </c>
      <c r="N49" s="24">
        <v>36.729166666666664</v>
      </c>
      <c r="O49" s="24">
        <v>86.537500000000009</v>
      </c>
      <c r="P49" s="24">
        <v>15.568750000000003</v>
      </c>
      <c r="Q49" s="24">
        <v>0</v>
      </c>
      <c r="R49" s="24">
        <v>125.1875</v>
      </c>
      <c r="S49" s="24">
        <v>4.75</v>
      </c>
      <c r="T49" s="24">
        <v>0.47916666666666669</v>
      </c>
      <c r="U49" s="24">
        <v>13.316666666666668</v>
      </c>
      <c r="V49" s="10">
        <v>0.24357103145475209</v>
      </c>
      <c r="W49" s="25">
        <v>0.31425000000000003</v>
      </c>
      <c r="X49" s="25">
        <v>0.44227083333333339</v>
      </c>
      <c r="Y49" s="25">
        <v>0.50975000000000015</v>
      </c>
      <c r="Z49" s="25">
        <v>0.54068749999999988</v>
      </c>
      <c r="AA49" s="25">
        <v>0.50820833333333282</v>
      </c>
      <c r="AB49" s="25">
        <v>0.4046458333333332</v>
      </c>
      <c r="AC49" s="25">
        <v>0.4108124999999998</v>
      </c>
      <c r="AD49" s="25">
        <v>0.36479166666666701</v>
      </c>
      <c r="AE49" s="25">
        <v>0.31555913978494632</v>
      </c>
      <c r="AF49" s="25">
        <v>0.16144444444444439</v>
      </c>
      <c r="AG49" s="25">
        <v>0.29572222222222228</v>
      </c>
      <c r="AH49" s="28">
        <f t="shared" si="6"/>
        <v>0.41122916666666642</v>
      </c>
      <c r="AI49" s="28">
        <f t="shared" si="7"/>
        <v>0.44549305555555557</v>
      </c>
      <c r="AJ49" s="28">
        <f t="shared" si="8"/>
        <v>0.43926325757575752</v>
      </c>
    </row>
    <row r="50" spans="1:36" x14ac:dyDescent="0.25">
      <c r="A50" s="9">
        <v>43782</v>
      </c>
      <c r="B50" s="2">
        <v>87.512715088472319</v>
      </c>
      <c r="C50" s="3">
        <v>29.212027064774954</v>
      </c>
      <c r="D50" s="3">
        <v>224.10426399096625</v>
      </c>
      <c r="E50" s="3">
        <v>120.03834185616556</v>
      </c>
      <c r="F50" s="3">
        <v>56.807329015481791</v>
      </c>
      <c r="G50" s="3">
        <v>72.305047681252617</v>
      </c>
      <c r="H50" s="3">
        <v>115.03249377211269</v>
      </c>
      <c r="I50" s="3">
        <v>96.025459995375527</v>
      </c>
      <c r="J50" s="3">
        <f t="shared" si="3"/>
        <v>0.2451789553062412</v>
      </c>
      <c r="K50" s="3">
        <f t="shared" si="4"/>
        <v>8.1256637761195821E-2</v>
      </c>
      <c r="L50" s="3">
        <f t="shared" si="5"/>
        <v>8.8324746547293539E-2</v>
      </c>
      <c r="M50" s="23">
        <v>43782</v>
      </c>
      <c r="N50" s="24">
        <v>37</v>
      </c>
      <c r="O50" s="24">
        <v>82.82916666666668</v>
      </c>
      <c r="P50" s="24">
        <v>11.687500000000002</v>
      </c>
      <c r="Q50" s="24">
        <v>0.9</v>
      </c>
      <c r="R50" s="24">
        <v>228.79166666666666</v>
      </c>
      <c r="S50" s="24">
        <v>7.979166666666667</v>
      </c>
      <c r="T50" s="24">
        <v>0.10416666666666667</v>
      </c>
      <c r="U50" s="24">
        <v>8.8166666666666682</v>
      </c>
      <c r="V50" s="10">
        <v>0.23933565721813918</v>
      </c>
      <c r="W50" s="25">
        <v>0.31018749999999995</v>
      </c>
      <c r="X50" s="25">
        <v>0.43962499999999999</v>
      </c>
      <c r="Y50" s="25">
        <v>0.50877083333333339</v>
      </c>
      <c r="Z50" s="25">
        <v>0.53908333333333325</v>
      </c>
      <c r="AA50" s="25">
        <v>0.50595833333333362</v>
      </c>
      <c r="AB50" s="25">
        <v>0.40266666666666645</v>
      </c>
      <c r="AC50" s="25">
        <v>0.40895833333333337</v>
      </c>
      <c r="AD50" s="25">
        <v>0.36281249999999998</v>
      </c>
      <c r="AE50" s="25">
        <v>0.31165185185185185</v>
      </c>
      <c r="AF50" s="25">
        <v>0.16090070921985816</v>
      </c>
      <c r="AG50" s="25">
        <v>0.29243749999999991</v>
      </c>
      <c r="AH50" s="28">
        <f t="shared" si="6"/>
        <v>0.40807291666666679</v>
      </c>
      <c r="AI50" s="28">
        <f t="shared" si="7"/>
        <v>0.44365277777777773</v>
      </c>
      <c r="AJ50" s="28">
        <f t="shared" si="8"/>
        <v>0.4371837121212121</v>
      </c>
    </row>
    <row r="51" spans="1:36" x14ac:dyDescent="0.25">
      <c r="A51" s="9">
        <v>43783</v>
      </c>
      <c r="B51" s="2">
        <v>233.21775391920741</v>
      </c>
      <c r="C51" s="3">
        <v>314.99114889087554</v>
      </c>
      <c r="D51" s="3">
        <v>597.22856317338642</v>
      </c>
      <c r="E51" s="3">
        <v>715.36407443799726</v>
      </c>
      <c r="F51" s="3">
        <v>423.90133291410473</v>
      </c>
      <c r="G51" s="3">
        <v>391.6318773805454</v>
      </c>
      <c r="H51" s="3">
        <v>403.09875184951511</v>
      </c>
      <c r="I51" s="3">
        <v>384.01433444554999</v>
      </c>
      <c r="J51" s="3">
        <f t="shared" si="3"/>
        <v>0.66359737307590361</v>
      </c>
      <c r="K51" s="3">
        <f t="shared" si="4"/>
        <v>0.68495398918192141</v>
      </c>
      <c r="L51" s="3">
        <f t="shared" si="5"/>
        <v>0.48131605851518577</v>
      </c>
      <c r="M51" s="23">
        <v>43783</v>
      </c>
      <c r="N51" s="24">
        <v>176.72916666666666</v>
      </c>
      <c r="O51" s="24">
        <v>63.006250000000016</v>
      </c>
      <c r="P51" s="24">
        <v>12.543750000000001</v>
      </c>
      <c r="Q51" s="24">
        <v>0</v>
      </c>
      <c r="R51" s="24">
        <v>197.70833333333334</v>
      </c>
      <c r="S51" s="24">
        <v>4.6875</v>
      </c>
      <c r="T51" s="24">
        <v>0.33333333333333331</v>
      </c>
      <c r="U51" s="24">
        <v>5.0125000000000002</v>
      </c>
      <c r="V51" s="10">
        <v>0.63732472269575469</v>
      </c>
      <c r="W51" s="25">
        <v>0.30239583333333336</v>
      </c>
      <c r="X51" s="25">
        <v>0.43289583333333342</v>
      </c>
      <c r="Y51" s="25">
        <v>0.50231249999999972</v>
      </c>
      <c r="Z51" s="25">
        <v>0.53443750000000012</v>
      </c>
      <c r="AA51" s="25">
        <v>0.49866666666666698</v>
      </c>
      <c r="AB51" s="25">
        <v>0.39627083333333352</v>
      </c>
      <c r="AC51" s="25">
        <v>0.40329166666666666</v>
      </c>
      <c r="AD51" s="25">
        <v>0.35847916666666674</v>
      </c>
      <c r="AE51" s="25">
        <v>0.29904901960784308</v>
      </c>
      <c r="AF51" s="25">
        <v>0.15337499999999998</v>
      </c>
      <c r="AG51" s="25">
        <v>0.28583333333333338</v>
      </c>
      <c r="AH51" s="28">
        <f t="shared" si="6"/>
        <v>0.40053125000000017</v>
      </c>
      <c r="AI51" s="28">
        <f t="shared" si="7"/>
        <v>0.43794791666666671</v>
      </c>
      <c r="AJ51" s="28">
        <f t="shared" si="8"/>
        <v>0.43114488636363646</v>
      </c>
    </row>
    <row r="52" spans="1:36" x14ac:dyDescent="0.25">
      <c r="A52" s="9">
        <v>43784</v>
      </c>
      <c r="B52" s="2">
        <v>186.97198923375294</v>
      </c>
      <c r="C52" s="3">
        <v>297.23305437103835</v>
      </c>
      <c r="D52" s="3">
        <v>478.80150892126227</v>
      </c>
      <c r="E52" s="3">
        <v>413.33099574206886</v>
      </c>
      <c r="F52" s="3">
        <v>358.68642682353357</v>
      </c>
      <c r="G52" s="3">
        <v>311.22038943396842</v>
      </c>
      <c r="H52" s="3">
        <v>324.71190504485281</v>
      </c>
      <c r="I52" s="3">
        <v>361.11561931742983</v>
      </c>
      <c r="J52" s="3">
        <f t="shared" si="3"/>
        <v>0.53079428099674153</v>
      </c>
      <c r="K52" s="3">
        <f t="shared" si="4"/>
        <v>0.37867364605041376</v>
      </c>
      <c r="L52" s="3">
        <f t="shared" si="5"/>
        <v>0.40740851120387467</v>
      </c>
      <c r="M52" s="23">
        <v>43784</v>
      </c>
      <c r="N52" s="24">
        <v>121.60416666666667</v>
      </c>
      <c r="O52" s="24">
        <v>77.416666666666671</v>
      </c>
      <c r="P52" s="24">
        <v>13.80625</v>
      </c>
      <c r="Q52" s="24">
        <v>0</v>
      </c>
      <c r="R52" s="24">
        <v>143.33333333333334</v>
      </c>
      <c r="S52" s="24">
        <v>3.5625</v>
      </c>
      <c r="T52" s="24">
        <v>4.1666666666666664E-2</v>
      </c>
      <c r="U52" s="24">
        <v>9.7104166666666671</v>
      </c>
      <c r="V52" s="10">
        <v>0.42201480428965149</v>
      </c>
      <c r="W52" s="25">
        <v>0.29720833333333335</v>
      </c>
      <c r="X52" s="25">
        <v>0.42866666666666675</v>
      </c>
      <c r="Y52" s="25">
        <v>0.49768749999999956</v>
      </c>
      <c r="Z52" s="25">
        <v>0.52989583333333312</v>
      </c>
      <c r="AA52" s="25">
        <v>0.4944583333333335</v>
      </c>
      <c r="AB52" s="25">
        <v>0.39056250000000015</v>
      </c>
      <c r="AC52" s="25">
        <v>0.39685416666666634</v>
      </c>
      <c r="AD52" s="25">
        <v>0.35335416666666641</v>
      </c>
      <c r="AE52" s="25">
        <v>0.28677916666666681</v>
      </c>
      <c r="AF52" s="25">
        <v>0.14622222222222217</v>
      </c>
      <c r="AG52" s="25">
        <v>0.27628472222222222</v>
      </c>
      <c r="AH52" s="28">
        <f t="shared" si="6"/>
        <v>0.39583333333333343</v>
      </c>
      <c r="AI52" s="28">
        <f t="shared" si="7"/>
        <v>0.43283680555555543</v>
      </c>
      <c r="AJ52" s="28">
        <f t="shared" si="8"/>
        <v>0.42610890151515146</v>
      </c>
    </row>
    <row r="53" spans="1:36" x14ac:dyDescent="0.25">
      <c r="A53" s="9">
        <v>43936</v>
      </c>
      <c r="B53" s="3">
        <v>397.08639035955474</v>
      </c>
      <c r="C53" s="3">
        <v>922.1642250711933</v>
      </c>
      <c r="D53" s="3">
        <v>612.53847328530458</v>
      </c>
      <c r="E53" s="3">
        <v>480.05779063695485</v>
      </c>
      <c r="F53" s="3">
        <v>431.87524599052591</v>
      </c>
      <c r="G53" s="3">
        <v>443.9550870406419</v>
      </c>
      <c r="H53" s="3">
        <v>419.11531616125529</v>
      </c>
      <c r="I53" s="3">
        <v>323.27802858769661</v>
      </c>
      <c r="J53" s="3">
        <f t="shared" si="3"/>
        <v>0.68076577615032441</v>
      </c>
      <c r="K53" s="3">
        <f t="shared" si="4"/>
        <v>0.44633876976703307</v>
      </c>
      <c r="L53" s="3">
        <f t="shared" si="5"/>
        <v>0.47939515660678389</v>
      </c>
      <c r="M53" s="23">
        <v>43936</v>
      </c>
      <c r="N53" s="24">
        <v>241.58333333333334</v>
      </c>
      <c r="O53" s="24">
        <v>64.925000000000026</v>
      </c>
      <c r="P53" s="24">
        <v>18.835416666666667</v>
      </c>
      <c r="Q53" s="24">
        <v>0</v>
      </c>
      <c r="R53" s="24">
        <v>223.04166666666666</v>
      </c>
      <c r="S53" s="24">
        <v>11.145833333333334</v>
      </c>
      <c r="T53" s="24">
        <v>1.3958333333333333</v>
      </c>
      <c r="U53" s="24">
        <v>11.76041666666667</v>
      </c>
      <c r="V53" s="10">
        <v>0.87846752659360272</v>
      </c>
      <c r="W53" s="25">
        <v>0.29035416666666658</v>
      </c>
      <c r="X53" s="25">
        <v>0.39912499999999995</v>
      </c>
      <c r="Y53" s="25">
        <v>0.48414583333333355</v>
      </c>
      <c r="Z53" s="25">
        <v>0.51093749999999993</v>
      </c>
      <c r="AA53" s="25">
        <v>0.45841666666666697</v>
      </c>
      <c r="AB53" s="25">
        <v>0.33935416666666662</v>
      </c>
      <c r="AC53" s="25">
        <v>0.35241666666666666</v>
      </c>
      <c r="AD53" s="25">
        <v>0.30877083333333333</v>
      </c>
      <c r="AE53" s="25">
        <v>0.19731914893617022</v>
      </c>
      <c r="AF53" s="25">
        <v>0.13809523809523808</v>
      </c>
      <c r="AG53" s="25">
        <v>0.2614999999999999</v>
      </c>
      <c r="AH53" s="28">
        <f t="shared" si="6"/>
        <v>0.3743854166666668</v>
      </c>
      <c r="AI53" s="28">
        <f t="shared" si="7"/>
        <v>0.39912500000000001</v>
      </c>
      <c r="AJ53" s="28">
        <f t="shared" si="8"/>
        <v>0.39462689393939399</v>
      </c>
    </row>
    <row r="54" spans="1:36" x14ac:dyDescent="0.25">
      <c r="A54" s="9">
        <v>43937</v>
      </c>
      <c r="B54" s="3">
        <v>415.10661728117407</v>
      </c>
      <c r="C54" s="3">
        <v>582.38504752256085</v>
      </c>
      <c r="D54" s="3">
        <v>572.83331022587822</v>
      </c>
      <c r="E54" s="3">
        <v>461.70108687036355</v>
      </c>
      <c r="F54" s="3">
        <v>398.9527666231055</v>
      </c>
      <c r="G54" s="3">
        <v>381.22715528770561</v>
      </c>
      <c r="H54" s="3">
        <v>390.47930023008115</v>
      </c>
      <c r="I54" s="3">
        <v>308.38890143435032</v>
      </c>
      <c r="J54" s="3">
        <f t="shared" si="3"/>
        <v>0.63624074376563544</v>
      </c>
      <c r="K54" s="3">
        <f t="shared" si="4"/>
        <v>0.42772392945659388</v>
      </c>
      <c r="L54" s="3">
        <f t="shared" si="5"/>
        <v>0.43805504878819557</v>
      </c>
      <c r="M54" s="23">
        <v>43937</v>
      </c>
      <c r="N54" s="24">
        <v>209.08333333333334</v>
      </c>
      <c r="O54" s="24">
        <v>71.245833333333323</v>
      </c>
      <c r="P54" s="24">
        <v>20.383333333333336</v>
      </c>
      <c r="Q54" s="24">
        <v>0</v>
      </c>
      <c r="R54" s="24">
        <v>238.52083333333334</v>
      </c>
      <c r="S54" s="24">
        <v>12</v>
      </c>
      <c r="T54" s="24">
        <v>1.9583333333333333</v>
      </c>
      <c r="U54" s="24">
        <v>14.577083333333327</v>
      </c>
      <c r="V54" s="10">
        <v>0.8120170496059621</v>
      </c>
      <c r="W54" s="25">
        <v>0.28672916666666687</v>
      </c>
      <c r="X54" s="25">
        <v>0.39714583333333336</v>
      </c>
      <c r="Y54" s="25">
        <v>0.4838541666666667</v>
      </c>
      <c r="Z54" s="25">
        <v>0.50595833333333318</v>
      </c>
      <c r="AA54" s="25">
        <v>0.45395833333333374</v>
      </c>
      <c r="AB54" s="25">
        <v>0.33631250000000007</v>
      </c>
      <c r="AC54" s="25">
        <v>0.34916666666666668</v>
      </c>
      <c r="AD54" s="25">
        <v>0.30589583333333337</v>
      </c>
      <c r="AE54" s="25">
        <v>0.19469767441860469</v>
      </c>
      <c r="AF54" s="25">
        <v>0.13222580645161292</v>
      </c>
      <c r="AG54" s="25">
        <v>0.25481250000000016</v>
      </c>
      <c r="AH54" s="28">
        <f t="shared" si="6"/>
        <v>0.3703437500000003</v>
      </c>
      <c r="AI54" s="28">
        <f t="shared" si="7"/>
        <v>0.3963888888888889</v>
      </c>
      <c r="AJ54" s="28">
        <f t="shared" si="8"/>
        <v>0.39165340909090918</v>
      </c>
    </row>
    <row r="55" spans="1:36" x14ac:dyDescent="0.25">
      <c r="A55" s="9">
        <v>43938</v>
      </c>
      <c r="B55" s="3">
        <v>444.40284444298919</v>
      </c>
      <c r="C55" s="3">
        <v>339.82202821192811</v>
      </c>
      <c r="D55" s="3">
        <v>593.1147477214646</v>
      </c>
      <c r="E55" s="3">
        <v>528.32304692557091</v>
      </c>
      <c r="F55" s="3">
        <v>390.18286957028607</v>
      </c>
      <c r="G55" s="3">
        <v>370.38872073828151</v>
      </c>
      <c r="H55" s="3">
        <v>374.26661810917227</v>
      </c>
      <c r="I55" s="3">
        <v>308.05133683454977</v>
      </c>
      <c r="J55" s="3">
        <f t="shared" si="3"/>
        <v>0.65898417539309073</v>
      </c>
      <c r="K55" s="3">
        <f t="shared" si="4"/>
        <v>0.49528274411988854</v>
      </c>
      <c r="L55" s="3">
        <f t="shared" si="5"/>
        <v>0.42740091554102122</v>
      </c>
      <c r="M55" s="23">
        <v>43938</v>
      </c>
      <c r="N55" s="24">
        <v>189.27083333333334</v>
      </c>
      <c r="O55" s="24">
        <v>72.914583333333312</v>
      </c>
      <c r="P55" s="24">
        <v>20.775000000000006</v>
      </c>
      <c r="Q55" s="24">
        <v>0</v>
      </c>
      <c r="R55" s="24">
        <v>239.10416666666666</v>
      </c>
      <c r="S55" s="24">
        <v>12.104166666666666</v>
      </c>
      <c r="T55" s="24">
        <v>2.375</v>
      </c>
      <c r="U55" s="24">
        <v>15.443749999999996</v>
      </c>
      <c r="V55" s="10">
        <v>0.73545626119869623</v>
      </c>
      <c r="W55" s="25">
        <v>0.28233333333333305</v>
      </c>
      <c r="X55" s="25">
        <v>0.39441666666666664</v>
      </c>
      <c r="Y55" s="25">
        <v>0.48291666666666683</v>
      </c>
      <c r="Z55" s="25">
        <v>0.50010416666666657</v>
      </c>
      <c r="AA55" s="25">
        <v>0.44910416666666636</v>
      </c>
      <c r="AB55" s="25">
        <v>0.33337499999999998</v>
      </c>
      <c r="AC55" s="25">
        <v>0.34608333333333324</v>
      </c>
      <c r="AD55" s="25">
        <v>0.30320833333333341</v>
      </c>
      <c r="AE55" s="25">
        <v>0.19191489361702124</v>
      </c>
      <c r="AF55" s="25">
        <v>0.12718181818181815</v>
      </c>
      <c r="AG55" s="25">
        <v>0.24920833333333325</v>
      </c>
      <c r="AH55" s="28">
        <f t="shared" si="6"/>
        <v>0.3657187499999997</v>
      </c>
      <c r="AI55" s="28">
        <f t="shared" si="7"/>
        <v>0.39335069444444448</v>
      </c>
      <c r="AJ55" s="28">
        <f t="shared" si="8"/>
        <v>0.38832670454545448</v>
      </c>
    </row>
    <row r="56" spans="1:36" x14ac:dyDescent="0.25">
      <c r="A56" s="9">
        <v>43939</v>
      </c>
      <c r="B56" s="3">
        <v>405.34592317073742</v>
      </c>
      <c r="C56" s="3">
        <v>281.27464517129948</v>
      </c>
      <c r="D56" s="3">
        <v>622.59204437719131</v>
      </c>
      <c r="E56" s="3">
        <v>548.46817850700688</v>
      </c>
      <c r="F56" s="3">
        <v>391.68837017498538</v>
      </c>
      <c r="G56" s="3">
        <v>404.48915176377409</v>
      </c>
      <c r="H56" s="3">
        <v>376.41540402354769</v>
      </c>
      <c r="I56" s="3">
        <v>300.87959820101031</v>
      </c>
      <c r="J56" s="3">
        <f t="shared" si="3"/>
        <v>0.69203976532342149</v>
      </c>
      <c r="K56" s="3">
        <f t="shared" si="4"/>
        <v>0.51571116156287755</v>
      </c>
      <c r="L56" s="3">
        <f t="shared" si="5"/>
        <v>0.43518067427534324</v>
      </c>
      <c r="M56" s="23">
        <v>43939</v>
      </c>
      <c r="N56" s="24">
        <v>176.41666666666666</v>
      </c>
      <c r="O56" s="24">
        <v>72.108333333333306</v>
      </c>
      <c r="P56" s="24">
        <v>20.5625</v>
      </c>
      <c r="Q56" s="24">
        <v>0</v>
      </c>
      <c r="R56" s="24">
        <v>225.02083333333334</v>
      </c>
      <c r="S56" s="24">
        <v>15.1875</v>
      </c>
      <c r="T56" s="24">
        <v>2.3125</v>
      </c>
      <c r="U56" s="24">
        <v>15.029166666666667</v>
      </c>
      <c r="V56" s="10">
        <v>0.75559846271427566</v>
      </c>
      <c r="W56" s="25">
        <v>0.27733333333333349</v>
      </c>
      <c r="X56" s="25">
        <v>0.38956250000000003</v>
      </c>
      <c r="Y56" s="25">
        <v>0.48016666666666707</v>
      </c>
      <c r="Z56" s="25">
        <v>0.49304166666666682</v>
      </c>
      <c r="AA56" s="25">
        <v>0.44341666666666657</v>
      </c>
      <c r="AB56" s="25">
        <v>0.33002083333333332</v>
      </c>
      <c r="AC56" s="25">
        <v>0.34260416666666665</v>
      </c>
      <c r="AD56" s="25">
        <v>0.30052083333333329</v>
      </c>
      <c r="AE56" s="25">
        <v>0.18862500000000001</v>
      </c>
      <c r="AF56" s="25">
        <v>0.12247999999999999</v>
      </c>
      <c r="AG56" s="25">
        <v>0.24437499999999993</v>
      </c>
      <c r="AH56" s="28">
        <f t="shared" si="6"/>
        <v>0.360375</v>
      </c>
      <c r="AI56" s="28">
        <f t="shared" si="7"/>
        <v>0.38931944444444455</v>
      </c>
      <c r="AJ56" s="28">
        <f t="shared" si="8"/>
        <v>0.38405681818181819</v>
      </c>
    </row>
    <row r="57" spans="1:36" x14ac:dyDescent="0.25">
      <c r="A57" s="9">
        <v>43940</v>
      </c>
      <c r="B57" s="3">
        <v>245.34768222870812</v>
      </c>
      <c r="C57" s="3">
        <v>124.08820554935524</v>
      </c>
      <c r="D57" s="3">
        <v>310.50103678402991</v>
      </c>
      <c r="E57" s="3">
        <v>265.78080920596517</v>
      </c>
      <c r="F57" s="3">
        <v>209.08722764642488</v>
      </c>
      <c r="G57" s="3">
        <v>166.33068343764171</v>
      </c>
      <c r="H57" s="3">
        <v>209.61656172076124</v>
      </c>
      <c r="I57" s="3">
        <v>185.93753713985538</v>
      </c>
      <c r="J57" s="3">
        <f t="shared" si="3"/>
        <v>0.34206356199545873</v>
      </c>
      <c r="K57" s="3">
        <f t="shared" si="4"/>
        <v>0.22904857201376325</v>
      </c>
      <c r="L57" s="3">
        <f t="shared" si="5"/>
        <v>0.22130349197511107</v>
      </c>
      <c r="M57" s="23">
        <v>43940</v>
      </c>
      <c r="N57" s="24">
        <v>85.104166666666671</v>
      </c>
      <c r="O57" s="24">
        <v>83.833333333333314</v>
      </c>
      <c r="P57" s="24">
        <v>17.249999999999996</v>
      </c>
      <c r="Q57" s="24">
        <v>0</v>
      </c>
      <c r="R57" s="24">
        <v>236.02083333333334</v>
      </c>
      <c r="S57" s="24">
        <v>5.6875</v>
      </c>
      <c r="T57" s="24">
        <v>0.125</v>
      </c>
      <c r="U57" s="24">
        <v>14.424999999999997</v>
      </c>
      <c r="V57" s="10">
        <v>0.33848774804680049</v>
      </c>
      <c r="W57" s="25">
        <v>0.27293750000000022</v>
      </c>
      <c r="X57" s="25">
        <v>0.38479166666666659</v>
      </c>
      <c r="Y57" s="25">
        <v>0.47675000000000028</v>
      </c>
      <c r="Z57" s="25">
        <v>0.48658333333333353</v>
      </c>
      <c r="AA57" s="25">
        <v>0.43756249999999991</v>
      </c>
      <c r="AB57" s="25">
        <v>0.32714583333333352</v>
      </c>
      <c r="AC57" s="25">
        <v>0.34025000000000011</v>
      </c>
      <c r="AD57" s="25">
        <v>0.2982708333333336</v>
      </c>
      <c r="AE57" s="25">
        <v>0.18577083333333325</v>
      </c>
      <c r="AF57" s="25">
        <v>0.11966666666666666</v>
      </c>
      <c r="AG57" s="25">
        <v>0.2408958333333332</v>
      </c>
      <c r="AH57" s="28">
        <f t="shared" si="6"/>
        <v>0.35525000000000007</v>
      </c>
      <c r="AI57" s="28">
        <f t="shared" si="7"/>
        <v>0.38563194444444454</v>
      </c>
      <c r="AJ57" s="28">
        <f t="shared" si="8"/>
        <v>0.38010795454545471</v>
      </c>
    </row>
    <row r="58" spans="1:36" x14ac:dyDescent="0.25">
      <c r="A58" s="9">
        <v>43941</v>
      </c>
      <c r="B58" s="3">
        <v>325.79461090366328</v>
      </c>
      <c r="C58" s="3">
        <v>257.55649706418433</v>
      </c>
      <c r="D58" s="3">
        <v>444.46648708860164</v>
      </c>
      <c r="E58" s="3">
        <v>478.54785356766035</v>
      </c>
      <c r="F58" s="3">
        <v>315.83614490042419</v>
      </c>
      <c r="G58" s="3">
        <v>364.16068931733849</v>
      </c>
      <c r="H58" s="3">
        <v>332.26541817833026</v>
      </c>
      <c r="I58" s="3">
        <v>255.89754219276637</v>
      </c>
      <c r="J58" s="3">
        <f t="shared" si="3"/>
        <v>0.49229127934075734</v>
      </c>
      <c r="K58" s="3">
        <f t="shared" si="4"/>
        <v>0.44480759958631233</v>
      </c>
      <c r="L58" s="3">
        <f t="shared" si="5"/>
        <v>0.37160601157334139</v>
      </c>
      <c r="M58" s="23">
        <v>43941</v>
      </c>
      <c r="N58" s="24">
        <v>201.79166666666666</v>
      </c>
      <c r="O58" s="24">
        <v>77.902083333333351</v>
      </c>
      <c r="P58" s="24">
        <v>19.602083333333333</v>
      </c>
      <c r="Q58" s="24">
        <v>1.2</v>
      </c>
      <c r="R58" s="24">
        <v>227.54166666666666</v>
      </c>
      <c r="S58" s="24">
        <v>8.5416666666666661</v>
      </c>
      <c r="T58" s="24">
        <v>0.54166666666666663</v>
      </c>
      <c r="U58" s="24">
        <v>15.2875</v>
      </c>
      <c r="V58" s="10">
        <v>0.5995692640711846</v>
      </c>
      <c r="W58" s="25">
        <v>0.27004166666666674</v>
      </c>
      <c r="X58" s="25">
        <v>0.37981250000000005</v>
      </c>
      <c r="Y58" s="25">
        <v>0.47243749999999979</v>
      </c>
      <c r="Z58" s="25">
        <v>0.47989583333333291</v>
      </c>
      <c r="AA58" s="25">
        <v>0.4339374999999997</v>
      </c>
      <c r="AB58" s="25">
        <v>0.32487499999999991</v>
      </c>
      <c r="AC58" s="25">
        <v>0.33739583333333356</v>
      </c>
      <c r="AD58" s="25">
        <v>0.29589583333333336</v>
      </c>
      <c r="AE58" s="25">
        <v>0.18470833333333328</v>
      </c>
      <c r="AF58" s="25">
        <v>0.11912499999999999</v>
      </c>
      <c r="AG58" s="25">
        <v>0.24004166666666671</v>
      </c>
      <c r="AH58" s="28">
        <f t="shared" si="6"/>
        <v>0.35198958333333319</v>
      </c>
      <c r="AI58" s="28">
        <f t="shared" si="7"/>
        <v>0.38171874999999994</v>
      </c>
      <c r="AJ58" s="28">
        <f t="shared" si="8"/>
        <v>0.37631344696969693</v>
      </c>
    </row>
    <row r="59" spans="1:36" x14ac:dyDescent="0.25">
      <c r="A59" s="9">
        <v>43942</v>
      </c>
      <c r="B59" s="3">
        <v>162.21189691389054</v>
      </c>
      <c r="C59" s="3">
        <v>103.36843835724427</v>
      </c>
      <c r="D59" s="3">
        <v>211.99938619035203</v>
      </c>
      <c r="E59" s="3">
        <v>179.68146691473675</v>
      </c>
      <c r="F59" s="3">
        <v>124.68128564826797</v>
      </c>
      <c r="G59" s="3">
        <v>98.203342450105183</v>
      </c>
      <c r="H59" s="3">
        <v>137.74637063348021</v>
      </c>
      <c r="I59" s="3">
        <v>116.8187887570359</v>
      </c>
      <c r="J59" s="3">
        <f t="shared" si="3"/>
        <v>0.23160464822485791</v>
      </c>
      <c r="K59" s="3">
        <f t="shared" si="4"/>
        <v>0.14173847931062894</v>
      </c>
      <c r="L59" s="3">
        <f t="shared" si="5"/>
        <v>0.12951703100748582</v>
      </c>
      <c r="M59" s="23">
        <v>43942</v>
      </c>
      <c r="N59" s="24">
        <v>65.770833333333329</v>
      </c>
      <c r="O59" s="24">
        <v>84.143749999999997</v>
      </c>
      <c r="P59" s="24">
        <v>13.870833333333325</v>
      </c>
      <c r="Q59" s="24">
        <v>0</v>
      </c>
      <c r="R59" s="24">
        <v>188.25</v>
      </c>
      <c r="S59" s="24">
        <v>6.458333333333333</v>
      </c>
      <c r="T59" s="24">
        <v>0.25</v>
      </c>
      <c r="U59" s="24">
        <v>11.218750000000005</v>
      </c>
      <c r="V59" s="10">
        <v>0.25623449394215947</v>
      </c>
      <c r="W59" s="25">
        <v>0.26620833333333344</v>
      </c>
      <c r="X59" s="25">
        <v>0.3738333333333333</v>
      </c>
      <c r="Y59" s="25">
        <v>0.46764583333333337</v>
      </c>
      <c r="Z59" s="25">
        <v>0.47270833333333329</v>
      </c>
      <c r="AA59" s="25">
        <v>0.42877083333333316</v>
      </c>
      <c r="AB59" s="25">
        <v>0.32222916666666651</v>
      </c>
      <c r="AC59" s="25">
        <v>0.33512500000000017</v>
      </c>
      <c r="AD59" s="25">
        <v>0.29404166666666659</v>
      </c>
      <c r="AE59" s="25">
        <v>0.1811041666666667</v>
      </c>
      <c r="AF59" s="25">
        <v>0.11547916666666676</v>
      </c>
      <c r="AG59" s="25">
        <v>0.23618749999999988</v>
      </c>
      <c r="AH59" s="28">
        <f t="shared" si="6"/>
        <v>0.3474895833333333</v>
      </c>
      <c r="AI59" s="28">
        <f t="shared" si="7"/>
        <v>0.3775972222222222</v>
      </c>
      <c r="AJ59" s="28">
        <f t="shared" si="8"/>
        <v>0.37212310606060611</v>
      </c>
    </row>
    <row r="60" spans="1:36" x14ac:dyDescent="0.25">
      <c r="A60" s="9">
        <v>43943</v>
      </c>
      <c r="B60" s="3">
        <v>142.48373779396735</v>
      </c>
      <c r="C60" s="3">
        <v>124.8471460196057</v>
      </c>
      <c r="D60" s="3">
        <v>177.76268344712946</v>
      </c>
      <c r="E60" s="3">
        <v>142.7478792119837</v>
      </c>
      <c r="F60" s="3">
        <v>100.89533705225274</v>
      </c>
      <c r="G60" s="3">
        <v>79.649461637058053</v>
      </c>
      <c r="H60" s="3">
        <v>120.31242296281324</v>
      </c>
      <c r="I60" s="3">
        <v>100.11404323051211</v>
      </c>
      <c r="J60" s="3">
        <f t="shared" si="3"/>
        <v>0.19321190076011602</v>
      </c>
      <c r="K60" s="3">
        <f t="shared" si="4"/>
        <v>0.10428552229175481</v>
      </c>
      <c r="L60" s="3">
        <f t="shared" si="5"/>
        <v>0.1057971547468701</v>
      </c>
      <c r="M60" s="23">
        <v>43943</v>
      </c>
      <c r="N60" s="24">
        <v>54.041666666666664</v>
      </c>
      <c r="O60" s="24">
        <v>84.766666666666637</v>
      </c>
      <c r="P60" s="24">
        <v>10.96875</v>
      </c>
      <c r="Q60" s="24">
        <v>0</v>
      </c>
      <c r="R60" s="24">
        <v>192</v>
      </c>
      <c r="S60" s="24">
        <v>5.479166666666667</v>
      </c>
      <c r="T60" s="24">
        <v>0.10416666666666667</v>
      </c>
      <c r="U60" s="24">
        <v>8.4541666666666693</v>
      </c>
      <c r="V60" s="10">
        <v>0.20816893889979401</v>
      </c>
      <c r="W60" s="25">
        <v>0.26208333333333306</v>
      </c>
      <c r="X60" s="25">
        <v>0.36739583333333337</v>
      </c>
      <c r="Y60" s="25">
        <v>0.46133333333333315</v>
      </c>
      <c r="Z60" s="25">
        <v>0.46629166666666677</v>
      </c>
      <c r="AA60" s="25">
        <v>0.4222916666666669</v>
      </c>
      <c r="AB60" s="25">
        <v>0.31929166666666681</v>
      </c>
      <c r="AC60" s="25">
        <v>0.33302083333333349</v>
      </c>
      <c r="AD60" s="25">
        <v>0.29268749999999993</v>
      </c>
      <c r="AE60" s="25">
        <v>0.17902083333333341</v>
      </c>
      <c r="AF60" s="25">
        <v>0.11406250000000004</v>
      </c>
      <c r="AG60" s="25">
        <v>0.23295833333333318</v>
      </c>
      <c r="AH60" s="28">
        <f t="shared" si="6"/>
        <v>0.34218749999999998</v>
      </c>
      <c r="AI60" s="28">
        <f t="shared" si="7"/>
        <v>0.37333680555555554</v>
      </c>
      <c r="AJ60" s="28">
        <f t="shared" si="8"/>
        <v>0.36767329545454547</v>
      </c>
    </row>
    <row r="61" spans="1:36" x14ac:dyDescent="0.25">
      <c r="A61" s="9">
        <v>43945</v>
      </c>
      <c r="B61" s="3">
        <v>210.11813935721486</v>
      </c>
      <c r="C61" s="3">
        <v>165.18784209366783</v>
      </c>
      <c r="D61" s="3">
        <v>286.22007612374983</v>
      </c>
      <c r="E61" s="3">
        <v>298.71534272678991</v>
      </c>
      <c r="F61" s="3">
        <v>187.11559899725185</v>
      </c>
      <c r="G61" s="3">
        <v>170.58288995787964</v>
      </c>
      <c r="H61" s="3">
        <v>220.47601862732952</v>
      </c>
      <c r="I61" s="3">
        <v>170.20158038617063</v>
      </c>
      <c r="J61" s="3">
        <f t="shared" si="3"/>
        <v>0.31483509908467205</v>
      </c>
      <c r="K61" s="3">
        <f t="shared" si="4"/>
        <v>0.26244623915402249</v>
      </c>
      <c r="L61" s="3">
        <f t="shared" si="5"/>
        <v>0.2136816409031416</v>
      </c>
      <c r="M61" s="23">
        <v>43945</v>
      </c>
      <c r="N61" s="24">
        <v>94.645833333333329</v>
      </c>
      <c r="O61" s="24">
        <v>75.939583333333317</v>
      </c>
      <c r="P61" s="24">
        <v>9.6458333333333357</v>
      </c>
      <c r="Q61" s="24">
        <v>0</v>
      </c>
      <c r="R61" s="24">
        <v>217.10416666666666</v>
      </c>
      <c r="S61" s="24">
        <v>3.1041666666666665</v>
      </c>
      <c r="T61" s="24">
        <v>0</v>
      </c>
      <c r="U61" s="24">
        <v>5.4187500000000002</v>
      </c>
      <c r="V61" s="10">
        <v>0.31781058749788488</v>
      </c>
      <c r="W61" s="25">
        <v>0.25533333333333358</v>
      </c>
      <c r="X61" s="25">
        <v>0.35499999999999993</v>
      </c>
      <c r="Y61" s="25">
        <v>0.44818750000000018</v>
      </c>
      <c r="Z61" s="25">
        <v>0.45356249999999992</v>
      </c>
      <c r="AA61" s="25">
        <v>0.41170833333333351</v>
      </c>
      <c r="AB61" s="25">
        <v>0.31375000000000025</v>
      </c>
      <c r="AC61" s="25">
        <v>0.32752083333333348</v>
      </c>
      <c r="AD61" s="25">
        <v>0.28879166666666684</v>
      </c>
      <c r="AE61" s="25">
        <v>0.17502083333333326</v>
      </c>
      <c r="AF61" s="29">
        <f>AG61*0.5711-0.0033</f>
        <v>0.12658955625000001</v>
      </c>
      <c r="AG61" s="25">
        <v>0.22743749999999999</v>
      </c>
      <c r="AH61" s="28">
        <f t="shared" si="6"/>
        <v>0.33352083333333354</v>
      </c>
      <c r="AI61" s="28">
        <f t="shared" si="7"/>
        <v>0.36446875000000012</v>
      </c>
      <c r="AJ61" s="28">
        <f t="shared" si="8"/>
        <v>0.35884185606060615</v>
      </c>
    </row>
    <row r="62" spans="1:36" x14ac:dyDescent="0.25">
      <c r="A62" s="9">
        <v>43947</v>
      </c>
      <c r="B62" s="3">
        <v>243.70747722021127</v>
      </c>
      <c r="C62" s="3">
        <v>249.67410601244745</v>
      </c>
      <c r="D62" s="3">
        <v>432.34753385434129</v>
      </c>
      <c r="E62" s="3">
        <v>400.93561579967445</v>
      </c>
      <c r="F62" s="3">
        <v>246.99108245266922</v>
      </c>
      <c r="G62" s="3">
        <v>290.40695205716332</v>
      </c>
      <c r="H62" s="3">
        <v>277.77879514850883</v>
      </c>
      <c r="I62" s="3">
        <v>195.96297982472589</v>
      </c>
      <c r="J62" s="3">
        <f t="shared" si="3"/>
        <v>0.47870118818771601</v>
      </c>
      <c r="K62" s="3">
        <f t="shared" si="4"/>
        <v>0.36610395918567129</v>
      </c>
      <c r="L62" s="3">
        <f t="shared" si="5"/>
        <v>0.2915877049810921</v>
      </c>
      <c r="M62" s="23">
        <v>43947</v>
      </c>
      <c r="N62" s="24">
        <v>192.95833333333334</v>
      </c>
      <c r="O62" s="24">
        <v>62.970833333333331</v>
      </c>
      <c r="P62" s="24">
        <v>13.222916666666665</v>
      </c>
      <c r="Q62" s="24">
        <v>0.2</v>
      </c>
      <c r="R62" s="24">
        <v>168.60416666666666</v>
      </c>
      <c r="S62" s="24">
        <v>3.6458333333333335</v>
      </c>
      <c r="T62" s="24">
        <v>2.0833333333333332E-2</v>
      </c>
      <c r="U62" s="24">
        <v>4.8166666666666647</v>
      </c>
      <c r="V62" s="10">
        <v>0.7516583625633676</v>
      </c>
      <c r="W62" s="25">
        <v>0.25325000000000003</v>
      </c>
      <c r="X62" s="25">
        <v>0.3470208333333335</v>
      </c>
      <c r="Y62" s="25">
        <v>0.43885416666666693</v>
      </c>
      <c r="Z62" s="25">
        <v>0.44322916666666717</v>
      </c>
      <c r="AA62" s="25">
        <v>0.40770833333333317</v>
      </c>
      <c r="AB62" s="25">
        <v>0.3109166666666669</v>
      </c>
      <c r="AC62" s="25">
        <v>0.32297916666666643</v>
      </c>
      <c r="AD62" s="25">
        <v>0.28479166666666661</v>
      </c>
      <c r="AE62" s="25">
        <v>0.17549999999999996</v>
      </c>
      <c r="AF62" s="25">
        <v>0.13366666666666671</v>
      </c>
      <c r="AG62" s="25">
        <v>0.24454166666666674</v>
      </c>
      <c r="AH62" s="28">
        <f t="shared" si="6"/>
        <v>0.3304791666666666</v>
      </c>
      <c r="AI62" s="28">
        <f t="shared" si="7"/>
        <v>0.35796527777777792</v>
      </c>
      <c r="AJ62" s="28">
        <f t="shared" si="8"/>
        <v>0.35296780303030317</v>
      </c>
    </row>
    <row r="63" spans="1:36" x14ac:dyDescent="0.25">
      <c r="A63" s="9">
        <v>43948</v>
      </c>
      <c r="B63" s="3">
        <v>241.50615474964451</v>
      </c>
      <c r="C63" s="3">
        <v>346.24703346773742</v>
      </c>
      <c r="D63" s="3">
        <v>497.46995770254739</v>
      </c>
      <c r="E63" s="3">
        <v>461.36475535889281</v>
      </c>
      <c r="F63" s="3">
        <v>329.18749184754233</v>
      </c>
      <c r="G63" s="3">
        <v>388.28801082788931</v>
      </c>
      <c r="H63" s="3">
        <v>325.08797934002246</v>
      </c>
      <c r="I63" s="3">
        <v>222.34460868249639</v>
      </c>
      <c r="J63" s="3">
        <f t="shared" si="3"/>
        <v>0.55172892078941937</v>
      </c>
      <c r="K63" s="3">
        <f t="shared" si="4"/>
        <v>0.42738286836757694</v>
      </c>
      <c r="L63" s="3">
        <f t="shared" si="5"/>
        <v>0.36666083425408452</v>
      </c>
      <c r="M63" s="23">
        <v>43948</v>
      </c>
      <c r="N63" s="24">
        <v>247.72916666666666</v>
      </c>
      <c r="O63" s="24">
        <v>42.093749999999993</v>
      </c>
      <c r="P63" s="24">
        <v>17.318750000000001</v>
      </c>
      <c r="Q63" s="24">
        <v>0</v>
      </c>
      <c r="R63" s="24">
        <v>239.39583333333334</v>
      </c>
      <c r="S63" s="24">
        <v>3.875</v>
      </c>
      <c r="T63" s="24">
        <v>0.10416666666666667</v>
      </c>
      <c r="U63" s="24">
        <v>3.027083333333334</v>
      </c>
      <c r="V63" s="10">
        <v>1.3564982296622903</v>
      </c>
      <c r="W63" s="25">
        <v>0.25266666666666676</v>
      </c>
      <c r="X63" s="25">
        <v>0.34350000000000008</v>
      </c>
      <c r="Y63" s="25">
        <v>0.43529166666666669</v>
      </c>
      <c r="Z63" s="25">
        <v>0.4373333333333333</v>
      </c>
      <c r="AA63" s="25">
        <v>0.4082291666666667</v>
      </c>
      <c r="AB63" s="25">
        <v>0.31002083333333347</v>
      </c>
      <c r="AC63" s="25">
        <v>0.32056250000000025</v>
      </c>
      <c r="AD63" s="25">
        <v>0.28204166666666686</v>
      </c>
      <c r="AE63" s="25">
        <v>0.17502083333333338</v>
      </c>
      <c r="AF63" s="25">
        <v>0.12113043478260868</v>
      </c>
      <c r="AG63" s="25">
        <v>0.23412499999999983</v>
      </c>
      <c r="AH63" s="28">
        <f t="shared" si="6"/>
        <v>0.33044791666666673</v>
      </c>
      <c r="AI63" s="28">
        <f t="shared" si="7"/>
        <v>0.35479166666666678</v>
      </c>
      <c r="AJ63" s="28">
        <f t="shared" si="8"/>
        <v>0.35036553030303041</v>
      </c>
    </row>
    <row r="64" spans="1:36" x14ac:dyDescent="0.25">
      <c r="A64" s="9">
        <v>43949</v>
      </c>
      <c r="B64" s="3">
        <v>278.14670012292112</v>
      </c>
      <c r="C64" s="3">
        <v>311.52172386539269</v>
      </c>
      <c r="D64" s="3">
        <v>562.36552366240267</v>
      </c>
      <c r="E64" s="3">
        <v>555.07409816240045</v>
      </c>
      <c r="F64" s="3">
        <v>341.71020830797499</v>
      </c>
      <c r="G64" s="3">
        <v>360.7328221891774</v>
      </c>
      <c r="H64" s="3">
        <v>312.75717647303952</v>
      </c>
      <c r="I64" s="3">
        <v>232.26306308675129</v>
      </c>
      <c r="J64" s="3">
        <f t="shared" si="3"/>
        <v>0.62450225688328243</v>
      </c>
      <c r="K64" s="3">
        <f t="shared" si="4"/>
        <v>0.52240997530701727</v>
      </c>
      <c r="L64" s="3">
        <f t="shared" si="5"/>
        <v>0.3624561990617936</v>
      </c>
      <c r="M64" s="23">
        <v>43949</v>
      </c>
      <c r="N64" s="24">
        <v>251.47916666666666</v>
      </c>
      <c r="O64" s="24">
        <v>40.866666666666667</v>
      </c>
      <c r="P64" s="24">
        <v>19.079166666666666</v>
      </c>
      <c r="Q64" s="24">
        <v>0</v>
      </c>
      <c r="R64" s="24">
        <v>217.14583333333334</v>
      </c>
      <c r="S64" s="24">
        <v>7.9375</v>
      </c>
      <c r="T64" s="24">
        <v>2.0833333333333335</v>
      </c>
      <c r="U64" s="24">
        <v>4.8187499999999996</v>
      </c>
      <c r="V64" s="10">
        <v>1.4377365737029784</v>
      </c>
      <c r="W64" s="25">
        <v>0.25191666666666673</v>
      </c>
      <c r="X64" s="25">
        <v>0.34054166666666652</v>
      </c>
      <c r="Y64" s="25">
        <v>0.4326458333333334</v>
      </c>
      <c r="Z64" s="25">
        <v>0.43254166666666655</v>
      </c>
      <c r="AA64" s="25">
        <v>0.40856249999999972</v>
      </c>
      <c r="AB64" s="25">
        <v>0.30962499999999965</v>
      </c>
      <c r="AC64" s="25">
        <v>0.31879166666666664</v>
      </c>
      <c r="AD64" s="25">
        <v>0.27983333333333343</v>
      </c>
      <c r="AE64" s="25">
        <v>0.17395833333333341</v>
      </c>
      <c r="AF64" s="25">
        <v>0.11542307692307693</v>
      </c>
      <c r="AG64" s="25">
        <v>0.23014583333333336</v>
      </c>
      <c r="AH64" s="28">
        <f t="shared" si="6"/>
        <v>0.33023958333333325</v>
      </c>
      <c r="AI64" s="28">
        <f t="shared" si="7"/>
        <v>0.35232986111111103</v>
      </c>
      <c r="AJ64" s="28">
        <f t="shared" si="8"/>
        <v>0.3483134469696969</v>
      </c>
    </row>
    <row r="65" spans="1:36" x14ac:dyDescent="0.25">
      <c r="A65" s="9">
        <v>43950</v>
      </c>
      <c r="B65" s="3">
        <v>284.62468897281951</v>
      </c>
      <c r="C65" s="3">
        <v>224.17854217452074</v>
      </c>
      <c r="D65" s="3">
        <v>370.48270127761992</v>
      </c>
      <c r="E65" s="3">
        <v>503.29946553194998</v>
      </c>
      <c r="F65" s="3">
        <v>254.30204863590609</v>
      </c>
      <c r="G65" s="3">
        <v>230.16066085227715</v>
      </c>
      <c r="H65" s="3">
        <v>233.87484013561132</v>
      </c>
      <c r="I65" s="3">
        <v>179.49166617971505</v>
      </c>
      <c r="J65" s="3">
        <f t="shared" si="3"/>
        <v>0.40932649075027716</v>
      </c>
      <c r="K65" s="3">
        <f t="shared" si="4"/>
        <v>0.46990727488748241</v>
      </c>
      <c r="L65" s="3">
        <f t="shared" si="5"/>
        <v>0.25664530248008666</v>
      </c>
      <c r="M65" s="23">
        <v>43950</v>
      </c>
      <c r="N65" s="24">
        <v>165.4375</v>
      </c>
      <c r="O65" s="24">
        <v>53.039583333333319</v>
      </c>
      <c r="P65" s="24">
        <v>19.212500000000002</v>
      </c>
      <c r="Q65" s="24">
        <v>0</v>
      </c>
      <c r="R65" s="24">
        <v>233.72916666666666</v>
      </c>
      <c r="S65" s="24">
        <v>14.75</v>
      </c>
      <c r="T65" s="24">
        <v>3.1458333333333335</v>
      </c>
      <c r="U65" s="24">
        <v>9.2416666666666671</v>
      </c>
      <c r="V65" s="10">
        <v>1.0711967969800062</v>
      </c>
      <c r="W65" s="25">
        <v>0.25089583333333326</v>
      </c>
      <c r="X65" s="25">
        <v>0.33779166666666671</v>
      </c>
      <c r="Y65" s="25">
        <v>0.43037499999999967</v>
      </c>
      <c r="Z65" s="25">
        <v>0.42785416666666637</v>
      </c>
      <c r="AA65" s="25">
        <v>0.40795833333333348</v>
      </c>
      <c r="AB65" s="25">
        <v>0.30874999999999991</v>
      </c>
      <c r="AC65" s="25">
        <v>0.31702083333333358</v>
      </c>
      <c r="AD65" s="25">
        <v>0.27797916666666639</v>
      </c>
      <c r="AE65" s="25">
        <v>0.17197916666666657</v>
      </c>
      <c r="AF65" s="25">
        <v>0.11099999999999999</v>
      </c>
      <c r="AG65" s="25">
        <v>0.22777083333333337</v>
      </c>
      <c r="AH65" s="28">
        <f t="shared" si="6"/>
        <v>0.32942708333333337</v>
      </c>
      <c r="AI65" s="28">
        <f t="shared" si="7"/>
        <v>0.34996180555555539</v>
      </c>
      <c r="AJ65" s="28">
        <f t="shared" si="8"/>
        <v>0.3462282196969696</v>
      </c>
    </row>
    <row r="66" spans="1:36" x14ac:dyDescent="0.25">
      <c r="A66" s="9">
        <v>43954</v>
      </c>
      <c r="B66" s="3">
        <v>324.00127520706894</v>
      </c>
      <c r="C66" s="3">
        <v>587.29052922464518</v>
      </c>
      <c r="D66" s="3">
        <v>443.20998136027168</v>
      </c>
      <c r="E66" s="3">
        <v>479.15148089602877</v>
      </c>
      <c r="F66" s="3">
        <v>370.25110130398764</v>
      </c>
      <c r="G66" s="3">
        <v>409.60090559359054</v>
      </c>
      <c r="H66" s="3">
        <v>330.95124291748385</v>
      </c>
      <c r="I66" s="3">
        <v>260.74732241590851</v>
      </c>
      <c r="J66" s="3">
        <f t="shared" si="3"/>
        <v>0.49088224449655571</v>
      </c>
      <c r="K66" s="3">
        <f t="shared" si="4"/>
        <v>0.44541971527262875</v>
      </c>
      <c r="L66" s="3">
        <f t="shared" si="5"/>
        <v>0.40076116112904969</v>
      </c>
      <c r="M66" s="23">
        <v>43954</v>
      </c>
      <c r="N66" s="24">
        <v>238.125</v>
      </c>
      <c r="O66" s="24">
        <v>79.281249999999986</v>
      </c>
      <c r="P66" s="24">
        <v>20.914583333333336</v>
      </c>
      <c r="Q66" s="24">
        <v>0</v>
      </c>
      <c r="R66" s="24">
        <v>158.60416666666666</v>
      </c>
      <c r="S66" s="24">
        <v>4.895833333333333</v>
      </c>
      <c r="T66" s="24">
        <v>0.6875</v>
      </c>
      <c r="U66" s="24">
        <v>16.752083333333328</v>
      </c>
      <c r="V66" s="10">
        <v>0.67646842257452533</v>
      </c>
      <c r="W66" s="25">
        <v>0.32172916666666668</v>
      </c>
      <c r="X66" s="25">
        <v>0.39506250000000009</v>
      </c>
      <c r="Y66" s="25">
        <v>0.48658333333333331</v>
      </c>
      <c r="Z66" s="25">
        <v>0.54400000000000048</v>
      </c>
      <c r="AA66" s="25">
        <v>0.56897916666666626</v>
      </c>
      <c r="AB66" s="25">
        <v>0.36087499999999983</v>
      </c>
      <c r="AC66" s="25">
        <v>0.35162499999999991</v>
      </c>
      <c r="AD66" s="25">
        <v>0.30983333333333346</v>
      </c>
      <c r="AE66" s="25">
        <v>0.3929347826086958</v>
      </c>
      <c r="AF66" s="25">
        <v>0.24196296296296291</v>
      </c>
      <c r="AG66" s="25">
        <v>0.44289583333333321</v>
      </c>
      <c r="AH66" s="28">
        <f t="shared" si="6"/>
        <v>0.4453541666666665</v>
      </c>
      <c r="AI66" s="28">
        <f t="shared" si="7"/>
        <v>0.4079965277777779</v>
      </c>
      <c r="AJ66" s="28">
        <f t="shared" si="8"/>
        <v>0.41478882575757581</v>
      </c>
    </row>
    <row r="67" spans="1:36" x14ac:dyDescent="0.25">
      <c r="A67" s="9">
        <v>43955</v>
      </c>
      <c r="B67" s="3">
        <v>422.79422431383426</v>
      </c>
      <c r="C67" s="3">
        <v>810.16648105120032</v>
      </c>
      <c r="D67" s="3">
        <v>673.05128481625616</v>
      </c>
      <c r="E67" s="3">
        <v>711.32566918727855</v>
      </c>
      <c r="F67" s="3">
        <v>470.94479402571932</v>
      </c>
      <c r="G67" s="3">
        <v>570.33182825266397</v>
      </c>
      <c r="H67" s="3">
        <v>387.09331966492488</v>
      </c>
      <c r="I67" s="3">
        <v>316.86634343807395</v>
      </c>
      <c r="J67" s="3">
        <f t="shared" si="3"/>
        <v>0.74862432867840767</v>
      </c>
      <c r="K67" s="3">
        <f t="shared" si="4"/>
        <v>0.68085879486997836</v>
      </c>
      <c r="L67" s="3">
        <f t="shared" si="5"/>
        <v>0.51280959162012452</v>
      </c>
      <c r="M67" s="23">
        <v>43955</v>
      </c>
      <c r="N67" s="24">
        <v>251.27083333333334</v>
      </c>
      <c r="O67" s="24">
        <v>70.7</v>
      </c>
      <c r="P67" s="24">
        <v>24.397916666666674</v>
      </c>
      <c r="Q67" s="24">
        <v>0</v>
      </c>
      <c r="R67" s="24">
        <v>233.16666666666666</v>
      </c>
      <c r="S67" s="24">
        <v>12.75</v>
      </c>
      <c r="T67" s="24">
        <v>1.6458333333333333</v>
      </c>
      <c r="U67" s="24">
        <v>18.293749999999999</v>
      </c>
      <c r="V67" s="10">
        <v>1.0149771739138371</v>
      </c>
      <c r="W67" s="25">
        <v>0.31208333333333343</v>
      </c>
      <c r="X67" s="25">
        <v>0.39287499999999986</v>
      </c>
      <c r="Y67" s="25">
        <v>0.48716666666666669</v>
      </c>
      <c r="Z67" s="25">
        <v>0.54120833333333351</v>
      </c>
      <c r="AA67" s="25">
        <v>0.56068749999999978</v>
      </c>
      <c r="AB67" s="25">
        <v>0.35399999999999993</v>
      </c>
      <c r="AC67" s="25">
        <v>0.35197916666666645</v>
      </c>
      <c r="AD67" s="25">
        <v>0.30966666666666637</v>
      </c>
      <c r="AE67" s="25">
        <v>0.37970833333333337</v>
      </c>
      <c r="AF67" s="25">
        <v>0.21966666666666668</v>
      </c>
      <c r="AG67" s="25">
        <v>0.41052083333333328</v>
      </c>
      <c r="AH67" s="28">
        <f t="shared" si="6"/>
        <v>0.43638541666666664</v>
      </c>
      <c r="AI67" s="28">
        <f t="shared" si="7"/>
        <v>0.40614930555555545</v>
      </c>
      <c r="AJ67" s="28">
        <f t="shared" si="8"/>
        <v>0.41164678030303026</v>
      </c>
    </row>
    <row r="68" spans="1:36" x14ac:dyDescent="0.25">
      <c r="A68" s="9">
        <v>43956</v>
      </c>
      <c r="B68" s="3">
        <v>437.50154891409795</v>
      </c>
      <c r="C68" s="3">
        <v>853.27562203427476</v>
      </c>
      <c r="D68" s="3">
        <v>745.2795908031967</v>
      </c>
      <c r="E68" s="3">
        <v>750.94410867729971</v>
      </c>
      <c r="F68" s="3">
        <v>453.89182748014639</v>
      </c>
      <c r="G68" s="3">
        <v>537.57539200386873</v>
      </c>
      <c r="H68" s="3">
        <v>376.79557732736896</v>
      </c>
      <c r="I68" s="3">
        <v>311.0694315172322</v>
      </c>
      <c r="J68" s="3">
        <f t="shared" si="3"/>
        <v>0.82962053711473727</v>
      </c>
      <c r="K68" s="3">
        <f t="shared" si="4"/>
        <v>0.72103435873116328</v>
      </c>
      <c r="L68" s="3">
        <f t="shared" si="5"/>
        <v>0.4934924067120926</v>
      </c>
      <c r="M68" s="23">
        <v>43956</v>
      </c>
      <c r="N68" s="24">
        <v>241.04166666666666</v>
      </c>
      <c r="O68" s="24">
        <v>60.235416666666659</v>
      </c>
      <c r="P68" s="24">
        <v>25.197916666666661</v>
      </c>
      <c r="Q68" s="24">
        <v>0</v>
      </c>
      <c r="R68" s="24">
        <v>234.5</v>
      </c>
      <c r="S68" s="24">
        <v>9.0625</v>
      </c>
      <c r="T68" s="24">
        <v>1.3541666666666667</v>
      </c>
      <c r="U68" s="24">
        <v>16.264583333333331</v>
      </c>
      <c r="V68" s="10">
        <v>1.428374145840664</v>
      </c>
      <c r="W68" s="25">
        <v>0.30181250000000009</v>
      </c>
      <c r="X68" s="25">
        <v>0.39043750000000021</v>
      </c>
      <c r="Y68" s="25">
        <v>0.48685416666666653</v>
      </c>
      <c r="Z68" s="25">
        <v>0.53720833333333318</v>
      </c>
      <c r="AA68" s="25">
        <v>0.5474583333333336</v>
      </c>
      <c r="AB68" s="25">
        <v>0.34308333333333324</v>
      </c>
      <c r="AC68" s="25">
        <v>0.34958333333333336</v>
      </c>
      <c r="AD68" s="25">
        <v>0.30795833333333322</v>
      </c>
      <c r="AE68" s="25">
        <v>0.35935416666666681</v>
      </c>
      <c r="AF68" s="25">
        <v>0.19411111111111112</v>
      </c>
      <c r="AG68" s="25">
        <v>0.37387500000000001</v>
      </c>
      <c r="AH68" s="28">
        <f t="shared" si="6"/>
        <v>0.42463541666666682</v>
      </c>
      <c r="AI68" s="28">
        <f t="shared" si="7"/>
        <v>0.40252083333333322</v>
      </c>
      <c r="AJ68" s="28">
        <f t="shared" si="8"/>
        <v>0.40654166666666663</v>
      </c>
    </row>
    <row r="69" spans="1:36" x14ac:dyDescent="0.25">
      <c r="A69" s="9">
        <v>43957</v>
      </c>
      <c r="B69" s="3">
        <v>523.72097132327679</v>
      </c>
      <c r="C69" s="3">
        <v>797.64182494990087</v>
      </c>
      <c r="D69" s="3">
        <v>797.92540149240267</v>
      </c>
      <c r="E69" s="3">
        <v>853.59529066950518</v>
      </c>
      <c r="F69" s="3">
        <v>499.63421819351333</v>
      </c>
      <c r="G69" s="3">
        <v>572.20443608301252</v>
      </c>
      <c r="H69" s="3">
        <v>416.78710839320485</v>
      </c>
      <c r="I69" s="3">
        <v>329.71088860476772</v>
      </c>
      <c r="J69" s="3">
        <f t="shared" si="3"/>
        <v>0.88865710176369161</v>
      </c>
      <c r="K69" s="3">
        <f t="shared" si="4"/>
        <v>0.8251290472307623</v>
      </c>
      <c r="L69" s="3">
        <f t="shared" si="5"/>
        <v>0.53557962815997551</v>
      </c>
      <c r="M69" s="23">
        <v>43957</v>
      </c>
      <c r="N69" s="24">
        <v>260.41666666666669</v>
      </c>
      <c r="O69" s="24">
        <v>46.520833333333343</v>
      </c>
      <c r="P69" s="24">
        <v>27.718749999999996</v>
      </c>
      <c r="Q69" s="24">
        <v>0</v>
      </c>
      <c r="R69" s="24">
        <v>238.97916666666666</v>
      </c>
      <c r="S69" s="24">
        <v>17.291666666666668</v>
      </c>
      <c r="T69" s="24">
        <v>4.395833333333333</v>
      </c>
      <c r="U69" s="24">
        <v>14.962499999999997</v>
      </c>
      <c r="V69" s="10">
        <v>2.0779951544584025</v>
      </c>
      <c r="W69" s="25">
        <v>0.29037499999999999</v>
      </c>
      <c r="X69" s="25">
        <v>0.38622916666666662</v>
      </c>
      <c r="Y69" s="25">
        <v>0.48404166666666648</v>
      </c>
      <c r="Z69" s="25">
        <v>0.52908333333333335</v>
      </c>
      <c r="AA69" s="25">
        <v>0.52445833333333358</v>
      </c>
      <c r="AB69" s="25">
        <v>0.33243749999999994</v>
      </c>
      <c r="AC69" s="25">
        <v>0.34458333333333324</v>
      </c>
      <c r="AD69" s="25">
        <v>0.30458333333333332</v>
      </c>
      <c r="AE69" s="25">
        <v>0.33576744186046514</v>
      </c>
      <c r="AF69" s="25">
        <v>0.17310344827586205</v>
      </c>
      <c r="AG69" s="25">
        <v>0.32993750000000005</v>
      </c>
      <c r="AH69" s="28">
        <f t="shared" si="6"/>
        <v>0.40741666666666676</v>
      </c>
      <c r="AI69" s="28">
        <f t="shared" si="7"/>
        <v>0.39682638888888883</v>
      </c>
      <c r="AJ69" s="28">
        <f t="shared" si="8"/>
        <v>0.39875189393939392</v>
      </c>
    </row>
    <row r="70" spans="1:36" x14ac:dyDescent="0.25">
      <c r="A70" s="9">
        <v>43958</v>
      </c>
      <c r="B70" s="3">
        <v>552.93661729788232</v>
      </c>
      <c r="C70" s="3">
        <v>670.48508583019827</v>
      </c>
      <c r="D70" s="3">
        <v>822.1247467631996</v>
      </c>
      <c r="E70" s="3">
        <v>920.57173078242931</v>
      </c>
      <c r="F70" s="3">
        <v>499.11025477988323</v>
      </c>
      <c r="G70" s="3">
        <v>549.11156426544983</v>
      </c>
      <c r="H70" s="3">
        <v>455.44653804035067</v>
      </c>
      <c r="I70" s="3">
        <v>346.73107467043593</v>
      </c>
      <c r="J70" s="3">
        <f t="shared" si="3"/>
        <v>0.91579404187039393</v>
      </c>
      <c r="K70" s="3">
        <f t="shared" si="4"/>
        <v>0.8930473267387008</v>
      </c>
      <c r="L70" s="3">
        <f t="shared" si="5"/>
        <v>0.54777493486064388</v>
      </c>
      <c r="M70" s="23">
        <v>43958</v>
      </c>
      <c r="N70" s="24">
        <v>260.375</v>
      </c>
      <c r="O70" s="24">
        <v>38.104166666666664</v>
      </c>
      <c r="P70" s="24">
        <v>29.268749999999997</v>
      </c>
      <c r="Q70" s="24">
        <v>0</v>
      </c>
      <c r="R70" s="24">
        <v>232.79166666666666</v>
      </c>
      <c r="S70" s="24">
        <v>17.541666666666668</v>
      </c>
      <c r="T70" s="24">
        <v>3.6666666666666665</v>
      </c>
      <c r="U70" s="24">
        <v>13.002083333333331</v>
      </c>
      <c r="V70" s="10">
        <v>2.6513565643342383</v>
      </c>
      <c r="W70" s="25">
        <v>0.27912500000000023</v>
      </c>
      <c r="X70" s="25">
        <v>0.38068750000000001</v>
      </c>
      <c r="Y70" s="25">
        <v>0.47935416666666647</v>
      </c>
      <c r="Z70" s="25">
        <v>0.51510416666666681</v>
      </c>
      <c r="AA70" s="25">
        <v>0.4936875</v>
      </c>
      <c r="AB70" s="25">
        <v>0.32408333333333322</v>
      </c>
      <c r="AC70" s="25">
        <v>0.33847916666666689</v>
      </c>
      <c r="AD70" s="25">
        <v>0.30018750000000011</v>
      </c>
      <c r="AE70" s="25">
        <v>0.30209302325581394</v>
      </c>
      <c r="AF70" s="25">
        <v>0.15026086956521736</v>
      </c>
      <c r="AG70" s="25">
        <v>0.28914583333333338</v>
      </c>
      <c r="AH70" s="28">
        <f t="shared" si="6"/>
        <v>0.38640625000000012</v>
      </c>
      <c r="AI70" s="28">
        <f t="shared" si="7"/>
        <v>0.38964930555555566</v>
      </c>
      <c r="AJ70" s="28">
        <f t="shared" si="8"/>
        <v>0.38905965909090917</v>
      </c>
    </row>
    <row r="71" spans="1:36" x14ac:dyDescent="0.25">
      <c r="A71" s="9">
        <v>43959</v>
      </c>
      <c r="B71" s="3">
        <v>590.6638296009429</v>
      </c>
      <c r="C71" s="3">
        <v>484.07845639168391</v>
      </c>
      <c r="D71" s="3">
        <v>739.46418076210182</v>
      </c>
      <c r="E71" s="3">
        <v>833.74295474621476</v>
      </c>
      <c r="F71" s="3">
        <v>444.15746175492609</v>
      </c>
      <c r="G71" s="3">
        <v>462.92371652927301</v>
      </c>
      <c r="H71" s="3">
        <v>405.53485289375556</v>
      </c>
      <c r="I71" s="3">
        <v>354.30584413673557</v>
      </c>
      <c r="J71" s="3">
        <f t="shared" si="3"/>
        <v>0.82309918572216256</v>
      </c>
      <c r="K71" s="3">
        <f t="shared" si="4"/>
        <v>0.80499754281144409</v>
      </c>
      <c r="L71" s="3">
        <f t="shared" si="5"/>
        <v>0.49591793386055422</v>
      </c>
      <c r="M71" s="23">
        <v>43959</v>
      </c>
      <c r="N71" s="24">
        <v>266.5625</v>
      </c>
      <c r="O71" s="24">
        <v>39.072916666666671</v>
      </c>
      <c r="P71" s="24">
        <v>29.022916666666671</v>
      </c>
      <c r="Q71" s="24">
        <v>0</v>
      </c>
      <c r="R71" s="24">
        <v>230.95833333333334</v>
      </c>
      <c r="S71" s="24">
        <v>13.354166666666666</v>
      </c>
      <c r="T71" s="24">
        <v>2.9583333333333335</v>
      </c>
      <c r="U71" s="24">
        <v>12.970833333333337</v>
      </c>
      <c r="V71" s="10">
        <v>2.5666203821095546</v>
      </c>
      <c r="W71" s="25">
        <v>0.26989583333333339</v>
      </c>
      <c r="X71" s="25">
        <v>0.37372916666666661</v>
      </c>
      <c r="Y71" s="25">
        <v>0.47381249999999975</v>
      </c>
      <c r="Z71" s="25">
        <v>0.49572916666666655</v>
      </c>
      <c r="AA71" s="25">
        <v>0.46772916666666636</v>
      </c>
      <c r="AB71" s="25">
        <v>0.31889583333333343</v>
      </c>
      <c r="AC71" s="25">
        <v>0.33258333333333345</v>
      </c>
      <c r="AD71" s="25">
        <v>0.29535416666666653</v>
      </c>
      <c r="AE71" s="25">
        <v>0.26302499999999995</v>
      </c>
      <c r="AF71" s="25">
        <v>0.13552173913043475</v>
      </c>
      <c r="AG71" s="25">
        <v>0.26329166666666665</v>
      </c>
      <c r="AH71" s="28">
        <f t="shared" si="6"/>
        <v>0.36881249999999988</v>
      </c>
      <c r="AI71" s="28">
        <f t="shared" si="7"/>
        <v>0.38168402777777771</v>
      </c>
      <c r="AJ71" s="28">
        <f t="shared" si="8"/>
        <v>0.37934374999999992</v>
      </c>
    </row>
    <row r="72" spans="1:36" x14ac:dyDescent="0.25">
      <c r="A72" s="9">
        <v>43960</v>
      </c>
      <c r="B72" s="3">
        <v>579.24074425338506</v>
      </c>
      <c r="C72" s="3">
        <v>249.55959265343543</v>
      </c>
      <c r="D72" s="3">
        <v>571.25068718222099</v>
      </c>
      <c r="E72" s="3">
        <v>842.48732618834231</v>
      </c>
      <c r="F72" s="3">
        <v>427.12687869262282</v>
      </c>
      <c r="G72" s="3">
        <v>449.2320250576538</v>
      </c>
      <c r="H72" s="3">
        <v>377.18271246213556</v>
      </c>
      <c r="I72" s="3">
        <v>334.89613557517515</v>
      </c>
      <c r="J72" s="3">
        <f t="shared" si="3"/>
        <v>0.63446600373582807</v>
      </c>
      <c r="K72" s="3">
        <f t="shared" si="4"/>
        <v>0.81386487978436051</v>
      </c>
      <c r="L72" s="3">
        <f t="shared" si="5"/>
        <v>0.47093735447826113</v>
      </c>
      <c r="M72" s="23">
        <v>43960</v>
      </c>
      <c r="N72" s="24">
        <v>266.47916666666669</v>
      </c>
      <c r="O72" s="24">
        <v>51.59375</v>
      </c>
      <c r="P72" s="24">
        <v>26.668749999999999</v>
      </c>
      <c r="Q72" s="24">
        <v>0</v>
      </c>
      <c r="R72" s="24">
        <v>228.33333333333334</v>
      </c>
      <c r="S72" s="24">
        <v>12.541666666666666</v>
      </c>
      <c r="T72" s="24">
        <v>1.375</v>
      </c>
      <c r="U72" s="24">
        <v>14.095833333333337</v>
      </c>
      <c r="V72" s="10">
        <v>1.9406293191005999</v>
      </c>
      <c r="W72" s="25">
        <v>0.26245833333333335</v>
      </c>
      <c r="X72" s="25">
        <v>0.36560416666666673</v>
      </c>
      <c r="Y72" s="25">
        <v>0.46687499999999998</v>
      </c>
      <c r="Z72" s="25">
        <v>0.47845833333333315</v>
      </c>
      <c r="AA72" s="25">
        <v>0.44977083333333329</v>
      </c>
      <c r="AB72" s="25">
        <v>0.31597916666666659</v>
      </c>
      <c r="AC72" s="25">
        <v>0.32793749999999994</v>
      </c>
      <c r="AD72" s="25">
        <v>0.29116666666666641</v>
      </c>
      <c r="AE72" s="25">
        <v>0.2308372093023256</v>
      </c>
      <c r="AF72" s="25">
        <v>0.12712499999999996</v>
      </c>
      <c r="AG72" s="25">
        <v>0.24970833333333331</v>
      </c>
      <c r="AH72" s="28">
        <f t="shared" si="6"/>
        <v>0.35611458333333335</v>
      </c>
      <c r="AI72" s="28">
        <f t="shared" si="7"/>
        <v>0.37433680555555543</v>
      </c>
      <c r="AJ72" s="28">
        <f t="shared" si="8"/>
        <v>0.37102367424242416</v>
      </c>
    </row>
    <row r="73" spans="1:36" x14ac:dyDescent="0.25">
      <c r="A73" s="9">
        <v>43961</v>
      </c>
      <c r="B73" s="3">
        <v>446.72751897556179</v>
      </c>
      <c r="C73" s="3">
        <v>197.51397229389377</v>
      </c>
      <c r="D73" s="3">
        <v>516.81694333406324</v>
      </c>
      <c r="E73" s="3">
        <v>693.25929080876756</v>
      </c>
      <c r="F73" s="3">
        <v>360.09959034164331</v>
      </c>
      <c r="G73" s="3">
        <v>339.27311986180172</v>
      </c>
      <c r="H73" s="3">
        <v>305.63038641644619</v>
      </c>
      <c r="I73" s="3">
        <v>276.46450482639432</v>
      </c>
      <c r="J73" s="3">
        <f t="shared" ref="J73:J136" si="9">(D73-$D$2)/$D$1</f>
        <v>0.57342446603878827</v>
      </c>
      <c r="K73" s="3">
        <f t="shared" ref="K73:K136" si="10">(E73-$E$2)/$E$1</f>
        <v>0.66253836257559151</v>
      </c>
      <c r="L73" s="3">
        <f t="shared" ref="L73:L136" si="11">((F73-$F$2)/$F$1+(G73-$G$2)/$G$1+(H73-$H$2)/$H$1+(I73-$I$2)/$I$1)/4</f>
        <v>0.37658114808661963</v>
      </c>
      <c r="M73" s="23">
        <v>43961</v>
      </c>
      <c r="N73" s="24">
        <v>167.97916666666666</v>
      </c>
      <c r="O73" s="24">
        <v>67.637499999999974</v>
      </c>
      <c r="P73" s="24">
        <v>20.825000000000003</v>
      </c>
      <c r="Q73" s="24">
        <v>0</v>
      </c>
      <c r="R73" s="24">
        <v>225.375</v>
      </c>
      <c r="S73" s="24">
        <v>7.645833333333333</v>
      </c>
      <c r="T73" s="24">
        <v>0.77083333333333337</v>
      </c>
      <c r="U73" s="24">
        <v>14.46875</v>
      </c>
      <c r="V73" s="10">
        <v>0.84952965248729972</v>
      </c>
      <c r="W73" s="25">
        <v>0.25602083333333336</v>
      </c>
      <c r="X73" s="25">
        <v>0.35706250000000006</v>
      </c>
      <c r="Y73" s="25">
        <v>0.4587499999999996</v>
      </c>
      <c r="Z73" s="25">
        <v>0.4644583333333332</v>
      </c>
      <c r="AA73" s="25">
        <v>0.43562500000000015</v>
      </c>
      <c r="AB73" s="25">
        <v>0.3128749999999999</v>
      </c>
      <c r="AC73" s="25">
        <v>0.32454166666666645</v>
      </c>
      <c r="AD73" s="25">
        <v>0.28779166666666672</v>
      </c>
      <c r="AE73" s="25">
        <v>0.20572340425531913</v>
      </c>
      <c r="AF73" s="25">
        <v>0.11894117647058822</v>
      </c>
      <c r="AG73" s="25">
        <v>0.24191666666666659</v>
      </c>
      <c r="AH73" s="28">
        <f t="shared" ref="AH73:AH136" si="12">AVERAGE(W73,AA73)</f>
        <v>0.34582291666666676</v>
      </c>
      <c r="AI73" s="28">
        <f t="shared" ref="AI73:AI136" si="13">AVERAGE(X73:Z73,AB73:AD73)</f>
        <v>0.36757986111111102</v>
      </c>
      <c r="AJ73" s="28">
        <f t="shared" ref="AJ73:AJ136" si="14">(AH73*10+AI73*45)/55</f>
        <v>0.36362405303030298</v>
      </c>
    </row>
    <row r="74" spans="1:36" x14ac:dyDescent="0.25">
      <c r="A74" s="9">
        <v>43963</v>
      </c>
      <c r="B74" s="3">
        <v>381.36920277796753</v>
      </c>
      <c r="C74" s="3">
        <v>455.91452099336311</v>
      </c>
      <c r="D74" s="3">
        <v>456.61121654042262</v>
      </c>
      <c r="E74" s="3">
        <v>434.3724695888252</v>
      </c>
      <c r="F74" s="3">
        <v>278.66210144427555</v>
      </c>
      <c r="G74" s="3">
        <v>230.43972110725022</v>
      </c>
      <c r="H74" s="3">
        <v>214.88713665027271</v>
      </c>
      <c r="I74" s="3">
        <v>212.86974753284244</v>
      </c>
      <c r="J74" s="3">
        <f t="shared" si="9"/>
        <v>0.50591027572508873</v>
      </c>
      <c r="K74" s="3">
        <f t="shared" si="10"/>
        <v>0.40001101034707504</v>
      </c>
      <c r="L74" s="3">
        <f t="shared" si="11"/>
        <v>0.27052482529075922</v>
      </c>
      <c r="M74" s="23">
        <v>43963</v>
      </c>
      <c r="N74" s="24">
        <v>108.8125</v>
      </c>
      <c r="O74" s="24">
        <v>72.472916666666677</v>
      </c>
      <c r="P74" s="24">
        <v>17.964583333333326</v>
      </c>
      <c r="Q74" s="24">
        <v>0</v>
      </c>
      <c r="R74" s="24">
        <v>201.35416666666666</v>
      </c>
      <c r="S74" s="24">
        <v>5.833333333333333</v>
      </c>
      <c r="T74" s="24">
        <v>0.375</v>
      </c>
      <c r="U74" s="24">
        <v>12.887499999999996</v>
      </c>
      <c r="V74" s="10">
        <v>0.5830936900139444</v>
      </c>
      <c r="W74" s="25">
        <v>0.25410416666666663</v>
      </c>
      <c r="X74" s="25">
        <v>0.34870833333333323</v>
      </c>
      <c r="Y74" s="25">
        <v>0.44437500000000013</v>
      </c>
      <c r="Z74" s="25">
        <v>0.4502083333333331</v>
      </c>
      <c r="AA74" s="25">
        <v>0.43099999999999961</v>
      </c>
      <c r="AB74" s="25">
        <v>0.31279166666666636</v>
      </c>
      <c r="AC74" s="25">
        <v>0.3212916666666667</v>
      </c>
      <c r="AD74" s="25">
        <v>0.28460416666666699</v>
      </c>
      <c r="AE74" s="25">
        <v>0.22445833333333334</v>
      </c>
      <c r="AF74" s="25">
        <v>0.1497727272727272</v>
      </c>
      <c r="AG74" s="25">
        <v>0.26395833333333318</v>
      </c>
      <c r="AH74" s="28">
        <f t="shared" si="12"/>
        <v>0.34255208333333309</v>
      </c>
      <c r="AI74" s="28">
        <f t="shared" si="13"/>
        <v>0.36032986111111115</v>
      </c>
      <c r="AJ74" s="28">
        <f t="shared" si="14"/>
        <v>0.35709753787878784</v>
      </c>
    </row>
    <row r="75" spans="1:36" x14ac:dyDescent="0.25">
      <c r="A75" s="9">
        <v>43964</v>
      </c>
      <c r="B75" s="3">
        <v>533.59183624290881</v>
      </c>
      <c r="C75" s="3">
        <v>730.42461489044808</v>
      </c>
      <c r="D75" s="3">
        <v>651.41308107922896</v>
      </c>
      <c r="E75" s="3">
        <v>728.22148286605079</v>
      </c>
      <c r="F75" s="3">
        <v>401.09389554328902</v>
      </c>
      <c r="G75" s="3">
        <v>368.59771623562449</v>
      </c>
      <c r="H75" s="3">
        <v>308.52277186191515</v>
      </c>
      <c r="I75" s="3">
        <v>314.93577352703193</v>
      </c>
      <c r="J75" s="3">
        <f t="shared" si="9"/>
        <v>0.72435943091950272</v>
      </c>
      <c r="K75" s="3">
        <f t="shared" si="10"/>
        <v>0.6979922016920509</v>
      </c>
      <c r="L75" s="3">
        <f t="shared" si="11"/>
        <v>0.41198693214827969</v>
      </c>
      <c r="M75" s="23">
        <v>43964</v>
      </c>
      <c r="N75" s="24">
        <v>203.6875</v>
      </c>
      <c r="O75" s="24">
        <v>73.997916666666654</v>
      </c>
      <c r="P75" s="24">
        <v>22.216666666666665</v>
      </c>
      <c r="Q75" s="24">
        <v>0</v>
      </c>
      <c r="R75" s="24">
        <v>231.64583333333334</v>
      </c>
      <c r="S75" s="24">
        <v>19.416666666666668</v>
      </c>
      <c r="T75" s="24">
        <v>5.395833333333333</v>
      </c>
      <c r="U75" s="24">
        <v>17.162499999999998</v>
      </c>
      <c r="V75" s="10">
        <v>0.77101966255554544</v>
      </c>
      <c r="W75" s="25">
        <v>0.25208333333333327</v>
      </c>
      <c r="X75" s="25">
        <v>0.34520833333333328</v>
      </c>
      <c r="Y75" s="25">
        <v>0.43991666666666657</v>
      </c>
      <c r="Z75" s="25">
        <v>0.44339583333333338</v>
      </c>
      <c r="AA75" s="25">
        <v>0.42756249999999979</v>
      </c>
      <c r="AB75" s="25">
        <v>0.31112500000000004</v>
      </c>
      <c r="AC75" s="25">
        <v>0.31925000000000009</v>
      </c>
      <c r="AD75" s="25">
        <v>0.28320833333333323</v>
      </c>
      <c r="AE75" s="25">
        <v>0.22043750000000004</v>
      </c>
      <c r="AF75" s="25">
        <v>0.14174468085106381</v>
      </c>
      <c r="AG75" s="25">
        <v>0.25368750000000007</v>
      </c>
      <c r="AH75" s="28">
        <f t="shared" si="12"/>
        <v>0.33982291666666653</v>
      </c>
      <c r="AI75" s="28">
        <f t="shared" si="13"/>
        <v>0.3570173611111111</v>
      </c>
      <c r="AJ75" s="28">
        <f t="shared" si="14"/>
        <v>0.35389109848484851</v>
      </c>
    </row>
    <row r="76" spans="1:36" x14ac:dyDescent="0.25">
      <c r="A76" s="9">
        <v>43965</v>
      </c>
      <c r="B76" s="3">
        <v>568.49598811576118</v>
      </c>
      <c r="C76" s="3">
        <v>412.09782123232168</v>
      </c>
      <c r="D76" s="3">
        <v>638.04770415704809</v>
      </c>
      <c r="E76" s="3">
        <v>812.94514914013575</v>
      </c>
      <c r="F76" s="3">
        <v>402.06313958625918</v>
      </c>
      <c r="G76" s="3">
        <v>367.14289784841588</v>
      </c>
      <c r="H76" s="3">
        <v>304.89818308354796</v>
      </c>
      <c r="I76" s="3">
        <v>332.17486573185732</v>
      </c>
      <c r="J76" s="3">
        <f t="shared" si="9"/>
        <v>0.70937161083668354</v>
      </c>
      <c r="K76" s="3">
        <f t="shared" si="10"/>
        <v>0.7839072732789959</v>
      </c>
      <c r="L76" s="3">
        <f t="shared" si="11"/>
        <v>0.41744181428433802</v>
      </c>
      <c r="M76" s="23">
        <v>43965</v>
      </c>
      <c r="N76" s="24">
        <v>215.625</v>
      </c>
      <c r="O76" s="24">
        <v>67.756250000000009</v>
      </c>
      <c r="P76" s="24">
        <v>23.027083333333323</v>
      </c>
      <c r="Q76" s="24">
        <v>0</v>
      </c>
      <c r="R76" s="24">
        <v>236.02083333333334</v>
      </c>
      <c r="S76" s="24">
        <v>7.958333333333333</v>
      </c>
      <c r="T76" s="24">
        <v>0.97916666666666663</v>
      </c>
      <c r="U76" s="24">
        <v>16.341666666666665</v>
      </c>
      <c r="V76" s="10">
        <v>1.0125076451467236</v>
      </c>
      <c r="W76" s="25">
        <v>0.24991666666666665</v>
      </c>
      <c r="X76" s="25">
        <v>0.34254166666666658</v>
      </c>
      <c r="Y76" s="25">
        <v>0.43729166666666641</v>
      </c>
      <c r="Z76" s="25">
        <v>0.43595833333333317</v>
      </c>
      <c r="AA76" s="25">
        <v>0.42437499999999967</v>
      </c>
      <c r="AB76" s="25">
        <v>0.31050000000000022</v>
      </c>
      <c r="AC76" s="25">
        <v>0.31754166666666689</v>
      </c>
      <c r="AD76" s="25">
        <v>0.28106249999999972</v>
      </c>
      <c r="AE76" s="25">
        <v>0.21139583333333331</v>
      </c>
      <c r="AF76" s="25">
        <v>0.13020833333333334</v>
      </c>
      <c r="AG76" s="25">
        <v>0.24660416666666662</v>
      </c>
      <c r="AH76" s="28">
        <f t="shared" si="12"/>
        <v>0.33714583333333314</v>
      </c>
      <c r="AI76" s="28">
        <f t="shared" si="13"/>
        <v>0.35414930555555552</v>
      </c>
      <c r="AJ76" s="28">
        <f t="shared" si="14"/>
        <v>0.3510577651515151</v>
      </c>
    </row>
    <row r="77" spans="1:36" x14ac:dyDescent="0.25">
      <c r="A77" s="9">
        <v>43967</v>
      </c>
      <c r="B77" s="3">
        <v>492.60467758806362</v>
      </c>
      <c r="C77" s="3">
        <v>488.71741545712229</v>
      </c>
      <c r="D77" s="3">
        <v>643.0482498263375</v>
      </c>
      <c r="E77" s="3">
        <v>630.7194164206486</v>
      </c>
      <c r="F77" s="3">
        <v>310.95972854264909</v>
      </c>
      <c r="G77" s="3">
        <v>320.53969564127163</v>
      </c>
      <c r="H77" s="3">
        <v>278.98655994133276</v>
      </c>
      <c r="I77" s="3">
        <v>251.28832673419231</v>
      </c>
      <c r="J77" s="3">
        <f t="shared" si="9"/>
        <v>0.71497918024857565</v>
      </c>
      <c r="K77" s="3">
        <f t="shared" si="10"/>
        <v>0.59911903688551205</v>
      </c>
      <c r="L77" s="3">
        <f t="shared" si="11"/>
        <v>0.3396139738345072</v>
      </c>
      <c r="M77" s="23">
        <v>43967</v>
      </c>
      <c r="N77" s="24">
        <v>200.35416666666666</v>
      </c>
      <c r="O77" s="24">
        <v>71.591666666666669</v>
      </c>
      <c r="P77" s="24">
        <v>22.137500000000003</v>
      </c>
      <c r="Q77" s="24">
        <v>0.2</v>
      </c>
      <c r="R77" s="24">
        <v>232.60416666666666</v>
      </c>
      <c r="S77" s="24">
        <v>6.104166666666667</v>
      </c>
      <c r="T77" s="24">
        <v>0.20833333333333334</v>
      </c>
      <c r="U77" s="24">
        <v>16.429166666666667</v>
      </c>
      <c r="V77" s="10">
        <v>0.84092451406757951</v>
      </c>
      <c r="W77" s="25">
        <v>0.24852083333333316</v>
      </c>
      <c r="X77" s="25">
        <v>0.33908333333333301</v>
      </c>
      <c r="Y77" s="25">
        <v>0.43239583333333337</v>
      </c>
      <c r="Z77" s="25">
        <v>0.42885416666666659</v>
      </c>
      <c r="AA77" s="25">
        <v>0.4229583333333336</v>
      </c>
      <c r="AB77" s="25">
        <v>0.31033333333333352</v>
      </c>
      <c r="AC77" s="25">
        <v>0.3151666666666666</v>
      </c>
      <c r="AD77" s="25">
        <v>0.27881250000000019</v>
      </c>
      <c r="AE77" s="25">
        <v>0.21156250000000007</v>
      </c>
      <c r="AF77" s="25">
        <v>0.15620833333333328</v>
      </c>
      <c r="AG77" s="25">
        <v>0.25904166666666673</v>
      </c>
      <c r="AH77" s="28">
        <f t="shared" si="12"/>
        <v>0.33573958333333337</v>
      </c>
      <c r="AI77" s="28">
        <f t="shared" si="13"/>
        <v>0.35077430555555561</v>
      </c>
      <c r="AJ77" s="28">
        <f t="shared" si="14"/>
        <v>0.34804071969696976</v>
      </c>
    </row>
    <row r="78" spans="1:36" x14ac:dyDescent="0.25">
      <c r="A78" s="9">
        <v>43969</v>
      </c>
      <c r="B78" s="3">
        <v>411.86679855265021</v>
      </c>
      <c r="C78" s="3">
        <v>617.55559256343429</v>
      </c>
      <c r="D78" s="3">
        <v>647.11171438269457</v>
      </c>
      <c r="E78" s="3">
        <v>601.71485817504367</v>
      </c>
      <c r="F78" s="3">
        <v>292.93399192293958</v>
      </c>
      <c r="G78" s="3">
        <v>340.37708242325846</v>
      </c>
      <c r="H78" s="3">
        <v>306.67099111588658</v>
      </c>
      <c r="I78" s="3">
        <v>272.10617525550248</v>
      </c>
      <c r="J78" s="3">
        <f t="shared" si="9"/>
        <v>0.71953591486505475</v>
      </c>
      <c r="K78" s="3">
        <f t="shared" si="10"/>
        <v>0.56970660931235495</v>
      </c>
      <c r="L78" s="3">
        <f t="shared" si="11"/>
        <v>0.35696243422652918</v>
      </c>
      <c r="M78" s="23">
        <v>43969</v>
      </c>
      <c r="N78" s="24">
        <v>266.8125</v>
      </c>
      <c r="O78" s="24">
        <v>65.349999999999994</v>
      </c>
      <c r="P78" s="24">
        <v>21.635416666666671</v>
      </c>
      <c r="Q78" s="24">
        <v>0</v>
      </c>
      <c r="R78" s="24">
        <v>212.375</v>
      </c>
      <c r="S78" s="24">
        <v>3.8958333333333335</v>
      </c>
      <c r="T78" s="24">
        <v>0.10416666666666667</v>
      </c>
      <c r="U78" s="24">
        <v>13.310416666666667</v>
      </c>
      <c r="V78" s="10">
        <v>1.1595179633070989</v>
      </c>
      <c r="W78" s="25">
        <v>0.24770833333333322</v>
      </c>
      <c r="X78" s="25">
        <v>0.3353125000000004</v>
      </c>
      <c r="Y78" s="25">
        <v>0.42752083333333318</v>
      </c>
      <c r="Z78" s="25">
        <v>0.42485416666666631</v>
      </c>
      <c r="AA78" s="25">
        <v>0.41789583333333313</v>
      </c>
      <c r="AB78" s="25">
        <v>0.30918749999999973</v>
      </c>
      <c r="AC78" s="25">
        <v>0.31347916666666686</v>
      </c>
      <c r="AD78" s="25">
        <v>0.27741666666666642</v>
      </c>
      <c r="AE78" s="25">
        <v>0.22960416666666669</v>
      </c>
      <c r="AF78" s="25">
        <v>0.19387500000000005</v>
      </c>
      <c r="AG78" s="25">
        <v>0.29775000000000001</v>
      </c>
      <c r="AH78" s="28">
        <f t="shared" si="12"/>
        <v>0.33280208333333317</v>
      </c>
      <c r="AI78" s="28">
        <f t="shared" si="13"/>
        <v>0.3479618055555555</v>
      </c>
      <c r="AJ78" s="28">
        <f t="shared" si="14"/>
        <v>0.34520549242424231</v>
      </c>
    </row>
    <row r="79" spans="1:36" x14ac:dyDescent="0.25">
      <c r="A79" s="9">
        <v>43971</v>
      </c>
      <c r="B79" s="3">
        <v>417.23871090797991</v>
      </c>
      <c r="C79" s="3">
        <v>592.93732911275197</v>
      </c>
      <c r="D79" s="3">
        <v>584.03680638463322</v>
      </c>
      <c r="E79" s="3">
        <v>591.69307930981108</v>
      </c>
      <c r="F79" s="3">
        <v>296.31259123383842</v>
      </c>
      <c r="G79" s="3">
        <v>314.42209102767163</v>
      </c>
      <c r="H79" s="3">
        <v>293.3668220735608</v>
      </c>
      <c r="I79" s="3">
        <v>302.68153401510773</v>
      </c>
      <c r="J79" s="3">
        <f t="shared" si="9"/>
        <v>0.64880424913504298</v>
      </c>
      <c r="K79" s="3">
        <f t="shared" si="10"/>
        <v>0.55954390169475077</v>
      </c>
      <c r="L79" s="3">
        <f t="shared" si="11"/>
        <v>0.35843490946758466</v>
      </c>
      <c r="M79" s="23">
        <v>43971</v>
      </c>
      <c r="N79" s="24">
        <v>180.14583333333334</v>
      </c>
      <c r="O79" s="24">
        <v>77.627083333333331</v>
      </c>
      <c r="P79" s="24">
        <v>23.635416666666668</v>
      </c>
      <c r="Q79" s="24">
        <v>0.5</v>
      </c>
      <c r="R79" s="24">
        <v>230.54166666666666</v>
      </c>
      <c r="S79" s="24">
        <v>8.25</v>
      </c>
      <c r="T79" s="24">
        <v>0.85416666666666663</v>
      </c>
      <c r="U79" s="24">
        <v>19.250000000000004</v>
      </c>
      <c r="V79" s="10">
        <v>0.74059744913919745</v>
      </c>
      <c r="W79" s="25">
        <v>0.2616458333333333</v>
      </c>
      <c r="X79" s="25">
        <v>0.34562500000000007</v>
      </c>
      <c r="Y79" s="25">
        <v>0.42654166666666665</v>
      </c>
      <c r="Z79" s="25">
        <v>0.422645833333333</v>
      </c>
      <c r="AA79" s="25">
        <v>0.42993750000000036</v>
      </c>
      <c r="AB79" s="25">
        <v>0.30991666666666684</v>
      </c>
      <c r="AC79" s="25">
        <v>0.31197916666666647</v>
      </c>
      <c r="AD79" s="25">
        <v>0.27583333333333321</v>
      </c>
      <c r="AE79" s="25">
        <v>0.27772916666666675</v>
      </c>
      <c r="AF79" s="25">
        <v>0.21647500000000006</v>
      </c>
      <c r="AG79" s="25">
        <v>0.39585416666666678</v>
      </c>
      <c r="AH79" s="28">
        <f t="shared" si="12"/>
        <v>0.34579166666666683</v>
      </c>
      <c r="AI79" s="28">
        <f t="shared" si="13"/>
        <v>0.34875694444444433</v>
      </c>
      <c r="AJ79" s="28">
        <f t="shared" si="14"/>
        <v>0.34821780303030297</v>
      </c>
    </row>
    <row r="80" spans="1:36" x14ac:dyDescent="0.25">
      <c r="A80" s="9">
        <v>43973</v>
      </c>
      <c r="B80" s="3">
        <v>344.61229003042325</v>
      </c>
      <c r="C80" s="3">
        <v>517.85065613439804</v>
      </c>
      <c r="D80" s="3">
        <v>537.81895680985906</v>
      </c>
      <c r="E80" s="3">
        <v>468.95447625271555</v>
      </c>
      <c r="F80" s="3">
        <v>300.38125110856413</v>
      </c>
      <c r="G80" s="3">
        <v>262.13295074464628</v>
      </c>
      <c r="H80" s="3">
        <v>236.51800096992363</v>
      </c>
      <c r="I80" s="3">
        <v>217.29184445598835</v>
      </c>
      <c r="J80" s="3">
        <f t="shared" si="9"/>
        <v>0.59697594544598531</v>
      </c>
      <c r="K80" s="3">
        <f t="shared" si="10"/>
        <v>0.43507931780837694</v>
      </c>
      <c r="L80" s="3">
        <f t="shared" si="11"/>
        <v>0.29385223575438818</v>
      </c>
      <c r="M80" s="23">
        <v>43973</v>
      </c>
      <c r="N80" s="24">
        <v>120.83333333333333</v>
      </c>
      <c r="O80" s="24">
        <v>79.643750000000011</v>
      </c>
      <c r="P80" s="24">
        <v>19.235416666666662</v>
      </c>
      <c r="Q80" s="24">
        <v>0.7</v>
      </c>
      <c r="R80" s="24">
        <v>175.8125</v>
      </c>
      <c r="S80" s="24">
        <v>2.6458333333333335</v>
      </c>
      <c r="T80" s="24">
        <v>0</v>
      </c>
      <c r="U80" s="24">
        <v>15.483333333333336</v>
      </c>
      <c r="V80" s="10">
        <v>0.48758419530153557</v>
      </c>
      <c r="W80" s="25">
        <v>0.26170833333333332</v>
      </c>
      <c r="X80" s="25">
        <v>0.35093750000000012</v>
      </c>
      <c r="Y80" s="25">
        <v>0.43254166666666682</v>
      </c>
      <c r="Z80" s="25">
        <v>0.42712499999999975</v>
      </c>
      <c r="AA80" s="25">
        <v>0.44197916666666659</v>
      </c>
      <c r="AB80" s="25">
        <v>0.31097916666666675</v>
      </c>
      <c r="AC80" s="25">
        <v>0.31416666666666665</v>
      </c>
      <c r="AD80" s="25">
        <v>0.27699999999999975</v>
      </c>
      <c r="AE80" s="25">
        <v>0.3264791666666666</v>
      </c>
      <c r="AF80" s="25">
        <v>0.20413157894736841</v>
      </c>
      <c r="AG80" s="25">
        <v>0.40158333333333335</v>
      </c>
      <c r="AH80" s="28">
        <f t="shared" si="12"/>
        <v>0.35184374999999996</v>
      </c>
      <c r="AI80" s="28">
        <f t="shared" si="13"/>
        <v>0.35212500000000002</v>
      </c>
      <c r="AJ80" s="28">
        <f t="shared" si="14"/>
        <v>0.35207386363636367</v>
      </c>
    </row>
    <row r="81" spans="1:36" x14ac:dyDescent="0.25">
      <c r="A81" s="9">
        <v>43974</v>
      </c>
      <c r="B81" s="3">
        <v>293.73190927936383</v>
      </c>
      <c r="C81" s="3">
        <v>275.73623906702232</v>
      </c>
      <c r="D81" s="3">
        <v>376.79702214538713</v>
      </c>
      <c r="E81" s="3">
        <v>342.45894835452606</v>
      </c>
      <c r="F81" s="3">
        <v>200.71965564622917</v>
      </c>
      <c r="G81" s="3">
        <v>137.7489629151477</v>
      </c>
      <c r="H81" s="3">
        <v>145.89842952111587</v>
      </c>
      <c r="I81" s="3">
        <v>136.06641890011252</v>
      </c>
      <c r="J81" s="3">
        <f t="shared" si="9"/>
        <v>0.41640731650343837</v>
      </c>
      <c r="K81" s="3">
        <f t="shared" si="10"/>
        <v>0.30680497826736508</v>
      </c>
      <c r="L81" s="3">
        <f t="shared" si="11"/>
        <v>0.17159237264954527</v>
      </c>
      <c r="M81" s="23">
        <v>43974</v>
      </c>
      <c r="N81" s="24">
        <v>58.395833333333336</v>
      </c>
      <c r="O81" s="24">
        <v>73.331250000000026</v>
      </c>
      <c r="P81" s="24">
        <v>18.579166666666669</v>
      </c>
      <c r="Q81" s="24">
        <v>0</v>
      </c>
      <c r="R81" s="24">
        <v>112.20833333333333</v>
      </c>
      <c r="S81" s="24">
        <v>0.3125</v>
      </c>
      <c r="T81" s="24">
        <v>0</v>
      </c>
      <c r="U81" s="24">
        <v>13.68125</v>
      </c>
      <c r="V81" s="10">
        <v>0.57999059396266039</v>
      </c>
      <c r="W81" s="25">
        <v>0.25650000000000023</v>
      </c>
      <c r="X81" s="25">
        <v>0.34518749999999998</v>
      </c>
      <c r="Y81" s="25">
        <v>0.42999999999999966</v>
      </c>
      <c r="Z81" s="25">
        <v>0.42656249999999951</v>
      </c>
      <c r="AA81" s="25">
        <v>0.4331041666666664</v>
      </c>
      <c r="AB81" s="25">
        <v>0.30997916666666669</v>
      </c>
      <c r="AC81" s="25">
        <v>0.31452083333333331</v>
      </c>
      <c r="AD81" s="25">
        <v>0.27695833333333314</v>
      </c>
      <c r="AE81" s="25">
        <v>0.31187499999999996</v>
      </c>
      <c r="AF81" s="25">
        <v>0.18107999999999994</v>
      </c>
      <c r="AG81" s="25">
        <v>0.36856249999999996</v>
      </c>
      <c r="AH81" s="28">
        <f t="shared" si="12"/>
        <v>0.34480208333333329</v>
      </c>
      <c r="AI81" s="28">
        <f t="shared" si="13"/>
        <v>0.35053472222222209</v>
      </c>
      <c r="AJ81" s="28">
        <f t="shared" si="14"/>
        <v>0.3494924242424241</v>
      </c>
    </row>
    <row r="82" spans="1:36" x14ac:dyDescent="0.25">
      <c r="A82" s="9">
        <v>43977</v>
      </c>
      <c r="B82" s="3">
        <v>337.92059015111329</v>
      </c>
      <c r="C82" s="3">
        <v>505.91492779994451</v>
      </c>
      <c r="D82" s="3">
        <v>493.47583472833236</v>
      </c>
      <c r="E82" s="3">
        <v>396.12293234032114</v>
      </c>
      <c r="F82" s="3">
        <v>196.6709111432838</v>
      </c>
      <c r="G82" s="3">
        <v>259.07576846884882</v>
      </c>
      <c r="H82" s="3">
        <v>198.95120174641838</v>
      </c>
      <c r="I82" s="3">
        <v>174.16233289521094</v>
      </c>
      <c r="J82" s="3">
        <f t="shared" si="9"/>
        <v>0.54724994523379233</v>
      </c>
      <c r="K82" s="3">
        <f t="shared" si="10"/>
        <v>0.36122359857193181</v>
      </c>
      <c r="L82" s="3">
        <f t="shared" si="11"/>
        <v>0.2357423314137771</v>
      </c>
      <c r="M82" s="23">
        <v>43977</v>
      </c>
      <c r="N82" s="24">
        <v>95.791666666666671</v>
      </c>
      <c r="O82" s="24">
        <v>74.529166666666669</v>
      </c>
      <c r="P82" s="24">
        <v>16.022916666666667</v>
      </c>
      <c r="Q82" s="24">
        <v>0</v>
      </c>
      <c r="R82" s="24">
        <v>190.16666666666666</v>
      </c>
      <c r="S82" s="24">
        <v>2.1666666666666665</v>
      </c>
      <c r="T82" s="24">
        <v>0</v>
      </c>
      <c r="U82" s="24">
        <v>11.385416666666664</v>
      </c>
      <c r="V82" s="10">
        <v>0.4901249099171025</v>
      </c>
      <c r="W82" s="25">
        <v>0.28156249999999972</v>
      </c>
      <c r="X82" s="25">
        <v>0.38995833333333341</v>
      </c>
      <c r="Y82" s="25">
        <v>0.46862500000000001</v>
      </c>
      <c r="Z82" s="25">
        <v>0.49031249999999998</v>
      </c>
      <c r="AA82" s="25">
        <v>0.54062499999999991</v>
      </c>
      <c r="AB82" s="25">
        <v>0.34716666666666679</v>
      </c>
      <c r="AC82" s="25">
        <v>0.32033333333333325</v>
      </c>
      <c r="AD82" s="25">
        <v>0.27560416666666659</v>
      </c>
      <c r="AE82" s="25">
        <v>0.38287500000000002</v>
      </c>
      <c r="AF82" s="25">
        <v>0.23385416666666684</v>
      </c>
      <c r="AG82" s="25">
        <v>0.4392083333333332</v>
      </c>
      <c r="AH82" s="28">
        <f t="shared" si="12"/>
        <v>0.41109374999999981</v>
      </c>
      <c r="AI82" s="28">
        <f t="shared" si="13"/>
        <v>0.38200000000000006</v>
      </c>
      <c r="AJ82" s="28">
        <f t="shared" si="14"/>
        <v>0.38728977272727272</v>
      </c>
    </row>
    <row r="83" spans="1:36" x14ac:dyDescent="0.25">
      <c r="A83" s="9">
        <v>43978</v>
      </c>
      <c r="B83" s="3">
        <v>194.781712983501</v>
      </c>
      <c r="C83" s="3">
        <v>235.58523369648987</v>
      </c>
      <c r="D83" s="3">
        <v>300.75032433422558</v>
      </c>
      <c r="E83" s="3">
        <v>232.61320970959721</v>
      </c>
      <c r="F83" s="3">
        <v>121.93546506834822</v>
      </c>
      <c r="G83" s="3">
        <v>152.61686057341842</v>
      </c>
      <c r="H83" s="3">
        <v>126.59000618830727</v>
      </c>
      <c r="I83" s="3">
        <v>110.09423389293819</v>
      </c>
      <c r="J83" s="3">
        <f t="shared" si="9"/>
        <v>0.33112919592947537</v>
      </c>
      <c r="K83" s="3">
        <f t="shared" si="10"/>
        <v>0.19541456146612007</v>
      </c>
      <c r="L83" s="3">
        <f t="shared" si="11"/>
        <v>0.13777746419721898</v>
      </c>
      <c r="M83" s="23">
        <v>43978</v>
      </c>
      <c r="N83" s="24">
        <v>68.708333333333329</v>
      </c>
      <c r="O83" s="24">
        <v>78.208333333333357</v>
      </c>
      <c r="P83" s="24">
        <v>15.049999999999997</v>
      </c>
      <c r="Q83" s="24">
        <v>0</v>
      </c>
      <c r="R83" s="24">
        <v>211.66666666666666</v>
      </c>
      <c r="S83" s="24">
        <v>2.9583333333333335</v>
      </c>
      <c r="T83" s="24">
        <v>0</v>
      </c>
      <c r="U83" s="24">
        <v>11.222916666666665</v>
      </c>
      <c r="V83" s="10">
        <v>0.3829310511770842</v>
      </c>
      <c r="W83" s="25">
        <v>0.27804166666666646</v>
      </c>
      <c r="X83" s="25">
        <v>0.38531250000000011</v>
      </c>
      <c r="Y83" s="25">
        <v>0.46497916666666667</v>
      </c>
      <c r="Z83" s="25">
        <v>0.48708333333333348</v>
      </c>
      <c r="AA83" s="25">
        <v>0.53199999999999992</v>
      </c>
      <c r="AB83" s="25">
        <v>0.34241666666666654</v>
      </c>
      <c r="AC83" s="25">
        <v>0.32241666666666674</v>
      </c>
      <c r="AD83" s="25">
        <v>0.27639583333333306</v>
      </c>
      <c r="AE83" s="25">
        <v>0.37229729729729721</v>
      </c>
      <c r="AF83" s="25">
        <v>0.22145833333333342</v>
      </c>
      <c r="AG83" s="25">
        <v>0.41597916666666662</v>
      </c>
      <c r="AH83" s="28">
        <f t="shared" si="12"/>
        <v>0.40502083333333316</v>
      </c>
      <c r="AI83" s="28">
        <f t="shared" si="13"/>
        <v>0.37976736111111103</v>
      </c>
      <c r="AJ83" s="28">
        <f t="shared" si="14"/>
        <v>0.38435890151515145</v>
      </c>
    </row>
    <row r="84" spans="1:36" x14ac:dyDescent="0.25">
      <c r="A84" s="9">
        <v>43981</v>
      </c>
      <c r="B84" s="3">
        <v>330.74715974290086</v>
      </c>
      <c r="C84" s="3">
        <v>1089.343460870198</v>
      </c>
      <c r="D84" s="3">
        <v>648.18478940289765</v>
      </c>
      <c r="E84" s="3">
        <v>658.25144052712631</v>
      </c>
      <c r="F84" s="3">
        <v>361.0839279213539</v>
      </c>
      <c r="G84" s="3">
        <v>358.45517444137454</v>
      </c>
      <c r="H84" s="3">
        <v>304.43787914484011</v>
      </c>
      <c r="I84" s="3">
        <v>227.47325507753439</v>
      </c>
      <c r="J84" s="3">
        <f t="shared" si="9"/>
        <v>0.72073925207221423</v>
      </c>
      <c r="K84" s="3">
        <f t="shared" si="10"/>
        <v>0.62703822317744262</v>
      </c>
      <c r="L84" s="3">
        <f t="shared" si="11"/>
        <v>0.3626950715285896</v>
      </c>
      <c r="M84" s="23">
        <v>43981</v>
      </c>
      <c r="N84" s="24">
        <v>217.83333333333334</v>
      </c>
      <c r="O84" s="24">
        <v>79.429166666666674</v>
      </c>
      <c r="P84" s="24">
        <v>21.610416666666666</v>
      </c>
      <c r="Q84" s="24">
        <v>0</v>
      </c>
      <c r="R84" s="24">
        <v>236.91666666666666</v>
      </c>
      <c r="S84" s="24">
        <v>5.666666666666667</v>
      </c>
      <c r="T84" s="24">
        <v>0.85416666666666663</v>
      </c>
      <c r="U84" s="24">
        <v>17.537499999999994</v>
      </c>
      <c r="V84" s="10">
        <v>0.64971893967697325</v>
      </c>
      <c r="W84" s="25">
        <v>0.30268750000000016</v>
      </c>
      <c r="X84" s="25">
        <v>0.42041666666666649</v>
      </c>
      <c r="Y84" s="25">
        <v>0.50793750000000015</v>
      </c>
      <c r="Z84" s="25">
        <v>0.5518333333333334</v>
      </c>
      <c r="AA84" s="25">
        <v>0.57787500000000014</v>
      </c>
      <c r="AB84" s="25">
        <v>0.38879166666666681</v>
      </c>
      <c r="AC84" s="25">
        <v>0.3426249999999999</v>
      </c>
      <c r="AD84" s="25">
        <v>0.27783333333333349</v>
      </c>
      <c r="AE84" s="25">
        <v>0.39184090909090907</v>
      </c>
      <c r="AF84" s="25">
        <v>0.23604651162790702</v>
      </c>
      <c r="AG84" s="25">
        <v>0.4390833333333331</v>
      </c>
      <c r="AH84" s="28">
        <f t="shared" si="12"/>
        <v>0.44028125000000018</v>
      </c>
      <c r="AI84" s="28">
        <f t="shared" si="13"/>
        <v>0.41490625000000003</v>
      </c>
      <c r="AJ84" s="28">
        <f t="shared" si="14"/>
        <v>0.41951988636363635</v>
      </c>
    </row>
    <row r="85" spans="1:36" x14ac:dyDescent="0.25">
      <c r="A85" s="9">
        <v>43993</v>
      </c>
      <c r="B85" s="3">
        <v>344.21890925906155</v>
      </c>
      <c r="C85" s="3">
        <v>803.67455688652421</v>
      </c>
      <c r="D85" s="3">
        <v>536.5174614821434</v>
      </c>
      <c r="E85" s="3">
        <v>605.17029376992821</v>
      </c>
      <c r="F85" s="3">
        <v>491.74184327720508</v>
      </c>
      <c r="G85" s="3">
        <v>363.45177650216056</v>
      </c>
      <c r="H85" s="3">
        <v>222.4425446212575</v>
      </c>
      <c r="I85" s="3">
        <v>302.47682555849991</v>
      </c>
      <c r="J85" s="3">
        <f t="shared" si="9"/>
        <v>0.59551645964741728</v>
      </c>
      <c r="K85" s="3">
        <f t="shared" si="10"/>
        <v>0.57321063610385592</v>
      </c>
      <c r="L85" s="3">
        <f t="shared" si="11"/>
        <v>0.40373552027580162</v>
      </c>
      <c r="M85" s="23">
        <v>43993</v>
      </c>
      <c r="N85" s="24">
        <v>182.70833333333334</v>
      </c>
      <c r="O85" s="24">
        <v>81.654166666666683</v>
      </c>
      <c r="P85" s="24">
        <v>23.604166666666661</v>
      </c>
      <c r="Q85" s="24">
        <v>0</v>
      </c>
      <c r="R85" s="24">
        <v>235.20833333333334</v>
      </c>
      <c r="S85" s="24">
        <v>13.9375</v>
      </c>
      <c r="T85" s="24">
        <v>3</v>
      </c>
      <c r="U85" s="24">
        <v>20.206250000000008</v>
      </c>
      <c r="V85" s="10">
        <v>0.5646302120616371</v>
      </c>
      <c r="W85" s="25">
        <v>0.44320833333333326</v>
      </c>
      <c r="X85" s="25">
        <v>0.5433958333333333</v>
      </c>
      <c r="Y85" s="25">
        <v>0.59720833333333367</v>
      </c>
      <c r="Z85" s="25">
        <v>0.60483333333333322</v>
      </c>
      <c r="AA85" s="25">
        <v>0.61141666666666661</v>
      </c>
      <c r="AB85" s="25">
        <v>0.48593749999999997</v>
      </c>
      <c r="AC85" s="25">
        <v>0.47437500000000005</v>
      </c>
      <c r="AD85" s="25">
        <v>0.40962499999999974</v>
      </c>
      <c r="AE85" s="25">
        <v>0.43572340425531908</v>
      </c>
      <c r="AF85" s="25">
        <v>0.26289583333333327</v>
      </c>
      <c r="AG85" s="25">
        <v>0.48866666666666675</v>
      </c>
      <c r="AH85" s="28">
        <f t="shared" si="12"/>
        <v>0.52731249999999996</v>
      </c>
      <c r="AI85" s="28">
        <f t="shared" si="13"/>
        <v>0.51922916666666663</v>
      </c>
      <c r="AJ85" s="28">
        <f t="shared" si="14"/>
        <v>0.52069886363636364</v>
      </c>
    </row>
    <row r="86" spans="1:36" x14ac:dyDescent="0.25">
      <c r="A86" s="9">
        <v>43994</v>
      </c>
      <c r="B86" s="3">
        <v>321.17305964513127</v>
      </c>
      <c r="C86" s="3">
        <v>728.65122552059563</v>
      </c>
      <c r="D86" s="3">
        <v>604.54785236330019</v>
      </c>
      <c r="E86" s="3">
        <v>592.22406884870441</v>
      </c>
      <c r="F86" s="3">
        <v>476.07815792707953</v>
      </c>
      <c r="G86" s="3">
        <v>360.02326207344743</v>
      </c>
      <c r="H86" s="3">
        <v>217.88511954122043</v>
      </c>
      <c r="I86" s="3">
        <v>329.04617522698032</v>
      </c>
      <c r="J86" s="3">
        <f t="shared" si="9"/>
        <v>0.67180516176389005</v>
      </c>
      <c r="K86" s="3">
        <f t="shared" si="10"/>
        <v>0.56008235814089136</v>
      </c>
      <c r="L86" s="3">
        <f t="shared" si="11"/>
        <v>0.40739635147535019</v>
      </c>
      <c r="M86" s="23">
        <v>43994</v>
      </c>
      <c r="N86" s="24">
        <v>160.08333333333334</v>
      </c>
      <c r="O86" s="24">
        <v>79.543750000000017</v>
      </c>
      <c r="P86" s="24">
        <v>24.052083333333329</v>
      </c>
      <c r="Q86" s="24">
        <v>0</v>
      </c>
      <c r="R86" s="24">
        <v>237.54166666666666</v>
      </c>
      <c r="S86" s="24">
        <v>11.625</v>
      </c>
      <c r="T86" s="24">
        <v>2.0416666666666665</v>
      </c>
      <c r="U86" s="24">
        <v>20.224999999999998</v>
      </c>
      <c r="V86" s="10">
        <v>0.64310839568854916</v>
      </c>
      <c r="W86" s="25">
        <v>0.43083333333333296</v>
      </c>
      <c r="X86" s="25">
        <v>0.53368749999999998</v>
      </c>
      <c r="Y86" s="25">
        <v>0.59191666666666654</v>
      </c>
      <c r="Z86" s="25">
        <v>0.59958333333333336</v>
      </c>
      <c r="AA86" s="25">
        <v>0.60429166666666678</v>
      </c>
      <c r="AB86" s="25">
        <v>0.47312499999999974</v>
      </c>
      <c r="AC86" s="25">
        <v>0.47016666666666662</v>
      </c>
      <c r="AD86" s="25">
        <v>0.40454166666666674</v>
      </c>
      <c r="AE86" s="25">
        <v>0.41823913043478272</v>
      </c>
      <c r="AF86" s="25">
        <v>0.24510416666666671</v>
      </c>
      <c r="AG86" s="25">
        <v>0.45735416666666673</v>
      </c>
      <c r="AH86" s="28">
        <f t="shared" si="12"/>
        <v>0.51756249999999993</v>
      </c>
      <c r="AI86" s="28">
        <f t="shared" si="13"/>
        <v>0.51217013888888885</v>
      </c>
      <c r="AJ86" s="28">
        <f t="shared" si="14"/>
        <v>0.51315056818181815</v>
      </c>
    </row>
    <row r="87" spans="1:36" x14ac:dyDescent="0.25">
      <c r="A87" s="9">
        <v>43998</v>
      </c>
      <c r="B87" s="3">
        <v>264.93502800453564</v>
      </c>
      <c r="C87" s="3">
        <v>577.81462963990884</v>
      </c>
      <c r="D87" s="3">
        <v>539.76307550088563</v>
      </c>
      <c r="E87" s="3">
        <v>450.93662704891671</v>
      </c>
      <c r="F87" s="3">
        <v>416.3241731179474</v>
      </c>
      <c r="G87" s="3">
        <v>324.68615035777248</v>
      </c>
      <c r="H87" s="3">
        <v>209.93250893001738</v>
      </c>
      <c r="I87" s="3">
        <v>238.28873834778173</v>
      </c>
      <c r="J87" s="3">
        <f t="shared" si="9"/>
        <v>0.59915606362225582</v>
      </c>
      <c r="K87" s="3">
        <f t="shared" si="10"/>
        <v>0.41680809711805306</v>
      </c>
      <c r="L87" s="3">
        <f t="shared" si="11"/>
        <v>0.34314124438327481</v>
      </c>
      <c r="M87" s="23">
        <v>43998</v>
      </c>
      <c r="N87" s="24">
        <v>164.875</v>
      </c>
      <c r="O87" s="24">
        <v>84.125000000000014</v>
      </c>
      <c r="P87" s="24">
        <v>22.372916666666669</v>
      </c>
      <c r="Q87" s="24">
        <v>0.9</v>
      </c>
      <c r="R87" s="24">
        <v>231.14583333333334</v>
      </c>
      <c r="S87" s="24">
        <v>18.25</v>
      </c>
      <c r="T87" s="24">
        <v>3.75</v>
      </c>
      <c r="U87" s="24">
        <v>19.487500000000004</v>
      </c>
      <c r="V87" s="10">
        <v>0.45552833883335503</v>
      </c>
      <c r="W87" s="25">
        <v>0.44856250000000003</v>
      </c>
      <c r="X87" s="25">
        <v>0.54552083333333334</v>
      </c>
      <c r="Y87" s="25">
        <v>0.59879166666666661</v>
      </c>
      <c r="Z87" s="25">
        <v>0.60616666666666696</v>
      </c>
      <c r="AA87" s="25">
        <v>0.61347916666666646</v>
      </c>
      <c r="AB87" s="25">
        <v>0.49189583333333342</v>
      </c>
      <c r="AC87" s="25">
        <v>0.47543749999999968</v>
      </c>
      <c r="AD87" s="25">
        <v>0.41108333333333325</v>
      </c>
      <c r="AE87" s="25">
        <v>0.44193617021276582</v>
      </c>
      <c r="AF87" s="25">
        <v>0.25887499999999991</v>
      </c>
      <c r="AG87" s="25">
        <v>0.48158333333333331</v>
      </c>
      <c r="AH87" s="28">
        <f t="shared" si="12"/>
        <v>0.53102083333333328</v>
      </c>
      <c r="AI87" s="28">
        <f t="shared" si="13"/>
        <v>0.52148263888888879</v>
      </c>
      <c r="AJ87" s="28">
        <f t="shared" si="14"/>
        <v>0.52321685606060597</v>
      </c>
    </row>
    <row r="88" spans="1:36" x14ac:dyDescent="0.25">
      <c r="A88" s="9">
        <v>43999</v>
      </c>
      <c r="B88" s="3">
        <v>283.36916191954691</v>
      </c>
      <c r="C88" s="3">
        <v>673.34276592896231</v>
      </c>
      <c r="D88" s="3">
        <v>615.32068335315546</v>
      </c>
      <c r="E88" s="3">
        <v>561.56870318113999</v>
      </c>
      <c r="F88" s="3">
        <v>490.86575258887967</v>
      </c>
      <c r="G88" s="3">
        <v>382.84017224497205</v>
      </c>
      <c r="H88" s="3">
        <v>229.5819526863381</v>
      </c>
      <c r="I88" s="3">
        <v>275.89885771087307</v>
      </c>
      <c r="J88" s="3">
        <f t="shared" si="9"/>
        <v>0.68388572287328986</v>
      </c>
      <c r="K88" s="3">
        <f t="shared" si="10"/>
        <v>0.52899590908033667</v>
      </c>
      <c r="L88" s="3">
        <f t="shared" si="11"/>
        <v>0.40075396583895551</v>
      </c>
      <c r="M88" s="23">
        <v>43999</v>
      </c>
      <c r="N88" s="24">
        <v>166.16666666666666</v>
      </c>
      <c r="O88" s="24">
        <v>81.33541666666666</v>
      </c>
      <c r="P88" s="24">
        <v>23.695833333333329</v>
      </c>
      <c r="Q88" s="24">
        <v>0</v>
      </c>
      <c r="R88" s="24">
        <v>235.10416666666666</v>
      </c>
      <c r="S88" s="24">
        <v>16.270833333333332</v>
      </c>
      <c r="T88" s="24">
        <v>3.4375</v>
      </c>
      <c r="U88" s="24">
        <v>20.252083333333335</v>
      </c>
      <c r="V88" s="10">
        <v>0.56958878597171181</v>
      </c>
      <c r="W88" s="25">
        <v>0.43679166666666641</v>
      </c>
      <c r="X88" s="25">
        <v>0.53591666666666671</v>
      </c>
      <c r="Y88" s="25">
        <v>0.59293750000000001</v>
      </c>
      <c r="Z88" s="25">
        <v>0.60099999999999998</v>
      </c>
      <c r="AA88" s="25">
        <v>0.60616666666666674</v>
      </c>
      <c r="AB88" s="25">
        <v>0.48247916666666696</v>
      </c>
      <c r="AC88" s="25">
        <v>0.4714583333333337</v>
      </c>
      <c r="AD88" s="25">
        <v>0.40702083333333355</v>
      </c>
      <c r="AE88" s="25">
        <v>0.42358333333333348</v>
      </c>
      <c r="AF88" s="25">
        <v>0.24545833333333333</v>
      </c>
      <c r="AG88" s="25">
        <v>0.45606250000000009</v>
      </c>
      <c r="AH88" s="28">
        <f t="shared" si="12"/>
        <v>0.5214791666666666</v>
      </c>
      <c r="AI88" s="28">
        <f t="shared" si="13"/>
        <v>0.51513541666666673</v>
      </c>
      <c r="AJ88" s="28">
        <f t="shared" si="14"/>
        <v>0.51628882575757584</v>
      </c>
    </row>
    <row r="89" spans="1:36" x14ac:dyDescent="0.25">
      <c r="A89" s="9">
        <v>44001</v>
      </c>
      <c r="B89" s="3">
        <v>243.99638666559491</v>
      </c>
      <c r="C89" s="3">
        <v>487.3080300086562</v>
      </c>
      <c r="D89" s="3">
        <v>497.7802537281998</v>
      </c>
      <c r="E89" s="3">
        <v>466.36333209232129</v>
      </c>
      <c r="F89" s="3">
        <v>419.44084617256993</v>
      </c>
      <c r="G89" s="3">
        <v>338.89324105411339</v>
      </c>
      <c r="H89" s="3">
        <v>181.52623363844734</v>
      </c>
      <c r="I89" s="3">
        <v>230.96835809319603</v>
      </c>
      <c r="J89" s="3">
        <f t="shared" si="9"/>
        <v>0.55207688411525524</v>
      </c>
      <c r="K89" s="3">
        <f t="shared" si="10"/>
        <v>0.43245173633294615</v>
      </c>
      <c r="L89" s="3">
        <f t="shared" si="11"/>
        <v>0.33619053782541719</v>
      </c>
      <c r="M89" s="23">
        <v>44001</v>
      </c>
      <c r="N89" s="24">
        <v>137.1875</v>
      </c>
      <c r="O89" s="24">
        <v>86.18125000000002</v>
      </c>
      <c r="P89" s="24">
        <v>21.325000000000003</v>
      </c>
      <c r="Q89" s="24">
        <v>0</v>
      </c>
      <c r="R89" s="24">
        <v>157.875</v>
      </c>
      <c r="S89" s="24">
        <v>6.75</v>
      </c>
      <c r="T89" s="24">
        <v>1.0833333333333333</v>
      </c>
      <c r="U89" s="24">
        <v>18.837500000000002</v>
      </c>
      <c r="V89" s="10">
        <v>0.38746013684442299</v>
      </c>
      <c r="W89" s="25">
        <v>0.45285416666666656</v>
      </c>
      <c r="X89" s="25">
        <v>0.54827083333333337</v>
      </c>
      <c r="Y89" s="25">
        <v>0.59972916666666687</v>
      </c>
      <c r="Z89" s="25">
        <v>0.60758333333333325</v>
      </c>
      <c r="AA89" s="25">
        <v>0.61599999999999977</v>
      </c>
      <c r="AB89" s="25">
        <v>0.49620833333333292</v>
      </c>
      <c r="AC89" s="25">
        <v>0.47793750000000018</v>
      </c>
      <c r="AD89" s="25">
        <v>0.41233333333333344</v>
      </c>
      <c r="AE89" s="25">
        <v>0.44334042553191505</v>
      </c>
      <c r="AF89" s="25">
        <v>0.26281250000000017</v>
      </c>
      <c r="AG89" s="25">
        <v>0.48808333333333365</v>
      </c>
      <c r="AH89" s="28">
        <f t="shared" si="12"/>
        <v>0.53442708333333311</v>
      </c>
      <c r="AI89" s="28">
        <f t="shared" si="13"/>
        <v>0.5236770833333334</v>
      </c>
      <c r="AJ89" s="28">
        <f t="shared" si="14"/>
        <v>0.52563162878787884</v>
      </c>
    </row>
    <row r="90" spans="1:36" x14ac:dyDescent="0.25">
      <c r="A90" s="9">
        <v>44002</v>
      </c>
      <c r="B90" s="3">
        <v>365.64910227109243</v>
      </c>
      <c r="C90" s="3">
        <v>772.96981063497844</v>
      </c>
      <c r="D90" s="3">
        <v>738.40535612373662</v>
      </c>
      <c r="E90" s="3">
        <v>706.81091249275084</v>
      </c>
      <c r="F90" s="3">
        <v>593.71180230882862</v>
      </c>
      <c r="G90" s="3">
        <v>498.33270325135959</v>
      </c>
      <c r="H90" s="3">
        <v>262.30423731823839</v>
      </c>
      <c r="I90" s="3">
        <v>315.1258116696153</v>
      </c>
      <c r="J90" s="3">
        <f t="shared" si="9"/>
        <v>0.82191182877207636</v>
      </c>
      <c r="K90" s="3">
        <f t="shared" si="10"/>
        <v>0.67628055054149105</v>
      </c>
      <c r="L90" s="3">
        <f t="shared" si="11"/>
        <v>0.48687083006478493</v>
      </c>
      <c r="M90" s="23">
        <v>44002</v>
      </c>
      <c r="N90" s="24">
        <v>189</v>
      </c>
      <c r="O90" s="24">
        <v>81.218750000000014</v>
      </c>
      <c r="P90" s="24">
        <v>23.835416666666671</v>
      </c>
      <c r="Q90" s="24">
        <v>0</v>
      </c>
      <c r="R90" s="24">
        <v>231.08333333333334</v>
      </c>
      <c r="S90" s="24">
        <v>16.9375</v>
      </c>
      <c r="T90" s="24">
        <v>3.9583333333333335</v>
      </c>
      <c r="U90" s="24">
        <v>20.341666666666665</v>
      </c>
      <c r="V90" s="10">
        <v>0.58507081219512269</v>
      </c>
      <c r="W90" s="25">
        <v>0.44066666666666676</v>
      </c>
      <c r="X90" s="25">
        <v>0.53881249999999981</v>
      </c>
      <c r="Y90" s="25">
        <v>0.59462499999999974</v>
      </c>
      <c r="Z90" s="25">
        <v>0.60206250000000028</v>
      </c>
      <c r="AA90" s="25">
        <v>0.60947916666666679</v>
      </c>
      <c r="AB90" s="25">
        <v>0.48639583333333358</v>
      </c>
      <c r="AC90" s="25">
        <v>0.47347916666666667</v>
      </c>
      <c r="AD90" s="25">
        <v>0.40785416666666691</v>
      </c>
      <c r="AE90" s="25">
        <v>0.42852083333333341</v>
      </c>
      <c r="AF90" s="25">
        <v>0.24750000000000005</v>
      </c>
      <c r="AG90" s="25">
        <v>0.4625416666666668</v>
      </c>
      <c r="AH90" s="28">
        <f t="shared" si="12"/>
        <v>0.52507291666666678</v>
      </c>
      <c r="AI90" s="28">
        <f t="shared" si="13"/>
        <v>0.51720486111111108</v>
      </c>
      <c r="AJ90" s="28">
        <f t="shared" si="14"/>
        <v>0.51863541666666668</v>
      </c>
    </row>
    <row r="91" spans="1:36" x14ac:dyDescent="0.25">
      <c r="A91" s="9">
        <v>44003</v>
      </c>
      <c r="B91" s="3">
        <v>278.53424583749825</v>
      </c>
      <c r="C91" s="3">
        <v>627.7192878453576</v>
      </c>
      <c r="D91" s="3">
        <v>622.38821152557955</v>
      </c>
      <c r="E91" s="3">
        <v>603.27072981344043</v>
      </c>
      <c r="F91" s="3">
        <v>450.03547332349092</v>
      </c>
      <c r="G91" s="3">
        <v>414.09191756996745</v>
      </c>
      <c r="H91" s="3">
        <v>212.08387074304534</v>
      </c>
      <c r="I91" s="3">
        <v>217.51532529440695</v>
      </c>
      <c r="J91" s="3">
        <f t="shared" si="9"/>
        <v>0.69181118889608151</v>
      </c>
      <c r="K91" s="3">
        <f t="shared" si="10"/>
        <v>0.57128436000553806</v>
      </c>
      <c r="L91" s="3">
        <f t="shared" si="11"/>
        <v>0.36989829135277252</v>
      </c>
      <c r="M91" s="23">
        <v>44003</v>
      </c>
      <c r="N91" s="24">
        <v>176.60416666666666</v>
      </c>
      <c r="O91" s="24">
        <v>81.691666666666691</v>
      </c>
      <c r="P91" s="24">
        <v>24.054166666666674</v>
      </c>
      <c r="Q91" s="24">
        <v>0</v>
      </c>
      <c r="R91" s="24">
        <v>238.6875</v>
      </c>
      <c r="S91" s="24">
        <v>14.5</v>
      </c>
      <c r="T91" s="24">
        <v>2.5625</v>
      </c>
      <c r="U91" s="24">
        <v>20.68333333333333</v>
      </c>
      <c r="V91" s="10">
        <v>0.56976949284976519</v>
      </c>
      <c r="W91" s="25">
        <v>0.43006249999999996</v>
      </c>
      <c r="X91" s="25">
        <v>0.53116666666666623</v>
      </c>
      <c r="Y91" s="25">
        <v>0.59010416666666687</v>
      </c>
      <c r="Z91" s="25">
        <v>0.59862500000000041</v>
      </c>
      <c r="AA91" s="25">
        <v>0.60293750000000024</v>
      </c>
      <c r="AB91" s="25">
        <v>0.47758333333333308</v>
      </c>
      <c r="AC91" s="25">
        <v>0.46987499999999988</v>
      </c>
      <c r="AD91" s="25">
        <v>0.40404166666666685</v>
      </c>
      <c r="AE91" s="25">
        <v>0.41349999999999981</v>
      </c>
      <c r="AF91" s="25">
        <v>0.23077083333333337</v>
      </c>
      <c r="AG91" s="25">
        <v>0.43854166666666666</v>
      </c>
      <c r="AH91" s="28">
        <f t="shared" si="12"/>
        <v>0.51650000000000007</v>
      </c>
      <c r="AI91" s="28">
        <f t="shared" si="13"/>
        <v>0.51189930555555563</v>
      </c>
      <c r="AJ91" s="28">
        <f t="shared" si="14"/>
        <v>0.51273579545454562</v>
      </c>
    </row>
    <row r="92" spans="1:36" x14ac:dyDescent="0.25">
      <c r="A92" s="9">
        <v>44004</v>
      </c>
      <c r="B92" s="3">
        <v>227.64758284841096</v>
      </c>
      <c r="C92" s="3">
        <v>516.82200032025401</v>
      </c>
      <c r="D92" s="3">
        <v>525.29660077784797</v>
      </c>
      <c r="E92" s="3">
        <v>491.41193575246473</v>
      </c>
      <c r="F92" s="3">
        <v>385.08095717914932</v>
      </c>
      <c r="G92" s="3">
        <v>339.26966726712254</v>
      </c>
      <c r="H92" s="3">
        <v>183.54963461108534</v>
      </c>
      <c r="I92" s="3">
        <v>187.27211294375465</v>
      </c>
      <c r="J92" s="3">
        <f t="shared" si="9"/>
        <v>0.58293348182422899</v>
      </c>
      <c r="K92" s="3">
        <f t="shared" si="10"/>
        <v>0.45785257970122356</v>
      </c>
      <c r="L92" s="3">
        <f t="shared" si="11"/>
        <v>0.31038440447751431</v>
      </c>
      <c r="M92" s="23">
        <v>44004</v>
      </c>
      <c r="N92" s="24">
        <v>119.64583333333333</v>
      </c>
      <c r="O92" s="24">
        <v>82.587499999999991</v>
      </c>
      <c r="P92" s="24">
        <v>23.274999999999995</v>
      </c>
      <c r="Q92" s="24">
        <v>0.2</v>
      </c>
      <c r="R92" s="24">
        <v>237.95833333333334</v>
      </c>
      <c r="S92" s="24">
        <v>9.0625</v>
      </c>
      <c r="T92" s="24">
        <v>1.4375</v>
      </c>
      <c r="U92" s="24">
        <v>20.058333333333334</v>
      </c>
      <c r="V92" s="10">
        <v>0.52868193151200105</v>
      </c>
      <c r="W92" s="25">
        <v>0.41993749999999991</v>
      </c>
      <c r="X92" s="25">
        <v>0.5247916666666661</v>
      </c>
      <c r="Y92" s="25">
        <v>0.5860208333333331</v>
      </c>
      <c r="Z92" s="25">
        <v>0.59556250000000033</v>
      </c>
      <c r="AA92" s="25">
        <v>0.59600000000000009</v>
      </c>
      <c r="AB92" s="25">
        <v>0.46993750000000017</v>
      </c>
      <c r="AC92" s="25">
        <v>0.46637499999999971</v>
      </c>
      <c r="AD92" s="25">
        <v>0.40081250000000024</v>
      </c>
      <c r="AE92" s="25">
        <v>0.40035555555555558</v>
      </c>
      <c r="AF92" s="25">
        <v>0.2152916666666668</v>
      </c>
      <c r="AG92" s="25">
        <v>0.41437499999999994</v>
      </c>
      <c r="AH92" s="28">
        <f t="shared" si="12"/>
        <v>0.50796874999999997</v>
      </c>
      <c r="AI92" s="28">
        <f t="shared" si="13"/>
        <v>0.50724999999999998</v>
      </c>
      <c r="AJ92" s="28">
        <f t="shared" si="14"/>
        <v>0.50738068181818174</v>
      </c>
    </row>
    <row r="93" spans="1:36" x14ac:dyDescent="0.25">
      <c r="A93" s="9">
        <v>44007</v>
      </c>
      <c r="B93" s="3">
        <v>249.50082511674697</v>
      </c>
      <c r="C93" s="3">
        <v>700.53090757127597</v>
      </c>
      <c r="D93" s="3">
        <v>644.28476387256592</v>
      </c>
      <c r="E93" s="3">
        <v>598.18764424794051</v>
      </c>
      <c r="F93" s="3">
        <v>403.99035960753321</v>
      </c>
      <c r="G93" s="3">
        <v>402.79515682006269</v>
      </c>
      <c r="H93" s="3">
        <v>243.51174079578482</v>
      </c>
      <c r="I93" s="3">
        <v>277.87133443143432</v>
      </c>
      <c r="J93" s="3">
        <f t="shared" si="9"/>
        <v>0.71636579659038591</v>
      </c>
      <c r="K93" s="3">
        <f t="shared" si="10"/>
        <v>0.56612979482383663</v>
      </c>
      <c r="L93" s="3">
        <f t="shared" si="11"/>
        <v>0.38745004808423239</v>
      </c>
      <c r="M93" s="23">
        <v>44007</v>
      </c>
      <c r="N93" s="24">
        <v>237.54166666666666</v>
      </c>
      <c r="O93" s="24">
        <v>81.324999999999989</v>
      </c>
      <c r="P93" s="24">
        <v>22.402083333333334</v>
      </c>
      <c r="Q93" s="24">
        <v>0</v>
      </c>
      <c r="R93" s="24">
        <v>230.10416666666666</v>
      </c>
      <c r="S93" s="24">
        <v>3.1458333333333335</v>
      </c>
      <c r="T93" s="24">
        <v>0.27083333333333331</v>
      </c>
      <c r="U93" s="24">
        <v>18.706250000000001</v>
      </c>
      <c r="V93" s="10">
        <v>0.61139474585586717</v>
      </c>
      <c r="W93" s="25">
        <v>0.45924999999999977</v>
      </c>
      <c r="X93" s="25">
        <v>0.55256249999999996</v>
      </c>
      <c r="Y93" s="25">
        <v>0.60300000000000009</v>
      </c>
      <c r="Z93" s="25">
        <v>0.61114583333333328</v>
      </c>
      <c r="AA93" s="25">
        <v>0.61902083333333313</v>
      </c>
      <c r="AB93" s="25">
        <v>0.50108333333333321</v>
      </c>
      <c r="AC93" s="25">
        <v>0.4798124999999997</v>
      </c>
      <c r="AD93" s="25">
        <v>0.41368749999999999</v>
      </c>
      <c r="AE93" s="25">
        <v>0.45520833333333338</v>
      </c>
      <c r="AF93" s="25">
        <v>0.27483333333333332</v>
      </c>
      <c r="AG93" s="25">
        <v>0.49158333333333343</v>
      </c>
      <c r="AH93" s="28">
        <f t="shared" si="12"/>
        <v>0.53913541666666642</v>
      </c>
      <c r="AI93" s="28">
        <f t="shared" si="13"/>
        <v>0.52688194444444436</v>
      </c>
      <c r="AJ93" s="28">
        <f t="shared" si="14"/>
        <v>0.52910984848484832</v>
      </c>
    </row>
    <row r="94" spans="1:36" x14ac:dyDescent="0.25">
      <c r="A94" s="9">
        <v>44010</v>
      </c>
      <c r="B94" s="3">
        <v>203.81854140854495</v>
      </c>
      <c r="C94" s="3">
        <v>547.68085383443997</v>
      </c>
      <c r="D94" s="3">
        <v>731.24791014036339</v>
      </c>
      <c r="E94" s="3">
        <v>558.71473743780541</v>
      </c>
      <c r="F94" s="3">
        <v>467.65319172774326</v>
      </c>
      <c r="G94" s="3">
        <v>378.86695701022126</v>
      </c>
      <c r="H94" s="3">
        <v>259.48134160433756</v>
      </c>
      <c r="I94" s="3">
        <v>365.92296804178176</v>
      </c>
      <c r="J94" s="3">
        <f t="shared" si="9"/>
        <v>0.81388552968033401</v>
      </c>
      <c r="K94" s="3">
        <f t="shared" si="10"/>
        <v>0.52610181015935698</v>
      </c>
      <c r="L94" s="3">
        <f t="shared" si="11"/>
        <v>0.43775056280652014</v>
      </c>
      <c r="M94" s="23">
        <v>44010</v>
      </c>
      <c r="N94" s="24">
        <v>159.95833333333334</v>
      </c>
      <c r="O94" s="24">
        <v>80.972916666666663</v>
      </c>
      <c r="P94" s="24">
        <v>23.975000000000009</v>
      </c>
      <c r="Q94" s="24">
        <v>0</v>
      </c>
      <c r="R94" s="24">
        <v>232.75</v>
      </c>
      <c r="S94" s="24">
        <v>13.895833333333334</v>
      </c>
      <c r="T94" s="24">
        <v>2.7708333333333335</v>
      </c>
      <c r="U94" s="24">
        <v>20.481249999999999</v>
      </c>
      <c r="V94" s="10">
        <v>0.58103213173891732</v>
      </c>
      <c r="W94" s="25">
        <v>0.43518750000000006</v>
      </c>
      <c r="X94" s="25">
        <v>0.53797916666666634</v>
      </c>
      <c r="Y94" s="25">
        <v>0.59650000000000036</v>
      </c>
      <c r="Z94" s="25">
        <v>0.60756250000000056</v>
      </c>
      <c r="AA94" s="25">
        <v>0.61366666666666636</v>
      </c>
      <c r="AB94" s="25">
        <v>0.47997916666666685</v>
      </c>
      <c r="AC94" s="25">
        <v>0.46995833333333331</v>
      </c>
      <c r="AD94" s="25">
        <v>0.40372916666666692</v>
      </c>
      <c r="AE94" s="25">
        <v>0.43275000000000013</v>
      </c>
      <c r="AF94" s="25">
        <v>0.2508333333333333</v>
      </c>
      <c r="AG94" s="25">
        <v>0.45933333333333337</v>
      </c>
      <c r="AH94" s="28">
        <f t="shared" si="12"/>
        <v>0.52442708333333321</v>
      </c>
      <c r="AI94" s="28">
        <f t="shared" si="13"/>
        <v>0.51595138888888903</v>
      </c>
      <c r="AJ94" s="28">
        <f t="shared" si="14"/>
        <v>0.51749242424242436</v>
      </c>
    </row>
    <row r="95" spans="1:36" x14ac:dyDescent="0.25">
      <c r="A95" s="9">
        <v>44011</v>
      </c>
      <c r="B95" s="3">
        <v>253.34086028908803</v>
      </c>
      <c r="C95" s="3">
        <v>726.8782884096496</v>
      </c>
      <c r="D95" s="3">
        <v>814.9754650840664</v>
      </c>
      <c r="E95" s="3">
        <v>653.36735136913705</v>
      </c>
      <c r="F95" s="3">
        <v>398.45306816146842</v>
      </c>
      <c r="G95" s="3">
        <v>374.77980273759908</v>
      </c>
      <c r="H95" s="3">
        <v>268.45990789511291</v>
      </c>
      <c r="I95" s="3">
        <v>333.59698278805877</v>
      </c>
      <c r="J95" s="3">
        <f t="shared" si="9"/>
        <v>0.90777689816003471</v>
      </c>
      <c r="K95" s="3">
        <f t="shared" si="10"/>
        <v>0.62208545274033489</v>
      </c>
      <c r="L95" s="3">
        <f t="shared" si="11"/>
        <v>0.40769844780595799</v>
      </c>
      <c r="M95" s="23">
        <v>44011</v>
      </c>
      <c r="N95" s="24">
        <v>198.97916666666666</v>
      </c>
      <c r="O95" s="24">
        <v>79.670833333333334</v>
      </c>
      <c r="P95" s="24">
        <v>24.729166666666668</v>
      </c>
      <c r="Q95" s="24">
        <v>0</v>
      </c>
      <c r="R95" s="24">
        <v>239.29166666666666</v>
      </c>
      <c r="S95" s="24">
        <v>10.020833333333334</v>
      </c>
      <c r="T95" s="24">
        <v>1.5833333333333333</v>
      </c>
      <c r="U95" s="24">
        <v>20.870833333333334</v>
      </c>
      <c r="V95" s="10">
        <v>0.6786145018004559</v>
      </c>
      <c r="W95" s="25">
        <v>0.42435416666666687</v>
      </c>
      <c r="X95" s="25">
        <v>0.52987499999999976</v>
      </c>
      <c r="Y95" s="25">
        <v>0.59085416666666679</v>
      </c>
      <c r="Z95" s="25">
        <v>0.60385416666666658</v>
      </c>
      <c r="AA95" s="25">
        <v>0.60520833333333335</v>
      </c>
      <c r="AB95" s="25">
        <v>0.4705416666666668</v>
      </c>
      <c r="AC95" s="25">
        <v>0.46579166666666644</v>
      </c>
      <c r="AD95" s="25">
        <v>0.40052083333333321</v>
      </c>
      <c r="AE95" s="25">
        <v>0.41754166666666687</v>
      </c>
      <c r="AF95" s="25">
        <v>0.23424999999999999</v>
      </c>
      <c r="AG95" s="25">
        <v>0.43545833333333345</v>
      </c>
      <c r="AH95" s="28">
        <f t="shared" si="12"/>
        <v>0.51478125000000008</v>
      </c>
      <c r="AI95" s="28">
        <f t="shared" si="13"/>
        <v>0.5102395833333333</v>
      </c>
      <c r="AJ95" s="28">
        <f t="shared" si="14"/>
        <v>0.51106534090909095</v>
      </c>
    </row>
    <row r="96" spans="1:36" x14ac:dyDescent="0.25">
      <c r="A96" s="9">
        <v>44015</v>
      </c>
      <c r="B96" s="3">
        <v>225.8931384511163</v>
      </c>
      <c r="C96" s="3">
        <v>634.02687113295656</v>
      </c>
      <c r="D96" s="3">
        <v>602.76139563028596</v>
      </c>
      <c r="E96" s="3">
        <v>526.55871930185594</v>
      </c>
      <c r="F96" s="3">
        <v>509.89334067160513</v>
      </c>
      <c r="G96" s="3">
        <v>359.95482645092272</v>
      </c>
      <c r="H96" s="3">
        <v>346.08663800412762</v>
      </c>
      <c r="I96" s="3">
        <v>390.33140597224138</v>
      </c>
      <c r="J96" s="3">
        <f t="shared" si="9"/>
        <v>0.66980184436730217</v>
      </c>
      <c r="K96" s="3">
        <f t="shared" si="10"/>
        <v>0.49349360608136317</v>
      </c>
      <c r="L96" s="3">
        <f t="shared" si="11"/>
        <v>0.48083955181617799</v>
      </c>
      <c r="M96" s="23">
        <v>44015</v>
      </c>
      <c r="N96" s="24">
        <v>171.91666666666666</v>
      </c>
      <c r="O96" s="24">
        <v>85.789583333333326</v>
      </c>
      <c r="P96" s="24">
        <v>22.737500000000008</v>
      </c>
      <c r="Q96" s="24">
        <v>0.2</v>
      </c>
      <c r="R96" s="24">
        <v>244.5625</v>
      </c>
      <c r="S96" s="24">
        <v>3.8125</v>
      </c>
      <c r="T96" s="24">
        <v>0.5625</v>
      </c>
      <c r="U96" s="24">
        <v>20.091666666666665</v>
      </c>
      <c r="V96" s="10">
        <v>0.45126961678542715</v>
      </c>
      <c r="W96" s="25">
        <v>0.46927083333333347</v>
      </c>
      <c r="X96" s="25">
        <v>0.55566666666666642</v>
      </c>
      <c r="Y96" s="25">
        <v>0.60439583333333324</v>
      </c>
      <c r="Z96" s="25">
        <v>0.61968749999999984</v>
      </c>
      <c r="AA96" s="25">
        <v>0.62414583333333284</v>
      </c>
      <c r="AB96" s="25">
        <v>0.50666666666666649</v>
      </c>
      <c r="AC96" s="25">
        <v>0.48270833333333346</v>
      </c>
      <c r="AD96" s="25">
        <v>0.41499999999999976</v>
      </c>
      <c r="AE96" s="25">
        <v>0.46052083333333349</v>
      </c>
      <c r="AF96" s="25">
        <v>0.27489583333333339</v>
      </c>
      <c r="AG96" s="25">
        <v>0.49943750000000015</v>
      </c>
      <c r="AH96" s="28">
        <f t="shared" si="12"/>
        <v>0.54670833333333313</v>
      </c>
      <c r="AI96" s="28">
        <f t="shared" si="13"/>
        <v>0.53068749999999987</v>
      </c>
      <c r="AJ96" s="28">
        <f t="shared" si="14"/>
        <v>0.53360037878787869</v>
      </c>
    </row>
    <row r="97" spans="1:36" x14ac:dyDescent="0.25">
      <c r="A97" s="9">
        <v>44016</v>
      </c>
      <c r="B97" s="3">
        <v>312.76637137806091</v>
      </c>
      <c r="C97" s="3">
        <v>666.61075285721802</v>
      </c>
      <c r="D97" s="3">
        <v>730.89654982685738</v>
      </c>
      <c r="E97" s="3">
        <v>594.12478055579618</v>
      </c>
      <c r="F97" s="3">
        <v>554.31890270988333</v>
      </c>
      <c r="G97" s="3">
        <v>407.87288505299966</v>
      </c>
      <c r="H97" s="3">
        <v>358.37768495265294</v>
      </c>
      <c r="I97" s="3">
        <v>405.56284721270941</v>
      </c>
      <c r="J97" s="3">
        <f t="shared" si="9"/>
        <v>0.81349151721112101</v>
      </c>
      <c r="K97" s="3">
        <f t="shared" si="10"/>
        <v>0.56200979812976826</v>
      </c>
      <c r="L97" s="3">
        <f t="shared" si="11"/>
        <v>0.51624364595271777</v>
      </c>
      <c r="M97" s="23">
        <v>44016</v>
      </c>
      <c r="N97" s="24">
        <v>168.02083333333334</v>
      </c>
      <c r="O97" s="24">
        <v>81.38333333333334</v>
      </c>
      <c r="P97" s="24">
        <v>23.266666666666666</v>
      </c>
      <c r="Q97" s="24">
        <v>0</v>
      </c>
      <c r="R97" s="24">
        <v>235.75</v>
      </c>
      <c r="S97" s="24">
        <v>12.020833333333334</v>
      </c>
      <c r="T97" s="24">
        <v>1.9583333333333333</v>
      </c>
      <c r="U97" s="24">
        <v>19.814583333333335</v>
      </c>
      <c r="V97" s="10">
        <v>0.56396467312652476</v>
      </c>
      <c r="W97" s="25">
        <v>0.45516666666666672</v>
      </c>
      <c r="X97" s="25">
        <v>0.54658333333333375</v>
      </c>
      <c r="Y97" s="25">
        <v>0.59914583333333327</v>
      </c>
      <c r="Z97" s="25">
        <v>0.6146874999999995</v>
      </c>
      <c r="AA97" s="25">
        <v>0.61629166666666635</v>
      </c>
      <c r="AB97" s="25">
        <v>0.4956041666666664</v>
      </c>
      <c r="AC97" s="25">
        <v>0.47822916666666643</v>
      </c>
      <c r="AD97" s="25">
        <v>0.41041666666666687</v>
      </c>
      <c r="AE97" s="25">
        <v>0.4451458333333333</v>
      </c>
      <c r="AF97" s="25">
        <v>0.25593750000000004</v>
      </c>
      <c r="AG97" s="25">
        <v>0.47222916666666664</v>
      </c>
      <c r="AH97" s="28">
        <f t="shared" si="12"/>
        <v>0.53572916666666659</v>
      </c>
      <c r="AI97" s="28">
        <f t="shared" si="13"/>
        <v>0.52411111111111108</v>
      </c>
      <c r="AJ97" s="28">
        <f t="shared" si="14"/>
        <v>0.5262234848484848</v>
      </c>
    </row>
    <row r="98" spans="1:36" x14ac:dyDescent="0.25">
      <c r="A98" s="9">
        <v>44018</v>
      </c>
      <c r="B98" s="3">
        <v>235.67344818368326</v>
      </c>
      <c r="C98" s="3">
        <v>706.27691896358624</v>
      </c>
      <c r="D98" s="3">
        <v>745.76936530437729</v>
      </c>
      <c r="E98" s="3">
        <v>644.57508889767587</v>
      </c>
      <c r="F98" s="3">
        <v>426.15620411446434</v>
      </c>
      <c r="G98" s="3">
        <v>439.21765148789171</v>
      </c>
      <c r="H98" s="3">
        <v>353.88302046369722</v>
      </c>
      <c r="I98" s="3">
        <v>389.71154114170633</v>
      </c>
      <c r="J98" s="3">
        <f t="shared" si="9"/>
        <v>0.83016976607757065</v>
      </c>
      <c r="K98" s="3">
        <f t="shared" si="10"/>
        <v>0.61316955128249329</v>
      </c>
      <c r="L98" s="3">
        <f t="shared" si="11"/>
        <v>0.4819712014508466</v>
      </c>
      <c r="M98" s="23">
        <v>44018</v>
      </c>
      <c r="N98" s="24">
        <v>239.75</v>
      </c>
      <c r="O98" s="24">
        <v>81.27916666666664</v>
      </c>
      <c r="P98" s="24">
        <v>24.408333333333335</v>
      </c>
      <c r="Q98" s="24">
        <v>0</v>
      </c>
      <c r="R98" s="24">
        <v>230.77083333333334</v>
      </c>
      <c r="S98" s="24">
        <v>13.458333333333334</v>
      </c>
      <c r="T98" s="24">
        <v>2.1875</v>
      </c>
      <c r="U98" s="24">
        <v>20.891666666666669</v>
      </c>
      <c r="V98" s="10">
        <v>0.61266443819946625</v>
      </c>
      <c r="W98" s="25">
        <v>0.47335416666666669</v>
      </c>
      <c r="X98" s="25">
        <v>0.55795833333333333</v>
      </c>
      <c r="Y98" s="25">
        <v>0.60495833333333315</v>
      </c>
      <c r="Z98" s="25">
        <v>0.61410416666666634</v>
      </c>
      <c r="AA98" s="25">
        <v>0.62283333333333324</v>
      </c>
      <c r="AB98" s="25">
        <v>0.48202083333333373</v>
      </c>
      <c r="AC98" s="25">
        <v>0.46947916666666628</v>
      </c>
      <c r="AD98" s="25">
        <v>0.40466666666666645</v>
      </c>
      <c r="AE98" s="25">
        <v>0.46479166666666688</v>
      </c>
      <c r="AF98" s="25">
        <v>0.27797916666666683</v>
      </c>
      <c r="AG98" s="25">
        <v>0.49677083333333338</v>
      </c>
      <c r="AH98" s="28">
        <f t="shared" si="12"/>
        <v>0.54809374999999994</v>
      </c>
      <c r="AI98" s="28">
        <f t="shared" si="13"/>
        <v>0.5221979166666666</v>
      </c>
      <c r="AJ98" s="28">
        <f t="shared" si="14"/>
        <v>0.52690624999999991</v>
      </c>
    </row>
    <row r="99" spans="1:36" x14ac:dyDescent="0.25">
      <c r="A99" s="9">
        <v>44019</v>
      </c>
      <c r="B99" s="3">
        <v>271.11493757755045</v>
      </c>
      <c r="C99" s="3">
        <v>620.98002492249793</v>
      </c>
      <c r="D99" s="3">
        <v>699.42877018698243</v>
      </c>
      <c r="E99" s="3">
        <v>626.07274490388386</v>
      </c>
      <c r="F99" s="3">
        <v>387.78183093215785</v>
      </c>
      <c r="G99" s="3">
        <v>406.25600597580342</v>
      </c>
      <c r="H99" s="3">
        <v>308.32942672587126</v>
      </c>
      <c r="I99" s="3">
        <v>350.99401291896322</v>
      </c>
      <c r="J99" s="3">
        <f t="shared" si="9"/>
        <v>0.77820381658028193</v>
      </c>
      <c r="K99" s="3">
        <f t="shared" si="10"/>
        <v>0.59440702271567702</v>
      </c>
      <c r="L99" s="3">
        <f t="shared" si="11"/>
        <v>0.4328028976288919</v>
      </c>
      <c r="M99" s="23">
        <v>44019</v>
      </c>
      <c r="N99" s="24">
        <v>179.8125</v>
      </c>
      <c r="O99" s="24">
        <v>81.268749999999997</v>
      </c>
      <c r="P99" s="24">
        <v>24.487500000000008</v>
      </c>
      <c r="Q99" s="24">
        <v>0</v>
      </c>
      <c r="R99" s="24">
        <v>234.97916666666666</v>
      </c>
      <c r="S99" s="24">
        <v>14.583333333333334</v>
      </c>
      <c r="T99" s="24">
        <v>2.7916666666666665</v>
      </c>
      <c r="U99" s="24">
        <v>21.010416666666668</v>
      </c>
      <c r="V99" s="10">
        <v>0.60092258282422339</v>
      </c>
      <c r="W99" s="25">
        <v>0.44831250000000011</v>
      </c>
      <c r="X99" s="25">
        <v>0.54385416666666686</v>
      </c>
      <c r="Y99" s="25">
        <v>0.59764583333333354</v>
      </c>
      <c r="Z99" s="25">
        <v>0.6114791666666668</v>
      </c>
      <c r="AA99" s="25">
        <v>0.61197916666666663</v>
      </c>
      <c r="AB99" s="25">
        <v>0.47543749999999974</v>
      </c>
      <c r="AC99" s="25">
        <v>0.46637499999999998</v>
      </c>
      <c r="AD99" s="25">
        <v>0.4018333333333331</v>
      </c>
      <c r="AE99" s="25">
        <v>0.43850000000000006</v>
      </c>
      <c r="AF99" s="25">
        <v>0.24816666666666667</v>
      </c>
      <c r="AG99" s="25">
        <v>0.46052083333333343</v>
      </c>
      <c r="AH99" s="28">
        <f t="shared" si="12"/>
        <v>0.53014583333333332</v>
      </c>
      <c r="AI99" s="28">
        <f t="shared" si="13"/>
        <v>0.5161041666666667</v>
      </c>
      <c r="AJ99" s="28">
        <f t="shared" si="14"/>
        <v>0.51865719696969703</v>
      </c>
    </row>
    <row r="100" spans="1:36" x14ac:dyDescent="0.25">
      <c r="A100" s="9">
        <v>44022</v>
      </c>
      <c r="B100" s="3">
        <v>113.8529353888389</v>
      </c>
      <c r="C100" s="3">
        <v>163.56111499158516</v>
      </c>
      <c r="D100" s="3">
        <v>188.91457609217511</v>
      </c>
      <c r="E100" s="3">
        <v>162.86318691395476</v>
      </c>
      <c r="F100" s="3">
        <v>181.11824922685238</v>
      </c>
      <c r="G100" s="3">
        <v>114.35746152793443</v>
      </c>
      <c r="H100" s="3">
        <v>139.00066001551284</v>
      </c>
      <c r="I100" s="3">
        <v>177.10061400623792</v>
      </c>
      <c r="J100" s="3">
        <f t="shared" si="9"/>
        <v>0.20571753838784892</v>
      </c>
      <c r="K100" s="3">
        <f t="shared" si="10"/>
        <v>0.12468369646445217</v>
      </c>
      <c r="L100" s="3">
        <f t="shared" si="11"/>
        <v>0.17352229982365508</v>
      </c>
      <c r="M100" s="23">
        <v>44022</v>
      </c>
      <c r="N100" s="24">
        <v>98.145833333333329</v>
      </c>
      <c r="O100" s="24">
        <v>89.925000000000011</v>
      </c>
      <c r="P100" s="24">
        <v>22.287499999999998</v>
      </c>
      <c r="Q100" s="24">
        <v>0.89999999999999991</v>
      </c>
      <c r="R100" s="24">
        <v>226.64583333333334</v>
      </c>
      <c r="S100" s="24">
        <v>8.0416666666666661</v>
      </c>
      <c r="T100" s="24">
        <v>0.70833333333333337</v>
      </c>
      <c r="U100" s="24">
        <v>20.522916666666664</v>
      </c>
      <c r="V100" s="10">
        <v>0.27988866573543997</v>
      </c>
      <c r="W100" s="25">
        <v>0.48891666666666689</v>
      </c>
      <c r="X100" s="25">
        <v>0.56847916666666665</v>
      </c>
      <c r="Y100" s="25">
        <v>0.61262499999999998</v>
      </c>
      <c r="Z100" s="25">
        <v>0.62677083333333317</v>
      </c>
      <c r="AA100" s="25">
        <v>0.63164583333333324</v>
      </c>
      <c r="AB100" s="25">
        <v>0.51989583333333333</v>
      </c>
      <c r="AC100" s="25">
        <v>0.48604166666666665</v>
      </c>
      <c r="AD100" s="25">
        <v>0.41806250000000017</v>
      </c>
      <c r="AE100" s="25">
        <v>0.47544680851063831</v>
      </c>
      <c r="AF100" s="25">
        <v>0.29068750000000004</v>
      </c>
      <c r="AG100" s="25">
        <v>0.51622916666666674</v>
      </c>
      <c r="AH100" s="28">
        <f t="shared" si="12"/>
        <v>0.56028125000000006</v>
      </c>
      <c r="AI100" s="28">
        <f t="shared" si="13"/>
        <v>0.53864583333333327</v>
      </c>
      <c r="AJ100" s="28">
        <f t="shared" si="14"/>
        <v>0.54257954545454534</v>
      </c>
    </row>
    <row r="101" spans="1:36" x14ac:dyDescent="0.25">
      <c r="A101" s="9">
        <v>44023</v>
      </c>
      <c r="B101" s="3">
        <v>220.05914226638444</v>
      </c>
      <c r="C101" s="3">
        <v>438.54852968930589</v>
      </c>
      <c r="D101" s="3">
        <v>482.17688252706392</v>
      </c>
      <c r="E101" s="3">
        <v>406.55380687774931</v>
      </c>
      <c r="F101" s="3">
        <v>373.78482946613076</v>
      </c>
      <c r="G101" s="3">
        <v>259.36467093541631</v>
      </c>
      <c r="H101" s="3">
        <v>231.51862455223431</v>
      </c>
      <c r="I101" s="3">
        <v>305.00424622518165</v>
      </c>
      <c r="J101" s="3">
        <f t="shared" si="9"/>
        <v>0.53457939626962958</v>
      </c>
      <c r="K101" s="3">
        <f t="shared" si="10"/>
        <v>0.37180115466704261</v>
      </c>
      <c r="L101" s="3">
        <f t="shared" si="11"/>
        <v>0.34602347446905418</v>
      </c>
      <c r="M101" s="23">
        <v>44023</v>
      </c>
      <c r="N101" s="24">
        <v>123.52083333333333</v>
      </c>
      <c r="O101" s="24">
        <v>85.88333333333334</v>
      </c>
      <c r="P101" s="24">
        <v>22.491666666666664</v>
      </c>
      <c r="Q101" s="24">
        <v>0.4</v>
      </c>
      <c r="R101" s="24">
        <v>231</v>
      </c>
      <c r="S101" s="24">
        <v>13.229166666666666</v>
      </c>
      <c r="T101" s="24">
        <v>2.3333333333333335</v>
      </c>
      <c r="U101" s="24">
        <v>19.989583333333336</v>
      </c>
      <c r="V101" s="10">
        <v>0.39204073573279724</v>
      </c>
      <c r="W101" s="25">
        <v>0.46835416666666657</v>
      </c>
      <c r="X101" s="25">
        <v>0.55604166666666643</v>
      </c>
      <c r="Y101" s="25">
        <v>0.60550000000000015</v>
      </c>
      <c r="Z101" s="25">
        <v>0.62041666666666639</v>
      </c>
      <c r="AA101" s="25">
        <v>0.62356249999999969</v>
      </c>
      <c r="AB101" s="25">
        <v>0.50941666666666696</v>
      </c>
      <c r="AC101" s="25">
        <v>0.48300000000000032</v>
      </c>
      <c r="AD101" s="25">
        <v>0.41520833333333357</v>
      </c>
      <c r="AE101" s="25">
        <v>0.45879166666666671</v>
      </c>
      <c r="AF101" s="25">
        <v>0.26952083333333315</v>
      </c>
      <c r="AG101" s="25">
        <v>0.49383333333333335</v>
      </c>
      <c r="AH101" s="28">
        <f t="shared" si="12"/>
        <v>0.5459583333333331</v>
      </c>
      <c r="AI101" s="28">
        <f t="shared" si="13"/>
        <v>0.53159722222222228</v>
      </c>
      <c r="AJ101" s="28">
        <f t="shared" si="14"/>
        <v>0.5342083333333334</v>
      </c>
    </row>
    <row r="102" spans="1:36" x14ac:dyDescent="0.25">
      <c r="A102" s="9">
        <v>44026</v>
      </c>
      <c r="B102" s="3">
        <v>293.69414413387688</v>
      </c>
      <c r="C102" s="3">
        <v>833.12803563864429</v>
      </c>
      <c r="D102" s="3">
        <v>804.11076354215515</v>
      </c>
      <c r="E102" s="3">
        <v>663.4588645754377</v>
      </c>
      <c r="F102" s="3">
        <v>427.84154364324701</v>
      </c>
      <c r="G102" s="3">
        <v>435.4372883289351</v>
      </c>
      <c r="H102" s="3">
        <v>334.9969668639356</v>
      </c>
      <c r="I102" s="3">
        <v>447.7036885817717</v>
      </c>
      <c r="J102" s="3">
        <f t="shared" si="9"/>
        <v>0.89559331419440402</v>
      </c>
      <c r="K102" s="3">
        <f t="shared" si="10"/>
        <v>0.63231887532069264</v>
      </c>
      <c r="L102" s="3">
        <f t="shared" si="11"/>
        <v>0.49809738883186583</v>
      </c>
      <c r="M102" s="23">
        <v>44026</v>
      </c>
      <c r="N102" s="24">
        <v>225.97916666666666</v>
      </c>
      <c r="O102" s="24">
        <v>78.722916666666649</v>
      </c>
      <c r="P102" s="24">
        <v>23.77291666666666</v>
      </c>
      <c r="Q102" s="24">
        <v>0</v>
      </c>
      <c r="R102" s="24">
        <v>238.3125</v>
      </c>
      <c r="S102" s="24">
        <v>12.125</v>
      </c>
      <c r="T102" s="24">
        <v>1.7708333333333333</v>
      </c>
      <c r="U102" s="24">
        <v>19.747916666666665</v>
      </c>
      <c r="V102" s="10">
        <v>0.66749529574709843</v>
      </c>
      <c r="W102" s="25">
        <v>0.46872916666666659</v>
      </c>
      <c r="X102" s="25">
        <v>0.55352083333333357</v>
      </c>
      <c r="Y102" s="25">
        <v>0.60352083333333373</v>
      </c>
      <c r="Z102" s="25">
        <v>0.61912499999999981</v>
      </c>
      <c r="AA102" s="25">
        <v>0.62210416666666613</v>
      </c>
      <c r="AB102" s="25">
        <v>0.50193750000000015</v>
      </c>
      <c r="AC102" s="25">
        <v>0.47849999999999993</v>
      </c>
      <c r="AD102" s="25">
        <v>0.4116041666666666</v>
      </c>
      <c r="AE102" s="25">
        <v>0.4557872340425535</v>
      </c>
      <c r="AF102" s="25">
        <v>0.26325000000000004</v>
      </c>
      <c r="AG102" s="25">
        <v>0.49479166666666674</v>
      </c>
      <c r="AH102" s="28">
        <f t="shared" si="12"/>
        <v>0.54541666666666633</v>
      </c>
      <c r="AI102" s="28">
        <f t="shared" si="13"/>
        <v>0.52803472222222225</v>
      </c>
      <c r="AJ102" s="28">
        <f t="shared" si="14"/>
        <v>0.53119507575757563</v>
      </c>
    </row>
    <row r="103" spans="1:36" x14ac:dyDescent="0.25">
      <c r="A103" s="9">
        <v>44027</v>
      </c>
      <c r="B103" s="3">
        <v>245.90486526360272</v>
      </c>
      <c r="C103" s="3">
        <v>672.85062985278523</v>
      </c>
      <c r="D103" s="3">
        <v>704.95115951700564</v>
      </c>
      <c r="E103" s="3">
        <v>596.12699008055722</v>
      </c>
      <c r="F103" s="3">
        <v>430.67413896374978</v>
      </c>
      <c r="G103" s="3">
        <v>427.49470414575131</v>
      </c>
      <c r="H103" s="3">
        <v>330.79823051139186</v>
      </c>
      <c r="I103" s="3">
        <v>414.26812884118181</v>
      </c>
      <c r="J103" s="3">
        <f t="shared" si="9"/>
        <v>0.78439657703796173</v>
      </c>
      <c r="K103" s="3">
        <f t="shared" si="10"/>
        <v>0.56404016322392525</v>
      </c>
      <c r="L103" s="3">
        <f t="shared" si="11"/>
        <v>0.48230253748950513</v>
      </c>
      <c r="M103" s="23">
        <v>44027</v>
      </c>
      <c r="N103" s="24">
        <v>178.64583333333334</v>
      </c>
      <c r="O103" s="24">
        <v>79.708333333333357</v>
      </c>
      <c r="P103" s="24">
        <v>23.952083333333338</v>
      </c>
      <c r="Q103" s="24">
        <v>0</v>
      </c>
      <c r="R103" s="24">
        <v>235.52083333333334</v>
      </c>
      <c r="S103" s="24">
        <v>13.1875</v>
      </c>
      <c r="T103" s="24">
        <v>2.0625</v>
      </c>
      <c r="U103" s="24">
        <v>20.147916666666664</v>
      </c>
      <c r="V103" s="10">
        <v>0.63393720076048399</v>
      </c>
      <c r="W103" s="25">
        <v>0.45252083333333354</v>
      </c>
      <c r="X103" s="25">
        <v>0.54314583333333355</v>
      </c>
      <c r="Y103" s="25">
        <v>0.59781249999999986</v>
      </c>
      <c r="Z103" s="25">
        <v>0.61427083333333277</v>
      </c>
      <c r="AA103" s="25">
        <v>0.61306249999999995</v>
      </c>
      <c r="AB103" s="25">
        <v>0.49045833333333366</v>
      </c>
      <c r="AC103" s="25">
        <v>0.47414583333333327</v>
      </c>
      <c r="AD103" s="25">
        <v>0.40814583333333321</v>
      </c>
      <c r="AE103" s="25">
        <v>0.44152272727272718</v>
      </c>
      <c r="AF103" s="25">
        <v>0.24397916666666666</v>
      </c>
      <c r="AG103" s="25">
        <v>0.46479166666666655</v>
      </c>
      <c r="AH103" s="28">
        <f t="shared" si="12"/>
        <v>0.53279166666666677</v>
      </c>
      <c r="AI103" s="28">
        <f t="shared" si="13"/>
        <v>0.52132986111111101</v>
      </c>
      <c r="AJ103" s="28">
        <f t="shared" si="14"/>
        <v>0.52341382575757567</v>
      </c>
    </row>
    <row r="104" spans="1:36" x14ac:dyDescent="0.25">
      <c r="A104" s="9">
        <v>44028</v>
      </c>
      <c r="B104" s="3">
        <v>279.23221219259528</v>
      </c>
      <c r="C104" s="3">
        <v>672.72389824709592</v>
      </c>
      <c r="D104" s="3">
        <v>652.67090805847238</v>
      </c>
      <c r="E104" s="3">
        <v>587.63935223469116</v>
      </c>
      <c r="F104" s="3">
        <v>400.22490606968353</v>
      </c>
      <c r="G104" s="3">
        <v>371.50338638737543</v>
      </c>
      <c r="H104" s="3">
        <v>280.2967691446637</v>
      </c>
      <c r="I104" s="3">
        <v>376.37743345602524</v>
      </c>
      <c r="J104" s="3">
        <f t="shared" si="9"/>
        <v>0.72576994740324885</v>
      </c>
      <c r="K104" s="3">
        <f t="shared" si="10"/>
        <v>0.55543317009909277</v>
      </c>
      <c r="L104" s="3">
        <f t="shared" si="11"/>
        <v>0.42768569573454951</v>
      </c>
      <c r="M104" s="23">
        <v>44028</v>
      </c>
      <c r="N104" s="24">
        <v>174.875</v>
      </c>
      <c r="O104" s="24">
        <v>79.539583333333326</v>
      </c>
      <c r="P104" s="24">
        <v>24.324999999999992</v>
      </c>
      <c r="Q104" s="24">
        <v>0</v>
      </c>
      <c r="R104" s="24">
        <v>232.47916666666666</v>
      </c>
      <c r="S104" s="24">
        <v>16.6875</v>
      </c>
      <c r="T104" s="24">
        <v>3.4791666666666665</v>
      </c>
      <c r="U104" s="24">
        <v>20.493750000000002</v>
      </c>
      <c r="V104" s="10">
        <v>0.64899537056313794</v>
      </c>
      <c r="W104" s="25">
        <v>0.4384791666666667</v>
      </c>
      <c r="X104" s="25">
        <v>0.53470833333333323</v>
      </c>
      <c r="Y104" s="25">
        <v>0.59160416666666693</v>
      </c>
      <c r="Z104" s="25">
        <v>0.61025000000000029</v>
      </c>
      <c r="AA104" s="25">
        <v>0.6036041666666665</v>
      </c>
      <c r="AB104" s="25">
        <v>0.4788958333333333</v>
      </c>
      <c r="AC104" s="25">
        <v>0.46883333333333327</v>
      </c>
      <c r="AD104" s="25">
        <v>0.40447916666666678</v>
      </c>
      <c r="AE104" s="25">
        <v>0.42375609756097549</v>
      </c>
      <c r="AF104" s="25">
        <v>0.22793750000000002</v>
      </c>
      <c r="AG104" s="25">
        <v>0.43939583333333321</v>
      </c>
      <c r="AH104" s="28">
        <f t="shared" si="12"/>
        <v>0.52104166666666663</v>
      </c>
      <c r="AI104" s="28">
        <f t="shared" si="13"/>
        <v>0.51479513888888895</v>
      </c>
      <c r="AJ104" s="28">
        <f t="shared" si="14"/>
        <v>0.51593087121212122</v>
      </c>
    </row>
    <row r="105" spans="1:36" x14ac:dyDescent="0.25">
      <c r="A105" s="9">
        <v>44030</v>
      </c>
      <c r="B105" s="3">
        <v>188.67701592387263</v>
      </c>
      <c r="C105" s="3">
        <v>662.54701305449578</v>
      </c>
      <c r="D105" s="3">
        <v>554.30380821701397</v>
      </c>
      <c r="E105" s="3">
        <v>501.64231882553992</v>
      </c>
      <c r="F105" s="3">
        <v>256.74189757543644</v>
      </c>
      <c r="G105" s="3">
        <v>271.64677536858085</v>
      </c>
      <c r="H105" s="3">
        <v>305.26756702805915</v>
      </c>
      <c r="I105" s="3">
        <v>276.96719020345671</v>
      </c>
      <c r="J105" s="3">
        <f t="shared" si="9"/>
        <v>0.61546191770258585</v>
      </c>
      <c r="K105" s="3">
        <f t="shared" si="10"/>
        <v>0.46822682497103629</v>
      </c>
      <c r="L105" s="3">
        <f t="shared" si="11"/>
        <v>0.32929740940236896</v>
      </c>
      <c r="M105" s="23">
        <v>44030</v>
      </c>
      <c r="N105" s="24">
        <v>182.35416666666666</v>
      </c>
      <c r="O105" s="24">
        <v>81.950000000000017</v>
      </c>
      <c r="P105" s="24">
        <v>23.356250000000006</v>
      </c>
      <c r="Q105" s="24">
        <v>1.7</v>
      </c>
      <c r="R105" s="24">
        <v>235.72916666666666</v>
      </c>
      <c r="S105" s="24">
        <v>11.645833333333334</v>
      </c>
      <c r="T105" s="24">
        <v>1.2291666666666667</v>
      </c>
      <c r="U105" s="24">
        <v>20.025000000000002</v>
      </c>
      <c r="V105" s="10">
        <v>0.54615648517103221</v>
      </c>
      <c r="W105" s="25">
        <v>0.4056041666666666</v>
      </c>
      <c r="X105" s="25">
        <v>0.51831249999999995</v>
      </c>
      <c r="Y105" s="25">
        <v>0.5775625000000002</v>
      </c>
      <c r="Z105" s="25">
        <v>0.60068749999999993</v>
      </c>
      <c r="AA105" s="25">
        <v>0.57783333333333364</v>
      </c>
      <c r="AB105" s="25">
        <v>0.45641666666666697</v>
      </c>
      <c r="AC105" s="25">
        <v>0.45579166666666676</v>
      </c>
      <c r="AD105" s="25">
        <v>0.39549999999999996</v>
      </c>
      <c r="AE105" s="25">
        <v>0.41117241379310343</v>
      </c>
      <c r="AF105" s="25">
        <v>0.2246666666666666</v>
      </c>
      <c r="AG105" s="25">
        <v>0.38239583333333343</v>
      </c>
      <c r="AH105" s="28">
        <f t="shared" si="12"/>
        <v>0.49171875000000009</v>
      </c>
      <c r="AI105" s="28">
        <f t="shared" si="13"/>
        <v>0.50071180555555561</v>
      </c>
      <c r="AJ105" s="28">
        <f t="shared" si="14"/>
        <v>0.49907670454545461</v>
      </c>
    </row>
    <row r="106" spans="1:36" x14ac:dyDescent="0.25">
      <c r="A106" s="9">
        <v>44033</v>
      </c>
      <c r="B106" s="3">
        <v>272.41901712564919</v>
      </c>
      <c r="C106" s="3">
        <v>429.51732752229594</v>
      </c>
      <c r="D106" s="3">
        <v>454.29229475281761</v>
      </c>
      <c r="E106" s="3">
        <v>437.16913603575642</v>
      </c>
      <c r="F106" s="3">
        <v>213.08490399687963</v>
      </c>
      <c r="G106" s="3">
        <v>299.22300182453574</v>
      </c>
      <c r="H106" s="3">
        <v>236.69116778092985</v>
      </c>
      <c r="I106" s="3">
        <v>252.45289530568675</v>
      </c>
      <c r="J106" s="3">
        <f t="shared" si="9"/>
        <v>0.50330985654191751</v>
      </c>
      <c r="K106" s="3">
        <f t="shared" si="10"/>
        <v>0.40284700421466335</v>
      </c>
      <c r="L106" s="3">
        <f t="shared" si="11"/>
        <v>0.29384037601017921</v>
      </c>
      <c r="M106" s="23">
        <v>44033</v>
      </c>
      <c r="N106" s="24">
        <v>119.89583333333333</v>
      </c>
      <c r="O106" s="24">
        <v>86.422916666666694</v>
      </c>
      <c r="P106" s="24">
        <v>21.704166666666669</v>
      </c>
      <c r="Q106" s="24">
        <v>0.2</v>
      </c>
      <c r="R106" s="24">
        <v>229.66666666666666</v>
      </c>
      <c r="S106" s="24">
        <v>19.1875</v>
      </c>
      <c r="T106" s="24">
        <v>3.7916666666666665</v>
      </c>
      <c r="U106" s="24">
        <v>19.318749999999998</v>
      </c>
      <c r="V106" s="10">
        <v>0.3625778638346398</v>
      </c>
      <c r="W106" s="25">
        <v>0.48729166666666662</v>
      </c>
      <c r="X106" s="25">
        <v>0.56439583333333332</v>
      </c>
      <c r="Y106" s="25">
        <v>0.60802083333333368</v>
      </c>
      <c r="Z106" s="25">
        <v>0.62806249999999997</v>
      </c>
      <c r="AA106" s="25">
        <v>0.62752083333333331</v>
      </c>
      <c r="AB106" s="25">
        <v>0.52197916666666688</v>
      </c>
      <c r="AC106" s="25">
        <v>0.48631250000000054</v>
      </c>
      <c r="AD106" s="25">
        <v>0.41881250000000003</v>
      </c>
      <c r="AE106" s="25">
        <v>0.47529166666666645</v>
      </c>
      <c r="AF106" s="25">
        <v>0.29033333333333339</v>
      </c>
      <c r="AG106" s="25">
        <v>0.50931250000000006</v>
      </c>
      <c r="AH106" s="28">
        <f t="shared" si="12"/>
        <v>0.55740624999999999</v>
      </c>
      <c r="AI106" s="28">
        <f t="shared" si="13"/>
        <v>0.53793055555555569</v>
      </c>
      <c r="AJ106" s="28">
        <f t="shared" si="14"/>
        <v>0.54147159090909103</v>
      </c>
    </row>
    <row r="107" spans="1:36" x14ac:dyDescent="0.25">
      <c r="A107" s="9">
        <v>44034</v>
      </c>
      <c r="B107" s="3">
        <v>339.14320529797254</v>
      </c>
      <c r="C107" s="3">
        <v>613.07391136266756</v>
      </c>
      <c r="D107" s="3">
        <v>702.27783565280322</v>
      </c>
      <c r="E107" s="3">
        <v>648.59235637296786</v>
      </c>
      <c r="F107" s="3">
        <v>293.00340544039301</v>
      </c>
      <c r="G107" s="3">
        <v>428.9789408469303</v>
      </c>
      <c r="H107" s="3">
        <v>275.9632592221821</v>
      </c>
      <c r="I107" s="3">
        <v>364.09352579054712</v>
      </c>
      <c r="J107" s="3">
        <f t="shared" si="9"/>
        <v>0.78139873437829999</v>
      </c>
      <c r="K107" s="3">
        <f t="shared" si="10"/>
        <v>0.6172433105743429</v>
      </c>
      <c r="L107" s="3">
        <f t="shared" si="11"/>
        <v>0.40791171493711809</v>
      </c>
      <c r="M107" s="23">
        <v>44034</v>
      </c>
      <c r="N107" s="24">
        <v>164.70833333333334</v>
      </c>
      <c r="O107" s="24">
        <v>82.768750000000026</v>
      </c>
      <c r="P107" s="24">
        <v>22.395833333333332</v>
      </c>
      <c r="Q107" s="24">
        <v>0</v>
      </c>
      <c r="R107" s="24">
        <v>231.41666666666666</v>
      </c>
      <c r="S107" s="24">
        <v>19.125</v>
      </c>
      <c r="T107" s="24">
        <v>3.9791666666666665</v>
      </c>
      <c r="U107" s="24">
        <v>19.289583333333333</v>
      </c>
      <c r="V107" s="10">
        <v>0.47944696431909378</v>
      </c>
      <c r="W107" s="25">
        <v>0.46308333333333329</v>
      </c>
      <c r="X107" s="25">
        <v>0.55031250000000009</v>
      </c>
      <c r="Y107" s="25">
        <v>0.60002083333333345</v>
      </c>
      <c r="Z107" s="25">
        <v>0.6169791666666663</v>
      </c>
      <c r="AA107" s="25">
        <v>0.61760416666666629</v>
      </c>
      <c r="AB107" s="25">
        <v>0.50385416666666671</v>
      </c>
      <c r="AC107" s="25">
        <v>0.48112500000000019</v>
      </c>
      <c r="AD107" s="25">
        <v>0.41399999999999976</v>
      </c>
      <c r="AE107" s="25">
        <v>0.45950000000000002</v>
      </c>
      <c r="AF107" s="25">
        <v>0.2644375000000001</v>
      </c>
      <c r="AG107" s="25">
        <v>0.47995833333333321</v>
      </c>
      <c r="AH107" s="28">
        <f t="shared" si="12"/>
        <v>0.54034374999999979</v>
      </c>
      <c r="AI107" s="28">
        <f t="shared" si="13"/>
        <v>0.52771527777777771</v>
      </c>
      <c r="AJ107" s="28">
        <f t="shared" si="14"/>
        <v>0.53001136363636359</v>
      </c>
    </row>
    <row r="108" spans="1:36" x14ac:dyDescent="0.25">
      <c r="A108" s="9">
        <v>44035</v>
      </c>
      <c r="B108" s="3">
        <v>338.92441166041198</v>
      </c>
      <c r="C108" s="3">
        <v>830.85620868908461</v>
      </c>
      <c r="D108" s="3">
        <v>888.58749752899848</v>
      </c>
      <c r="E108" s="3">
        <v>860.37349922978001</v>
      </c>
      <c r="F108" s="3">
        <v>417.62997154237399</v>
      </c>
      <c r="G108" s="3">
        <v>570.73992876035663</v>
      </c>
      <c r="H108" s="3">
        <v>318.77275101318389</v>
      </c>
      <c r="I108" s="3">
        <v>477.05836783841067</v>
      </c>
      <c r="J108" s="3">
        <f t="shared" si="9"/>
        <v>0.99032480568550818</v>
      </c>
      <c r="K108" s="3">
        <f t="shared" si="10"/>
        <v>0.83200257264930733</v>
      </c>
      <c r="L108" s="3">
        <f t="shared" si="11"/>
        <v>0.53929826416317606</v>
      </c>
      <c r="M108" s="23">
        <v>44035</v>
      </c>
      <c r="N108" s="24">
        <v>239.64583333333334</v>
      </c>
      <c r="O108" s="24">
        <v>78.34999999999998</v>
      </c>
      <c r="P108" s="24">
        <v>23.974999999999998</v>
      </c>
      <c r="Q108" s="24">
        <v>0</v>
      </c>
      <c r="R108" s="24">
        <v>232.27083333333334</v>
      </c>
      <c r="S108" s="24">
        <v>18.333333333333332</v>
      </c>
      <c r="T108" s="24">
        <v>3.875</v>
      </c>
      <c r="U108" s="24">
        <v>19.862500000000004</v>
      </c>
      <c r="V108" s="10">
        <v>0.69277424931038434</v>
      </c>
      <c r="W108" s="25">
        <v>0.44787500000000002</v>
      </c>
      <c r="X108" s="25">
        <v>0.54052083333333367</v>
      </c>
      <c r="Y108" s="25">
        <v>0.5936458333333331</v>
      </c>
      <c r="Z108" s="25">
        <v>0.6124583333333331</v>
      </c>
      <c r="AA108" s="25">
        <v>0.60962500000000042</v>
      </c>
      <c r="AB108" s="25">
        <v>0.49197916666666702</v>
      </c>
      <c r="AC108" s="25">
        <v>0.47549999999999998</v>
      </c>
      <c r="AD108" s="25">
        <v>0.40989583333333329</v>
      </c>
      <c r="AE108" s="25">
        <v>0.4425</v>
      </c>
      <c r="AF108" s="25">
        <v>0.24500000000000008</v>
      </c>
      <c r="AG108" s="25">
        <v>0.453125</v>
      </c>
      <c r="AH108" s="28">
        <f t="shared" si="12"/>
        <v>0.52875000000000028</v>
      </c>
      <c r="AI108" s="28">
        <f t="shared" si="13"/>
        <v>0.52066666666666661</v>
      </c>
      <c r="AJ108" s="28">
        <f t="shared" si="14"/>
        <v>0.52213636363636362</v>
      </c>
    </row>
    <row r="109" spans="1:36" x14ac:dyDescent="0.25">
      <c r="A109" s="9">
        <v>44036</v>
      </c>
      <c r="B109" s="3">
        <v>288.20542772482389</v>
      </c>
      <c r="C109" s="3">
        <v>852.73038992007264</v>
      </c>
      <c r="D109" s="3">
        <v>856.61768955996365</v>
      </c>
      <c r="E109" s="3">
        <v>855.43479196044711</v>
      </c>
      <c r="F109" s="3">
        <v>408.89226343539036</v>
      </c>
      <c r="G109" s="3">
        <v>485.65135785721787</v>
      </c>
      <c r="H109" s="3">
        <v>320.88457679325944</v>
      </c>
      <c r="I109" s="3">
        <v>426.49261939186721</v>
      </c>
      <c r="J109" s="3">
        <f t="shared" si="9"/>
        <v>0.9544741347532899</v>
      </c>
      <c r="K109" s="3">
        <f t="shared" si="10"/>
        <v>0.82699441604736046</v>
      </c>
      <c r="L109" s="3">
        <f t="shared" si="11"/>
        <v>0.49413258783737035</v>
      </c>
      <c r="M109" s="23">
        <v>44036</v>
      </c>
      <c r="N109" s="24">
        <v>257.3125</v>
      </c>
      <c r="O109" s="24">
        <v>77.970833333333346</v>
      </c>
      <c r="P109" s="24">
        <v>24.731250000000003</v>
      </c>
      <c r="Q109" s="24">
        <v>0</v>
      </c>
      <c r="R109" s="24">
        <v>234.64583333333334</v>
      </c>
      <c r="S109" s="24">
        <v>15.645833333333334</v>
      </c>
      <c r="T109" s="24">
        <v>2.9166666666666665</v>
      </c>
      <c r="U109" s="24">
        <v>20.512500000000003</v>
      </c>
      <c r="V109" s="10">
        <v>0.73631827289622664</v>
      </c>
      <c r="W109" s="25">
        <v>0.43020833333333347</v>
      </c>
      <c r="X109" s="25">
        <v>0.53074999999999972</v>
      </c>
      <c r="Y109" s="25">
        <v>0.58577083333333291</v>
      </c>
      <c r="Z109" s="25">
        <v>0.60758333333333336</v>
      </c>
      <c r="AA109" s="25">
        <v>0.59870833333333329</v>
      </c>
      <c r="AB109" s="25">
        <v>0.47729166666666645</v>
      </c>
      <c r="AC109" s="25">
        <v>0.46781249999999991</v>
      </c>
      <c r="AD109" s="25">
        <v>0.40491666666666676</v>
      </c>
      <c r="AE109" s="25">
        <v>0.42142857142857126</v>
      </c>
      <c r="AF109" s="25">
        <v>0.22208333333333338</v>
      </c>
      <c r="AG109" s="25">
        <v>0.41681249999999981</v>
      </c>
      <c r="AH109" s="28">
        <f t="shared" si="12"/>
        <v>0.51445833333333335</v>
      </c>
      <c r="AI109" s="28">
        <f t="shared" si="13"/>
        <v>0.51235416666666656</v>
      </c>
      <c r="AJ109" s="28">
        <f t="shared" si="14"/>
        <v>0.51273674242424239</v>
      </c>
    </row>
    <row r="110" spans="1:36" x14ac:dyDescent="0.25">
      <c r="A110" s="9">
        <v>44037</v>
      </c>
      <c r="B110" s="3">
        <v>310.63577510239799</v>
      </c>
      <c r="C110" s="3">
        <v>672.17097983947735</v>
      </c>
      <c r="D110" s="3">
        <v>743.97952249720322</v>
      </c>
      <c r="E110" s="3">
        <v>780.458759145464</v>
      </c>
      <c r="F110" s="3">
        <v>293.91697450477386</v>
      </c>
      <c r="G110" s="3">
        <v>356.15809503094647</v>
      </c>
      <c r="H110" s="3">
        <v>302.99943618469274</v>
      </c>
      <c r="I110" s="3">
        <v>366.76405934830245</v>
      </c>
      <c r="J110" s="3">
        <f t="shared" si="9"/>
        <v>0.82816265156619961</v>
      </c>
      <c r="K110" s="3">
        <f t="shared" si="10"/>
        <v>0.75096405157085599</v>
      </c>
      <c r="L110" s="3">
        <f t="shared" si="11"/>
        <v>0.39742023430329931</v>
      </c>
      <c r="M110" s="23">
        <v>44037</v>
      </c>
      <c r="N110" s="24">
        <v>204.35416666666666</v>
      </c>
      <c r="O110" s="24">
        <v>79.060416666666654</v>
      </c>
      <c r="P110" s="24">
        <v>24.997916666666665</v>
      </c>
      <c r="Q110" s="24">
        <v>0</v>
      </c>
      <c r="R110" s="24">
        <v>232.20833333333334</v>
      </c>
      <c r="S110" s="24">
        <v>11.770833333333334</v>
      </c>
      <c r="T110" s="24">
        <v>2</v>
      </c>
      <c r="U110" s="24">
        <v>21.008333333333333</v>
      </c>
      <c r="V110" s="10">
        <v>0.711602201324954</v>
      </c>
      <c r="W110" s="25">
        <v>0.40806249999999972</v>
      </c>
      <c r="X110" s="25">
        <v>0.52091666666666681</v>
      </c>
      <c r="Y110" s="25">
        <v>0.57620833333333343</v>
      </c>
      <c r="Z110" s="25">
        <v>0.60212500000000002</v>
      </c>
      <c r="AA110" s="25">
        <v>0.58347916666666655</v>
      </c>
      <c r="AB110" s="25">
        <v>0.46054166666666685</v>
      </c>
      <c r="AC110" s="25">
        <v>0.45835416666666701</v>
      </c>
      <c r="AD110" s="25">
        <v>0.39845833333333308</v>
      </c>
      <c r="AE110" s="25">
        <v>0.40058536585365861</v>
      </c>
      <c r="AF110" s="25">
        <v>0.19620833333333329</v>
      </c>
      <c r="AG110" s="25">
        <v>0.37429166666666663</v>
      </c>
      <c r="AH110" s="28">
        <f t="shared" si="12"/>
        <v>0.49577083333333316</v>
      </c>
      <c r="AI110" s="28">
        <f t="shared" si="13"/>
        <v>0.5027673611111112</v>
      </c>
      <c r="AJ110" s="28">
        <f t="shared" si="14"/>
        <v>0.50149526515151521</v>
      </c>
    </row>
    <row r="111" spans="1:36" x14ac:dyDescent="0.25">
      <c r="A111" s="9">
        <v>44039</v>
      </c>
      <c r="B111" s="3">
        <v>285.27479989039028</v>
      </c>
      <c r="C111" s="3">
        <v>976.76753005456305</v>
      </c>
      <c r="D111" s="3">
        <v>779.75839480063769</v>
      </c>
      <c r="E111" s="3">
        <v>832.68244664338056</v>
      </c>
      <c r="F111" s="3">
        <v>523.07829429143032</v>
      </c>
      <c r="G111" s="3">
        <v>592.75022607206438</v>
      </c>
      <c r="H111" s="3">
        <v>352.81035419614574</v>
      </c>
      <c r="I111" s="3">
        <v>432.82765577199973</v>
      </c>
      <c r="J111" s="3">
        <f t="shared" si="9"/>
        <v>0.86828477486824374</v>
      </c>
      <c r="K111" s="3">
        <f t="shared" si="10"/>
        <v>0.80392212157933196</v>
      </c>
      <c r="L111" s="3">
        <f t="shared" si="11"/>
        <v>0.56795789397097285</v>
      </c>
      <c r="M111" s="23">
        <v>44039</v>
      </c>
      <c r="N111" s="24">
        <v>291.97916666666669</v>
      </c>
      <c r="O111" s="24">
        <v>69.70208333333332</v>
      </c>
      <c r="P111" s="24">
        <v>23.341666666666665</v>
      </c>
      <c r="Q111" s="24">
        <v>0</v>
      </c>
      <c r="R111" s="24">
        <v>177.97916666666666</v>
      </c>
      <c r="S111" s="24">
        <v>3.8125</v>
      </c>
      <c r="T111" s="24">
        <v>0.125</v>
      </c>
      <c r="U111" s="24">
        <v>16.712499999999995</v>
      </c>
      <c r="V111" s="10">
        <v>1.1070419800310576</v>
      </c>
      <c r="W111" s="25">
        <v>0.37743750000000009</v>
      </c>
      <c r="X111" s="25">
        <v>0.50489583333333343</v>
      </c>
      <c r="Y111" s="25">
        <v>0.56310416666666663</v>
      </c>
      <c r="Z111" s="25">
        <v>0.59020833333333289</v>
      </c>
      <c r="AA111" s="25">
        <v>0.55887499999999968</v>
      </c>
      <c r="AB111" s="25">
        <v>0.44131250000000005</v>
      </c>
      <c r="AC111" s="25">
        <v>0.44591666666666668</v>
      </c>
      <c r="AD111" s="25">
        <v>0.38895833333333329</v>
      </c>
      <c r="AE111" s="25">
        <v>0.40252083333333327</v>
      </c>
      <c r="AF111" s="25">
        <v>0.21954166666666677</v>
      </c>
      <c r="AG111" s="25">
        <v>0.35131249999999997</v>
      </c>
      <c r="AH111" s="28">
        <f t="shared" si="12"/>
        <v>0.46815624999999988</v>
      </c>
      <c r="AI111" s="28">
        <f t="shared" si="13"/>
        <v>0.4890659722222222</v>
      </c>
      <c r="AJ111" s="28">
        <f t="shared" si="14"/>
        <v>0.48526420454545449</v>
      </c>
    </row>
    <row r="112" spans="1:36" x14ac:dyDescent="0.25">
      <c r="A112" s="9">
        <v>44040</v>
      </c>
      <c r="B112" s="3">
        <v>269.08334045302627</v>
      </c>
      <c r="C112" s="3">
        <v>1071.3173227360405</v>
      </c>
      <c r="D112" s="3">
        <v>836.15506082313743</v>
      </c>
      <c r="E112" s="3">
        <v>859.08829177304096</v>
      </c>
      <c r="F112" s="3">
        <v>404.85203558394488</v>
      </c>
      <c r="G112" s="3">
        <v>600.95322848669468</v>
      </c>
      <c r="H112" s="3">
        <v>372.74676694484378</v>
      </c>
      <c r="I112" s="3">
        <v>384.6535803433589</v>
      </c>
      <c r="J112" s="3">
        <f t="shared" si="9"/>
        <v>0.93152751680792556</v>
      </c>
      <c r="K112" s="3">
        <f t="shared" si="10"/>
        <v>0.83069929228496853</v>
      </c>
      <c r="L112" s="3">
        <f t="shared" si="11"/>
        <v>0.525035332891988</v>
      </c>
      <c r="M112" s="23">
        <v>44040</v>
      </c>
      <c r="N112" s="24">
        <v>274.85416666666669</v>
      </c>
      <c r="O112" s="24">
        <v>67.783333333333317</v>
      </c>
      <c r="P112" s="24">
        <v>23.958333333333332</v>
      </c>
      <c r="Q112" s="24">
        <v>0</v>
      </c>
      <c r="R112" s="24">
        <v>226.02083333333334</v>
      </c>
      <c r="S112" s="24">
        <v>2.0833333333333335</v>
      </c>
      <c r="T112" s="24">
        <v>0</v>
      </c>
      <c r="U112" s="24">
        <v>17.202083333333334</v>
      </c>
      <c r="V112" s="10">
        <v>1.1201982685885747</v>
      </c>
      <c r="W112" s="25">
        <v>0.35004166666666675</v>
      </c>
      <c r="X112" s="25">
        <v>0.48720833333333341</v>
      </c>
      <c r="Y112" s="25">
        <v>0.54906250000000023</v>
      </c>
      <c r="Z112" s="25">
        <v>0.57520833333333332</v>
      </c>
      <c r="AA112" s="25">
        <v>0.5393958333333333</v>
      </c>
      <c r="AB112" s="25">
        <v>0.42197916666666674</v>
      </c>
      <c r="AC112" s="25">
        <v>0.43043750000000019</v>
      </c>
      <c r="AD112" s="25">
        <v>0.37866666666666665</v>
      </c>
      <c r="AE112" s="25">
        <v>0.37638095238095248</v>
      </c>
      <c r="AF112" s="25">
        <v>0.18804166666666666</v>
      </c>
      <c r="AG112" s="25">
        <v>0.32808333333333334</v>
      </c>
      <c r="AH112" s="28">
        <f t="shared" si="12"/>
        <v>0.44471875000000005</v>
      </c>
      <c r="AI112" s="28">
        <f t="shared" si="13"/>
        <v>0.47376041666666674</v>
      </c>
      <c r="AJ112" s="28">
        <f t="shared" si="14"/>
        <v>0.46848011363636372</v>
      </c>
    </row>
    <row r="113" spans="1:36" x14ac:dyDescent="0.25">
      <c r="A113" s="9">
        <v>44041</v>
      </c>
      <c r="B113" s="3">
        <v>297.08157276592851</v>
      </c>
      <c r="C113" s="3">
        <v>815.54831718867422</v>
      </c>
      <c r="D113" s="3">
        <v>816.12395340107423</v>
      </c>
      <c r="E113" s="3">
        <v>885.95775109530348</v>
      </c>
      <c r="F113" s="3">
        <v>421.59848984340607</v>
      </c>
      <c r="G113" s="3">
        <v>530.24786180437866</v>
      </c>
      <c r="H113" s="3">
        <v>388.00052261243087</v>
      </c>
      <c r="I113" s="3">
        <v>344.38991758173449</v>
      </c>
      <c r="J113" s="3">
        <f t="shared" si="9"/>
        <v>0.90906480319726313</v>
      </c>
      <c r="K113" s="3">
        <f t="shared" si="10"/>
        <v>0.85794659664154127</v>
      </c>
      <c r="L113" s="3">
        <f t="shared" si="11"/>
        <v>0.49905302766518334</v>
      </c>
      <c r="M113" s="23">
        <v>44041</v>
      </c>
      <c r="N113" s="24">
        <v>257.33333333333331</v>
      </c>
      <c r="O113" s="24">
        <v>72.814583333333346</v>
      </c>
      <c r="P113" s="24">
        <v>24.068749999999994</v>
      </c>
      <c r="Q113" s="24">
        <v>0</v>
      </c>
      <c r="R113" s="24">
        <v>213.375</v>
      </c>
      <c r="S113" s="24">
        <v>5.5</v>
      </c>
      <c r="T113" s="24">
        <v>0.27083333333333331</v>
      </c>
      <c r="U113" s="24">
        <v>18.568750000000005</v>
      </c>
      <c r="V113" s="10">
        <v>0.92438723048514182</v>
      </c>
      <c r="W113" s="25">
        <v>0.32508333333333328</v>
      </c>
      <c r="X113" s="25">
        <v>0.46712499999999985</v>
      </c>
      <c r="Y113" s="25">
        <v>0.53406249999999977</v>
      </c>
      <c r="Z113" s="25">
        <v>0.5570624999999999</v>
      </c>
      <c r="AA113" s="25">
        <v>0.5187291666666668</v>
      </c>
      <c r="AB113" s="25">
        <v>0.40320833333333339</v>
      </c>
      <c r="AC113" s="25">
        <v>0.41239583333333329</v>
      </c>
      <c r="AD113" s="25">
        <v>0.36662500000000015</v>
      </c>
      <c r="AE113" s="25">
        <v>0.34737500000000004</v>
      </c>
      <c r="AF113" s="25">
        <v>0.16160416666666663</v>
      </c>
      <c r="AG113" s="25">
        <v>0.3043749999999999</v>
      </c>
      <c r="AH113" s="28">
        <f t="shared" si="12"/>
        <v>0.42190625000000004</v>
      </c>
      <c r="AI113" s="28">
        <f t="shared" si="13"/>
        <v>0.45674652777777774</v>
      </c>
      <c r="AJ113" s="28">
        <f t="shared" si="14"/>
        <v>0.45041193181818179</v>
      </c>
    </row>
    <row r="114" spans="1:36" x14ac:dyDescent="0.25">
      <c r="A114" s="9">
        <v>44042</v>
      </c>
      <c r="B114" s="3">
        <v>297.06750203014695</v>
      </c>
      <c r="C114" s="3">
        <v>470.51341615091735</v>
      </c>
      <c r="D114" s="3">
        <v>785.61257919988236</v>
      </c>
      <c r="E114" s="3">
        <v>904.56898175839649</v>
      </c>
      <c r="F114" s="3">
        <v>422.65420820298408</v>
      </c>
      <c r="G114" s="3">
        <v>500.41593502753193</v>
      </c>
      <c r="H114" s="3">
        <v>391.98893022435777</v>
      </c>
      <c r="I114" s="3">
        <v>266.52455640036612</v>
      </c>
      <c r="J114" s="3">
        <f t="shared" si="9"/>
        <v>0.87484960749648877</v>
      </c>
      <c r="K114" s="3">
        <f t="shared" si="10"/>
        <v>0.87681954306914267</v>
      </c>
      <c r="L114" s="3">
        <f t="shared" si="11"/>
        <v>0.46190197804307181</v>
      </c>
      <c r="M114" s="23">
        <v>44042</v>
      </c>
      <c r="N114" s="24">
        <v>259.125</v>
      </c>
      <c r="O114" s="24">
        <v>73.983333333333306</v>
      </c>
      <c r="P114" s="24">
        <v>24.527083333333337</v>
      </c>
      <c r="Q114" s="24">
        <v>0</v>
      </c>
      <c r="R114" s="24">
        <v>237.45833333333334</v>
      </c>
      <c r="S114" s="24">
        <v>7.666666666666667</v>
      </c>
      <c r="T114" s="24">
        <v>0.39583333333333331</v>
      </c>
      <c r="U114" s="24">
        <v>19.283333333333324</v>
      </c>
      <c r="V114" s="10">
        <v>0.8969768416974605</v>
      </c>
      <c r="W114" s="25">
        <v>0.30266666666666664</v>
      </c>
      <c r="X114" s="25">
        <v>0.44585416666666666</v>
      </c>
      <c r="Y114" s="25">
        <v>0.51883333333333359</v>
      </c>
      <c r="Z114" s="25">
        <v>0.5368124999999998</v>
      </c>
      <c r="AA114" s="25">
        <v>0.49964583333333329</v>
      </c>
      <c r="AB114" s="25">
        <v>0.38585416666666655</v>
      </c>
      <c r="AC114" s="25">
        <v>0.39462500000000023</v>
      </c>
      <c r="AD114" s="25">
        <v>0.35416666666666669</v>
      </c>
      <c r="AE114" s="25">
        <v>0.31331249999999999</v>
      </c>
      <c r="AF114" s="25">
        <v>0.14449999999999996</v>
      </c>
      <c r="AG114" s="25">
        <v>0.28329166666666655</v>
      </c>
      <c r="AH114" s="28">
        <f t="shared" si="12"/>
        <v>0.40115624999999999</v>
      </c>
      <c r="AI114" s="28">
        <f t="shared" si="13"/>
        <v>0.4393576388888889</v>
      </c>
      <c r="AJ114" s="28">
        <f t="shared" si="14"/>
        <v>0.43241193181818188</v>
      </c>
    </row>
    <row r="115" spans="1:36" x14ac:dyDescent="0.25">
      <c r="A115" s="9">
        <v>44043</v>
      </c>
      <c r="B115" s="3">
        <v>334.53088355174577</v>
      </c>
      <c r="C115" s="3">
        <v>272.69610241770664</v>
      </c>
      <c r="D115" s="3">
        <v>706.20491742749005</v>
      </c>
      <c r="E115" s="3">
        <v>870.4175426401556</v>
      </c>
      <c r="F115" s="3">
        <v>435.97569370127894</v>
      </c>
      <c r="G115" s="3">
        <v>440.27000597063807</v>
      </c>
      <c r="H115" s="3">
        <v>376.50882315255154</v>
      </c>
      <c r="I115" s="3">
        <v>243.24186202052363</v>
      </c>
      <c r="J115" s="3">
        <f t="shared" si="9"/>
        <v>0.78580253050258619</v>
      </c>
      <c r="K115" s="3">
        <f t="shared" si="10"/>
        <v>0.84218785790163775</v>
      </c>
      <c r="L115" s="3">
        <f t="shared" si="11"/>
        <v>0.43490233793898203</v>
      </c>
      <c r="M115" s="23">
        <v>44043</v>
      </c>
      <c r="N115" s="24">
        <v>214.41666666666666</v>
      </c>
      <c r="O115" s="24">
        <v>75.560416666666654</v>
      </c>
      <c r="P115" s="24">
        <v>24.518749999999997</v>
      </c>
      <c r="Q115" s="24">
        <v>0</v>
      </c>
      <c r="R115" s="24">
        <v>228.10416666666666</v>
      </c>
      <c r="S115" s="24">
        <v>6.354166666666667</v>
      </c>
      <c r="T115" s="24">
        <v>0.39583333333333331</v>
      </c>
      <c r="U115" s="24">
        <v>19.654166666666665</v>
      </c>
      <c r="V115" s="10">
        <v>0.84287571545245532</v>
      </c>
      <c r="W115" s="25">
        <v>0.28612499999999996</v>
      </c>
      <c r="X115" s="25">
        <v>0.42543749999999986</v>
      </c>
      <c r="Y115" s="25">
        <v>0.50433333333333319</v>
      </c>
      <c r="Z115" s="25">
        <v>0.51756250000000004</v>
      </c>
      <c r="AA115" s="25">
        <v>0.48339583333333341</v>
      </c>
      <c r="AB115" s="25">
        <v>0.37158333333333315</v>
      </c>
      <c r="AC115" s="25">
        <v>0.38031250000000005</v>
      </c>
      <c r="AD115" s="25">
        <v>0.3426249999999999</v>
      </c>
      <c r="AE115" s="25">
        <v>0.2813191489361701</v>
      </c>
      <c r="AF115" s="25">
        <v>0.13472916666666676</v>
      </c>
      <c r="AG115" s="25">
        <v>0.26806249999999993</v>
      </c>
      <c r="AH115" s="28">
        <f t="shared" si="12"/>
        <v>0.38476041666666672</v>
      </c>
      <c r="AI115" s="28">
        <f t="shared" si="13"/>
        <v>0.42364236111111103</v>
      </c>
      <c r="AJ115" s="28">
        <f t="shared" si="14"/>
        <v>0.41657291666666657</v>
      </c>
    </row>
    <row r="116" spans="1:36" x14ac:dyDescent="0.25">
      <c r="A116" s="9">
        <v>44047</v>
      </c>
      <c r="B116" s="3">
        <v>189.3167122708434</v>
      </c>
      <c r="C116" s="3">
        <v>510.37037438072599</v>
      </c>
      <c r="D116" s="3">
        <v>406.58979231171094</v>
      </c>
      <c r="E116" s="3">
        <v>287.77710438423537</v>
      </c>
      <c r="F116" s="3">
        <v>355.71545800447262</v>
      </c>
      <c r="G116" s="3">
        <v>217.42269153525766</v>
      </c>
      <c r="H116" s="3">
        <v>295.6019889298783</v>
      </c>
      <c r="I116" s="3">
        <v>271.6489643962704</v>
      </c>
      <c r="J116" s="3">
        <f t="shared" si="9"/>
        <v>0.44981667574721645</v>
      </c>
      <c r="K116" s="3">
        <f t="shared" si="10"/>
        <v>0.25135418457749514</v>
      </c>
      <c r="L116" s="3">
        <f t="shared" si="11"/>
        <v>0.33643787513521473</v>
      </c>
      <c r="M116" s="23">
        <v>44047</v>
      </c>
      <c r="N116" s="24">
        <v>136.10416666666666</v>
      </c>
      <c r="O116" s="24">
        <v>86.218749999999986</v>
      </c>
      <c r="P116" s="24">
        <v>22.368750000000002</v>
      </c>
      <c r="Q116" s="24">
        <v>0.2</v>
      </c>
      <c r="R116" s="24">
        <v>213.14583333333334</v>
      </c>
      <c r="S116" s="24">
        <v>2.7708333333333335</v>
      </c>
      <c r="T116" s="24">
        <v>0.10416666666666667</v>
      </c>
      <c r="U116" s="24">
        <v>19.818750000000005</v>
      </c>
      <c r="V116" s="10">
        <v>0.42443003886107133</v>
      </c>
      <c r="W116" s="25">
        <v>0.39091666666666675</v>
      </c>
      <c r="X116" s="25">
        <v>0.4297500000000003</v>
      </c>
      <c r="Y116" s="25">
        <v>0.5130625000000002</v>
      </c>
      <c r="Z116" s="25">
        <v>0.49477083333333294</v>
      </c>
      <c r="AA116" s="25">
        <v>0.59320833333333345</v>
      </c>
      <c r="AB116" s="25">
        <v>0.41508333333333325</v>
      </c>
      <c r="AC116" s="25">
        <v>0.37202083333333319</v>
      </c>
      <c r="AD116" s="25">
        <v>0.32702083333333332</v>
      </c>
      <c r="AE116" s="25">
        <v>0.4362499999999998</v>
      </c>
      <c r="AF116" s="25">
        <v>0.2725625000000001</v>
      </c>
      <c r="AG116" s="25">
        <v>0.4514166666666668</v>
      </c>
      <c r="AH116" s="28">
        <f t="shared" si="12"/>
        <v>0.49206250000000007</v>
      </c>
      <c r="AI116" s="28">
        <f t="shared" si="13"/>
        <v>0.42528472222222219</v>
      </c>
      <c r="AJ116" s="28">
        <f t="shared" si="14"/>
        <v>0.43742613636363636</v>
      </c>
    </row>
    <row r="117" spans="1:36" x14ac:dyDescent="0.25">
      <c r="A117" s="9">
        <v>44048</v>
      </c>
      <c r="B117" s="3">
        <v>254.51644671398503</v>
      </c>
      <c r="C117" s="3">
        <v>810.00080534324877</v>
      </c>
      <c r="D117" s="3">
        <v>680.72698960521211</v>
      </c>
      <c r="E117" s="3">
        <v>534.70566259749626</v>
      </c>
      <c r="F117" s="3">
        <v>481.19771937798254</v>
      </c>
      <c r="G117" s="3">
        <v>465.14744886978315</v>
      </c>
      <c r="H117" s="3">
        <v>394.72432519864003</v>
      </c>
      <c r="I117" s="3">
        <v>356.49521224820603</v>
      </c>
      <c r="J117" s="3">
        <f t="shared" si="9"/>
        <v>0.75723179878984048</v>
      </c>
      <c r="K117" s="3">
        <f t="shared" si="10"/>
        <v>0.50175511372428505</v>
      </c>
      <c r="L117" s="3">
        <f t="shared" si="11"/>
        <v>0.50423177509951156</v>
      </c>
      <c r="M117" s="23">
        <v>44048</v>
      </c>
      <c r="N117" s="24">
        <v>205.79166666666666</v>
      </c>
      <c r="O117" s="24">
        <v>77.491666666666688</v>
      </c>
      <c r="P117" s="24">
        <v>24.345833333333331</v>
      </c>
      <c r="Q117" s="24">
        <v>0</v>
      </c>
      <c r="R117" s="24">
        <v>228.10416666666666</v>
      </c>
      <c r="S117" s="24">
        <v>5.5</v>
      </c>
      <c r="T117" s="24">
        <v>0.375</v>
      </c>
      <c r="U117" s="24">
        <v>19.941666666666663</v>
      </c>
      <c r="V117" s="10">
        <v>0.76496044162125487</v>
      </c>
      <c r="W117" s="25">
        <v>0.35843749999999996</v>
      </c>
      <c r="X117" s="25">
        <v>0.42583333333333306</v>
      </c>
      <c r="Y117" s="25">
        <v>0.50495833333333329</v>
      </c>
      <c r="Z117" s="25">
        <v>0.49202083333333296</v>
      </c>
      <c r="AA117" s="25">
        <v>0.57954166666666662</v>
      </c>
      <c r="AB117" s="25">
        <v>0.39864583333333364</v>
      </c>
      <c r="AC117" s="25">
        <v>0.37189583333333326</v>
      </c>
      <c r="AD117" s="25">
        <v>0.32675000000000004</v>
      </c>
      <c r="AE117" s="25">
        <v>0.41495833333333332</v>
      </c>
      <c r="AF117" s="25">
        <v>0.24475</v>
      </c>
      <c r="AG117" s="25">
        <v>0.42914583333333334</v>
      </c>
      <c r="AH117" s="28">
        <f t="shared" si="12"/>
        <v>0.46898958333333329</v>
      </c>
      <c r="AI117" s="28">
        <f t="shared" si="13"/>
        <v>0.42001736111111104</v>
      </c>
      <c r="AJ117" s="28">
        <f t="shared" si="14"/>
        <v>0.42892140151515151</v>
      </c>
    </row>
    <row r="118" spans="1:36" x14ac:dyDescent="0.25">
      <c r="A118" s="9">
        <v>44049</v>
      </c>
      <c r="B118" s="3">
        <v>153.16430376801242</v>
      </c>
      <c r="C118" s="3">
        <v>37.886043163850616</v>
      </c>
      <c r="D118" s="3">
        <v>456.30031913865525</v>
      </c>
      <c r="E118" s="3">
        <v>345.89686856407775</v>
      </c>
      <c r="F118" s="3">
        <v>298.54137515393285</v>
      </c>
      <c r="G118" s="3">
        <v>251.95360495936288</v>
      </c>
      <c r="H118" s="3">
        <v>271.38024711742202</v>
      </c>
      <c r="I118" s="3">
        <v>270.85973978297676</v>
      </c>
      <c r="J118" s="3">
        <f t="shared" si="9"/>
        <v>0.50556163802118881</v>
      </c>
      <c r="K118" s="3">
        <f t="shared" si="10"/>
        <v>0.31029124336781894</v>
      </c>
      <c r="L118" s="3">
        <f t="shared" si="11"/>
        <v>0.3223519045838244</v>
      </c>
      <c r="M118" s="23">
        <v>44049</v>
      </c>
      <c r="N118" s="24">
        <v>135.75</v>
      </c>
      <c r="O118" s="24">
        <v>83.293749999999989</v>
      </c>
      <c r="P118" s="24">
        <v>22.743750000000002</v>
      </c>
      <c r="Q118" s="24">
        <v>0</v>
      </c>
      <c r="R118" s="24">
        <v>231.29166666666666</v>
      </c>
      <c r="S118" s="24">
        <v>8.3958333333333339</v>
      </c>
      <c r="T118" s="24">
        <v>0.77083333333333337</v>
      </c>
      <c r="U118" s="24">
        <v>19.708333333333336</v>
      </c>
      <c r="V118" s="10">
        <v>0.48399098595726397</v>
      </c>
      <c r="W118" s="25">
        <v>0.32875000000000004</v>
      </c>
      <c r="X118" s="25">
        <v>0.42010416666666689</v>
      </c>
      <c r="Y118" s="25">
        <v>0.4973541666666666</v>
      </c>
      <c r="Z118" s="25">
        <v>0.48906250000000001</v>
      </c>
      <c r="AA118" s="25">
        <v>0.56195833333333323</v>
      </c>
      <c r="AB118" s="25">
        <v>0.38304166666666667</v>
      </c>
      <c r="AC118" s="25">
        <v>0.37018750000000006</v>
      </c>
      <c r="AD118" s="25">
        <v>0.32549999999999968</v>
      </c>
      <c r="AE118" s="25">
        <v>0.39464583333333353</v>
      </c>
      <c r="AF118" s="25">
        <v>0.22168749999999993</v>
      </c>
      <c r="AG118" s="25">
        <v>0.39166666666666666</v>
      </c>
      <c r="AH118" s="28">
        <f t="shared" si="12"/>
        <v>0.44535416666666661</v>
      </c>
      <c r="AI118" s="28">
        <f t="shared" si="13"/>
        <v>0.41420833333333329</v>
      </c>
      <c r="AJ118" s="28">
        <f t="shared" si="14"/>
        <v>0.41987121212121209</v>
      </c>
    </row>
    <row r="119" spans="1:36" x14ac:dyDescent="0.25">
      <c r="A119" s="9">
        <v>44050</v>
      </c>
      <c r="B119" s="3">
        <v>147.37573515653986</v>
      </c>
      <c r="C119" s="3">
        <v>65.580529158968687</v>
      </c>
      <c r="D119" s="3">
        <v>528.25066369359467</v>
      </c>
      <c r="E119" s="3">
        <v>385.90672450440064</v>
      </c>
      <c r="F119" s="3">
        <v>269.05459146014562</v>
      </c>
      <c r="G119" s="3">
        <v>196.40735746575086</v>
      </c>
      <c r="H119" s="3">
        <v>278.5116418531104</v>
      </c>
      <c r="I119" s="3">
        <v>203.96269445001525</v>
      </c>
      <c r="J119" s="3">
        <f t="shared" si="9"/>
        <v>0.5862461428701784</v>
      </c>
      <c r="K119" s="3">
        <f t="shared" si="10"/>
        <v>0.35086372787499176</v>
      </c>
      <c r="L119" s="3">
        <f t="shared" si="11"/>
        <v>0.27487600831321285</v>
      </c>
      <c r="M119" s="23">
        <v>44050</v>
      </c>
      <c r="N119" s="24">
        <v>144.95833333333334</v>
      </c>
      <c r="O119" s="24">
        <v>82.874999999999986</v>
      </c>
      <c r="P119" s="24">
        <v>22.733333333333331</v>
      </c>
      <c r="Q119" s="24">
        <v>0</v>
      </c>
      <c r="R119" s="24">
        <v>232.9375</v>
      </c>
      <c r="S119" s="24">
        <v>12.229166666666666</v>
      </c>
      <c r="T119" s="24">
        <v>1.2291666666666667</v>
      </c>
      <c r="U119" s="24">
        <v>19.618749999999999</v>
      </c>
      <c r="V119" s="10">
        <v>0.49445379789817001</v>
      </c>
      <c r="W119" s="25">
        <v>0.30820833333333331</v>
      </c>
      <c r="X119" s="25">
        <v>0.41185416666666663</v>
      </c>
      <c r="Y119" s="25">
        <v>0.4899166666666665</v>
      </c>
      <c r="Z119" s="25">
        <v>0.48535416666666692</v>
      </c>
      <c r="AA119" s="25">
        <v>0.54208333333333336</v>
      </c>
      <c r="AB119" s="25">
        <v>0.3735208333333333</v>
      </c>
      <c r="AC119" s="25">
        <v>0.3687500000000003</v>
      </c>
      <c r="AD119" s="25">
        <v>0.3241041666666668</v>
      </c>
      <c r="AE119" s="25">
        <v>0.38087500000000007</v>
      </c>
      <c r="AF119" s="25">
        <v>0.20150000000000004</v>
      </c>
      <c r="AG119" s="25">
        <v>0.36195833333333338</v>
      </c>
      <c r="AH119" s="28">
        <f t="shared" si="12"/>
        <v>0.42514583333333333</v>
      </c>
      <c r="AI119" s="28">
        <f t="shared" si="13"/>
        <v>0.40891666666666676</v>
      </c>
      <c r="AJ119" s="28">
        <f t="shared" si="14"/>
        <v>0.41186742424242428</v>
      </c>
    </row>
    <row r="120" spans="1:36" x14ac:dyDescent="0.25">
      <c r="A120" s="9">
        <v>44053</v>
      </c>
      <c r="B120" s="3">
        <v>198.94321877226599</v>
      </c>
      <c r="C120" s="3">
        <v>258.43976551161313</v>
      </c>
      <c r="D120" s="3">
        <v>613.31618902564048</v>
      </c>
      <c r="E120" s="3">
        <v>506.31181843473263</v>
      </c>
      <c r="F120" s="3">
        <v>320.06657797655504</v>
      </c>
      <c r="G120" s="3">
        <v>433.52597543170884</v>
      </c>
      <c r="H120" s="3">
        <v>359.64541959516811</v>
      </c>
      <c r="I120" s="3">
        <v>437.90384436009867</v>
      </c>
      <c r="J120" s="3">
        <f t="shared" si="9"/>
        <v>0.6816378999714181</v>
      </c>
      <c r="K120" s="3">
        <f t="shared" si="10"/>
        <v>0.47296198824762503</v>
      </c>
      <c r="L120" s="3">
        <f t="shared" si="11"/>
        <v>0.47170247490478756</v>
      </c>
      <c r="M120" s="23">
        <v>44053</v>
      </c>
      <c r="N120" s="24">
        <v>198.4375</v>
      </c>
      <c r="O120" s="24">
        <v>81.679166666666646</v>
      </c>
      <c r="P120" s="24">
        <v>24.095833333333335</v>
      </c>
      <c r="Q120" s="24">
        <v>0</v>
      </c>
      <c r="R120" s="24">
        <v>231.47916666666666</v>
      </c>
      <c r="S120" s="24">
        <v>4.9375</v>
      </c>
      <c r="T120" s="24">
        <v>0.10416666666666667</v>
      </c>
      <c r="U120" s="24">
        <v>20.554166666666667</v>
      </c>
      <c r="V120" s="10">
        <v>0.63512456321903499</v>
      </c>
      <c r="W120" s="25">
        <v>0.44437499999999969</v>
      </c>
      <c r="X120" s="25">
        <v>0.54622916666666665</v>
      </c>
      <c r="Y120" s="25">
        <v>0.59389583333333307</v>
      </c>
      <c r="Z120" s="25">
        <v>0.60731250000000025</v>
      </c>
      <c r="AA120" s="25">
        <v>0.61362499999999986</v>
      </c>
      <c r="AB120" s="25">
        <v>0.50502083333333347</v>
      </c>
      <c r="AC120" s="25">
        <v>0.47608333333333341</v>
      </c>
      <c r="AD120" s="25">
        <v>0.41027083333333331</v>
      </c>
      <c r="AE120" s="25">
        <v>0.45897916666666688</v>
      </c>
      <c r="AF120" s="25">
        <v>0.28016666666666662</v>
      </c>
      <c r="AG120" s="25">
        <v>0.4838541666666667</v>
      </c>
      <c r="AH120" s="28">
        <f t="shared" si="12"/>
        <v>0.5289999999999998</v>
      </c>
      <c r="AI120" s="28">
        <f t="shared" si="13"/>
        <v>0.52313541666666674</v>
      </c>
      <c r="AJ120" s="28">
        <f t="shared" si="14"/>
        <v>0.52420170454545456</v>
      </c>
    </row>
    <row r="121" spans="1:36" x14ac:dyDescent="0.25">
      <c r="A121" s="9">
        <v>44054</v>
      </c>
      <c r="B121" s="3">
        <v>193.55322802880855</v>
      </c>
      <c r="C121" s="3">
        <v>201.74925880974243</v>
      </c>
      <c r="D121" s="3">
        <v>521.85057308467651</v>
      </c>
      <c r="E121" s="3">
        <v>407.71393698773693</v>
      </c>
      <c r="F121" s="3">
        <v>253.60867575057233</v>
      </c>
      <c r="G121" s="3">
        <v>386.01381429902278</v>
      </c>
      <c r="H121" s="3">
        <v>304.12747838966641</v>
      </c>
      <c r="I121" s="3">
        <v>412.64287384499318</v>
      </c>
      <c r="J121" s="3">
        <f t="shared" si="9"/>
        <v>0.579069135658282</v>
      </c>
      <c r="K121" s="3">
        <f t="shared" si="10"/>
        <v>0.37297759881580406</v>
      </c>
      <c r="L121" s="3">
        <f t="shared" si="11"/>
        <v>0.41285603804940169</v>
      </c>
      <c r="M121" s="23">
        <v>44054</v>
      </c>
      <c r="N121" s="24">
        <v>163.125</v>
      </c>
      <c r="O121" s="24">
        <v>83.310416666666711</v>
      </c>
      <c r="P121" s="24">
        <v>23.866666666666664</v>
      </c>
      <c r="Q121" s="24">
        <v>0</v>
      </c>
      <c r="R121" s="24">
        <v>229.97916666666666</v>
      </c>
      <c r="S121" s="24">
        <v>10.083333333333334</v>
      </c>
      <c r="T121" s="24">
        <v>1.9166666666666667</v>
      </c>
      <c r="U121" s="24">
        <v>20.772916666666664</v>
      </c>
      <c r="V121" s="10">
        <v>0.53040773961314969</v>
      </c>
      <c r="W121" s="25">
        <v>0.42860416666666651</v>
      </c>
      <c r="X121" s="25">
        <v>0.53527083333333314</v>
      </c>
      <c r="Y121" s="25">
        <v>0.58706249999999949</v>
      </c>
      <c r="Z121" s="25">
        <v>0.60179166666666706</v>
      </c>
      <c r="AA121" s="25">
        <v>0.60575000000000023</v>
      </c>
      <c r="AB121" s="25">
        <v>0.49077083333333321</v>
      </c>
      <c r="AC121" s="25">
        <v>0.47091666666666671</v>
      </c>
      <c r="AD121" s="25">
        <v>0.40549999999999975</v>
      </c>
      <c r="AE121" s="25">
        <v>0.4371874999999999</v>
      </c>
      <c r="AF121" s="25">
        <v>0.25310416666666663</v>
      </c>
      <c r="AG121" s="25">
        <v>0.44858333333333333</v>
      </c>
      <c r="AH121" s="28">
        <f t="shared" si="12"/>
        <v>0.51717708333333334</v>
      </c>
      <c r="AI121" s="28">
        <f t="shared" si="13"/>
        <v>0.51521874999999995</v>
      </c>
      <c r="AJ121" s="28">
        <f t="shared" si="14"/>
        <v>0.51557481060606059</v>
      </c>
    </row>
    <row r="122" spans="1:36" x14ac:dyDescent="0.25">
      <c r="A122" s="9">
        <v>44057</v>
      </c>
      <c r="B122" s="3">
        <v>212.83091175137014</v>
      </c>
      <c r="C122" s="3">
        <v>184.94240183542047</v>
      </c>
      <c r="D122" s="3">
        <v>622.84470797059566</v>
      </c>
      <c r="E122" s="3">
        <v>526.22426674449446</v>
      </c>
      <c r="F122" s="3">
        <v>352.85298673735707</v>
      </c>
      <c r="G122" s="3">
        <v>469.42805964306609</v>
      </c>
      <c r="H122" s="3">
        <v>386.18680442326308</v>
      </c>
      <c r="I122" s="3">
        <v>484.0430754041397</v>
      </c>
      <c r="J122" s="3">
        <f t="shared" si="9"/>
        <v>0.69232310012957565</v>
      </c>
      <c r="K122" s="3">
        <f t="shared" si="10"/>
        <v>0.49315445036877642</v>
      </c>
      <c r="L122" s="3">
        <f t="shared" si="11"/>
        <v>0.51708047486361586</v>
      </c>
      <c r="M122" s="23">
        <v>44057</v>
      </c>
      <c r="N122" s="24">
        <v>189.875</v>
      </c>
      <c r="O122" s="24">
        <v>81.27291666666666</v>
      </c>
      <c r="P122" s="24">
        <v>22.516666666666669</v>
      </c>
      <c r="Q122" s="24">
        <v>0.7</v>
      </c>
      <c r="R122" s="24">
        <v>232.64583333333334</v>
      </c>
      <c r="S122" s="24">
        <v>14.541666666666666</v>
      </c>
      <c r="T122" s="24">
        <v>2.9791666666666665</v>
      </c>
      <c r="U122" s="24">
        <v>19.062499999999996</v>
      </c>
      <c r="V122" s="10">
        <v>0.53972713872306666</v>
      </c>
      <c r="W122" s="25">
        <v>0.44314583333333341</v>
      </c>
      <c r="X122" s="25">
        <v>0.54370833333333335</v>
      </c>
      <c r="Y122" s="25">
        <v>0.59339583333333346</v>
      </c>
      <c r="Z122" s="25">
        <v>0.60839583333333336</v>
      </c>
      <c r="AA122" s="25">
        <v>0.61187500000000006</v>
      </c>
      <c r="AB122" s="25">
        <v>0.49647916666666658</v>
      </c>
      <c r="AC122" s="25">
        <v>0.46900000000000031</v>
      </c>
      <c r="AD122" s="25">
        <v>0.40433333333333349</v>
      </c>
      <c r="AE122" s="25">
        <v>0.4516</v>
      </c>
      <c r="AF122" s="25">
        <v>0.2694375</v>
      </c>
      <c r="AG122" s="25">
        <v>0.47054166666666669</v>
      </c>
      <c r="AH122" s="28">
        <f t="shared" si="12"/>
        <v>0.52751041666666676</v>
      </c>
      <c r="AI122" s="28">
        <f t="shared" si="13"/>
        <v>0.51921875000000017</v>
      </c>
      <c r="AJ122" s="28">
        <f t="shared" si="14"/>
        <v>0.52072632575757594</v>
      </c>
    </row>
    <row r="123" spans="1:36" x14ac:dyDescent="0.25">
      <c r="A123" s="9">
        <v>44058</v>
      </c>
      <c r="B123" s="3">
        <v>174.66368022747432</v>
      </c>
      <c r="C123" s="3">
        <v>109.29776388890275</v>
      </c>
      <c r="D123" s="3">
        <v>498.63011507891406</v>
      </c>
      <c r="E123" s="3">
        <v>372.93836710401206</v>
      </c>
      <c r="F123" s="3">
        <v>329.47750497027107</v>
      </c>
      <c r="G123" s="3">
        <v>350.18821008231873</v>
      </c>
      <c r="H123" s="3">
        <v>301.97018572699704</v>
      </c>
      <c r="I123" s="3">
        <v>415.6897544661594</v>
      </c>
      <c r="J123" s="3">
        <f t="shared" si="9"/>
        <v>0.55302991141063274</v>
      </c>
      <c r="K123" s="3">
        <f t="shared" si="10"/>
        <v>0.33771300620042388</v>
      </c>
      <c r="L123" s="3">
        <f t="shared" si="11"/>
        <v>0.42435433041710102</v>
      </c>
      <c r="M123" s="23">
        <v>44058</v>
      </c>
      <c r="N123" s="24">
        <v>134.5625</v>
      </c>
      <c r="O123" s="24">
        <v>83.381249999999994</v>
      </c>
      <c r="P123" s="24">
        <v>21.747916666666669</v>
      </c>
      <c r="Q123" s="24">
        <v>0</v>
      </c>
      <c r="R123" s="24">
        <v>228.4375</v>
      </c>
      <c r="S123" s="24">
        <v>15.375</v>
      </c>
      <c r="T123" s="24">
        <v>3.4166666666666665</v>
      </c>
      <c r="U123" s="24">
        <v>18.783333333333339</v>
      </c>
      <c r="V123" s="10">
        <v>0.44261854498555647</v>
      </c>
      <c r="W123" s="25">
        <v>0.42658333333333359</v>
      </c>
      <c r="X123" s="25">
        <v>0.5321874999999997</v>
      </c>
      <c r="Y123" s="25">
        <v>0.58504166666666635</v>
      </c>
      <c r="Z123" s="25">
        <v>0.60237500000000022</v>
      </c>
      <c r="AA123" s="25">
        <v>0.60266666666666668</v>
      </c>
      <c r="AB123" s="25">
        <v>0.48308333333333359</v>
      </c>
      <c r="AC123" s="25">
        <v>0.46485416666666651</v>
      </c>
      <c r="AD123" s="25">
        <v>0.40143749999999967</v>
      </c>
      <c r="AE123" s="25">
        <v>0.43427777777777776</v>
      </c>
      <c r="AF123" s="25">
        <v>0.24810416666666676</v>
      </c>
      <c r="AG123" s="25">
        <v>0.43902083333333319</v>
      </c>
      <c r="AH123" s="28">
        <f t="shared" si="12"/>
        <v>0.51462500000000011</v>
      </c>
      <c r="AI123" s="28">
        <f t="shared" si="13"/>
        <v>0.51149652777777765</v>
      </c>
      <c r="AJ123" s="28">
        <f t="shared" si="14"/>
        <v>0.51206534090909084</v>
      </c>
    </row>
    <row r="124" spans="1:36" x14ac:dyDescent="0.25">
      <c r="A124" s="9">
        <v>44059</v>
      </c>
      <c r="B124" s="3">
        <v>154.07149843213085</v>
      </c>
      <c r="C124" s="3">
        <v>78.887264528760227</v>
      </c>
      <c r="D124" s="3">
        <v>457.83347480920247</v>
      </c>
      <c r="E124" s="3">
        <v>339.05175559704389</v>
      </c>
      <c r="F124" s="3">
        <v>247.90642715647871</v>
      </c>
      <c r="G124" s="3">
        <v>292.80739516575858</v>
      </c>
      <c r="H124" s="3">
        <v>261.78417909986103</v>
      </c>
      <c r="I124" s="3">
        <v>348.63981811879705</v>
      </c>
      <c r="J124" s="3">
        <f t="shared" si="9"/>
        <v>0.50728090575923379</v>
      </c>
      <c r="K124" s="3">
        <f t="shared" si="10"/>
        <v>0.30334987271607078</v>
      </c>
      <c r="L124" s="3">
        <f t="shared" si="11"/>
        <v>0.34708453328799949</v>
      </c>
      <c r="M124" s="23">
        <v>44059</v>
      </c>
      <c r="N124" s="24">
        <v>113.27083333333333</v>
      </c>
      <c r="O124" s="24">
        <v>84.452083333333348</v>
      </c>
      <c r="P124" s="24">
        <v>21.158333333333339</v>
      </c>
      <c r="Q124" s="24">
        <v>1.9</v>
      </c>
      <c r="R124" s="24">
        <v>230.64583333333334</v>
      </c>
      <c r="S124" s="24">
        <v>15.291666666666666</v>
      </c>
      <c r="T124" s="24">
        <v>3.3958333333333335</v>
      </c>
      <c r="U124" s="24">
        <v>18.402083333333334</v>
      </c>
      <c r="V124" s="10">
        <v>0.40152166393080302</v>
      </c>
      <c r="W124" s="25">
        <v>0.41331249999999997</v>
      </c>
      <c r="X124" s="25">
        <v>0.52312499999999962</v>
      </c>
      <c r="Y124" s="25">
        <v>0.57768750000000024</v>
      </c>
      <c r="Z124" s="25">
        <v>0.59754166666666675</v>
      </c>
      <c r="AA124" s="25">
        <v>0.59370833333333317</v>
      </c>
      <c r="AB124" s="25">
        <v>0.47377083333333331</v>
      </c>
      <c r="AC124" s="25">
        <v>0.46004166666666685</v>
      </c>
      <c r="AD124" s="25">
        <v>0.39835416666666701</v>
      </c>
      <c r="AE124" s="25">
        <v>0.42259090909090896</v>
      </c>
      <c r="AF124" s="25">
        <v>0.2348124999999999</v>
      </c>
      <c r="AG124" s="25">
        <v>0.40947916666666662</v>
      </c>
      <c r="AH124" s="28">
        <f t="shared" si="12"/>
        <v>0.50351041666666663</v>
      </c>
      <c r="AI124" s="28">
        <f t="shared" si="13"/>
        <v>0.50508680555555563</v>
      </c>
      <c r="AJ124" s="28">
        <f t="shared" si="14"/>
        <v>0.50480018939393945</v>
      </c>
    </row>
    <row r="125" spans="1:36" x14ac:dyDescent="0.25">
      <c r="A125" s="9">
        <v>44062</v>
      </c>
      <c r="B125" s="3">
        <v>155.71884660230705</v>
      </c>
      <c r="C125" s="3">
        <v>326.12039402978075</v>
      </c>
      <c r="D125" s="3">
        <v>521.04321618565905</v>
      </c>
      <c r="E125" s="3">
        <v>470.92989714029767</v>
      </c>
      <c r="F125" s="3">
        <v>414.76017756554637</v>
      </c>
      <c r="G125" s="3">
        <v>331.98573422180669</v>
      </c>
      <c r="H125" s="3">
        <v>373.66001617211089</v>
      </c>
      <c r="I125" s="3">
        <v>338.2720674573564</v>
      </c>
      <c r="J125" s="3">
        <f t="shared" si="9"/>
        <v>0.57816377249377482</v>
      </c>
      <c r="K125" s="3">
        <f t="shared" si="10"/>
        <v>0.43708251755686184</v>
      </c>
      <c r="L125" s="3">
        <f t="shared" si="11"/>
        <v>0.4351078450625675</v>
      </c>
      <c r="M125" s="23">
        <v>44062</v>
      </c>
      <c r="N125" s="24">
        <v>198.8125</v>
      </c>
      <c r="O125" s="24">
        <v>83.052083333333343</v>
      </c>
      <c r="P125" s="24">
        <v>20.999999999999996</v>
      </c>
      <c r="Q125" s="24">
        <v>0</v>
      </c>
      <c r="R125" s="24">
        <v>241.16666666666666</v>
      </c>
      <c r="S125" s="24">
        <v>2.4375</v>
      </c>
      <c r="T125" s="24">
        <v>0</v>
      </c>
      <c r="U125" s="24">
        <v>17.764583333333341</v>
      </c>
      <c r="V125" s="10">
        <v>0.52000560092051795</v>
      </c>
      <c r="W125" s="25">
        <v>0.46481249999999957</v>
      </c>
      <c r="X125" s="25">
        <v>0.55933333333333302</v>
      </c>
      <c r="Y125" s="25">
        <v>0.60329166666666656</v>
      </c>
      <c r="Z125" s="25">
        <v>0.61933333333333296</v>
      </c>
      <c r="AA125" s="25">
        <v>0.62137500000000012</v>
      </c>
      <c r="AB125" s="25">
        <v>0.51745833333333346</v>
      </c>
      <c r="AC125" s="25">
        <v>0.48216666666666647</v>
      </c>
      <c r="AD125" s="25">
        <v>0.41927083333333309</v>
      </c>
      <c r="AE125" s="25">
        <v>0.47566666666666652</v>
      </c>
      <c r="AF125" s="25">
        <v>0.29110416666666677</v>
      </c>
      <c r="AG125" s="25">
        <v>0.50868749999999996</v>
      </c>
      <c r="AH125" s="28">
        <f t="shared" si="12"/>
        <v>0.54309374999999982</v>
      </c>
      <c r="AI125" s="28">
        <f t="shared" si="13"/>
        <v>0.5334756944444442</v>
      </c>
      <c r="AJ125" s="28">
        <f t="shared" si="14"/>
        <v>0.53522443181818158</v>
      </c>
    </row>
    <row r="126" spans="1:36" x14ac:dyDescent="0.25">
      <c r="A126" s="9">
        <v>44063</v>
      </c>
      <c r="B126" s="3">
        <v>169.84348701053449</v>
      </c>
      <c r="C126" s="3">
        <v>356.76722786040085</v>
      </c>
      <c r="D126" s="3">
        <v>654.41526053046607</v>
      </c>
      <c r="E126" s="3">
        <v>498.4788417407724</v>
      </c>
      <c r="F126" s="3">
        <v>493.0104608251479</v>
      </c>
      <c r="G126" s="3">
        <v>487.29194525938647</v>
      </c>
      <c r="H126" s="3">
        <v>387.98313587188204</v>
      </c>
      <c r="I126" s="3">
        <v>505.88465264490446</v>
      </c>
      <c r="J126" s="3">
        <f t="shared" si="9"/>
        <v>0.72772604943938923</v>
      </c>
      <c r="K126" s="3">
        <f t="shared" si="10"/>
        <v>0.46501886228299349</v>
      </c>
      <c r="L126" s="3">
        <f t="shared" si="11"/>
        <v>0.56985138389188328</v>
      </c>
      <c r="M126" s="23">
        <v>44063</v>
      </c>
      <c r="N126" s="24">
        <v>194.95833333333334</v>
      </c>
      <c r="O126" s="24">
        <v>78.895833333333329</v>
      </c>
      <c r="P126" s="24">
        <v>22.620833333333341</v>
      </c>
      <c r="Q126" s="24">
        <v>0</v>
      </c>
      <c r="R126" s="24">
        <v>229.54166666666666</v>
      </c>
      <c r="S126" s="24">
        <v>2.9375</v>
      </c>
      <c r="T126" s="24">
        <v>0</v>
      </c>
      <c r="U126" s="24">
        <v>18.587500000000002</v>
      </c>
      <c r="V126" s="10">
        <v>0.65442685817700619</v>
      </c>
      <c r="W126" s="25">
        <v>0.44566666666666688</v>
      </c>
      <c r="X126" s="25">
        <v>0.54466666666666685</v>
      </c>
      <c r="Y126" s="25">
        <v>0.59433333333333327</v>
      </c>
      <c r="Z126" s="25">
        <v>0.60958333333333337</v>
      </c>
      <c r="AA126" s="25">
        <v>0.61216666666666708</v>
      </c>
      <c r="AB126" s="25">
        <v>0.49658333333333321</v>
      </c>
      <c r="AC126" s="25">
        <v>0.47404166666666625</v>
      </c>
      <c r="AD126" s="25">
        <v>0.40947916666666662</v>
      </c>
      <c r="AE126" s="25">
        <v>0.45187500000000008</v>
      </c>
      <c r="AF126" s="25">
        <v>0.26150000000000001</v>
      </c>
      <c r="AG126" s="25">
        <v>0.47466666666666657</v>
      </c>
      <c r="AH126" s="28">
        <f t="shared" si="12"/>
        <v>0.52891666666666692</v>
      </c>
      <c r="AI126" s="28">
        <f t="shared" si="13"/>
        <v>0.52144791666666668</v>
      </c>
      <c r="AJ126" s="28">
        <f t="shared" si="14"/>
        <v>0.5228058712121213</v>
      </c>
    </row>
    <row r="127" spans="1:36" x14ac:dyDescent="0.25">
      <c r="A127" s="9">
        <v>44064</v>
      </c>
      <c r="B127" s="3">
        <v>127.29655948092554</v>
      </c>
      <c r="C127" s="3">
        <v>282.16844928972773</v>
      </c>
      <c r="D127" s="3">
        <v>497.70062228930914</v>
      </c>
      <c r="E127" s="3">
        <v>416.55643431424886</v>
      </c>
      <c r="F127" s="3">
        <v>374.9838701464696</v>
      </c>
      <c r="G127" s="3">
        <v>445.60611622534259</v>
      </c>
      <c r="H127" s="3">
        <v>335.32693346953903</v>
      </c>
      <c r="I127" s="3">
        <v>351.48339654025284</v>
      </c>
      <c r="J127" s="3">
        <f t="shared" si="9"/>
        <v>0.55198758609650289</v>
      </c>
      <c r="K127" s="3">
        <f t="shared" si="10"/>
        <v>0.38194444154374929</v>
      </c>
      <c r="L127" s="3">
        <f t="shared" si="11"/>
        <v>0.44887532600724134</v>
      </c>
      <c r="M127" s="23">
        <v>44064</v>
      </c>
      <c r="N127" s="24">
        <v>155.6875</v>
      </c>
      <c r="O127" s="24">
        <v>84.102083333333312</v>
      </c>
      <c r="P127" s="24">
        <v>22.014583333333338</v>
      </c>
      <c r="Q127" s="24">
        <v>0</v>
      </c>
      <c r="R127" s="24">
        <v>226.20833333333334</v>
      </c>
      <c r="S127" s="24">
        <v>4.229166666666667</v>
      </c>
      <c r="T127" s="24">
        <v>0.20833333333333334</v>
      </c>
      <c r="U127" s="24">
        <v>19.091666666666658</v>
      </c>
      <c r="V127" s="10">
        <v>0.46711770270670278</v>
      </c>
      <c r="W127" s="25">
        <v>0.431458333333333</v>
      </c>
      <c r="X127" s="25">
        <v>0.53558333333333363</v>
      </c>
      <c r="Y127" s="25">
        <v>0.58777083333333313</v>
      </c>
      <c r="Z127" s="25">
        <v>0.60556249999999967</v>
      </c>
      <c r="AA127" s="25">
        <v>0.60502083333333367</v>
      </c>
      <c r="AB127" s="25">
        <v>0.48497916666666679</v>
      </c>
      <c r="AC127" s="25">
        <v>0.46920833333333317</v>
      </c>
      <c r="AD127" s="25">
        <v>0.40581249999999991</v>
      </c>
      <c r="AE127" s="25">
        <v>0.43747916666666659</v>
      </c>
      <c r="AF127" s="25">
        <v>0.24224999999999999</v>
      </c>
      <c r="AG127" s="25">
        <v>0.44516666666666671</v>
      </c>
      <c r="AH127" s="28">
        <f t="shared" si="12"/>
        <v>0.51823958333333331</v>
      </c>
      <c r="AI127" s="28">
        <f t="shared" si="13"/>
        <v>0.51481944444444439</v>
      </c>
      <c r="AJ127" s="28">
        <f t="shared" si="14"/>
        <v>0.51544128787878774</v>
      </c>
    </row>
    <row r="128" spans="1:36" x14ac:dyDescent="0.25">
      <c r="A128" s="9">
        <v>44065</v>
      </c>
      <c r="B128" s="3">
        <v>170.5120024118857</v>
      </c>
      <c r="C128" s="3">
        <v>333.70035195177161</v>
      </c>
      <c r="D128" s="3">
        <v>569.43367309603855</v>
      </c>
      <c r="E128" s="3">
        <v>586.6000160983474</v>
      </c>
      <c r="F128" s="3">
        <v>408.74041516531292</v>
      </c>
      <c r="G128" s="3">
        <v>674.90945506157868</v>
      </c>
      <c r="H128" s="3">
        <v>402.67482164517645</v>
      </c>
      <c r="I128" s="3">
        <v>402.51849348958336</v>
      </c>
      <c r="J128" s="3">
        <f t="shared" si="9"/>
        <v>0.63242841958311669</v>
      </c>
      <c r="K128" s="3">
        <f t="shared" si="10"/>
        <v>0.55437921855894112</v>
      </c>
      <c r="L128" s="3">
        <f t="shared" si="11"/>
        <v>0.5630474434688667</v>
      </c>
      <c r="M128" s="23">
        <v>44065</v>
      </c>
      <c r="N128" s="24">
        <v>210.64583333333334</v>
      </c>
      <c r="O128" s="24">
        <v>78.662500000000023</v>
      </c>
      <c r="P128" s="24">
        <v>22.687499999999989</v>
      </c>
      <c r="Q128" s="24">
        <v>0</v>
      </c>
      <c r="R128" s="24">
        <v>237.79166666666666</v>
      </c>
      <c r="S128" s="24">
        <v>10.083333333333334</v>
      </c>
      <c r="T128" s="24">
        <v>1.5</v>
      </c>
      <c r="U128" s="24">
        <v>18.627083333333335</v>
      </c>
      <c r="V128" s="10">
        <v>0.64895494101892581</v>
      </c>
      <c r="W128" s="25">
        <v>0.41472916666666654</v>
      </c>
      <c r="X128" s="25">
        <v>0.52599999999999991</v>
      </c>
      <c r="Y128" s="25">
        <v>0.57945833333333352</v>
      </c>
      <c r="Z128" s="25">
        <v>0.60087500000000038</v>
      </c>
      <c r="AA128" s="25">
        <v>0.59537499999999999</v>
      </c>
      <c r="AB128" s="25">
        <v>0.47377083333333331</v>
      </c>
      <c r="AC128" s="25">
        <v>0.4635624999999996</v>
      </c>
      <c r="AD128" s="25">
        <v>0.40172916666666664</v>
      </c>
      <c r="AE128" s="25">
        <v>0.4207083333333333</v>
      </c>
      <c r="AF128" s="25">
        <v>0.22622916666666668</v>
      </c>
      <c r="AG128" s="25">
        <v>0.40347916666666667</v>
      </c>
      <c r="AH128" s="28">
        <f t="shared" si="12"/>
        <v>0.50505208333333329</v>
      </c>
      <c r="AI128" s="28">
        <f t="shared" si="13"/>
        <v>0.50756597222222222</v>
      </c>
      <c r="AJ128" s="28">
        <f t="shared" si="14"/>
        <v>0.50710890151515153</v>
      </c>
    </row>
    <row r="129" spans="1:36" x14ac:dyDescent="0.25">
      <c r="A129" s="9">
        <v>44066</v>
      </c>
      <c r="B129" s="3">
        <v>177.18080329546734</v>
      </c>
      <c r="C129" s="3">
        <v>292.92896354362813</v>
      </c>
      <c r="D129" s="3">
        <v>589.95212734153279</v>
      </c>
      <c r="E129" s="3">
        <v>649.41999316676527</v>
      </c>
      <c r="F129" s="3">
        <v>429.90311964065421</v>
      </c>
      <c r="G129" s="3">
        <v>818.13809379997247</v>
      </c>
      <c r="H129" s="3">
        <v>422.03528304364937</v>
      </c>
      <c r="I129" s="3">
        <v>509.57129208696836</v>
      </c>
      <c r="J129" s="3">
        <f t="shared" si="9"/>
        <v>0.65543763977941794</v>
      </c>
      <c r="K129" s="3">
        <f t="shared" si="10"/>
        <v>0.61808258580302644</v>
      </c>
      <c r="L129" s="3">
        <f t="shared" si="11"/>
        <v>0.65660488936761696</v>
      </c>
      <c r="M129" s="23">
        <v>44066</v>
      </c>
      <c r="N129" s="24">
        <v>214.35416666666666</v>
      </c>
      <c r="O129" s="24">
        <v>76.722916666666663</v>
      </c>
      <c r="P129" s="24">
        <v>23.402083333333337</v>
      </c>
      <c r="Q129" s="24">
        <v>0</v>
      </c>
      <c r="R129" s="24">
        <v>232.04166666666666</v>
      </c>
      <c r="S129" s="24">
        <v>14</v>
      </c>
      <c r="T129" s="24">
        <v>2.5833333333333335</v>
      </c>
      <c r="U129" s="24">
        <v>18.945833333333329</v>
      </c>
      <c r="V129" s="10">
        <v>0.71917145793861126</v>
      </c>
      <c r="W129" s="25">
        <v>0.38745833333333324</v>
      </c>
      <c r="X129" s="25">
        <v>0.51268750000000007</v>
      </c>
      <c r="Y129" s="25">
        <v>0.5666041666666668</v>
      </c>
      <c r="Z129" s="25">
        <v>0.59247916666666656</v>
      </c>
      <c r="AA129" s="25">
        <v>0.58110416666666687</v>
      </c>
      <c r="AB129" s="25">
        <v>0.4574791666666666</v>
      </c>
      <c r="AC129" s="25">
        <v>0.45327083333333373</v>
      </c>
      <c r="AD129" s="25">
        <v>0.39504166666666679</v>
      </c>
      <c r="AE129" s="25">
        <v>0.40119148936170207</v>
      </c>
      <c r="AF129" s="25">
        <v>0.20233333333333334</v>
      </c>
      <c r="AG129" s="25">
        <v>0.35229166666666684</v>
      </c>
      <c r="AH129" s="28">
        <f t="shared" si="12"/>
        <v>0.48428125000000005</v>
      </c>
      <c r="AI129" s="28">
        <f t="shared" si="13"/>
        <v>0.4962604166666667</v>
      </c>
      <c r="AJ129" s="28">
        <f t="shared" si="14"/>
        <v>0.49408238636363638</v>
      </c>
    </row>
    <row r="130" spans="1:36" x14ac:dyDescent="0.25">
      <c r="A130" s="9">
        <v>44067</v>
      </c>
      <c r="B130" s="3">
        <v>93.686057610559587</v>
      </c>
      <c r="C130" s="3">
        <v>191.78749866975727</v>
      </c>
      <c r="D130" s="3">
        <v>341.53149885971732</v>
      </c>
      <c r="E130" s="3">
        <v>403.88476358561729</v>
      </c>
      <c r="F130" s="3">
        <v>195.7763317652286</v>
      </c>
      <c r="G130" s="3">
        <v>583.07691419858577</v>
      </c>
      <c r="H130" s="3">
        <v>243.43302339906919</v>
      </c>
      <c r="I130" s="3">
        <v>387.52846053931768</v>
      </c>
      <c r="J130" s="3">
        <f t="shared" si="9"/>
        <v>0.37686085842675582</v>
      </c>
      <c r="K130" s="3">
        <f t="shared" si="10"/>
        <v>0.36909457862286693</v>
      </c>
      <c r="L130" s="3">
        <f t="shared" si="11"/>
        <v>0.42288533624429325</v>
      </c>
      <c r="M130" s="23">
        <v>44067</v>
      </c>
      <c r="N130" s="24">
        <v>149.8125</v>
      </c>
      <c r="O130" s="24">
        <v>82.070833333333326</v>
      </c>
      <c r="P130" s="24">
        <v>22.677083333333332</v>
      </c>
      <c r="Q130" s="24">
        <v>0</v>
      </c>
      <c r="R130" s="24">
        <v>252.5625</v>
      </c>
      <c r="S130" s="24">
        <v>6.5625</v>
      </c>
      <c r="T130" s="24">
        <v>0.33333333333333331</v>
      </c>
      <c r="U130" s="24">
        <v>19.350000000000005</v>
      </c>
      <c r="V130" s="10">
        <v>0.53633439450765186</v>
      </c>
      <c r="W130" s="25">
        <v>0.35749999999999998</v>
      </c>
      <c r="X130" s="25">
        <v>0.49739583333333354</v>
      </c>
      <c r="Y130" s="25">
        <v>0.55499999999999938</v>
      </c>
      <c r="Z130" s="25">
        <v>0.58139583333333344</v>
      </c>
      <c r="AA130" s="25">
        <v>0.56577083333333344</v>
      </c>
      <c r="AB130" s="25">
        <v>0.44170833333333331</v>
      </c>
      <c r="AC130" s="25">
        <v>0.44183333333333358</v>
      </c>
      <c r="AD130" s="25">
        <v>0.38654166666666656</v>
      </c>
      <c r="AE130" s="25">
        <v>0.38252083333333337</v>
      </c>
      <c r="AF130" s="25">
        <v>0.17812499999999998</v>
      </c>
      <c r="AG130" s="25">
        <v>0.31508333333333333</v>
      </c>
      <c r="AH130" s="28">
        <f t="shared" si="12"/>
        <v>0.46163541666666674</v>
      </c>
      <c r="AI130" s="28">
        <f t="shared" si="13"/>
        <v>0.48397916666666663</v>
      </c>
      <c r="AJ130" s="28">
        <f t="shared" si="14"/>
        <v>0.47991666666666666</v>
      </c>
    </row>
    <row r="131" spans="1:36" x14ac:dyDescent="0.25">
      <c r="A131" s="9">
        <v>44068</v>
      </c>
      <c r="B131" s="3">
        <v>172.13939909920279</v>
      </c>
      <c r="C131" s="3">
        <v>403.57890085971712</v>
      </c>
      <c r="D131" s="3">
        <v>655.09419565650205</v>
      </c>
      <c r="E131" s="3">
        <v>726.97185193374821</v>
      </c>
      <c r="F131" s="3">
        <v>374.32185753922482</v>
      </c>
      <c r="G131" s="3">
        <v>913.19362992461549</v>
      </c>
      <c r="H131" s="3">
        <v>449.73803515435873</v>
      </c>
      <c r="I131" s="3">
        <v>622.69704243245508</v>
      </c>
      <c r="J131" s="3">
        <f t="shared" si="9"/>
        <v>0.72848740151918323</v>
      </c>
      <c r="K131" s="3">
        <f t="shared" si="10"/>
        <v>0.69672499813810274</v>
      </c>
      <c r="L131" s="3">
        <f t="shared" si="11"/>
        <v>0.72054661316013602</v>
      </c>
      <c r="M131" s="23">
        <v>44068</v>
      </c>
      <c r="N131" s="24">
        <v>285.14583333333331</v>
      </c>
      <c r="O131" s="24">
        <v>65.58541666666666</v>
      </c>
      <c r="P131" s="24">
        <v>23.722916666666659</v>
      </c>
      <c r="Q131" s="24">
        <v>0</v>
      </c>
      <c r="R131" s="24">
        <v>187.20833333333334</v>
      </c>
      <c r="S131" s="24">
        <v>3.6458333333333335</v>
      </c>
      <c r="T131" s="24">
        <v>0</v>
      </c>
      <c r="U131" s="24">
        <v>16.085416666666667</v>
      </c>
      <c r="V131" s="10">
        <v>1.2245262537789239</v>
      </c>
      <c r="W131" s="25">
        <v>0.33356250000000015</v>
      </c>
      <c r="X131" s="25">
        <v>0.47997916666666668</v>
      </c>
      <c r="Y131" s="25">
        <v>0.5425416666666667</v>
      </c>
      <c r="Z131" s="25">
        <v>0.56689583333333304</v>
      </c>
      <c r="AA131" s="25">
        <v>0.54737500000000006</v>
      </c>
      <c r="AB131" s="25">
        <v>0.42597916666666663</v>
      </c>
      <c r="AC131" s="25">
        <v>0.42952083333333335</v>
      </c>
      <c r="AD131" s="25">
        <v>0.37812499999999988</v>
      </c>
      <c r="AE131" s="25">
        <v>0.36048936170212759</v>
      </c>
      <c r="AF131" s="25">
        <v>0.16068749999999996</v>
      </c>
      <c r="AG131" s="25">
        <v>0.29091666666666671</v>
      </c>
      <c r="AH131" s="28">
        <f t="shared" si="12"/>
        <v>0.44046875000000008</v>
      </c>
      <c r="AI131" s="28">
        <f t="shared" si="13"/>
        <v>0.4705069444444443</v>
      </c>
      <c r="AJ131" s="28">
        <f t="shared" si="14"/>
        <v>0.46504545454545443</v>
      </c>
    </row>
    <row r="132" spans="1:36" x14ac:dyDescent="0.25">
      <c r="A132" s="9">
        <v>44069</v>
      </c>
      <c r="B132" s="3">
        <v>152.81710318352248</v>
      </c>
      <c r="C132" s="3">
        <v>412.75821492575028</v>
      </c>
      <c r="D132" s="3">
        <v>623.8179109381208</v>
      </c>
      <c r="E132" s="3">
        <v>759.3410306850858</v>
      </c>
      <c r="F132" s="3">
        <v>390.59319212709067</v>
      </c>
      <c r="G132" s="3">
        <v>686.4645662952596</v>
      </c>
      <c r="H132" s="3">
        <v>451.34756525103217</v>
      </c>
      <c r="I132" s="3">
        <v>430.19564554990097</v>
      </c>
      <c r="J132" s="3">
        <f t="shared" si="9"/>
        <v>0.69341444166571486</v>
      </c>
      <c r="K132" s="3">
        <f t="shared" si="10"/>
        <v>0.72954936034918938</v>
      </c>
      <c r="L132" s="3">
        <f t="shared" si="11"/>
        <v>0.58731648720182339</v>
      </c>
      <c r="M132" s="23">
        <v>44069</v>
      </c>
      <c r="N132" s="24">
        <v>289.1875</v>
      </c>
      <c r="O132" s="24">
        <v>57.204166666666687</v>
      </c>
      <c r="P132" s="24">
        <v>23.818749999999998</v>
      </c>
      <c r="Q132" s="24">
        <v>0</v>
      </c>
      <c r="R132" s="24">
        <v>248.85416666666666</v>
      </c>
      <c r="S132" s="24">
        <v>2.5208333333333335</v>
      </c>
      <c r="T132" s="24">
        <v>2.0833333333333332E-2</v>
      </c>
      <c r="U132" s="24">
        <v>14.05208333333333</v>
      </c>
      <c r="V132" s="10">
        <v>1.5071725417553348</v>
      </c>
      <c r="W132" s="25">
        <v>0.3035208333333333</v>
      </c>
      <c r="X132" s="25">
        <v>0.45235416666666667</v>
      </c>
      <c r="Y132" s="25">
        <v>0.52116666666666689</v>
      </c>
      <c r="Z132" s="25">
        <v>0.54187499999999988</v>
      </c>
      <c r="AA132" s="25">
        <v>0.51952083333333354</v>
      </c>
      <c r="AB132" s="25">
        <v>0.39912500000000001</v>
      </c>
      <c r="AC132" s="25">
        <v>0.40872916666666653</v>
      </c>
      <c r="AD132" s="25">
        <v>0.36293749999999997</v>
      </c>
      <c r="AE132" s="25">
        <v>0.32519148936170211</v>
      </c>
      <c r="AF132" s="25">
        <v>0.14332258064516132</v>
      </c>
      <c r="AG132" s="25">
        <v>0.26566666666666672</v>
      </c>
      <c r="AH132" s="28">
        <f t="shared" si="12"/>
        <v>0.41152083333333345</v>
      </c>
      <c r="AI132" s="28">
        <f t="shared" si="13"/>
        <v>0.44769791666666664</v>
      </c>
      <c r="AJ132" s="28">
        <f t="shared" si="14"/>
        <v>0.44112026515151515</v>
      </c>
    </row>
    <row r="133" spans="1:36" x14ac:dyDescent="0.25">
      <c r="A133" s="9">
        <v>44070</v>
      </c>
      <c r="B133" s="3">
        <v>162.58085804820857</v>
      </c>
      <c r="C133" s="3">
        <v>408.13742021096556</v>
      </c>
      <c r="D133" s="3">
        <v>611.3424620208059</v>
      </c>
      <c r="E133" s="3">
        <v>766.29221353693094</v>
      </c>
      <c r="F133" s="3">
        <v>385.43295966769307</v>
      </c>
      <c r="G133" s="3">
        <v>537.94311767972283</v>
      </c>
      <c r="H133" s="3">
        <v>431.47778696947</v>
      </c>
      <c r="I133" s="3">
        <v>284.92900595759431</v>
      </c>
      <c r="J133" s="3">
        <f t="shared" si="9"/>
        <v>0.67942457928369637</v>
      </c>
      <c r="K133" s="3">
        <f t="shared" si="10"/>
        <v>0.73659829246690744</v>
      </c>
      <c r="L133" s="3">
        <f t="shared" si="11"/>
        <v>0.48163100014588756</v>
      </c>
      <c r="M133" s="23">
        <v>44070</v>
      </c>
      <c r="N133" s="24">
        <v>273.64583333333331</v>
      </c>
      <c r="O133" s="24">
        <v>66.533333333333331</v>
      </c>
      <c r="P133" s="24">
        <v>23.885416666666671</v>
      </c>
      <c r="Q133" s="24">
        <v>0</v>
      </c>
      <c r="R133" s="24">
        <v>207.10416666666666</v>
      </c>
      <c r="S133" s="24">
        <v>6.0625</v>
      </c>
      <c r="T133" s="24">
        <v>0.875</v>
      </c>
      <c r="U133" s="24">
        <v>16.889583333333334</v>
      </c>
      <c r="V133" s="10">
        <v>1.1256118135842317</v>
      </c>
      <c r="W133" s="25">
        <v>0.28310416666666671</v>
      </c>
      <c r="X133" s="25">
        <v>0.42620833333333352</v>
      </c>
      <c r="Y133" s="25">
        <v>0.50129166666666669</v>
      </c>
      <c r="Z133" s="25">
        <v>0.51458333333333339</v>
      </c>
      <c r="AA133" s="25">
        <v>0.49579166666666641</v>
      </c>
      <c r="AB133" s="25">
        <v>0.37829166666666664</v>
      </c>
      <c r="AC133" s="25">
        <v>0.38972916666666663</v>
      </c>
      <c r="AD133" s="25">
        <v>0.34939583333333329</v>
      </c>
      <c r="AE133" s="25">
        <v>0.29036170212765972</v>
      </c>
      <c r="AF133" s="25">
        <v>0.13099999999999998</v>
      </c>
      <c r="AG133" s="25">
        <v>0.25049999999999989</v>
      </c>
      <c r="AH133" s="28">
        <f t="shared" si="12"/>
        <v>0.38944791666666656</v>
      </c>
      <c r="AI133" s="28">
        <f t="shared" si="13"/>
        <v>0.42658333333333337</v>
      </c>
      <c r="AJ133" s="28">
        <f t="shared" si="14"/>
        <v>0.41983143939393947</v>
      </c>
    </row>
    <row r="134" spans="1:36" x14ac:dyDescent="0.25">
      <c r="A134" s="9">
        <v>44071</v>
      </c>
      <c r="B134" s="3">
        <v>138.38345029775303</v>
      </c>
      <c r="C134" s="3">
        <v>263.90334911867569</v>
      </c>
      <c r="D134" s="3">
        <v>456.81291316740061</v>
      </c>
      <c r="E134" s="3">
        <v>595.94023448607788</v>
      </c>
      <c r="F134" s="3">
        <v>282.67990943737129</v>
      </c>
      <c r="G134" s="3">
        <v>418.46828304972308</v>
      </c>
      <c r="H134" s="3">
        <v>362.15327871311945</v>
      </c>
      <c r="I134" s="3">
        <v>268.49350582421067</v>
      </c>
      <c r="J134" s="3">
        <f t="shared" si="9"/>
        <v>0.5061364566082811</v>
      </c>
      <c r="K134" s="3">
        <f t="shared" si="10"/>
        <v>0.56385078142572675</v>
      </c>
      <c r="L134" s="3">
        <f t="shared" si="11"/>
        <v>0.39184952017267072</v>
      </c>
      <c r="M134" s="23">
        <v>44071</v>
      </c>
      <c r="N134" s="24">
        <v>170.875</v>
      </c>
      <c r="O134" s="24">
        <v>73.760416666666686</v>
      </c>
      <c r="P134" s="24">
        <v>23.887499999999999</v>
      </c>
      <c r="Q134" s="24">
        <v>0</v>
      </c>
      <c r="R134" s="24">
        <v>229.08333333333334</v>
      </c>
      <c r="S134" s="24">
        <v>6.979166666666667</v>
      </c>
      <c r="T134" s="24">
        <v>0.5625</v>
      </c>
      <c r="U134" s="24">
        <v>18.835416666666667</v>
      </c>
      <c r="V134" s="10">
        <v>0.813013433523889</v>
      </c>
      <c r="W134" s="25">
        <v>0.27039583333333334</v>
      </c>
      <c r="X134" s="25">
        <v>0.40527083333333302</v>
      </c>
      <c r="Y134" s="25">
        <v>0.48462500000000025</v>
      </c>
      <c r="Z134" s="25">
        <v>0.49318750000000017</v>
      </c>
      <c r="AA134" s="25">
        <v>0.47854166666666659</v>
      </c>
      <c r="AB134" s="25">
        <v>0.3635000000000001</v>
      </c>
      <c r="AC134" s="25">
        <v>0.37539583333333321</v>
      </c>
      <c r="AD134" s="25">
        <v>0.33777083333333341</v>
      </c>
      <c r="AE134" s="25">
        <v>0.26093749999999999</v>
      </c>
      <c r="AF134" s="25">
        <v>0.12256249999999996</v>
      </c>
      <c r="AG134" s="25">
        <v>0.24143749999999986</v>
      </c>
      <c r="AH134" s="28">
        <f t="shared" si="12"/>
        <v>0.37446874999999996</v>
      </c>
      <c r="AI134" s="28">
        <f t="shared" si="13"/>
        <v>0.40995833333333337</v>
      </c>
      <c r="AJ134" s="28">
        <f t="shared" si="14"/>
        <v>0.40350568181818186</v>
      </c>
    </row>
    <row r="135" spans="1:36" x14ac:dyDescent="0.25">
      <c r="A135" s="9">
        <v>44073</v>
      </c>
      <c r="B135" s="3">
        <v>167.5564730204747</v>
      </c>
      <c r="C135" s="3">
        <v>303.17594089651806</v>
      </c>
      <c r="D135" s="3">
        <v>443.74240170601331</v>
      </c>
      <c r="E135" s="3">
        <v>680.6369011350846</v>
      </c>
      <c r="F135" s="3">
        <v>298.43649201606877</v>
      </c>
      <c r="G135" s="3">
        <v>470.68789029889558</v>
      </c>
      <c r="H135" s="3">
        <v>338.42439922235536</v>
      </c>
      <c r="I135" s="3">
        <v>461.37199388963199</v>
      </c>
      <c r="J135" s="3">
        <f t="shared" si="9"/>
        <v>0.49147929614701569</v>
      </c>
      <c r="K135" s="3">
        <f t="shared" si="10"/>
        <v>0.64973847371213589</v>
      </c>
      <c r="L135" s="3">
        <f t="shared" si="11"/>
        <v>0.47857483650746102</v>
      </c>
      <c r="M135" s="23">
        <v>44073</v>
      </c>
      <c r="N135" s="24">
        <v>225.77083333333334</v>
      </c>
      <c r="O135" s="24">
        <v>76.106249999999989</v>
      </c>
      <c r="P135" s="24">
        <v>23.6875</v>
      </c>
      <c r="Q135" s="24">
        <v>0</v>
      </c>
      <c r="R135" s="24">
        <v>234</v>
      </c>
      <c r="S135" s="24">
        <v>7.708333333333333</v>
      </c>
      <c r="T135" s="24">
        <v>0.52083333333333337</v>
      </c>
      <c r="U135" s="24">
        <v>18.987500000000001</v>
      </c>
      <c r="V135" s="10">
        <v>0.77439546046441043</v>
      </c>
      <c r="W135" s="25">
        <v>0.25979166666666659</v>
      </c>
      <c r="X135" s="25">
        <v>0.37970833333333348</v>
      </c>
      <c r="Y135" s="25">
        <v>0.45962499999999978</v>
      </c>
      <c r="Z135" s="25">
        <v>0.46589583333333318</v>
      </c>
      <c r="AA135" s="25">
        <v>0.47245833333333337</v>
      </c>
      <c r="AB135" s="25">
        <v>0.34960416666666672</v>
      </c>
      <c r="AC135" s="25">
        <v>0.36062500000000003</v>
      </c>
      <c r="AD135" s="25">
        <v>0.32231250000000006</v>
      </c>
      <c r="AE135" s="25">
        <v>0.24229166666666668</v>
      </c>
      <c r="AF135" s="25">
        <v>0.14199999999999999</v>
      </c>
      <c r="AG135" s="25">
        <v>0.25104166666666655</v>
      </c>
      <c r="AH135" s="28">
        <f t="shared" si="12"/>
        <v>0.36612499999999998</v>
      </c>
      <c r="AI135" s="28">
        <f t="shared" si="13"/>
        <v>0.38962847222222224</v>
      </c>
      <c r="AJ135" s="28">
        <f t="shared" si="14"/>
        <v>0.38535511363636366</v>
      </c>
    </row>
    <row r="136" spans="1:36" x14ac:dyDescent="0.25">
      <c r="A136" s="9">
        <v>44074</v>
      </c>
      <c r="B136" s="3">
        <v>163.84496617953818</v>
      </c>
      <c r="C136" s="3">
        <v>309.69185226014213</v>
      </c>
      <c r="D136" s="3">
        <v>466.73836505825693</v>
      </c>
      <c r="E136" s="3">
        <v>745.83519708849212</v>
      </c>
      <c r="F136" s="3">
        <v>387.08696420797389</v>
      </c>
      <c r="G136" s="3">
        <v>505.1719509976225</v>
      </c>
      <c r="H136" s="3">
        <v>375.02709107889592</v>
      </c>
      <c r="I136" s="3">
        <v>490.28778280761605</v>
      </c>
      <c r="J136" s="3">
        <f t="shared" si="9"/>
        <v>0.51726677399827936</v>
      </c>
      <c r="K136" s="3">
        <f t="shared" si="10"/>
        <v>0.71585360435417722</v>
      </c>
      <c r="L136" s="3">
        <f t="shared" si="11"/>
        <v>0.53542042940826273</v>
      </c>
      <c r="M136" s="23">
        <v>44074</v>
      </c>
      <c r="N136" s="24">
        <v>240.25</v>
      </c>
      <c r="O136" s="24">
        <v>69.504166666666649</v>
      </c>
      <c r="P136" s="24">
        <v>24.241666666666664</v>
      </c>
      <c r="Q136" s="24">
        <v>0</v>
      </c>
      <c r="R136" s="24">
        <v>231.79166666666666</v>
      </c>
      <c r="S136" s="24">
        <v>3.9166666666666665</v>
      </c>
      <c r="T136" s="24">
        <v>0.14583333333333334</v>
      </c>
      <c r="U136" s="24">
        <v>17.881249999999998</v>
      </c>
      <c r="V136" s="10">
        <v>1.0534122207005441</v>
      </c>
      <c r="W136" s="25">
        <v>0.25452083333333353</v>
      </c>
      <c r="X136" s="25">
        <v>0.36708333333333348</v>
      </c>
      <c r="Y136" s="25">
        <v>0.44768750000000007</v>
      </c>
      <c r="Z136" s="25">
        <v>0.45297916666666693</v>
      </c>
      <c r="AA136" s="25">
        <v>0.4542500000000001</v>
      </c>
      <c r="AB136" s="25">
        <v>0.34316666666666662</v>
      </c>
      <c r="AC136" s="25">
        <v>0.35310416666666661</v>
      </c>
      <c r="AD136" s="25">
        <v>0.31443750000000015</v>
      </c>
      <c r="AE136" s="25">
        <v>0.22531249999999994</v>
      </c>
      <c r="AF136" s="25">
        <v>0.12542857142857142</v>
      </c>
      <c r="AG136" s="25">
        <v>0.24127083333333335</v>
      </c>
      <c r="AH136" s="28">
        <f t="shared" si="12"/>
        <v>0.35438541666666679</v>
      </c>
      <c r="AI136" s="28">
        <f t="shared" si="13"/>
        <v>0.37974305555555565</v>
      </c>
      <c r="AJ136" s="28">
        <f t="shared" si="14"/>
        <v>0.37513257575757591</v>
      </c>
    </row>
    <row r="137" spans="1:36" x14ac:dyDescent="0.25">
      <c r="A137" s="9">
        <v>44075</v>
      </c>
      <c r="B137" s="3">
        <v>156.96066116050559</v>
      </c>
      <c r="C137" s="3">
        <v>275.66283433384109</v>
      </c>
      <c r="D137" s="3">
        <v>405.21276794495941</v>
      </c>
      <c r="E137" s="3">
        <v>666.06173953060545</v>
      </c>
      <c r="F137" s="3">
        <v>391.65351122318992</v>
      </c>
      <c r="G137" s="3">
        <v>470.09701746958928</v>
      </c>
      <c r="H137" s="3">
        <v>418.95748784722235</v>
      </c>
      <c r="I137" s="3">
        <v>450.41678540356173</v>
      </c>
      <c r="J137" s="3">
        <f t="shared" ref="J137:J200" si="15">(D137-$D$2)/$D$1</f>
        <v>0.44827249232622529</v>
      </c>
      <c r="K137" s="3">
        <f t="shared" ref="K137:K200" si="16">(E137-$E$2)/$E$1</f>
        <v>0.63495835255225708</v>
      </c>
      <c r="L137" s="3">
        <f t="shared" ref="L137:L200" si="17">((F137-$F$2)/$F$1+(G137-$G$2)/$G$1+(H137-$H$2)/$H$1+(I137-$I$2)/$I$1)/4</f>
        <v>0.52513496317220054</v>
      </c>
      <c r="M137" s="23">
        <v>44075</v>
      </c>
      <c r="N137" s="24">
        <v>191.91666666666666</v>
      </c>
      <c r="O137" s="24">
        <v>72.070833333333354</v>
      </c>
      <c r="P137" s="24">
        <v>23.881250000000005</v>
      </c>
      <c r="Q137" s="24">
        <v>0</v>
      </c>
      <c r="R137" s="24">
        <v>225.02083333333334</v>
      </c>
      <c r="S137" s="24">
        <v>3.0833333333333335</v>
      </c>
      <c r="T137" s="24">
        <v>0.14583333333333334</v>
      </c>
      <c r="U137" s="24">
        <v>18.164583333333329</v>
      </c>
      <c r="V137" s="10">
        <v>0.94910748691109825</v>
      </c>
      <c r="W137" s="25">
        <v>0.24997916666666645</v>
      </c>
      <c r="X137" s="25">
        <v>0.3570208333333334</v>
      </c>
      <c r="Y137" s="25">
        <v>0.43810416666666679</v>
      </c>
      <c r="Z137" s="25">
        <v>0.44197916666666703</v>
      </c>
      <c r="AA137" s="25">
        <v>0.44227083333333334</v>
      </c>
      <c r="AB137" s="25">
        <v>0.33752083333333366</v>
      </c>
      <c r="AC137" s="25">
        <v>0.34672916666666675</v>
      </c>
      <c r="AD137" s="25">
        <v>0.30762499999999998</v>
      </c>
      <c r="AE137" s="25">
        <v>0.21006976744186054</v>
      </c>
      <c r="AF137" s="25">
        <v>0.1176</v>
      </c>
      <c r="AG137" s="25">
        <v>0.23466666666666658</v>
      </c>
      <c r="AH137" s="28">
        <f t="shared" ref="AH137:AH200" si="18">AVERAGE(W137,AA137)</f>
        <v>0.3461249999999999</v>
      </c>
      <c r="AI137" s="28">
        <f t="shared" ref="AI137:AI200" si="19">AVERAGE(X137:Z137,AB137:AD137)</f>
        <v>0.37149652777777792</v>
      </c>
      <c r="AJ137" s="28">
        <f t="shared" ref="AJ137:AJ200" si="20">(AH137*10+AI137*45)/55</f>
        <v>0.36688352272727282</v>
      </c>
    </row>
    <row r="138" spans="1:36" x14ac:dyDescent="0.25">
      <c r="A138" s="9">
        <v>44076</v>
      </c>
      <c r="B138" s="3">
        <v>108.70429187986312</v>
      </c>
      <c r="C138" s="3">
        <v>298.94996036648655</v>
      </c>
      <c r="D138" s="3">
        <v>334.81286586864769</v>
      </c>
      <c r="E138" s="3">
        <v>783.54070726275415</v>
      </c>
      <c r="F138" s="3">
        <v>353.90957499762055</v>
      </c>
      <c r="G138" s="3">
        <v>478.81072010553498</v>
      </c>
      <c r="H138" s="3">
        <v>446.06160325384184</v>
      </c>
      <c r="I138" s="3">
        <v>420.06591634321393</v>
      </c>
      <c r="J138" s="3">
        <f t="shared" si="15"/>
        <v>0.36932664049493458</v>
      </c>
      <c r="K138" s="3">
        <f t="shared" si="16"/>
        <v>0.75408933881075946</v>
      </c>
      <c r="L138" s="3">
        <f t="shared" si="17"/>
        <v>0.51378803000499962</v>
      </c>
      <c r="M138" s="23">
        <v>44076</v>
      </c>
      <c r="N138" s="24">
        <v>256.45833333333331</v>
      </c>
      <c r="O138" s="24">
        <v>70.739583333333329</v>
      </c>
      <c r="P138" s="24">
        <v>24.668749999999999</v>
      </c>
      <c r="Q138" s="24">
        <v>0.5</v>
      </c>
      <c r="R138" s="24">
        <v>202.25</v>
      </c>
      <c r="S138" s="24">
        <v>3.7291666666666665</v>
      </c>
      <c r="T138" s="24">
        <v>0.1875</v>
      </c>
      <c r="U138" s="24">
        <v>18.389583333333334</v>
      </c>
      <c r="V138" s="10">
        <v>1.1199542459123231</v>
      </c>
      <c r="W138" s="25">
        <v>0.24629166666666649</v>
      </c>
      <c r="X138" s="25">
        <v>0.34862500000000013</v>
      </c>
      <c r="Y138" s="25">
        <v>0.43047916666666658</v>
      </c>
      <c r="Z138" s="25">
        <v>0.43322916666666633</v>
      </c>
      <c r="AA138" s="25">
        <v>0.43414583333333301</v>
      </c>
      <c r="AB138" s="25">
        <v>0.33312499999999995</v>
      </c>
      <c r="AC138" s="25">
        <v>0.34102083333333327</v>
      </c>
      <c r="AD138" s="25">
        <v>0.30141666666666661</v>
      </c>
      <c r="AE138" s="25">
        <v>0.19970212765957446</v>
      </c>
      <c r="AF138" s="25">
        <v>0.115</v>
      </c>
      <c r="AG138" s="25">
        <v>0.22970833333333338</v>
      </c>
      <c r="AH138" s="28">
        <f t="shared" si="18"/>
        <v>0.34021874999999974</v>
      </c>
      <c r="AI138" s="28">
        <f t="shared" si="19"/>
        <v>0.36464930555555547</v>
      </c>
      <c r="AJ138" s="28">
        <f t="shared" si="20"/>
        <v>0.36020738636363625</v>
      </c>
    </row>
    <row r="139" spans="1:36" x14ac:dyDescent="0.25">
      <c r="A139" s="9">
        <v>44077</v>
      </c>
      <c r="B139" s="3">
        <v>72.027031487536888</v>
      </c>
      <c r="C139" s="3">
        <v>121.40476588726928</v>
      </c>
      <c r="D139" s="3">
        <v>164.10447185281456</v>
      </c>
      <c r="E139" s="3">
        <v>373.46039728315719</v>
      </c>
      <c r="F139" s="3">
        <v>170.4072437629307</v>
      </c>
      <c r="G139" s="3">
        <v>216.37226673633737</v>
      </c>
      <c r="H139" s="3">
        <v>274.35878875938073</v>
      </c>
      <c r="I139" s="3">
        <v>243.91455378900696</v>
      </c>
      <c r="J139" s="3">
        <f t="shared" si="15"/>
        <v>0.1778956983648855</v>
      </c>
      <c r="K139" s="3">
        <f t="shared" si="16"/>
        <v>0.33824237729806622</v>
      </c>
      <c r="L139" s="3">
        <f t="shared" si="17"/>
        <v>0.26747682497129799</v>
      </c>
      <c r="M139" s="23">
        <v>44077</v>
      </c>
      <c r="N139" s="24">
        <v>106.08333333333333</v>
      </c>
      <c r="O139" s="24">
        <v>83.999999999999986</v>
      </c>
      <c r="P139" s="24">
        <v>21.887499999999999</v>
      </c>
      <c r="Q139" s="24">
        <v>0.2</v>
      </c>
      <c r="R139" s="24">
        <v>193.97916666666666</v>
      </c>
      <c r="S139" s="24">
        <v>2.8958333333333335</v>
      </c>
      <c r="T139" s="24">
        <v>2.0833333333333332E-2</v>
      </c>
      <c r="U139" s="24">
        <v>18.977083333333329</v>
      </c>
      <c r="V139" s="10">
        <v>0.44841211900930383</v>
      </c>
      <c r="W139" s="25">
        <v>0.24429166666666657</v>
      </c>
      <c r="X139" s="25">
        <v>0.34302083333333333</v>
      </c>
      <c r="Y139" s="25">
        <v>0.42570833333333313</v>
      </c>
      <c r="Z139" s="25">
        <v>0.42839583333333325</v>
      </c>
      <c r="AA139" s="25">
        <v>0.42966666666666681</v>
      </c>
      <c r="AB139" s="25">
        <v>0.33070833333333344</v>
      </c>
      <c r="AC139" s="25">
        <v>0.33739583333333334</v>
      </c>
      <c r="AD139" s="25">
        <v>0.29718749999999988</v>
      </c>
      <c r="AE139" s="25">
        <v>0.19185714285714289</v>
      </c>
      <c r="AF139" s="25">
        <v>0.111</v>
      </c>
      <c r="AG139" s="25">
        <v>0.2264375000000001</v>
      </c>
      <c r="AH139" s="28">
        <f t="shared" si="18"/>
        <v>0.33697916666666672</v>
      </c>
      <c r="AI139" s="28">
        <f t="shared" si="19"/>
        <v>0.36040277777777768</v>
      </c>
      <c r="AJ139" s="28">
        <f t="shared" si="20"/>
        <v>0.35614393939393935</v>
      </c>
    </row>
    <row r="140" spans="1:36" x14ac:dyDescent="0.25">
      <c r="A140" s="9">
        <v>44078</v>
      </c>
      <c r="B140" s="3">
        <v>141.15139163105593</v>
      </c>
      <c r="C140" s="3">
        <v>237.98946955420615</v>
      </c>
      <c r="D140" s="3">
        <v>304.35771082005743</v>
      </c>
      <c r="E140" s="3">
        <v>741.18140460000825</v>
      </c>
      <c r="F140" s="3">
        <v>347.87841244801416</v>
      </c>
      <c r="G140" s="3">
        <v>358.62687689419732</v>
      </c>
      <c r="H140" s="3">
        <v>439.80413688764435</v>
      </c>
      <c r="I140" s="3">
        <v>397.82413054995652</v>
      </c>
      <c r="J140" s="3">
        <f t="shared" si="15"/>
        <v>0.33517448847405845</v>
      </c>
      <c r="K140" s="3">
        <f t="shared" si="16"/>
        <v>0.71113436907574379</v>
      </c>
      <c r="L140" s="3">
        <f t="shared" si="17"/>
        <v>0.46803444263993299</v>
      </c>
      <c r="M140" s="23">
        <v>44078</v>
      </c>
      <c r="N140" s="24">
        <v>213.125</v>
      </c>
      <c r="O140" s="24">
        <v>73.822916666666643</v>
      </c>
      <c r="P140" s="24">
        <v>23.714583333333326</v>
      </c>
      <c r="Q140" s="24">
        <v>0</v>
      </c>
      <c r="R140" s="24">
        <v>236.45833333333334</v>
      </c>
      <c r="S140" s="24">
        <v>8.2291666666666661</v>
      </c>
      <c r="T140" s="24">
        <v>0.6875</v>
      </c>
      <c r="U140" s="24">
        <v>18.566666666666663</v>
      </c>
      <c r="V140" s="10">
        <v>0.83531737074946644</v>
      </c>
      <c r="W140" s="25">
        <v>0.24183333333333326</v>
      </c>
      <c r="X140" s="25">
        <v>0.33712500000000006</v>
      </c>
      <c r="Y140" s="25">
        <v>0.42108333333333331</v>
      </c>
      <c r="Z140" s="25">
        <v>0.42389583333333358</v>
      </c>
      <c r="AA140" s="25">
        <v>0.42566666666666647</v>
      </c>
      <c r="AB140" s="25">
        <v>0.32789583333333339</v>
      </c>
      <c r="AC140" s="25">
        <v>0.33385416666666673</v>
      </c>
      <c r="AD140" s="25">
        <v>0.29402083333333323</v>
      </c>
      <c r="AE140" s="25">
        <v>0.18756818181818177</v>
      </c>
      <c r="AF140" s="25">
        <v>0.111</v>
      </c>
      <c r="AG140" s="25">
        <v>0.2235</v>
      </c>
      <c r="AH140" s="28">
        <f t="shared" si="18"/>
        <v>0.33374999999999988</v>
      </c>
      <c r="AI140" s="28">
        <f t="shared" si="19"/>
        <v>0.35631250000000003</v>
      </c>
      <c r="AJ140" s="28">
        <f t="shared" si="20"/>
        <v>0.35221022727272727</v>
      </c>
    </row>
    <row r="141" spans="1:36" x14ac:dyDescent="0.25">
      <c r="A141" s="9">
        <v>44081</v>
      </c>
      <c r="B141" s="3">
        <v>104.55059715468796</v>
      </c>
      <c r="C141" s="3">
        <v>94.108536102341731</v>
      </c>
      <c r="D141" s="3">
        <v>246.14827995906052</v>
      </c>
      <c r="E141" s="3">
        <v>298.45201619979207</v>
      </c>
      <c r="F141" s="3">
        <v>212.78471358619092</v>
      </c>
      <c r="G141" s="3">
        <v>269.89565623619535</v>
      </c>
      <c r="H141" s="3">
        <v>263.16198143759283</v>
      </c>
      <c r="I141" s="3">
        <v>172.17959012250847</v>
      </c>
      <c r="J141" s="3">
        <f t="shared" si="15"/>
        <v>0.26989892745190347</v>
      </c>
      <c r="K141" s="3">
        <f t="shared" si="16"/>
        <v>0.26217920966376684</v>
      </c>
      <c r="L141" s="3">
        <f t="shared" si="17"/>
        <v>0.26256553587855391</v>
      </c>
      <c r="M141" s="23">
        <v>44081</v>
      </c>
      <c r="N141" s="24">
        <v>121.29166666666667</v>
      </c>
      <c r="O141" s="24">
        <v>80.939583333333331</v>
      </c>
      <c r="P141" s="24">
        <v>20.372916666666665</v>
      </c>
      <c r="Q141" s="24">
        <v>0</v>
      </c>
      <c r="R141" s="24">
        <v>198.39583333333334</v>
      </c>
      <c r="S141" s="24">
        <v>3.3958333333333335</v>
      </c>
      <c r="T141" s="24">
        <v>0</v>
      </c>
      <c r="U141" s="24">
        <v>16.927083333333332</v>
      </c>
      <c r="V141" s="10">
        <v>0.4819711981961981</v>
      </c>
      <c r="W141" s="25">
        <v>0.37745833333333323</v>
      </c>
      <c r="X141" s="25">
        <v>0.45718750000000047</v>
      </c>
      <c r="Y141" s="25">
        <v>0.55174999999999985</v>
      </c>
      <c r="Z141" s="25">
        <v>0.58091666666666653</v>
      </c>
      <c r="AA141" s="25">
        <v>0.58527083333333307</v>
      </c>
      <c r="AB141" s="25">
        <v>0.43731249999999999</v>
      </c>
      <c r="AC141" s="25">
        <v>0.37354166666666672</v>
      </c>
      <c r="AD141" s="25">
        <v>0.30608333333333304</v>
      </c>
      <c r="AE141" s="25">
        <v>0.39714893617021285</v>
      </c>
      <c r="AF141" s="25">
        <v>0.23264583333333341</v>
      </c>
      <c r="AG141" s="25">
        <v>0.42860416666666684</v>
      </c>
      <c r="AH141" s="28">
        <f t="shared" si="18"/>
        <v>0.48136458333333315</v>
      </c>
      <c r="AI141" s="28">
        <f t="shared" si="19"/>
        <v>0.45113194444444443</v>
      </c>
      <c r="AJ141" s="28">
        <f t="shared" si="20"/>
        <v>0.45662878787878786</v>
      </c>
    </row>
    <row r="142" spans="1:36" x14ac:dyDescent="0.25">
      <c r="A142" s="9">
        <v>44083</v>
      </c>
      <c r="B142" s="3">
        <v>168.02726846272355</v>
      </c>
      <c r="C142" s="3">
        <v>209.72285421217302</v>
      </c>
      <c r="D142" s="3">
        <v>328.79834336209285</v>
      </c>
      <c r="E142" s="3">
        <v>468.78991152827052</v>
      </c>
      <c r="F142" s="3">
        <v>327.95700333592788</v>
      </c>
      <c r="G142" s="3">
        <v>332.89531933738198</v>
      </c>
      <c r="H142" s="3">
        <v>335.70882203777057</v>
      </c>
      <c r="I142" s="3">
        <v>303.54580068490804</v>
      </c>
      <c r="J142" s="3">
        <f t="shared" si="15"/>
        <v>0.36258200607593005</v>
      </c>
      <c r="K142" s="3">
        <f t="shared" si="16"/>
        <v>0.43491243893375842</v>
      </c>
      <c r="L142" s="3">
        <f t="shared" si="17"/>
        <v>0.3859309054724912</v>
      </c>
      <c r="M142" s="23">
        <v>44083</v>
      </c>
      <c r="N142" s="24">
        <v>199.64583333333334</v>
      </c>
      <c r="O142" s="24">
        <v>82.170833333333334</v>
      </c>
      <c r="P142" s="24">
        <v>22.497916666666658</v>
      </c>
      <c r="Q142" s="24">
        <v>0.7</v>
      </c>
      <c r="R142" s="24">
        <v>228.08333333333334</v>
      </c>
      <c r="S142" s="24">
        <v>5.083333333333333</v>
      </c>
      <c r="T142" s="24">
        <v>0.45833333333333331</v>
      </c>
      <c r="U142" s="24">
        <v>19.054166666666664</v>
      </c>
      <c r="V142" s="10">
        <v>0.57077725915487598</v>
      </c>
      <c r="W142" s="25">
        <v>0.3504374999999999</v>
      </c>
      <c r="X142" s="25">
        <v>0.44356250000000036</v>
      </c>
      <c r="Y142" s="25">
        <v>0.53585416666666652</v>
      </c>
      <c r="Z142" s="25">
        <v>0.56485416666666655</v>
      </c>
      <c r="AA142" s="25">
        <v>0.56677083333333333</v>
      </c>
      <c r="AB142" s="25">
        <v>0.41168749999999976</v>
      </c>
      <c r="AC142" s="25">
        <v>0.37139583333333331</v>
      </c>
      <c r="AD142" s="25">
        <v>0.30770833333333342</v>
      </c>
      <c r="AE142" s="25">
        <v>0.38512499999999988</v>
      </c>
      <c r="AF142" s="25">
        <v>0.21797916666666664</v>
      </c>
      <c r="AG142" s="25">
        <v>0.36897916666666669</v>
      </c>
      <c r="AH142" s="28">
        <f t="shared" si="18"/>
        <v>0.45860416666666659</v>
      </c>
      <c r="AI142" s="28">
        <f t="shared" si="19"/>
        <v>0.43917708333333327</v>
      </c>
      <c r="AJ142" s="28">
        <f t="shared" si="20"/>
        <v>0.44270928030303031</v>
      </c>
    </row>
    <row r="143" spans="1:36" x14ac:dyDescent="0.25">
      <c r="A143" s="9">
        <v>44085</v>
      </c>
      <c r="B143" s="3">
        <v>34.363573626865033</v>
      </c>
      <c r="C143" s="3">
        <v>69.079838743395143</v>
      </c>
      <c r="D143" s="3">
        <v>62.138171960150565</v>
      </c>
      <c r="E143" s="3">
        <v>114.18145046899906</v>
      </c>
      <c r="F143" s="3">
        <v>164.81417361465327</v>
      </c>
      <c r="G143" s="3">
        <v>124.81222298373844</v>
      </c>
      <c r="H143" s="3">
        <v>198.72219603509802</v>
      </c>
      <c r="I143" s="3">
        <v>182.98470224218033</v>
      </c>
      <c r="J143" s="3">
        <f t="shared" si="15"/>
        <v>6.3551556317849617E-2</v>
      </c>
      <c r="K143" s="3">
        <f t="shared" si="16"/>
        <v>7.5317385307489298E-2</v>
      </c>
      <c r="L143" s="3">
        <f t="shared" si="17"/>
        <v>0.19295284902172471</v>
      </c>
      <c r="M143" s="23">
        <v>44085</v>
      </c>
      <c r="N143" s="24">
        <v>92.854166666666671</v>
      </c>
      <c r="O143" s="24">
        <v>88.66249999999998</v>
      </c>
      <c r="P143" s="24">
        <v>20.183333333333334</v>
      </c>
      <c r="Q143" s="24">
        <v>0.8</v>
      </c>
      <c r="R143" s="24">
        <v>274.60416666666669</v>
      </c>
      <c r="S143" s="24">
        <v>2.9166666666666665</v>
      </c>
      <c r="T143" s="24">
        <v>2.0833333333333332E-2</v>
      </c>
      <c r="U143" s="24">
        <v>18.231249999999999</v>
      </c>
      <c r="V143" s="10">
        <v>0.27932895142493969</v>
      </c>
      <c r="W143" s="25">
        <v>0.385125</v>
      </c>
      <c r="X143" s="25">
        <v>0.50652083333333364</v>
      </c>
      <c r="Y143" s="25">
        <v>0.58610416666666632</v>
      </c>
      <c r="Z143" s="25">
        <v>0.60225000000000006</v>
      </c>
      <c r="AA143" s="25">
        <v>0.60366666666666668</v>
      </c>
      <c r="AB143" s="25">
        <v>0.46910416666666649</v>
      </c>
      <c r="AC143" s="25">
        <v>0.41295833333333332</v>
      </c>
      <c r="AD143" s="25">
        <v>0.33918749999999992</v>
      </c>
      <c r="AE143" s="25">
        <v>0.43441860465116272</v>
      </c>
      <c r="AF143" s="25">
        <v>0.2613125</v>
      </c>
      <c r="AG143" s="25">
        <v>0.4641458333333332</v>
      </c>
      <c r="AH143" s="28">
        <f t="shared" si="18"/>
        <v>0.49439583333333337</v>
      </c>
      <c r="AI143" s="28">
        <f t="shared" si="19"/>
        <v>0.48602083333333329</v>
      </c>
      <c r="AJ143" s="28">
        <f t="shared" si="20"/>
        <v>0.48754356060606058</v>
      </c>
    </row>
    <row r="144" spans="1:36" x14ac:dyDescent="0.25">
      <c r="A144" s="9">
        <v>44092</v>
      </c>
      <c r="B144" s="3">
        <v>13.060367289820729</v>
      </c>
      <c r="C144" s="3">
        <v>64.070636413358841</v>
      </c>
      <c r="D144" s="3">
        <v>102.94503845179466</v>
      </c>
      <c r="E144" s="3">
        <v>134.62634793721725</v>
      </c>
      <c r="F144" s="3">
        <v>147.86485296969312</v>
      </c>
      <c r="G144" s="3">
        <v>129.72645215753423</v>
      </c>
      <c r="H144" s="3">
        <v>103.83735511475147</v>
      </c>
      <c r="I144" s="3">
        <v>188.44472299660362</v>
      </c>
      <c r="J144" s="3">
        <f t="shared" si="15"/>
        <v>0.10931202956760691</v>
      </c>
      <c r="K144" s="3">
        <f t="shared" si="16"/>
        <v>9.604978401987832E-2</v>
      </c>
      <c r="L144" s="3">
        <f t="shared" si="17"/>
        <v>0.16201559659097348</v>
      </c>
      <c r="M144" s="23">
        <v>44092</v>
      </c>
      <c r="N144" s="24">
        <v>86</v>
      </c>
      <c r="O144" s="24">
        <v>86.356250000000003</v>
      </c>
      <c r="P144" s="24">
        <v>15.956249999999997</v>
      </c>
      <c r="Q144" s="24">
        <v>0</v>
      </c>
      <c r="R144" s="24">
        <v>230.5625</v>
      </c>
      <c r="S144" s="24">
        <v>3.0833333333333335</v>
      </c>
      <c r="T144" s="24">
        <v>0</v>
      </c>
      <c r="U144" s="24">
        <v>13.652083333333337</v>
      </c>
      <c r="V144" s="10">
        <v>0.25914933858694983</v>
      </c>
      <c r="W144" s="25">
        <v>0.44347916666666665</v>
      </c>
      <c r="X144" s="25">
        <v>0.53712500000000019</v>
      </c>
      <c r="Y144" s="25">
        <v>0.58906249999999949</v>
      </c>
      <c r="Z144" s="25">
        <v>0.60060416666666672</v>
      </c>
      <c r="AA144" s="25">
        <v>0.60552083333333317</v>
      </c>
      <c r="AB144" s="25">
        <v>0.50706250000000008</v>
      </c>
      <c r="AC144" s="25">
        <v>0.47197916666666678</v>
      </c>
      <c r="AD144" s="25">
        <v>0.41193750000000001</v>
      </c>
      <c r="AE144" s="25">
        <v>0.45754285714285714</v>
      </c>
      <c r="AF144" s="25">
        <v>0.27095833333333341</v>
      </c>
      <c r="AG144" s="25">
        <v>0.49993749999999992</v>
      </c>
      <c r="AH144" s="28">
        <f t="shared" si="18"/>
        <v>0.52449999999999997</v>
      </c>
      <c r="AI144" s="28">
        <f t="shared" si="19"/>
        <v>0.51962847222222219</v>
      </c>
      <c r="AJ144" s="28">
        <f t="shared" si="20"/>
        <v>0.52051420454545461</v>
      </c>
    </row>
    <row r="145" spans="1:36" x14ac:dyDescent="0.25">
      <c r="A145" s="9">
        <v>44094</v>
      </c>
      <c r="B145" s="3">
        <v>57.311074833128465</v>
      </c>
      <c r="C145" s="3">
        <v>44.350571768473174</v>
      </c>
      <c r="D145" s="3">
        <v>140.30264269887402</v>
      </c>
      <c r="E145" s="3">
        <v>156.01786023723554</v>
      </c>
      <c r="F145" s="3">
        <v>252.44498225079369</v>
      </c>
      <c r="G145" s="3">
        <v>207.7444450551443</v>
      </c>
      <c r="H145" s="3">
        <v>253.13625456481026</v>
      </c>
      <c r="I145" s="3">
        <v>225.12306180165805</v>
      </c>
      <c r="J145" s="3">
        <f t="shared" si="15"/>
        <v>0.15120452945297655</v>
      </c>
      <c r="K145" s="3">
        <f t="shared" si="16"/>
        <v>0.11774210909777977</v>
      </c>
      <c r="L145" s="3">
        <f t="shared" si="17"/>
        <v>0.27374508996891306</v>
      </c>
      <c r="M145" s="23">
        <v>44094</v>
      </c>
      <c r="N145" s="24">
        <v>116.41666666666667</v>
      </c>
      <c r="O145" s="24">
        <v>89.466666666666683</v>
      </c>
      <c r="P145" s="24">
        <v>18.916666666666664</v>
      </c>
      <c r="Q145" s="24">
        <v>1.2</v>
      </c>
      <c r="R145" s="24">
        <v>219.08333333333334</v>
      </c>
      <c r="S145" s="24">
        <v>5.4375</v>
      </c>
      <c r="T145" s="24">
        <v>0.60416666666666663</v>
      </c>
      <c r="U145" s="24">
        <v>17.070833333333333</v>
      </c>
      <c r="V145" s="10">
        <v>0.2580243093805582</v>
      </c>
      <c r="W145" s="25">
        <v>0.4479999999999999</v>
      </c>
      <c r="X145" s="25">
        <v>0.5366875000000001</v>
      </c>
      <c r="Y145" s="25">
        <v>0.58810416666666665</v>
      </c>
      <c r="Z145" s="25">
        <v>0.59606250000000005</v>
      </c>
      <c r="AA145" s="25">
        <v>0.60210416666666722</v>
      </c>
      <c r="AB145" s="25">
        <v>0.49849999999999967</v>
      </c>
      <c r="AC145" s="25">
        <v>0.46618749999999992</v>
      </c>
      <c r="AD145" s="25">
        <v>0.40474999999999978</v>
      </c>
      <c r="AE145" s="25">
        <v>0.45125000000000015</v>
      </c>
      <c r="AF145" s="25">
        <v>0.26545833333333335</v>
      </c>
      <c r="AG145" s="25">
        <v>0.49518749999999984</v>
      </c>
      <c r="AH145" s="28">
        <f t="shared" si="18"/>
        <v>0.52505208333333353</v>
      </c>
      <c r="AI145" s="28">
        <f t="shared" si="19"/>
        <v>0.515048611111111</v>
      </c>
      <c r="AJ145" s="28">
        <f t="shared" si="20"/>
        <v>0.51686742424242416</v>
      </c>
    </row>
    <row r="146" spans="1:36" x14ac:dyDescent="0.25">
      <c r="A146" s="9">
        <v>44095</v>
      </c>
      <c r="B146" s="3">
        <v>59.061552753167973</v>
      </c>
      <c r="C146" s="3">
        <v>145.09042526982188</v>
      </c>
      <c r="D146" s="3">
        <v>202.16793789253646</v>
      </c>
      <c r="E146" s="3">
        <v>229.79715933910612</v>
      </c>
      <c r="F146" s="3">
        <v>293.03856148702891</v>
      </c>
      <c r="G146" s="3">
        <v>221.53212651478842</v>
      </c>
      <c r="H146" s="3">
        <v>238.0758585184189</v>
      </c>
      <c r="I146" s="3">
        <v>165.93092290582214</v>
      </c>
      <c r="J146" s="3">
        <f t="shared" si="15"/>
        <v>0.22057974566512117</v>
      </c>
      <c r="K146" s="3">
        <f t="shared" si="16"/>
        <v>0.19255891109340725</v>
      </c>
      <c r="L146" s="3">
        <f t="shared" si="17"/>
        <v>0.26096765440231723</v>
      </c>
      <c r="M146" s="23">
        <v>44095</v>
      </c>
      <c r="N146" s="24">
        <v>130.0625</v>
      </c>
      <c r="O146" s="24">
        <v>87.537500000000023</v>
      </c>
      <c r="P146" s="24">
        <v>20.218750000000004</v>
      </c>
      <c r="Q146" s="24">
        <v>0.2</v>
      </c>
      <c r="R146" s="24">
        <v>234.14583333333334</v>
      </c>
      <c r="S146" s="24">
        <v>11.666666666666666</v>
      </c>
      <c r="T146" s="24">
        <v>1.9375</v>
      </c>
      <c r="U146" s="24">
        <v>18.020833333333339</v>
      </c>
      <c r="V146" s="10">
        <v>0.31866418686983872</v>
      </c>
      <c r="W146" s="25">
        <v>0.43704166666666677</v>
      </c>
      <c r="X146" s="25">
        <v>0.5305624999999996</v>
      </c>
      <c r="Y146" s="25">
        <v>0.58535416666666629</v>
      </c>
      <c r="Z146" s="25">
        <v>0.59518750000000042</v>
      </c>
      <c r="AA146" s="25">
        <v>0.60185416666666647</v>
      </c>
      <c r="AB146" s="25">
        <v>0.49622916666666655</v>
      </c>
      <c r="AC146" s="25">
        <v>0.46489583333333312</v>
      </c>
      <c r="AD146" s="25">
        <v>0.40316666666666673</v>
      </c>
      <c r="AE146" s="25">
        <v>0.44585416666666672</v>
      </c>
      <c r="AF146" s="25">
        <v>0.26047916666666654</v>
      </c>
      <c r="AG146" s="25">
        <v>0.47958333333333342</v>
      </c>
      <c r="AH146" s="28">
        <f t="shared" si="18"/>
        <v>0.51944791666666656</v>
      </c>
      <c r="AI146" s="28">
        <f t="shared" si="19"/>
        <v>0.51256597222222211</v>
      </c>
      <c r="AJ146" s="28">
        <f t="shared" si="20"/>
        <v>0.51381723484848474</v>
      </c>
    </row>
    <row r="147" spans="1:36" x14ac:dyDescent="0.25">
      <c r="A147" s="9">
        <v>44097</v>
      </c>
      <c r="B147" s="3">
        <v>9.758647736573419</v>
      </c>
      <c r="C147" s="3">
        <v>44.663891810630432</v>
      </c>
      <c r="D147" s="3">
        <v>30.073486948225863</v>
      </c>
      <c r="E147" s="3">
        <v>49.87137435106559</v>
      </c>
      <c r="F147" s="3">
        <v>119.31638355683479</v>
      </c>
      <c r="G147" s="3">
        <v>49.526321475161687</v>
      </c>
      <c r="H147" s="3">
        <v>131.18725591154336</v>
      </c>
      <c r="I147" s="3">
        <v>43.667305770012753</v>
      </c>
      <c r="J147" s="3">
        <f t="shared" si="15"/>
        <v>2.7594491076132811E-2</v>
      </c>
      <c r="K147" s="3">
        <f t="shared" si="16"/>
        <v>1.0102964869640872E-2</v>
      </c>
      <c r="L147" s="3">
        <f t="shared" si="17"/>
        <v>8.3880808617622232E-2</v>
      </c>
      <c r="M147" s="23">
        <v>44097</v>
      </c>
      <c r="N147" s="24">
        <v>71.166666666666671</v>
      </c>
      <c r="O147" s="24">
        <v>88.441666666666649</v>
      </c>
      <c r="P147" s="24">
        <v>15.958333333333336</v>
      </c>
      <c r="Q147" s="24">
        <v>0.4</v>
      </c>
      <c r="R147" s="24">
        <v>241.875</v>
      </c>
      <c r="S147" s="24">
        <v>2.3333333333333335</v>
      </c>
      <c r="T147" s="24">
        <v>0</v>
      </c>
      <c r="U147" s="24">
        <v>14.029166666666669</v>
      </c>
      <c r="V147" s="10">
        <v>0.21442741072654561</v>
      </c>
      <c r="W147" s="25">
        <v>0.44408333333333377</v>
      </c>
      <c r="X147" s="25">
        <v>0.53808333333333325</v>
      </c>
      <c r="Y147" s="25">
        <v>0.58991666666666664</v>
      </c>
      <c r="Z147" s="25">
        <v>0.60145833333333354</v>
      </c>
      <c r="AA147" s="25">
        <v>0.60725000000000029</v>
      </c>
      <c r="AB147" s="25">
        <v>0.50941666666666663</v>
      </c>
      <c r="AC147" s="25">
        <v>0.47152083333333333</v>
      </c>
      <c r="AD147" s="25">
        <v>0.40956250000000005</v>
      </c>
      <c r="AE147" s="25">
        <v>0.4637222222222222</v>
      </c>
      <c r="AF147" s="25">
        <v>0.26762500000000006</v>
      </c>
      <c r="AG147" s="25">
        <v>0.49699999999999983</v>
      </c>
      <c r="AH147" s="28">
        <f t="shared" si="18"/>
        <v>0.52566666666666706</v>
      </c>
      <c r="AI147" s="28">
        <f t="shared" si="19"/>
        <v>0.51999305555555564</v>
      </c>
      <c r="AJ147" s="28">
        <f t="shared" si="20"/>
        <v>0.52102462121212134</v>
      </c>
    </row>
    <row r="148" spans="1:36" x14ac:dyDescent="0.25">
      <c r="A148" s="9">
        <v>44098</v>
      </c>
      <c r="B148" s="3">
        <v>51.010848799847473</v>
      </c>
      <c r="C148" s="3">
        <v>97.82750975386503</v>
      </c>
      <c r="D148" s="3">
        <v>98.920788184544023</v>
      </c>
      <c r="E148" s="3">
        <v>174.25699382403738</v>
      </c>
      <c r="F148" s="3">
        <v>228.16239019940139</v>
      </c>
      <c r="G148" s="3">
        <v>115.01584398156417</v>
      </c>
      <c r="H148" s="3">
        <v>267.97890256470549</v>
      </c>
      <c r="I148" s="3">
        <v>74.261358841231868</v>
      </c>
      <c r="J148" s="3">
        <f t="shared" si="15"/>
        <v>0.10479926952163378</v>
      </c>
      <c r="K148" s="3">
        <f t="shared" si="16"/>
        <v>0.13623772592725647</v>
      </c>
      <c r="L148" s="3">
        <f t="shared" si="17"/>
        <v>0.18700530090753759</v>
      </c>
      <c r="M148" s="23">
        <v>44098</v>
      </c>
      <c r="N148" s="24">
        <v>77.104166666666671</v>
      </c>
      <c r="O148" s="24">
        <v>88.752083333333317</v>
      </c>
      <c r="P148" s="24">
        <v>16.845833333333335</v>
      </c>
      <c r="Q148" s="24">
        <v>0</v>
      </c>
      <c r="R148" s="24">
        <v>232.66666666666666</v>
      </c>
      <c r="S148" s="24">
        <v>3.3958333333333335</v>
      </c>
      <c r="T148" s="24">
        <v>0.33333333333333331</v>
      </c>
      <c r="U148" s="24">
        <v>14.943749999999994</v>
      </c>
      <c r="V148" s="10">
        <v>0.22779546995063379</v>
      </c>
      <c r="W148" s="25">
        <v>0.43583333333333335</v>
      </c>
      <c r="X148" s="25">
        <v>0.5310625000000001</v>
      </c>
      <c r="Y148" s="25">
        <v>0.58462499999999951</v>
      </c>
      <c r="Z148" s="25">
        <v>0.59670833333333306</v>
      </c>
      <c r="AA148" s="25">
        <v>0.60183333333333289</v>
      </c>
      <c r="AB148" s="25">
        <v>0.50222916666666673</v>
      </c>
      <c r="AC148" s="25">
        <v>0.46781250000000024</v>
      </c>
      <c r="AD148" s="25">
        <v>0.40604166666666686</v>
      </c>
      <c r="AE148" s="25">
        <v>0.44365625000000014</v>
      </c>
      <c r="AF148" s="25">
        <v>0.26729166666666682</v>
      </c>
      <c r="AG148" s="25">
        <v>0.48270833333333335</v>
      </c>
      <c r="AH148" s="28">
        <f t="shared" si="18"/>
        <v>0.51883333333333315</v>
      </c>
      <c r="AI148" s="28">
        <f t="shared" si="19"/>
        <v>0.51474652777777774</v>
      </c>
      <c r="AJ148" s="28">
        <f t="shared" si="20"/>
        <v>0.51548958333333328</v>
      </c>
    </row>
    <row r="149" spans="1:36" x14ac:dyDescent="0.25">
      <c r="A149" s="9">
        <v>44104</v>
      </c>
      <c r="B149" s="3">
        <v>53.500487087366253</v>
      </c>
      <c r="C149" s="3">
        <v>11.714008174196959</v>
      </c>
      <c r="D149" s="3">
        <v>153.84372910512474</v>
      </c>
      <c r="E149" s="3">
        <v>315.58487935022242</v>
      </c>
      <c r="F149" s="3">
        <v>329.28166919062909</v>
      </c>
      <c r="G149" s="3">
        <v>273.80446726559541</v>
      </c>
      <c r="H149" s="3">
        <v>325.33711621470809</v>
      </c>
      <c r="I149" s="3">
        <v>260.61286097862956</v>
      </c>
      <c r="J149" s="3">
        <f t="shared" si="15"/>
        <v>0.166389388657806</v>
      </c>
      <c r="K149" s="3">
        <f t="shared" si="16"/>
        <v>0.27955299940625344</v>
      </c>
      <c r="L149" s="3">
        <f t="shared" si="17"/>
        <v>0.34984352828174792</v>
      </c>
      <c r="M149" s="23">
        <v>44104</v>
      </c>
      <c r="N149" s="24">
        <v>96.916666666666671</v>
      </c>
      <c r="O149" s="24">
        <v>84.831250000000026</v>
      </c>
      <c r="P149" s="24">
        <v>17.425000000000001</v>
      </c>
      <c r="Q149" s="24">
        <v>0.2</v>
      </c>
      <c r="R149" s="24">
        <v>238.5625</v>
      </c>
      <c r="S149" s="24">
        <v>3.0208333333333335</v>
      </c>
      <c r="T149" s="24">
        <v>2.0833333333333332E-2</v>
      </c>
      <c r="U149" s="24">
        <v>14.762499999999994</v>
      </c>
      <c r="V149" s="10">
        <v>0.32498057476171205</v>
      </c>
      <c r="W149" s="25">
        <v>0.44704166666666673</v>
      </c>
      <c r="X149" s="25">
        <v>0.53937500000000016</v>
      </c>
      <c r="Y149" s="25">
        <v>0.58866666666666612</v>
      </c>
      <c r="Z149" s="25">
        <v>0.59977083333333336</v>
      </c>
      <c r="AA149" s="25">
        <v>0.60564583333333322</v>
      </c>
      <c r="AB149" s="25">
        <v>0.5088750000000003</v>
      </c>
      <c r="AC149" s="25">
        <v>0.47039583333333335</v>
      </c>
      <c r="AD149" s="25">
        <v>0.40877083333333325</v>
      </c>
      <c r="AE149" s="25">
        <v>0.45289130434782621</v>
      </c>
      <c r="AF149" s="25">
        <v>0.28685416666666658</v>
      </c>
      <c r="AG149" s="25">
        <v>0.4953333333333334</v>
      </c>
      <c r="AH149" s="28">
        <f t="shared" si="18"/>
        <v>0.52634375</v>
      </c>
      <c r="AI149" s="28">
        <f t="shared" si="19"/>
        <v>0.51930902777777777</v>
      </c>
      <c r="AJ149" s="28">
        <f t="shared" si="20"/>
        <v>0.52058806818181813</v>
      </c>
    </row>
    <row r="150" spans="1:36" x14ac:dyDescent="0.25">
      <c r="A150" s="9">
        <v>44106</v>
      </c>
      <c r="B150" s="3">
        <v>100.98230129148838</v>
      </c>
      <c r="C150" s="3">
        <v>72.004244569849547</v>
      </c>
      <c r="D150" s="3">
        <v>171.04392092411095</v>
      </c>
      <c r="E150" s="3">
        <v>309.82045992520307</v>
      </c>
      <c r="F150" s="3">
        <v>344.0346769909961</v>
      </c>
      <c r="G150" s="3">
        <v>278.02229248083887</v>
      </c>
      <c r="H150" s="3">
        <v>440.77768554815452</v>
      </c>
      <c r="I150" s="3">
        <v>309.24713559226007</v>
      </c>
      <c r="J150" s="3">
        <f t="shared" si="15"/>
        <v>0.18567753757226829</v>
      </c>
      <c r="K150" s="3">
        <f t="shared" si="16"/>
        <v>0.27370751927847475</v>
      </c>
      <c r="L150" s="3">
        <f t="shared" si="17"/>
        <v>0.41027505008512904</v>
      </c>
      <c r="M150" s="23">
        <v>44106</v>
      </c>
      <c r="N150" s="24">
        <v>113.4375</v>
      </c>
      <c r="O150" s="24">
        <v>86.733333333333334</v>
      </c>
      <c r="P150" s="24">
        <v>20.795833333333324</v>
      </c>
      <c r="Q150" s="24">
        <v>0.89999999999999991</v>
      </c>
      <c r="R150" s="24">
        <v>234.0625</v>
      </c>
      <c r="S150" s="24">
        <v>14.354166666666666</v>
      </c>
      <c r="T150" s="24">
        <v>2.7916666666666665</v>
      </c>
      <c r="U150" s="24">
        <v>18.443750000000005</v>
      </c>
      <c r="V150" s="10">
        <v>0.34971332741970568</v>
      </c>
      <c r="W150" s="25">
        <v>0.44768750000000002</v>
      </c>
      <c r="X150" s="25">
        <v>0.53368750000000043</v>
      </c>
      <c r="Y150" s="25">
        <v>0.58470833333333327</v>
      </c>
      <c r="Z150" s="25">
        <v>0.59518750000000031</v>
      </c>
      <c r="AA150" s="25">
        <v>0.60543750000000063</v>
      </c>
      <c r="AB150" s="25">
        <v>0.50183333333333324</v>
      </c>
      <c r="AC150" s="25">
        <v>0.46687500000000021</v>
      </c>
      <c r="AD150" s="25">
        <v>0.4044999999999998</v>
      </c>
      <c r="AE150" s="25">
        <v>0.4507199999999999</v>
      </c>
      <c r="AF150" s="25">
        <v>0.28604166666666669</v>
      </c>
      <c r="AG150" s="25">
        <v>0.48510416666666673</v>
      </c>
      <c r="AH150" s="28">
        <f t="shared" si="18"/>
        <v>0.52656250000000027</v>
      </c>
      <c r="AI150" s="28">
        <f t="shared" si="19"/>
        <v>0.51446527777777795</v>
      </c>
      <c r="AJ150" s="28">
        <f t="shared" si="20"/>
        <v>0.51666477272727296</v>
      </c>
    </row>
    <row r="151" spans="1:36" x14ac:dyDescent="0.25">
      <c r="A151" s="9">
        <v>44107</v>
      </c>
      <c r="B151" s="3">
        <v>79.60748761840523</v>
      </c>
      <c r="C151" s="3">
        <v>80.115834830558526</v>
      </c>
      <c r="D151" s="3">
        <v>232.48122368991775</v>
      </c>
      <c r="E151" s="3">
        <v>315.05388385453085</v>
      </c>
      <c r="F151" s="3">
        <v>465.45346614116198</v>
      </c>
      <c r="G151" s="3">
        <v>336.64541240683496</v>
      </c>
      <c r="H151" s="3">
        <v>410.9382582939117</v>
      </c>
      <c r="I151" s="3">
        <v>375.06047909604956</v>
      </c>
      <c r="J151" s="3">
        <f t="shared" si="15"/>
        <v>0.25457280671349541</v>
      </c>
      <c r="K151" s="3">
        <f t="shared" si="16"/>
        <v>0.27901453691954864</v>
      </c>
      <c r="L151" s="3">
        <f t="shared" si="17"/>
        <v>0.47645488603123076</v>
      </c>
      <c r="M151" s="23">
        <v>44107</v>
      </c>
      <c r="N151" s="24">
        <v>119.47916666666667</v>
      </c>
      <c r="O151" s="24">
        <v>83.35208333333334</v>
      </c>
      <c r="P151" s="24">
        <v>22.120833333333337</v>
      </c>
      <c r="Q151" s="24">
        <v>0</v>
      </c>
      <c r="R151" s="24">
        <v>231.52083333333334</v>
      </c>
      <c r="S151" s="24">
        <v>12.416666666666666</v>
      </c>
      <c r="T151" s="24">
        <v>2.1458333333333335</v>
      </c>
      <c r="U151" s="24">
        <v>19.091666666666669</v>
      </c>
      <c r="V151" s="10">
        <v>0.46969517153563012</v>
      </c>
      <c r="W151" s="25">
        <v>0.43910416666666641</v>
      </c>
      <c r="X151" s="25">
        <v>0.53120833333333339</v>
      </c>
      <c r="Y151" s="25">
        <v>0.58281249999999973</v>
      </c>
      <c r="Z151" s="25">
        <v>0.59381250000000008</v>
      </c>
      <c r="AA151" s="25">
        <v>0.60379166666666706</v>
      </c>
      <c r="AB151" s="25">
        <v>0.49800000000000022</v>
      </c>
      <c r="AC151" s="25">
        <v>0.46506249999999977</v>
      </c>
      <c r="AD151" s="25">
        <v>0.40225000000000005</v>
      </c>
      <c r="AE151" s="25">
        <v>0.44043243243243241</v>
      </c>
      <c r="AF151" s="25">
        <v>0.27770833333333339</v>
      </c>
      <c r="AG151" s="25">
        <v>0.46781249999999991</v>
      </c>
      <c r="AH151" s="28">
        <f t="shared" si="18"/>
        <v>0.52144791666666679</v>
      </c>
      <c r="AI151" s="28">
        <f t="shared" si="19"/>
        <v>0.51219097222222221</v>
      </c>
      <c r="AJ151" s="28">
        <f t="shared" si="20"/>
        <v>0.51387405303030298</v>
      </c>
    </row>
    <row r="152" spans="1:36" x14ac:dyDescent="0.25">
      <c r="A152" s="9">
        <v>44113</v>
      </c>
      <c r="B152" s="3">
        <v>71.474780512926301</v>
      </c>
      <c r="C152" s="3">
        <v>96.054985033433056</v>
      </c>
      <c r="D152" s="3">
        <v>223.80736842188799</v>
      </c>
      <c r="E152" s="3">
        <v>368.71652247085979</v>
      </c>
      <c r="F152" s="3">
        <v>423.26669061921575</v>
      </c>
      <c r="G152" s="3">
        <v>360.8174478172906</v>
      </c>
      <c r="H152" s="3">
        <v>473.18991702319238</v>
      </c>
      <c r="I152" s="3">
        <v>378.55684693220553</v>
      </c>
      <c r="J152" s="3">
        <f t="shared" si="15"/>
        <v>0.2448460191385117</v>
      </c>
      <c r="K152" s="3">
        <f t="shared" si="16"/>
        <v>0.3334317929357285</v>
      </c>
      <c r="L152" s="3">
        <f t="shared" si="17"/>
        <v>0.49241527780901295</v>
      </c>
      <c r="M152" s="23">
        <v>44113</v>
      </c>
      <c r="N152" s="24">
        <v>114.39583333333333</v>
      </c>
      <c r="O152" s="24">
        <v>82.533333333333317</v>
      </c>
      <c r="P152" s="24">
        <v>14.920833333333334</v>
      </c>
      <c r="Q152" s="24">
        <v>0</v>
      </c>
      <c r="R152" s="24">
        <v>240.3125</v>
      </c>
      <c r="S152" s="24">
        <v>3.4375</v>
      </c>
      <c r="T152" s="24">
        <v>0.125</v>
      </c>
      <c r="U152" s="24">
        <v>11.841666666666667</v>
      </c>
      <c r="V152" s="10">
        <v>0.33124684186052056</v>
      </c>
      <c r="W152" s="25">
        <v>0.40729166666666666</v>
      </c>
      <c r="X152" s="25">
        <v>0.50345833333333301</v>
      </c>
      <c r="Y152" s="25">
        <v>0.55912500000000021</v>
      </c>
      <c r="Z152" s="25">
        <v>0.57795833333333346</v>
      </c>
      <c r="AA152" s="25">
        <v>0.57650000000000035</v>
      </c>
      <c r="AB152" s="25">
        <v>0.4778541666666663</v>
      </c>
      <c r="AC152" s="25">
        <v>0.45362500000000017</v>
      </c>
      <c r="AD152" s="25">
        <v>0.39289583333333306</v>
      </c>
      <c r="AE152" s="25">
        <v>0.41531034482758622</v>
      </c>
      <c r="AF152" s="25">
        <v>0.25906250000000003</v>
      </c>
      <c r="AG152" s="25">
        <v>0.42233333333333339</v>
      </c>
      <c r="AH152" s="28">
        <f t="shared" si="18"/>
        <v>0.49189583333333353</v>
      </c>
      <c r="AI152" s="28">
        <f t="shared" si="19"/>
        <v>0.49415277777777772</v>
      </c>
      <c r="AJ152" s="28">
        <f t="shared" si="20"/>
        <v>0.49374242424242426</v>
      </c>
    </row>
    <row r="153" spans="1:36" x14ac:dyDescent="0.25">
      <c r="A153" s="9">
        <v>44114</v>
      </c>
      <c r="B153" s="3">
        <v>150.66347243708688</v>
      </c>
      <c r="C153" s="3">
        <v>175.08468245423151</v>
      </c>
      <c r="D153" s="3">
        <v>303.48945100904575</v>
      </c>
      <c r="E153" s="3">
        <v>461.02888626997645</v>
      </c>
      <c r="F153" s="3">
        <v>554.39590631615613</v>
      </c>
      <c r="G153" s="3">
        <v>454.79598200504489</v>
      </c>
      <c r="H153" s="3">
        <v>525.80201809070979</v>
      </c>
      <c r="I153" s="3">
        <v>434.03164123080268</v>
      </c>
      <c r="J153" s="3">
        <f t="shared" si="15"/>
        <v>0.33420082930167933</v>
      </c>
      <c r="K153" s="3">
        <f t="shared" si="16"/>
        <v>0.42704227620381546</v>
      </c>
      <c r="L153" s="3">
        <f t="shared" si="17"/>
        <v>0.59293600735258878</v>
      </c>
      <c r="M153" s="23">
        <v>44114</v>
      </c>
      <c r="N153" s="24">
        <v>153.45833333333334</v>
      </c>
      <c r="O153" s="24">
        <v>79.456249999999997</v>
      </c>
      <c r="P153" s="24">
        <v>16.185416666666665</v>
      </c>
      <c r="Q153" s="24">
        <v>0</v>
      </c>
      <c r="R153" s="24">
        <v>225.77083333333334</v>
      </c>
      <c r="S153" s="24">
        <v>4.791666666666667</v>
      </c>
      <c r="T153" s="24">
        <v>8.3333333333333329E-2</v>
      </c>
      <c r="U153" s="24">
        <v>12.38958333333334</v>
      </c>
      <c r="V153" s="10">
        <v>0.43641562614044083</v>
      </c>
      <c r="W153" s="25">
        <v>0.39922916666666652</v>
      </c>
      <c r="X153" s="25">
        <v>0.49939583333333321</v>
      </c>
      <c r="Y153" s="25">
        <v>0.55304166666666654</v>
      </c>
      <c r="Z153" s="25">
        <v>0.57422916666666646</v>
      </c>
      <c r="AA153" s="25">
        <v>0.5728749999999998</v>
      </c>
      <c r="AB153" s="25">
        <v>0.47324999999999995</v>
      </c>
      <c r="AC153" s="25">
        <v>0.44897916666666693</v>
      </c>
      <c r="AD153" s="25">
        <v>0.38941666666666674</v>
      </c>
      <c r="AE153" s="25">
        <v>0.40492307692307694</v>
      </c>
      <c r="AF153" s="25">
        <v>0.24756250000000005</v>
      </c>
      <c r="AG153" s="25">
        <v>0.40556249999999999</v>
      </c>
      <c r="AH153" s="28">
        <f t="shared" si="18"/>
        <v>0.48605208333333316</v>
      </c>
      <c r="AI153" s="28">
        <f t="shared" si="19"/>
        <v>0.48971874999999992</v>
      </c>
      <c r="AJ153" s="28">
        <f t="shared" si="20"/>
        <v>0.48905208333333328</v>
      </c>
    </row>
    <row r="154" spans="1:36" x14ac:dyDescent="0.25">
      <c r="A154" s="9">
        <v>44115</v>
      </c>
      <c r="B154" s="3">
        <v>123.59954074317319</v>
      </c>
      <c r="C154" s="3">
        <v>76.870555025319248</v>
      </c>
      <c r="D154" s="3">
        <v>154.60693815492371</v>
      </c>
      <c r="E154" s="3">
        <v>251.95326367539326</v>
      </c>
      <c r="F154" s="3">
        <v>376.5160310627416</v>
      </c>
      <c r="G154" s="3">
        <v>284.27938818013024</v>
      </c>
      <c r="H154" s="3">
        <v>365.10367680546887</v>
      </c>
      <c r="I154" s="3">
        <v>279.71731844160087</v>
      </c>
      <c r="J154" s="3">
        <f t="shared" si="15"/>
        <v>0.16724524479942987</v>
      </c>
      <c r="K154" s="3">
        <f t="shared" si="16"/>
        <v>0.21502658009136921</v>
      </c>
      <c r="L154" s="3">
        <f t="shared" si="17"/>
        <v>0.38573148595707379</v>
      </c>
      <c r="M154" s="23">
        <v>44115</v>
      </c>
      <c r="N154" s="24">
        <v>87.708333333333329</v>
      </c>
      <c r="O154" s="24">
        <v>85.433333333333294</v>
      </c>
      <c r="P154" s="24">
        <v>15.081250000000004</v>
      </c>
      <c r="Q154" s="24">
        <v>0</v>
      </c>
      <c r="R154" s="24">
        <v>254.9375</v>
      </c>
      <c r="S154" s="24">
        <v>3.0416666666666665</v>
      </c>
      <c r="T154" s="24">
        <v>0.125</v>
      </c>
      <c r="U154" s="24">
        <v>12.539583333333333</v>
      </c>
      <c r="V154" s="10">
        <v>0.28048425547789774</v>
      </c>
      <c r="W154" s="25">
        <v>0.38881250000000006</v>
      </c>
      <c r="X154" s="25">
        <v>0.49368749999999989</v>
      </c>
      <c r="Y154" s="25">
        <v>0.54783333333333384</v>
      </c>
      <c r="Z154" s="25">
        <v>0.57054166666666661</v>
      </c>
      <c r="AA154" s="25">
        <v>0.56714583333333357</v>
      </c>
      <c r="AB154" s="25">
        <v>0.46770833333333334</v>
      </c>
      <c r="AC154" s="25">
        <v>0.44464583333333341</v>
      </c>
      <c r="AD154" s="25">
        <v>0.38558333333333322</v>
      </c>
      <c r="AE154" s="25">
        <v>0.39602564102564114</v>
      </c>
      <c r="AF154" s="25">
        <v>0.23335416666666672</v>
      </c>
      <c r="AG154" s="25">
        <v>0.38516666666666666</v>
      </c>
      <c r="AH154" s="28">
        <f t="shared" si="18"/>
        <v>0.47797916666666684</v>
      </c>
      <c r="AI154" s="28">
        <f t="shared" si="19"/>
        <v>0.4850000000000001</v>
      </c>
      <c r="AJ154" s="28">
        <f t="shared" si="20"/>
        <v>0.48372348484848493</v>
      </c>
    </row>
    <row r="155" spans="1:36" x14ac:dyDescent="0.25">
      <c r="A155" s="9">
        <v>44116</v>
      </c>
      <c r="B155" s="3">
        <v>122.46666740066661</v>
      </c>
      <c r="C155" s="3">
        <v>77.06238329446019</v>
      </c>
      <c r="D155" s="3">
        <v>231.55227197490731</v>
      </c>
      <c r="E155" s="3">
        <v>347.11347898376476</v>
      </c>
      <c r="F155" s="3">
        <v>514.03540955029803</v>
      </c>
      <c r="G155" s="3">
        <v>370.02310472233478</v>
      </c>
      <c r="H155" s="3">
        <v>402.71114625530925</v>
      </c>
      <c r="I155" s="3">
        <v>343.64075632823784</v>
      </c>
      <c r="J155" s="3">
        <f t="shared" si="15"/>
        <v>0.25353108815581699</v>
      </c>
      <c r="K155" s="3">
        <f t="shared" si="16"/>
        <v>0.31152496206647257</v>
      </c>
      <c r="L155" s="3">
        <f t="shared" si="17"/>
        <v>0.48431800727790431</v>
      </c>
      <c r="M155" s="23">
        <v>44116</v>
      </c>
      <c r="N155" s="24">
        <v>96.729166666666671</v>
      </c>
      <c r="O155" s="24">
        <v>82.074999999999974</v>
      </c>
      <c r="P155" s="24">
        <v>16.706250000000001</v>
      </c>
      <c r="Q155" s="24">
        <v>0</v>
      </c>
      <c r="R155" s="24">
        <v>255.91666666666666</v>
      </c>
      <c r="S155" s="24">
        <v>2.3125</v>
      </c>
      <c r="T155" s="24">
        <v>0.10416666666666667</v>
      </c>
      <c r="U155" s="24">
        <v>13.460416666666665</v>
      </c>
      <c r="V155" s="10">
        <v>0.38391649257586774</v>
      </c>
      <c r="W155" s="25">
        <v>0.37864583333333329</v>
      </c>
      <c r="X155" s="25">
        <v>0.48754166666666671</v>
      </c>
      <c r="Y155" s="25">
        <v>0.54243750000000024</v>
      </c>
      <c r="Z155" s="25">
        <v>0.56597916666666637</v>
      </c>
      <c r="AA155" s="25">
        <v>0.56120833333333342</v>
      </c>
      <c r="AB155" s="25">
        <v>0.46208333333333301</v>
      </c>
      <c r="AC155" s="25">
        <v>0.44022916666666689</v>
      </c>
      <c r="AD155" s="25">
        <v>0.3826874999999999</v>
      </c>
      <c r="AE155" s="25">
        <v>0.38933333333333331</v>
      </c>
      <c r="AF155" s="25">
        <v>0.22131249999999994</v>
      </c>
      <c r="AG155" s="25">
        <v>0.36793749999999997</v>
      </c>
      <c r="AH155" s="28">
        <f t="shared" si="18"/>
        <v>0.46992708333333333</v>
      </c>
      <c r="AI155" s="28">
        <f t="shared" si="19"/>
        <v>0.48015972222222225</v>
      </c>
      <c r="AJ155" s="28">
        <f t="shared" si="20"/>
        <v>0.47829924242424243</v>
      </c>
    </row>
    <row r="156" spans="1:36" x14ac:dyDescent="0.25">
      <c r="A156" s="9">
        <v>44117</v>
      </c>
      <c r="B156" s="3">
        <v>79.867019931245736</v>
      </c>
      <c r="C156" s="3">
        <v>87.774615089225691</v>
      </c>
      <c r="D156" s="3">
        <v>244.14952976208696</v>
      </c>
      <c r="E156" s="3">
        <v>343.3455181737678</v>
      </c>
      <c r="F156" s="3">
        <v>555.4003792825531</v>
      </c>
      <c r="G156" s="3">
        <v>337.67838152940408</v>
      </c>
      <c r="H156" s="3">
        <v>267.17874124572376</v>
      </c>
      <c r="I156" s="3">
        <v>382.04954146198338</v>
      </c>
      <c r="J156" s="3">
        <f t="shared" si="15"/>
        <v>0.26765754596919922</v>
      </c>
      <c r="K156" s="3">
        <f t="shared" si="16"/>
        <v>0.30770401525238616</v>
      </c>
      <c r="L156" s="3">
        <f t="shared" si="17"/>
        <v>0.45923272430221307</v>
      </c>
      <c r="M156" s="23">
        <v>44117</v>
      </c>
      <c r="N156" s="24">
        <v>101.41666666666667</v>
      </c>
      <c r="O156" s="24">
        <v>79.131249999999994</v>
      </c>
      <c r="P156" s="24">
        <v>16.497916666666665</v>
      </c>
      <c r="Q156" s="24">
        <v>0</v>
      </c>
      <c r="R156" s="24">
        <v>226.83333333333334</v>
      </c>
      <c r="S156" s="24">
        <v>4.708333333333333</v>
      </c>
      <c r="T156" s="24">
        <v>6.25E-2</v>
      </c>
      <c r="U156" s="24">
        <v>12.785416666666668</v>
      </c>
      <c r="V156" s="10">
        <v>0.41592622814310221</v>
      </c>
      <c r="W156" s="25">
        <v>0.36414583333333334</v>
      </c>
      <c r="X156" s="25">
        <v>0.4802499999999999</v>
      </c>
      <c r="Y156" s="25">
        <v>0.53539583333333363</v>
      </c>
      <c r="Z156" s="25">
        <v>0.56022916666666644</v>
      </c>
      <c r="AA156" s="25">
        <v>0.55364583333333306</v>
      </c>
      <c r="AB156" s="25">
        <v>0.45435416666666661</v>
      </c>
      <c r="AC156" s="25">
        <v>0.43506249999999969</v>
      </c>
      <c r="AD156" s="25">
        <v>0.37831250000000005</v>
      </c>
      <c r="AE156" s="25">
        <v>0.38088571428571433</v>
      </c>
      <c r="AF156" s="25">
        <v>0.20629166666666665</v>
      </c>
      <c r="AG156" s="25">
        <v>0.3458750000000001</v>
      </c>
      <c r="AH156" s="28">
        <f t="shared" si="18"/>
        <v>0.45889583333333317</v>
      </c>
      <c r="AI156" s="28">
        <f t="shared" si="19"/>
        <v>0.47393402777777771</v>
      </c>
      <c r="AJ156" s="28">
        <f t="shared" si="20"/>
        <v>0.47119981060606053</v>
      </c>
    </row>
    <row r="157" spans="1:36" x14ac:dyDescent="0.25">
      <c r="A157" s="9">
        <v>44123</v>
      </c>
      <c r="B157" s="3">
        <v>56.454533227680763</v>
      </c>
      <c r="C157" s="3">
        <v>57.129478318246242</v>
      </c>
      <c r="D157" s="3">
        <v>175.40613943977729</v>
      </c>
      <c r="E157" s="3">
        <v>237.68749914154654</v>
      </c>
      <c r="F157" s="3">
        <v>308.48222609057098</v>
      </c>
      <c r="G157" s="3">
        <v>243.6906950188789</v>
      </c>
      <c r="H157" s="3">
        <v>350.58150438488269</v>
      </c>
      <c r="I157" s="3">
        <v>295.07851955026501</v>
      </c>
      <c r="J157" s="3">
        <f t="shared" si="15"/>
        <v>0.19056929233948672</v>
      </c>
      <c r="K157" s="3">
        <f t="shared" si="16"/>
        <v>0.20056020682084846</v>
      </c>
      <c r="L157" s="3">
        <f t="shared" si="17"/>
        <v>0.35708743264774834</v>
      </c>
      <c r="M157" s="23">
        <v>44123</v>
      </c>
      <c r="N157" s="24">
        <v>88.645833333333329</v>
      </c>
      <c r="O157" s="24">
        <v>83.583333333333329</v>
      </c>
      <c r="P157" s="24">
        <v>12.28125</v>
      </c>
      <c r="Q157" s="24">
        <v>0</v>
      </c>
      <c r="R157" s="24">
        <v>179.04166666666666</v>
      </c>
      <c r="S157" s="24">
        <v>3.125</v>
      </c>
      <c r="T157" s="24">
        <v>0</v>
      </c>
      <c r="U157" s="24">
        <v>9.5083333333333329</v>
      </c>
      <c r="V157" s="10">
        <v>0.25217785357492384</v>
      </c>
      <c r="W157" s="25">
        <v>0.4207291666666666</v>
      </c>
      <c r="X157" s="25">
        <v>0.51391666666666691</v>
      </c>
      <c r="Y157" s="25">
        <v>0.56577083333333356</v>
      </c>
      <c r="Z157" s="25">
        <v>0.58049999999999968</v>
      </c>
      <c r="AA157" s="25">
        <v>0.57843750000000005</v>
      </c>
      <c r="AB157" s="25">
        <v>0.45879166666666632</v>
      </c>
      <c r="AC157" s="25">
        <v>0.44543749999999999</v>
      </c>
      <c r="AD157" s="25">
        <v>0.39266666666666655</v>
      </c>
      <c r="AE157" s="25">
        <v>0.43036170212765956</v>
      </c>
      <c r="AF157" s="25">
        <v>0.27072916666666674</v>
      </c>
      <c r="AG157" s="25">
        <v>0.44829166666666653</v>
      </c>
      <c r="AH157" s="28">
        <f t="shared" si="18"/>
        <v>0.49958333333333332</v>
      </c>
      <c r="AI157" s="28">
        <f t="shared" si="19"/>
        <v>0.49284722222222221</v>
      </c>
      <c r="AJ157" s="28">
        <f t="shared" si="20"/>
        <v>0.4940719696969697</v>
      </c>
    </row>
    <row r="158" spans="1:36" x14ac:dyDescent="0.25">
      <c r="A158" s="9">
        <v>44125</v>
      </c>
      <c r="B158" s="3">
        <v>188.44339699159843</v>
      </c>
      <c r="C158" s="3">
        <v>125.96431702718066</v>
      </c>
      <c r="D158" s="3">
        <v>251.56829155919047</v>
      </c>
      <c r="E158" s="3">
        <v>373.01887245280943</v>
      </c>
      <c r="F158" s="3">
        <v>449.86179433265164</v>
      </c>
      <c r="G158" s="3">
        <v>375.85980953968539</v>
      </c>
      <c r="H158" s="3">
        <v>548.10178057587643</v>
      </c>
      <c r="I158" s="3">
        <v>365.14468113179652</v>
      </c>
      <c r="J158" s="3">
        <f t="shared" si="15"/>
        <v>0.27597688239343049</v>
      </c>
      <c r="K158" s="3">
        <f t="shared" si="16"/>
        <v>0.33779464363550232</v>
      </c>
      <c r="L158" s="3">
        <f t="shared" si="17"/>
        <v>0.52220308236078417</v>
      </c>
      <c r="M158" s="23">
        <v>44125</v>
      </c>
      <c r="N158" s="24">
        <v>165.97916666666666</v>
      </c>
      <c r="O158" s="24">
        <v>75.089583333333366</v>
      </c>
      <c r="P158" s="24">
        <v>12.875000000000005</v>
      </c>
      <c r="Q158" s="24">
        <v>0.60000000000000009</v>
      </c>
      <c r="R158" s="24">
        <v>232.3125</v>
      </c>
      <c r="S158" s="24">
        <v>3.5833333333333335</v>
      </c>
      <c r="T158" s="24">
        <v>0</v>
      </c>
      <c r="U158" s="24">
        <v>8.1791666666666671</v>
      </c>
      <c r="V158" s="10">
        <v>0.44497322615553087</v>
      </c>
      <c r="W158" s="25">
        <v>0.42845833333333322</v>
      </c>
      <c r="X158" s="25">
        <v>0.51687500000000008</v>
      </c>
      <c r="Y158" s="25">
        <v>0.56566666666666643</v>
      </c>
      <c r="Z158" s="25">
        <v>0.57662499999999983</v>
      </c>
      <c r="AA158" s="25">
        <v>0.57524999999999959</v>
      </c>
      <c r="AB158" s="25">
        <v>0.4583750000000002</v>
      </c>
      <c r="AC158" s="25">
        <v>0.44416666666666677</v>
      </c>
      <c r="AD158" s="25">
        <v>0.39077083333333329</v>
      </c>
      <c r="AE158" s="25">
        <v>0.43813157894736854</v>
      </c>
      <c r="AF158" s="25">
        <v>0.28140476190476188</v>
      </c>
      <c r="AG158" s="25">
        <v>0.46639583333333334</v>
      </c>
      <c r="AH158" s="28">
        <f t="shared" si="18"/>
        <v>0.50185416666666638</v>
      </c>
      <c r="AI158" s="28">
        <f t="shared" si="19"/>
        <v>0.49207986111111107</v>
      </c>
      <c r="AJ158" s="28">
        <f t="shared" si="20"/>
        <v>0.49385700757575746</v>
      </c>
    </row>
    <row r="159" spans="1:36" x14ac:dyDescent="0.25">
      <c r="A159" s="9">
        <v>44126</v>
      </c>
      <c r="B159" s="3">
        <v>205.3622863872659</v>
      </c>
      <c r="C159" s="3">
        <v>240.72940213369185</v>
      </c>
      <c r="D159" s="3">
        <v>430.64263043650504</v>
      </c>
      <c r="E159" s="3">
        <v>603.72491015700837</v>
      </c>
      <c r="F159" s="3">
        <v>590.41274084473594</v>
      </c>
      <c r="G159" s="3">
        <v>569.65614066691785</v>
      </c>
      <c r="H159" s="3">
        <v>800.81697294727326</v>
      </c>
      <c r="I159" s="3">
        <v>547.00227266593993</v>
      </c>
      <c r="J159" s="3">
        <f t="shared" si="15"/>
        <v>0.47678932398561441</v>
      </c>
      <c r="K159" s="3">
        <f t="shared" si="16"/>
        <v>0.57174492714630354</v>
      </c>
      <c r="L159" s="3">
        <f t="shared" si="17"/>
        <v>0.76518115936546982</v>
      </c>
      <c r="M159" s="23">
        <v>44126</v>
      </c>
      <c r="N159" s="24">
        <v>212.0625</v>
      </c>
      <c r="O159" s="24">
        <v>56.762499999999996</v>
      </c>
      <c r="P159" s="24">
        <v>14.368750000000004</v>
      </c>
      <c r="Q159" s="24">
        <v>0</v>
      </c>
      <c r="R159" s="24">
        <v>214.75</v>
      </c>
      <c r="S159" s="24">
        <v>4.104166666666667</v>
      </c>
      <c r="T159" s="24">
        <v>0.14583333333333334</v>
      </c>
      <c r="U159" s="24">
        <v>5.0062499999999988</v>
      </c>
      <c r="V159" s="10">
        <v>0.85058292519075918</v>
      </c>
      <c r="W159" s="25">
        <v>0.41568749999999982</v>
      </c>
      <c r="X159" s="25">
        <v>0.50987500000000041</v>
      </c>
      <c r="Y159" s="25">
        <v>0.55924999999999958</v>
      </c>
      <c r="Z159" s="25">
        <v>0.5734999999999999</v>
      </c>
      <c r="AA159" s="25">
        <v>0.57314583333333335</v>
      </c>
      <c r="AB159" s="25">
        <v>0.45485416666666706</v>
      </c>
      <c r="AC159" s="25">
        <v>0.44006250000000041</v>
      </c>
      <c r="AD159" s="25">
        <v>0.38745833333333352</v>
      </c>
      <c r="AE159" s="25">
        <v>0.42686842105263156</v>
      </c>
      <c r="AF159" s="25">
        <v>0.25533333333333336</v>
      </c>
      <c r="AG159" s="25">
        <v>0.44075000000000014</v>
      </c>
      <c r="AH159" s="28">
        <f t="shared" si="18"/>
        <v>0.49441666666666662</v>
      </c>
      <c r="AI159" s="28">
        <f t="shared" si="19"/>
        <v>0.4875000000000001</v>
      </c>
      <c r="AJ159" s="28">
        <f t="shared" si="20"/>
        <v>0.48875757575757578</v>
      </c>
    </row>
    <row r="160" spans="1:36" x14ac:dyDescent="0.25">
      <c r="A160" s="9">
        <v>44127</v>
      </c>
      <c r="B160" s="3">
        <v>146.11719745834228</v>
      </c>
      <c r="C160" s="3">
        <v>286.54332653827453</v>
      </c>
      <c r="D160" s="3">
        <v>408.41829567205355</v>
      </c>
      <c r="E160" s="3">
        <v>548.94538107568565</v>
      </c>
      <c r="F160" s="3">
        <v>718.89162447301317</v>
      </c>
      <c r="G160" s="3">
        <v>579.13864131590731</v>
      </c>
      <c r="H160" s="3">
        <v>742.80866160710457</v>
      </c>
      <c r="I160" s="3">
        <v>566.09610466556842</v>
      </c>
      <c r="J160" s="3">
        <f t="shared" si="15"/>
        <v>0.45186714387431909</v>
      </c>
      <c r="K160" s="3">
        <f t="shared" si="16"/>
        <v>0.51619507467302173</v>
      </c>
      <c r="L160" s="3">
        <f t="shared" si="17"/>
        <v>0.79256777562684189</v>
      </c>
      <c r="M160" s="23">
        <v>44127</v>
      </c>
      <c r="N160" s="24">
        <v>193.6875</v>
      </c>
      <c r="O160" s="24">
        <v>55.931250000000013</v>
      </c>
      <c r="P160" s="24">
        <v>14.856250000000001</v>
      </c>
      <c r="Q160" s="24">
        <v>0</v>
      </c>
      <c r="R160" s="24">
        <v>212.39583333333334</v>
      </c>
      <c r="S160" s="24">
        <v>3.3958333333333335</v>
      </c>
      <c r="T160" s="24">
        <v>8.3333333333333329E-2</v>
      </c>
      <c r="U160" s="24">
        <v>5.4770833333333329</v>
      </c>
      <c r="V160" s="10">
        <v>0.86471895299777612</v>
      </c>
      <c r="W160" s="25">
        <v>0.40116666666666667</v>
      </c>
      <c r="X160" s="25">
        <v>0.50104166666666683</v>
      </c>
      <c r="Y160" s="25">
        <v>0.55004166666666732</v>
      </c>
      <c r="Z160" s="25">
        <v>0.56908333333333327</v>
      </c>
      <c r="AA160" s="25">
        <v>0.56691666666666662</v>
      </c>
      <c r="AB160" s="25">
        <v>0.44902083333333359</v>
      </c>
      <c r="AC160" s="25">
        <v>0.43543749999999953</v>
      </c>
      <c r="AD160" s="25">
        <v>0.38339583333333332</v>
      </c>
      <c r="AE160" s="25">
        <v>0.40931250000000002</v>
      </c>
      <c r="AF160" s="25">
        <v>0.24915000000000004</v>
      </c>
      <c r="AG160" s="25">
        <v>0.41139583333333318</v>
      </c>
      <c r="AH160" s="28">
        <f t="shared" si="18"/>
        <v>0.48404166666666665</v>
      </c>
      <c r="AI160" s="28">
        <f t="shared" si="19"/>
        <v>0.48133680555555558</v>
      </c>
      <c r="AJ160" s="28">
        <f t="shared" si="20"/>
        <v>0.48182859848484849</v>
      </c>
    </row>
    <row r="161" spans="1:36" x14ac:dyDescent="0.25">
      <c r="A161" s="9">
        <v>44128</v>
      </c>
      <c r="B161" s="3">
        <v>139.54876623421501</v>
      </c>
      <c r="C161" s="3">
        <v>263.11026387888404</v>
      </c>
      <c r="D161" s="3">
        <v>392.51419149188825</v>
      </c>
      <c r="E161" s="3">
        <v>509.239897375829</v>
      </c>
      <c r="F161" s="3">
        <v>638.27173242894241</v>
      </c>
      <c r="G161" s="3">
        <v>503.91593685250041</v>
      </c>
      <c r="H161" s="3">
        <v>515.27194172216798</v>
      </c>
      <c r="I161" s="3">
        <v>507.30568181345905</v>
      </c>
      <c r="J161" s="3">
        <f t="shared" si="15"/>
        <v>0.43403241662206044</v>
      </c>
      <c r="K161" s="3">
        <f t="shared" si="16"/>
        <v>0.47593124256462649</v>
      </c>
      <c r="L161" s="3">
        <f t="shared" si="17"/>
        <v>0.65506911066799134</v>
      </c>
      <c r="M161" s="23">
        <v>44128</v>
      </c>
      <c r="N161" s="24">
        <v>180.0625</v>
      </c>
      <c r="O161" s="24">
        <v>62.287499999999987</v>
      </c>
      <c r="P161" s="24">
        <v>15.489583333333336</v>
      </c>
      <c r="Q161" s="24">
        <v>0</v>
      </c>
      <c r="R161" s="24">
        <v>215.125</v>
      </c>
      <c r="S161" s="24">
        <v>4.666666666666667</v>
      </c>
      <c r="T161" s="24">
        <v>0.25</v>
      </c>
      <c r="U161" s="24">
        <v>7.9354166666666641</v>
      </c>
      <c r="V161" s="10">
        <v>0.74631909174273792</v>
      </c>
      <c r="W161" s="25">
        <v>0.38658333333333345</v>
      </c>
      <c r="X161" s="25">
        <v>0.49258333333333354</v>
      </c>
      <c r="Y161" s="25">
        <v>0.54127083333333303</v>
      </c>
      <c r="Z161" s="25">
        <v>0.56404166666666666</v>
      </c>
      <c r="AA161" s="25">
        <v>0.55914583333333312</v>
      </c>
      <c r="AB161" s="25">
        <v>0.44212499999999993</v>
      </c>
      <c r="AC161" s="25">
        <v>0.43</v>
      </c>
      <c r="AD161" s="25">
        <v>0.37806249999999997</v>
      </c>
      <c r="AE161" s="25">
        <v>0.39788095238095234</v>
      </c>
      <c r="AF161" s="25">
        <v>0.21838888888888891</v>
      </c>
      <c r="AG161" s="25">
        <v>0.3781666666666666</v>
      </c>
      <c r="AH161" s="28">
        <f t="shared" si="18"/>
        <v>0.47286458333333325</v>
      </c>
      <c r="AI161" s="28">
        <f t="shared" si="19"/>
        <v>0.47468055555555555</v>
      </c>
      <c r="AJ161" s="28">
        <f t="shared" si="20"/>
        <v>0.47435037878787872</v>
      </c>
    </row>
    <row r="162" spans="1:36" x14ac:dyDescent="0.25">
      <c r="A162" s="9">
        <v>44129</v>
      </c>
      <c r="B162" s="3">
        <v>127.44674638802739</v>
      </c>
      <c r="C162" s="3">
        <v>322.73536599609486</v>
      </c>
      <c r="D162" s="3">
        <v>411.41782807547139</v>
      </c>
      <c r="E162" s="3">
        <v>598.49351323072665</v>
      </c>
      <c r="F162" s="3">
        <v>617.61398097028496</v>
      </c>
      <c r="G162" s="3">
        <v>498.81905268801052</v>
      </c>
      <c r="H162" s="3">
        <v>230.11727790840649</v>
      </c>
      <c r="I162" s="3">
        <v>484.1487274091981</v>
      </c>
      <c r="J162" s="3">
        <f t="shared" si="15"/>
        <v>0.45523079401727945</v>
      </c>
      <c r="K162" s="3">
        <f t="shared" si="16"/>
        <v>0.56643996501249771</v>
      </c>
      <c r="L162" s="3">
        <f t="shared" si="17"/>
        <v>0.54948637338560502</v>
      </c>
      <c r="M162" s="23">
        <v>44129</v>
      </c>
      <c r="N162" s="24">
        <v>196.72916666666666</v>
      </c>
      <c r="O162" s="24">
        <v>65.916666666666671</v>
      </c>
      <c r="P162" s="24">
        <v>16.854166666666664</v>
      </c>
      <c r="Q162" s="24">
        <v>0</v>
      </c>
      <c r="R162" s="24">
        <v>228.41666666666666</v>
      </c>
      <c r="S162" s="24">
        <v>6.125</v>
      </c>
      <c r="T162" s="24">
        <v>0.1875</v>
      </c>
      <c r="U162" s="24">
        <v>10.110416666666667</v>
      </c>
      <c r="V162" s="10">
        <v>0.73997325659041036</v>
      </c>
      <c r="W162" s="25">
        <v>0.36875000000000019</v>
      </c>
      <c r="X162" s="25">
        <v>0.48281250000000009</v>
      </c>
      <c r="Y162" s="25">
        <v>0.53291666666666626</v>
      </c>
      <c r="Z162" s="25">
        <v>0.55816666666666637</v>
      </c>
      <c r="AA162" s="25">
        <v>0.55025000000000013</v>
      </c>
      <c r="AB162" s="25">
        <v>0.43472916666666667</v>
      </c>
      <c r="AC162" s="25">
        <v>0.42406250000000023</v>
      </c>
      <c r="AD162" s="25">
        <v>0.37254166666666655</v>
      </c>
      <c r="AE162" s="25">
        <v>0.38531250000000011</v>
      </c>
      <c r="AF162" s="25">
        <v>0.19673333333333334</v>
      </c>
      <c r="AG162" s="25">
        <v>0.33979166666666666</v>
      </c>
      <c r="AH162" s="28">
        <f t="shared" si="18"/>
        <v>0.45950000000000013</v>
      </c>
      <c r="AI162" s="28">
        <f t="shared" si="19"/>
        <v>0.46753819444444433</v>
      </c>
      <c r="AJ162" s="28">
        <f t="shared" si="20"/>
        <v>0.46607670454545452</v>
      </c>
    </row>
    <row r="163" spans="1:36" x14ac:dyDescent="0.25">
      <c r="A163" s="9">
        <v>44130</v>
      </c>
      <c r="B163" s="3">
        <v>2.9225550781793892</v>
      </c>
      <c r="C163" s="3">
        <v>52.2488418932545</v>
      </c>
      <c r="D163" s="3">
        <v>108.87167563500613</v>
      </c>
      <c r="E163" s="3">
        <v>153.63954762092118</v>
      </c>
      <c r="F163" s="3">
        <v>256.66108296540676</v>
      </c>
      <c r="G163" s="3">
        <v>118.80923739521616</v>
      </c>
      <c r="H163" s="3">
        <v>3.585425078236113</v>
      </c>
      <c r="I163" s="3">
        <v>203.33863922654803</v>
      </c>
      <c r="J163" s="3">
        <f t="shared" si="15"/>
        <v>0.11595811013198691</v>
      </c>
      <c r="K163" s="3">
        <f t="shared" si="16"/>
        <v>0.11533035205665083</v>
      </c>
      <c r="L163" s="3">
        <f t="shared" si="17"/>
        <v>0.16340286231887846</v>
      </c>
      <c r="M163" s="23">
        <v>44130</v>
      </c>
      <c r="N163" s="24">
        <v>64.895833333333329</v>
      </c>
      <c r="O163" s="24">
        <v>79.135416666666671</v>
      </c>
      <c r="P163" s="24">
        <v>15.277083333333332</v>
      </c>
      <c r="Q163" s="24">
        <v>0</v>
      </c>
      <c r="R163" s="24">
        <v>214.60416666666666</v>
      </c>
      <c r="S163" s="24">
        <v>3.1666666666666665</v>
      </c>
      <c r="T163" s="24">
        <v>0</v>
      </c>
      <c r="U163" s="24">
        <v>11.660416666666663</v>
      </c>
      <c r="V163" s="10">
        <v>0.36815612260431924</v>
      </c>
      <c r="W163" s="25">
        <v>0.35329166666666673</v>
      </c>
      <c r="X163" s="25">
        <v>0.47493749999999996</v>
      </c>
      <c r="Y163" s="25">
        <v>0.52670833333333289</v>
      </c>
      <c r="Z163" s="25">
        <v>0.55279166666666646</v>
      </c>
      <c r="AA163" s="25">
        <v>0.54164583333333338</v>
      </c>
      <c r="AB163" s="25">
        <v>0.42833333333333301</v>
      </c>
      <c r="AC163" s="25">
        <v>0.41912499999999991</v>
      </c>
      <c r="AD163" s="25">
        <v>0.3675000000000001</v>
      </c>
      <c r="AE163" s="25">
        <v>0.3739302325581394</v>
      </c>
      <c r="AF163" s="29">
        <f>AG163*0.5711-0.0033</f>
        <v>0.1726463916666667</v>
      </c>
      <c r="AG163" s="25">
        <v>0.30808333333333338</v>
      </c>
      <c r="AH163" s="28">
        <f t="shared" si="18"/>
        <v>0.44746875000000008</v>
      </c>
      <c r="AI163" s="28">
        <f t="shared" si="19"/>
        <v>0.46156597222222207</v>
      </c>
      <c r="AJ163" s="28">
        <f t="shared" si="20"/>
        <v>0.45900284090909077</v>
      </c>
    </row>
    <row r="164" spans="1:36" x14ac:dyDescent="0.25">
      <c r="A164" s="9">
        <v>44131</v>
      </c>
      <c r="B164" s="3">
        <v>7.8941404540722093</v>
      </c>
      <c r="C164" s="3">
        <v>60.38729591256385</v>
      </c>
      <c r="D164" s="3">
        <v>117.34704990211344</v>
      </c>
      <c r="E164" s="3">
        <v>163.18469443486495</v>
      </c>
      <c r="F164" s="3">
        <v>245.52805673209497</v>
      </c>
      <c r="G164" s="3">
        <v>131.15035300601684</v>
      </c>
      <c r="H164" s="3">
        <v>21.886865278820753</v>
      </c>
      <c r="I164" s="3">
        <v>177.06069102878169</v>
      </c>
      <c r="J164" s="3">
        <f t="shared" si="15"/>
        <v>0.12546232279950603</v>
      </c>
      <c r="K164" s="3">
        <f t="shared" si="16"/>
        <v>0.12500972510425842</v>
      </c>
      <c r="L164" s="3">
        <f t="shared" si="17"/>
        <v>0.15924460417873781</v>
      </c>
      <c r="M164" s="23">
        <v>44131</v>
      </c>
      <c r="N164" s="24">
        <v>66.104166666666671</v>
      </c>
      <c r="O164" s="24">
        <v>85.654166666666654</v>
      </c>
      <c r="P164" s="24">
        <v>15.554166666666667</v>
      </c>
      <c r="Q164" s="24">
        <v>0.7</v>
      </c>
      <c r="R164" s="24">
        <v>223.125</v>
      </c>
      <c r="S164" s="24">
        <v>3.5833333333333335</v>
      </c>
      <c r="T164" s="24">
        <v>0.27083333333333331</v>
      </c>
      <c r="U164" s="24">
        <v>13.102083333333335</v>
      </c>
      <c r="V164" s="10">
        <v>0.26779767549450356</v>
      </c>
      <c r="W164" s="25">
        <v>0.34489583333333335</v>
      </c>
      <c r="X164" s="25">
        <v>0.46795833333333348</v>
      </c>
      <c r="Y164" s="25">
        <v>0.52291666666666681</v>
      </c>
      <c r="Z164" s="25">
        <v>0.5486458333333335</v>
      </c>
      <c r="AA164" s="25">
        <v>0.53375000000000006</v>
      </c>
      <c r="AB164" s="25">
        <v>0.42412500000000009</v>
      </c>
      <c r="AC164" s="25">
        <v>0.41622916666666648</v>
      </c>
      <c r="AD164" s="25">
        <v>0.36464583333333328</v>
      </c>
      <c r="AE164" s="25">
        <v>0.36754166666666671</v>
      </c>
      <c r="AF164" s="25">
        <v>0.17299999999999999</v>
      </c>
      <c r="AG164" s="25">
        <v>0.29562499999999992</v>
      </c>
      <c r="AH164" s="28">
        <f t="shared" si="18"/>
        <v>0.43932291666666667</v>
      </c>
      <c r="AI164" s="28">
        <f t="shared" si="19"/>
        <v>0.45742013888888899</v>
      </c>
      <c r="AJ164" s="28">
        <f t="shared" si="20"/>
        <v>0.45412973484848496</v>
      </c>
    </row>
    <row r="165" spans="1:36" x14ac:dyDescent="0.25">
      <c r="A165" s="9">
        <v>44138</v>
      </c>
      <c r="B165" s="3">
        <v>42.225535874941158</v>
      </c>
      <c r="C165" s="3">
        <v>53.754392470465412</v>
      </c>
      <c r="D165" s="3">
        <v>99.606495417973022</v>
      </c>
      <c r="E165" s="3">
        <v>203.50406156556488</v>
      </c>
      <c r="F165" s="2">
        <v>269.61850104005833</v>
      </c>
      <c r="G165" s="3">
        <v>213.29197372896093</v>
      </c>
      <c r="H165" s="3">
        <v>263.24790181610848</v>
      </c>
      <c r="I165" s="3">
        <v>275.6171648774324</v>
      </c>
      <c r="J165" s="3">
        <f t="shared" si="15"/>
        <v>0.10556821578509946</v>
      </c>
      <c r="K165" s="3">
        <f t="shared" si="16"/>
        <v>0.16589607322531436</v>
      </c>
      <c r="L165" s="3">
        <f t="shared" si="17"/>
        <v>0.30291150645936155</v>
      </c>
      <c r="M165" s="23">
        <v>44138</v>
      </c>
      <c r="N165" s="24">
        <v>81.020833333333329</v>
      </c>
      <c r="O165" s="24">
        <v>80.656250000000014</v>
      </c>
      <c r="P165" s="24">
        <v>9.6062499999999975</v>
      </c>
      <c r="Q165" s="24">
        <v>0.4</v>
      </c>
      <c r="R165" s="24">
        <v>237.4375</v>
      </c>
      <c r="S165" s="24">
        <v>4.0625</v>
      </c>
      <c r="T165" s="24">
        <v>2.0833333333333332E-2</v>
      </c>
      <c r="U165" s="24">
        <v>6.3375000000000012</v>
      </c>
      <c r="V165" s="10">
        <v>0.24497329168460505</v>
      </c>
      <c r="W165" s="25">
        <v>0.32156249999999997</v>
      </c>
      <c r="X165" s="25">
        <v>0.43935416666666693</v>
      </c>
      <c r="Y165" s="25">
        <v>0.50518750000000001</v>
      </c>
      <c r="Z165" s="25">
        <v>0.52339583333333317</v>
      </c>
      <c r="AA165" s="25">
        <v>0.50225000000000031</v>
      </c>
      <c r="AB165" s="25">
        <v>0.41083333333333316</v>
      </c>
      <c r="AC165" s="25">
        <v>0.40587499999999993</v>
      </c>
      <c r="AD165" s="25">
        <v>0.35360416666666666</v>
      </c>
      <c r="AE165" s="25">
        <v>0.39652083333333343</v>
      </c>
      <c r="AF165" s="29">
        <f>AG165*0.5711-0.0033</f>
        <v>0.17311041041666669</v>
      </c>
      <c r="AG165" s="25">
        <v>0.30889583333333337</v>
      </c>
      <c r="AH165" s="28">
        <f t="shared" si="18"/>
        <v>0.41190625000000014</v>
      </c>
      <c r="AI165" s="28">
        <f t="shared" si="19"/>
        <v>0.43970833333333331</v>
      </c>
      <c r="AJ165" s="28">
        <f t="shared" si="20"/>
        <v>0.4346534090909091</v>
      </c>
    </row>
    <row r="166" spans="1:36" x14ac:dyDescent="0.25">
      <c r="A166" s="9">
        <v>44139</v>
      </c>
      <c r="B166" s="3">
        <v>27.636587306997704</v>
      </c>
      <c r="C166" s="3">
        <v>56.478436333741776</v>
      </c>
      <c r="D166" s="3">
        <v>116.72392202656299</v>
      </c>
      <c r="E166" s="3">
        <v>258.30900551515072</v>
      </c>
      <c r="F166" s="2">
        <v>124.59796051503275</v>
      </c>
      <c r="G166" s="3">
        <v>203.8998404861054</v>
      </c>
      <c r="H166" s="3">
        <v>121.65393528122706</v>
      </c>
      <c r="I166" s="3">
        <v>325.6721340624614</v>
      </c>
      <c r="J166" s="3">
        <f t="shared" si="15"/>
        <v>0.12476355249607822</v>
      </c>
      <c r="K166" s="3">
        <f t="shared" si="16"/>
        <v>0.2214716979570715</v>
      </c>
      <c r="L166" s="3">
        <f t="shared" si="17"/>
        <v>0.23537856852496086</v>
      </c>
      <c r="M166" s="23">
        <v>44139</v>
      </c>
      <c r="N166" s="24">
        <v>77.354166666666671</v>
      </c>
      <c r="O166" s="24">
        <v>78.862500000000011</v>
      </c>
      <c r="P166" s="24">
        <v>9.970833333333335</v>
      </c>
      <c r="Q166" s="24">
        <v>0</v>
      </c>
      <c r="R166" s="24">
        <v>232.5625</v>
      </c>
      <c r="S166" s="24">
        <v>3.5833333333333335</v>
      </c>
      <c r="T166" s="24">
        <v>8.3333333333333329E-2</v>
      </c>
      <c r="U166" s="24">
        <v>6.3833333333333329</v>
      </c>
      <c r="V166" s="10">
        <v>0.27453754222998328</v>
      </c>
      <c r="W166" s="25">
        <v>0.31741666666666679</v>
      </c>
      <c r="X166" s="25">
        <v>0.4336666666666662</v>
      </c>
      <c r="Y166" s="25">
        <v>0.5000625000000003</v>
      </c>
      <c r="Z166" s="25">
        <v>0.51706249999999998</v>
      </c>
      <c r="AA166" s="25">
        <v>0.49774999999999991</v>
      </c>
      <c r="AB166" s="25">
        <v>0.40716666666666684</v>
      </c>
      <c r="AC166" s="25">
        <v>0.40258333333333324</v>
      </c>
      <c r="AD166" s="25">
        <v>0.35045833333333309</v>
      </c>
      <c r="AE166" s="25">
        <v>0.38881249999999995</v>
      </c>
      <c r="AF166" s="25">
        <v>0.21647619047619054</v>
      </c>
      <c r="AG166" s="25">
        <v>0.3038333333333334</v>
      </c>
      <c r="AH166" s="28">
        <f t="shared" si="18"/>
        <v>0.40758333333333335</v>
      </c>
      <c r="AI166" s="28">
        <f t="shared" si="19"/>
        <v>0.43516666666666665</v>
      </c>
      <c r="AJ166" s="28">
        <f t="shared" si="20"/>
        <v>0.43015151515151512</v>
      </c>
    </row>
    <row r="167" spans="1:36" x14ac:dyDescent="0.25">
      <c r="A167" s="9">
        <v>44141</v>
      </c>
      <c r="B167" s="3">
        <v>21.476172705820563</v>
      </c>
      <c r="C167" s="3">
        <v>66.899001366105168</v>
      </c>
      <c r="D167" s="3">
        <v>70.961114557808983</v>
      </c>
      <c r="E167" s="3">
        <v>198.67845512614161</v>
      </c>
      <c r="F167" s="2">
        <v>161.95462114958463</v>
      </c>
      <c r="G167" s="3">
        <v>132.16725575506942</v>
      </c>
      <c r="H167" s="3">
        <v>158.12792535597015</v>
      </c>
      <c r="I167" s="3">
        <v>159.98681945649622</v>
      </c>
      <c r="J167" s="3">
        <f t="shared" si="15"/>
        <v>7.3445529157125697E-2</v>
      </c>
      <c r="K167" s="3">
        <f t="shared" si="16"/>
        <v>0.16100260790533813</v>
      </c>
      <c r="L167" s="3">
        <f t="shared" si="17"/>
        <v>0.17250364441640623</v>
      </c>
      <c r="M167" s="23">
        <v>44141</v>
      </c>
      <c r="N167" s="24">
        <v>86.375</v>
      </c>
      <c r="O167" s="24">
        <v>86.035416666666663</v>
      </c>
      <c r="P167" s="24">
        <v>11.806250000000006</v>
      </c>
      <c r="Q167" s="24">
        <v>1.3</v>
      </c>
      <c r="R167" s="24">
        <v>195.375</v>
      </c>
      <c r="S167" s="24">
        <v>3.25</v>
      </c>
      <c r="T167" s="24">
        <v>0</v>
      </c>
      <c r="U167" s="24">
        <v>9.4416666666666682</v>
      </c>
      <c r="V167" s="10">
        <v>0.21336008449048158</v>
      </c>
      <c r="W167" s="25">
        <v>0.31652083333333353</v>
      </c>
      <c r="X167" s="25">
        <v>0.42906249999999974</v>
      </c>
      <c r="Y167" s="25">
        <v>0.4959583333333335</v>
      </c>
      <c r="Z167" s="25">
        <v>0.51050000000000006</v>
      </c>
      <c r="AA167" s="25">
        <v>0.49560416666666612</v>
      </c>
      <c r="AB167" s="25">
        <v>0.40587500000000015</v>
      </c>
      <c r="AC167" s="25">
        <v>0.39956250000000049</v>
      </c>
      <c r="AD167" s="25">
        <v>0.34793750000000007</v>
      </c>
      <c r="AE167" s="25">
        <v>0.39900000000000008</v>
      </c>
      <c r="AF167" s="25">
        <v>0.23506250000000001</v>
      </c>
      <c r="AG167" s="25">
        <v>0.30831249999999993</v>
      </c>
      <c r="AH167" s="28">
        <f t="shared" si="18"/>
        <v>0.40606249999999983</v>
      </c>
      <c r="AI167" s="28">
        <f t="shared" si="19"/>
        <v>0.43148263888888905</v>
      </c>
      <c r="AJ167" s="28">
        <f t="shared" si="20"/>
        <v>0.42686079545454558</v>
      </c>
    </row>
    <row r="168" spans="1:36" x14ac:dyDescent="0.25">
      <c r="A168" s="9">
        <v>44142</v>
      </c>
      <c r="B168" s="3">
        <v>131.40188202691425</v>
      </c>
      <c r="C168" s="3">
        <v>252.55893777873413</v>
      </c>
      <c r="D168" s="3">
        <v>310.08199110031342</v>
      </c>
      <c r="E168" s="3">
        <v>583.0993463220309</v>
      </c>
      <c r="F168" s="2">
        <v>151.78667985689015</v>
      </c>
      <c r="G168" s="3">
        <v>489.63417395207637</v>
      </c>
      <c r="H168" s="3">
        <v>148.20023418950416</v>
      </c>
      <c r="I168" s="3">
        <v>344.04514650828776</v>
      </c>
      <c r="J168" s="3">
        <f t="shared" si="15"/>
        <v>0.34159364772737688</v>
      </c>
      <c r="K168" s="3">
        <f t="shared" si="16"/>
        <v>0.55082932149167407</v>
      </c>
      <c r="L168" s="3">
        <f t="shared" si="17"/>
        <v>0.33789684858327818</v>
      </c>
      <c r="M168" s="23">
        <v>44142</v>
      </c>
      <c r="N168" s="24">
        <v>180.8125</v>
      </c>
      <c r="O168" s="24">
        <v>74.687499999999986</v>
      </c>
      <c r="P168" s="24">
        <v>13.599999999999996</v>
      </c>
      <c r="Q168" s="24">
        <v>0</v>
      </c>
      <c r="R168" s="24">
        <v>244.16666666666666</v>
      </c>
      <c r="S168" s="24">
        <v>3.2083333333333335</v>
      </c>
      <c r="T168" s="24">
        <v>4.1666666666666664E-2</v>
      </c>
      <c r="U168" s="24">
        <v>8.78541666666667</v>
      </c>
      <c r="V168" s="10">
        <v>0.49526584147024072</v>
      </c>
      <c r="W168" s="25">
        <v>0.31393750000000015</v>
      </c>
      <c r="X168" s="25">
        <v>0.42687499999999984</v>
      </c>
      <c r="Y168" s="25">
        <v>0.49285416666666654</v>
      </c>
      <c r="Z168" s="25">
        <v>0.50652083333333364</v>
      </c>
      <c r="AA168" s="25">
        <v>0.49464583333333301</v>
      </c>
      <c r="AB168" s="25">
        <v>0.4028958333333334</v>
      </c>
      <c r="AC168" s="25">
        <v>0.39650000000000002</v>
      </c>
      <c r="AD168" s="25">
        <v>0.34458333333333341</v>
      </c>
      <c r="AE168" s="25">
        <v>0.39185416666666667</v>
      </c>
      <c r="AF168" s="25">
        <v>0.218</v>
      </c>
      <c r="AG168" s="25">
        <v>0.30481249999999999</v>
      </c>
      <c r="AH168" s="28">
        <f t="shared" si="18"/>
        <v>0.4042916666666666</v>
      </c>
      <c r="AI168" s="28">
        <f t="shared" si="19"/>
        <v>0.42837152777777782</v>
      </c>
      <c r="AJ168" s="28">
        <f t="shared" si="20"/>
        <v>0.42399337121212122</v>
      </c>
    </row>
    <row r="169" spans="1:36" x14ac:dyDescent="0.25">
      <c r="A169" s="9">
        <v>44143</v>
      </c>
      <c r="B169" s="3">
        <v>53.019876380744662</v>
      </c>
      <c r="C169" s="3">
        <v>216.10999134117606</v>
      </c>
      <c r="D169" s="3">
        <v>249.02601583399107</v>
      </c>
      <c r="E169" s="3">
        <v>470.38773034111875</v>
      </c>
      <c r="F169" s="2">
        <v>64.714850896510455</v>
      </c>
      <c r="G169" s="3">
        <v>403.08827547755845</v>
      </c>
      <c r="H169" s="3">
        <v>63.185755610730766</v>
      </c>
      <c r="I169" s="3">
        <v>338.50078856313206</v>
      </c>
      <c r="J169" s="3">
        <f t="shared" si="15"/>
        <v>0.27312599600301585</v>
      </c>
      <c r="K169" s="3">
        <f t="shared" si="16"/>
        <v>0.43653272667301568</v>
      </c>
      <c r="L169" s="3">
        <f t="shared" si="17"/>
        <v>0.26094066112220826</v>
      </c>
      <c r="M169" s="23">
        <v>44143</v>
      </c>
      <c r="N169" s="24">
        <v>130.4375</v>
      </c>
      <c r="O169" s="24">
        <v>74.847916666666649</v>
      </c>
      <c r="P169" s="24">
        <v>13.335416666666674</v>
      </c>
      <c r="Q169" s="24">
        <v>0</v>
      </c>
      <c r="R169" s="24">
        <v>179.66666666666666</v>
      </c>
      <c r="S169" s="24">
        <v>2.0833333333333335</v>
      </c>
      <c r="T169" s="24">
        <v>2.0833333333333332E-2</v>
      </c>
      <c r="U169" s="24">
        <v>8.7395833333333339</v>
      </c>
      <c r="V169" s="10">
        <v>0.43988951388174308</v>
      </c>
      <c r="W169" s="25">
        <v>0.30877083333333327</v>
      </c>
      <c r="X169" s="25">
        <v>0.42270833333333319</v>
      </c>
      <c r="Y169" s="25">
        <v>0.48760416666666656</v>
      </c>
      <c r="Z169" s="25">
        <v>0.50262500000000021</v>
      </c>
      <c r="AA169" s="25">
        <v>0.4921458333333335</v>
      </c>
      <c r="AB169" s="25">
        <v>0.3978750000000002</v>
      </c>
      <c r="AC169" s="25">
        <v>0.39177083333333335</v>
      </c>
      <c r="AD169" s="25">
        <v>0.34081249999999996</v>
      </c>
      <c r="AE169" s="25">
        <v>0.38150000000000001</v>
      </c>
      <c r="AF169" s="29">
        <f>AG169*0.5711-0.0033</f>
        <v>0.16511501041666662</v>
      </c>
      <c r="AG169" s="25">
        <v>0.29489583333333325</v>
      </c>
      <c r="AH169" s="28">
        <f t="shared" si="18"/>
        <v>0.40045833333333336</v>
      </c>
      <c r="AI169" s="28">
        <f t="shared" si="19"/>
        <v>0.42389930555555555</v>
      </c>
      <c r="AJ169" s="28">
        <f t="shared" si="20"/>
        <v>0.41963731060606058</v>
      </c>
    </row>
    <row r="170" spans="1:36" x14ac:dyDescent="0.25">
      <c r="A170" s="9">
        <v>44144</v>
      </c>
      <c r="B170" s="3">
        <v>142.75965420640924</v>
      </c>
      <c r="C170" s="3">
        <v>300.46681432746141</v>
      </c>
      <c r="D170" s="3">
        <v>384.36989485661445</v>
      </c>
      <c r="E170" s="3">
        <v>573.35479248111812</v>
      </c>
      <c r="F170" s="2">
        <v>108.6759297314709</v>
      </c>
      <c r="G170" s="3">
        <v>725.16423016109479</v>
      </c>
      <c r="H170" s="3">
        <v>106.10811338749356</v>
      </c>
      <c r="I170" s="3">
        <v>653.47698805944412</v>
      </c>
      <c r="J170" s="3">
        <f t="shared" si="15"/>
        <v>0.42489947159691743</v>
      </c>
      <c r="K170" s="3">
        <f t="shared" si="16"/>
        <v>0.54094773730578116</v>
      </c>
      <c r="L170" s="3">
        <f t="shared" si="17"/>
        <v>0.49910772701845185</v>
      </c>
      <c r="M170" s="23">
        <v>44144</v>
      </c>
      <c r="N170" s="24">
        <v>175.35416666666666</v>
      </c>
      <c r="O170" s="24">
        <v>53.45000000000001</v>
      </c>
      <c r="P170" s="24">
        <v>14.639583333333333</v>
      </c>
      <c r="Q170" s="24">
        <v>0</v>
      </c>
      <c r="R170" s="24">
        <v>213.39583333333334</v>
      </c>
      <c r="S170" s="24">
        <v>3.3333333333333335</v>
      </c>
      <c r="T170" s="24">
        <v>6.25E-2</v>
      </c>
      <c r="U170" s="24">
        <v>4.3249999999999993</v>
      </c>
      <c r="V170" s="10">
        <v>0.88269616599950673</v>
      </c>
      <c r="W170" s="25">
        <v>0.30181250000000009</v>
      </c>
      <c r="X170" s="25">
        <v>0.41645833333333315</v>
      </c>
      <c r="Y170" s="25">
        <v>0.47987500000000027</v>
      </c>
      <c r="Z170" s="25">
        <v>0.49781250000000005</v>
      </c>
      <c r="AA170" s="25">
        <v>0.48662500000000003</v>
      </c>
      <c r="AB170" s="25">
        <v>0.39006250000000015</v>
      </c>
      <c r="AC170" s="25">
        <v>0.38508333333333317</v>
      </c>
      <c r="AD170" s="25">
        <v>0.33600000000000013</v>
      </c>
      <c r="AE170" s="25">
        <v>0.37067500000000003</v>
      </c>
      <c r="AF170" s="29">
        <f>AG170*0.5711-0.0033</f>
        <v>0.15897568541666668</v>
      </c>
      <c r="AG170" s="25">
        <v>0.28414583333333332</v>
      </c>
      <c r="AH170" s="28">
        <f t="shared" si="18"/>
        <v>0.39421875000000006</v>
      </c>
      <c r="AI170" s="28">
        <f t="shared" si="19"/>
        <v>0.41754861111111113</v>
      </c>
      <c r="AJ170" s="28">
        <f t="shared" si="20"/>
        <v>0.41330681818181814</v>
      </c>
    </row>
    <row r="171" spans="1:36" x14ac:dyDescent="0.25">
      <c r="A171" s="9">
        <v>44145</v>
      </c>
      <c r="B171" s="3">
        <v>157.95503116676684</v>
      </c>
      <c r="C171" s="3">
        <v>365.39709343984043</v>
      </c>
      <c r="D171" s="3">
        <v>411.70218348460071</v>
      </c>
      <c r="E171" s="3">
        <v>611.12194847602098</v>
      </c>
      <c r="F171" s="2">
        <v>156.52620522062463</v>
      </c>
      <c r="G171" s="3">
        <v>517.17441763323961</v>
      </c>
      <c r="H171" s="3">
        <v>152.82777311133043</v>
      </c>
      <c r="I171" s="3">
        <v>649.19170167990762</v>
      </c>
      <c r="J171" s="3">
        <f t="shared" si="15"/>
        <v>0.45554966775622607</v>
      </c>
      <c r="K171" s="3">
        <f t="shared" si="16"/>
        <v>0.57924598446189957</v>
      </c>
      <c r="L171" s="3">
        <f t="shared" si="17"/>
        <v>0.46742337798103006</v>
      </c>
      <c r="M171" s="23">
        <v>44145</v>
      </c>
      <c r="N171" s="24">
        <v>188.83333333333334</v>
      </c>
      <c r="O171" s="24">
        <v>52.512499999999996</v>
      </c>
      <c r="P171" s="24">
        <v>14.235416666666666</v>
      </c>
      <c r="Q171" s="24">
        <v>0</v>
      </c>
      <c r="R171" s="24">
        <v>196.9375</v>
      </c>
      <c r="S171" s="24">
        <v>3.0833333333333335</v>
      </c>
      <c r="T171" s="24">
        <v>0.125</v>
      </c>
      <c r="U171" s="24">
        <v>3.8000000000000003</v>
      </c>
      <c r="V171" s="10">
        <v>0.92180404086401158</v>
      </c>
      <c r="W171" s="25">
        <v>0.29224999999999984</v>
      </c>
      <c r="X171" s="25">
        <v>0.40633333333333338</v>
      </c>
      <c r="Y171" s="25">
        <v>0.4685208333333335</v>
      </c>
      <c r="Z171" s="25">
        <v>0.49091666666666667</v>
      </c>
      <c r="AA171" s="25">
        <v>0.47760416666666655</v>
      </c>
      <c r="AB171" s="25">
        <v>0.37916666666666649</v>
      </c>
      <c r="AC171" s="25">
        <v>0.37583333333333319</v>
      </c>
      <c r="AD171" s="25">
        <v>0.32958333333333345</v>
      </c>
      <c r="AE171" s="25">
        <v>0.35358536585365852</v>
      </c>
      <c r="AF171" s="25">
        <v>0.1613333333333333</v>
      </c>
      <c r="AG171" s="25">
        <v>0.26737499999999986</v>
      </c>
      <c r="AH171" s="28">
        <f t="shared" si="18"/>
        <v>0.3849270833333332</v>
      </c>
      <c r="AI171" s="28">
        <f t="shared" si="19"/>
        <v>0.4083923611111111</v>
      </c>
      <c r="AJ171" s="28">
        <f t="shared" si="20"/>
        <v>0.40412594696969695</v>
      </c>
    </row>
    <row r="172" spans="1:36" x14ac:dyDescent="0.25">
      <c r="A172" s="9">
        <v>44146</v>
      </c>
      <c r="B172" s="3">
        <v>198.67318227012871</v>
      </c>
      <c r="C172" s="3">
        <v>366.83150138054287</v>
      </c>
      <c r="D172" s="3">
        <v>417.9355292813745</v>
      </c>
      <c r="E172" s="3">
        <v>623.37245852771935</v>
      </c>
      <c r="F172" s="2">
        <v>214.42438565458366</v>
      </c>
      <c r="G172" s="3">
        <v>345.21803616429804</v>
      </c>
      <c r="H172" s="3">
        <v>209.35792389629336</v>
      </c>
      <c r="I172" s="3">
        <v>643.10405776135519</v>
      </c>
      <c r="J172" s="3">
        <f t="shared" si="15"/>
        <v>0.46253968875301499</v>
      </c>
      <c r="K172" s="3">
        <f t="shared" si="16"/>
        <v>0.59166876423943371</v>
      </c>
      <c r="L172" s="3">
        <f t="shared" si="17"/>
        <v>0.45091444041586431</v>
      </c>
      <c r="M172" s="23">
        <v>44146</v>
      </c>
      <c r="N172" s="24">
        <v>188.16666666666666</v>
      </c>
      <c r="O172" s="24">
        <v>54.120833333333316</v>
      </c>
      <c r="P172" s="24">
        <v>14.010416666666666</v>
      </c>
      <c r="Q172" s="24">
        <v>0</v>
      </c>
      <c r="R172" s="24">
        <v>209.125</v>
      </c>
      <c r="S172" s="24">
        <v>2.3958333333333335</v>
      </c>
      <c r="T172" s="24">
        <v>0</v>
      </c>
      <c r="U172" s="24">
        <v>4.2250000000000014</v>
      </c>
      <c r="V172" s="10">
        <v>0.87638695739803463</v>
      </c>
      <c r="W172" s="25">
        <v>0.28337500000000004</v>
      </c>
      <c r="X172" s="25">
        <v>0.39602083333333332</v>
      </c>
      <c r="Y172" s="25">
        <v>0.45893749999999955</v>
      </c>
      <c r="Z172" s="25">
        <v>0.48331250000000009</v>
      </c>
      <c r="AA172" s="25">
        <v>0.46897916666666667</v>
      </c>
      <c r="AB172" s="25">
        <v>0.3688958333333332</v>
      </c>
      <c r="AC172" s="25">
        <v>0.36783333333333346</v>
      </c>
      <c r="AD172" s="25">
        <v>0.32352083333333326</v>
      </c>
      <c r="AE172" s="25">
        <v>0.33595454545454545</v>
      </c>
      <c r="AF172" s="25">
        <v>0.1529166666666667</v>
      </c>
      <c r="AG172" s="25">
        <v>0.25183333333333324</v>
      </c>
      <c r="AH172" s="28">
        <f t="shared" si="18"/>
        <v>0.37617708333333333</v>
      </c>
      <c r="AI172" s="28">
        <f t="shared" si="19"/>
        <v>0.39975347222222207</v>
      </c>
      <c r="AJ172" s="28">
        <f t="shared" si="20"/>
        <v>0.39546685606060594</v>
      </c>
    </row>
    <row r="173" spans="1:36" x14ac:dyDescent="0.25">
      <c r="A173" s="9">
        <v>44147</v>
      </c>
      <c r="B173" s="3">
        <v>189.47253000893545</v>
      </c>
      <c r="C173" s="3">
        <v>321.9206066505094</v>
      </c>
      <c r="D173" s="3">
        <v>389.25703356986105</v>
      </c>
      <c r="E173" s="3">
        <v>609.70628959054636</v>
      </c>
      <c r="F173" s="2">
        <v>234.98445807690712</v>
      </c>
      <c r="G173" s="3">
        <v>333.14901872657629</v>
      </c>
      <c r="H173" s="3">
        <v>229.43219886438891</v>
      </c>
      <c r="I173" s="3">
        <v>580.19279061127952</v>
      </c>
      <c r="J173" s="3">
        <f t="shared" si="15"/>
        <v>0.43037986741219447</v>
      </c>
      <c r="K173" s="3">
        <f t="shared" si="16"/>
        <v>0.5778104182283188</v>
      </c>
      <c r="L173" s="3">
        <f t="shared" si="17"/>
        <v>0.4349745435362114</v>
      </c>
      <c r="M173" s="23">
        <v>44147</v>
      </c>
      <c r="N173" s="24">
        <v>173.72916666666666</v>
      </c>
      <c r="O173" s="24">
        <v>59.677083333333336</v>
      </c>
      <c r="P173" s="24">
        <v>14.272916666666665</v>
      </c>
      <c r="Q173" s="24">
        <v>0</v>
      </c>
      <c r="R173" s="24">
        <v>204.9375</v>
      </c>
      <c r="S173" s="24">
        <v>1.1041666666666667</v>
      </c>
      <c r="T173" s="24">
        <v>0</v>
      </c>
      <c r="U173" s="24">
        <v>5.9375</v>
      </c>
      <c r="V173" s="10">
        <v>0.79878502173037358</v>
      </c>
      <c r="W173" s="25">
        <v>0.27672916666666669</v>
      </c>
      <c r="X173" s="25">
        <v>0.38714583333333347</v>
      </c>
      <c r="Y173" s="25">
        <v>0.45145833333333335</v>
      </c>
      <c r="Z173" s="25">
        <v>0.47633333333333305</v>
      </c>
      <c r="AA173" s="25">
        <v>0.46133333333333332</v>
      </c>
      <c r="AB173" s="25">
        <v>0.36068750000000005</v>
      </c>
      <c r="AC173" s="25">
        <v>0.36181249999999993</v>
      </c>
      <c r="AD173" s="25">
        <v>0.31837500000000024</v>
      </c>
      <c r="AE173" s="25">
        <v>0.31957446808510637</v>
      </c>
      <c r="AF173" s="25">
        <v>0.14368749999999997</v>
      </c>
      <c r="AG173" s="25">
        <v>0.23931250000000004</v>
      </c>
      <c r="AH173" s="28">
        <f t="shared" si="18"/>
        <v>0.36903125000000003</v>
      </c>
      <c r="AI173" s="28">
        <f t="shared" si="19"/>
        <v>0.39263541666666663</v>
      </c>
      <c r="AJ173" s="28">
        <f t="shared" si="20"/>
        <v>0.38834374999999999</v>
      </c>
    </row>
    <row r="174" spans="1:36" x14ac:dyDescent="0.25">
      <c r="A174" s="9">
        <v>44148</v>
      </c>
      <c r="B174" s="3">
        <v>182.52180340649571</v>
      </c>
      <c r="C174" s="3">
        <v>311.70140756977372</v>
      </c>
      <c r="D174" s="3">
        <v>379.80012991759179</v>
      </c>
      <c r="E174" s="3">
        <v>643.5504519619833</v>
      </c>
      <c r="F174" s="2">
        <v>251.44653414205521</v>
      </c>
      <c r="G174" s="3">
        <v>362.84802254419202</v>
      </c>
      <c r="H174" s="3">
        <v>245.50530574307285</v>
      </c>
      <c r="I174" s="3">
        <v>590.11655537828949</v>
      </c>
      <c r="J174" s="3">
        <f t="shared" si="15"/>
        <v>0.41977497603456776</v>
      </c>
      <c r="K174" s="3">
        <f t="shared" si="16"/>
        <v>0.61213050564681615</v>
      </c>
      <c r="L174" s="3">
        <f t="shared" si="17"/>
        <v>0.45669954598692464</v>
      </c>
      <c r="M174" s="23">
        <v>44148</v>
      </c>
      <c r="N174" s="24">
        <v>174.83333333333334</v>
      </c>
      <c r="O174" s="24">
        <v>57.379166666666691</v>
      </c>
      <c r="P174" s="24">
        <v>14.974999999999996</v>
      </c>
      <c r="Q174" s="24">
        <v>0</v>
      </c>
      <c r="R174" s="24">
        <v>214.52083333333334</v>
      </c>
      <c r="S174" s="24">
        <v>2.5416666666666665</v>
      </c>
      <c r="T174" s="24">
        <v>8.3333333333333329E-2</v>
      </c>
      <c r="U174" s="24">
        <v>5.9437499999999988</v>
      </c>
      <c r="V174" s="10">
        <v>0.86757433512385307</v>
      </c>
      <c r="W174" s="25">
        <v>0.27127083333333324</v>
      </c>
      <c r="X174" s="25">
        <v>0.3792916666666668</v>
      </c>
      <c r="Y174" s="25">
        <v>0.44477083333333328</v>
      </c>
      <c r="Z174" s="25">
        <v>0.46968749999999987</v>
      </c>
      <c r="AA174" s="25">
        <v>0.4548541666666665</v>
      </c>
      <c r="AB174" s="25">
        <v>0.3538124999999997</v>
      </c>
      <c r="AC174" s="25">
        <v>0.35627083333333309</v>
      </c>
      <c r="AD174" s="25">
        <v>0.31360416666666674</v>
      </c>
      <c r="AE174" s="25">
        <v>0.30268181818181805</v>
      </c>
      <c r="AF174" s="25">
        <v>0.13760714285714279</v>
      </c>
      <c r="AG174" s="25">
        <v>0.22868750000000007</v>
      </c>
      <c r="AH174" s="28">
        <f t="shared" si="18"/>
        <v>0.36306249999999984</v>
      </c>
      <c r="AI174" s="28">
        <f t="shared" si="19"/>
        <v>0.38623958333333325</v>
      </c>
      <c r="AJ174" s="28">
        <f t="shared" si="20"/>
        <v>0.38202556818181804</v>
      </c>
    </row>
    <row r="175" spans="1:36" x14ac:dyDescent="0.25">
      <c r="A175" s="9">
        <v>44149</v>
      </c>
      <c r="B175" s="3">
        <v>214.78421688318582</v>
      </c>
      <c r="C175" s="3">
        <v>320.95843523145879</v>
      </c>
      <c r="D175" s="3">
        <v>386.0731077623887</v>
      </c>
      <c r="E175" s="3">
        <v>698.9758656025308</v>
      </c>
      <c r="F175" s="2">
        <v>255.20393733610723</v>
      </c>
      <c r="G175" s="3">
        <v>377.51987358068959</v>
      </c>
      <c r="H175" s="3">
        <v>249.1739282719266</v>
      </c>
      <c r="I175" s="3">
        <v>548.73710926943363</v>
      </c>
      <c r="J175" s="3">
        <f t="shared" si="15"/>
        <v>0.42680944007316107</v>
      </c>
      <c r="K175" s="3">
        <f t="shared" si="16"/>
        <v>0.66833532526898387</v>
      </c>
      <c r="L175" s="3">
        <f t="shared" si="17"/>
        <v>0.44681966957970298</v>
      </c>
      <c r="M175" s="23">
        <v>44149</v>
      </c>
      <c r="N175" s="24">
        <v>180.33333333333334</v>
      </c>
      <c r="O175" s="24">
        <v>55.758333333333326</v>
      </c>
      <c r="P175" s="24">
        <v>14.16666666666667</v>
      </c>
      <c r="Q175" s="24">
        <v>0</v>
      </c>
      <c r="R175" s="24">
        <v>204.54166666666666</v>
      </c>
      <c r="S175" s="24">
        <v>3.4166666666666665</v>
      </c>
      <c r="T175" s="24">
        <v>2.0833333333333332E-2</v>
      </c>
      <c r="U175" s="24">
        <v>5.0145833333333343</v>
      </c>
      <c r="V175" s="10">
        <v>0.82272313491469917</v>
      </c>
      <c r="W175" s="25">
        <v>0.26616666666666672</v>
      </c>
      <c r="X175" s="25">
        <v>0.37116666666666648</v>
      </c>
      <c r="Y175" s="25">
        <v>0.43835416666666638</v>
      </c>
      <c r="Z175" s="25">
        <v>0.46327083333333335</v>
      </c>
      <c r="AA175" s="25">
        <v>0.44791666666666657</v>
      </c>
      <c r="AB175" s="25">
        <v>0.34770833333333334</v>
      </c>
      <c r="AC175" s="25">
        <v>0.35129166666666656</v>
      </c>
      <c r="AD175" s="25">
        <v>0.30922916666666661</v>
      </c>
      <c r="AE175" s="25">
        <v>0.28482222222222214</v>
      </c>
      <c r="AF175" s="25">
        <v>0.13144444444444447</v>
      </c>
      <c r="AG175" s="25">
        <v>0.21939583333333332</v>
      </c>
      <c r="AH175" s="28">
        <f t="shared" si="18"/>
        <v>0.35704166666666665</v>
      </c>
      <c r="AI175" s="28">
        <f t="shared" si="19"/>
        <v>0.38017013888888873</v>
      </c>
      <c r="AJ175" s="28">
        <f t="shared" si="20"/>
        <v>0.375964962121212</v>
      </c>
    </row>
    <row r="176" spans="1:36" x14ac:dyDescent="0.25">
      <c r="A176" s="9">
        <v>44150</v>
      </c>
      <c r="B176" s="3">
        <v>166.32170522237104</v>
      </c>
      <c r="C176" s="3">
        <v>315.05028657041248</v>
      </c>
      <c r="D176" s="3">
        <v>422.8916254686323</v>
      </c>
      <c r="E176" s="3">
        <v>788.92633292897824</v>
      </c>
      <c r="F176" s="2">
        <v>297.08678902966398</v>
      </c>
      <c r="G176" s="3">
        <v>428.97627865407145</v>
      </c>
      <c r="H176" s="3">
        <v>290.06716366887713</v>
      </c>
      <c r="I176" s="3">
        <v>514.95194230452057</v>
      </c>
      <c r="J176" s="3">
        <f t="shared" si="15"/>
        <v>0.46809741289355083</v>
      </c>
      <c r="K176" s="3">
        <f t="shared" si="16"/>
        <v>0.75955069848749079</v>
      </c>
      <c r="L176" s="3">
        <f t="shared" si="17"/>
        <v>0.47234352549742847</v>
      </c>
      <c r="M176" s="23">
        <v>44150</v>
      </c>
      <c r="N176" s="24">
        <v>179.0625</v>
      </c>
      <c r="O176" s="24">
        <v>66.466666666666683</v>
      </c>
      <c r="P176" s="24">
        <v>14.339583333333332</v>
      </c>
      <c r="Q176" s="24">
        <v>0</v>
      </c>
      <c r="R176" s="24">
        <v>229.9375</v>
      </c>
      <c r="S176" s="24">
        <v>5.875</v>
      </c>
      <c r="T176" s="24">
        <v>0.58333333333333337</v>
      </c>
      <c r="U176" s="24">
        <v>7.5583333333333336</v>
      </c>
      <c r="V176" s="10">
        <v>0.6816385243377111</v>
      </c>
      <c r="W176" s="25">
        <v>0.26225000000000009</v>
      </c>
      <c r="X176" s="25">
        <v>0.36399999999999993</v>
      </c>
      <c r="Y176" s="25">
        <v>0.43264583333333323</v>
      </c>
      <c r="Z176" s="25">
        <v>0.45729166666666615</v>
      </c>
      <c r="AA176" s="25">
        <v>0.442</v>
      </c>
      <c r="AB176" s="25">
        <v>0.34314583333333332</v>
      </c>
      <c r="AC176" s="25">
        <v>0.34766666666666679</v>
      </c>
      <c r="AD176" s="25">
        <v>0.30554166666666677</v>
      </c>
      <c r="AE176" s="25">
        <v>0.26734090909090891</v>
      </c>
      <c r="AF176" s="25">
        <v>0.12699999999999995</v>
      </c>
      <c r="AG176" s="25">
        <v>0.2136458333333334</v>
      </c>
      <c r="AH176" s="28">
        <f t="shared" si="18"/>
        <v>0.35212500000000002</v>
      </c>
      <c r="AI176" s="28">
        <f t="shared" si="19"/>
        <v>0.37504861111111104</v>
      </c>
      <c r="AJ176" s="28">
        <f t="shared" si="20"/>
        <v>0.37088068181818185</v>
      </c>
    </row>
    <row r="177" spans="1:36" x14ac:dyDescent="0.25">
      <c r="A177" s="9">
        <v>44306</v>
      </c>
      <c r="B177" s="3">
        <v>246.67116646679997</v>
      </c>
      <c r="C177" s="3">
        <v>263.94449512548249</v>
      </c>
      <c r="D177" s="3">
        <v>635.51835037152614</v>
      </c>
      <c r="E177" s="3">
        <v>741.58309075989246</v>
      </c>
      <c r="F177" s="2">
        <v>416.86682824900237</v>
      </c>
      <c r="G177" s="3">
        <v>349.83221089391333</v>
      </c>
      <c r="H177" s="3">
        <v>407.01701645089082</v>
      </c>
      <c r="I177" s="3">
        <v>355.7805866311345</v>
      </c>
      <c r="J177" s="3">
        <f t="shared" si="15"/>
        <v>0.70653521499959449</v>
      </c>
      <c r="K177" s="3">
        <f t="shared" si="16"/>
        <v>0.71154170384653015</v>
      </c>
      <c r="L177" s="3">
        <f t="shared" si="17"/>
        <v>0.45795000553272514</v>
      </c>
      <c r="M177" s="23">
        <v>44306</v>
      </c>
      <c r="N177" s="24">
        <v>225.1875</v>
      </c>
      <c r="O177" s="24">
        <v>78.583333333333343</v>
      </c>
      <c r="P177" s="24">
        <v>19.706250000000004</v>
      </c>
      <c r="Q177" s="24">
        <v>0.2</v>
      </c>
      <c r="R177" s="24">
        <v>231.02083333333334</v>
      </c>
      <c r="S177" s="24">
        <v>10.5</v>
      </c>
      <c r="T177" s="24">
        <v>1.5833333333333333</v>
      </c>
      <c r="U177" s="24">
        <v>15.495833333333332</v>
      </c>
      <c r="V177" s="10">
        <v>0.59292948142752588</v>
      </c>
      <c r="W177" s="25">
        <v>0.29512499999999992</v>
      </c>
      <c r="X177" s="25">
        <v>0.31541666666666685</v>
      </c>
      <c r="Y177" s="25">
        <v>0.39770833333333333</v>
      </c>
      <c r="Z177" s="25">
        <v>0.40731250000000013</v>
      </c>
      <c r="AA177" s="25">
        <v>0.46047916666666655</v>
      </c>
      <c r="AB177" s="25">
        <v>0.3120208333333333</v>
      </c>
      <c r="AC177" s="25">
        <v>0.31504166666666661</v>
      </c>
      <c r="AD177" s="25">
        <v>0.26970833333333316</v>
      </c>
      <c r="AE177" s="25">
        <v>0.38441666666666657</v>
      </c>
      <c r="AF177" s="25">
        <v>0.24732258064516127</v>
      </c>
      <c r="AG177" s="25">
        <v>0.43181250000000015</v>
      </c>
      <c r="AH177" s="28">
        <f t="shared" si="18"/>
        <v>0.37780208333333321</v>
      </c>
      <c r="AI177" s="28">
        <f t="shared" si="19"/>
        <v>0.3362013888888889</v>
      </c>
      <c r="AJ177" s="28">
        <f t="shared" si="20"/>
        <v>0.34376515151515152</v>
      </c>
    </row>
    <row r="178" spans="1:36" x14ac:dyDescent="0.25">
      <c r="A178" s="9">
        <v>44307</v>
      </c>
      <c r="B178" s="3">
        <v>270.30769598879999</v>
      </c>
      <c r="C178" s="3">
        <v>331.65979769427594</v>
      </c>
      <c r="D178" s="3">
        <v>735.62895122379325</v>
      </c>
      <c r="E178" s="3">
        <v>774.08743048799556</v>
      </c>
      <c r="F178" s="2">
        <v>408.5193758443358</v>
      </c>
      <c r="G178" s="3">
        <v>402.64586646600446</v>
      </c>
      <c r="H178" s="3">
        <v>398.86679930124563</v>
      </c>
      <c r="I178" s="3">
        <v>421.7000744585406</v>
      </c>
      <c r="J178" s="3">
        <f t="shared" si="15"/>
        <v>0.81879839191506187</v>
      </c>
      <c r="K178" s="3">
        <f t="shared" si="16"/>
        <v>0.744503127701727</v>
      </c>
      <c r="L178" s="3">
        <f t="shared" si="17"/>
        <v>0.49351463650079752</v>
      </c>
      <c r="M178" s="23">
        <v>44307</v>
      </c>
      <c r="N178" s="24">
        <v>213.125</v>
      </c>
      <c r="O178" s="24">
        <v>75.489583333333343</v>
      </c>
      <c r="P178" s="24">
        <v>20.497916666666661</v>
      </c>
      <c r="Q178" s="24">
        <v>0</v>
      </c>
      <c r="R178" s="24">
        <v>225.02083333333334</v>
      </c>
      <c r="S178" s="24">
        <v>5.166666666666667</v>
      </c>
      <c r="T178" s="24">
        <v>0.25</v>
      </c>
      <c r="U178" s="24">
        <v>15.42083333333334</v>
      </c>
      <c r="V178" s="10">
        <v>0.75340691730483433</v>
      </c>
      <c r="W178" s="25">
        <v>0.2886666666666669</v>
      </c>
      <c r="X178" s="25">
        <v>0.31852083333333353</v>
      </c>
      <c r="Y178" s="25">
        <v>0.40120833333333322</v>
      </c>
      <c r="Z178" s="25">
        <v>0.40952083333333333</v>
      </c>
      <c r="AA178" s="25">
        <v>0.45306250000000015</v>
      </c>
      <c r="AB178" s="25">
        <v>0.31535416666666671</v>
      </c>
      <c r="AC178" s="25">
        <v>0.31670833333333342</v>
      </c>
      <c r="AD178" s="25">
        <v>0.27106250000000026</v>
      </c>
      <c r="AE178" s="25">
        <v>0.37525000000000003</v>
      </c>
      <c r="AF178" s="25">
        <v>0.22109090909090912</v>
      </c>
      <c r="AG178" s="25">
        <v>0.40749999999999981</v>
      </c>
      <c r="AH178" s="28">
        <f t="shared" si="18"/>
        <v>0.3708645833333335</v>
      </c>
      <c r="AI178" s="28">
        <f t="shared" si="19"/>
        <v>0.33872916666666675</v>
      </c>
      <c r="AJ178" s="28">
        <f t="shared" si="20"/>
        <v>0.34457196969696979</v>
      </c>
    </row>
    <row r="179" spans="1:36" x14ac:dyDescent="0.25">
      <c r="A179" s="9">
        <v>44308</v>
      </c>
      <c r="B179" s="3">
        <v>326.71052411580013</v>
      </c>
      <c r="C179" s="3">
        <v>360.32714225482988</v>
      </c>
      <c r="D179" s="3">
        <v>735.33309857771008</v>
      </c>
      <c r="E179" s="3">
        <v>791.40006353503247</v>
      </c>
      <c r="F179" s="2">
        <v>416.67508791146292</v>
      </c>
      <c r="G179" s="3">
        <v>380.31499378556771</v>
      </c>
      <c r="H179" s="3">
        <v>406.82980659193805</v>
      </c>
      <c r="I179" s="3">
        <v>422.9869245072864</v>
      </c>
      <c r="J179" s="3">
        <f t="shared" si="15"/>
        <v>0.81846662527231484</v>
      </c>
      <c r="K179" s="3">
        <f t="shared" si="16"/>
        <v>0.76205921530991461</v>
      </c>
      <c r="L179" s="3">
        <f t="shared" si="17"/>
        <v>0.49255245121359237</v>
      </c>
      <c r="M179" s="23">
        <v>44308</v>
      </c>
      <c r="N179" s="24">
        <v>212.25</v>
      </c>
      <c r="O179" s="24">
        <v>75.985416666666652</v>
      </c>
      <c r="P179" s="24">
        <v>21.189583333333328</v>
      </c>
      <c r="Q179" s="24">
        <v>0</v>
      </c>
      <c r="R179" s="24">
        <v>234.70833333333334</v>
      </c>
      <c r="S179" s="24">
        <v>11.770833333333334</v>
      </c>
      <c r="T179" s="24">
        <v>2.9375</v>
      </c>
      <c r="U179" s="24">
        <v>16.458333333333329</v>
      </c>
      <c r="V179" s="10">
        <v>0.72391247983444673</v>
      </c>
      <c r="W179" s="25">
        <v>0.27839583333333345</v>
      </c>
      <c r="X179" s="25">
        <v>0.31964583333333368</v>
      </c>
      <c r="Y179" s="25">
        <v>0.40345833333333342</v>
      </c>
      <c r="Z179" s="25">
        <v>0.41112499999999996</v>
      </c>
      <c r="AA179" s="25">
        <v>0.44299999999999984</v>
      </c>
      <c r="AB179" s="25">
        <v>0.31675000000000003</v>
      </c>
      <c r="AC179" s="25">
        <v>0.31781249999999978</v>
      </c>
      <c r="AD179" s="25">
        <v>0.27197916666666683</v>
      </c>
      <c r="AE179" s="25">
        <v>0.36248936170212759</v>
      </c>
      <c r="AF179" s="25">
        <v>0.20831250000000004</v>
      </c>
      <c r="AG179" s="25">
        <v>0.38262499999999994</v>
      </c>
      <c r="AH179" s="28">
        <f t="shared" si="18"/>
        <v>0.36069791666666662</v>
      </c>
      <c r="AI179" s="28">
        <f t="shared" si="19"/>
        <v>0.34012847222222226</v>
      </c>
      <c r="AJ179" s="28">
        <f t="shared" si="20"/>
        <v>0.34386837121212122</v>
      </c>
    </row>
    <row r="180" spans="1:36" x14ac:dyDescent="0.25">
      <c r="A180" s="9">
        <v>44309</v>
      </c>
      <c r="B180" s="3">
        <v>361.5450662412</v>
      </c>
      <c r="C180" s="3">
        <v>366.24143973085194</v>
      </c>
      <c r="D180" s="3">
        <v>805.32898413079602</v>
      </c>
      <c r="E180" s="3">
        <v>859.8436306990551</v>
      </c>
      <c r="F180" s="2">
        <v>437.70093850472466</v>
      </c>
      <c r="G180" s="3">
        <v>340.09618899431371</v>
      </c>
      <c r="H180" s="3">
        <v>427.35885423230292</v>
      </c>
      <c r="I180" s="3">
        <v>343.19638650716581</v>
      </c>
      <c r="J180" s="3">
        <f t="shared" si="15"/>
        <v>0.89695941640835908</v>
      </c>
      <c r="K180" s="3">
        <f t="shared" si="16"/>
        <v>0.83146525297523155</v>
      </c>
      <c r="L180" s="3">
        <f t="shared" si="17"/>
        <v>0.46246220846619335</v>
      </c>
      <c r="M180" s="23">
        <v>44309</v>
      </c>
      <c r="N180" s="24">
        <v>205.4375</v>
      </c>
      <c r="O180" s="24">
        <v>74.037499999999994</v>
      </c>
      <c r="P180" s="24">
        <v>22.941666666666666</v>
      </c>
      <c r="Q180" s="24">
        <v>0</v>
      </c>
      <c r="R180" s="24">
        <v>232.25</v>
      </c>
      <c r="S180" s="24">
        <v>17.875</v>
      </c>
      <c r="T180" s="24">
        <v>4.645833333333333</v>
      </c>
      <c r="U180" s="24">
        <v>17.941666666666666</v>
      </c>
      <c r="V180" s="10">
        <v>0.77243083366202392</v>
      </c>
      <c r="W180" s="25">
        <v>0.26850000000000013</v>
      </c>
      <c r="X180" s="25">
        <v>0.32002083333333359</v>
      </c>
      <c r="Y180" s="25">
        <v>0.40475</v>
      </c>
      <c r="Z180" s="25">
        <v>0.41241666666666682</v>
      </c>
      <c r="AA180" s="25">
        <v>0.43339583333333298</v>
      </c>
      <c r="AB180" s="25">
        <v>0.3174791666666667</v>
      </c>
      <c r="AC180" s="25">
        <v>0.31822916666666651</v>
      </c>
      <c r="AD180" s="25">
        <v>0.27274999999999994</v>
      </c>
      <c r="AE180" s="25">
        <v>0.34608695652173915</v>
      </c>
      <c r="AF180" s="25">
        <v>0.17364705882352938</v>
      </c>
      <c r="AG180" s="25">
        <v>0.35091666666666649</v>
      </c>
      <c r="AH180" s="28">
        <f t="shared" si="18"/>
        <v>0.35094791666666658</v>
      </c>
      <c r="AI180" s="28">
        <f t="shared" si="19"/>
        <v>0.3409409722222223</v>
      </c>
      <c r="AJ180" s="28">
        <f t="shared" si="20"/>
        <v>0.34276041666666673</v>
      </c>
    </row>
    <row r="181" spans="1:36" x14ac:dyDescent="0.25">
      <c r="A181" s="9">
        <v>44310</v>
      </c>
      <c r="B181" s="3">
        <v>324.35257312440012</v>
      </c>
      <c r="C181" s="3">
        <v>336.39039549252669</v>
      </c>
      <c r="D181" s="3">
        <v>674.33871564341075</v>
      </c>
      <c r="E181" s="3">
        <v>712.6739291434908</v>
      </c>
      <c r="F181" s="2">
        <v>382.96176672287902</v>
      </c>
      <c r="G181" s="3">
        <v>277.79801574320607</v>
      </c>
      <c r="H181" s="3">
        <v>373.91307041874541</v>
      </c>
      <c r="I181" s="3">
        <v>265.05015333197514</v>
      </c>
      <c r="J181" s="3">
        <f t="shared" si="15"/>
        <v>0.75006804266558647</v>
      </c>
      <c r="K181" s="3">
        <f t="shared" si="16"/>
        <v>0.68222601439375408</v>
      </c>
      <c r="L181" s="3">
        <f t="shared" si="17"/>
        <v>0.38274590195151703</v>
      </c>
      <c r="M181" s="23">
        <v>44310</v>
      </c>
      <c r="N181" s="24">
        <v>176.47916666666666</v>
      </c>
      <c r="O181" s="24">
        <v>74.250000000000014</v>
      </c>
      <c r="P181" s="24">
        <v>22.783333333333331</v>
      </c>
      <c r="Q181" s="24">
        <v>0</v>
      </c>
      <c r="R181" s="24">
        <v>229.70833333333334</v>
      </c>
      <c r="S181" s="24">
        <v>9.0833333333333339</v>
      </c>
      <c r="T181" s="24">
        <v>0.85416666666666663</v>
      </c>
      <c r="U181" s="24">
        <v>17.681249999999999</v>
      </c>
      <c r="V181" s="10">
        <v>0.80757649764186235</v>
      </c>
      <c r="W181" s="25">
        <v>0.26141666666666669</v>
      </c>
      <c r="X181" s="25">
        <v>0.31985416666666705</v>
      </c>
      <c r="Y181" s="25">
        <v>0.4056666666666664</v>
      </c>
      <c r="Z181" s="25">
        <v>0.41285416666666669</v>
      </c>
      <c r="AA181" s="25">
        <v>0.42660416666666667</v>
      </c>
      <c r="AB181" s="25">
        <v>0.31822916666666673</v>
      </c>
      <c r="AC181" s="25">
        <v>0.31858333333333327</v>
      </c>
      <c r="AD181" s="25">
        <v>0.27306249999999987</v>
      </c>
      <c r="AE181" s="25">
        <v>0.32645833333333335</v>
      </c>
      <c r="AF181" s="25">
        <v>0.1634444444444445</v>
      </c>
      <c r="AG181" s="25">
        <v>0.31354166666666661</v>
      </c>
      <c r="AH181" s="28">
        <f t="shared" si="18"/>
        <v>0.34401041666666665</v>
      </c>
      <c r="AI181" s="28">
        <f t="shared" si="19"/>
        <v>0.34137499999999998</v>
      </c>
      <c r="AJ181" s="28">
        <f t="shared" si="20"/>
        <v>0.34185416666666663</v>
      </c>
    </row>
    <row r="182" spans="1:36" x14ac:dyDescent="0.25">
      <c r="A182" s="9">
        <v>44311</v>
      </c>
      <c r="B182" s="3">
        <v>91.147935445200005</v>
      </c>
      <c r="C182" s="3">
        <v>54.031324374771124</v>
      </c>
      <c r="D182" s="3">
        <v>199.71126143746037</v>
      </c>
      <c r="E182" s="3">
        <v>175.16062657692029</v>
      </c>
      <c r="F182" s="2">
        <v>121.77710986362824</v>
      </c>
      <c r="G182" s="3">
        <v>22.68485865292573</v>
      </c>
      <c r="H182" s="3">
        <v>118.89973624646382</v>
      </c>
      <c r="I182" s="3">
        <v>59.466045663597349</v>
      </c>
      <c r="J182" s="3">
        <f t="shared" si="15"/>
        <v>0.2178248495686802</v>
      </c>
      <c r="K182" s="3">
        <f t="shared" si="16"/>
        <v>0.13715406578914452</v>
      </c>
      <c r="L182" s="3">
        <f t="shared" si="17"/>
        <v>7.9404388871472179E-2</v>
      </c>
      <c r="M182" s="23">
        <v>44311</v>
      </c>
      <c r="N182" s="24">
        <v>50</v>
      </c>
      <c r="O182" s="24">
        <v>87.791666666666686</v>
      </c>
      <c r="P182" s="24">
        <v>15.206250000000002</v>
      </c>
      <c r="Q182" s="24">
        <v>1.1000000000000001</v>
      </c>
      <c r="R182" s="24">
        <v>227.22916666666666</v>
      </c>
      <c r="S182" s="24">
        <v>7.5</v>
      </c>
      <c r="T182" s="24">
        <v>0.20833333333333334</v>
      </c>
      <c r="U182" s="24">
        <v>13.170833333333334</v>
      </c>
      <c r="V182" s="10">
        <v>0.22118613206343452</v>
      </c>
      <c r="W182" s="25">
        <v>0.25639583333333343</v>
      </c>
      <c r="X182" s="25">
        <v>0.31877083333333339</v>
      </c>
      <c r="Y182" s="25">
        <v>0.4057083333333335</v>
      </c>
      <c r="Z182" s="25">
        <v>0.41337499999999999</v>
      </c>
      <c r="AA182" s="25">
        <v>0.42087500000000005</v>
      </c>
      <c r="AB182" s="25">
        <v>0.31862500000000005</v>
      </c>
      <c r="AC182" s="25">
        <v>0.31860416666666674</v>
      </c>
      <c r="AD182" s="25">
        <v>0.27314583333333325</v>
      </c>
      <c r="AE182" s="25">
        <v>0.3081458333333334</v>
      </c>
      <c r="AF182" s="29">
        <f>AG182*0.5711-0.0033</f>
        <v>0.15886860416666665</v>
      </c>
      <c r="AG182" s="25">
        <v>0.28395833333333326</v>
      </c>
      <c r="AH182" s="28">
        <f t="shared" si="18"/>
        <v>0.33863541666666674</v>
      </c>
      <c r="AI182" s="28">
        <f t="shared" si="19"/>
        <v>0.34137152777777785</v>
      </c>
      <c r="AJ182" s="28">
        <f t="shared" si="20"/>
        <v>0.3408740530303031</v>
      </c>
    </row>
    <row r="183" spans="1:36" x14ac:dyDescent="0.25">
      <c r="A183" s="9">
        <v>44312</v>
      </c>
      <c r="B183" s="3">
        <v>168.01772311439998</v>
      </c>
      <c r="C183" s="3">
        <v>120.36496671014278</v>
      </c>
      <c r="D183" s="3">
        <v>383.26558764851961</v>
      </c>
      <c r="E183" s="3">
        <v>396.70960222206111</v>
      </c>
      <c r="F183" s="2">
        <v>234.05087813796538</v>
      </c>
      <c r="G183" s="3">
        <v>84.159810818372364</v>
      </c>
      <c r="H183" s="3">
        <v>228.52067773673636</v>
      </c>
      <c r="I183" s="3">
        <v>147.71083544127146</v>
      </c>
      <c r="J183" s="3">
        <f t="shared" si="15"/>
        <v>0.42366111087971103</v>
      </c>
      <c r="K183" s="3">
        <f t="shared" si="16"/>
        <v>0.3618185183517787</v>
      </c>
      <c r="L183" s="3">
        <f t="shared" si="17"/>
        <v>0.19633995010686534</v>
      </c>
      <c r="M183" s="23">
        <v>44312</v>
      </c>
      <c r="N183" s="24">
        <v>100</v>
      </c>
      <c r="O183" s="24">
        <v>83.65</v>
      </c>
      <c r="P183" s="24">
        <v>14.706249999999999</v>
      </c>
      <c r="Q183" s="24">
        <v>1.9</v>
      </c>
      <c r="R183" s="24">
        <v>209.41666666666666</v>
      </c>
      <c r="S183" s="24">
        <v>4.208333333333333</v>
      </c>
      <c r="T183" s="24">
        <v>0.10416666666666667</v>
      </c>
      <c r="U183" s="24">
        <v>11.827083333333333</v>
      </c>
      <c r="V183" s="10">
        <v>0.31021412031893314</v>
      </c>
      <c r="W183" s="25">
        <v>0.2518749999999999</v>
      </c>
      <c r="X183" s="25">
        <v>0.31539583333333326</v>
      </c>
      <c r="Y183" s="25">
        <v>0.40216666666666656</v>
      </c>
      <c r="Z183" s="25">
        <v>0.41216666666666707</v>
      </c>
      <c r="AA183" s="25">
        <v>0.4146875000000001</v>
      </c>
      <c r="AB183" s="25">
        <v>0.31543749999999976</v>
      </c>
      <c r="AC183" s="25">
        <v>0.31706250000000025</v>
      </c>
      <c r="AD183" s="25">
        <v>0.27252083333333332</v>
      </c>
      <c r="AE183" s="25">
        <v>0.30562499999999992</v>
      </c>
      <c r="AF183" s="29">
        <f>AG183*0.5711-0.0033</f>
        <v>0.16916030208333332</v>
      </c>
      <c r="AG183" s="25">
        <v>0.30197916666666663</v>
      </c>
      <c r="AH183" s="28">
        <f t="shared" si="18"/>
        <v>0.33328124999999997</v>
      </c>
      <c r="AI183" s="28">
        <f t="shared" si="19"/>
        <v>0.33912500000000007</v>
      </c>
      <c r="AJ183" s="28">
        <f t="shared" si="20"/>
        <v>0.33806250000000004</v>
      </c>
    </row>
    <row r="184" spans="1:36" x14ac:dyDescent="0.25">
      <c r="A184" s="9">
        <v>44315</v>
      </c>
      <c r="B184" s="3">
        <v>255.22046749620003</v>
      </c>
      <c r="C184" s="3">
        <v>344.31351064848718</v>
      </c>
      <c r="D184" s="3">
        <v>686.9805457356282</v>
      </c>
      <c r="E184" s="3">
        <v>704.83404597885783</v>
      </c>
      <c r="F184" s="2">
        <v>449.48432624392626</v>
      </c>
      <c r="G184" s="3">
        <v>401.7261224061013</v>
      </c>
      <c r="H184" s="3">
        <v>438.86382175739726</v>
      </c>
      <c r="I184" s="3">
        <v>340.47262205889422</v>
      </c>
      <c r="J184" s="3">
        <f t="shared" si="15"/>
        <v>0.76424448348300011</v>
      </c>
      <c r="K184" s="3">
        <f t="shared" si="16"/>
        <v>0.67427588483793777</v>
      </c>
      <c r="L184" s="3">
        <f t="shared" si="17"/>
        <v>0.48541157895671661</v>
      </c>
      <c r="M184" s="23">
        <v>44315</v>
      </c>
      <c r="N184" s="24">
        <v>271.64583333333331</v>
      </c>
      <c r="O184" s="24">
        <v>65.081249999999983</v>
      </c>
      <c r="P184" s="24">
        <v>18.022916666666667</v>
      </c>
      <c r="Q184" s="24">
        <v>0.4</v>
      </c>
      <c r="R184" s="24">
        <v>215.20833333333334</v>
      </c>
      <c r="S184" s="24">
        <v>5.291666666666667</v>
      </c>
      <c r="T184" s="24">
        <v>0.4375</v>
      </c>
      <c r="U184" s="24">
        <v>10.172916666666666</v>
      </c>
      <c r="V184" s="10">
        <v>0.92031888459238065</v>
      </c>
      <c r="W184" s="25">
        <v>0.28079166666666655</v>
      </c>
      <c r="X184" s="25">
        <v>0.32004166666666684</v>
      </c>
      <c r="Y184" s="25">
        <v>0.40104166666666669</v>
      </c>
      <c r="Z184" s="25">
        <v>0.41145833333333348</v>
      </c>
      <c r="AA184" s="25">
        <v>0.44916666666666671</v>
      </c>
      <c r="AB184" s="25">
        <v>0.31768749999999996</v>
      </c>
      <c r="AC184" s="25">
        <v>0.31454166666666677</v>
      </c>
      <c r="AD184" s="25">
        <v>0.2707083333333335</v>
      </c>
      <c r="AE184" s="25">
        <v>0.38649999999999984</v>
      </c>
      <c r="AF184" s="25">
        <v>0.24363636363636365</v>
      </c>
      <c r="AG184" s="25">
        <v>0.41135416666666647</v>
      </c>
      <c r="AH184" s="28">
        <f t="shared" si="18"/>
        <v>0.36497916666666663</v>
      </c>
      <c r="AI184" s="28">
        <f t="shared" si="19"/>
        <v>0.33924652777777786</v>
      </c>
      <c r="AJ184" s="28">
        <f t="shared" si="20"/>
        <v>0.3439251893939394</v>
      </c>
    </row>
    <row r="185" spans="1:36" x14ac:dyDescent="0.25">
      <c r="A185" s="9">
        <v>44317</v>
      </c>
      <c r="B185" s="3">
        <v>239.2760938824</v>
      </c>
      <c r="C185" s="3">
        <v>369.1003772979837</v>
      </c>
      <c r="D185" s="3">
        <v>699.55537312960564</v>
      </c>
      <c r="E185" s="3">
        <v>673.752799209165</v>
      </c>
      <c r="F185" s="3">
        <v>944.00515151624575</v>
      </c>
      <c r="G185" s="3">
        <v>344.19004943495173</v>
      </c>
      <c r="H185" s="3">
        <v>403.11452477249554</v>
      </c>
      <c r="I185" s="3">
        <v>325.15608951784662</v>
      </c>
      <c r="J185" s="3">
        <f t="shared" si="15"/>
        <v>0.77834578804409027</v>
      </c>
      <c r="K185" s="3">
        <f t="shared" si="16"/>
        <v>0.64275756582904398</v>
      </c>
      <c r="L185" s="3">
        <f t="shared" si="17"/>
        <v>0.58879855414606608</v>
      </c>
      <c r="M185" s="23">
        <v>44317</v>
      </c>
      <c r="N185" s="24">
        <v>256.8125</v>
      </c>
      <c r="O185" s="24">
        <v>70.152083333333351</v>
      </c>
      <c r="P185" s="24">
        <v>20.231250000000006</v>
      </c>
      <c r="Q185" s="24">
        <v>0</v>
      </c>
      <c r="R185" s="24">
        <v>234.89583333333334</v>
      </c>
      <c r="S185" s="24">
        <v>5.083333333333333</v>
      </c>
      <c r="T185" s="24">
        <v>0.47916666666666669</v>
      </c>
      <c r="U185" s="24">
        <v>14.006250000000001</v>
      </c>
      <c r="V185" s="10">
        <v>0.89570311598521857</v>
      </c>
      <c r="W185" s="25">
        <v>0.2661666666666665</v>
      </c>
      <c r="X185" s="25">
        <v>0.32056250000000008</v>
      </c>
      <c r="Y185" s="25">
        <v>0.40204166666666663</v>
      </c>
      <c r="Z185" s="25">
        <v>0.41160416666666705</v>
      </c>
      <c r="AA185" s="25">
        <v>0.4331666666666667</v>
      </c>
      <c r="AB185" s="25">
        <v>0.31733333333333341</v>
      </c>
      <c r="AC185" s="25">
        <v>0.31541666666666646</v>
      </c>
      <c r="AD185" s="25">
        <v>0.27087500000000025</v>
      </c>
      <c r="AE185" s="25">
        <v>0.3832127659574468</v>
      </c>
      <c r="AF185" s="25">
        <v>0.22466666666666668</v>
      </c>
      <c r="AG185" s="25">
        <v>0.40058333333333351</v>
      </c>
      <c r="AH185" s="28">
        <f t="shared" si="18"/>
        <v>0.34966666666666657</v>
      </c>
      <c r="AI185" s="28">
        <f t="shared" si="19"/>
        <v>0.33963888888888899</v>
      </c>
      <c r="AJ185" s="28">
        <f t="shared" si="20"/>
        <v>0.34146212121212127</v>
      </c>
    </row>
    <row r="186" spans="1:36" x14ac:dyDescent="0.25">
      <c r="A186" s="9">
        <v>44318</v>
      </c>
      <c r="B186" s="3">
        <v>341.51864196779997</v>
      </c>
      <c r="C186" s="3">
        <v>420.4981083808392</v>
      </c>
      <c r="D186" s="3">
        <v>827.18356323414241</v>
      </c>
      <c r="E186" s="3">
        <v>757.51087206546242</v>
      </c>
      <c r="F186" s="3">
        <v>542.27472566862093</v>
      </c>
      <c r="G186" s="3">
        <v>388.41516136675574</v>
      </c>
      <c r="H186" s="3">
        <v>446.26277614694925</v>
      </c>
      <c r="I186" s="3">
        <v>331.24141952694481</v>
      </c>
      <c r="J186" s="3">
        <f t="shared" si="15"/>
        <v>0.92146695566399317</v>
      </c>
      <c r="K186" s="3">
        <f t="shared" si="16"/>
        <v>0.7276934655828825</v>
      </c>
      <c r="L186" s="3">
        <f t="shared" si="17"/>
        <v>0.50605329820106892</v>
      </c>
      <c r="M186" s="23">
        <v>44318</v>
      </c>
      <c r="N186" s="24">
        <v>230.875</v>
      </c>
      <c r="O186" s="24">
        <v>70.53125</v>
      </c>
      <c r="P186" s="24">
        <v>22.514583333333334</v>
      </c>
      <c r="Q186" s="24">
        <v>0.5</v>
      </c>
      <c r="R186" s="24">
        <v>229.8125</v>
      </c>
      <c r="S186" s="24">
        <v>12</v>
      </c>
      <c r="T186" s="24">
        <v>2.3125</v>
      </c>
      <c r="U186" s="24">
        <v>16.689583333333335</v>
      </c>
      <c r="V186" s="10">
        <v>0.87739811374063814</v>
      </c>
      <c r="W186" s="25">
        <v>0.26210416666666664</v>
      </c>
      <c r="X186" s="25">
        <v>0.32077083333333339</v>
      </c>
      <c r="Y186" s="25">
        <v>0.40314583333333337</v>
      </c>
      <c r="Z186" s="25">
        <v>0.41177083333333342</v>
      </c>
      <c r="AA186" s="25">
        <v>0.42879166666666629</v>
      </c>
      <c r="AB186" s="25">
        <v>0.31804166666666661</v>
      </c>
      <c r="AC186" s="25">
        <v>0.31597916666666687</v>
      </c>
      <c r="AD186" s="25">
        <v>0.2710000000000003</v>
      </c>
      <c r="AE186" s="25">
        <v>0.36851063829787228</v>
      </c>
      <c r="AF186" s="25">
        <v>0.20200000000000001</v>
      </c>
      <c r="AG186" s="25">
        <v>0.3713541666666666</v>
      </c>
      <c r="AH186" s="28">
        <f t="shared" si="18"/>
        <v>0.34544791666666647</v>
      </c>
      <c r="AI186" s="28">
        <f t="shared" si="19"/>
        <v>0.34011805555555563</v>
      </c>
      <c r="AJ186" s="28">
        <f t="shared" si="20"/>
        <v>0.34108712121212126</v>
      </c>
    </row>
    <row r="187" spans="1:36" x14ac:dyDescent="0.25">
      <c r="A187" s="9">
        <v>44324</v>
      </c>
      <c r="B187" s="3">
        <v>161.18505113399999</v>
      </c>
      <c r="C187" s="3">
        <v>291.32394396313435</v>
      </c>
      <c r="D187" s="3">
        <v>573.2443639868128</v>
      </c>
      <c r="E187" s="3">
        <v>529.83308722388654</v>
      </c>
      <c r="F187" s="3">
        <v>370.75391375024765</v>
      </c>
      <c r="G187" s="3">
        <v>318.3489759214421</v>
      </c>
      <c r="H187" s="3">
        <v>345.3098512456707</v>
      </c>
      <c r="I187" s="3">
        <v>325.04587297954367</v>
      </c>
      <c r="J187" s="3">
        <f t="shared" si="15"/>
        <v>0.63670169595943615</v>
      </c>
      <c r="K187" s="3">
        <f t="shared" si="16"/>
        <v>0.49681401898126271</v>
      </c>
      <c r="L187" s="3">
        <f t="shared" si="17"/>
        <v>0.4051059968203839</v>
      </c>
      <c r="M187" s="23">
        <v>44324</v>
      </c>
      <c r="N187" s="24">
        <v>178.5</v>
      </c>
      <c r="O187" s="24">
        <v>84.104166666666671</v>
      </c>
      <c r="P187" s="24">
        <v>18.729166666666668</v>
      </c>
      <c r="Q187" s="24">
        <v>0</v>
      </c>
      <c r="R187" s="24">
        <v>225.45833333333334</v>
      </c>
      <c r="S187" s="24">
        <v>2.1875</v>
      </c>
      <c r="T187" s="24">
        <v>2.0833333333333332E-2</v>
      </c>
      <c r="U187" s="24">
        <v>15.72916666666667</v>
      </c>
      <c r="V187" s="10">
        <v>0.42596168480927338</v>
      </c>
      <c r="W187" s="25">
        <v>0.45106249999999992</v>
      </c>
      <c r="X187" s="25">
        <v>0.52460416666666643</v>
      </c>
      <c r="Y187" s="25">
        <v>0.571583333333333</v>
      </c>
      <c r="Z187" s="25">
        <v>0.58095833333333347</v>
      </c>
      <c r="AA187" s="25">
        <v>0.59264583333333276</v>
      </c>
      <c r="AB187" s="25">
        <v>0.49237499999999995</v>
      </c>
      <c r="AC187" s="25">
        <v>0.46029166666666682</v>
      </c>
      <c r="AD187" s="25">
        <v>0.39912500000000001</v>
      </c>
      <c r="AE187" s="25">
        <v>0.43304999999999988</v>
      </c>
      <c r="AF187" s="29">
        <f>AG187*0.5711-0.0033</f>
        <v>0.26735380833333322</v>
      </c>
      <c r="AG187" s="25">
        <v>0.47391666666666649</v>
      </c>
      <c r="AH187" s="28">
        <f t="shared" si="18"/>
        <v>0.52185416666666629</v>
      </c>
      <c r="AI187" s="28">
        <f t="shared" si="19"/>
        <v>0.50482291666666668</v>
      </c>
      <c r="AJ187" s="28">
        <f t="shared" si="20"/>
        <v>0.50791950757575755</v>
      </c>
    </row>
    <row r="188" spans="1:36" x14ac:dyDescent="0.25">
      <c r="A188" s="9">
        <v>44326</v>
      </c>
      <c r="B188" s="3">
        <v>243.80575932599993</v>
      </c>
      <c r="C188" s="3">
        <v>296.24802838227879</v>
      </c>
      <c r="D188" s="3">
        <v>755.62938288803082</v>
      </c>
      <c r="E188" s="3">
        <v>729.22188571833806</v>
      </c>
      <c r="F188" s="3">
        <v>470.32418209078077</v>
      </c>
      <c r="G188" s="3">
        <v>516.3865394656774</v>
      </c>
      <c r="H188" s="3">
        <v>505.70699277199623</v>
      </c>
      <c r="I188" s="3">
        <v>356.84778055068716</v>
      </c>
      <c r="J188" s="3">
        <f t="shared" si="15"/>
        <v>0.84122670599162419</v>
      </c>
      <c r="K188" s="3">
        <f t="shared" si="16"/>
        <v>0.69900667245860149</v>
      </c>
      <c r="L188" s="3">
        <f t="shared" si="17"/>
        <v>0.55042724835259493</v>
      </c>
      <c r="M188" s="23">
        <v>44326</v>
      </c>
      <c r="N188" s="24">
        <v>241.33333333333334</v>
      </c>
      <c r="O188" s="24">
        <v>73.508333333333326</v>
      </c>
      <c r="P188" s="24">
        <v>23.060416666666672</v>
      </c>
      <c r="Q188" s="24">
        <v>1.7</v>
      </c>
      <c r="R188" s="24">
        <v>226.25</v>
      </c>
      <c r="S188" s="24">
        <v>11.604166666666666</v>
      </c>
      <c r="T188" s="24">
        <v>2.1458333333333335</v>
      </c>
      <c r="U188" s="24">
        <v>17.627083333333335</v>
      </c>
      <c r="V188" s="10">
        <v>0.8621002900298288</v>
      </c>
      <c r="W188" s="25">
        <v>0.453125</v>
      </c>
      <c r="X188" s="25">
        <v>0.52310416666666693</v>
      </c>
      <c r="Y188" s="25">
        <v>0.57212499999999966</v>
      </c>
      <c r="Z188" s="25">
        <v>0.58189583333333361</v>
      </c>
      <c r="AA188" s="25">
        <v>0.59702083333333344</v>
      </c>
      <c r="AB188" s="25">
        <v>0.48922916666666655</v>
      </c>
      <c r="AC188" s="25">
        <v>0.45681250000000001</v>
      </c>
      <c r="AD188" s="25">
        <v>0.39266666666666633</v>
      </c>
      <c r="AE188" s="25">
        <v>0.43641666666666662</v>
      </c>
      <c r="AF188" s="25">
        <v>0.26193333333333341</v>
      </c>
      <c r="AG188" s="25">
        <v>0.47016666666666679</v>
      </c>
      <c r="AH188" s="28">
        <f t="shared" si="18"/>
        <v>0.52507291666666678</v>
      </c>
      <c r="AI188" s="28">
        <f t="shared" si="19"/>
        <v>0.50263888888888886</v>
      </c>
      <c r="AJ188" s="28">
        <f t="shared" si="20"/>
        <v>0.506717803030303</v>
      </c>
    </row>
    <row r="189" spans="1:36" x14ac:dyDescent="0.25">
      <c r="A189" s="9">
        <v>44330</v>
      </c>
      <c r="B189" s="3">
        <v>297.52216268040002</v>
      </c>
      <c r="C189" s="3">
        <v>345.66178145320134</v>
      </c>
      <c r="D189" s="3">
        <v>897.21534454704204</v>
      </c>
      <c r="E189" s="3">
        <v>843.64975466813235</v>
      </c>
      <c r="F189" s="3">
        <v>592.91312606754468</v>
      </c>
      <c r="G189" s="3">
        <v>603.42227180179214</v>
      </c>
      <c r="H189" s="3">
        <v>615.57747473117729</v>
      </c>
      <c r="I189" s="3">
        <v>486.69844426671995</v>
      </c>
      <c r="J189" s="3">
        <f t="shared" si="15"/>
        <v>1</v>
      </c>
      <c r="K189" s="3">
        <f t="shared" si="16"/>
        <v>0.8150436546231733</v>
      </c>
      <c r="L189" s="3">
        <f t="shared" si="17"/>
        <v>0.69364236228705256</v>
      </c>
      <c r="M189" s="23">
        <v>44330</v>
      </c>
      <c r="N189" s="24">
        <v>264.58333333333331</v>
      </c>
      <c r="O189" s="24">
        <v>68.854166666666671</v>
      </c>
      <c r="P189" s="24">
        <v>23.672916666666666</v>
      </c>
      <c r="Q189" s="24">
        <v>0</v>
      </c>
      <c r="R189" s="24">
        <v>228.9375</v>
      </c>
      <c r="S189" s="24">
        <v>21.354166666666668</v>
      </c>
      <c r="T189" s="24">
        <v>5.333333333333333</v>
      </c>
      <c r="U189" s="24">
        <v>17.460416666666664</v>
      </c>
      <c r="V189" s="10">
        <v>0.97021229785326024</v>
      </c>
      <c r="W189" s="25">
        <v>0.43183333333333335</v>
      </c>
      <c r="X189" s="25">
        <v>0.51575000000000026</v>
      </c>
      <c r="Y189" s="25">
        <v>0.56754166666666661</v>
      </c>
      <c r="Z189" s="25">
        <v>0.57837500000000031</v>
      </c>
      <c r="AA189" s="25">
        <v>0.59129166666666644</v>
      </c>
      <c r="AB189" s="25">
        <v>0.48024999999999968</v>
      </c>
      <c r="AC189" s="25">
        <v>0.46227083333333296</v>
      </c>
      <c r="AD189" s="25">
        <v>0.39610416666666687</v>
      </c>
      <c r="AE189" s="25">
        <v>0.42238636363636367</v>
      </c>
      <c r="AF189" s="25">
        <v>0.26293023255813958</v>
      </c>
      <c r="AG189" s="25">
        <v>0.44372916666666651</v>
      </c>
      <c r="AH189" s="28">
        <f t="shared" si="18"/>
        <v>0.51156249999999992</v>
      </c>
      <c r="AI189" s="28">
        <f t="shared" si="19"/>
        <v>0.50004861111111121</v>
      </c>
      <c r="AJ189" s="28">
        <f t="shared" si="20"/>
        <v>0.50214204545454555</v>
      </c>
    </row>
    <row r="190" spans="1:36" x14ac:dyDescent="0.25">
      <c r="A190" s="9">
        <v>44331</v>
      </c>
      <c r="B190" s="3">
        <v>288.77734473300012</v>
      </c>
      <c r="C190" s="3">
        <v>358.93849508437802</v>
      </c>
      <c r="D190" s="3">
        <v>845.52113467115657</v>
      </c>
      <c r="E190" s="3">
        <v>866.29560365884379</v>
      </c>
      <c r="F190" s="3">
        <v>560.7086763381941</v>
      </c>
      <c r="G190" s="3">
        <v>670.64261599357849</v>
      </c>
      <c r="H190" s="3">
        <v>616.76629852642498</v>
      </c>
      <c r="I190" s="3">
        <v>473.25677661528277</v>
      </c>
      <c r="J190" s="3">
        <f t="shared" si="15"/>
        <v>0.94203055241506517</v>
      </c>
      <c r="K190" s="3">
        <f t="shared" si="16"/>
        <v>0.83800795518696092</v>
      </c>
      <c r="L190" s="3">
        <f t="shared" si="17"/>
        <v>0.69857965372390118</v>
      </c>
      <c r="M190" s="23">
        <v>44331</v>
      </c>
      <c r="N190" s="24">
        <v>266.5</v>
      </c>
      <c r="O190" s="24">
        <v>62.62083333333333</v>
      </c>
      <c r="P190" s="24">
        <v>25.224999999999998</v>
      </c>
      <c r="Q190" s="24">
        <v>0</v>
      </c>
      <c r="R190" s="24">
        <v>230.3125</v>
      </c>
      <c r="S190" s="24">
        <v>20.958333333333332</v>
      </c>
      <c r="T190" s="24">
        <v>5.479166666666667</v>
      </c>
      <c r="U190" s="24">
        <v>17.360416666666669</v>
      </c>
      <c r="V190" s="10">
        <v>1.2866305376068625</v>
      </c>
      <c r="W190" s="25">
        <v>0.40493750000000001</v>
      </c>
      <c r="X190" s="25">
        <v>0.50077083333333328</v>
      </c>
      <c r="Y190" s="25">
        <v>0.55447916666666663</v>
      </c>
      <c r="Z190" s="25">
        <v>0.56983333333333352</v>
      </c>
      <c r="AA190" s="25">
        <v>0.58002083333333365</v>
      </c>
      <c r="AB190" s="25">
        <v>0.46708333333333302</v>
      </c>
      <c r="AC190" s="25">
        <v>0.45481250000000023</v>
      </c>
      <c r="AD190" s="25">
        <v>0.38989583333333327</v>
      </c>
      <c r="AE190" s="25">
        <v>0.39713043478260862</v>
      </c>
      <c r="AF190" s="25">
        <v>0.22960416666666672</v>
      </c>
      <c r="AG190" s="25">
        <v>0.40397916666666678</v>
      </c>
      <c r="AH190" s="28">
        <f t="shared" si="18"/>
        <v>0.4924791666666668</v>
      </c>
      <c r="AI190" s="28">
        <f t="shared" si="19"/>
        <v>0.48947916666666663</v>
      </c>
      <c r="AJ190" s="28">
        <f t="shared" si="20"/>
        <v>0.4900246212121212</v>
      </c>
    </row>
    <row r="191" spans="1:36" x14ac:dyDescent="0.25">
      <c r="A191" s="9">
        <v>44332</v>
      </c>
      <c r="B191" s="3">
        <v>246.44085966719996</v>
      </c>
      <c r="C191" s="3">
        <v>253.61349468456928</v>
      </c>
      <c r="D191" s="3">
        <v>691.30668344130913</v>
      </c>
      <c r="E191" s="3">
        <v>681.64416138616252</v>
      </c>
      <c r="F191" s="3">
        <v>416.54534898968348</v>
      </c>
      <c r="G191" s="3">
        <v>483.99868288694836</v>
      </c>
      <c r="H191" s="3">
        <v>451.31920685155285</v>
      </c>
      <c r="I191" s="3">
        <v>336.85264133115413</v>
      </c>
      <c r="J191" s="3">
        <f t="shared" si="15"/>
        <v>0.76909577753656622</v>
      </c>
      <c r="K191" s="3">
        <f t="shared" si="16"/>
        <v>0.65075989830792813</v>
      </c>
      <c r="L191" s="3">
        <f t="shared" si="17"/>
        <v>0.50170122014979279</v>
      </c>
      <c r="M191" s="23">
        <v>44332</v>
      </c>
      <c r="N191" s="24">
        <v>162.60416666666666</v>
      </c>
      <c r="O191" s="24">
        <v>74.947916666666657</v>
      </c>
      <c r="P191" s="24">
        <v>20.389583333333334</v>
      </c>
      <c r="Q191" s="24">
        <v>0</v>
      </c>
      <c r="R191" s="24">
        <v>248.10416666666666</v>
      </c>
      <c r="S191" s="24">
        <v>4.3125</v>
      </c>
      <c r="T191" s="24">
        <v>8.3333333333333329E-2</v>
      </c>
      <c r="U191" s="24">
        <v>15.668750000000001</v>
      </c>
      <c r="V191" s="10">
        <v>0.64131754936555041</v>
      </c>
      <c r="W191" s="25">
        <v>0.38045833333333334</v>
      </c>
      <c r="X191" s="25">
        <v>0.48902083333333363</v>
      </c>
      <c r="Y191" s="25">
        <v>0.54212500000000008</v>
      </c>
      <c r="Z191" s="25">
        <v>0.56168749999999967</v>
      </c>
      <c r="AA191" s="25">
        <v>0.56772916666666651</v>
      </c>
      <c r="AB191" s="25">
        <v>0.45391666666666652</v>
      </c>
      <c r="AC191" s="25">
        <v>0.44710416666666669</v>
      </c>
      <c r="AD191" s="25">
        <v>0.3838333333333333</v>
      </c>
      <c r="AE191" s="25">
        <v>0.37321951219512206</v>
      </c>
      <c r="AF191" s="25">
        <v>0.1995744680851064</v>
      </c>
      <c r="AG191" s="25">
        <v>0.35858333333333342</v>
      </c>
      <c r="AH191" s="28">
        <f t="shared" si="18"/>
        <v>0.47409374999999992</v>
      </c>
      <c r="AI191" s="28">
        <f t="shared" si="19"/>
        <v>0.47961458333333334</v>
      </c>
      <c r="AJ191" s="28">
        <f t="shared" si="20"/>
        <v>0.47861079545454549</v>
      </c>
    </row>
    <row r="192" spans="1:36" x14ac:dyDescent="0.25">
      <c r="A192" s="9">
        <v>44333</v>
      </c>
      <c r="B192" s="3">
        <v>159.70946133239997</v>
      </c>
      <c r="C192" s="3">
        <v>155.37852516867591</v>
      </c>
      <c r="D192" s="3">
        <v>529.94536938439001</v>
      </c>
      <c r="E192" s="3">
        <v>501.61324753111944</v>
      </c>
      <c r="F192" s="3">
        <v>305.67813056459516</v>
      </c>
      <c r="G192" s="3">
        <v>319.46809782587439</v>
      </c>
      <c r="H192" s="3">
        <v>364.16327987052188</v>
      </c>
      <c r="I192" s="3">
        <v>298.3774164102486</v>
      </c>
      <c r="J192" s="3">
        <f t="shared" si="15"/>
        <v>0.58814657142785087</v>
      </c>
      <c r="K192" s="3">
        <f t="shared" si="16"/>
        <v>0.46819734486882764</v>
      </c>
      <c r="L192" s="3">
        <f t="shared" si="17"/>
        <v>0.38294662124300338</v>
      </c>
      <c r="M192" s="23">
        <v>44333</v>
      </c>
      <c r="N192" s="24">
        <v>92.708333333333329</v>
      </c>
      <c r="O192" s="24">
        <v>77.316666666666649</v>
      </c>
      <c r="P192" s="24">
        <v>16.793750000000003</v>
      </c>
      <c r="Q192" s="24">
        <v>0</v>
      </c>
      <c r="R192" s="24">
        <v>226.72916666666666</v>
      </c>
      <c r="S192" s="24">
        <v>3.9375</v>
      </c>
      <c r="T192" s="24">
        <v>6.25E-2</v>
      </c>
      <c r="U192" s="24">
        <v>12.729166666666671</v>
      </c>
      <c r="V192" s="10">
        <v>0.45152235981549921</v>
      </c>
      <c r="W192" s="25">
        <v>0.35885416666666664</v>
      </c>
      <c r="X192" s="25">
        <v>0.47729166666666667</v>
      </c>
      <c r="Y192" s="25">
        <v>0.53112499999999974</v>
      </c>
      <c r="Z192" s="25">
        <v>0.55400000000000005</v>
      </c>
      <c r="AA192" s="25">
        <v>0.55387500000000012</v>
      </c>
      <c r="AB192" s="25">
        <v>0.44245833333333356</v>
      </c>
      <c r="AC192" s="25">
        <v>0.44022916666666695</v>
      </c>
      <c r="AD192" s="25">
        <v>0.37845833333333334</v>
      </c>
      <c r="AE192" s="25">
        <v>0.35529166666666656</v>
      </c>
      <c r="AF192" s="25">
        <v>0.17927083333333335</v>
      </c>
      <c r="AG192" s="25">
        <v>0.31677083333333339</v>
      </c>
      <c r="AH192" s="28">
        <f t="shared" si="18"/>
        <v>0.45636458333333341</v>
      </c>
      <c r="AI192" s="28">
        <f t="shared" si="19"/>
        <v>0.47059375000000009</v>
      </c>
      <c r="AJ192" s="28">
        <f t="shared" si="20"/>
        <v>0.46800662878787891</v>
      </c>
    </row>
    <row r="193" spans="1:36" x14ac:dyDescent="0.25">
      <c r="A193" s="9">
        <v>44334</v>
      </c>
      <c r="B193" s="3">
        <v>74.888200742400016</v>
      </c>
      <c r="C193" s="3">
        <v>74.108864100901798</v>
      </c>
      <c r="D193" s="3">
        <v>270.78283325246707</v>
      </c>
      <c r="E193" s="3">
        <v>299.15902482774169</v>
      </c>
      <c r="F193" s="3">
        <v>144.7967772505518</v>
      </c>
      <c r="G193" s="3">
        <v>121.53596631453902</v>
      </c>
      <c r="H193" s="3">
        <v>225.29123418708403</v>
      </c>
      <c r="I193" s="3">
        <v>154.90349110388749</v>
      </c>
      <c r="J193" s="3">
        <f t="shared" si="15"/>
        <v>0.29752390613615221</v>
      </c>
      <c r="K193" s="3">
        <f t="shared" si="16"/>
        <v>0.26289616042326736</v>
      </c>
      <c r="L193" s="3">
        <f t="shared" si="17"/>
        <v>0.18388354887908648</v>
      </c>
      <c r="M193" s="23">
        <v>44334</v>
      </c>
      <c r="N193" s="24">
        <v>55.479166666666664</v>
      </c>
      <c r="O193" s="24">
        <v>88.429166666666674</v>
      </c>
      <c r="P193" s="24">
        <v>15.33958333333333</v>
      </c>
      <c r="Q193" s="24">
        <v>1.5999999999999999</v>
      </c>
      <c r="R193" s="24">
        <v>257.58333333333331</v>
      </c>
      <c r="S193" s="24">
        <v>1.875</v>
      </c>
      <c r="T193" s="24">
        <v>0</v>
      </c>
      <c r="U193" s="24">
        <v>13.393750000000002</v>
      </c>
      <c r="V193" s="10">
        <v>0.21216307681241439</v>
      </c>
      <c r="W193" s="25">
        <v>0.34424999999999989</v>
      </c>
      <c r="X193" s="25">
        <v>0.46614583333333348</v>
      </c>
      <c r="Y193" s="25">
        <v>0.5222291666666663</v>
      </c>
      <c r="Z193" s="25">
        <v>0.54662500000000025</v>
      </c>
      <c r="AA193" s="25">
        <v>0.5431041666666665</v>
      </c>
      <c r="AB193" s="25">
        <v>0.43422916666666639</v>
      </c>
      <c r="AC193" s="25">
        <v>0.4348541666666666</v>
      </c>
      <c r="AD193" s="25">
        <v>0.37385416666666665</v>
      </c>
      <c r="AE193" s="25">
        <v>0.34468750000000009</v>
      </c>
      <c r="AF193" s="25">
        <v>0.16945833333333324</v>
      </c>
      <c r="AG193" s="25">
        <v>0.29245833333333332</v>
      </c>
      <c r="AH193" s="28">
        <f t="shared" si="18"/>
        <v>0.44367708333333322</v>
      </c>
      <c r="AI193" s="28">
        <f t="shared" si="19"/>
        <v>0.46298958333333334</v>
      </c>
      <c r="AJ193" s="28">
        <f t="shared" si="20"/>
        <v>0.45947821969696967</v>
      </c>
    </row>
    <row r="194" spans="1:36" x14ac:dyDescent="0.25">
      <c r="A194" s="9">
        <v>44336</v>
      </c>
      <c r="B194" s="3">
        <v>55.764201015000005</v>
      </c>
      <c r="C194" s="3">
        <v>29.446713195969838</v>
      </c>
      <c r="D194" s="3">
        <v>198.08912423522889</v>
      </c>
      <c r="E194" s="3">
        <v>222.75195394367273</v>
      </c>
      <c r="F194" s="3">
        <v>159.80679640464368</v>
      </c>
      <c r="G194" s="3">
        <v>114.43535554250741</v>
      </c>
      <c r="H194" s="3">
        <v>213.65898438424514</v>
      </c>
      <c r="I194" s="3">
        <v>142.21977124257825</v>
      </c>
      <c r="J194" s="3">
        <f t="shared" si="15"/>
        <v>0.21600579869729442</v>
      </c>
      <c r="K194" s="3">
        <f t="shared" si="16"/>
        <v>0.18541463426365756</v>
      </c>
      <c r="L194" s="3">
        <f t="shared" si="17"/>
        <v>0.17745506665993896</v>
      </c>
      <c r="M194" s="23">
        <v>44336</v>
      </c>
      <c r="N194" s="24">
        <v>62.9375</v>
      </c>
      <c r="O194" s="24">
        <v>89.324999999999974</v>
      </c>
      <c r="P194" s="24">
        <v>16.952083333333327</v>
      </c>
      <c r="Q194" s="24">
        <v>0.89999999999999991</v>
      </c>
      <c r="R194" s="24">
        <v>241.6875</v>
      </c>
      <c r="S194" s="24">
        <v>1.5833333333333333</v>
      </c>
      <c r="T194" s="24">
        <v>0</v>
      </c>
      <c r="U194" s="24">
        <v>15.125</v>
      </c>
      <c r="V194" s="10">
        <v>0.22169648764559269</v>
      </c>
      <c r="W194" s="25">
        <v>0.33070833333333316</v>
      </c>
      <c r="X194" s="25">
        <v>0.45235416666666683</v>
      </c>
      <c r="Y194" s="25">
        <v>0.51110416666666636</v>
      </c>
      <c r="Z194" s="25">
        <v>0.53537500000000049</v>
      </c>
      <c r="AA194" s="25">
        <v>0.53150000000000008</v>
      </c>
      <c r="AB194" s="25">
        <v>0.42527083333333288</v>
      </c>
      <c r="AC194" s="25">
        <v>0.42700000000000027</v>
      </c>
      <c r="AD194" s="25">
        <v>0.36693749999999997</v>
      </c>
      <c r="AE194" s="25">
        <v>0.3443958333333334</v>
      </c>
      <c r="AF194" s="25">
        <v>0.16343750000000004</v>
      </c>
      <c r="AG194" s="25">
        <v>0.2758333333333336</v>
      </c>
      <c r="AH194" s="28">
        <f t="shared" si="18"/>
        <v>0.43110416666666662</v>
      </c>
      <c r="AI194" s="28">
        <f t="shared" si="19"/>
        <v>0.45300694444444445</v>
      </c>
      <c r="AJ194" s="28">
        <f t="shared" si="20"/>
        <v>0.44902462121212122</v>
      </c>
    </row>
    <row r="195" spans="1:36" x14ac:dyDescent="0.25">
      <c r="A195" s="9">
        <v>44337</v>
      </c>
      <c r="B195" s="3">
        <v>126.91929357000002</v>
      </c>
      <c r="C195" s="3">
        <v>94.600031833113263</v>
      </c>
      <c r="D195" s="3">
        <v>349.7683552825564</v>
      </c>
      <c r="E195" s="3">
        <v>346.78742666316657</v>
      </c>
      <c r="F195" s="3">
        <v>209.32574004682695</v>
      </c>
      <c r="G195" s="3">
        <v>186.1809351728549</v>
      </c>
      <c r="H195" s="3">
        <v>244.75604370054339</v>
      </c>
      <c r="I195" s="3">
        <v>168.52099226526838</v>
      </c>
      <c r="J195" s="3">
        <f t="shared" si="15"/>
        <v>0.38609759921097164</v>
      </c>
      <c r="K195" s="3">
        <f t="shared" si="16"/>
        <v>0.31119432471687236</v>
      </c>
      <c r="L195" s="3">
        <f t="shared" si="17"/>
        <v>0.23111454159440623</v>
      </c>
      <c r="M195" s="23">
        <v>44337</v>
      </c>
      <c r="N195" s="24">
        <v>94.145833333333329</v>
      </c>
      <c r="O195" s="24">
        <v>90.856249999999989</v>
      </c>
      <c r="P195" s="24">
        <v>19.302083333333332</v>
      </c>
      <c r="Q195" s="24">
        <v>1.7</v>
      </c>
      <c r="R195" s="24">
        <v>224.04166666666666</v>
      </c>
      <c r="S195" s="24">
        <v>5</v>
      </c>
      <c r="T195" s="24">
        <v>0.27083333333333331</v>
      </c>
      <c r="U195" s="24">
        <v>17.691666666666666</v>
      </c>
      <c r="V195" s="10">
        <v>0.23879053316008267</v>
      </c>
      <c r="W195" s="25">
        <v>0.32566666666666649</v>
      </c>
      <c r="X195" s="25">
        <v>0.44672916666666646</v>
      </c>
      <c r="Y195" s="25">
        <v>0.50597916666666631</v>
      </c>
      <c r="Z195" s="25">
        <v>0.53045833333333359</v>
      </c>
      <c r="AA195" s="25">
        <v>0.52687499999999976</v>
      </c>
      <c r="AB195" s="25">
        <v>0.42108333333333348</v>
      </c>
      <c r="AC195" s="25">
        <v>0.42329166666666701</v>
      </c>
      <c r="AD195" s="25">
        <v>0.36362500000000025</v>
      </c>
      <c r="AE195" s="25">
        <v>0.34213333333333323</v>
      </c>
      <c r="AF195" s="25">
        <v>0.1633125</v>
      </c>
      <c r="AG195" s="25">
        <v>0.27177083333333329</v>
      </c>
      <c r="AH195" s="28">
        <f t="shared" si="18"/>
        <v>0.42627083333333315</v>
      </c>
      <c r="AI195" s="28">
        <f t="shared" si="19"/>
        <v>0.44852777777777786</v>
      </c>
      <c r="AJ195" s="28">
        <f t="shared" si="20"/>
        <v>0.44448106060606063</v>
      </c>
    </row>
    <row r="196" spans="1:36" x14ac:dyDescent="0.25">
      <c r="A196" s="9">
        <v>44341</v>
      </c>
      <c r="B196" s="3">
        <v>235.8290768796</v>
      </c>
      <c r="C196" s="3">
        <v>238.37736270614462</v>
      </c>
      <c r="D196" s="3">
        <v>567.69587194735573</v>
      </c>
      <c r="E196" s="3">
        <v>615.64462698857812</v>
      </c>
      <c r="F196" s="3">
        <v>375.12017746840161</v>
      </c>
      <c r="G196" s="3">
        <v>372.86880684442275</v>
      </c>
      <c r="H196" s="3">
        <v>410.45069990653911</v>
      </c>
      <c r="I196" s="3">
        <v>360.7046582810645</v>
      </c>
      <c r="J196" s="3">
        <f t="shared" si="15"/>
        <v>0.63047966414525469</v>
      </c>
      <c r="K196" s="3">
        <f t="shared" si="16"/>
        <v>0.58383226200699612</v>
      </c>
      <c r="L196" s="3">
        <f t="shared" si="17"/>
        <v>0.45582879946828225</v>
      </c>
      <c r="M196" s="23">
        <v>44341</v>
      </c>
      <c r="N196" s="24">
        <v>150.5625</v>
      </c>
      <c r="O196" s="24">
        <v>85.925000000000011</v>
      </c>
      <c r="P196" s="24">
        <v>18.237499999999994</v>
      </c>
      <c r="Q196" s="24">
        <v>0.2</v>
      </c>
      <c r="R196" s="24">
        <v>234.39583333333334</v>
      </c>
      <c r="S196" s="24">
        <v>8.3125</v>
      </c>
      <c r="T196" s="24">
        <v>1.25</v>
      </c>
      <c r="U196" s="24">
        <v>15.737499999999999</v>
      </c>
      <c r="V196" s="10">
        <v>0.33401848595008427</v>
      </c>
      <c r="W196" s="25">
        <v>0.43491666666666656</v>
      </c>
      <c r="X196" s="25">
        <v>0.5167708333333334</v>
      </c>
      <c r="Y196" s="25">
        <v>0.56693749999999954</v>
      </c>
      <c r="Z196" s="25">
        <v>0.57904166666666657</v>
      </c>
      <c r="AA196" s="25">
        <v>0.59160416666666638</v>
      </c>
      <c r="AB196" s="25">
        <v>0.47925000000000018</v>
      </c>
      <c r="AC196" s="25">
        <v>0.46089583333333328</v>
      </c>
      <c r="AD196" s="25">
        <v>0.39579166666666654</v>
      </c>
      <c r="AE196" s="25">
        <v>0.42957142857142838</v>
      </c>
      <c r="AF196" s="25">
        <v>0.27241666666666664</v>
      </c>
      <c r="AG196" s="25">
        <v>0.4575833333333334</v>
      </c>
      <c r="AH196" s="28">
        <f t="shared" si="18"/>
        <v>0.51326041666666644</v>
      </c>
      <c r="AI196" s="28">
        <f t="shared" si="19"/>
        <v>0.49978124999999984</v>
      </c>
      <c r="AJ196" s="28">
        <f t="shared" si="20"/>
        <v>0.50223200757575737</v>
      </c>
    </row>
    <row r="197" spans="1:36" x14ac:dyDescent="0.25">
      <c r="A197" s="9">
        <v>44342</v>
      </c>
      <c r="B197" s="3">
        <v>90.766850405399978</v>
      </c>
      <c r="C197" s="3">
        <v>83.083442413213504</v>
      </c>
      <c r="D197" s="3">
        <v>250.33328654953786</v>
      </c>
      <c r="E197" s="3">
        <v>277.87534348323095</v>
      </c>
      <c r="F197" s="3">
        <v>192.31005004685909</v>
      </c>
      <c r="G197" s="3">
        <v>171.41723557507086</v>
      </c>
      <c r="H197" s="3">
        <v>242.04403486243223</v>
      </c>
      <c r="I197" s="3">
        <v>176.71072731464028</v>
      </c>
      <c r="J197" s="3">
        <f t="shared" si="15"/>
        <v>0.2745919582724104</v>
      </c>
      <c r="K197" s="3">
        <f t="shared" si="16"/>
        <v>0.24131318264664714</v>
      </c>
      <c r="L197" s="3">
        <f t="shared" si="17"/>
        <v>0.22465253840208077</v>
      </c>
      <c r="M197" s="23">
        <v>44342</v>
      </c>
      <c r="N197" s="24">
        <v>75.145833333333329</v>
      </c>
      <c r="O197" s="24">
        <v>86.354166666666686</v>
      </c>
      <c r="P197" s="24">
        <v>18.637499999999999</v>
      </c>
      <c r="Q197" s="24">
        <v>0</v>
      </c>
      <c r="R197" s="24">
        <v>202.04166666666666</v>
      </c>
      <c r="S197" s="24">
        <v>7.5625</v>
      </c>
      <c r="T197" s="24">
        <v>0.875</v>
      </c>
      <c r="U197" s="24">
        <v>16.295833333333338</v>
      </c>
      <c r="V197" s="10">
        <v>0.29956941709796914</v>
      </c>
      <c r="W197" s="25">
        <v>0.42343750000000019</v>
      </c>
      <c r="X197" s="25">
        <v>0.5083958333333336</v>
      </c>
      <c r="Y197" s="25">
        <v>0.56199999999999994</v>
      </c>
      <c r="Z197" s="25">
        <v>0.57495833333333402</v>
      </c>
      <c r="AA197" s="25">
        <v>0.58822916666666647</v>
      </c>
      <c r="AB197" s="25">
        <v>0.47420833333333312</v>
      </c>
      <c r="AC197" s="25">
        <v>0.45922916666666658</v>
      </c>
      <c r="AD197" s="25">
        <v>0.39347916666666705</v>
      </c>
      <c r="AE197" s="25">
        <v>0.41952272727272727</v>
      </c>
      <c r="AF197" s="25">
        <v>0.25979166666666681</v>
      </c>
      <c r="AG197" s="25">
        <v>0.4360208333333333</v>
      </c>
      <c r="AH197" s="28">
        <f t="shared" si="18"/>
        <v>0.50583333333333336</v>
      </c>
      <c r="AI197" s="28">
        <f t="shared" si="19"/>
        <v>0.49537847222222248</v>
      </c>
      <c r="AJ197" s="28">
        <f t="shared" si="20"/>
        <v>0.49727935606060625</v>
      </c>
    </row>
    <row r="198" spans="1:36" x14ac:dyDescent="0.25">
      <c r="A198" s="9">
        <v>44343</v>
      </c>
      <c r="B198" s="3">
        <v>318.49113533040003</v>
      </c>
      <c r="C198" s="3">
        <v>334.52967410293735</v>
      </c>
      <c r="D198" s="3">
        <v>707.20352735867982</v>
      </c>
      <c r="E198" s="3">
        <v>720.89835708045086</v>
      </c>
      <c r="F198" s="3">
        <v>481.00526358114524</v>
      </c>
      <c r="G198" s="3">
        <v>460.56597551482514</v>
      </c>
      <c r="H198" s="3">
        <v>487.11656032197988</v>
      </c>
      <c r="I198" s="3">
        <v>393.72842515789375</v>
      </c>
      <c r="J198" s="3">
        <f t="shared" si="15"/>
        <v>0.78692236319183495</v>
      </c>
      <c r="K198" s="3">
        <f t="shared" si="16"/>
        <v>0.69056609628633536</v>
      </c>
      <c r="L198" s="3">
        <f t="shared" si="17"/>
        <v>0.54640913393607704</v>
      </c>
      <c r="M198" s="23">
        <v>44343</v>
      </c>
      <c r="N198" s="24">
        <v>211.5</v>
      </c>
      <c r="O198" s="24">
        <v>74.420833333333334</v>
      </c>
      <c r="P198" s="24">
        <v>19.979166666666668</v>
      </c>
      <c r="Q198" s="24">
        <v>0.2</v>
      </c>
      <c r="R198" s="24">
        <v>231.0625</v>
      </c>
      <c r="S198" s="24">
        <v>2.9166666666666665</v>
      </c>
      <c r="T198" s="24">
        <v>0.14583333333333334</v>
      </c>
      <c r="U198" s="24">
        <v>14.891666666666666</v>
      </c>
      <c r="V198" s="10">
        <v>0.71151823132263481</v>
      </c>
      <c r="W198" s="25">
        <v>0.41083333333333333</v>
      </c>
      <c r="X198" s="25">
        <v>0.50079166666666619</v>
      </c>
      <c r="Y198" s="25">
        <v>0.55572916666666661</v>
      </c>
      <c r="Z198" s="25">
        <v>0.57085416666666655</v>
      </c>
      <c r="AA198" s="25">
        <v>0.58135416666666639</v>
      </c>
      <c r="AB198" s="25">
        <v>0.46829166666666655</v>
      </c>
      <c r="AC198" s="25">
        <v>0.45622916666666707</v>
      </c>
      <c r="AD198" s="25">
        <v>0.39100000000000018</v>
      </c>
      <c r="AE198" s="25">
        <v>0.40577500000000005</v>
      </c>
      <c r="AF198" s="25">
        <v>0.2468541666666666</v>
      </c>
      <c r="AG198" s="25">
        <v>0.41493749999999996</v>
      </c>
      <c r="AH198" s="28">
        <f t="shared" si="18"/>
        <v>0.49609374999999989</v>
      </c>
      <c r="AI198" s="28">
        <f t="shared" si="19"/>
        <v>0.49048263888888882</v>
      </c>
      <c r="AJ198" s="28">
        <f t="shared" si="20"/>
        <v>0.49150284090909091</v>
      </c>
    </row>
    <row r="199" spans="1:36" x14ac:dyDescent="0.25">
      <c r="A199" s="9">
        <v>44352</v>
      </c>
      <c r="B199" s="3">
        <v>149.67004008239999</v>
      </c>
      <c r="C199" s="3">
        <v>285.71373469219157</v>
      </c>
      <c r="D199" s="3">
        <v>695.12950479860604</v>
      </c>
      <c r="E199" s="3">
        <v>762.5706126687146</v>
      </c>
      <c r="F199" s="3">
        <v>555.77207332490775</v>
      </c>
      <c r="G199" s="3">
        <v>582.86709654019478</v>
      </c>
      <c r="H199" s="3">
        <v>411.62192544489585</v>
      </c>
      <c r="I199" s="3">
        <v>423.13480087620468</v>
      </c>
      <c r="J199" s="3">
        <f t="shared" si="15"/>
        <v>0.77338265691494257</v>
      </c>
      <c r="K199" s="3">
        <f t="shared" si="16"/>
        <v>0.73282435751965824</v>
      </c>
      <c r="L199" s="3">
        <f t="shared" si="17"/>
        <v>0.5888968658963547</v>
      </c>
      <c r="M199" s="23">
        <v>44352</v>
      </c>
      <c r="N199" s="24">
        <v>272</v>
      </c>
      <c r="O199" s="24">
        <v>65.266666666666666</v>
      </c>
      <c r="P199" s="24">
        <v>20.96875</v>
      </c>
      <c r="Q199" s="24">
        <v>0</v>
      </c>
      <c r="R199" s="24">
        <v>233.14583333333334</v>
      </c>
      <c r="S199" s="24">
        <v>1.25</v>
      </c>
      <c r="T199" s="24">
        <v>0</v>
      </c>
      <c r="U199" s="24">
        <v>13.647916666666669</v>
      </c>
      <c r="V199" s="10">
        <v>1.038758515438118</v>
      </c>
      <c r="W199" s="25">
        <v>0.43602083333333325</v>
      </c>
      <c r="X199" s="25">
        <v>0.51312500000000028</v>
      </c>
      <c r="Y199" s="25">
        <v>0.56702083333333342</v>
      </c>
      <c r="Z199" s="25">
        <v>0.58202083333333299</v>
      </c>
      <c r="AA199" s="25">
        <v>0.58814583333333303</v>
      </c>
      <c r="AB199" s="25">
        <v>0.4791458333333331</v>
      </c>
      <c r="AC199" s="25">
        <v>0.4648958333333329</v>
      </c>
      <c r="AD199" s="25">
        <v>0.39870833333333344</v>
      </c>
      <c r="AE199" s="25">
        <v>0.42617142857142859</v>
      </c>
      <c r="AF199" s="25">
        <v>0.26634782608695656</v>
      </c>
      <c r="AG199" s="25">
        <v>0.4499583333333334</v>
      </c>
      <c r="AH199" s="28">
        <f t="shared" si="18"/>
        <v>0.51208333333333311</v>
      </c>
      <c r="AI199" s="28">
        <f t="shared" si="19"/>
        <v>0.50081944444444437</v>
      </c>
      <c r="AJ199" s="28">
        <f t="shared" si="20"/>
        <v>0.50286742424242414</v>
      </c>
    </row>
    <row r="200" spans="1:36" x14ac:dyDescent="0.25">
      <c r="A200" s="9">
        <v>44353</v>
      </c>
      <c r="B200" s="3">
        <v>178.26228531719997</v>
      </c>
      <c r="C200" s="3">
        <v>297.52354796467415</v>
      </c>
      <c r="D200" s="3">
        <v>628.88361998609287</v>
      </c>
      <c r="E200" s="3">
        <v>742.52645369416064</v>
      </c>
      <c r="F200" s="3">
        <v>459.29136696555963</v>
      </c>
      <c r="G200" s="3">
        <v>568.42635017360283</v>
      </c>
      <c r="H200" s="3">
        <v>407.65415265437639</v>
      </c>
      <c r="I200" s="3">
        <v>375.72684665350937</v>
      </c>
      <c r="J200" s="3">
        <f t="shared" si="15"/>
        <v>0.69909508473661186</v>
      </c>
      <c r="K200" s="3">
        <f t="shared" si="16"/>
        <v>0.71249833258551698</v>
      </c>
      <c r="L200" s="3">
        <f t="shared" si="17"/>
        <v>0.53848223876447865</v>
      </c>
      <c r="M200" s="23">
        <v>44353</v>
      </c>
      <c r="N200" s="24">
        <v>284.9375</v>
      </c>
      <c r="O200" s="24">
        <v>57.722916666666663</v>
      </c>
      <c r="P200" s="24">
        <v>22.370833333333337</v>
      </c>
      <c r="Q200" s="24">
        <v>0</v>
      </c>
      <c r="R200" s="24">
        <v>222.375</v>
      </c>
      <c r="S200" s="24">
        <v>4.354166666666667</v>
      </c>
      <c r="T200" s="24">
        <v>0.41666666666666669</v>
      </c>
      <c r="U200" s="24">
        <v>12.360416666666667</v>
      </c>
      <c r="V200" s="10">
        <v>1.3816618538163958</v>
      </c>
      <c r="W200" s="25">
        <v>0.41360416666666661</v>
      </c>
      <c r="X200" s="25">
        <v>0.50235416666666655</v>
      </c>
      <c r="Y200" s="25">
        <v>0.55622916666666677</v>
      </c>
      <c r="Z200" s="25">
        <v>0.57408333333333317</v>
      </c>
      <c r="AA200" s="25">
        <v>0.57845833333333319</v>
      </c>
      <c r="AB200" s="25">
        <v>0.46774999999999994</v>
      </c>
      <c r="AC200" s="25">
        <v>0.45775000000000038</v>
      </c>
      <c r="AD200" s="25">
        <v>0.3928541666666665</v>
      </c>
      <c r="AE200" s="25">
        <v>0.40740476190476194</v>
      </c>
      <c r="AF200" s="25">
        <v>0.24445454545454545</v>
      </c>
      <c r="AG200" s="25">
        <v>0.41877083333333348</v>
      </c>
      <c r="AH200" s="28">
        <f t="shared" si="18"/>
        <v>0.49603124999999992</v>
      </c>
      <c r="AI200" s="28">
        <f t="shared" si="19"/>
        <v>0.49183680555555559</v>
      </c>
      <c r="AJ200" s="28">
        <f t="shared" si="20"/>
        <v>0.49259943181818178</v>
      </c>
    </row>
    <row r="201" spans="1:36" x14ac:dyDescent="0.25">
      <c r="A201" s="9">
        <v>44354</v>
      </c>
      <c r="B201" s="3">
        <v>132.33146538060004</v>
      </c>
      <c r="C201" s="3">
        <v>253.37696008342152</v>
      </c>
      <c r="D201" s="3">
        <v>644.30013451947116</v>
      </c>
      <c r="E201" s="3">
        <v>743.35567894120788</v>
      </c>
      <c r="F201" s="3">
        <v>466.7443231913133</v>
      </c>
      <c r="G201" s="3">
        <v>518.85736421003446</v>
      </c>
      <c r="H201" s="3">
        <v>417.40701315504396</v>
      </c>
      <c r="I201" s="3">
        <v>337.22349854010037</v>
      </c>
      <c r="J201" s="3">
        <f t="shared" ref="J201:J264" si="21">(D201-$D$2)/$D$1</f>
        <v>0.71638303310318419</v>
      </c>
      <c r="K201" s="3">
        <f t="shared" ref="K201:K264" si="22">(E201-$E$2)/$E$1</f>
        <v>0.71333921860467597</v>
      </c>
      <c r="L201" s="3">
        <f t="shared" ref="L201:L264" si="23">((F201-$F$2)/$F$1+(G201-$G$2)/$G$1+(H201-$H$2)/$H$1+(I201-$I$2)/$I$1)/4</f>
        <v>0.51477689280917216</v>
      </c>
      <c r="M201" s="23">
        <v>44354</v>
      </c>
      <c r="N201" s="24">
        <v>216.54166666666666</v>
      </c>
      <c r="O201" s="24">
        <v>59.039583333333333</v>
      </c>
      <c r="P201" s="24">
        <v>22.839583333333337</v>
      </c>
      <c r="Q201" s="24">
        <v>0</v>
      </c>
      <c r="R201" s="24">
        <v>185.5625</v>
      </c>
      <c r="S201" s="24">
        <v>3.0833333333333335</v>
      </c>
      <c r="T201" s="24">
        <v>6.25E-2</v>
      </c>
      <c r="U201" s="24">
        <v>14.189583333333333</v>
      </c>
      <c r="V201" s="10">
        <v>1.1956994489193311</v>
      </c>
      <c r="W201" s="25">
        <v>0.38487500000000002</v>
      </c>
      <c r="X201" s="25">
        <v>0.48941666666666678</v>
      </c>
      <c r="Y201" s="25">
        <v>0.54183333333333306</v>
      </c>
      <c r="Z201" s="25">
        <v>0.56370833333333292</v>
      </c>
      <c r="AA201" s="25">
        <v>0.56460416666666668</v>
      </c>
      <c r="AB201" s="25">
        <v>0.45258333333333312</v>
      </c>
      <c r="AC201" s="25">
        <v>0.44800000000000001</v>
      </c>
      <c r="AD201" s="25">
        <v>0.3859375000000001</v>
      </c>
      <c r="AE201" s="25">
        <v>0.38439130434782615</v>
      </c>
      <c r="AF201" s="25">
        <v>0.20880000000000001</v>
      </c>
      <c r="AG201" s="25">
        <v>0.38020833333333348</v>
      </c>
      <c r="AH201" s="28">
        <f t="shared" ref="AH201:AH264" si="24">AVERAGE(W201,AA201)</f>
        <v>0.47473958333333333</v>
      </c>
      <c r="AI201" s="28">
        <f t="shared" ref="AI201:AI264" si="25">AVERAGE(X201:Z201,AB201:AD201)</f>
        <v>0.48024652777777765</v>
      </c>
      <c r="AJ201" s="28">
        <f t="shared" ref="AJ201:AJ264" si="26">(AH201*10+AI201*45)/55</f>
        <v>0.47924526515151505</v>
      </c>
    </row>
    <row r="202" spans="1:36" x14ac:dyDescent="0.25">
      <c r="A202" s="9">
        <v>44355</v>
      </c>
      <c r="B202" s="3">
        <v>46.079611189199994</v>
      </c>
      <c r="C202" s="3">
        <v>159.10625051279055</v>
      </c>
      <c r="D202" s="3">
        <v>476.14740313311597</v>
      </c>
      <c r="E202" s="3">
        <v>628.01107286928504</v>
      </c>
      <c r="F202" s="3">
        <v>404.5936193103459</v>
      </c>
      <c r="G202" s="3">
        <v>378.00738973159059</v>
      </c>
      <c r="H202" s="3">
        <v>349.89472140682346</v>
      </c>
      <c r="I202" s="3">
        <v>271.26898313603181</v>
      </c>
      <c r="J202" s="3">
        <f t="shared" si="21"/>
        <v>0.52781798932422697</v>
      </c>
      <c r="K202" s="3">
        <f t="shared" si="22"/>
        <v>0.59637260793206381</v>
      </c>
      <c r="L202" s="3">
        <f t="shared" si="23"/>
        <v>0.41150197215016404</v>
      </c>
      <c r="M202" s="23">
        <v>44355</v>
      </c>
      <c r="N202" s="24">
        <v>136.89583333333334</v>
      </c>
      <c r="O202" s="24">
        <v>72.981249999999989</v>
      </c>
      <c r="P202" s="24">
        <v>21.633333333333336</v>
      </c>
      <c r="Q202" s="24">
        <v>0</v>
      </c>
      <c r="R202" s="24">
        <v>173.58333333333334</v>
      </c>
      <c r="S202" s="24">
        <v>0.9375</v>
      </c>
      <c r="T202" s="24">
        <v>0</v>
      </c>
      <c r="U202" s="24">
        <v>16.474999999999998</v>
      </c>
      <c r="V202" s="10">
        <v>0.74172386617412212</v>
      </c>
      <c r="W202" s="25">
        <v>0.35949999999999999</v>
      </c>
      <c r="X202" s="25">
        <v>0.4766875000000001</v>
      </c>
      <c r="Y202" s="25">
        <v>0.52977083333333341</v>
      </c>
      <c r="Z202" s="25">
        <v>0.55293750000000041</v>
      </c>
      <c r="AA202" s="25">
        <v>0.55216666666666692</v>
      </c>
      <c r="AB202" s="25">
        <v>0.43964583333333357</v>
      </c>
      <c r="AC202" s="25">
        <v>0.43939583333333315</v>
      </c>
      <c r="AD202" s="25">
        <v>0.37933333333333352</v>
      </c>
      <c r="AE202" s="25">
        <v>0.36748648648648657</v>
      </c>
      <c r="AF202" s="25">
        <v>0.18277272727272728</v>
      </c>
      <c r="AG202" s="25">
        <v>0.34131250000000007</v>
      </c>
      <c r="AH202" s="28">
        <f t="shared" si="24"/>
        <v>0.45583333333333342</v>
      </c>
      <c r="AI202" s="28">
        <f t="shared" si="25"/>
        <v>0.46962847222222237</v>
      </c>
      <c r="AJ202" s="28">
        <f t="shared" si="26"/>
        <v>0.46712026515151528</v>
      </c>
    </row>
    <row r="203" spans="1:36" x14ac:dyDescent="0.25">
      <c r="A203" s="9">
        <v>44356</v>
      </c>
      <c r="B203" s="3">
        <v>105.24785683499999</v>
      </c>
      <c r="C203" s="3">
        <v>207.28442224402366</v>
      </c>
      <c r="D203" s="3">
        <v>578.42992238025761</v>
      </c>
      <c r="E203" s="3">
        <v>696.45110522306061</v>
      </c>
      <c r="F203" s="3">
        <v>431.47589414779156</v>
      </c>
      <c r="G203" s="3">
        <v>402.71435917459576</v>
      </c>
      <c r="H203" s="3">
        <v>427.85046641780212</v>
      </c>
      <c r="I203" s="3">
        <v>288.60630731988033</v>
      </c>
      <c r="J203" s="3">
        <f t="shared" si="21"/>
        <v>0.64251673706769863</v>
      </c>
      <c r="K203" s="3">
        <f t="shared" si="22"/>
        <v>0.66577506107975082</v>
      </c>
      <c r="L203" s="3">
        <f t="shared" si="23"/>
        <v>0.45701495254909485</v>
      </c>
      <c r="M203" s="23">
        <v>44356</v>
      </c>
      <c r="N203" s="24">
        <v>168.1875</v>
      </c>
      <c r="O203" s="24">
        <v>75.291666666666686</v>
      </c>
      <c r="P203" s="24">
        <v>22.335416666666664</v>
      </c>
      <c r="Q203" s="24">
        <v>1.5</v>
      </c>
      <c r="R203" s="24">
        <v>236.25</v>
      </c>
      <c r="S203" s="24">
        <v>4.416666666666667</v>
      </c>
      <c r="T203" s="24">
        <v>0.20833333333333334</v>
      </c>
      <c r="U203" s="24">
        <v>17.604166666666664</v>
      </c>
      <c r="V203" s="10">
        <v>0.71862134338326633</v>
      </c>
      <c r="W203" s="25">
        <v>0.33918749999999998</v>
      </c>
      <c r="X203" s="25">
        <v>0.46358333333333318</v>
      </c>
      <c r="Y203" s="25">
        <v>0.51810416666666714</v>
      </c>
      <c r="Z203" s="25">
        <v>0.54166666666666641</v>
      </c>
      <c r="AA203" s="25">
        <v>0.54058333333333308</v>
      </c>
      <c r="AB203" s="25">
        <v>0.42785416666666681</v>
      </c>
      <c r="AC203" s="25">
        <v>0.43125000000000008</v>
      </c>
      <c r="AD203" s="25">
        <v>0.37262499999999982</v>
      </c>
      <c r="AE203" s="25">
        <v>0.35431428571428564</v>
      </c>
      <c r="AF203" s="25">
        <v>0.17387234042553196</v>
      </c>
      <c r="AG203" s="25">
        <v>0.30879166666666652</v>
      </c>
      <c r="AH203" s="28">
        <f t="shared" si="24"/>
        <v>0.43988541666666653</v>
      </c>
      <c r="AI203" s="28">
        <f t="shared" si="25"/>
        <v>0.45918055555555554</v>
      </c>
      <c r="AJ203" s="28">
        <f t="shared" si="26"/>
        <v>0.4556723484848485</v>
      </c>
    </row>
    <row r="204" spans="1:36" x14ac:dyDescent="0.25">
      <c r="A204" s="9">
        <v>44361</v>
      </c>
      <c r="B204" s="3">
        <v>161.55962125199997</v>
      </c>
      <c r="C204" s="3">
        <v>240.12315226039371</v>
      </c>
      <c r="D204" s="3">
        <v>670.15257993545117</v>
      </c>
      <c r="E204" s="3">
        <v>705.88798786425889</v>
      </c>
      <c r="F204" s="3">
        <v>480.31743215511966</v>
      </c>
      <c r="G204" s="3">
        <v>473.53237676978324</v>
      </c>
      <c r="H204" s="3">
        <v>457.97226739563916</v>
      </c>
      <c r="I204" s="3">
        <v>462.10609369858656</v>
      </c>
      <c r="J204" s="3">
        <f t="shared" si="21"/>
        <v>0.74537374566233172</v>
      </c>
      <c r="K204" s="3">
        <f t="shared" si="22"/>
        <v>0.67534464751683054</v>
      </c>
      <c r="L204" s="3">
        <f t="shared" si="23"/>
        <v>0.56737684322999971</v>
      </c>
      <c r="M204" s="23">
        <v>44361</v>
      </c>
      <c r="N204" s="24">
        <v>201.52083333333334</v>
      </c>
      <c r="O204" s="24">
        <v>81.356250000000003</v>
      </c>
      <c r="P204" s="24">
        <v>22.608333333333338</v>
      </c>
      <c r="Q204" s="24">
        <v>0</v>
      </c>
      <c r="R204" s="24">
        <v>230.5625</v>
      </c>
      <c r="S204" s="24">
        <v>14.875</v>
      </c>
      <c r="T204" s="24">
        <v>2.375</v>
      </c>
      <c r="U204" s="24">
        <v>19.162500000000005</v>
      </c>
      <c r="V204" s="10">
        <v>0.54544557398495164</v>
      </c>
      <c r="W204" s="25">
        <v>0.44258333333333333</v>
      </c>
      <c r="X204" s="25">
        <v>0.52195833333333308</v>
      </c>
      <c r="Y204" s="25">
        <v>0.57352083333333337</v>
      </c>
      <c r="Z204" s="25">
        <v>0.58745833333333308</v>
      </c>
      <c r="AA204" s="25">
        <v>0.59810416666666655</v>
      </c>
      <c r="AB204" s="25">
        <v>0.48879166666666701</v>
      </c>
      <c r="AC204" s="25">
        <v>0.46954166666666636</v>
      </c>
      <c r="AD204" s="25">
        <v>0.4018750000000002</v>
      </c>
      <c r="AE204" s="25">
        <v>0.43907142857142867</v>
      </c>
      <c r="AF204" s="25">
        <v>0.2832564102564103</v>
      </c>
      <c r="AG204" s="25">
        <v>0.45514583333333336</v>
      </c>
      <c r="AH204" s="28">
        <f t="shared" si="24"/>
        <v>0.52034374999999988</v>
      </c>
      <c r="AI204" s="28">
        <f t="shared" si="25"/>
        <v>0.5071909722222222</v>
      </c>
      <c r="AJ204" s="28">
        <f t="shared" si="26"/>
        <v>0.5095823863636364</v>
      </c>
    </row>
    <row r="205" spans="1:36" x14ac:dyDescent="0.25">
      <c r="A205" s="9">
        <v>44362</v>
      </c>
      <c r="B205" s="3">
        <v>138.9520726092</v>
      </c>
      <c r="C205" s="3">
        <v>187.49608145905634</v>
      </c>
      <c r="D205" s="3">
        <v>556.94208010755608</v>
      </c>
      <c r="E205" s="3">
        <v>610.95875297476096</v>
      </c>
      <c r="F205" s="3">
        <v>412.35621328639871</v>
      </c>
      <c r="G205" s="3">
        <v>387.71488406317013</v>
      </c>
      <c r="H205" s="3">
        <v>416.85091369377352</v>
      </c>
      <c r="I205" s="3">
        <v>422.38652302396235</v>
      </c>
      <c r="J205" s="3">
        <f t="shared" si="21"/>
        <v>0.61842045337690577</v>
      </c>
      <c r="K205" s="3">
        <f t="shared" si="22"/>
        <v>0.57908049406482365</v>
      </c>
      <c r="L205" s="3">
        <f t="shared" si="23"/>
        <v>0.49632691723118588</v>
      </c>
      <c r="M205" s="23">
        <v>44362</v>
      </c>
      <c r="N205" s="24">
        <v>152.6875</v>
      </c>
      <c r="O205" s="24">
        <v>82.581250000000011</v>
      </c>
      <c r="P205" s="24">
        <v>22.929166666666671</v>
      </c>
      <c r="Q205" s="24">
        <v>0</v>
      </c>
      <c r="R205" s="24">
        <v>233.5</v>
      </c>
      <c r="S205" s="24">
        <v>11.979166666666666</v>
      </c>
      <c r="T205" s="24">
        <v>1.9791666666666667</v>
      </c>
      <c r="U205" s="24">
        <v>19.752083333333339</v>
      </c>
      <c r="V205" s="10">
        <v>0.51133482309620271</v>
      </c>
      <c r="W205" s="25">
        <v>0.42468749999999994</v>
      </c>
      <c r="X205" s="25">
        <v>0.512083333333333</v>
      </c>
      <c r="Y205" s="25">
        <v>0.56535416666666638</v>
      </c>
      <c r="Z205" s="25">
        <v>0.58268749999999936</v>
      </c>
      <c r="AA205" s="25">
        <v>0.59114583333333359</v>
      </c>
      <c r="AB205" s="25">
        <v>0.48014583333333305</v>
      </c>
      <c r="AC205" s="25">
        <v>0.46545833333333347</v>
      </c>
      <c r="AD205" s="25">
        <v>0.39812500000000028</v>
      </c>
      <c r="AE205" s="25">
        <v>0.42408823529411754</v>
      </c>
      <c r="AF205" s="25">
        <v>0.25140000000000007</v>
      </c>
      <c r="AG205" s="25">
        <v>0.42854166666666677</v>
      </c>
      <c r="AH205" s="28">
        <f t="shared" si="24"/>
        <v>0.50791666666666679</v>
      </c>
      <c r="AI205" s="28">
        <f t="shared" si="25"/>
        <v>0.50064236111111093</v>
      </c>
      <c r="AJ205" s="28">
        <f t="shared" si="26"/>
        <v>0.501964962121212</v>
      </c>
    </row>
    <row r="206" spans="1:36" x14ac:dyDescent="0.25">
      <c r="A206" s="9">
        <v>44363</v>
      </c>
      <c r="B206" s="3">
        <v>156.79480216499999</v>
      </c>
      <c r="C206" s="3">
        <v>221.22706464016073</v>
      </c>
      <c r="D206" s="3">
        <v>610.99765389109143</v>
      </c>
      <c r="E206" s="3">
        <v>692.93170852471064</v>
      </c>
      <c r="F206" s="3">
        <v>456.43648355556667</v>
      </c>
      <c r="G206" s="3">
        <v>448.84715363479012</v>
      </c>
      <c r="H206" s="3">
        <v>454.26750109813872</v>
      </c>
      <c r="I206" s="3">
        <v>461.88706777597923</v>
      </c>
      <c r="J206" s="3">
        <f t="shared" si="21"/>
        <v>0.67903791437769756</v>
      </c>
      <c r="K206" s="3">
        <f t="shared" si="22"/>
        <v>0.66220617374780499</v>
      </c>
      <c r="L206" s="3">
        <f t="shared" si="23"/>
        <v>0.55266437489462095</v>
      </c>
      <c r="M206" s="23">
        <v>44363</v>
      </c>
      <c r="N206" s="24">
        <v>184.0625</v>
      </c>
      <c r="O206" s="24">
        <v>83.010416666666671</v>
      </c>
      <c r="P206" s="24">
        <v>24.283333333333331</v>
      </c>
      <c r="Q206" s="24">
        <v>0</v>
      </c>
      <c r="R206" s="24">
        <v>232.16666666666666</v>
      </c>
      <c r="S206" s="24">
        <v>10.645833333333334</v>
      </c>
      <c r="T206" s="24">
        <v>2.0625</v>
      </c>
      <c r="U206" s="24">
        <v>21.104166666666661</v>
      </c>
      <c r="V206" s="10">
        <v>0.56403229273576028</v>
      </c>
      <c r="W206" s="25">
        <v>0.40618749999999998</v>
      </c>
      <c r="X206" s="25">
        <v>0.5039166666666669</v>
      </c>
      <c r="Y206" s="25">
        <v>0.55677083333333344</v>
      </c>
      <c r="Z206" s="25">
        <v>0.57762500000000039</v>
      </c>
      <c r="AA206" s="25">
        <v>0.58420833333333311</v>
      </c>
      <c r="AB206" s="25">
        <v>0.47185416666666652</v>
      </c>
      <c r="AC206" s="25">
        <v>0.46062500000000001</v>
      </c>
      <c r="AD206" s="25">
        <v>0.39452083333333343</v>
      </c>
      <c r="AE206" s="25">
        <v>0.40979069767441839</v>
      </c>
      <c r="AF206" s="25">
        <v>0.229304347826087</v>
      </c>
      <c r="AG206" s="25">
        <v>0.40287500000000004</v>
      </c>
      <c r="AH206" s="28">
        <f t="shared" si="24"/>
        <v>0.49519791666666657</v>
      </c>
      <c r="AI206" s="28">
        <f t="shared" si="25"/>
        <v>0.4942187500000001</v>
      </c>
      <c r="AJ206" s="28">
        <f t="shared" si="26"/>
        <v>0.49439678030303041</v>
      </c>
    </row>
    <row r="207" spans="1:36" x14ac:dyDescent="0.25">
      <c r="A207" s="9">
        <v>44364</v>
      </c>
      <c r="B207" s="3">
        <v>171.89496539460004</v>
      </c>
      <c r="C207" s="3">
        <v>274.37703592565862</v>
      </c>
      <c r="D207" s="3">
        <v>727.92913371966301</v>
      </c>
      <c r="E207" s="3">
        <v>819.60569672899362</v>
      </c>
      <c r="F207" s="3">
        <v>547.96293080664918</v>
      </c>
      <c r="G207" s="3">
        <v>554.22689174933646</v>
      </c>
      <c r="H207" s="3">
        <v>548.26520342733852</v>
      </c>
      <c r="I207" s="3">
        <v>497.77922070781966</v>
      </c>
      <c r="J207" s="3">
        <f t="shared" si="21"/>
        <v>0.8101638820097764</v>
      </c>
      <c r="K207" s="3">
        <f t="shared" si="22"/>
        <v>0.79066148314821649</v>
      </c>
      <c r="L207" s="3">
        <f t="shared" si="23"/>
        <v>0.6507540669661136</v>
      </c>
      <c r="M207" s="23">
        <v>44364</v>
      </c>
      <c r="N207" s="24">
        <v>237.20833333333334</v>
      </c>
      <c r="O207" s="24">
        <v>78.752083333333346</v>
      </c>
      <c r="P207" s="24">
        <v>25.724999999999998</v>
      </c>
      <c r="Q207" s="24">
        <v>0</v>
      </c>
      <c r="R207" s="24">
        <v>236.3125</v>
      </c>
      <c r="S207" s="24">
        <v>12.791666666666666</v>
      </c>
      <c r="T207" s="24">
        <v>2.4166666666666665</v>
      </c>
      <c r="U207" s="24">
        <v>21.637500000000003</v>
      </c>
      <c r="V207" s="10">
        <v>0.75360192460588327</v>
      </c>
      <c r="W207" s="25">
        <v>0.37743750000000015</v>
      </c>
      <c r="X207" s="25">
        <v>0.4922500000000003</v>
      </c>
      <c r="Y207" s="25">
        <v>0.54362500000000002</v>
      </c>
      <c r="Z207" s="25">
        <v>0.56883333333333352</v>
      </c>
      <c r="AA207" s="25">
        <v>0.57325000000000015</v>
      </c>
      <c r="AB207" s="25">
        <v>0.45839583333333339</v>
      </c>
      <c r="AC207" s="25">
        <v>0.45231250000000012</v>
      </c>
      <c r="AD207" s="25">
        <v>0.38860416666666664</v>
      </c>
      <c r="AE207" s="25">
        <v>0.39063157894736861</v>
      </c>
      <c r="AF207" s="25">
        <v>0.21018181818181836</v>
      </c>
      <c r="AG207" s="25">
        <v>0.36133333333333334</v>
      </c>
      <c r="AH207" s="28">
        <f t="shared" si="24"/>
        <v>0.47534375000000018</v>
      </c>
      <c r="AI207" s="28">
        <f t="shared" si="25"/>
        <v>0.48400347222222234</v>
      </c>
      <c r="AJ207" s="28">
        <f t="shared" si="26"/>
        <v>0.48242897727272743</v>
      </c>
    </row>
    <row r="208" spans="1:36" x14ac:dyDescent="0.25">
      <c r="A208" s="9">
        <v>44366</v>
      </c>
      <c r="B208" s="3">
        <v>101.02763406960001</v>
      </c>
      <c r="C208" s="3">
        <v>237.985116173384</v>
      </c>
      <c r="D208" s="3">
        <v>493.80076346816389</v>
      </c>
      <c r="E208" s="3">
        <v>469.02521300166359</v>
      </c>
      <c r="F208" s="3">
        <v>352.34142863575397</v>
      </c>
      <c r="G208" s="3">
        <v>285.1470152343706</v>
      </c>
      <c r="H208" s="3">
        <v>358.31643398200129</v>
      </c>
      <c r="I208" s="3">
        <v>309.80329011391564</v>
      </c>
      <c r="J208" s="3">
        <f t="shared" si="21"/>
        <v>0.54761431756093937</v>
      </c>
      <c r="K208" s="3">
        <f t="shared" si="22"/>
        <v>0.43515104927512016</v>
      </c>
      <c r="L208" s="3">
        <f t="shared" si="23"/>
        <v>0.38891046063783064</v>
      </c>
      <c r="M208" s="23">
        <v>44366</v>
      </c>
      <c r="N208" s="24">
        <v>165.9375</v>
      </c>
      <c r="O208" s="24">
        <v>84.620833333333323</v>
      </c>
      <c r="P208" s="24">
        <v>21.947916666666668</v>
      </c>
      <c r="Q208" s="24">
        <v>0.89999999999999991</v>
      </c>
      <c r="R208" s="24">
        <v>238.41666666666666</v>
      </c>
      <c r="S208" s="24">
        <v>3.125</v>
      </c>
      <c r="T208" s="24">
        <v>8.3333333333333329E-2</v>
      </c>
      <c r="U208" s="24">
        <v>19.127083333333331</v>
      </c>
      <c r="V208" s="10">
        <v>0.45780380469585591</v>
      </c>
      <c r="W208" s="25">
        <v>0.32362499999999988</v>
      </c>
      <c r="X208" s="25">
        <v>0.46079166666666654</v>
      </c>
      <c r="Y208" s="25">
        <v>0.51366666666666716</v>
      </c>
      <c r="Z208" s="25">
        <v>0.5411041666666665</v>
      </c>
      <c r="AA208" s="25">
        <v>0.54254166666666681</v>
      </c>
      <c r="AB208" s="25">
        <v>0.42343750000000013</v>
      </c>
      <c r="AC208" s="25">
        <v>0.42895833333333333</v>
      </c>
      <c r="AD208" s="25">
        <v>0.37212499999999987</v>
      </c>
      <c r="AE208" s="25">
        <v>0.36618750000000011</v>
      </c>
      <c r="AF208" s="25">
        <v>0.17230434782608706</v>
      </c>
      <c r="AG208" s="25">
        <v>0.28497916666666662</v>
      </c>
      <c r="AH208" s="28">
        <f t="shared" si="24"/>
        <v>0.43308333333333338</v>
      </c>
      <c r="AI208" s="28">
        <f t="shared" si="25"/>
        <v>0.45668055555555559</v>
      </c>
      <c r="AJ208" s="28">
        <f t="shared" si="26"/>
        <v>0.45239015151515155</v>
      </c>
    </row>
    <row r="209" spans="1:36" x14ac:dyDescent="0.25">
      <c r="A209" s="9">
        <v>44367</v>
      </c>
      <c r="B209" s="3">
        <v>97.414666212599997</v>
      </c>
      <c r="C209" s="3">
        <v>196.47576323426296</v>
      </c>
      <c r="D209" s="3">
        <v>449.23506790677396</v>
      </c>
      <c r="E209" s="3">
        <v>469.45939179080148</v>
      </c>
      <c r="F209" s="3">
        <v>361.35847030489828</v>
      </c>
      <c r="G209" s="3">
        <v>315.58757739916507</v>
      </c>
      <c r="H209" s="3">
        <v>387.56867159955988</v>
      </c>
      <c r="I209" s="3">
        <v>366.44146233415034</v>
      </c>
      <c r="J209" s="3">
        <f t="shared" si="21"/>
        <v>0.49763872534016929</v>
      </c>
      <c r="K209" s="3">
        <f t="shared" si="22"/>
        <v>0.43559133359461166</v>
      </c>
      <c r="L209" s="3">
        <f t="shared" si="23"/>
        <v>0.43115150729496854</v>
      </c>
      <c r="M209" s="23">
        <v>44367</v>
      </c>
      <c r="N209" s="24">
        <v>144.52083333333334</v>
      </c>
      <c r="O209" s="24">
        <v>83.36666666666666</v>
      </c>
      <c r="P209" s="24">
        <v>20.779166666666665</v>
      </c>
      <c r="Q209" s="24">
        <v>1.7</v>
      </c>
      <c r="R209" s="24">
        <v>182.41666666666666</v>
      </c>
      <c r="S209" s="24">
        <v>1.4791666666666667</v>
      </c>
      <c r="T209" s="24">
        <v>0</v>
      </c>
      <c r="U209" s="24">
        <v>17.724999999999998</v>
      </c>
      <c r="V209" s="10">
        <v>0.45805477906539971</v>
      </c>
      <c r="W209" s="25">
        <v>0.30929166666666658</v>
      </c>
      <c r="X209" s="25">
        <v>0.44633333333333319</v>
      </c>
      <c r="Y209" s="25">
        <v>0.50202083333333347</v>
      </c>
      <c r="Z209" s="25">
        <v>0.52906249999999999</v>
      </c>
      <c r="AA209" s="25">
        <v>0.52749999999999997</v>
      </c>
      <c r="AB209" s="25">
        <v>0.41099999999999975</v>
      </c>
      <c r="AC209" s="25">
        <v>0.4198333333333335</v>
      </c>
      <c r="AD209" s="25">
        <v>0.36629166666666668</v>
      </c>
      <c r="AE209" s="25">
        <v>0.35252380952380952</v>
      </c>
      <c r="AF209" s="25">
        <v>0.16395555555555552</v>
      </c>
      <c r="AG209" s="25">
        <v>0.26981250000000001</v>
      </c>
      <c r="AH209" s="28">
        <f t="shared" si="24"/>
        <v>0.4183958333333333</v>
      </c>
      <c r="AI209" s="28">
        <f t="shared" si="25"/>
        <v>0.44575694444444447</v>
      </c>
      <c r="AJ209" s="28">
        <f t="shared" si="26"/>
        <v>0.44078219696969695</v>
      </c>
    </row>
    <row r="210" spans="1:36" x14ac:dyDescent="0.25">
      <c r="A210" s="9">
        <v>44368</v>
      </c>
      <c r="B210" s="3">
        <v>123.76375766460002</v>
      </c>
      <c r="C210" s="3">
        <v>197.31704351996717</v>
      </c>
      <c r="D210" s="3">
        <v>504.99359285380774</v>
      </c>
      <c r="E210" s="3">
        <v>652.97884334183232</v>
      </c>
      <c r="F210" s="3">
        <v>439.33522676448189</v>
      </c>
      <c r="G210" s="3">
        <v>365.58855825682616</v>
      </c>
      <c r="H210" s="3">
        <v>408.90025923929477</v>
      </c>
      <c r="I210" s="3">
        <v>389.41606043403635</v>
      </c>
      <c r="J210" s="3">
        <f t="shared" si="21"/>
        <v>0.56016586130164125</v>
      </c>
      <c r="K210" s="3">
        <f t="shared" si="22"/>
        <v>0.62169148141631303</v>
      </c>
      <c r="L210" s="3">
        <f t="shared" si="23"/>
        <v>0.48225929472647977</v>
      </c>
      <c r="M210" s="23">
        <v>44368</v>
      </c>
      <c r="N210" s="24">
        <v>146.75</v>
      </c>
      <c r="O210" s="24">
        <v>77.304166666666674</v>
      </c>
      <c r="P210" s="24">
        <v>21.5</v>
      </c>
      <c r="Q210" s="24">
        <v>0</v>
      </c>
      <c r="R210" s="24">
        <v>274.02083333333331</v>
      </c>
      <c r="S210" s="24">
        <v>1.5833333333333333</v>
      </c>
      <c r="T210" s="24">
        <v>0</v>
      </c>
      <c r="U210" s="24">
        <v>17.237500000000001</v>
      </c>
      <c r="V210" s="10">
        <v>0.62798267832191745</v>
      </c>
      <c r="W210" s="25">
        <v>0.29654166666666637</v>
      </c>
      <c r="X210" s="25">
        <v>0.42939583333333348</v>
      </c>
      <c r="Y210" s="25">
        <v>0.4882708333333336</v>
      </c>
      <c r="Z210" s="25">
        <v>0.51327083333333345</v>
      </c>
      <c r="AA210" s="25">
        <v>0.51260416666666675</v>
      </c>
      <c r="AB210" s="25">
        <v>0.39660416666666692</v>
      </c>
      <c r="AC210" s="25">
        <v>0.40774999999999983</v>
      </c>
      <c r="AD210" s="25">
        <v>0.35781250000000003</v>
      </c>
      <c r="AE210" s="25">
        <v>0.33291176470588241</v>
      </c>
      <c r="AF210" s="25">
        <v>0.15767499999999998</v>
      </c>
      <c r="AG210" s="25">
        <v>0.25910416666666669</v>
      </c>
      <c r="AH210" s="28">
        <f t="shared" si="24"/>
        <v>0.40457291666666656</v>
      </c>
      <c r="AI210" s="28">
        <f t="shared" si="25"/>
        <v>0.43218402777777792</v>
      </c>
      <c r="AJ210" s="28">
        <f t="shared" si="26"/>
        <v>0.42716382575757594</v>
      </c>
    </row>
    <row r="211" spans="1:36" x14ac:dyDescent="0.25">
      <c r="A211" s="9">
        <v>44369</v>
      </c>
      <c r="B211" s="3">
        <v>172.06867150379998</v>
      </c>
      <c r="C211" s="3">
        <v>247.47285110773893</v>
      </c>
      <c r="D211" s="3">
        <v>584.64661811550445</v>
      </c>
      <c r="E211" s="3">
        <v>810.3084117707017</v>
      </c>
      <c r="F211" s="3">
        <v>518.01473256303552</v>
      </c>
      <c r="G211" s="3">
        <v>413.027548805913</v>
      </c>
      <c r="H211" s="3">
        <v>466.83500162254211</v>
      </c>
      <c r="I211" s="3">
        <v>367.14244299923041</v>
      </c>
      <c r="J211" s="3">
        <f t="shared" si="21"/>
        <v>0.64948808682700676</v>
      </c>
      <c r="K211" s="3">
        <f t="shared" si="22"/>
        <v>0.78123345745145545</v>
      </c>
      <c r="L211" s="3">
        <f t="shared" si="23"/>
        <v>0.52666549762927506</v>
      </c>
      <c r="M211" s="23">
        <v>44369</v>
      </c>
      <c r="N211" s="24">
        <v>216.54166666666666</v>
      </c>
      <c r="O211" s="24">
        <v>71.362499999999983</v>
      </c>
      <c r="P211" s="24">
        <v>22.841666666666672</v>
      </c>
      <c r="Q211" s="24">
        <v>0</v>
      </c>
      <c r="R211" s="24">
        <v>234.77083333333334</v>
      </c>
      <c r="S211" s="24">
        <v>1.4583333333333333</v>
      </c>
      <c r="T211" s="24">
        <v>0</v>
      </c>
      <c r="U211" s="24">
        <v>17.070833333333329</v>
      </c>
      <c r="V211" s="10">
        <v>0.90894842435547807</v>
      </c>
      <c r="W211" s="25">
        <v>0.28458333333333319</v>
      </c>
      <c r="X211" s="25">
        <v>0.40956249999999983</v>
      </c>
      <c r="Y211" s="25">
        <v>0.47295833333333342</v>
      </c>
      <c r="Z211" s="25">
        <v>0.49558333333333326</v>
      </c>
      <c r="AA211" s="25">
        <v>0.49699999999999994</v>
      </c>
      <c r="AB211" s="25">
        <v>0.38124999999999981</v>
      </c>
      <c r="AC211" s="25">
        <v>0.39366666666666678</v>
      </c>
      <c r="AD211" s="25">
        <v>0.34806250000000011</v>
      </c>
      <c r="AE211" s="25">
        <v>0.30138095238095236</v>
      </c>
      <c r="AF211" s="25">
        <v>0.14964285714285708</v>
      </c>
      <c r="AG211" s="25">
        <v>0.24827083333333336</v>
      </c>
      <c r="AH211" s="28">
        <f t="shared" si="24"/>
        <v>0.39079166666666654</v>
      </c>
      <c r="AI211" s="28">
        <f t="shared" si="25"/>
        <v>0.4168472222222222</v>
      </c>
      <c r="AJ211" s="28">
        <f t="shared" si="26"/>
        <v>0.41210984848484844</v>
      </c>
    </row>
    <row r="212" spans="1:36" x14ac:dyDescent="0.25">
      <c r="A212" s="9">
        <v>44370</v>
      </c>
      <c r="B212" s="3">
        <v>162.69525544679999</v>
      </c>
      <c r="C212" s="3">
        <v>191.76850431217332</v>
      </c>
      <c r="D212" s="3">
        <v>533.32613051828753</v>
      </c>
      <c r="E212" s="3">
        <v>794.71453373605038</v>
      </c>
      <c r="F212" s="3">
        <v>498.90284592574778</v>
      </c>
      <c r="G212" s="3">
        <v>367.62606523732563</v>
      </c>
      <c r="H212" s="3">
        <v>426.72961581275501</v>
      </c>
      <c r="I212" s="3">
        <v>325.36285454568235</v>
      </c>
      <c r="J212" s="3">
        <f t="shared" si="21"/>
        <v>0.59193772822895485</v>
      </c>
      <c r="K212" s="3">
        <f t="shared" si="22"/>
        <v>0.76542029441704429</v>
      </c>
      <c r="L212" s="3">
        <f t="shared" si="23"/>
        <v>0.4798690971938766</v>
      </c>
      <c r="M212" s="23">
        <v>44370</v>
      </c>
      <c r="N212" s="24">
        <v>156.9375</v>
      </c>
      <c r="O212" s="24">
        <v>76.822916666666671</v>
      </c>
      <c r="P212" s="24">
        <v>23.254166666666666</v>
      </c>
      <c r="Q212" s="24">
        <v>0</v>
      </c>
      <c r="R212" s="24">
        <v>220.16666666666666</v>
      </c>
      <c r="S212" s="24">
        <v>4.229166666666667</v>
      </c>
      <c r="T212" s="24">
        <v>6.25E-2</v>
      </c>
      <c r="U212" s="24">
        <v>18.883333333333329</v>
      </c>
      <c r="V212" s="10">
        <v>0.6942300523962327</v>
      </c>
      <c r="W212" s="25">
        <v>0.27456250000000032</v>
      </c>
      <c r="X212" s="25">
        <v>0.3903541666666665</v>
      </c>
      <c r="Y212" s="25">
        <v>0.45797916666666688</v>
      </c>
      <c r="Z212" s="25">
        <v>0.47774999999999973</v>
      </c>
      <c r="AA212" s="25">
        <v>0.48231249999999998</v>
      </c>
      <c r="AB212" s="25">
        <v>0.36616666666666692</v>
      </c>
      <c r="AC212" s="25">
        <v>0.37866666666666665</v>
      </c>
      <c r="AD212" s="25">
        <v>0.33718750000000014</v>
      </c>
      <c r="AE212" s="25">
        <v>0.26958620689655177</v>
      </c>
      <c r="AF212" s="25">
        <v>0.1437272727272727</v>
      </c>
      <c r="AG212" s="25">
        <v>0.23881250000000001</v>
      </c>
      <c r="AH212" s="28">
        <f t="shared" si="24"/>
        <v>0.37843750000000015</v>
      </c>
      <c r="AI212" s="28">
        <f t="shared" si="25"/>
        <v>0.40135069444444449</v>
      </c>
      <c r="AJ212" s="28">
        <f>(AH212*10+AI212*45)/55</f>
        <v>0.39718465909090911</v>
      </c>
    </row>
    <row r="213" spans="1:36" x14ac:dyDescent="0.25">
      <c r="A213" s="9">
        <v>44372</v>
      </c>
      <c r="B213" s="3">
        <v>107.9114698692</v>
      </c>
      <c r="C213" s="3">
        <v>168.40589268386594</v>
      </c>
      <c r="D213" s="3">
        <v>493.82727364586452</v>
      </c>
      <c r="E213" s="3">
        <v>701.03097024395993</v>
      </c>
      <c r="F213" s="3">
        <v>461.26730007234835</v>
      </c>
      <c r="G213" s="3">
        <v>391.14130549995201</v>
      </c>
      <c r="H213" s="3">
        <v>412.24645259418611</v>
      </c>
      <c r="I213" s="3">
        <v>452.56433400220027</v>
      </c>
      <c r="J213" s="3">
        <f t="shared" si="21"/>
        <v>0.54764404584889215</v>
      </c>
      <c r="K213" s="3">
        <f t="shared" si="22"/>
        <v>0.67041932930412385</v>
      </c>
      <c r="L213" s="3">
        <f t="shared" si="23"/>
        <v>0.52112453249460855</v>
      </c>
      <c r="M213" s="23">
        <v>44372</v>
      </c>
      <c r="N213" s="24">
        <v>175.33333333333334</v>
      </c>
      <c r="O213" s="24">
        <v>82.154166666666654</v>
      </c>
      <c r="P213" s="24">
        <v>23.306250000000002</v>
      </c>
      <c r="Q213" s="24">
        <v>0</v>
      </c>
      <c r="R213" s="24">
        <v>225.58333333333334</v>
      </c>
      <c r="S213" s="24">
        <v>6.666666666666667</v>
      </c>
      <c r="T213" s="24">
        <v>0.41666666666666669</v>
      </c>
      <c r="U213" s="24">
        <v>19.962500000000002</v>
      </c>
      <c r="V213" s="10">
        <v>0.5568939793338572</v>
      </c>
      <c r="W213" s="25">
        <v>0.30485416666666676</v>
      </c>
      <c r="X213" s="25">
        <v>0.37424999999999997</v>
      </c>
      <c r="Y213" s="25">
        <v>0.44050000000000028</v>
      </c>
      <c r="Z213" s="25">
        <v>0.46039583333333317</v>
      </c>
      <c r="AA213" s="25">
        <v>0.47779166666666661</v>
      </c>
      <c r="AB213" s="25">
        <v>0.3757291666666665</v>
      </c>
      <c r="AC213" s="25">
        <v>0.3662083333333333</v>
      </c>
      <c r="AD213" s="25">
        <v>0.32452083333333331</v>
      </c>
      <c r="AE213" s="25">
        <v>0.37006451612903224</v>
      </c>
      <c r="AF213" s="25">
        <v>0.23962962962962966</v>
      </c>
      <c r="AG213" s="25">
        <v>0.41433333333333344</v>
      </c>
      <c r="AH213" s="28">
        <f t="shared" si="24"/>
        <v>0.39132291666666669</v>
      </c>
      <c r="AI213" s="28">
        <f t="shared" si="25"/>
        <v>0.3902673611111111</v>
      </c>
      <c r="AJ213" s="28">
        <f t="shared" si="26"/>
        <v>0.39045928030303034</v>
      </c>
    </row>
    <row r="214" spans="1:36" x14ac:dyDescent="0.25">
      <c r="A214" s="9">
        <v>44373</v>
      </c>
      <c r="B214" s="3">
        <v>124.46369623799995</v>
      </c>
      <c r="C214" s="3">
        <v>165.27240690182396</v>
      </c>
      <c r="D214" s="3">
        <v>403.62176788526108</v>
      </c>
      <c r="E214" s="3">
        <v>646.7457837063057</v>
      </c>
      <c r="F214" s="3">
        <v>394.75780447924399</v>
      </c>
      <c r="G214" s="3">
        <v>362.377848118418</v>
      </c>
      <c r="H214" s="3">
        <v>377.70718758621109</v>
      </c>
      <c r="I214" s="3">
        <v>399.74146806178408</v>
      </c>
      <c r="J214" s="3">
        <f t="shared" si="21"/>
        <v>0.44648835838182904</v>
      </c>
      <c r="K214" s="3">
        <f t="shared" si="22"/>
        <v>0.61537077094257642</v>
      </c>
      <c r="L214" s="3">
        <f t="shared" si="23"/>
        <v>0.46330200633099716</v>
      </c>
      <c r="M214" s="23">
        <v>44373</v>
      </c>
      <c r="N214" s="24">
        <v>166.27083333333334</v>
      </c>
      <c r="O214" s="24">
        <v>84.437500000000028</v>
      </c>
      <c r="P214" s="24">
        <v>23.3125</v>
      </c>
      <c r="Q214" s="24">
        <v>0.89999999999999991</v>
      </c>
      <c r="R214" s="24">
        <v>235.5</v>
      </c>
      <c r="S214" s="24">
        <v>9.1041666666666661</v>
      </c>
      <c r="T214" s="24">
        <v>1.3333333333333333</v>
      </c>
      <c r="U214" s="24">
        <v>20.458333333333339</v>
      </c>
      <c r="V214" s="10">
        <v>0.48116569386094121</v>
      </c>
      <c r="W214" s="25">
        <v>0.29168750000000004</v>
      </c>
      <c r="X214" s="25">
        <v>0.37229166666666669</v>
      </c>
      <c r="Y214" s="25">
        <v>0.43968749999999979</v>
      </c>
      <c r="Z214" s="25">
        <v>0.45831250000000012</v>
      </c>
      <c r="AA214" s="25">
        <v>0.47114583333333321</v>
      </c>
      <c r="AB214" s="25">
        <v>0.36381250000000015</v>
      </c>
      <c r="AC214" s="25">
        <v>0.36449999999999988</v>
      </c>
      <c r="AD214" s="25">
        <v>0.32185416666666683</v>
      </c>
      <c r="AE214" s="25">
        <v>0.35137142857142861</v>
      </c>
      <c r="AF214" s="25">
        <v>0.22252941176470592</v>
      </c>
      <c r="AG214" s="25">
        <v>0.36758333333333337</v>
      </c>
      <c r="AH214" s="28">
        <f t="shared" si="24"/>
        <v>0.38141666666666663</v>
      </c>
      <c r="AI214" s="28">
        <f t="shared" si="25"/>
        <v>0.38674305555555555</v>
      </c>
      <c r="AJ214" s="28">
        <f t="shared" si="26"/>
        <v>0.38577462121212119</v>
      </c>
    </row>
    <row r="215" spans="1:36" x14ac:dyDescent="0.25">
      <c r="A215" s="9">
        <v>44374</v>
      </c>
      <c r="B215" s="3">
        <v>77.117066319599999</v>
      </c>
      <c r="C215" s="3">
        <v>124.33264812428223</v>
      </c>
      <c r="D215" s="3">
        <v>351.56709045848288</v>
      </c>
      <c r="E215" s="3">
        <v>590.05474643686762</v>
      </c>
      <c r="F215" s="3">
        <v>356.89530465356955</v>
      </c>
      <c r="G215" s="3">
        <v>305.92712285626936</v>
      </c>
      <c r="H215" s="3">
        <v>344.05789647621776</v>
      </c>
      <c r="I215" s="3">
        <v>293.26849200754339</v>
      </c>
      <c r="J215" s="3">
        <f t="shared" si="21"/>
        <v>0.38811468554908179</v>
      </c>
      <c r="K215" s="3">
        <f t="shared" si="22"/>
        <v>0.55788253017658695</v>
      </c>
      <c r="L215" s="3">
        <f t="shared" si="23"/>
        <v>0.3850258395605537</v>
      </c>
      <c r="M215" s="23">
        <v>44374</v>
      </c>
      <c r="N215" s="24">
        <v>126.04166666666667</v>
      </c>
      <c r="O215" s="24">
        <v>83.981250000000003</v>
      </c>
      <c r="P215" s="24">
        <v>23.889583333333331</v>
      </c>
      <c r="Q215" s="24">
        <v>0.2</v>
      </c>
      <c r="R215" s="24">
        <v>231.52083333333334</v>
      </c>
      <c r="S215" s="24">
        <v>6.833333333333333</v>
      </c>
      <c r="T215" s="24">
        <v>0.66666666666666663</v>
      </c>
      <c r="U215" s="24">
        <v>20.958333333333332</v>
      </c>
      <c r="V215" s="10">
        <v>0.50149765947552705</v>
      </c>
      <c r="W215" s="25">
        <v>0.28031249999999996</v>
      </c>
      <c r="X215" s="25">
        <v>0.36856249999999996</v>
      </c>
      <c r="Y215" s="25">
        <v>0.4376250000000001</v>
      </c>
      <c r="Z215" s="25">
        <v>0.45508333333333328</v>
      </c>
      <c r="AA215" s="25">
        <v>0.46427083333333297</v>
      </c>
      <c r="AB215" s="25">
        <v>0.3569583333333331</v>
      </c>
      <c r="AC215" s="25">
        <v>0.36172916666666649</v>
      </c>
      <c r="AD215" s="25">
        <v>0.3187500000000002</v>
      </c>
      <c r="AE215" s="25">
        <v>0.33142424242424251</v>
      </c>
      <c r="AF215" s="29">
        <f>AG215*0.5711-0.0033</f>
        <v>0.18197435833333334</v>
      </c>
      <c r="AG215" s="25">
        <v>0.32441666666666663</v>
      </c>
      <c r="AH215" s="28">
        <f t="shared" si="24"/>
        <v>0.37229166666666647</v>
      </c>
      <c r="AI215" s="28">
        <f t="shared" si="25"/>
        <v>0.3831180555555555</v>
      </c>
      <c r="AJ215" s="28">
        <f t="shared" si="26"/>
        <v>0.38114962121212115</v>
      </c>
    </row>
    <row r="216" spans="1:36" x14ac:dyDescent="0.25">
      <c r="A216" s="9">
        <v>44381</v>
      </c>
      <c r="B216" s="3">
        <v>155.30090198940002</v>
      </c>
      <c r="C216" s="3">
        <v>173.24679564706574</v>
      </c>
      <c r="D216" s="3">
        <v>478.11902721031805</v>
      </c>
      <c r="E216" s="3">
        <v>423.17417011883424</v>
      </c>
      <c r="F216" s="3">
        <v>352.52543875090811</v>
      </c>
      <c r="G216" s="3">
        <v>357.17072195488646</v>
      </c>
      <c r="H216" s="3">
        <v>357.76303716706536</v>
      </c>
      <c r="I216" s="3">
        <v>445.34068539405524</v>
      </c>
      <c r="J216" s="3">
        <f t="shared" si="21"/>
        <v>0.53002895180677534</v>
      </c>
      <c r="K216" s="3">
        <f t="shared" si="22"/>
        <v>0.38865523759871601</v>
      </c>
      <c r="L216" s="3">
        <f t="shared" si="23"/>
        <v>0.46173217607593176</v>
      </c>
      <c r="M216" s="23">
        <v>44381</v>
      </c>
      <c r="N216" s="24">
        <v>168.45833333333334</v>
      </c>
      <c r="O216" s="24">
        <v>87.966666666666683</v>
      </c>
      <c r="P216" s="24">
        <v>22.685416666666665</v>
      </c>
      <c r="Q216" s="24">
        <v>1.4</v>
      </c>
      <c r="R216" s="24">
        <v>221.625</v>
      </c>
      <c r="S216" s="24">
        <v>5.3125</v>
      </c>
      <c r="T216" s="24">
        <v>0.83333333333333337</v>
      </c>
      <c r="U216" s="24">
        <v>20.439583333333328</v>
      </c>
      <c r="V216" s="10">
        <v>0.39529987072719514</v>
      </c>
      <c r="W216" s="25">
        <v>0.46618749999999959</v>
      </c>
      <c r="X216" s="25">
        <v>0.54366666666666696</v>
      </c>
      <c r="Y216" s="25">
        <v>0.59127083333333308</v>
      </c>
      <c r="Z216" s="25">
        <v>0.60356250000000033</v>
      </c>
      <c r="AA216" s="25">
        <v>0.61441666666666672</v>
      </c>
      <c r="AB216" s="25">
        <v>0.511354166666667</v>
      </c>
      <c r="AC216" s="25">
        <v>0.48231249999999976</v>
      </c>
      <c r="AD216" s="25">
        <v>0.41974999999999979</v>
      </c>
      <c r="AE216" s="25">
        <v>0.46714893617021236</v>
      </c>
      <c r="AF216" s="25">
        <v>0.30686111111111114</v>
      </c>
      <c r="AG216" s="25">
        <v>0.50189583333333332</v>
      </c>
      <c r="AH216" s="28">
        <f t="shared" si="24"/>
        <v>0.54030208333333318</v>
      </c>
      <c r="AI216" s="28">
        <f t="shared" si="25"/>
        <v>0.52531944444444445</v>
      </c>
      <c r="AJ216" s="28">
        <f t="shared" si="26"/>
        <v>0.52804356060606061</v>
      </c>
    </row>
    <row r="217" spans="1:36" x14ac:dyDescent="0.25">
      <c r="A217" s="9">
        <v>44383</v>
      </c>
      <c r="B217" s="3">
        <v>219.31127878319995</v>
      </c>
      <c r="C217" s="3">
        <v>197.5393558308179</v>
      </c>
      <c r="D217" s="3">
        <v>541.18085772840834</v>
      </c>
      <c r="E217" s="3">
        <v>462.23113305633228</v>
      </c>
      <c r="F217" s="3">
        <v>439.50723443584116</v>
      </c>
      <c r="G217" s="3">
        <v>449.23983264711239</v>
      </c>
      <c r="H217" s="3">
        <v>329.25608366879311</v>
      </c>
      <c r="I217" s="3">
        <v>515.15702364437891</v>
      </c>
      <c r="J217" s="3">
        <f t="shared" si="21"/>
        <v>0.60074595256189833</v>
      </c>
      <c r="K217" s="3">
        <f t="shared" si="22"/>
        <v>0.4282614292841459</v>
      </c>
      <c r="L217" s="3">
        <f t="shared" si="23"/>
        <v>0.52968800097480329</v>
      </c>
      <c r="M217" s="23">
        <v>44383</v>
      </c>
      <c r="N217" s="24">
        <v>154.70833333333334</v>
      </c>
      <c r="O217" s="24">
        <v>83.310416666666683</v>
      </c>
      <c r="P217" s="24">
        <v>23.258333333333336</v>
      </c>
      <c r="Q217" s="24">
        <v>0.2</v>
      </c>
      <c r="R217" s="24">
        <v>225.83333333333334</v>
      </c>
      <c r="S217" s="24">
        <v>10.895833333333334</v>
      </c>
      <c r="T217" s="24">
        <v>1.5</v>
      </c>
      <c r="U217" s="24">
        <v>20.191666666666666</v>
      </c>
      <c r="V217" s="10">
        <v>0.50286529046205908</v>
      </c>
      <c r="W217" s="25">
        <v>0.45147916666666649</v>
      </c>
      <c r="X217" s="25">
        <v>0.53533333333333333</v>
      </c>
      <c r="Y217" s="25">
        <v>0.58649999999999991</v>
      </c>
      <c r="Z217" s="25">
        <v>0.60008333333333364</v>
      </c>
      <c r="AA217" s="25">
        <v>0.61143750000000019</v>
      </c>
      <c r="AB217" s="25">
        <v>0.50445833333333356</v>
      </c>
      <c r="AC217" s="25">
        <v>0.47935416666666647</v>
      </c>
      <c r="AD217" s="25">
        <v>0.41402083333333356</v>
      </c>
      <c r="AE217" s="25">
        <v>0.45700000000000035</v>
      </c>
      <c r="AF217" s="25">
        <v>0.27999999999999997</v>
      </c>
      <c r="AG217" s="25">
        <v>0.47858333333333319</v>
      </c>
      <c r="AH217" s="28">
        <f t="shared" si="24"/>
        <v>0.53145833333333337</v>
      </c>
      <c r="AI217" s="28">
        <f t="shared" si="25"/>
        <v>0.51995833333333341</v>
      </c>
      <c r="AJ217" s="28">
        <f t="shared" si="26"/>
        <v>0.52204924242424255</v>
      </c>
    </row>
    <row r="218" spans="1:36" x14ac:dyDescent="0.25">
      <c r="A218" s="9">
        <v>44384</v>
      </c>
      <c r="B218" s="3">
        <v>235.43602649459996</v>
      </c>
      <c r="C218" s="3">
        <v>271.90449366265307</v>
      </c>
      <c r="D218" s="3">
        <v>651.69973896039073</v>
      </c>
      <c r="E218" s="3">
        <v>531.57023068441674</v>
      </c>
      <c r="F218" s="3">
        <v>504.49072036711601</v>
      </c>
      <c r="G218" s="3">
        <v>533.94363624591517</v>
      </c>
      <c r="H218" s="3">
        <v>356.60016791082762</v>
      </c>
      <c r="I218" s="3">
        <v>584.24276956132655</v>
      </c>
      <c r="J218" s="3">
        <f t="shared" si="21"/>
        <v>0.72468088663101682</v>
      </c>
      <c r="K218" s="3">
        <f t="shared" si="22"/>
        <v>0.49857559058612488</v>
      </c>
      <c r="L218" s="3">
        <f t="shared" si="23"/>
        <v>0.60674720633102097</v>
      </c>
      <c r="M218" s="23">
        <v>44384</v>
      </c>
      <c r="N218" s="24">
        <v>229.3125</v>
      </c>
      <c r="O218" s="24">
        <v>79.666666666666657</v>
      </c>
      <c r="P218" s="24">
        <v>23.897916666666664</v>
      </c>
      <c r="Q218" s="24">
        <v>0</v>
      </c>
      <c r="R218" s="24">
        <v>222.1875</v>
      </c>
      <c r="S218" s="24">
        <v>5.6875</v>
      </c>
      <c r="T218" s="24">
        <v>0.33333333333333331</v>
      </c>
      <c r="U218" s="24">
        <v>19.922916666666662</v>
      </c>
      <c r="V218" s="10">
        <v>0.69033696014073787</v>
      </c>
      <c r="W218" s="25">
        <v>0.43106249999999996</v>
      </c>
      <c r="X218" s="25">
        <v>0.5236249999999999</v>
      </c>
      <c r="Y218" s="25">
        <v>0.57677083333333312</v>
      </c>
      <c r="Z218" s="25">
        <v>0.59424999999999983</v>
      </c>
      <c r="AA218" s="25">
        <v>0.60245833333333365</v>
      </c>
      <c r="AB218" s="25">
        <v>0.49304166666666654</v>
      </c>
      <c r="AC218" s="25">
        <v>0.47368750000000009</v>
      </c>
      <c r="AD218" s="25">
        <v>0.40877083333333347</v>
      </c>
      <c r="AE218" s="25">
        <v>0.44011627906976736</v>
      </c>
      <c r="AF218" s="25">
        <v>0.27116279069767435</v>
      </c>
      <c r="AG218" s="25">
        <v>0.448625</v>
      </c>
      <c r="AH218" s="28">
        <f t="shared" si="24"/>
        <v>0.51676041666666683</v>
      </c>
      <c r="AI218" s="28">
        <f t="shared" si="25"/>
        <v>0.51169097222222215</v>
      </c>
      <c r="AJ218" s="28">
        <f t="shared" si="26"/>
        <v>0.51261268939393934</v>
      </c>
    </row>
    <row r="219" spans="1:36" x14ac:dyDescent="0.25">
      <c r="A219" s="9">
        <v>44385</v>
      </c>
      <c r="B219" s="3">
        <v>149.667093126</v>
      </c>
      <c r="C219" s="3">
        <v>147.90854965669172</v>
      </c>
      <c r="D219" s="3">
        <v>444.6140970636398</v>
      </c>
      <c r="E219" s="3">
        <v>379.07819153871208</v>
      </c>
      <c r="F219" s="3">
        <v>292.83426640286393</v>
      </c>
      <c r="G219" s="3">
        <v>326.80052621908544</v>
      </c>
      <c r="H219" s="3">
        <v>236.20256179246957</v>
      </c>
      <c r="I219" s="3">
        <v>396.91010799165599</v>
      </c>
      <c r="J219" s="3">
        <f t="shared" si="21"/>
        <v>0.49245680791216856</v>
      </c>
      <c r="K219" s="3">
        <f t="shared" si="22"/>
        <v>0.34393917037670052</v>
      </c>
      <c r="L219" s="3">
        <f t="shared" si="23"/>
        <v>0.3797715565358043</v>
      </c>
      <c r="M219" s="23">
        <v>44385</v>
      </c>
      <c r="N219" s="24">
        <v>143.85416666666666</v>
      </c>
      <c r="O219" s="24">
        <v>84.754166666666663</v>
      </c>
      <c r="P219" s="24">
        <v>22.270833333333332</v>
      </c>
      <c r="Q219" s="24">
        <v>0.2</v>
      </c>
      <c r="R219" s="24">
        <v>222</v>
      </c>
      <c r="S219" s="24">
        <v>6.416666666666667</v>
      </c>
      <c r="T219" s="24">
        <v>0.6875</v>
      </c>
      <c r="U219" s="24">
        <v>19.516666666666669</v>
      </c>
      <c r="V219" s="10">
        <v>0.43509291928196564</v>
      </c>
      <c r="W219" s="25">
        <v>0.40745833333333342</v>
      </c>
      <c r="X219" s="25">
        <v>0.51200000000000012</v>
      </c>
      <c r="Y219" s="25">
        <v>0.56583333333333352</v>
      </c>
      <c r="Z219" s="25">
        <v>0.58831249999999946</v>
      </c>
      <c r="AA219" s="25">
        <v>0.59229166666666677</v>
      </c>
      <c r="AB219" s="25">
        <v>0.4812083333333334</v>
      </c>
      <c r="AC219" s="25">
        <v>0.4672708333333333</v>
      </c>
      <c r="AD219" s="25">
        <v>0.40318750000000003</v>
      </c>
      <c r="AE219" s="25">
        <v>0.42160416666666672</v>
      </c>
      <c r="AF219" s="25">
        <v>0.25054166666666683</v>
      </c>
      <c r="AG219" s="25">
        <v>0.41972916666666671</v>
      </c>
      <c r="AH219" s="28">
        <f t="shared" si="24"/>
        <v>0.49987500000000007</v>
      </c>
      <c r="AI219" s="28">
        <f t="shared" si="25"/>
        <v>0.50296875000000008</v>
      </c>
      <c r="AJ219" s="28">
        <f t="shared" si="26"/>
        <v>0.50240625000000005</v>
      </c>
    </row>
    <row r="220" spans="1:36" x14ac:dyDescent="0.25">
      <c r="A220" s="9">
        <v>44386</v>
      </c>
      <c r="B220" s="3">
        <v>181.3876736094</v>
      </c>
      <c r="C220" s="3">
        <v>230.38701705464231</v>
      </c>
      <c r="D220" s="3">
        <v>669.63104291738603</v>
      </c>
      <c r="E220" s="3">
        <v>574.27587538383091</v>
      </c>
      <c r="F220" s="3">
        <v>411.77000337469241</v>
      </c>
      <c r="G220" s="3">
        <v>490.04462302241228</v>
      </c>
      <c r="H220" s="3">
        <v>363.45665010647673</v>
      </c>
      <c r="I220" s="3">
        <v>540.38217999726248</v>
      </c>
      <c r="J220" s="3">
        <f t="shared" si="21"/>
        <v>0.74478889848302643</v>
      </c>
      <c r="K220" s="3">
        <f t="shared" si="22"/>
        <v>0.54188177270585558</v>
      </c>
      <c r="L220" s="3">
        <f t="shared" si="23"/>
        <v>0.55395246537388321</v>
      </c>
      <c r="M220" s="23">
        <v>44386</v>
      </c>
      <c r="N220" s="24">
        <v>235.8125</v>
      </c>
      <c r="O220" s="24">
        <v>81.358333333333334</v>
      </c>
      <c r="P220" s="24">
        <v>22.695833333333329</v>
      </c>
      <c r="Q220" s="24">
        <v>0.4</v>
      </c>
      <c r="R220" s="24">
        <v>233.52083333333334</v>
      </c>
      <c r="S220" s="24">
        <v>12.479166666666666</v>
      </c>
      <c r="T220" s="24">
        <v>1.625</v>
      </c>
      <c r="U220" s="24">
        <v>19.195833333333322</v>
      </c>
      <c r="V220" s="10">
        <v>0.5633741847165129</v>
      </c>
      <c r="W220" s="25">
        <v>0.38339583333333338</v>
      </c>
      <c r="X220" s="25">
        <v>0.50099999999999989</v>
      </c>
      <c r="Y220" s="25">
        <v>0.55445833333333383</v>
      </c>
      <c r="Z220" s="25">
        <v>0.58206249999999982</v>
      </c>
      <c r="AA220" s="25">
        <v>0.58095833333333369</v>
      </c>
      <c r="AB220" s="25">
        <v>0.47020833333333312</v>
      </c>
      <c r="AC220" s="25">
        <v>0.46110416666666637</v>
      </c>
      <c r="AD220" s="25">
        <v>0.39791666666666675</v>
      </c>
      <c r="AE220" s="25">
        <v>0.40928571428571431</v>
      </c>
      <c r="AF220" s="25">
        <v>0.23848275862068974</v>
      </c>
      <c r="AG220" s="25">
        <v>0.39158333333333317</v>
      </c>
      <c r="AH220" s="28">
        <f t="shared" si="24"/>
        <v>0.48217708333333353</v>
      </c>
      <c r="AI220" s="28">
        <f t="shared" si="25"/>
        <v>0.49445833333333322</v>
      </c>
      <c r="AJ220" s="28">
        <f t="shared" si="26"/>
        <v>0.49222537878787875</v>
      </c>
    </row>
    <row r="221" spans="1:36" x14ac:dyDescent="0.25">
      <c r="A221" s="9">
        <v>44387</v>
      </c>
      <c r="B221" s="3">
        <v>236.61603705959996</v>
      </c>
      <c r="C221" s="3">
        <v>269.00149589702676</v>
      </c>
      <c r="D221" s="3">
        <v>734.7411447808214</v>
      </c>
      <c r="E221" s="3">
        <v>665.91468417714759</v>
      </c>
      <c r="F221" s="3">
        <v>480.26357936671707</v>
      </c>
      <c r="G221" s="3">
        <v>552.92713848905396</v>
      </c>
      <c r="H221" s="3">
        <v>407.68384761581507</v>
      </c>
      <c r="I221" s="3">
        <v>529.26487062197839</v>
      </c>
      <c r="J221" s="3">
        <f t="shared" si="21"/>
        <v>0.81780281331573734</v>
      </c>
      <c r="K221" s="3">
        <f t="shared" si="22"/>
        <v>0.63480922926976469</v>
      </c>
      <c r="L221" s="3">
        <f t="shared" si="23"/>
        <v>0.59989884394412352</v>
      </c>
      <c r="M221" s="23">
        <v>44387</v>
      </c>
      <c r="N221" s="24">
        <v>271.625</v>
      </c>
      <c r="O221" s="24">
        <v>76.418750000000017</v>
      </c>
      <c r="P221" s="24">
        <v>23.360416666666666</v>
      </c>
      <c r="Q221" s="24">
        <v>0</v>
      </c>
      <c r="R221" s="24">
        <v>225.375</v>
      </c>
      <c r="S221" s="24">
        <v>17.333333333333332</v>
      </c>
      <c r="T221" s="24">
        <v>3.375</v>
      </c>
      <c r="U221" s="24">
        <v>18.814583333333335</v>
      </c>
      <c r="V221" s="10">
        <v>0.7360902906261716</v>
      </c>
      <c r="W221" s="25">
        <v>0.34804166666666675</v>
      </c>
      <c r="X221" s="25">
        <v>0.48337500000000011</v>
      </c>
      <c r="Y221" s="25">
        <v>0.53545833333333326</v>
      </c>
      <c r="Z221" s="25">
        <v>0.56945833333333307</v>
      </c>
      <c r="AA221" s="25">
        <v>0.56387500000000002</v>
      </c>
      <c r="AB221" s="25">
        <v>0.45120833333333343</v>
      </c>
      <c r="AC221" s="25">
        <v>0.44756250000000009</v>
      </c>
      <c r="AD221" s="25">
        <v>0.38845833333333329</v>
      </c>
      <c r="AE221" s="25">
        <v>0.38886666666666669</v>
      </c>
      <c r="AF221" s="25">
        <v>0.20036842105263156</v>
      </c>
      <c r="AG221" s="25">
        <v>0.34500000000000003</v>
      </c>
      <c r="AH221" s="28">
        <f t="shared" si="24"/>
        <v>0.45595833333333335</v>
      </c>
      <c r="AI221" s="28">
        <f t="shared" si="25"/>
        <v>0.47925347222222214</v>
      </c>
      <c r="AJ221" s="28">
        <f t="shared" si="26"/>
        <v>0.47501799242424236</v>
      </c>
    </row>
    <row r="222" spans="1:36" x14ac:dyDescent="0.25">
      <c r="A222" s="9">
        <v>44388</v>
      </c>
      <c r="B222" s="3">
        <v>208.65528715320005</v>
      </c>
      <c r="C222" s="3">
        <v>264.57463501782229</v>
      </c>
      <c r="D222" s="3">
        <v>699.76516216349114</v>
      </c>
      <c r="E222" s="3">
        <v>654.62359251331702</v>
      </c>
      <c r="F222" s="3">
        <v>452.68239371099509</v>
      </c>
      <c r="G222" s="3">
        <v>566.71212908257223</v>
      </c>
      <c r="H222" s="3">
        <v>397.19376009041514</v>
      </c>
      <c r="I222" s="3">
        <v>457.43157933994212</v>
      </c>
      <c r="J222" s="3">
        <f t="shared" si="21"/>
        <v>0.77858104368360814</v>
      </c>
      <c r="K222" s="3">
        <f t="shared" si="22"/>
        <v>0.6233593594606075</v>
      </c>
      <c r="L222" s="3">
        <f t="shared" si="23"/>
        <v>0.56478998019933235</v>
      </c>
      <c r="M222" s="23">
        <v>44388</v>
      </c>
      <c r="N222" s="24">
        <v>266.02083333333331</v>
      </c>
      <c r="O222" s="24">
        <v>74.733333333333334</v>
      </c>
      <c r="P222" s="24">
        <v>23.618750000000002</v>
      </c>
      <c r="Q222" s="24">
        <v>0</v>
      </c>
      <c r="R222" s="24">
        <v>225.97916666666666</v>
      </c>
      <c r="S222" s="24">
        <v>15.395833333333334</v>
      </c>
      <c r="T222" s="24">
        <v>2.6875</v>
      </c>
      <c r="U222" s="24">
        <v>18.783333333333335</v>
      </c>
      <c r="V222" s="10">
        <v>0.77934554577110016</v>
      </c>
      <c r="W222" s="25">
        <v>0.31481250000000011</v>
      </c>
      <c r="X222" s="25">
        <v>0.46095833333333358</v>
      </c>
      <c r="Y222" s="25">
        <v>0.51341666666666652</v>
      </c>
      <c r="Z222" s="25">
        <v>0.55066666666666686</v>
      </c>
      <c r="AA222" s="25">
        <v>0.54156249999999995</v>
      </c>
      <c r="AB222" s="25">
        <v>0.42631250000000004</v>
      </c>
      <c r="AC222" s="25">
        <v>0.42897916666666663</v>
      </c>
      <c r="AD222" s="25">
        <v>0.37547916666666664</v>
      </c>
      <c r="AE222" s="25">
        <v>0.35682051282051275</v>
      </c>
      <c r="AF222" s="25">
        <v>0.17494999999999999</v>
      </c>
      <c r="AG222" s="25">
        <v>0.29414583333333338</v>
      </c>
      <c r="AH222" s="28">
        <f t="shared" si="24"/>
        <v>0.42818750000000005</v>
      </c>
      <c r="AI222" s="28">
        <f t="shared" si="25"/>
        <v>0.45930208333333339</v>
      </c>
      <c r="AJ222" s="28">
        <f t="shared" si="26"/>
        <v>0.45364488636363642</v>
      </c>
    </row>
    <row r="223" spans="1:36" x14ac:dyDescent="0.25">
      <c r="A223" s="9">
        <v>44389</v>
      </c>
      <c r="B223" s="3">
        <v>188.22239267219999</v>
      </c>
      <c r="C223" s="3">
        <v>256.61340893945146</v>
      </c>
      <c r="D223" s="3">
        <v>636.01963373919443</v>
      </c>
      <c r="E223" s="3">
        <v>695.59998571955384</v>
      </c>
      <c r="F223" s="3">
        <v>455.30778566786489</v>
      </c>
      <c r="G223" s="3">
        <v>488.97389467303486</v>
      </c>
      <c r="H223" s="3">
        <v>382.64562997313715</v>
      </c>
      <c r="I223" s="3">
        <v>471.22943831752178</v>
      </c>
      <c r="J223" s="3">
        <f t="shared" si="21"/>
        <v>0.70709734990748874</v>
      </c>
      <c r="K223" s="3">
        <f t="shared" si="22"/>
        <v>0.66491197292164084</v>
      </c>
      <c r="L223" s="3">
        <f t="shared" si="23"/>
        <v>0.54470582660593525</v>
      </c>
      <c r="M223" s="23">
        <v>44389</v>
      </c>
      <c r="N223" s="24">
        <v>284.125</v>
      </c>
      <c r="O223" s="24">
        <v>75.810416666666711</v>
      </c>
      <c r="P223" s="24">
        <v>24.489583333333332</v>
      </c>
      <c r="Q223" s="24">
        <v>0</v>
      </c>
      <c r="R223" s="24">
        <v>229.125</v>
      </c>
      <c r="S223" s="24">
        <v>14.583333333333334</v>
      </c>
      <c r="T223" s="24">
        <v>2.375</v>
      </c>
      <c r="U223" s="24">
        <v>19.760416666666668</v>
      </c>
      <c r="V223" s="10">
        <v>0.82395965576254293</v>
      </c>
      <c r="W223" s="25">
        <v>0.29216666666666674</v>
      </c>
      <c r="X223" s="25">
        <v>0.43812499999999993</v>
      </c>
      <c r="Y223" s="25">
        <v>0.49308333333333348</v>
      </c>
      <c r="Z223" s="25">
        <v>0.52920833333333339</v>
      </c>
      <c r="AA223" s="25">
        <v>0.51993750000000027</v>
      </c>
      <c r="AB223" s="25">
        <v>0.40127083333333352</v>
      </c>
      <c r="AC223" s="25">
        <v>0.40918749999999976</v>
      </c>
      <c r="AD223" s="25">
        <v>0.36133333333333328</v>
      </c>
      <c r="AE223" s="25">
        <v>0.3222916666666667</v>
      </c>
      <c r="AF223" s="25">
        <v>0.15786111111111109</v>
      </c>
      <c r="AG223" s="25">
        <v>0.26239583333333338</v>
      </c>
      <c r="AH223" s="28">
        <f t="shared" si="24"/>
        <v>0.40605208333333354</v>
      </c>
      <c r="AI223" s="28">
        <f t="shared" si="25"/>
        <v>0.43870138888888882</v>
      </c>
      <c r="AJ223" s="28">
        <f t="shared" si="26"/>
        <v>0.43276515151515149</v>
      </c>
    </row>
    <row r="224" spans="1:36" x14ac:dyDescent="0.25">
      <c r="A224" s="9">
        <v>44390</v>
      </c>
      <c r="B224" s="3">
        <v>145.91058100200001</v>
      </c>
      <c r="C224" s="3">
        <v>199.76212834435279</v>
      </c>
      <c r="D224" s="3">
        <v>541.65074607414033</v>
      </c>
      <c r="E224" s="3">
        <v>607.32209305127617</v>
      </c>
      <c r="F224" s="3">
        <v>411.58984500402994</v>
      </c>
      <c r="G224" s="3">
        <v>341.70982555021772</v>
      </c>
      <c r="H224" s="3">
        <v>360.95843356469396</v>
      </c>
      <c r="I224" s="3">
        <v>392.34770367524311</v>
      </c>
      <c r="J224" s="3">
        <f t="shared" si="21"/>
        <v>0.60127288135903212</v>
      </c>
      <c r="K224" s="3">
        <f t="shared" si="22"/>
        <v>0.57539269452304276</v>
      </c>
      <c r="L224" s="3">
        <f t="shared" si="23"/>
        <v>0.45406155720681685</v>
      </c>
      <c r="M224" s="23">
        <v>44390</v>
      </c>
      <c r="N224" s="24">
        <v>205.39583333333334</v>
      </c>
      <c r="O224" s="24">
        <v>77.229166666666686</v>
      </c>
      <c r="P224" s="24">
        <v>24.612500000000001</v>
      </c>
      <c r="Q224" s="24">
        <v>0</v>
      </c>
      <c r="R224" s="24">
        <v>229.77083333333334</v>
      </c>
      <c r="S224" s="24">
        <v>10.1875</v>
      </c>
      <c r="T224" s="24">
        <v>0.97916666666666663</v>
      </c>
      <c r="U224" s="24">
        <v>20.268749999999997</v>
      </c>
      <c r="V224" s="10">
        <v>0.75309228552959884</v>
      </c>
      <c r="W224" s="25">
        <v>0.27691666666666681</v>
      </c>
      <c r="X224" s="25">
        <v>0.41470833333333323</v>
      </c>
      <c r="Y224" s="25">
        <v>0.47483333333333344</v>
      </c>
      <c r="Z224" s="25">
        <v>0.50731249999999983</v>
      </c>
      <c r="AA224" s="25">
        <v>0.50093749999999992</v>
      </c>
      <c r="AB224" s="25">
        <v>0.38049999999999984</v>
      </c>
      <c r="AC224" s="25">
        <v>0.39083333333333359</v>
      </c>
      <c r="AD224" s="25">
        <v>0.34735416666666663</v>
      </c>
      <c r="AE224" s="25">
        <v>0.28625</v>
      </c>
      <c r="AF224" s="25">
        <v>0.14441666666666664</v>
      </c>
      <c r="AG224" s="25">
        <v>0.24462500000000012</v>
      </c>
      <c r="AH224" s="28">
        <f t="shared" si="24"/>
        <v>0.38892708333333337</v>
      </c>
      <c r="AI224" s="28">
        <f t="shared" si="25"/>
        <v>0.41925694444444445</v>
      </c>
      <c r="AJ224" s="28">
        <f t="shared" si="26"/>
        <v>0.4137424242424243</v>
      </c>
    </row>
    <row r="225" spans="1:36" x14ac:dyDescent="0.25">
      <c r="A225" s="9">
        <v>44391</v>
      </c>
      <c r="B225" s="3">
        <v>163.91074134960002</v>
      </c>
      <c r="C225" s="3">
        <v>201.00654489365448</v>
      </c>
      <c r="D225" s="3">
        <v>511.13079382726414</v>
      </c>
      <c r="E225" s="3">
        <v>668.98552820315263</v>
      </c>
      <c r="F225" s="3">
        <v>443.81823623991698</v>
      </c>
      <c r="G225" s="3">
        <v>352.67185785446821</v>
      </c>
      <c r="H225" s="3">
        <v>385.67460148658273</v>
      </c>
      <c r="I225" s="3">
        <v>433.99869006127165</v>
      </c>
      <c r="J225" s="3">
        <f t="shared" si="21"/>
        <v>0.56704806631073557</v>
      </c>
      <c r="K225" s="3">
        <f t="shared" si="22"/>
        <v>0.63792325626988367</v>
      </c>
      <c r="L225" s="3">
        <f t="shared" si="23"/>
        <v>0.49002103466158686</v>
      </c>
      <c r="M225" s="23">
        <v>44391</v>
      </c>
      <c r="N225" s="24">
        <v>207.1875</v>
      </c>
      <c r="O225" s="24">
        <v>78.006250000000009</v>
      </c>
      <c r="P225" s="24">
        <v>24.762499999999992</v>
      </c>
      <c r="Q225" s="24">
        <v>0</v>
      </c>
      <c r="R225" s="24">
        <v>230.25</v>
      </c>
      <c r="S225" s="24">
        <v>14.520833333333334</v>
      </c>
      <c r="T225" s="24">
        <v>2.875</v>
      </c>
      <c r="U225" s="24">
        <v>20.564583333333335</v>
      </c>
      <c r="V225" s="10">
        <v>0.73484804383761426</v>
      </c>
      <c r="W225" s="25">
        <v>0.26666666666666655</v>
      </c>
      <c r="X225" s="25">
        <v>0.39443750000000005</v>
      </c>
      <c r="Y225" s="25">
        <v>0.45989583333333356</v>
      </c>
      <c r="Z225" s="25">
        <v>0.48695833333333322</v>
      </c>
      <c r="AA225" s="25">
        <v>0.48381250000000015</v>
      </c>
      <c r="AB225" s="25">
        <v>0.36502083333333335</v>
      </c>
      <c r="AC225" s="25">
        <v>0.3758333333333333</v>
      </c>
      <c r="AD225" s="25">
        <v>0.3357291666666668</v>
      </c>
      <c r="AE225" s="25">
        <v>0.25520833333333337</v>
      </c>
      <c r="AF225" s="25">
        <v>0.13879999999999998</v>
      </c>
      <c r="AG225" s="25">
        <v>0.23470833333333332</v>
      </c>
      <c r="AH225" s="28">
        <f t="shared" si="24"/>
        <v>0.37523958333333335</v>
      </c>
      <c r="AI225" s="28">
        <f t="shared" si="25"/>
        <v>0.40297916666666672</v>
      </c>
      <c r="AJ225" s="28">
        <f t="shared" si="26"/>
        <v>0.39793560606060613</v>
      </c>
    </row>
    <row r="226" spans="1:36" x14ac:dyDescent="0.25">
      <c r="A226" s="9">
        <v>44392</v>
      </c>
      <c r="B226" s="3">
        <v>164.82706021620004</v>
      </c>
      <c r="C226" s="3">
        <v>186.22880379533257</v>
      </c>
      <c r="D226" s="3">
        <v>463.49824163546106</v>
      </c>
      <c r="E226" s="3">
        <v>686.6023577648881</v>
      </c>
      <c r="F226" s="3">
        <v>430.88163131695467</v>
      </c>
      <c r="G226" s="3">
        <v>314.65865386048551</v>
      </c>
      <c r="H226" s="3">
        <v>360.74427923752148</v>
      </c>
      <c r="I226" s="2">
        <v>275.54658318562718</v>
      </c>
      <c r="J226" s="3">
        <f t="shared" si="21"/>
        <v>0.51363332713106835</v>
      </c>
      <c r="K226" s="3">
        <f t="shared" si="22"/>
        <v>0.65578781807998165</v>
      </c>
      <c r="L226" s="3">
        <f t="shared" si="23"/>
        <v>0.40620614408710237</v>
      </c>
      <c r="M226" s="23">
        <v>44392</v>
      </c>
      <c r="N226" s="24">
        <v>208.39583333333334</v>
      </c>
      <c r="O226" s="24">
        <v>78.24166666666666</v>
      </c>
      <c r="P226" s="24">
        <v>24.089583333333334</v>
      </c>
      <c r="Q226" s="24">
        <v>0</v>
      </c>
      <c r="R226" s="24">
        <v>228.39583333333334</v>
      </c>
      <c r="S226" s="24">
        <v>16.270833333333332</v>
      </c>
      <c r="T226" s="24">
        <v>3.2291666666666665</v>
      </c>
      <c r="U226" s="24">
        <v>19.968750000000004</v>
      </c>
      <c r="V226" s="10">
        <v>0.69252270244538439</v>
      </c>
      <c r="W226" s="25">
        <v>0.25843750000000021</v>
      </c>
      <c r="X226" s="25">
        <v>0.37699999999999995</v>
      </c>
      <c r="Y226" s="25">
        <v>0.4447291666666669</v>
      </c>
      <c r="Z226" s="25">
        <v>0.4684374999999999</v>
      </c>
      <c r="AA226" s="25">
        <v>0.46733333333333321</v>
      </c>
      <c r="AB226" s="25">
        <v>0.35252083333333339</v>
      </c>
      <c r="AC226" s="25">
        <v>0.36354166666666665</v>
      </c>
      <c r="AD226" s="25">
        <v>0.32487500000000014</v>
      </c>
      <c r="AE226" s="25">
        <v>0.23008333333333339</v>
      </c>
      <c r="AF226" s="25">
        <v>0.13416666666666666</v>
      </c>
      <c r="AG226" s="25">
        <v>0.22729166666666678</v>
      </c>
      <c r="AH226" s="28">
        <f t="shared" si="24"/>
        <v>0.36288541666666674</v>
      </c>
      <c r="AI226" s="28">
        <f t="shared" si="25"/>
        <v>0.38851736111111107</v>
      </c>
      <c r="AJ226" s="28">
        <f t="shared" si="26"/>
        <v>0.38385700757575753</v>
      </c>
    </row>
    <row r="227" spans="1:36" x14ac:dyDescent="0.25">
      <c r="A227" s="9">
        <v>44396</v>
      </c>
      <c r="B227" s="3">
        <v>105.56570055060003</v>
      </c>
      <c r="C227" s="3">
        <v>134.15515330010541</v>
      </c>
      <c r="D227" s="3">
        <v>359.4500866084876</v>
      </c>
      <c r="E227" s="3">
        <v>521.06608740814193</v>
      </c>
      <c r="F227" s="3">
        <v>337.39855939751322</v>
      </c>
      <c r="G227" s="3">
        <v>223.72397833342694</v>
      </c>
      <c r="H227" s="3">
        <v>314.16546158296751</v>
      </c>
      <c r="I227" s="2">
        <v>195.91508782658198</v>
      </c>
      <c r="J227" s="3">
        <f t="shared" si="21"/>
        <v>0.39695461043094199</v>
      </c>
      <c r="K227" s="3">
        <f t="shared" si="22"/>
        <v>0.48792373542889922</v>
      </c>
      <c r="L227" s="3">
        <f t="shared" si="23"/>
        <v>0.30939358882438944</v>
      </c>
      <c r="M227" s="23">
        <v>44396</v>
      </c>
      <c r="N227" s="24">
        <v>167.10416666666666</v>
      </c>
      <c r="O227" s="24">
        <v>87.16249999999998</v>
      </c>
      <c r="P227" s="24">
        <v>21.170833333333338</v>
      </c>
      <c r="Q227" s="24">
        <v>0.5</v>
      </c>
      <c r="R227" s="24">
        <v>224.6875</v>
      </c>
      <c r="S227" s="24">
        <v>2.3541666666666665</v>
      </c>
      <c r="T227" s="24">
        <v>2.0833333333333332E-2</v>
      </c>
      <c r="U227" s="24">
        <v>18.802083333333332</v>
      </c>
      <c r="V227" s="10">
        <v>0.37782055820488242</v>
      </c>
      <c r="W227" s="25">
        <v>0.43706250000000019</v>
      </c>
      <c r="X227" s="25">
        <v>0.5331041666666666</v>
      </c>
      <c r="Y227" s="25">
        <v>0.58364583333333331</v>
      </c>
      <c r="Z227" s="25">
        <v>0.59781250000000019</v>
      </c>
      <c r="AA227" s="25">
        <v>0.57427083333333317</v>
      </c>
      <c r="AB227" s="25">
        <v>0.49272916666666666</v>
      </c>
      <c r="AC227" s="25">
        <v>0.46841666666666693</v>
      </c>
      <c r="AD227" s="25">
        <v>0.40241666666666642</v>
      </c>
      <c r="AE227" s="25">
        <v>0.43927083333333344</v>
      </c>
      <c r="AF227" s="25">
        <v>0.27952380952380951</v>
      </c>
      <c r="AG227" s="25">
        <v>0.47322916666666637</v>
      </c>
      <c r="AH227" s="28">
        <f t="shared" si="24"/>
        <v>0.50566666666666671</v>
      </c>
      <c r="AI227" s="28">
        <f t="shared" si="25"/>
        <v>0.51302083333333337</v>
      </c>
      <c r="AJ227" s="28">
        <f t="shared" si="26"/>
        <v>0.51168371212121211</v>
      </c>
    </row>
    <row r="228" spans="1:36" x14ac:dyDescent="0.25">
      <c r="A228" s="9">
        <v>44397</v>
      </c>
      <c r="B228" s="3">
        <v>98.668781632799991</v>
      </c>
      <c r="C228" s="3">
        <v>122.14948607870112</v>
      </c>
      <c r="D228" s="3">
        <v>308.80254900142478</v>
      </c>
      <c r="E228" s="3">
        <v>484.26409461563361</v>
      </c>
      <c r="F228" s="3">
        <v>360.83917550111653</v>
      </c>
      <c r="G228" s="3">
        <v>231.78620238194375</v>
      </c>
      <c r="H228" s="3">
        <v>298.16447144547669</v>
      </c>
      <c r="I228" s="2">
        <v>202.97517742586814</v>
      </c>
      <c r="J228" s="3">
        <f t="shared" si="21"/>
        <v>0.34015889223217621</v>
      </c>
      <c r="K228" s="3">
        <f t="shared" si="22"/>
        <v>0.45060422384069815</v>
      </c>
      <c r="L228" s="3">
        <f t="shared" si="23"/>
        <v>0.31584937561157322</v>
      </c>
      <c r="M228" s="23">
        <v>44397</v>
      </c>
      <c r="N228" s="24">
        <v>176.14583333333334</v>
      </c>
      <c r="O228" s="24">
        <v>86.175000000000011</v>
      </c>
      <c r="P228" s="24">
        <v>22.041666666666661</v>
      </c>
      <c r="Q228" s="24">
        <v>1.5999999999999999</v>
      </c>
      <c r="R228" s="24">
        <v>212.0625</v>
      </c>
      <c r="S228" s="24">
        <v>2.4791666666666665</v>
      </c>
      <c r="T228" s="24">
        <v>4.1666666666666664E-2</v>
      </c>
      <c r="U228" s="24">
        <v>19.487499999999997</v>
      </c>
      <c r="V228" s="10">
        <v>0.42298313960141337</v>
      </c>
      <c r="W228" s="25">
        <v>0.418375</v>
      </c>
      <c r="X228" s="25">
        <v>0.52141666666666675</v>
      </c>
      <c r="Y228" s="25">
        <v>0.57564583333333386</v>
      </c>
      <c r="Z228" s="25">
        <v>0.59224999999999994</v>
      </c>
      <c r="AA228" s="25">
        <v>0.56997916666666704</v>
      </c>
      <c r="AB228" s="25">
        <v>0.48322916666666638</v>
      </c>
      <c r="AC228" s="25">
        <v>0.46320833333333344</v>
      </c>
      <c r="AD228" s="25">
        <v>0.39881250000000001</v>
      </c>
      <c r="AE228" s="25">
        <v>0.43010416666666657</v>
      </c>
      <c r="AF228" s="25">
        <v>0.27102083333333338</v>
      </c>
      <c r="AG228" s="25">
        <v>0.45312500000000022</v>
      </c>
      <c r="AH228" s="28">
        <f t="shared" si="24"/>
        <v>0.49417708333333354</v>
      </c>
      <c r="AI228" s="28">
        <f t="shared" si="25"/>
        <v>0.50576041666666682</v>
      </c>
      <c r="AJ228" s="28">
        <f t="shared" si="26"/>
        <v>0.50365435606060627</v>
      </c>
    </row>
    <row r="229" spans="1:36" x14ac:dyDescent="0.25">
      <c r="A229" s="9">
        <v>44399</v>
      </c>
      <c r="B229" s="3">
        <v>63.108415756800014</v>
      </c>
      <c r="C229" s="3">
        <v>96.951152225347926</v>
      </c>
      <c r="D229" s="3">
        <v>291.94205848810134</v>
      </c>
      <c r="E229" s="3">
        <v>448.8377914525031</v>
      </c>
      <c r="F229" s="3">
        <v>288.61128575318901</v>
      </c>
      <c r="G229" s="3">
        <v>236.28715644392454</v>
      </c>
      <c r="H229" s="3">
        <v>245.6315581295014</v>
      </c>
      <c r="I229" s="2">
        <v>206.91666289794472</v>
      </c>
      <c r="J229" s="3">
        <f t="shared" si="21"/>
        <v>0.32125168147462613</v>
      </c>
      <c r="K229" s="3">
        <f t="shared" si="22"/>
        <v>0.41467974717233952</v>
      </c>
      <c r="L229" s="3">
        <f t="shared" si="23"/>
        <v>0.28221742030099251</v>
      </c>
      <c r="M229" s="23">
        <v>44399</v>
      </c>
      <c r="N229" s="24">
        <v>130.47916666666666</v>
      </c>
      <c r="O229" s="24">
        <v>87.068750000000023</v>
      </c>
      <c r="P229" s="24">
        <v>22.03958333333334</v>
      </c>
      <c r="Q229" s="24">
        <v>0.2</v>
      </c>
      <c r="R229" s="24">
        <v>243.39583333333334</v>
      </c>
      <c r="S229" s="24">
        <v>1.7708333333333333</v>
      </c>
      <c r="T229" s="24">
        <v>0.10416666666666667</v>
      </c>
      <c r="U229" s="24">
        <v>19.6875</v>
      </c>
      <c r="V229" s="10">
        <v>0.38782928637413061</v>
      </c>
      <c r="W229" s="25">
        <v>0.39677083333333324</v>
      </c>
      <c r="X229" s="25">
        <v>0.50845833333333301</v>
      </c>
      <c r="Y229" s="25">
        <v>0.55877083333333311</v>
      </c>
      <c r="Z229" s="25">
        <v>0.58224999999999927</v>
      </c>
      <c r="AA229" s="25">
        <v>0.57062500000000049</v>
      </c>
      <c r="AB229" s="25">
        <v>0.47385416666666641</v>
      </c>
      <c r="AC229" s="25">
        <v>0.45166666666666694</v>
      </c>
      <c r="AD229" s="25">
        <v>0.38937500000000019</v>
      </c>
      <c r="AE229" s="25">
        <v>0.43512499999999998</v>
      </c>
      <c r="AF229" s="25">
        <v>0.27654166666666685</v>
      </c>
      <c r="AG229" s="25">
        <v>0.46241666666666653</v>
      </c>
      <c r="AH229" s="28">
        <f t="shared" si="24"/>
        <v>0.48369791666666684</v>
      </c>
      <c r="AI229" s="28">
        <f t="shared" si="25"/>
        <v>0.49406249999999985</v>
      </c>
      <c r="AJ229" s="28">
        <f t="shared" si="26"/>
        <v>0.49217803030303026</v>
      </c>
    </row>
    <row r="230" spans="1:36" x14ac:dyDescent="0.25">
      <c r="A230" s="9">
        <v>44407</v>
      </c>
      <c r="B230" s="3">
        <v>26.645154638400008</v>
      </c>
      <c r="C230" s="3">
        <v>176.85279069444294</v>
      </c>
      <c r="D230" s="3">
        <v>427.68539039673198</v>
      </c>
      <c r="E230" s="3">
        <v>585.78112823370964</v>
      </c>
      <c r="F230" s="3">
        <v>528.62056704108829</v>
      </c>
      <c r="G230" s="3">
        <v>448.5447137561876</v>
      </c>
      <c r="H230" s="3">
        <v>534.31228249199944</v>
      </c>
      <c r="I230" s="2">
        <v>392.79060583629348</v>
      </c>
      <c r="J230" s="3">
        <f t="shared" si="21"/>
        <v>0.4734731001397855</v>
      </c>
      <c r="K230" s="3">
        <f t="shared" si="22"/>
        <v>0.55354881528903965</v>
      </c>
      <c r="L230" s="3">
        <f t="shared" si="23"/>
        <v>0.57064908038061479</v>
      </c>
      <c r="M230" s="23">
        <v>44407</v>
      </c>
      <c r="N230" s="24">
        <v>263</v>
      </c>
      <c r="O230" s="24">
        <v>79.620833333333337</v>
      </c>
      <c r="P230" s="24">
        <v>25.360416666666669</v>
      </c>
      <c r="Q230" s="24">
        <v>0</v>
      </c>
      <c r="R230" s="24">
        <v>195.52083333333334</v>
      </c>
      <c r="S230" s="24">
        <v>1.4583333333333333</v>
      </c>
      <c r="T230" s="24">
        <v>8.3333333333333329E-2</v>
      </c>
      <c r="U230" s="24">
        <v>21.247916666666658</v>
      </c>
      <c r="V230" s="10">
        <v>0.80767386415336073</v>
      </c>
      <c r="W230" s="25">
        <v>0.4314791666666668</v>
      </c>
      <c r="X230" s="25">
        <v>0.53400000000000014</v>
      </c>
      <c r="Y230" s="25">
        <v>0.58422916666666669</v>
      </c>
      <c r="Z230" s="25">
        <v>0.60477083333333381</v>
      </c>
      <c r="AA230" s="25">
        <v>0.610104166666667</v>
      </c>
      <c r="AB230" s="25">
        <v>0.49737499999999973</v>
      </c>
      <c r="AC230" s="25">
        <v>0.47702083333333362</v>
      </c>
      <c r="AD230" s="25">
        <v>0.41254166666666697</v>
      </c>
      <c r="AE230" s="25">
        <v>0.45487500000000014</v>
      </c>
      <c r="AF230" s="25">
        <v>0.28904444444444449</v>
      </c>
      <c r="AG230" s="25">
        <v>0.49189583333333337</v>
      </c>
      <c r="AH230" s="28">
        <f t="shared" si="24"/>
        <v>0.52079166666666687</v>
      </c>
      <c r="AI230" s="28">
        <f t="shared" si="25"/>
        <v>0.51832291666666686</v>
      </c>
      <c r="AJ230" s="28">
        <f t="shared" si="26"/>
        <v>0.51877178030303051</v>
      </c>
    </row>
    <row r="231" spans="1:36" x14ac:dyDescent="0.25">
      <c r="A231" s="9">
        <v>44408</v>
      </c>
      <c r="B231" s="3">
        <v>1.0129988195999999</v>
      </c>
      <c r="C231" s="3">
        <v>52.140140095209304</v>
      </c>
      <c r="D231" s="3">
        <v>160.97328917498979</v>
      </c>
      <c r="E231" s="3">
        <v>192.60110491288953</v>
      </c>
      <c r="F231" s="3">
        <v>243.24828811458647</v>
      </c>
      <c r="G231" s="3">
        <v>163.99136475684477</v>
      </c>
      <c r="H231" s="3">
        <v>366.22479244849978</v>
      </c>
      <c r="I231" s="2">
        <v>143.60723811756898</v>
      </c>
      <c r="J231" s="3">
        <f t="shared" si="21"/>
        <v>0.17438441672315386</v>
      </c>
      <c r="K231" s="3">
        <f t="shared" si="22"/>
        <v>0.15483979647858337</v>
      </c>
      <c r="L231" s="3">
        <f t="shared" si="23"/>
        <v>0.26267576495185235</v>
      </c>
      <c r="M231" s="23">
        <v>44408</v>
      </c>
      <c r="N231" s="24">
        <v>89.041666666666671</v>
      </c>
      <c r="O231" s="24">
        <v>87.154166666666654</v>
      </c>
      <c r="P231" s="24">
        <v>22.406250000000004</v>
      </c>
      <c r="Q231" s="24">
        <v>0</v>
      </c>
      <c r="R231" s="24">
        <v>151.4375</v>
      </c>
      <c r="S231" s="24">
        <v>0.125</v>
      </c>
      <c r="T231" s="24">
        <v>0</v>
      </c>
      <c r="U231" s="24">
        <v>20.141666666666669</v>
      </c>
      <c r="V231" s="10">
        <v>0.36061390843318558</v>
      </c>
      <c r="W231" s="25">
        <v>0.41091666666666643</v>
      </c>
      <c r="X231" s="25">
        <v>0.52174999999999983</v>
      </c>
      <c r="Y231" s="25">
        <v>0.57274999999999998</v>
      </c>
      <c r="Z231" s="25">
        <v>0.59945833333333309</v>
      </c>
      <c r="AA231" s="25">
        <v>0.60072916666666665</v>
      </c>
      <c r="AB231" s="25">
        <v>0.48512500000000008</v>
      </c>
      <c r="AC231" s="25">
        <v>0.47158333333333302</v>
      </c>
      <c r="AD231" s="25">
        <v>0.40747916666666645</v>
      </c>
      <c r="AE231" s="25">
        <v>0.44097916666666676</v>
      </c>
      <c r="AF231" s="25">
        <v>0.27456249999999999</v>
      </c>
      <c r="AG231" s="25">
        <v>0.46958333333333346</v>
      </c>
      <c r="AH231" s="28">
        <f t="shared" si="24"/>
        <v>0.50582291666666657</v>
      </c>
      <c r="AI231" s="28">
        <f t="shared" si="25"/>
        <v>0.50969097222222215</v>
      </c>
      <c r="AJ231" s="28">
        <f t="shared" si="26"/>
        <v>0.50898768939393935</v>
      </c>
    </row>
    <row r="232" spans="1:36" x14ac:dyDescent="0.25">
      <c r="A232" s="9">
        <v>44409</v>
      </c>
      <c r="B232" s="3">
        <v>39.4820659584</v>
      </c>
      <c r="C232" s="3">
        <v>200.54352423935089</v>
      </c>
      <c r="D232" s="3">
        <v>585.46255658920836</v>
      </c>
      <c r="E232" s="3">
        <v>759.38362792111957</v>
      </c>
      <c r="F232" s="3">
        <v>671.22098702944538</v>
      </c>
      <c r="G232" s="3">
        <v>548.60552936862928</v>
      </c>
      <c r="H232" s="3">
        <v>617.26083156612231</v>
      </c>
      <c r="I232" s="2">
        <v>480.4138620681087</v>
      </c>
      <c r="J232" s="3">
        <f t="shared" si="21"/>
        <v>0.65040307329642899</v>
      </c>
      <c r="K232" s="3">
        <f t="shared" si="22"/>
        <v>0.72959255659817379</v>
      </c>
      <c r="L232" s="3">
        <f t="shared" si="23"/>
        <v>0.69809171924447366</v>
      </c>
      <c r="M232" s="23">
        <v>44409</v>
      </c>
      <c r="N232" s="24">
        <v>288.22916666666669</v>
      </c>
      <c r="O232" s="24">
        <v>68.789583333333326</v>
      </c>
      <c r="P232" s="24">
        <v>25.087500000000006</v>
      </c>
      <c r="Q232" s="24">
        <v>0</v>
      </c>
      <c r="R232" s="24">
        <v>116.20833333333333</v>
      </c>
      <c r="S232" s="24">
        <v>1.1458333333333333</v>
      </c>
      <c r="T232" s="24">
        <v>0</v>
      </c>
      <c r="U232" s="24">
        <v>18.160416666666666</v>
      </c>
      <c r="V232" s="10">
        <v>1.2428157284528296</v>
      </c>
      <c r="W232" s="25">
        <v>0.38824999999999993</v>
      </c>
      <c r="X232" s="25">
        <v>0.51035416666666678</v>
      </c>
      <c r="Y232" s="25">
        <v>0.56033333333333324</v>
      </c>
      <c r="Z232" s="25">
        <v>0.59297916666666628</v>
      </c>
      <c r="AA232" s="25">
        <v>0.58962499999999973</v>
      </c>
      <c r="AB232" s="25">
        <v>0.47447916666666662</v>
      </c>
      <c r="AC232" s="25">
        <v>0.46429166666666633</v>
      </c>
      <c r="AD232" s="25">
        <v>0.40202083333333322</v>
      </c>
      <c r="AE232" s="25">
        <v>0.42614583333333339</v>
      </c>
      <c r="AF232" s="25">
        <v>0.25744827586206898</v>
      </c>
      <c r="AG232" s="25">
        <v>0.45575000000000004</v>
      </c>
      <c r="AH232" s="28">
        <f t="shared" si="24"/>
        <v>0.4889374999999998</v>
      </c>
      <c r="AI232" s="28">
        <f t="shared" si="25"/>
        <v>0.50074305555555554</v>
      </c>
      <c r="AJ232" s="28">
        <f t="shared" si="26"/>
        <v>0.49859659090909081</v>
      </c>
    </row>
    <row r="233" spans="1:36" x14ac:dyDescent="0.25">
      <c r="A233" s="9">
        <v>44410</v>
      </c>
      <c r="B233" s="3">
        <v>56.530964593800007</v>
      </c>
      <c r="C233" s="3">
        <v>213.51343746700368</v>
      </c>
      <c r="D233" s="3">
        <v>591.91023553546415</v>
      </c>
      <c r="E233" s="3">
        <v>925.29818478742106</v>
      </c>
      <c r="F233" s="3">
        <v>779.14656261353082</v>
      </c>
      <c r="G233" s="3">
        <v>421.55364813346324</v>
      </c>
      <c r="H233" s="3">
        <v>744.926406023661</v>
      </c>
      <c r="I233" s="2">
        <v>369.15452967047378</v>
      </c>
      <c r="J233" s="3">
        <f t="shared" si="21"/>
        <v>0.65763344566534343</v>
      </c>
      <c r="K233" s="3">
        <f t="shared" si="22"/>
        <v>0.89784024531799844</v>
      </c>
      <c r="L233" s="3">
        <f t="shared" si="23"/>
        <v>0.68915336190952226</v>
      </c>
      <c r="M233" s="23">
        <v>44410</v>
      </c>
      <c r="N233" s="24">
        <v>259.79166666666669</v>
      </c>
      <c r="O233" s="24">
        <v>67.122916666666654</v>
      </c>
      <c r="P233" s="24">
        <v>25.343749999999996</v>
      </c>
      <c r="Q233" s="24">
        <v>0</v>
      </c>
      <c r="R233" s="24">
        <v>216.08333333333334</v>
      </c>
      <c r="S233" s="24">
        <v>1.6875</v>
      </c>
      <c r="T233" s="24">
        <v>0</v>
      </c>
      <c r="U233" s="24">
        <v>18.583333333333332</v>
      </c>
      <c r="V233" s="10">
        <v>1.1906514679283202</v>
      </c>
      <c r="W233" s="25">
        <v>0.34133333333333332</v>
      </c>
      <c r="X233" s="25">
        <v>0.4876458333333335</v>
      </c>
      <c r="Y233" s="25">
        <v>0.53297916666666667</v>
      </c>
      <c r="Z233" s="25">
        <v>0.57658333333333345</v>
      </c>
      <c r="AA233" s="25">
        <v>0.56683333333333319</v>
      </c>
      <c r="AB233" s="25">
        <v>0.45022916666666651</v>
      </c>
      <c r="AC233" s="25">
        <v>0.44522916666666679</v>
      </c>
      <c r="AD233" s="25">
        <v>0.38783333333333342</v>
      </c>
      <c r="AE233" s="25">
        <v>0.40087500000000009</v>
      </c>
      <c r="AF233" s="25">
        <v>0.22339285714285709</v>
      </c>
      <c r="AG233" s="25">
        <v>0.43387499999999973</v>
      </c>
      <c r="AH233" s="28">
        <f t="shared" si="24"/>
        <v>0.45408333333333328</v>
      </c>
      <c r="AI233" s="28">
        <f t="shared" si="25"/>
        <v>0.48008333333333336</v>
      </c>
      <c r="AJ233" s="28">
        <f t="shared" si="26"/>
        <v>0.47535606060606062</v>
      </c>
    </row>
    <row r="234" spans="1:36" x14ac:dyDescent="0.25">
      <c r="A234" s="9">
        <v>44411</v>
      </c>
      <c r="B234" s="3">
        <v>49.325153191200009</v>
      </c>
      <c r="C234" s="3">
        <v>210.98167984896205</v>
      </c>
      <c r="D234" s="3">
        <v>567.48190306956963</v>
      </c>
      <c r="E234" s="3">
        <v>894.45921899551502</v>
      </c>
      <c r="F234" s="3">
        <v>776.07386272951908</v>
      </c>
      <c r="G234" s="3">
        <v>350.8203523648923</v>
      </c>
      <c r="H234" s="3">
        <v>702.98671816927765</v>
      </c>
      <c r="I234" s="2">
        <v>307.21338256593617</v>
      </c>
      <c r="J234" s="3">
        <f t="shared" si="21"/>
        <v>0.63023972126431294</v>
      </c>
      <c r="K234" s="3">
        <f t="shared" si="22"/>
        <v>0.8665676143023906</v>
      </c>
      <c r="L234" s="3">
        <f t="shared" si="23"/>
        <v>0.63129322512861952</v>
      </c>
      <c r="M234" s="23">
        <v>44411</v>
      </c>
      <c r="N234" s="24">
        <v>268.1875</v>
      </c>
      <c r="O234" s="24">
        <v>66.975000000000009</v>
      </c>
      <c r="P234" s="24">
        <v>25.597916666666674</v>
      </c>
      <c r="Q234" s="24">
        <v>0</v>
      </c>
      <c r="R234" s="24">
        <v>216.8125</v>
      </c>
      <c r="S234" s="24">
        <v>1.2291666666666667</v>
      </c>
      <c r="T234" s="24">
        <v>0</v>
      </c>
      <c r="U234" s="24">
        <v>18.691666666666666</v>
      </c>
      <c r="V234" s="10">
        <v>1.2429253657469082</v>
      </c>
      <c r="W234" s="25">
        <v>0.30572916666666661</v>
      </c>
      <c r="X234" s="25">
        <v>0.46147916666666672</v>
      </c>
      <c r="Y234" s="25">
        <v>0.50524999999999987</v>
      </c>
      <c r="Z234" s="25">
        <v>0.55327083333333338</v>
      </c>
      <c r="AA234" s="25">
        <v>0.53920833333333318</v>
      </c>
      <c r="AB234" s="25">
        <v>0.42066666666666674</v>
      </c>
      <c r="AC234" s="25">
        <v>0.42260416666666667</v>
      </c>
      <c r="AD234" s="25">
        <v>0.37039583333333342</v>
      </c>
      <c r="AE234" s="25">
        <v>0.37468750000000006</v>
      </c>
      <c r="AF234" s="25">
        <v>0.18634999999999999</v>
      </c>
      <c r="AG234" s="25">
        <v>0.40381250000000013</v>
      </c>
      <c r="AH234" s="28">
        <f t="shared" si="24"/>
        <v>0.42246874999999989</v>
      </c>
      <c r="AI234" s="28">
        <f t="shared" si="25"/>
        <v>0.45561111111111113</v>
      </c>
      <c r="AJ234" s="28">
        <f t="shared" si="26"/>
        <v>0.44958522727272726</v>
      </c>
    </row>
    <row r="235" spans="1:36" x14ac:dyDescent="0.25">
      <c r="A235" s="9">
        <v>44412</v>
      </c>
      <c r="B235" s="3">
        <v>57.294612790199984</v>
      </c>
      <c r="C235" s="3">
        <v>208.23898200157149</v>
      </c>
      <c r="D235" s="3">
        <v>559.61967758780543</v>
      </c>
      <c r="E235" s="3">
        <v>959.70308266864902</v>
      </c>
      <c r="F235" s="3">
        <v>760.64508790871275</v>
      </c>
      <c r="G235" s="3">
        <v>361.19052028468514</v>
      </c>
      <c r="H235" s="3">
        <v>670.93908297971484</v>
      </c>
      <c r="I235" s="2">
        <v>316.29453861329881</v>
      </c>
      <c r="J235" s="3">
        <f t="shared" si="21"/>
        <v>0.62142308843327942</v>
      </c>
      <c r="K235" s="3">
        <f t="shared" si="22"/>
        <v>0.93272895344879103</v>
      </c>
      <c r="L235" s="3">
        <f t="shared" si="23"/>
        <v>0.62341239561901118</v>
      </c>
      <c r="M235" s="23">
        <v>44412</v>
      </c>
      <c r="N235" s="24">
        <v>277.14583333333331</v>
      </c>
      <c r="O235" s="24">
        <v>67.133333333333326</v>
      </c>
      <c r="P235" s="24">
        <v>25.997916666666665</v>
      </c>
      <c r="Q235" s="24">
        <v>0</v>
      </c>
      <c r="R235" s="24">
        <v>234.70833333333334</v>
      </c>
      <c r="S235" s="24">
        <v>2.0833333333333335</v>
      </c>
      <c r="T235" s="24">
        <v>2.0833333333333332E-2</v>
      </c>
      <c r="U235" s="24">
        <v>19.066666666666666</v>
      </c>
      <c r="V235" s="10">
        <v>1.2748251516316242</v>
      </c>
      <c r="W235" s="25">
        <v>0.28075</v>
      </c>
      <c r="X235" s="25">
        <v>0.43210416666666679</v>
      </c>
      <c r="Y235" s="25">
        <v>0.47939583333333308</v>
      </c>
      <c r="Z235" s="25">
        <v>0.52531250000000018</v>
      </c>
      <c r="AA235" s="25">
        <v>0.51045833333333346</v>
      </c>
      <c r="AB235" s="25">
        <v>0.39079166666666665</v>
      </c>
      <c r="AC235" s="25">
        <v>0.39783333333333348</v>
      </c>
      <c r="AD235" s="25">
        <v>0.35168749999999999</v>
      </c>
      <c r="AE235" s="25">
        <v>0.33997916666666667</v>
      </c>
      <c r="AF235" s="25">
        <v>0.16399999999999998</v>
      </c>
      <c r="AG235" s="25">
        <v>0.36145833333333338</v>
      </c>
      <c r="AH235" s="28">
        <f t="shared" si="24"/>
        <v>0.39560416666666676</v>
      </c>
      <c r="AI235" s="28">
        <f t="shared" si="25"/>
        <v>0.42952083333333335</v>
      </c>
      <c r="AJ235" s="28">
        <f t="shared" si="26"/>
        <v>0.4233541666666667</v>
      </c>
    </row>
    <row r="236" spans="1:36" x14ac:dyDescent="0.25">
      <c r="A236" s="9">
        <v>44413</v>
      </c>
      <c r="B236" s="3">
        <v>51.638419074600002</v>
      </c>
      <c r="C236" s="3">
        <v>200.81059006088591</v>
      </c>
      <c r="D236" s="3">
        <v>521.60143843893979</v>
      </c>
      <c r="E236" s="3">
        <v>970.63815170373118</v>
      </c>
      <c r="F236" s="3">
        <v>724.18983020587598</v>
      </c>
      <c r="G236" s="3">
        <v>369.96719166669868</v>
      </c>
      <c r="H236" s="3">
        <v>613.49325473492286</v>
      </c>
      <c r="I236" s="2">
        <v>323.98026974252804</v>
      </c>
      <c r="J236" s="3">
        <f t="shared" si="21"/>
        <v>0.57878975818404843</v>
      </c>
      <c r="K236" s="3">
        <f t="shared" si="22"/>
        <v>0.94381779415025435</v>
      </c>
      <c r="L236" s="3">
        <f t="shared" si="23"/>
        <v>0.60077147412401699</v>
      </c>
      <c r="M236" s="23">
        <v>44413</v>
      </c>
      <c r="N236" s="24">
        <v>272.64583333333331</v>
      </c>
      <c r="O236" s="24">
        <v>66.749999999999986</v>
      </c>
      <c r="P236" s="24">
        <v>26.110416666666669</v>
      </c>
      <c r="Q236" s="24">
        <v>0</v>
      </c>
      <c r="R236" s="24">
        <v>210.6875</v>
      </c>
      <c r="S236" s="24">
        <v>2.2291666666666665</v>
      </c>
      <c r="T236" s="24">
        <v>0</v>
      </c>
      <c r="U236" s="24">
        <v>18.981249999999996</v>
      </c>
      <c r="V236" s="10">
        <v>1.3189600447859569</v>
      </c>
      <c r="W236" s="25">
        <v>0.26441666666666647</v>
      </c>
      <c r="X236" s="25">
        <v>0.40291666666666665</v>
      </c>
      <c r="Y236" s="25">
        <v>0.45860416666666687</v>
      </c>
      <c r="Z236" s="25">
        <v>0.49637500000000007</v>
      </c>
      <c r="AA236" s="25">
        <v>0.48593750000000013</v>
      </c>
      <c r="AB236" s="25">
        <v>0.36779166666666668</v>
      </c>
      <c r="AC236" s="25">
        <v>0.37687500000000013</v>
      </c>
      <c r="AD236" s="25">
        <v>0.33502083333333338</v>
      </c>
      <c r="AE236" s="25">
        <v>0.30014583333333328</v>
      </c>
      <c r="AF236" s="25">
        <v>0.15</v>
      </c>
      <c r="AG236" s="25">
        <v>0.31389583333333326</v>
      </c>
      <c r="AH236" s="28">
        <f t="shared" si="24"/>
        <v>0.37517708333333333</v>
      </c>
      <c r="AI236" s="28">
        <f t="shared" si="25"/>
        <v>0.40626388888888898</v>
      </c>
      <c r="AJ236" s="28">
        <f t="shared" si="26"/>
        <v>0.40061174242424252</v>
      </c>
    </row>
    <row r="237" spans="1:36" x14ac:dyDescent="0.25">
      <c r="A237" s="9">
        <v>44414</v>
      </c>
      <c r="B237" s="3">
        <v>44.301915095399998</v>
      </c>
      <c r="C237" s="3">
        <v>168.40469999207377</v>
      </c>
      <c r="D237" s="3">
        <v>474.06684936155619</v>
      </c>
      <c r="E237" s="3">
        <v>1026.0412651625702</v>
      </c>
      <c r="F237" s="3">
        <v>664.78148451998788</v>
      </c>
      <c r="G237" s="3">
        <v>349.79073379890667</v>
      </c>
      <c r="H237" s="3">
        <v>584.39686866796978</v>
      </c>
      <c r="I237" s="2">
        <v>306.3117455877026</v>
      </c>
      <c r="J237" s="3">
        <f t="shared" si="21"/>
        <v>0.52548487400826327</v>
      </c>
      <c r="K237" s="3">
        <f t="shared" si="22"/>
        <v>1</v>
      </c>
      <c r="L237" s="3">
        <f t="shared" si="23"/>
        <v>0.562727830476494</v>
      </c>
      <c r="M237" s="23">
        <v>44414</v>
      </c>
      <c r="N237" s="24">
        <v>252.39583333333334</v>
      </c>
      <c r="O237" s="24">
        <v>69.964583333333337</v>
      </c>
      <c r="P237" s="24">
        <v>26.112500000000001</v>
      </c>
      <c r="Q237" s="24">
        <v>0</v>
      </c>
      <c r="R237" s="24">
        <v>222.41666666666666</v>
      </c>
      <c r="S237" s="24">
        <v>2.5208333333333335</v>
      </c>
      <c r="T237" s="24">
        <v>6.25E-2</v>
      </c>
      <c r="U237" s="24">
        <v>19.899999999999999</v>
      </c>
      <c r="V237" s="10">
        <v>1.1660348370183631</v>
      </c>
      <c r="W237" s="25">
        <v>0.2539791666666667</v>
      </c>
      <c r="X237" s="25">
        <v>0.37835416666666649</v>
      </c>
      <c r="Y237" s="25">
        <v>0.44106249999999997</v>
      </c>
      <c r="Z237" s="25">
        <v>0.47020833333333312</v>
      </c>
      <c r="AA237" s="25">
        <v>0.46562499999999973</v>
      </c>
      <c r="AB237" s="25">
        <v>0.35114583333333349</v>
      </c>
      <c r="AC237" s="25">
        <v>0.36089583333333314</v>
      </c>
      <c r="AD237" s="25">
        <v>0.32089583333333338</v>
      </c>
      <c r="AE237" s="25">
        <v>0.26158333333333345</v>
      </c>
      <c r="AF237" s="25">
        <v>0.1399</v>
      </c>
      <c r="AG237" s="25">
        <v>0.27470833333333333</v>
      </c>
      <c r="AH237" s="28">
        <f t="shared" si="24"/>
        <v>0.35980208333333319</v>
      </c>
      <c r="AI237" s="28">
        <f t="shared" si="25"/>
        <v>0.38709374999999985</v>
      </c>
      <c r="AJ237" s="28">
        <f t="shared" si="26"/>
        <v>0.38213162878787865</v>
      </c>
    </row>
    <row r="238" spans="1:36" x14ac:dyDescent="0.25">
      <c r="A238" s="9">
        <v>44415</v>
      </c>
      <c r="B238" s="3">
        <v>65.578904472600001</v>
      </c>
      <c r="C238" s="3">
        <v>160.42463223429343</v>
      </c>
      <c r="D238" s="3">
        <v>436.15703289268066</v>
      </c>
      <c r="E238" s="3">
        <v>1011.2795208651953</v>
      </c>
      <c r="F238" s="3">
        <v>617.9570694999253</v>
      </c>
      <c r="G238" s="3">
        <v>379.3994014290202</v>
      </c>
      <c r="H238" s="3">
        <v>547.63078276717749</v>
      </c>
      <c r="I238" s="2">
        <v>332.24005583139302</v>
      </c>
      <c r="J238" s="3">
        <f t="shared" si="21"/>
        <v>0.48297312803084513</v>
      </c>
      <c r="K238" s="3">
        <f t="shared" si="22"/>
        <v>0.98503067237489139</v>
      </c>
      <c r="L238" s="3">
        <f t="shared" si="23"/>
        <v>0.55662516448587529</v>
      </c>
      <c r="M238" s="23">
        <v>44415</v>
      </c>
      <c r="N238" s="24">
        <v>238.1875</v>
      </c>
      <c r="O238" s="24">
        <v>74.329166666666666</v>
      </c>
      <c r="P238" s="24">
        <v>26.381250000000005</v>
      </c>
      <c r="Q238" s="24">
        <v>0</v>
      </c>
      <c r="R238" s="24">
        <v>222.95833333333334</v>
      </c>
      <c r="S238" s="24">
        <v>4.8125</v>
      </c>
      <c r="T238" s="24">
        <v>0.29166666666666669</v>
      </c>
      <c r="U238" s="24">
        <v>21.133333333333329</v>
      </c>
      <c r="V238" s="10">
        <v>1.0070133103334029</v>
      </c>
      <c r="W238" s="25">
        <v>0.24743749999999987</v>
      </c>
      <c r="X238" s="25">
        <v>0.36222916666666666</v>
      </c>
      <c r="Y238" s="25">
        <v>0.42802083333333352</v>
      </c>
      <c r="Z238" s="25">
        <v>0.45064583333333325</v>
      </c>
      <c r="AA238" s="25">
        <v>0.4512500000000001</v>
      </c>
      <c r="AB238" s="25">
        <v>0.34087499999999998</v>
      </c>
      <c r="AC238" s="25">
        <v>0.3507083333333334</v>
      </c>
      <c r="AD238" s="25">
        <v>0.31006249999999996</v>
      </c>
      <c r="AE238" s="25">
        <v>0.23185416666666669</v>
      </c>
      <c r="AF238" s="25">
        <v>0.136125</v>
      </c>
      <c r="AG238" s="25">
        <v>0.25091666666666651</v>
      </c>
      <c r="AH238" s="28">
        <f t="shared" si="24"/>
        <v>0.34934374999999995</v>
      </c>
      <c r="AI238" s="28">
        <f t="shared" si="25"/>
        <v>0.37375694444444446</v>
      </c>
      <c r="AJ238" s="28">
        <f t="shared" si="26"/>
        <v>0.36931818181818182</v>
      </c>
    </row>
    <row r="239" spans="1:36" x14ac:dyDescent="0.25">
      <c r="A239" s="9">
        <v>44416</v>
      </c>
      <c r="B239" s="3">
        <v>86.083745826600008</v>
      </c>
      <c r="C239" s="3">
        <v>156.42121330005239</v>
      </c>
      <c r="D239" s="3">
        <v>380.48555575923132</v>
      </c>
      <c r="E239" s="3">
        <v>965.79497771031231</v>
      </c>
      <c r="F239" s="3">
        <v>562.27647949926916</v>
      </c>
      <c r="G239" s="3">
        <v>367.59539177106842</v>
      </c>
      <c r="H239" s="3">
        <v>540.47762917684611</v>
      </c>
      <c r="I239" s="2">
        <v>321.90328457392462</v>
      </c>
      <c r="J239" s="3">
        <f t="shared" si="21"/>
        <v>0.42054360674767238</v>
      </c>
      <c r="K239" s="3">
        <f t="shared" si="22"/>
        <v>0.93890651423695948</v>
      </c>
      <c r="L239" s="3">
        <f t="shared" si="23"/>
        <v>0.53168372632171623</v>
      </c>
      <c r="M239" s="23">
        <v>44416</v>
      </c>
      <c r="N239" s="24">
        <v>195.45833333333334</v>
      </c>
      <c r="O239" s="24">
        <v>77.67083333333332</v>
      </c>
      <c r="P239" s="24">
        <v>25.797916666666655</v>
      </c>
      <c r="Q239" s="24">
        <v>0</v>
      </c>
      <c r="R239" s="24">
        <v>232.33333333333334</v>
      </c>
      <c r="S239" s="24">
        <v>8.4375</v>
      </c>
      <c r="T239" s="24">
        <v>0.75</v>
      </c>
      <c r="U239" s="24">
        <v>21.447916666666671</v>
      </c>
      <c r="V239" s="10">
        <v>0.80393698280569603</v>
      </c>
      <c r="W239" s="25">
        <v>0.24333333333333332</v>
      </c>
      <c r="X239" s="25">
        <v>0.34947916666666662</v>
      </c>
      <c r="Y239" s="25">
        <v>0.41949999999999998</v>
      </c>
      <c r="Z239" s="25">
        <v>0.43620833333333336</v>
      </c>
      <c r="AA239" s="25">
        <v>0.44016666666666687</v>
      </c>
      <c r="AB239" s="25">
        <v>0.33420833333333338</v>
      </c>
      <c r="AC239" s="25">
        <v>0.34352083333333328</v>
      </c>
      <c r="AD239" s="25">
        <v>0.3016250000000002</v>
      </c>
      <c r="AE239" s="25">
        <v>0.2111666666666667</v>
      </c>
      <c r="AF239" s="25">
        <v>0.13252380952380957</v>
      </c>
      <c r="AG239" s="25">
        <v>0.23797916666666663</v>
      </c>
      <c r="AH239" s="28">
        <f t="shared" si="24"/>
        <v>0.34175000000000011</v>
      </c>
      <c r="AI239" s="28">
        <f t="shared" si="25"/>
        <v>0.36409027777777775</v>
      </c>
      <c r="AJ239" s="28">
        <f t="shared" si="26"/>
        <v>0.36002840909090905</v>
      </c>
    </row>
    <row r="240" spans="1:36" x14ac:dyDescent="0.25">
      <c r="A240" s="9">
        <v>44418</v>
      </c>
      <c r="B240" s="3">
        <v>36.739177770600001</v>
      </c>
      <c r="C240" s="3">
        <v>143.99484571681788</v>
      </c>
      <c r="D240" s="3">
        <v>438.2471112033835</v>
      </c>
      <c r="E240" s="3">
        <v>730.52183468518854</v>
      </c>
      <c r="F240" s="3">
        <v>487.66551500889904</v>
      </c>
      <c r="G240" s="3">
        <v>392.75579191222306</v>
      </c>
      <c r="H240" s="3">
        <v>450.16644720097634</v>
      </c>
      <c r="I240" s="2">
        <v>343.93624697753376</v>
      </c>
      <c r="J240" s="3">
        <f t="shared" si="21"/>
        <v>0.48531692408405103</v>
      </c>
      <c r="K240" s="3">
        <f t="shared" si="22"/>
        <v>0.70032490163184125</v>
      </c>
      <c r="L240" s="3">
        <f t="shared" si="23"/>
        <v>0.49835722153147283</v>
      </c>
      <c r="M240" s="23">
        <v>44418</v>
      </c>
      <c r="N240" s="24">
        <v>232.625</v>
      </c>
      <c r="O240" s="24">
        <v>80.347916666666649</v>
      </c>
      <c r="P240" s="24">
        <v>24.664583333333336</v>
      </c>
      <c r="Q240" s="24">
        <v>0</v>
      </c>
      <c r="R240" s="24">
        <v>238.77083333333334</v>
      </c>
      <c r="S240" s="24">
        <v>2.4791666666666665</v>
      </c>
      <c r="T240" s="24">
        <v>6.25E-2</v>
      </c>
      <c r="U240" s="24">
        <v>20.716666666666661</v>
      </c>
      <c r="V240" s="10">
        <v>0.75015926574658331</v>
      </c>
      <c r="W240" s="25">
        <v>0.24154166666666654</v>
      </c>
      <c r="X240" s="25">
        <v>0.33931249999999996</v>
      </c>
      <c r="Y240" s="25">
        <v>0.41387499999999994</v>
      </c>
      <c r="Z240" s="25">
        <v>0.42725000000000007</v>
      </c>
      <c r="AA240" s="25">
        <v>0.43237500000000012</v>
      </c>
      <c r="AB240" s="25">
        <v>0.33608333333333357</v>
      </c>
      <c r="AC240" s="25">
        <v>0.33745833333333358</v>
      </c>
      <c r="AD240" s="25">
        <v>0.29539583333333314</v>
      </c>
      <c r="AE240" s="25">
        <v>0.22572916666666673</v>
      </c>
      <c r="AF240" s="25">
        <v>0.17150000000000001</v>
      </c>
      <c r="AG240" s="25">
        <v>0.29664583333333333</v>
      </c>
      <c r="AH240" s="28">
        <f t="shared" si="24"/>
        <v>0.33695833333333336</v>
      </c>
      <c r="AI240" s="28">
        <f t="shared" si="25"/>
        <v>0.35822916666666677</v>
      </c>
      <c r="AJ240" s="28">
        <f t="shared" si="26"/>
        <v>0.35436174242424251</v>
      </c>
    </row>
    <row r="241" spans="1:36" x14ac:dyDescent="0.25">
      <c r="A241" s="9">
        <v>44422</v>
      </c>
      <c r="B241" s="3">
        <v>0.89734741559999998</v>
      </c>
      <c r="C241" s="3">
        <v>2.2119767137737303</v>
      </c>
      <c r="D241" s="3">
        <v>31.71613224752554</v>
      </c>
      <c r="E241" s="3">
        <v>177.86492552936781</v>
      </c>
      <c r="F241" s="3">
        <v>117.84629148682367</v>
      </c>
      <c r="G241" s="3">
        <v>99.912424010815542</v>
      </c>
      <c r="H241" s="3">
        <v>256.99874538189198</v>
      </c>
      <c r="I241" s="2">
        <v>87.493309706271177</v>
      </c>
      <c r="J241" s="3">
        <f t="shared" si="21"/>
        <v>2.9436539553264335E-2</v>
      </c>
      <c r="K241" s="3">
        <f t="shared" si="22"/>
        <v>0.13989639326751871</v>
      </c>
      <c r="L241" s="3">
        <f t="shared" si="23"/>
        <v>0.15405447579962223</v>
      </c>
      <c r="M241" s="23">
        <v>44422</v>
      </c>
      <c r="N241" s="24">
        <v>77.458333333333329</v>
      </c>
      <c r="O241" s="24">
        <v>88.366666666666632</v>
      </c>
      <c r="P241" s="24">
        <v>20.262499999999999</v>
      </c>
      <c r="Q241" s="24">
        <v>0</v>
      </c>
      <c r="R241" s="24">
        <v>215.60416666666666</v>
      </c>
      <c r="S241" s="24">
        <v>1.1041666666666667</v>
      </c>
      <c r="T241" s="24">
        <v>0</v>
      </c>
      <c r="U241" s="24">
        <v>18.256250000000005</v>
      </c>
      <c r="V241" s="10">
        <v>0.28285461135652545</v>
      </c>
      <c r="W241" s="25">
        <v>0.39891666666666681</v>
      </c>
      <c r="X241" s="25">
        <v>0.5145833333333335</v>
      </c>
      <c r="Y241" s="25">
        <v>0.57733333333333348</v>
      </c>
      <c r="Z241" s="25">
        <v>0.57575000000000032</v>
      </c>
      <c r="AA241" s="25">
        <v>0.5274791666666665</v>
      </c>
      <c r="AB241" s="25">
        <v>0.39462499999999984</v>
      </c>
      <c r="AC241" s="25">
        <v>0.36185416666666681</v>
      </c>
      <c r="AD241" s="25">
        <v>0.30627083333333321</v>
      </c>
      <c r="AE241" s="25">
        <v>0.4459583333333334</v>
      </c>
      <c r="AF241" s="25">
        <v>0.30053571428571429</v>
      </c>
      <c r="AG241" s="25">
        <v>0.49683333333333329</v>
      </c>
      <c r="AH241" s="28">
        <f t="shared" si="24"/>
        <v>0.46319791666666665</v>
      </c>
      <c r="AI241" s="28">
        <f t="shared" si="25"/>
        <v>0.45506944444444453</v>
      </c>
      <c r="AJ241" s="28">
        <f t="shared" si="26"/>
        <v>0.45654734848484851</v>
      </c>
    </row>
    <row r="242" spans="1:36" x14ac:dyDescent="0.25">
      <c r="A242" s="9">
        <v>44425</v>
      </c>
      <c r="B242" s="3">
        <v>9.639761759999999</v>
      </c>
      <c r="C242" s="3">
        <v>42.998676909046715</v>
      </c>
      <c r="D242" s="3">
        <v>166.55877480249018</v>
      </c>
      <c r="E242" s="3">
        <v>409.24635418802779</v>
      </c>
      <c r="F242" s="3">
        <v>268.09761198310281</v>
      </c>
      <c r="G242" s="3">
        <v>260.83907951161473</v>
      </c>
      <c r="H242" s="3">
        <v>440.78757059553647</v>
      </c>
      <c r="I242" s="2">
        <v>228.41678192832103</v>
      </c>
      <c r="J242" s="3">
        <f t="shared" si="21"/>
        <v>0.18064793283254374</v>
      </c>
      <c r="K242" s="3">
        <f t="shared" si="22"/>
        <v>0.37453156524872655</v>
      </c>
      <c r="L242" s="3">
        <f t="shared" si="23"/>
        <v>0.35297356038222488</v>
      </c>
      <c r="M242" s="23">
        <v>44425</v>
      </c>
      <c r="N242" s="24">
        <v>133.22916666666666</v>
      </c>
      <c r="O242" s="24">
        <v>85.839583333333323</v>
      </c>
      <c r="P242" s="24">
        <v>22.572916666666671</v>
      </c>
      <c r="Q242" s="24">
        <v>1.2</v>
      </c>
      <c r="R242" s="24">
        <v>226.08333333333334</v>
      </c>
      <c r="S242" s="24">
        <v>11.1875</v>
      </c>
      <c r="T242" s="24">
        <v>1.8958333333333333</v>
      </c>
      <c r="U242" s="24">
        <v>20.029166666666669</v>
      </c>
      <c r="V242" s="10">
        <v>0.4102184430895599</v>
      </c>
      <c r="W242" s="25">
        <v>0.42214583333333344</v>
      </c>
      <c r="X242" s="25">
        <v>0.52552083333333299</v>
      </c>
      <c r="Y242" s="25">
        <v>0.58264583333333275</v>
      </c>
      <c r="Z242" s="25">
        <v>0.59841666666666671</v>
      </c>
      <c r="AA242" s="25">
        <v>0.54610416666666695</v>
      </c>
      <c r="AB242" s="25">
        <v>0.40531250000000013</v>
      </c>
      <c r="AC242" s="25">
        <v>0.36481250000000026</v>
      </c>
      <c r="AD242" s="25">
        <v>0.30795833333333322</v>
      </c>
      <c r="AE242" s="25">
        <v>0.44624999999999987</v>
      </c>
      <c r="AF242" s="25">
        <v>0.28736363636363632</v>
      </c>
      <c r="AG242" s="25">
        <v>0.4895208333333334</v>
      </c>
      <c r="AH242" s="28">
        <f t="shared" si="24"/>
        <v>0.48412500000000019</v>
      </c>
      <c r="AI242" s="28">
        <f t="shared" si="25"/>
        <v>0.46411111111111092</v>
      </c>
      <c r="AJ242" s="28">
        <f t="shared" si="26"/>
        <v>0.46774999999999989</v>
      </c>
    </row>
    <row r="243" spans="1:36" x14ac:dyDescent="0.25">
      <c r="A243" s="9">
        <v>44427</v>
      </c>
      <c r="B243" s="3">
        <v>29.205910911599997</v>
      </c>
      <c r="C243" s="3">
        <v>115.11425825241091</v>
      </c>
      <c r="D243" s="3">
        <v>361.33830897217956</v>
      </c>
      <c r="E243" s="3">
        <v>584.5025826679323</v>
      </c>
      <c r="F243" s="3">
        <v>442.38354612576279</v>
      </c>
      <c r="G243" s="3">
        <v>462.11944594793817</v>
      </c>
      <c r="H243" s="3">
        <v>574.0789106277449</v>
      </c>
      <c r="I243" s="2">
        <v>404.67799881660949</v>
      </c>
      <c r="J243" s="3">
        <f t="shared" si="21"/>
        <v>0.39907204694082477</v>
      </c>
      <c r="K243" s="3">
        <f t="shared" si="22"/>
        <v>0.55225229049683378</v>
      </c>
      <c r="L243" s="3">
        <f t="shared" si="23"/>
        <v>0.56771797686793424</v>
      </c>
      <c r="M243" s="23">
        <v>44427</v>
      </c>
      <c r="N243" s="24">
        <v>203.89583333333334</v>
      </c>
      <c r="O243" s="24">
        <v>79.899999999999977</v>
      </c>
      <c r="P243" s="24">
        <v>23.966666666666665</v>
      </c>
      <c r="Q243" s="24">
        <v>0</v>
      </c>
      <c r="R243" s="24">
        <v>229.29166666666666</v>
      </c>
      <c r="S243" s="24">
        <v>8.0833333333333339</v>
      </c>
      <c r="T243" s="24">
        <v>0.5</v>
      </c>
      <c r="U243" s="24">
        <v>20.131250000000001</v>
      </c>
      <c r="V243" s="10">
        <v>0.65877077834560704</v>
      </c>
      <c r="W243" s="25">
        <v>0.42654166666666676</v>
      </c>
      <c r="X243" s="25">
        <v>0.53318750000000004</v>
      </c>
      <c r="Y243" s="25">
        <v>0.58435416666666651</v>
      </c>
      <c r="Z243" s="25">
        <v>0.60375000000000012</v>
      </c>
      <c r="AA243" s="25">
        <v>0.606375</v>
      </c>
      <c r="AB243" s="25">
        <v>0.47639583333333335</v>
      </c>
      <c r="AC243" s="25">
        <v>0.46266666666666639</v>
      </c>
      <c r="AD243" s="25">
        <v>0.40374999999999966</v>
      </c>
      <c r="AE243" s="25">
        <v>0.44854166666666678</v>
      </c>
      <c r="AF243" s="25">
        <v>0.2878</v>
      </c>
      <c r="AG243" s="25">
        <v>0.48864583333333339</v>
      </c>
      <c r="AH243" s="28">
        <f t="shared" si="24"/>
        <v>0.51645833333333335</v>
      </c>
      <c r="AI243" s="28">
        <f t="shared" si="25"/>
        <v>0.51068402777777766</v>
      </c>
      <c r="AJ243" s="28">
        <f t="shared" si="26"/>
        <v>0.51173390151515141</v>
      </c>
    </row>
    <row r="244" spans="1:36" x14ac:dyDescent="0.25">
      <c r="A244" s="9">
        <v>44428</v>
      </c>
      <c r="B244" s="3">
        <v>18.2607863436</v>
      </c>
      <c r="C244" s="3">
        <v>128.63120668547606</v>
      </c>
      <c r="D244" s="3">
        <v>457.27666099019876</v>
      </c>
      <c r="E244" s="3">
        <v>668.14782106672988</v>
      </c>
      <c r="F244" s="3">
        <v>430.30758089244881</v>
      </c>
      <c r="G244" s="3">
        <v>465.38337944279834</v>
      </c>
      <c r="H244" s="3">
        <v>561.31266942161608</v>
      </c>
      <c r="I244" s="2">
        <v>407.53622537805853</v>
      </c>
      <c r="J244" s="3">
        <f t="shared" si="21"/>
        <v>0.50665649947518765</v>
      </c>
      <c r="K244" s="3">
        <f t="shared" si="22"/>
        <v>0.6370737690869066</v>
      </c>
      <c r="L244" s="3">
        <f t="shared" si="23"/>
        <v>0.56240316956413949</v>
      </c>
      <c r="M244" s="23">
        <v>44428</v>
      </c>
      <c r="N244" s="24">
        <v>224.10416666666666</v>
      </c>
      <c r="O244" s="24">
        <v>80.262500000000003</v>
      </c>
      <c r="P244" s="24">
        <v>24.320833333333329</v>
      </c>
      <c r="Q244" s="24">
        <v>0</v>
      </c>
      <c r="R244" s="24">
        <v>235.52083333333334</v>
      </c>
      <c r="S244" s="24">
        <v>8.2916666666666661</v>
      </c>
      <c r="T244" s="24">
        <v>0.39583333333333331</v>
      </c>
      <c r="U244" s="24">
        <v>20.560416666666672</v>
      </c>
      <c r="V244" s="10">
        <v>0.65920919768322139</v>
      </c>
      <c r="W244" s="25">
        <v>0.39987500000000026</v>
      </c>
      <c r="X244" s="25">
        <v>0.5173125000000004</v>
      </c>
      <c r="Y244" s="25">
        <v>0.57012499999999999</v>
      </c>
      <c r="Z244" s="25">
        <v>0.59506250000000016</v>
      </c>
      <c r="AA244" s="25">
        <v>0.59508333333333341</v>
      </c>
      <c r="AB244" s="25">
        <v>0.46722916666666681</v>
      </c>
      <c r="AC244" s="25">
        <v>0.45583333333333315</v>
      </c>
      <c r="AD244" s="25">
        <v>0.39674999999999977</v>
      </c>
      <c r="AE244" s="25">
        <v>0.43229166666666646</v>
      </c>
      <c r="AF244" s="25">
        <v>0.26493333333333335</v>
      </c>
      <c r="AG244" s="25">
        <v>0.45995833333333352</v>
      </c>
      <c r="AH244" s="28">
        <f t="shared" si="24"/>
        <v>0.49747916666666681</v>
      </c>
      <c r="AI244" s="28">
        <f t="shared" si="25"/>
        <v>0.50038541666666669</v>
      </c>
      <c r="AJ244" s="28">
        <f t="shared" si="26"/>
        <v>0.49985700757575763</v>
      </c>
    </row>
    <row r="245" spans="1:36" x14ac:dyDescent="0.25">
      <c r="A245" s="9">
        <v>44429</v>
      </c>
      <c r="B245" s="3">
        <v>20.019717568800001</v>
      </c>
      <c r="C245" s="3">
        <v>139.14521071604287</v>
      </c>
      <c r="D245" s="3">
        <v>470.30652214565634</v>
      </c>
      <c r="E245" s="3">
        <v>697.56524884557484</v>
      </c>
      <c r="F245" s="3">
        <v>434.38793425094303</v>
      </c>
      <c r="G245" s="3">
        <v>479.13228566194715</v>
      </c>
      <c r="H245" s="3">
        <v>606.02551819642758</v>
      </c>
      <c r="I245" s="2">
        <v>419.57614255416712</v>
      </c>
      <c r="J245" s="3">
        <f t="shared" si="21"/>
        <v>0.52126807502888672</v>
      </c>
      <c r="K245" s="3">
        <f t="shared" si="22"/>
        <v>0.66690487206758964</v>
      </c>
      <c r="L245" s="3">
        <f t="shared" si="23"/>
        <v>0.58607677212181275</v>
      </c>
      <c r="M245" s="23">
        <v>44429</v>
      </c>
      <c r="N245" s="24">
        <v>227.04166666666666</v>
      </c>
      <c r="O245" s="24">
        <v>79.872916666666669</v>
      </c>
      <c r="P245" s="24">
        <v>24.708333333333332</v>
      </c>
      <c r="Q245" s="24">
        <v>0</v>
      </c>
      <c r="R245" s="24">
        <v>236.58333333333334</v>
      </c>
      <c r="S245" s="24">
        <v>9.9791666666666661</v>
      </c>
      <c r="T245" s="24">
        <v>1.1666666666666667</v>
      </c>
      <c r="U245" s="24">
        <v>20.872916666666672</v>
      </c>
      <c r="V245" s="10">
        <v>0.68056465612410033</v>
      </c>
      <c r="W245" s="25">
        <v>0.37106250000000002</v>
      </c>
      <c r="X245" s="25">
        <v>0.50175000000000003</v>
      </c>
      <c r="Y245" s="25">
        <v>0.55312500000000042</v>
      </c>
      <c r="Z245" s="25">
        <v>0.58533333333333315</v>
      </c>
      <c r="AA245" s="25">
        <v>0.58081249999999995</v>
      </c>
      <c r="AB245" s="25">
        <v>0.45356249999999987</v>
      </c>
      <c r="AC245" s="25">
        <v>0.44504166666666684</v>
      </c>
      <c r="AD245" s="25">
        <v>0.38693749999999988</v>
      </c>
      <c r="AE245" s="25">
        <v>0.41308333333333319</v>
      </c>
      <c r="AF245" s="25">
        <v>0.23459999999999998</v>
      </c>
      <c r="AG245" s="25">
        <v>0.43560416666666663</v>
      </c>
      <c r="AH245" s="28">
        <f t="shared" si="24"/>
        <v>0.47593750000000001</v>
      </c>
      <c r="AI245" s="28">
        <f t="shared" si="25"/>
        <v>0.48762500000000003</v>
      </c>
      <c r="AJ245" s="28">
        <f t="shared" si="26"/>
        <v>0.48549999999999999</v>
      </c>
    </row>
    <row r="246" spans="1:36" x14ac:dyDescent="0.25">
      <c r="A246" s="9">
        <v>44430</v>
      </c>
      <c r="B246" s="3">
        <v>13.343193297000001</v>
      </c>
      <c r="C246" s="3">
        <v>126.82725161058235</v>
      </c>
      <c r="D246" s="3">
        <v>454.43357749349701</v>
      </c>
      <c r="E246" s="3">
        <v>721.84329212394448</v>
      </c>
      <c r="F246" s="3">
        <v>439.75261321575505</v>
      </c>
      <c r="G246" s="3">
        <v>472.54032276531166</v>
      </c>
      <c r="H246" s="3">
        <v>660.56851978360021</v>
      </c>
      <c r="I246" s="2">
        <v>413.80356064558345</v>
      </c>
      <c r="J246" s="3">
        <f t="shared" si="21"/>
        <v>0.50346828980649649</v>
      </c>
      <c r="K246" s="3">
        <f t="shared" si="22"/>
        <v>0.69152431924193947</v>
      </c>
      <c r="L246" s="3">
        <f t="shared" si="23"/>
        <v>0.60057487574463297</v>
      </c>
      <c r="M246" s="23">
        <v>44430</v>
      </c>
      <c r="N246" s="24">
        <v>210.79166666666666</v>
      </c>
      <c r="O246" s="24">
        <v>79.329166666666666</v>
      </c>
      <c r="P246" s="24">
        <v>24.7</v>
      </c>
      <c r="Q246" s="24">
        <v>0</v>
      </c>
      <c r="R246" s="24">
        <v>227.9375</v>
      </c>
      <c r="S246" s="24">
        <v>13.25</v>
      </c>
      <c r="T246" s="24">
        <v>2.2708333333333335</v>
      </c>
      <c r="U246" s="24">
        <v>20.80833333333333</v>
      </c>
      <c r="V246" s="10">
        <v>0.67612427235141004</v>
      </c>
      <c r="W246" s="25">
        <v>0.33600000000000008</v>
      </c>
      <c r="X246" s="25">
        <v>0.48083333333333328</v>
      </c>
      <c r="Y246" s="25">
        <v>0.53141666666666643</v>
      </c>
      <c r="Z246" s="25">
        <v>0.57050000000000001</v>
      </c>
      <c r="AA246" s="25">
        <v>0.56041666666666645</v>
      </c>
      <c r="AB246" s="25">
        <v>0.43372916666666655</v>
      </c>
      <c r="AC246" s="25">
        <v>0.4306666666666667</v>
      </c>
      <c r="AD246" s="25">
        <v>0.37458333333333343</v>
      </c>
      <c r="AE246" s="25">
        <v>0.39118750000000002</v>
      </c>
      <c r="AF246" s="25">
        <v>0.20431578947368423</v>
      </c>
      <c r="AG246" s="25">
        <v>0.40454166666666674</v>
      </c>
      <c r="AH246" s="28">
        <f t="shared" si="24"/>
        <v>0.44820833333333326</v>
      </c>
      <c r="AI246" s="28">
        <f t="shared" si="25"/>
        <v>0.47028819444444436</v>
      </c>
      <c r="AJ246" s="28">
        <f t="shared" si="26"/>
        <v>0.46627367424242416</v>
      </c>
    </row>
    <row r="247" spans="1:36" x14ac:dyDescent="0.25">
      <c r="A247" s="9">
        <v>44433</v>
      </c>
      <c r="B247" s="3">
        <v>8.1850368600000021</v>
      </c>
      <c r="C247" s="3">
        <v>51.721812356172862</v>
      </c>
      <c r="D247" s="3">
        <v>222.67263428687508</v>
      </c>
      <c r="E247" s="3">
        <v>446.55733950852016</v>
      </c>
      <c r="F247" s="3">
        <v>294.0965628644567</v>
      </c>
      <c r="G247" s="3">
        <v>271.22454216760741</v>
      </c>
      <c r="H247" s="3">
        <v>250.92655392023124</v>
      </c>
      <c r="I247" s="2">
        <v>237.51133157617383</v>
      </c>
      <c r="J247" s="3">
        <f t="shared" si="21"/>
        <v>0.24357353792407008</v>
      </c>
      <c r="K247" s="3">
        <f t="shared" si="22"/>
        <v>0.41236722694470851</v>
      </c>
      <c r="L247" s="3">
        <f t="shared" si="23"/>
        <v>0.3070566078334579</v>
      </c>
      <c r="M247" s="23">
        <v>44433</v>
      </c>
      <c r="N247" s="24">
        <v>157.35416666666666</v>
      </c>
      <c r="O247" s="24">
        <v>87.487499999999997</v>
      </c>
      <c r="P247" s="24">
        <v>21.910416666666674</v>
      </c>
      <c r="Q247" s="24">
        <v>0.2</v>
      </c>
      <c r="R247" s="24">
        <v>225.1875</v>
      </c>
      <c r="S247" s="24">
        <v>7</v>
      </c>
      <c r="T247" s="24">
        <v>1.0208333333333333</v>
      </c>
      <c r="U247" s="24">
        <v>19.645833333333329</v>
      </c>
      <c r="V247" s="10">
        <v>0.36413263507644117</v>
      </c>
      <c r="W247" s="25">
        <v>0.32216666666666677</v>
      </c>
      <c r="X247" s="25">
        <v>0.45554166666666668</v>
      </c>
      <c r="Y247" s="25">
        <v>0.50564583333333346</v>
      </c>
      <c r="Z247" s="25">
        <v>0.53737499999999983</v>
      </c>
      <c r="AA247" s="25">
        <v>0.53483333333333338</v>
      </c>
      <c r="AB247" s="25">
        <v>0.40141666666666675</v>
      </c>
      <c r="AC247" s="25">
        <v>0.40458333333333324</v>
      </c>
      <c r="AD247" s="25">
        <v>0.35504166666666664</v>
      </c>
      <c r="AE247" s="25">
        <v>0.45012500000000005</v>
      </c>
      <c r="AF247" s="25">
        <v>0.30499999999999999</v>
      </c>
      <c r="AG247" s="25">
        <v>0.48254166666666681</v>
      </c>
      <c r="AH247" s="28">
        <f t="shared" si="24"/>
        <v>0.4285000000000001</v>
      </c>
      <c r="AI247" s="28">
        <f t="shared" si="25"/>
        <v>0.44326736111111109</v>
      </c>
      <c r="AJ247" s="28">
        <f t="shared" si="26"/>
        <v>0.44058238636363634</v>
      </c>
    </row>
    <row r="248" spans="1:36" x14ac:dyDescent="0.25">
      <c r="A248" s="9">
        <v>44434</v>
      </c>
      <c r="B248" s="3">
        <v>7.8439573493999992</v>
      </c>
      <c r="C248" s="3">
        <v>69.64290480517181</v>
      </c>
      <c r="D248" s="3">
        <v>320.37193288113593</v>
      </c>
      <c r="E248" s="3">
        <v>563.90966229261699</v>
      </c>
      <c r="F248" s="3">
        <v>407.2965622426965</v>
      </c>
      <c r="G248" s="3">
        <v>364.52113435895149</v>
      </c>
      <c r="H248" s="3">
        <v>397.38124045677409</v>
      </c>
      <c r="I248" s="2">
        <v>319.21115735813385</v>
      </c>
      <c r="J248" s="3">
        <f t="shared" si="21"/>
        <v>0.35313270098203708</v>
      </c>
      <c r="K248" s="3">
        <f t="shared" si="22"/>
        <v>0.53136978734233276</v>
      </c>
      <c r="L248" s="3">
        <f t="shared" si="23"/>
        <v>0.44209912803505047</v>
      </c>
      <c r="M248" s="23">
        <v>44434</v>
      </c>
      <c r="N248" s="24">
        <v>180.95833333333334</v>
      </c>
      <c r="O248" s="24">
        <v>83.104166666666671</v>
      </c>
      <c r="P248" s="24">
        <v>22.035416666666666</v>
      </c>
      <c r="Q248" s="24">
        <v>1.8</v>
      </c>
      <c r="R248" s="24">
        <v>207.125</v>
      </c>
      <c r="S248" s="24">
        <v>10.770833333333334</v>
      </c>
      <c r="T248" s="24">
        <v>1.625</v>
      </c>
      <c r="U248" s="24">
        <v>18.931250000000002</v>
      </c>
      <c r="V248" s="10">
        <v>0.49167302714397509</v>
      </c>
      <c r="W248" s="25">
        <v>0.31204166666666672</v>
      </c>
      <c r="X248" s="25">
        <v>0.44818749999999974</v>
      </c>
      <c r="Y248" s="25">
        <v>0.50116666666666687</v>
      </c>
      <c r="Z248" s="25">
        <v>0.53054166666666658</v>
      </c>
      <c r="AA248" s="25">
        <v>0.52399999999999969</v>
      </c>
      <c r="AB248" s="25">
        <v>0.3966666666666665</v>
      </c>
      <c r="AC248" s="25">
        <v>0.40039583333333312</v>
      </c>
      <c r="AD248" s="25">
        <v>0.35085416666666669</v>
      </c>
      <c r="AE248" s="25">
        <v>0.43674999999999997</v>
      </c>
      <c r="AF248" s="25">
        <v>0.27324999999999999</v>
      </c>
      <c r="AG248" s="25">
        <v>0.4568750000000002</v>
      </c>
      <c r="AH248" s="28">
        <f t="shared" si="24"/>
        <v>0.41802083333333317</v>
      </c>
      <c r="AI248" s="28">
        <f t="shared" si="25"/>
        <v>0.43796874999999996</v>
      </c>
      <c r="AJ248" s="28">
        <f t="shared" si="26"/>
        <v>0.43434185606060605</v>
      </c>
    </row>
    <row r="249" spans="1:36" x14ac:dyDescent="0.25">
      <c r="A249" s="9">
        <v>44435</v>
      </c>
      <c r="B249" s="3">
        <v>4.9229390501999983</v>
      </c>
      <c r="C249" s="3">
        <v>36.869796280625188</v>
      </c>
      <c r="D249" s="3">
        <v>181.85894565574992</v>
      </c>
      <c r="E249" s="3">
        <v>364.51173248715361</v>
      </c>
      <c r="F249" s="3">
        <v>251.68047581599373</v>
      </c>
      <c r="G249" s="3">
        <v>207.11642340566468</v>
      </c>
      <c r="H249" s="3">
        <v>341.84950071920582</v>
      </c>
      <c r="I249" s="2">
        <v>181.37185197634057</v>
      </c>
      <c r="J249" s="3">
        <f t="shared" si="21"/>
        <v>0.19780541438508284</v>
      </c>
      <c r="K249" s="3">
        <f t="shared" si="22"/>
        <v>0.32916787414721066</v>
      </c>
      <c r="L249" s="3">
        <f t="shared" si="23"/>
        <v>0.28410167949204079</v>
      </c>
      <c r="M249" s="23">
        <v>44435</v>
      </c>
      <c r="N249" s="24">
        <v>110.4375</v>
      </c>
      <c r="O249" s="24">
        <v>87.24166666666666</v>
      </c>
      <c r="P249" s="24">
        <v>19.270833333333336</v>
      </c>
      <c r="Q249" s="24">
        <v>0.7</v>
      </c>
      <c r="R249" s="24">
        <v>206.625</v>
      </c>
      <c r="S249" s="24">
        <v>2.4375</v>
      </c>
      <c r="T249" s="24">
        <v>4.1666666666666664E-2</v>
      </c>
      <c r="U249" s="24">
        <v>17.020833333333332</v>
      </c>
      <c r="V249" s="10">
        <v>0.31524222487451653</v>
      </c>
      <c r="W249" s="25">
        <v>0.30299999999999999</v>
      </c>
      <c r="X249" s="25">
        <v>0.43947916666666659</v>
      </c>
      <c r="Y249" s="25">
        <v>0.49604166666666633</v>
      </c>
      <c r="Z249" s="25">
        <v>0.52397916666666677</v>
      </c>
      <c r="AA249" s="25">
        <v>0.51156249999999992</v>
      </c>
      <c r="AB249" s="25">
        <v>0.39141666666666658</v>
      </c>
      <c r="AC249" s="25">
        <v>0.39593749999999989</v>
      </c>
      <c r="AD249" s="25">
        <v>0.34779166666666678</v>
      </c>
      <c r="AE249" s="25">
        <v>0.42443750000000008</v>
      </c>
      <c r="AF249" s="25">
        <v>0.2597272727272727</v>
      </c>
      <c r="AG249" s="25">
        <v>0.43797916666666675</v>
      </c>
      <c r="AH249" s="28">
        <f t="shared" si="24"/>
        <v>0.40728124999999993</v>
      </c>
      <c r="AI249" s="28">
        <f t="shared" si="25"/>
        <v>0.43244097222222216</v>
      </c>
      <c r="AJ249" s="28">
        <f t="shared" si="26"/>
        <v>0.4278664772727272</v>
      </c>
    </row>
    <row r="250" spans="1:36" x14ac:dyDescent="0.25">
      <c r="A250" s="9">
        <v>44436</v>
      </c>
      <c r="B250" s="3">
        <v>44.663452723799999</v>
      </c>
      <c r="C250" s="3">
        <v>51.497726502180605</v>
      </c>
      <c r="D250" s="3">
        <v>358.83757269816931</v>
      </c>
      <c r="E250" s="3">
        <v>686.30080677188357</v>
      </c>
      <c r="F250" s="3">
        <v>514.18698917638494</v>
      </c>
      <c r="G250" s="3">
        <v>434.30556690831952</v>
      </c>
      <c r="H250" s="3">
        <v>465.07714741065848</v>
      </c>
      <c r="I250" s="2">
        <v>380.32138494161541</v>
      </c>
      <c r="J250" s="3">
        <f t="shared" si="21"/>
        <v>0.39626774253791314</v>
      </c>
      <c r="K250" s="3">
        <f t="shared" si="22"/>
        <v>0.6554820266017507</v>
      </c>
      <c r="L250" s="3">
        <f t="shared" si="23"/>
        <v>0.53612210841471886</v>
      </c>
      <c r="M250" s="23">
        <v>44436</v>
      </c>
      <c r="N250" s="24">
        <v>207.04166666666666</v>
      </c>
      <c r="O250" s="24">
        <v>78.7</v>
      </c>
      <c r="P250" s="24">
        <v>22.045833333333334</v>
      </c>
      <c r="Q250" s="24">
        <v>1</v>
      </c>
      <c r="R250" s="24">
        <v>224.375</v>
      </c>
      <c r="S250" s="24">
        <v>12.9375</v>
      </c>
      <c r="T250" s="24">
        <v>1.5208333333333333</v>
      </c>
      <c r="U250" s="24">
        <v>18.041666666666668</v>
      </c>
      <c r="V250" s="10">
        <v>0.60415036549460588</v>
      </c>
      <c r="W250" s="25">
        <v>0.29179166666666673</v>
      </c>
      <c r="X250" s="25">
        <v>0.42835416666666681</v>
      </c>
      <c r="Y250" s="25">
        <v>0.48733333333333356</v>
      </c>
      <c r="Z250" s="25">
        <v>0.51512500000000006</v>
      </c>
      <c r="AA250" s="25">
        <v>0.50179166666666675</v>
      </c>
      <c r="AB250" s="25">
        <v>0.38502083333333342</v>
      </c>
      <c r="AC250" s="25">
        <v>0.39033333333333359</v>
      </c>
      <c r="AD250" s="25">
        <v>0.34266666666666651</v>
      </c>
      <c r="AE250" s="25">
        <v>0.41745833333333332</v>
      </c>
      <c r="AF250" s="25">
        <v>0.24835714285714286</v>
      </c>
      <c r="AG250" s="25">
        <v>0.42133333333333328</v>
      </c>
      <c r="AH250" s="28">
        <f t="shared" si="24"/>
        <v>0.39679166666666676</v>
      </c>
      <c r="AI250" s="28">
        <f t="shared" si="25"/>
        <v>0.42480555555555566</v>
      </c>
      <c r="AJ250" s="28">
        <f t="shared" si="26"/>
        <v>0.41971212121212131</v>
      </c>
    </row>
    <row r="251" spans="1:36" x14ac:dyDescent="0.25">
      <c r="A251" s="9">
        <v>44437</v>
      </c>
      <c r="B251" s="3">
        <v>110.32136989740002</v>
      </c>
      <c r="C251" s="3">
        <v>88.312171180969116</v>
      </c>
      <c r="D251" s="3">
        <v>384.2213947712242</v>
      </c>
      <c r="E251" s="3">
        <v>614.20393182032501</v>
      </c>
      <c r="F251" s="3">
        <v>409.33284592327158</v>
      </c>
      <c r="G251" s="3">
        <v>327.60163440234788</v>
      </c>
      <c r="H251" s="3">
        <v>232.87883416874953</v>
      </c>
      <c r="I251" s="2">
        <v>286.88075124613607</v>
      </c>
      <c r="J251" s="3">
        <f t="shared" si="21"/>
        <v>0.42473294486332275</v>
      </c>
      <c r="K251" s="3">
        <f t="shared" si="22"/>
        <v>0.58237130742418797</v>
      </c>
      <c r="L251" s="3">
        <f t="shared" si="23"/>
        <v>0.36818325444572181</v>
      </c>
      <c r="M251" s="23">
        <v>44437</v>
      </c>
      <c r="N251" s="24">
        <v>188.29166666666666</v>
      </c>
      <c r="O251" s="24">
        <v>82.443749999999994</v>
      </c>
      <c r="P251" s="24">
        <v>21.412499999999998</v>
      </c>
      <c r="Q251" s="24">
        <v>1.4</v>
      </c>
      <c r="R251" s="24">
        <v>228.66666666666666</v>
      </c>
      <c r="S251" s="24">
        <v>9.5833333333333339</v>
      </c>
      <c r="T251" s="24">
        <v>0.875</v>
      </c>
      <c r="U251" s="24">
        <v>18.164583333333329</v>
      </c>
      <c r="V251" s="10">
        <v>0.49799996863743634</v>
      </c>
      <c r="W251" s="25">
        <v>0.27729166666666671</v>
      </c>
      <c r="X251" s="25">
        <v>0.41189583333333341</v>
      </c>
      <c r="Y251" s="25">
        <v>0.47387499999999999</v>
      </c>
      <c r="Z251" s="25">
        <v>0.50187500000000007</v>
      </c>
      <c r="AA251" s="25">
        <v>0.48787500000000011</v>
      </c>
      <c r="AB251" s="25">
        <v>0.37464583333333329</v>
      </c>
      <c r="AC251" s="25">
        <v>0.38152083333333314</v>
      </c>
      <c r="AD251" s="25">
        <v>0.33450000000000002</v>
      </c>
      <c r="AE251" s="25">
        <v>0.39831250000000001</v>
      </c>
      <c r="AF251" s="25">
        <v>0.21958333333333335</v>
      </c>
      <c r="AG251" s="25">
        <v>0.37293749999999998</v>
      </c>
      <c r="AH251" s="28">
        <f t="shared" si="24"/>
        <v>0.38258333333333339</v>
      </c>
      <c r="AI251" s="28">
        <f t="shared" si="25"/>
        <v>0.41305208333333338</v>
      </c>
      <c r="AJ251" s="28">
        <f t="shared" si="26"/>
        <v>0.40751231060606069</v>
      </c>
    </row>
    <row r="252" spans="1:36" x14ac:dyDescent="0.25">
      <c r="A252" s="9">
        <v>44438</v>
      </c>
      <c r="B252" s="3">
        <v>89.886071143799995</v>
      </c>
      <c r="C252" s="3">
        <v>60.576504964846698</v>
      </c>
      <c r="D252" s="3">
        <v>337.43447876345482</v>
      </c>
      <c r="E252" s="3">
        <v>623.96762596609699</v>
      </c>
      <c r="F252" s="3">
        <v>494.29583333214725</v>
      </c>
      <c r="G252" s="3">
        <v>287.11488340688743</v>
      </c>
      <c r="H252" s="3">
        <v>184.23677140289556</v>
      </c>
      <c r="I252" s="2">
        <v>251.42650339941133</v>
      </c>
      <c r="J252" s="3">
        <f t="shared" si="21"/>
        <v>0.37226649491302882</v>
      </c>
      <c r="K252" s="3">
        <f t="shared" si="22"/>
        <v>0.59227230107067774</v>
      </c>
      <c r="L252" s="3">
        <f t="shared" si="23"/>
        <v>0.35129185441167943</v>
      </c>
      <c r="M252" s="23">
        <v>44438</v>
      </c>
      <c r="N252" s="24">
        <v>162.64583333333334</v>
      </c>
      <c r="O252" s="24">
        <v>80.825000000000003</v>
      </c>
      <c r="P252" s="24">
        <v>21.947916666666661</v>
      </c>
      <c r="Q252" s="24">
        <v>0</v>
      </c>
      <c r="R252" s="24">
        <v>232.10416666666666</v>
      </c>
      <c r="S252" s="24">
        <v>12.354166666666666</v>
      </c>
      <c r="T252" s="24">
        <v>1.8958333333333333</v>
      </c>
      <c r="U252" s="24">
        <v>18.402083333333334</v>
      </c>
      <c r="V252" s="10">
        <v>0.53987922612846562</v>
      </c>
      <c r="W252" s="25">
        <v>0.2683124999999999</v>
      </c>
      <c r="X252" s="25">
        <v>0.39683333333333343</v>
      </c>
      <c r="Y252" s="25">
        <v>0.46281249999999985</v>
      </c>
      <c r="Z252" s="25">
        <v>0.48929166666666674</v>
      </c>
      <c r="AA252" s="25">
        <v>0.47614583333333327</v>
      </c>
      <c r="AB252" s="25">
        <v>0.36602083333333346</v>
      </c>
      <c r="AC252" s="25">
        <v>0.3735833333333331</v>
      </c>
      <c r="AD252" s="25">
        <v>0.32775000000000004</v>
      </c>
      <c r="AE252" s="25">
        <v>0.38487499999999991</v>
      </c>
      <c r="AF252" s="25">
        <v>0.19400000000000001</v>
      </c>
      <c r="AG252" s="25">
        <v>0.33450000000000002</v>
      </c>
      <c r="AH252" s="28">
        <f t="shared" si="24"/>
        <v>0.37222916666666661</v>
      </c>
      <c r="AI252" s="28">
        <f t="shared" si="25"/>
        <v>0.40271527777777777</v>
      </c>
      <c r="AJ252" s="28">
        <f t="shared" si="26"/>
        <v>0.39717234848484845</v>
      </c>
    </row>
    <row r="253" spans="1:36" x14ac:dyDescent="0.25">
      <c r="A253" s="9">
        <v>44439</v>
      </c>
      <c r="B253" s="3">
        <v>89.437403430000018</v>
      </c>
      <c r="C253" s="3">
        <v>81.747823061708601</v>
      </c>
      <c r="D253" s="3">
        <v>356.7105345231181</v>
      </c>
      <c r="E253" s="3">
        <v>714.33616174096278</v>
      </c>
      <c r="F253" s="3">
        <v>515.74537284846508</v>
      </c>
      <c r="G253" s="3">
        <v>333.06094655728498</v>
      </c>
      <c r="H253" s="3">
        <v>213.04951494390198</v>
      </c>
      <c r="I253" s="2">
        <v>291.66147090021445</v>
      </c>
      <c r="J253" s="3">
        <f t="shared" si="21"/>
        <v>0.39388250000696373</v>
      </c>
      <c r="K253" s="3">
        <f t="shared" si="22"/>
        <v>0.68391162172032993</v>
      </c>
      <c r="L253" s="3">
        <f t="shared" si="23"/>
        <v>0.39474136727782233</v>
      </c>
      <c r="M253" s="23">
        <v>44439</v>
      </c>
      <c r="N253" s="24">
        <v>165.1875</v>
      </c>
      <c r="O253" s="24">
        <v>78.964583333333323</v>
      </c>
      <c r="P253" s="24">
        <v>22.804166666666671</v>
      </c>
      <c r="Q253" s="24">
        <v>0</v>
      </c>
      <c r="R253" s="24">
        <v>228.375</v>
      </c>
      <c r="S253" s="24">
        <v>10.166666666666666</v>
      </c>
      <c r="T253" s="24">
        <v>0.95833333333333337</v>
      </c>
      <c r="U253" s="24">
        <v>18.870833333333337</v>
      </c>
      <c r="V253" s="10">
        <v>0.61872504115739979</v>
      </c>
      <c r="W253" s="25">
        <v>0.26039583333333333</v>
      </c>
      <c r="X253" s="25">
        <v>0.37983333333333325</v>
      </c>
      <c r="Y253" s="25">
        <v>0.45004166666666651</v>
      </c>
      <c r="Z253" s="25">
        <v>0.47412500000000013</v>
      </c>
      <c r="AA253" s="25">
        <v>0.46502083333333316</v>
      </c>
      <c r="AB253" s="25">
        <v>0.35643749999999996</v>
      </c>
      <c r="AC253" s="25">
        <v>0.36489583333333347</v>
      </c>
      <c r="AD253" s="25">
        <v>0.31985416666666666</v>
      </c>
      <c r="AE253" s="25">
        <v>0.36404166666666676</v>
      </c>
      <c r="AF253" s="25">
        <v>0.17666666666666664</v>
      </c>
      <c r="AG253" s="25">
        <v>0.30512499999999998</v>
      </c>
      <c r="AH253" s="28">
        <f t="shared" si="24"/>
        <v>0.36270833333333324</v>
      </c>
      <c r="AI253" s="28">
        <f t="shared" si="25"/>
        <v>0.39086458333333329</v>
      </c>
      <c r="AJ253" s="28">
        <f t="shared" si="26"/>
        <v>0.38574526515151508</v>
      </c>
    </row>
    <row r="254" spans="1:36" x14ac:dyDescent="0.25">
      <c r="A254" s="9">
        <v>44440</v>
      </c>
      <c r="B254" s="3">
        <v>77.660042543999992</v>
      </c>
      <c r="C254" s="3">
        <v>119.90369944260743</v>
      </c>
      <c r="D254" s="3">
        <v>412.91156981441105</v>
      </c>
      <c r="E254" s="3">
        <v>832.87801453430416</v>
      </c>
      <c r="F254" s="3">
        <v>554.03555554677632</v>
      </c>
      <c r="G254" s="3">
        <v>421.69229123012758</v>
      </c>
      <c r="H254" s="3">
        <v>314.92706140365863</v>
      </c>
      <c r="I254" s="2">
        <v>369.27593943022276</v>
      </c>
      <c r="J254" s="3">
        <f t="shared" si="21"/>
        <v>0.45690586330741451</v>
      </c>
      <c r="K254" s="3">
        <f t="shared" si="22"/>
        <v>0.80412043959468382</v>
      </c>
      <c r="L254" s="3">
        <f t="shared" si="23"/>
        <v>0.49222228468674223</v>
      </c>
      <c r="M254" s="23">
        <v>44440</v>
      </c>
      <c r="N254" s="24">
        <v>244.875</v>
      </c>
      <c r="O254" s="24">
        <v>77.493749999999977</v>
      </c>
      <c r="P254" s="24">
        <v>23.731249999999999</v>
      </c>
      <c r="Q254" s="24">
        <v>0</v>
      </c>
      <c r="R254" s="24">
        <v>229.83333333333334</v>
      </c>
      <c r="S254" s="24">
        <v>6.75</v>
      </c>
      <c r="T254" s="24">
        <v>0.41666666666666669</v>
      </c>
      <c r="U254" s="24">
        <v>19.304166666666671</v>
      </c>
      <c r="V254" s="10">
        <v>0.75151568205956576</v>
      </c>
      <c r="W254" s="25">
        <v>0.25366666666666665</v>
      </c>
      <c r="X254" s="25">
        <v>0.36537500000000017</v>
      </c>
      <c r="Y254" s="25">
        <v>0.43822916666666661</v>
      </c>
      <c r="Z254" s="25">
        <v>0.45877083333333341</v>
      </c>
      <c r="AA254" s="25">
        <v>0.45520833333333338</v>
      </c>
      <c r="AB254" s="25">
        <v>0.34789583333333335</v>
      </c>
      <c r="AC254" s="25">
        <v>0.35654166666666653</v>
      </c>
      <c r="AD254" s="25">
        <v>0.31116666666666659</v>
      </c>
      <c r="AE254" s="25">
        <v>0.33472916666666658</v>
      </c>
      <c r="AF254" s="25">
        <v>0.16264705882352942</v>
      </c>
      <c r="AG254" s="25">
        <v>0.27699999999999997</v>
      </c>
      <c r="AH254" s="28">
        <f t="shared" si="24"/>
        <v>0.35443750000000002</v>
      </c>
      <c r="AI254" s="28">
        <f t="shared" si="25"/>
        <v>0.37966319444444441</v>
      </c>
      <c r="AJ254" s="28">
        <f t="shared" si="26"/>
        <v>0.3750767045454545</v>
      </c>
    </row>
    <row r="255" spans="1:36" x14ac:dyDescent="0.25">
      <c r="A255" s="9">
        <v>44441</v>
      </c>
      <c r="B255" s="3">
        <v>64.624461982199989</v>
      </c>
      <c r="C255" s="3">
        <v>104.92362169865051</v>
      </c>
      <c r="D255" s="3">
        <v>350.49303131787013</v>
      </c>
      <c r="E255" s="3">
        <v>793.54604229344204</v>
      </c>
      <c r="F255" s="3">
        <v>498.95618267517614</v>
      </c>
      <c r="G255" s="3">
        <v>372.01632520134433</v>
      </c>
      <c r="H255" s="3">
        <v>357.56491873027733</v>
      </c>
      <c r="I255" s="2">
        <v>325.77469597881725</v>
      </c>
      <c r="J255" s="3">
        <f t="shared" si="21"/>
        <v>0.38691024475765934</v>
      </c>
      <c r="K255" s="3">
        <f t="shared" si="22"/>
        <v>0.76423537135651876</v>
      </c>
      <c r="L255" s="3">
        <f t="shared" si="23"/>
        <v>0.45957725569496799</v>
      </c>
      <c r="M255" s="23">
        <v>44441</v>
      </c>
      <c r="N255" s="24">
        <v>202.9375</v>
      </c>
      <c r="O255" s="24">
        <v>77.383333333333312</v>
      </c>
      <c r="P255" s="24">
        <v>23.477083333333326</v>
      </c>
      <c r="Q255" s="24">
        <v>0</v>
      </c>
      <c r="R255" s="24">
        <v>228.27083333333334</v>
      </c>
      <c r="S255" s="24">
        <v>6.333333333333333</v>
      </c>
      <c r="T255" s="24">
        <v>0.41666666666666669</v>
      </c>
      <c r="U255" s="24">
        <v>19.087500000000006</v>
      </c>
      <c r="V255" s="10">
        <v>0.72828064749509946</v>
      </c>
      <c r="W255" s="25">
        <v>0.24722916666666653</v>
      </c>
      <c r="X255" s="25">
        <v>0.35327083333333348</v>
      </c>
      <c r="Y255" s="25">
        <v>0.42708333333333343</v>
      </c>
      <c r="Z255" s="25">
        <v>0.44391666666666674</v>
      </c>
      <c r="AA255" s="25">
        <v>0.44506249999999992</v>
      </c>
      <c r="AB255" s="25">
        <v>0.34039583333333318</v>
      </c>
      <c r="AC255" s="25">
        <v>0.3487083333333334</v>
      </c>
      <c r="AD255" s="25">
        <v>0.30291666666666656</v>
      </c>
      <c r="AE255" s="25">
        <v>0.296875</v>
      </c>
      <c r="AF255" s="25">
        <v>0.15229999999999999</v>
      </c>
      <c r="AG255" s="25">
        <v>0.25237500000000002</v>
      </c>
      <c r="AH255" s="28">
        <f t="shared" si="24"/>
        <v>0.34614583333333321</v>
      </c>
      <c r="AI255" s="28">
        <f t="shared" si="25"/>
        <v>0.36938194444444444</v>
      </c>
      <c r="AJ255" s="28">
        <f t="shared" si="26"/>
        <v>0.36515719696969695</v>
      </c>
    </row>
    <row r="256" spans="1:36" x14ac:dyDescent="0.25">
      <c r="A256" s="9">
        <v>44442</v>
      </c>
      <c r="B256" s="3">
        <v>72.290459262599995</v>
      </c>
      <c r="C256" s="3">
        <v>106.78891988872586</v>
      </c>
      <c r="D256" s="3">
        <v>400.18175057765183</v>
      </c>
      <c r="E256" s="3">
        <v>796.37805805048629</v>
      </c>
      <c r="F256" s="3">
        <v>485.16545389149275</v>
      </c>
      <c r="G256" s="3">
        <v>365.1112334204019</v>
      </c>
      <c r="H256" s="3">
        <v>432.31480833556355</v>
      </c>
      <c r="I256" s="2">
        <v>319.72790710624594</v>
      </c>
      <c r="J256" s="3">
        <f t="shared" si="21"/>
        <v>0.44263075221116682</v>
      </c>
      <c r="K256" s="3">
        <f t="shared" si="22"/>
        <v>0.76710721162502982</v>
      </c>
      <c r="L256" s="3">
        <f t="shared" si="23"/>
        <v>0.47492705678357483</v>
      </c>
      <c r="M256" s="23">
        <v>44442</v>
      </c>
      <c r="N256" s="24">
        <v>212.83333333333334</v>
      </c>
      <c r="O256" s="24">
        <v>79.506249999999994</v>
      </c>
      <c r="P256" s="24">
        <v>23.018750000000001</v>
      </c>
      <c r="Q256" s="24">
        <v>0</v>
      </c>
      <c r="R256" s="24">
        <v>228.0625</v>
      </c>
      <c r="S256" s="24">
        <v>10.625</v>
      </c>
      <c r="T256" s="24">
        <v>1.2291666666666667</v>
      </c>
      <c r="U256" s="24">
        <v>19.160416666666663</v>
      </c>
      <c r="V256" s="10">
        <v>0.62287977460016963</v>
      </c>
      <c r="W256" s="25">
        <v>0.24227083333333332</v>
      </c>
      <c r="X256" s="25">
        <v>0.34343750000000006</v>
      </c>
      <c r="Y256" s="25">
        <v>0.41839583333333336</v>
      </c>
      <c r="Z256" s="25">
        <v>0.43249999999999994</v>
      </c>
      <c r="AA256" s="25">
        <v>0.43656250000000019</v>
      </c>
      <c r="AB256" s="25">
        <v>0.33500000000000019</v>
      </c>
      <c r="AC256" s="25">
        <v>0.34277083333333325</v>
      </c>
      <c r="AD256" s="25">
        <v>0.29695833333333349</v>
      </c>
      <c r="AE256" s="25">
        <v>0.26197916666666665</v>
      </c>
      <c r="AF256" s="25">
        <v>0.14307692307692307</v>
      </c>
      <c r="AG256" s="25">
        <v>0.23681249999999987</v>
      </c>
      <c r="AH256" s="28">
        <f t="shared" si="24"/>
        <v>0.33941666666666676</v>
      </c>
      <c r="AI256" s="28">
        <f t="shared" si="25"/>
        <v>0.36151041666666672</v>
      </c>
      <c r="AJ256" s="28">
        <f t="shared" si="26"/>
        <v>0.35749337121212127</v>
      </c>
    </row>
    <row r="257" spans="1:36" x14ac:dyDescent="0.25">
      <c r="A257" s="9">
        <v>44443</v>
      </c>
      <c r="B257" s="3">
        <v>59.735848714200003</v>
      </c>
      <c r="C257" s="3">
        <v>89.766154810932775</v>
      </c>
      <c r="D257" s="3">
        <v>356.57339380066134</v>
      </c>
      <c r="E257" s="3">
        <v>799.74646048118848</v>
      </c>
      <c r="F257" s="3">
        <v>427.82206125517274</v>
      </c>
      <c r="G257" s="3">
        <v>338.93312676074322</v>
      </c>
      <c r="H257" s="3">
        <v>457.72321174444306</v>
      </c>
      <c r="I257" s="2">
        <v>296.80373910438283</v>
      </c>
      <c r="J257" s="3">
        <f t="shared" si="21"/>
        <v>0.39372871156641487</v>
      </c>
      <c r="K257" s="3">
        <f t="shared" si="22"/>
        <v>0.7705229813703004</v>
      </c>
      <c r="L257" s="3">
        <f t="shared" si="23"/>
        <v>0.4508241879704229</v>
      </c>
      <c r="M257" s="23">
        <v>44443</v>
      </c>
      <c r="N257" s="24">
        <v>181.5625</v>
      </c>
      <c r="O257" s="24">
        <v>78.970833333333317</v>
      </c>
      <c r="P257" s="24">
        <v>23.229166666666661</v>
      </c>
      <c r="Q257" s="24">
        <v>0</v>
      </c>
      <c r="R257" s="24">
        <v>228.89583333333334</v>
      </c>
      <c r="S257" s="24">
        <v>10.416666666666666</v>
      </c>
      <c r="T257" s="24">
        <v>0.70833333333333337</v>
      </c>
      <c r="U257" s="24">
        <v>19.27291666666666</v>
      </c>
      <c r="V257" s="10">
        <v>0.63930404649074513</v>
      </c>
      <c r="W257" s="25">
        <v>0.2384375</v>
      </c>
      <c r="X257" s="25">
        <v>0.33560416666666676</v>
      </c>
      <c r="Y257" s="25">
        <v>0.41208333333333313</v>
      </c>
      <c r="Z257" s="25">
        <v>0.42345833333333344</v>
      </c>
      <c r="AA257" s="25">
        <v>0.42985416666666687</v>
      </c>
      <c r="AB257" s="25">
        <v>0.33060416666666687</v>
      </c>
      <c r="AC257" s="25">
        <v>0.33716666666666689</v>
      </c>
      <c r="AD257" s="25">
        <v>0.29202083333333312</v>
      </c>
      <c r="AE257" s="25">
        <v>0.2332500000000001</v>
      </c>
      <c r="AF257" s="25">
        <v>0.13800000000000001</v>
      </c>
      <c r="AG257" s="25">
        <v>0.22556250000000011</v>
      </c>
      <c r="AH257" s="28">
        <f t="shared" si="24"/>
        <v>0.33414583333333342</v>
      </c>
      <c r="AI257" s="28">
        <f t="shared" si="25"/>
        <v>0.35515625000000001</v>
      </c>
      <c r="AJ257" s="28">
        <f t="shared" si="26"/>
        <v>0.35133617424242425</v>
      </c>
    </row>
    <row r="258" spans="1:36" x14ac:dyDescent="0.25">
      <c r="A258" s="9">
        <v>44446</v>
      </c>
      <c r="B258" s="3">
        <v>27.827424903600001</v>
      </c>
      <c r="C258" s="3">
        <v>18.247896218984067</v>
      </c>
      <c r="D258" s="3">
        <v>229.8630277238054</v>
      </c>
      <c r="E258" s="3">
        <v>592.65272017924099</v>
      </c>
      <c r="F258" s="3">
        <v>342.41548823260212</v>
      </c>
      <c r="G258" s="3">
        <v>302.48684322385054</v>
      </c>
      <c r="H258" s="3">
        <v>542.41292192419485</v>
      </c>
      <c r="I258" s="2">
        <v>264.88772861112591</v>
      </c>
      <c r="J258" s="3">
        <f t="shared" si="21"/>
        <v>0.25163678401019768</v>
      </c>
      <c r="K258" s="3">
        <f t="shared" si="22"/>
        <v>0.56051703727328095</v>
      </c>
      <c r="L258" s="3">
        <f t="shared" si="23"/>
        <v>0.43119299548589807</v>
      </c>
      <c r="M258" s="23">
        <v>44446</v>
      </c>
      <c r="N258" s="24">
        <v>153.1875</v>
      </c>
      <c r="O258" s="24">
        <v>76.970833333333317</v>
      </c>
      <c r="P258" s="24">
        <v>19.86666666666666</v>
      </c>
      <c r="Q258" s="24">
        <v>0</v>
      </c>
      <c r="R258" s="24">
        <v>259.5</v>
      </c>
      <c r="S258" s="24">
        <v>2.2708333333333335</v>
      </c>
      <c r="T258" s="24">
        <v>0</v>
      </c>
      <c r="U258" s="24">
        <v>15.566666666666668</v>
      </c>
      <c r="V258" s="10">
        <v>0.59043666973273157</v>
      </c>
      <c r="W258" s="25">
        <v>0.23725000000000007</v>
      </c>
      <c r="X258" s="25">
        <v>0.3254166666666663</v>
      </c>
      <c r="Y258" s="25">
        <v>0.40570833333333334</v>
      </c>
      <c r="Z258" s="25">
        <v>0.41662500000000002</v>
      </c>
      <c r="AA258" s="25">
        <v>0.4166250000000003</v>
      </c>
      <c r="AB258" s="25">
        <v>0.32643749999999999</v>
      </c>
      <c r="AC258" s="25">
        <v>0.32881249999999984</v>
      </c>
      <c r="AD258" s="25">
        <v>0.28585416666666658</v>
      </c>
      <c r="AE258" s="25">
        <v>0.27102083333333338</v>
      </c>
      <c r="AF258" s="25">
        <v>0.21622727272727274</v>
      </c>
      <c r="AG258" s="25">
        <v>0.31768750000000007</v>
      </c>
      <c r="AH258" s="28">
        <f t="shared" si="24"/>
        <v>0.32693750000000021</v>
      </c>
      <c r="AI258" s="28">
        <f t="shared" si="25"/>
        <v>0.34814236111111102</v>
      </c>
      <c r="AJ258" s="28">
        <f t="shared" si="26"/>
        <v>0.34428693181818176</v>
      </c>
    </row>
    <row r="259" spans="1:36" x14ac:dyDescent="0.25">
      <c r="A259" s="9">
        <v>44447</v>
      </c>
      <c r="B259" s="3">
        <v>45.744348342599999</v>
      </c>
      <c r="C259" s="3">
        <v>113.5760533135272</v>
      </c>
      <c r="D259" s="3">
        <v>315.92314035112258</v>
      </c>
      <c r="E259" s="3">
        <v>738.85912918788438</v>
      </c>
      <c r="F259" s="3">
        <v>430.21609494947057</v>
      </c>
      <c r="G259" s="3">
        <v>351.29885274446724</v>
      </c>
      <c r="H259" s="3">
        <v>504.05238000664122</v>
      </c>
      <c r="I259" s="2">
        <v>307.63240534833</v>
      </c>
      <c r="J259" s="3">
        <f t="shared" si="21"/>
        <v>0.34814386285095728</v>
      </c>
      <c r="K259" s="3">
        <f t="shared" si="22"/>
        <v>0.70877943724793813</v>
      </c>
      <c r="L259" s="3">
        <f t="shared" si="23"/>
        <v>0.47368121070858749</v>
      </c>
      <c r="M259" s="23">
        <v>44447</v>
      </c>
      <c r="N259" s="24">
        <v>194.4375</v>
      </c>
      <c r="O259" s="24">
        <v>77.03958333333334</v>
      </c>
      <c r="P259" s="24">
        <v>20.818750000000005</v>
      </c>
      <c r="Q259" s="24">
        <v>0</v>
      </c>
      <c r="R259" s="24">
        <v>231.8125</v>
      </c>
      <c r="S259" s="24">
        <v>1.8541666666666667</v>
      </c>
      <c r="T259" s="24">
        <v>0</v>
      </c>
      <c r="U259" s="24">
        <v>16.387500000000006</v>
      </c>
      <c r="V259" s="10">
        <v>0.66275833731216927</v>
      </c>
      <c r="W259" s="25">
        <v>0.23537499999999989</v>
      </c>
      <c r="X259" s="25">
        <v>0.32360416666666686</v>
      </c>
      <c r="Y259" s="25">
        <v>0.40416666666666662</v>
      </c>
      <c r="Z259" s="25">
        <v>0.41485416666666669</v>
      </c>
      <c r="AA259" s="25">
        <v>0.41514583333333316</v>
      </c>
      <c r="AB259" s="25">
        <v>0.32477083333333329</v>
      </c>
      <c r="AC259" s="25">
        <v>0.32643749999999988</v>
      </c>
      <c r="AD259" s="25">
        <v>0.28487500000000004</v>
      </c>
      <c r="AE259" s="25">
        <v>0.25566666666666665</v>
      </c>
      <c r="AF259" s="25">
        <v>0.19541666666666671</v>
      </c>
      <c r="AG259" s="25">
        <v>0.2902499999999999</v>
      </c>
      <c r="AH259" s="28">
        <f t="shared" si="24"/>
        <v>0.3252604166666665</v>
      </c>
      <c r="AI259" s="28">
        <f t="shared" si="25"/>
        <v>0.34645138888888893</v>
      </c>
      <c r="AJ259" s="28">
        <f t="shared" si="26"/>
        <v>0.34259848484848487</v>
      </c>
    </row>
    <row r="260" spans="1:36" x14ac:dyDescent="0.25">
      <c r="A260" s="9">
        <v>44448</v>
      </c>
      <c r="B260" s="3">
        <v>70.601229563399983</v>
      </c>
      <c r="C260" s="3">
        <v>150.67961880258605</v>
      </c>
      <c r="D260" s="3">
        <v>378.99838939185577</v>
      </c>
      <c r="E260" s="3">
        <v>844.42765904304019</v>
      </c>
      <c r="F260" s="3">
        <v>437.20432162934821</v>
      </c>
      <c r="G260" s="3">
        <v>412.81555489728885</v>
      </c>
      <c r="H260" s="3">
        <v>512.92564751459145</v>
      </c>
      <c r="I260" s="2">
        <v>361.50258142355585</v>
      </c>
      <c r="J260" s="3">
        <f t="shared" si="21"/>
        <v>0.41887591102332261</v>
      </c>
      <c r="K260" s="3">
        <f t="shared" si="22"/>
        <v>0.81583249808329694</v>
      </c>
      <c r="L260" s="3">
        <f t="shared" si="23"/>
        <v>0.51653871687703212</v>
      </c>
      <c r="M260" s="23">
        <v>44448</v>
      </c>
      <c r="N260" s="24">
        <v>260.20833333333331</v>
      </c>
      <c r="O260" s="24">
        <v>79.343750000000014</v>
      </c>
      <c r="P260" s="24">
        <v>22.574999999999992</v>
      </c>
      <c r="Q260" s="24">
        <v>0</v>
      </c>
      <c r="R260" s="24">
        <v>207.41666666666666</v>
      </c>
      <c r="S260" s="24">
        <v>2.9166666666666665</v>
      </c>
      <c r="T260" s="24">
        <v>2.0833333333333332E-2</v>
      </c>
      <c r="U260" s="24">
        <v>18.481249999999999</v>
      </c>
      <c r="V260" s="10">
        <v>0.6918632154290022</v>
      </c>
      <c r="W260" s="25">
        <v>0.23397916666666663</v>
      </c>
      <c r="X260" s="25">
        <v>0.32168749999999996</v>
      </c>
      <c r="Y260" s="25">
        <v>0.40277083333333347</v>
      </c>
      <c r="Z260" s="25">
        <v>0.41214583333333338</v>
      </c>
      <c r="AA260" s="25">
        <v>0.41506249999999967</v>
      </c>
      <c r="AB260" s="25">
        <v>0.32337500000000002</v>
      </c>
      <c r="AC260" s="25">
        <v>0.32352083333333309</v>
      </c>
      <c r="AD260" s="25">
        <v>0.2824583333333332</v>
      </c>
      <c r="AE260" s="25">
        <v>0.23727083333333332</v>
      </c>
      <c r="AF260" s="25">
        <v>0.16269999999999993</v>
      </c>
      <c r="AG260" s="25">
        <v>0.26541666666666669</v>
      </c>
      <c r="AH260" s="28">
        <f t="shared" si="24"/>
        <v>0.32452083333333315</v>
      </c>
      <c r="AI260" s="28">
        <f t="shared" si="25"/>
        <v>0.34432638888888883</v>
      </c>
      <c r="AJ260" s="28">
        <f t="shared" si="26"/>
        <v>0.34072537878787867</v>
      </c>
    </row>
    <row r="261" spans="1:36" x14ac:dyDescent="0.25">
      <c r="A261" s="9">
        <v>44449</v>
      </c>
      <c r="B261" s="3">
        <v>80.732232687599975</v>
      </c>
      <c r="C261" s="3">
        <v>145.4570687748616</v>
      </c>
      <c r="D261" s="3">
        <v>302.37923295230394</v>
      </c>
      <c r="E261" s="3">
        <v>820.71457986382961</v>
      </c>
      <c r="F261" s="3">
        <v>434.13809854525311</v>
      </c>
      <c r="G261" s="3">
        <v>410.14794927668333</v>
      </c>
      <c r="H261" s="3">
        <v>530.41698254434607</v>
      </c>
      <c r="I261" s="2">
        <v>359.16655918159159</v>
      </c>
      <c r="J261" s="3">
        <f t="shared" si="21"/>
        <v>0.3329558402090389</v>
      </c>
      <c r="K261" s="3">
        <f t="shared" si="22"/>
        <v>0.79178595967408816</v>
      </c>
      <c r="L261" s="3">
        <f t="shared" si="23"/>
        <v>0.51952274034814827</v>
      </c>
      <c r="M261" s="23">
        <v>44449</v>
      </c>
      <c r="N261" s="24">
        <v>226.5625</v>
      </c>
      <c r="O261" s="24">
        <v>76.283333333333331</v>
      </c>
      <c r="P261" s="24">
        <v>23.375</v>
      </c>
      <c r="Q261" s="24">
        <v>0</v>
      </c>
      <c r="R261" s="24">
        <v>155.66666666666666</v>
      </c>
      <c r="S261" s="24">
        <v>1.9791666666666667</v>
      </c>
      <c r="T261" s="24">
        <v>0</v>
      </c>
      <c r="U261" s="24">
        <v>18.470833333333339</v>
      </c>
      <c r="V261" s="10">
        <v>0.85322279720821281</v>
      </c>
      <c r="W261" s="25">
        <v>0.23206249999999995</v>
      </c>
      <c r="X261" s="25">
        <v>0.31906250000000008</v>
      </c>
      <c r="Y261" s="25">
        <v>0.40104166666666691</v>
      </c>
      <c r="Z261" s="25">
        <v>0.40920833333333323</v>
      </c>
      <c r="AA261" s="25">
        <v>0.41345833333333354</v>
      </c>
      <c r="AB261" s="25">
        <v>0.32187500000000002</v>
      </c>
      <c r="AC261" s="25">
        <v>0.32070833333333365</v>
      </c>
      <c r="AD261" s="25">
        <v>0.2796041666666666</v>
      </c>
      <c r="AE261" s="25">
        <v>0.21889583333333332</v>
      </c>
      <c r="AF261" s="25">
        <v>0.14829999999999993</v>
      </c>
      <c r="AG261" s="25">
        <v>0.24252083333333332</v>
      </c>
      <c r="AH261" s="28">
        <f t="shared" si="24"/>
        <v>0.32276041666666677</v>
      </c>
      <c r="AI261" s="28">
        <f t="shared" si="25"/>
        <v>0.3419166666666667</v>
      </c>
      <c r="AJ261" s="28">
        <f t="shared" si="26"/>
        <v>0.33843371212121215</v>
      </c>
    </row>
    <row r="262" spans="1:36" x14ac:dyDescent="0.25">
      <c r="A262" s="9">
        <v>44450</v>
      </c>
      <c r="B262" s="3">
        <v>53.526417685200002</v>
      </c>
      <c r="C262" s="3">
        <v>186.93052898929074</v>
      </c>
      <c r="D262" s="3">
        <v>263.02609043733725</v>
      </c>
      <c r="E262" s="3">
        <v>890.17932887181928</v>
      </c>
      <c r="F262" s="3">
        <v>458.73835539276473</v>
      </c>
      <c r="G262" s="3">
        <v>424.45308593714009</v>
      </c>
      <c r="H262" s="3">
        <v>537.34369704954065</v>
      </c>
      <c r="I262" s="2">
        <v>371.69356735515356</v>
      </c>
      <c r="J262" s="3">
        <f t="shared" si="21"/>
        <v>0.28882556067094284</v>
      </c>
      <c r="K262" s="3">
        <f t="shared" si="22"/>
        <v>0.86222753929699569</v>
      </c>
      <c r="L262" s="3">
        <f t="shared" si="23"/>
        <v>0.53735966846954353</v>
      </c>
      <c r="M262" s="23">
        <v>44450</v>
      </c>
      <c r="N262" s="24">
        <v>260.04166666666669</v>
      </c>
      <c r="O262" s="24">
        <v>71.575000000000003</v>
      </c>
      <c r="P262" s="24">
        <v>24.264583333333334</v>
      </c>
      <c r="Q262" s="24">
        <v>0</v>
      </c>
      <c r="R262" s="24">
        <v>229.125</v>
      </c>
      <c r="S262" s="24">
        <v>4.375</v>
      </c>
      <c r="T262" s="24">
        <v>0.1875</v>
      </c>
      <c r="U262" s="24">
        <v>18.368750000000002</v>
      </c>
      <c r="V262" s="10">
        <v>1.0168219396142339</v>
      </c>
      <c r="W262" s="25">
        <v>0.22945833333333329</v>
      </c>
      <c r="X262" s="25">
        <v>0.31560416666666663</v>
      </c>
      <c r="Y262" s="25">
        <v>0.39829166666666671</v>
      </c>
      <c r="Z262" s="25">
        <v>0.4052708333333333</v>
      </c>
      <c r="AA262" s="25">
        <v>0.41091666666666665</v>
      </c>
      <c r="AB262" s="25">
        <v>0.31935416666666666</v>
      </c>
      <c r="AC262" s="25">
        <v>0.31693749999999998</v>
      </c>
      <c r="AD262" s="25">
        <v>0.2767083333333335</v>
      </c>
      <c r="AE262" s="25">
        <v>0.20466666666666658</v>
      </c>
      <c r="AF262" s="25">
        <v>0.13704000000000002</v>
      </c>
      <c r="AG262" s="25">
        <v>0.22725000000000006</v>
      </c>
      <c r="AH262" s="28">
        <f t="shared" si="24"/>
        <v>0.32018749999999996</v>
      </c>
      <c r="AI262" s="28">
        <f t="shared" si="25"/>
        <v>0.33869444444444446</v>
      </c>
      <c r="AJ262" s="28">
        <f t="shared" si="26"/>
        <v>0.33532954545454546</v>
      </c>
    </row>
    <row r="263" spans="1:36" x14ac:dyDescent="0.25">
      <c r="A263" s="9">
        <v>44451</v>
      </c>
      <c r="B263" s="3">
        <v>36.282361167000005</v>
      </c>
      <c r="C263" s="3">
        <v>167.43049830322468</v>
      </c>
      <c r="D263" s="3">
        <v>217.25813926028718</v>
      </c>
      <c r="E263" s="3">
        <v>782.8593474337265</v>
      </c>
      <c r="F263" s="3">
        <v>312.42265645044733</v>
      </c>
      <c r="G263" s="3">
        <v>354.35562454628678</v>
      </c>
      <c r="H263" s="3">
        <v>427.23220701151632</v>
      </c>
      <c r="I263" s="2">
        <v>310.30922041518335</v>
      </c>
      <c r="J263" s="3">
        <f t="shared" si="21"/>
        <v>0.23750176922122557</v>
      </c>
      <c r="K263" s="3">
        <f t="shared" si="22"/>
        <v>0.75339839752998428</v>
      </c>
      <c r="L263" s="3">
        <f t="shared" si="23"/>
        <v>0.41895243540284238</v>
      </c>
      <c r="M263" s="23">
        <v>44451</v>
      </c>
      <c r="N263" s="24">
        <v>240.14583333333334</v>
      </c>
      <c r="O263" s="24">
        <v>73.081250000000011</v>
      </c>
      <c r="P263" s="24">
        <v>24.572916666666661</v>
      </c>
      <c r="Q263" s="24">
        <v>1</v>
      </c>
      <c r="R263" s="24">
        <v>234.14583333333334</v>
      </c>
      <c r="S263" s="24">
        <v>4.125</v>
      </c>
      <c r="T263" s="24">
        <v>0.16666666666666666</v>
      </c>
      <c r="U263" s="24">
        <v>19.070833333333329</v>
      </c>
      <c r="V263" s="10">
        <v>0.99364804801400775</v>
      </c>
      <c r="W263" s="25">
        <v>0.22702083333333348</v>
      </c>
      <c r="X263" s="25">
        <v>0.3125416666666665</v>
      </c>
      <c r="Y263" s="25">
        <v>0.39572916666666669</v>
      </c>
      <c r="Z263" s="25">
        <v>0.40129166666666699</v>
      </c>
      <c r="AA263" s="25">
        <v>0.40854166666666664</v>
      </c>
      <c r="AB263" s="25">
        <v>0.3168958333333336</v>
      </c>
      <c r="AC263" s="25">
        <v>0.31268749999999995</v>
      </c>
      <c r="AD263" s="25">
        <v>0.27366666666666678</v>
      </c>
      <c r="AE263" s="25">
        <v>0.19197916666666659</v>
      </c>
      <c r="AF263" s="25">
        <v>0.12934782608695655</v>
      </c>
      <c r="AG263" s="25">
        <v>0.21629166666666666</v>
      </c>
      <c r="AH263" s="28">
        <f t="shared" si="24"/>
        <v>0.31778125000000007</v>
      </c>
      <c r="AI263" s="28">
        <f t="shared" si="25"/>
        <v>0.33546875000000015</v>
      </c>
      <c r="AJ263" s="28">
        <f t="shared" si="26"/>
        <v>0.33225284090909102</v>
      </c>
    </row>
    <row r="264" spans="1:36" x14ac:dyDescent="0.25">
      <c r="A264" s="9">
        <v>44454</v>
      </c>
      <c r="B264" s="3">
        <v>25.0090215894</v>
      </c>
      <c r="C264" s="3">
        <v>114.63362487096767</v>
      </c>
      <c r="D264" s="3">
        <v>216.09848893075173</v>
      </c>
      <c r="E264" s="3">
        <v>551.31331933231513</v>
      </c>
      <c r="F264" s="3">
        <v>386.35030531082811</v>
      </c>
      <c r="G264" s="3">
        <v>355.13099373629245</v>
      </c>
      <c r="H264" s="3">
        <v>430.16521026614356</v>
      </c>
      <c r="I264" s="2">
        <v>310.98821121487128</v>
      </c>
      <c r="J264" s="3">
        <f t="shared" si="21"/>
        <v>0.23620134719801911</v>
      </c>
      <c r="K264" s="3">
        <f t="shared" si="22"/>
        <v>0.51859631146763407</v>
      </c>
      <c r="L264" s="3">
        <f t="shared" si="23"/>
        <v>0.44077177162562187</v>
      </c>
      <c r="M264" s="23">
        <v>44454</v>
      </c>
      <c r="N264" s="24">
        <v>191.77083333333334</v>
      </c>
      <c r="O264" s="24">
        <v>80.643749999999983</v>
      </c>
      <c r="P264" s="24">
        <v>22.602083333333336</v>
      </c>
      <c r="Q264" s="24">
        <v>0</v>
      </c>
      <c r="R264" s="24">
        <v>230.72916666666666</v>
      </c>
      <c r="S264" s="24">
        <v>7.541666666666667</v>
      </c>
      <c r="T264" s="24">
        <v>0.66666666666666663</v>
      </c>
      <c r="U264" s="24">
        <v>18.945833333333329</v>
      </c>
      <c r="V264" s="10">
        <v>0.59185390682457051</v>
      </c>
      <c r="W264" s="25">
        <v>0.37529166666666658</v>
      </c>
      <c r="X264" s="25">
        <v>0.50600000000000012</v>
      </c>
      <c r="Y264" s="25">
        <v>0.56356249999999986</v>
      </c>
      <c r="Z264" s="25">
        <v>0.5811041666666662</v>
      </c>
      <c r="AA264" s="25">
        <v>0.46639583333333318</v>
      </c>
      <c r="AB264" s="25">
        <v>0.37016666666666653</v>
      </c>
      <c r="AC264" s="25">
        <v>0.34231249999999985</v>
      </c>
      <c r="AD264" s="25">
        <v>0.29529166666666667</v>
      </c>
      <c r="AE264" s="25">
        <v>0.4048333333333331</v>
      </c>
      <c r="AF264" s="25">
        <v>0.25600000000000006</v>
      </c>
      <c r="AG264" s="25">
        <v>0.41068750000000004</v>
      </c>
      <c r="AH264" s="28">
        <f t="shared" si="24"/>
        <v>0.42084374999999985</v>
      </c>
      <c r="AI264" s="28">
        <f t="shared" si="25"/>
        <v>0.44307291666666648</v>
      </c>
      <c r="AJ264" s="28">
        <f t="shared" si="26"/>
        <v>0.43903124999999982</v>
      </c>
    </row>
    <row r="265" spans="1:36" x14ac:dyDescent="0.25">
      <c r="A265" s="9">
        <v>44459</v>
      </c>
      <c r="B265" s="3">
        <v>27.9559910304</v>
      </c>
      <c r="C265" s="3">
        <v>117.63411743896152</v>
      </c>
      <c r="D265" s="3">
        <v>247.91505161062182</v>
      </c>
      <c r="E265" s="3">
        <v>639.83373964983741</v>
      </c>
      <c r="F265" s="3">
        <v>552.15194849293755</v>
      </c>
      <c r="G265" s="3">
        <v>424.39883929703115</v>
      </c>
      <c r="H265" s="3">
        <v>556.12741540546494</v>
      </c>
      <c r="I265" s="2">
        <v>371.64606357241018</v>
      </c>
      <c r="J265" s="3">
        <f t="shared" ref="J265:J299" si="27">(D265-$D$2)/$D$1</f>
        <v>0.2718801701654614</v>
      </c>
      <c r="K265" s="3">
        <f t="shared" ref="K265:K299" si="28">(E265-$E$2)/$E$1</f>
        <v>0.60836152799973142</v>
      </c>
      <c r="L265" s="3">
        <f t="shared" ref="L265:L299" si="29">((F265-$F$2)/$F$1+(G265-$G$2)/$G$1+(H265-$H$2)/$H$1+(I265-$I$2)/$I$1)/4</f>
        <v>0.56901714646898116</v>
      </c>
      <c r="M265" s="23">
        <v>44459</v>
      </c>
      <c r="N265" s="24">
        <v>264</v>
      </c>
      <c r="O265" s="24">
        <v>75.420833333333334</v>
      </c>
      <c r="P265" s="24">
        <v>20.418750000000003</v>
      </c>
      <c r="Q265" s="24">
        <v>0</v>
      </c>
      <c r="R265" s="24">
        <v>292.375</v>
      </c>
      <c r="S265" s="24">
        <v>2.8958333333333335</v>
      </c>
      <c r="T265" s="24">
        <v>0.125</v>
      </c>
      <c r="U265" s="24">
        <v>15.089583333333337</v>
      </c>
      <c r="V265" s="10">
        <v>0.80904150398719299</v>
      </c>
      <c r="W265" s="25">
        <v>0.40510416666666682</v>
      </c>
      <c r="X265" s="25">
        <v>0.52366666666666684</v>
      </c>
      <c r="Y265" s="25">
        <v>0.57770833333333349</v>
      </c>
      <c r="Z265" s="25">
        <v>0.59475</v>
      </c>
      <c r="AA265" s="25">
        <v>0.48677083333333365</v>
      </c>
      <c r="AB265" s="25">
        <v>0.39660416666666681</v>
      </c>
      <c r="AC265" s="25">
        <v>0.38627083333333356</v>
      </c>
      <c r="AD265" s="25">
        <v>0.37791666666666668</v>
      </c>
      <c r="AE265" s="25">
        <v>0.4357083333333332</v>
      </c>
      <c r="AF265" s="25">
        <v>0.28123529411764703</v>
      </c>
      <c r="AG265" s="25">
        <v>0.45993750000000005</v>
      </c>
      <c r="AH265" s="28">
        <f t="shared" ref="AH265:AH299" si="30">AVERAGE(W265,AA265)</f>
        <v>0.44593750000000021</v>
      </c>
      <c r="AI265" s="28">
        <f t="shared" ref="AI265:AI299" si="31">AVERAGE(X265:Z265,AB265:AD265)</f>
        <v>0.47615277777777787</v>
      </c>
      <c r="AJ265" s="28">
        <f t="shared" ref="AJ265:AJ299" si="32">(AH265*10+AI265*45)/55</f>
        <v>0.47065909090909097</v>
      </c>
    </row>
    <row r="266" spans="1:36" x14ac:dyDescent="0.25">
      <c r="A266" s="9">
        <v>44460</v>
      </c>
      <c r="B266" s="3">
        <v>70.144208603999985</v>
      </c>
      <c r="C266" s="3">
        <v>178.58813293050684</v>
      </c>
      <c r="D266" s="3">
        <v>326.53359140477733</v>
      </c>
      <c r="E266" s="3">
        <v>712.08235819194886</v>
      </c>
      <c r="F266" s="3">
        <v>625.79778567076369</v>
      </c>
      <c r="G266" s="3">
        <v>520.22455207852147</v>
      </c>
      <c r="H266" s="3">
        <v>582.81362359271543</v>
      </c>
      <c r="I266" s="2">
        <v>455.56064025516127</v>
      </c>
      <c r="J266" s="3">
        <f t="shared" si="27"/>
        <v>0.36004233248003426</v>
      </c>
      <c r="K266" s="3">
        <f t="shared" si="28"/>
        <v>0.68162612462404015</v>
      </c>
      <c r="L266" s="3">
        <f t="shared" si="29"/>
        <v>0.65714543235992906</v>
      </c>
      <c r="M266" s="23">
        <v>44460</v>
      </c>
      <c r="N266" s="24">
        <v>264.66666666666669</v>
      </c>
      <c r="O266" s="24">
        <v>75.46250000000002</v>
      </c>
      <c r="P266" s="24">
        <v>21.810416666666669</v>
      </c>
      <c r="Q266" s="24">
        <v>0</v>
      </c>
      <c r="R266" s="24">
        <v>218.5625</v>
      </c>
      <c r="S266" s="24">
        <v>4.645833333333333</v>
      </c>
      <c r="T266" s="24">
        <v>0.5</v>
      </c>
      <c r="U266" s="24">
        <v>16.860416666666669</v>
      </c>
      <c r="V266" s="10">
        <v>0.78409174008427251</v>
      </c>
      <c r="W266" s="25">
        <v>0.38256249999999997</v>
      </c>
      <c r="X266" s="25">
        <v>0.50812500000000027</v>
      </c>
      <c r="Y266" s="25">
        <v>0.56447916666666664</v>
      </c>
      <c r="Z266" s="25">
        <v>0.58683333333333298</v>
      </c>
      <c r="AA266" s="25">
        <v>0.48297916666666713</v>
      </c>
      <c r="AB266" s="25">
        <v>0.38950000000000012</v>
      </c>
      <c r="AC266" s="25">
        <v>0.39195833333333324</v>
      </c>
      <c r="AD266" s="25">
        <v>0.3719375000000002</v>
      </c>
      <c r="AE266" s="25">
        <v>0.41697916666666662</v>
      </c>
      <c r="AF266" s="25">
        <v>0.26496296296296296</v>
      </c>
      <c r="AG266" s="25">
        <v>0.42491666666666678</v>
      </c>
      <c r="AH266" s="28">
        <f t="shared" si="30"/>
        <v>0.43277083333333355</v>
      </c>
      <c r="AI266" s="28">
        <f t="shared" si="31"/>
        <v>0.46880555555555548</v>
      </c>
      <c r="AJ266" s="28">
        <f t="shared" si="32"/>
        <v>0.46225378787878785</v>
      </c>
    </row>
    <row r="267" spans="1:36" x14ac:dyDescent="0.25">
      <c r="A267" s="9">
        <v>44461</v>
      </c>
      <c r="B267" s="3">
        <v>53.860874106599994</v>
      </c>
      <c r="C267" s="3">
        <v>130.37476678085616</v>
      </c>
      <c r="D267" s="3">
        <v>332.58733549052033</v>
      </c>
      <c r="E267" s="3">
        <v>768.57457898817279</v>
      </c>
      <c r="F267" s="3">
        <v>577.61141055161988</v>
      </c>
      <c r="G267" s="3">
        <v>467.08782576347795</v>
      </c>
      <c r="H267" s="3">
        <v>405.169537923929</v>
      </c>
      <c r="I267" s="2">
        <v>409.02880902107768</v>
      </c>
      <c r="J267" s="3">
        <f t="shared" si="27"/>
        <v>0.36683094964458046</v>
      </c>
      <c r="K267" s="3">
        <f t="shared" si="28"/>
        <v>0.73891275311001337</v>
      </c>
      <c r="L267" s="3">
        <f t="shared" si="29"/>
        <v>0.55518117171432535</v>
      </c>
      <c r="M267" s="23">
        <v>44461</v>
      </c>
      <c r="N267" s="24">
        <v>210.52083333333334</v>
      </c>
      <c r="O267" s="24">
        <v>76.30625000000002</v>
      </c>
      <c r="P267" s="24">
        <v>22.581250000000008</v>
      </c>
      <c r="Q267" s="24">
        <v>0</v>
      </c>
      <c r="R267" s="24">
        <v>218.64583333333334</v>
      </c>
      <c r="S267" s="24">
        <v>9.9583333333333339</v>
      </c>
      <c r="T267" s="24">
        <v>1.4791666666666667</v>
      </c>
      <c r="U267" s="24">
        <v>18.016666666666666</v>
      </c>
      <c r="V267" s="10">
        <v>0.71647136452995452</v>
      </c>
      <c r="W267" s="25">
        <v>0.35681249999999992</v>
      </c>
      <c r="X267" s="25">
        <v>0.49254166666666693</v>
      </c>
      <c r="Y267" s="25">
        <v>0.54929166666666662</v>
      </c>
      <c r="Z267" s="25">
        <v>0.57772916666666652</v>
      </c>
      <c r="AA267" s="25">
        <v>0.47510416666666666</v>
      </c>
      <c r="AB267" s="25">
        <v>0.38089583333333343</v>
      </c>
      <c r="AC267" s="25">
        <v>0.39141666666666652</v>
      </c>
      <c r="AD267" s="25">
        <v>0.36339583333333342</v>
      </c>
      <c r="AE267" s="25">
        <v>0.37833333333333341</v>
      </c>
      <c r="AF267" s="25">
        <v>0.22927272727272729</v>
      </c>
      <c r="AG267" s="25">
        <v>0.39522916666666658</v>
      </c>
      <c r="AH267" s="28">
        <f t="shared" si="30"/>
        <v>0.41595833333333332</v>
      </c>
      <c r="AI267" s="28">
        <f t="shared" si="31"/>
        <v>0.45921180555555557</v>
      </c>
      <c r="AJ267" s="28">
        <f t="shared" si="32"/>
        <v>0.4513475378787879</v>
      </c>
    </row>
    <row r="268" spans="1:36" x14ac:dyDescent="0.25">
      <c r="A268" s="9">
        <v>44462</v>
      </c>
      <c r="B268" s="3">
        <v>57.473635026600007</v>
      </c>
      <c r="C268" s="3">
        <v>110.42463764460433</v>
      </c>
      <c r="D268" s="3">
        <v>304.02194888961333</v>
      </c>
      <c r="E268" s="3">
        <v>749.83437792123391</v>
      </c>
      <c r="F268" s="3">
        <v>552.75540053879001</v>
      </c>
      <c r="G268" s="3">
        <v>426.14530131925687</v>
      </c>
      <c r="H268" s="3">
        <v>322.48673145509457</v>
      </c>
      <c r="I268" s="2">
        <v>373.17544036527323</v>
      </c>
      <c r="J268" s="3">
        <f t="shared" si="27"/>
        <v>0.33479796789903415</v>
      </c>
      <c r="K268" s="3">
        <f t="shared" si="28"/>
        <v>0.71990902266460088</v>
      </c>
      <c r="L268" s="3">
        <f t="shared" si="29"/>
        <v>0.49700049703663618</v>
      </c>
      <c r="M268" s="23">
        <v>44462</v>
      </c>
      <c r="N268" s="24">
        <v>171.27083333333334</v>
      </c>
      <c r="O268" s="24">
        <v>77.683333333333323</v>
      </c>
      <c r="P268" s="24">
        <v>22.022916666666664</v>
      </c>
      <c r="Q268" s="24">
        <v>0</v>
      </c>
      <c r="R268" s="24">
        <v>229.14583333333334</v>
      </c>
      <c r="S268" s="24">
        <v>9.9375</v>
      </c>
      <c r="T268" s="24">
        <v>0.91666666666666663</v>
      </c>
      <c r="U268" s="24">
        <v>17.825000000000006</v>
      </c>
      <c r="V268" s="10">
        <v>0.63005966000585178</v>
      </c>
      <c r="W268" s="25">
        <v>0.329625</v>
      </c>
      <c r="X268" s="25">
        <v>0.47379166666666667</v>
      </c>
      <c r="Y268" s="25">
        <v>0.53208333333333313</v>
      </c>
      <c r="Z268" s="25">
        <v>0.56518749999999984</v>
      </c>
      <c r="AA268" s="25">
        <v>0.46470833333333306</v>
      </c>
      <c r="AB268" s="25">
        <v>0.37172916666666672</v>
      </c>
      <c r="AC268" s="25">
        <v>0.38783333333333342</v>
      </c>
      <c r="AD268" s="25">
        <v>0.35499999999999993</v>
      </c>
      <c r="AE268" s="25">
        <v>0.3517291666666667</v>
      </c>
      <c r="AF268" s="25">
        <v>0.20795454545454548</v>
      </c>
      <c r="AG268" s="25">
        <v>0.36079166666666668</v>
      </c>
      <c r="AH268" s="28">
        <f t="shared" si="30"/>
        <v>0.39716666666666656</v>
      </c>
      <c r="AI268" s="28">
        <f t="shared" si="31"/>
        <v>0.44760416666666658</v>
      </c>
      <c r="AJ268" s="28">
        <f t="shared" si="32"/>
        <v>0.43843371212121207</v>
      </c>
    </row>
    <row r="269" spans="1:36" x14ac:dyDescent="0.25">
      <c r="A269" s="9">
        <v>44463</v>
      </c>
      <c r="B269" s="3">
        <v>72.2600497026</v>
      </c>
      <c r="C269" s="3">
        <v>138.09116196862004</v>
      </c>
      <c r="D269" s="3">
        <v>329.66572130047518</v>
      </c>
      <c r="E269" s="3">
        <v>682.17965222655118</v>
      </c>
      <c r="F269" s="3">
        <v>611.44005995064992</v>
      </c>
      <c r="G269" s="3">
        <v>450.14808614344065</v>
      </c>
      <c r="H269" s="3">
        <v>413.93918358434388</v>
      </c>
      <c r="I269" s="2">
        <v>394.19467903581102</v>
      </c>
      <c r="J269" s="3">
        <f t="shared" si="27"/>
        <v>0.36355467632383803</v>
      </c>
      <c r="K269" s="3">
        <f t="shared" si="28"/>
        <v>0.65130291935398754</v>
      </c>
      <c r="L269" s="3">
        <f t="shared" si="29"/>
        <v>0.5567707982546134</v>
      </c>
      <c r="M269" s="23">
        <v>44463</v>
      </c>
      <c r="N269" s="24">
        <v>180.83333333333334</v>
      </c>
      <c r="O269" s="24">
        <v>77.181249999999991</v>
      </c>
      <c r="P269" s="24">
        <v>21.920833333333338</v>
      </c>
      <c r="Q269" s="24">
        <v>0.2</v>
      </c>
      <c r="R269" s="24">
        <v>235.79166666666666</v>
      </c>
      <c r="S269" s="24">
        <v>12.541666666666666</v>
      </c>
      <c r="T269" s="24">
        <v>2.3958333333333335</v>
      </c>
      <c r="U269" s="24">
        <v>17.59791666666667</v>
      </c>
      <c r="V269" s="10">
        <v>0.6463845860666072</v>
      </c>
      <c r="W269" s="25">
        <v>0.30487499999999995</v>
      </c>
      <c r="X269" s="25">
        <v>0.45297916666666665</v>
      </c>
      <c r="Y269" s="25">
        <v>0.5122916666666667</v>
      </c>
      <c r="Z269" s="25">
        <v>0.54920833333333341</v>
      </c>
      <c r="AA269" s="25">
        <v>0.45558333333333362</v>
      </c>
      <c r="AB269" s="25">
        <v>0.36349999999999999</v>
      </c>
      <c r="AC269" s="25">
        <v>0.38245833333333329</v>
      </c>
      <c r="AD269" s="25">
        <v>0.34706250000000005</v>
      </c>
      <c r="AE269" s="25">
        <v>0.33745833333333342</v>
      </c>
      <c r="AF269" s="25">
        <v>0.19619999999999999</v>
      </c>
      <c r="AG269" s="25">
        <v>0.32320833333333338</v>
      </c>
      <c r="AH269" s="28">
        <f t="shared" si="30"/>
        <v>0.38022916666666678</v>
      </c>
      <c r="AI269" s="28">
        <f t="shared" si="31"/>
        <v>0.43458333333333332</v>
      </c>
      <c r="AJ269" s="28">
        <f t="shared" si="32"/>
        <v>0.42470075757575759</v>
      </c>
    </row>
    <row r="270" spans="1:36" x14ac:dyDescent="0.25">
      <c r="A270" s="9">
        <v>44464</v>
      </c>
      <c r="B270" s="3">
        <v>66.1993077618</v>
      </c>
      <c r="C270" s="3">
        <v>162.83598045837715</v>
      </c>
      <c r="D270" s="3">
        <v>334.06144111421969</v>
      </c>
      <c r="E270" s="3">
        <v>734.85121692540315</v>
      </c>
      <c r="F270" s="3">
        <v>623.23491936093319</v>
      </c>
      <c r="G270" s="3">
        <v>452.38741209469441</v>
      </c>
      <c r="H270" s="3">
        <v>481.32465789978778</v>
      </c>
      <c r="I270" s="2">
        <v>396.15565677132389</v>
      </c>
      <c r="J270" s="3">
        <f t="shared" si="27"/>
        <v>0.36848399916198027</v>
      </c>
      <c r="K270" s="3">
        <f t="shared" si="28"/>
        <v>0.70471516472423368</v>
      </c>
      <c r="L270" s="3">
        <f t="shared" si="29"/>
        <v>0.58254816783597529</v>
      </c>
      <c r="M270" s="23">
        <v>44464</v>
      </c>
      <c r="N270" s="24">
        <v>198.91666666666666</v>
      </c>
      <c r="O270" s="24">
        <v>76.052083333333343</v>
      </c>
      <c r="P270" s="24">
        <v>22.322916666666668</v>
      </c>
      <c r="Q270" s="24">
        <v>0</v>
      </c>
      <c r="R270" s="24">
        <v>236.75</v>
      </c>
      <c r="S270" s="24">
        <v>11.916666666666666</v>
      </c>
      <c r="T270" s="24">
        <v>1.75</v>
      </c>
      <c r="U270" s="24">
        <v>17.768750000000001</v>
      </c>
      <c r="V270" s="10">
        <v>0.69565695176932918</v>
      </c>
      <c r="W270" s="25">
        <v>0.28306250000000005</v>
      </c>
      <c r="X270" s="25">
        <v>0.43002083333333346</v>
      </c>
      <c r="Y270" s="25">
        <v>0.49062500000000031</v>
      </c>
      <c r="Z270" s="25">
        <v>0.52920833333333328</v>
      </c>
      <c r="AA270" s="25">
        <v>0.44672916666666662</v>
      </c>
      <c r="AB270" s="25">
        <v>0.35520833333333313</v>
      </c>
      <c r="AC270" s="25">
        <v>0.37543749999999987</v>
      </c>
      <c r="AD270" s="25">
        <v>0.33852083333333333</v>
      </c>
      <c r="AE270" s="25">
        <v>0.3202916666666667</v>
      </c>
      <c r="AF270" s="25">
        <v>0.16666666666666666</v>
      </c>
      <c r="AG270" s="25">
        <v>0.28533333333333338</v>
      </c>
      <c r="AH270" s="28">
        <f t="shared" si="30"/>
        <v>0.36489583333333331</v>
      </c>
      <c r="AI270" s="28">
        <f t="shared" si="31"/>
        <v>0.41983680555555564</v>
      </c>
      <c r="AJ270" s="28">
        <f t="shared" si="32"/>
        <v>0.40984753787878797</v>
      </c>
    </row>
    <row r="271" spans="1:36" x14ac:dyDescent="0.25">
      <c r="A271" s="9">
        <v>44465</v>
      </c>
      <c r="B271" s="3">
        <v>57.104839211399991</v>
      </c>
      <c r="C271" s="3">
        <v>162.87333083740404</v>
      </c>
      <c r="D271" s="3">
        <v>338.98103921379334</v>
      </c>
      <c r="E271" s="3">
        <v>785.68886544638053</v>
      </c>
      <c r="F271" s="3">
        <v>652.69784871863453</v>
      </c>
      <c r="G271" s="3">
        <v>482.56361634152586</v>
      </c>
      <c r="H271" s="3">
        <v>562.83234296570936</v>
      </c>
      <c r="I271" s="2">
        <v>422.5809588302742</v>
      </c>
      <c r="J271" s="3">
        <f t="shared" si="27"/>
        <v>0.37400079465719904</v>
      </c>
      <c r="K271" s="3">
        <f t="shared" si="28"/>
        <v>0.75626770493020101</v>
      </c>
      <c r="L271" s="3">
        <f t="shared" si="29"/>
        <v>0.63495686988772948</v>
      </c>
      <c r="M271" s="23">
        <v>44465</v>
      </c>
      <c r="N271" s="24">
        <v>211.20833333333334</v>
      </c>
      <c r="O271" s="24">
        <v>74.212499999999991</v>
      </c>
      <c r="P271" s="24">
        <v>22.545833333333334</v>
      </c>
      <c r="Q271" s="24">
        <v>0</v>
      </c>
      <c r="R271" s="24">
        <v>235.3125</v>
      </c>
      <c r="S271" s="24">
        <v>9.875</v>
      </c>
      <c r="T271" s="24">
        <v>1.2083333333333333</v>
      </c>
      <c r="U271" s="24">
        <v>17.543749999999996</v>
      </c>
      <c r="V271" s="10">
        <v>0.7684428053186676</v>
      </c>
      <c r="W271" s="25">
        <v>0.26722916666666657</v>
      </c>
      <c r="X271" s="25">
        <v>0.40620833333333328</v>
      </c>
      <c r="Y271" s="25">
        <v>0.47122916666666642</v>
      </c>
      <c r="Z271" s="25">
        <v>0.50693749999999993</v>
      </c>
      <c r="AA271" s="25">
        <v>0.43895833333333362</v>
      </c>
      <c r="AB271" s="25">
        <v>0.34831250000000008</v>
      </c>
      <c r="AC271" s="25">
        <v>0.36810416666666684</v>
      </c>
      <c r="AD271" s="25">
        <v>0.32941666666666669</v>
      </c>
      <c r="AE271" s="25">
        <v>0.29845833333333338</v>
      </c>
      <c r="AF271" s="25">
        <v>0.15049999999999997</v>
      </c>
      <c r="AG271" s="25">
        <v>0.25537500000000002</v>
      </c>
      <c r="AH271" s="28">
        <f t="shared" si="30"/>
        <v>0.3530937500000001</v>
      </c>
      <c r="AI271" s="28">
        <f t="shared" si="31"/>
        <v>0.40503472222222214</v>
      </c>
      <c r="AJ271" s="28">
        <f t="shared" si="32"/>
        <v>0.39559090909090905</v>
      </c>
    </row>
    <row r="272" spans="1:36" x14ac:dyDescent="0.25">
      <c r="A272" s="9">
        <v>44466</v>
      </c>
      <c r="B272" s="3">
        <v>51.773279081399998</v>
      </c>
      <c r="C272" s="3">
        <v>185.02151956381334</v>
      </c>
      <c r="D272" s="3">
        <v>327.13011178271125</v>
      </c>
      <c r="E272" s="3">
        <v>832.1979531091672</v>
      </c>
      <c r="F272" s="3">
        <v>694.67315534621525</v>
      </c>
      <c r="G272" s="3">
        <v>517.75007837087412</v>
      </c>
      <c r="H272" s="3">
        <v>636.78069087303845</v>
      </c>
      <c r="I272" s="2">
        <v>453.39374362937451</v>
      </c>
      <c r="J272" s="3">
        <f t="shared" si="27"/>
        <v>0.36071126536178277</v>
      </c>
      <c r="K272" s="3">
        <f t="shared" si="28"/>
        <v>0.80343081497627855</v>
      </c>
      <c r="L272" s="3">
        <f t="shared" si="29"/>
        <v>0.6915577169592747</v>
      </c>
      <c r="M272" s="23">
        <v>44466</v>
      </c>
      <c r="N272" s="24">
        <v>238.10416666666666</v>
      </c>
      <c r="O272" s="24">
        <v>71.781249999999986</v>
      </c>
      <c r="P272" s="24">
        <v>22.822916666666668</v>
      </c>
      <c r="Q272" s="24">
        <v>0</v>
      </c>
      <c r="R272" s="24">
        <v>225.79166666666666</v>
      </c>
      <c r="S272" s="24">
        <v>6.354166666666667</v>
      </c>
      <c r="T272" s="24">
        <v>0.72916666666666663</v>
      </c>
      <c r="U272" s="24">
        <v>17.222916666666663</v>
      </c>
      <c r="V272" s="10">
        <v>0.87158836159411512</v>
      </c>
      <c r="W272" s="25">
        <v>0.25493749999999998</v>
      </c>
      <c r="X272" s="25">
        <v>0.3826458333333333</v>
      </c>
      <c r="Y272" s="25">
        <v>0.45287499999999992</v>
      </c>
      <c r="Z272" s="25">
        <v>0.48304166666666654</v>
      </c>
      <c r="AA272" s="25">
        <v>0.43295833333333333</v>
      </c>
      <c r="AB272" s="25">
        <v>0.34164583333333337</v>
      </c>
      <c r="AC272" s="25">
        <v>0.36002083333333329</v>
      </c>
      <c r="AD272" s="25">
        <v>0.31991666666666668</v>
      </c>
      <c r="AE272" s="25">
        <v>0.27164583333333336</v>
      </c>
      <c r="AF272" s="25">
        <v>0.14405000000000001</v>
      </c>
      <c r="AG272" s="25">
        <v>0.23497916666666663</v>
      </c>
      <c r="AH272" s="28">
        <f t="shared" si="30"/>
        <v>0.34394791666666669</v>
      </c>
      <c r="AI272" s="28">
        <f t="shared" si="31"/>
        <v>0.39002430555555562</v>
      </c>
      <c r="AJ272" s="28">
        <f t="shared" si="32"/>
        <v>0.3816467803030304</v>
      </c>
    </row>
    <row r="273" spans="1:36" x14ac:dyDescent="0.25">
      <c r="A273" s="9">
        <v>44467</v>
      </c>
      <c r="B273" s="3">
        <v>35.0723867958</v>
      </c>
      <c r="C273" s="3">
        <v>153.2809354678173</v>
      </c>
      <c r="D273" s="3">
        <v>276.13882374362447</v>
      </c>
      <c r="E273" s="3">
        <v>769.5456743563492</v>
      </c>
      <c r="F273" s="3">
        <v>498.95957763087114</v>
      </c>
      <c r="G273" s="3">
        <v>393.69769295478142</v>
      </c>
      <c r="H273" s="3">
        <v>523.54730173269684</v>
      </c>
      <c r="I273" s="2">
        <v>344.76106972050212</v>
      </c>
      <c r="J273" s="3">
        <f t="shared" si="27"/>
        <v>0.30353006835021851</v>
      </c>
      <c r="K273" s="3">
        <f t="shared" si="28"/>
        <v>0.73989750426330647</v>
      </c>
      <c r="L273" s="3">
        <f t="shared" si="29"/>
        <v>0.52507183561886628</v>
      </c>
      <c r="M273" s="23">
        <v>44467</v>
      </c>
      <c r="N273" s="24">
        <v>219.22916666666666</v>
      </c>
      <c r="O273" s="24">
        <v>76.329166666666666</v>
      </c>
      <c r="P273" s="24">
        <v>22.366666666666671</v>
      </c>
      <c r="Q273" s="24">
        <v>1.0999999999999999</v>
      </c>
      <c r="R273" s="24">
        <v>212.9375</v>
      </c>
      <c r="S273" s="24">
        <v>3.9166666666666665</v>
      </c>
      <c r="T273" s="24">
        <v>2.0833333333333332E-2</v>
      </c>
      <c r="U273" s="24">
        <v>17.672916666666669</v>
      </c>
      <c r="V273" s="10">
        <v>0.76738611977222071</v>
      </c>
      <c r="W273" s="25">
        <v>0.24514583333333362</v>
      </c>
      <c r="X273" s="25">
        <v>0.36277083333333349</v>
      </c>
      <c r="Y273" s="25">
        <v>0.43724999999999975</v>
      </c>
      <c r="Z273" s="25">
        <v>0.46004166666666668</v>
      </c>
      <c r="AA273" s="25">
        <v>0.42585416666666637</v>
      </c>
      <c r="AB273" s="25">
        <v>0.33616666666666672</v>
      </c>
      <c r="AC273" s="25">
        <v>0.35235416666666675</v>
      </c>
      <c r="AD273" s="25">
        <v>0.31066666666666648</v>
      </c>
      <c r="AE273" s="25">
        <v>0.23406250000000003</v>
      </c>
      <c r="AF273" s="25">
        <v>0.13592307692307692</v>
      </c>
      <c r="AG273" s="25">
        <v>0.22056249999999999</v>
      </c>
      <c r="AH273" s="28">
        <f t="shared" si="30"/>
        <v>0.33550000000000002</v>
      </c>
      <c r="AI273" s="28">
        <f t="shared" si="31"/>
        <v>0.37654166666666661</v>
      </c>
      <c r="AJ273" s="28">
        <f t="shared" si="32"/>
        <v>0.36907954545454541</v>
      </c>
    </row>
    <row r="274" spans="1:36" x14ac:dyDescent="0.25">
      <c r="A274" s="9">
        <v>44468</v>
      </c>
      <c r="B274" s="3">
        <v>36.19456555859999</v>
      </c>
      <c r="C274" s="3">
        <v>146.99917107377405</v>
      </c>
      <c r="D274" s="3">
        <v>214.22998890150163</v>
      </c>
      <c r="E274" s="3">
        <v>803.28385801027571</v>
      </c>
      <c r="F274" s="3">
        <v>654.82564410854548</v>
      </c>
      <c r="G274" s="3">
        <v>453.70452178116579</v>
      </c>
      <c r="H274" s="3">
        <v>574.47665022315368</v>
      </c>
      <c r="I274" s="2">
        <v>397.30904972376692</v>
      </c>
      <c r="J274" s="3">
        <f t="shared" si="27"/>
        <v>0.23410602714635137</v>
      </c>
      <c r="K274" s="3">
        <f t="shared" si="28"/>
        <v>0.77411012266515222</v>
      </c>
      <c r="L274" s="3">
        <f t="shared" si="29"/>
        <v>0.62130130919810955</v>
      </c>
      <c r="M274" s="23">
        <v>44468</v>
      </c>
      <c r="N274" s="24">
        <v>258.33333333333331</v>
      </c>
      <c r="O274" s="24">
        <v>65.950000000000017</v>
      </c>
      <c r="P274" s="24">
        <v>22.600000000000005</v>
      </c>
      <c r="Q274" s="24">
        <v>0.2</v>
      </c>
      <c r="R274" s="24">
        <v>220.83333333333334</v>
      </c>
      <c r="S274" s="24">
        <v>1.0208333333333333</v>
      </c>
      <c r="T274" s="24">
        <v>0</v>
      </c>
      <c r="U274" s="24">
        <v>14.610416666666666</v>
      </c>
      <c r="V274" s="10">
        <v>1.210576295633232</v>
      </c>
      <c r="W274" s="25">
        <v>0.23912500000000006</v>
      </c>
      <c r="X274" s="25">
        <v>0.34987499999999999</v>
      </c>
      <c r="Y274" s="25">
        <v>0.42570833333333341</v>
      </c>
      <c r="Z274" s="25">
        <v>0.44304166666666672</v>
      </c>
      <c r="AA274" s="25">
        <v>0.42056250000000023</v>
      </c>
      <c r="AB274" s="25">
        <v>0.33172916666666674</v>
      </c>
      <c r="AC274" s="25">
        <v>0.34633333333333344</v>
      </c>
      <c r="AD274" s="25">
        <v>0.30368750000000005</v>
      </c>
      <c r="AE274" s="25">
        <v>0.21164583333333345</v>
      </c>
      <c r="AF274" s="25">
        <v>0.13130000000000003</v>
      </c>
      <c r="AG274" s="25">
        <v>0.21220833333333333</v>
      </c>
      <c r="AH274" s="28">
        <f t="shared" si="30"/>
        <v>0.32984375000000016</v>
      </c>
      <c r="AI274" s="28">
        <f t="shared" si="31"/>
        <v>0.36672916666666672</v>
      </c>
      <c r="AJ274" s="28">
        <f t="shared" si="32"/>
        <v>0.36002272727272733</v>
      </c>
    </row>
    <row r="275" spans="1:36" x14ac:dyDescent="0.25">
      <c r="A275" s="9">
        <v>44469</v>
      </c>
      <c r="B275" s="3">
        <v>38.713241806200003</v>
      </c>
      <c r="C275" s="3">
        <v>190.98401284473476</v>
      </c>
      <c r="D275" s="3">
        <v>256.73169008191684</v>
      </c>
      <c r="E275" s="3">
        <v>833.04216752060086</v>
      </c>
      <c r="F275" s="3">
        <v>650.06865612050535</v>
      </c>
      <c r="G275" s="3">
        <v>459.57022887614994</v>
      </c>
      <c r="H275" s="3">
        <v>608.74219505163489</v>
      </c>
      <c r="I275" s="2">
        <v>402.44564942684451</v>
      </c>
      <c r="J275" s="3">
        <f t="shared" si="27"/>
        <v>0.28176707361101488</v>
      </c>
      <c r="K275" s="3">
        <f t="shared" si="28"/>
        <v>0.8042869009411896</v>
      </c>
      <c r="L275" s="3">
        <f t="shared" si="29"/>
        <v>0.63436976244049847</v>
      </c>
      <c r="M275" s="23">
        <v>44469</v>
      </c>
      <c r="N275" s="24">
        <v>245.04166666666666</v>
      </c>
      <c r="O275" s="24">
        <v>65.902083333333351</v>
      </c>
      <c r="P275" s="24">
        <v>22.814583333333331</v>
      </c>
      <c r="Q275" s="24">
        <v>0</v>
      </c>
      <c r="R275" s="24">
        <v>227.8125</v>
      </c>
      <c r="S275" s="24">
        <v>3</v>
      </c>
      <c r="T275" s="24">
        <v>0.16666666666666666</v>
      </c>
      <c r="U275" s="24">
        <v>15.631249999999996</v>
      </c>
      <c r="V275" s="10">
        <v>1.1234496868251027</v>
      </c>
      <c r="W275" s="25">
        <v>0.23414583333333341</v>
      </c>
      <c r="X275" s="25">
        <v>0.33693750000000017</v>
      </c>
      <c r="Y275" s="25">
        <v>0.41343749999999996</v>
      </c>
      <c r="Z275" s="25">
        <v>0.42610416666666673</v>
      </c>
      <c r="AA275" s="25">
        <v>0.41560416666666655</v>
      </c>
      <c r="AB275" s="25">
        <v>0.32733333333333337</v>
      </c>
      <c r="AC275" s="25">
        <v>0.3396249999999999</v>
      </c>
      <c r="AD275" s="25">
        <v>0.29612499999999997</v>
      </c>
      <c r="AE275" s="25">
        <v>0.19295833333333326</v>
      </c>
      <c r="AF275" s="25">
        <v>0.126</v>
      </c>
      <c r="AG275" s="25">
        <v>0.20429166666666662</v>
      </c>
      <c r="AH275" s="28">
        <f t="shared" si="30"/>
        <v>0.32487499999999997</v>
      </c>
      <c r="AI275" s="28">
        <f t="shared" si="31"/>
        <v>0.35659374999999999</v>
      </c>
      <c r="AJ275" s="28">
        <f t="shared" si="32"/>
        <v>0.35082670454545456</v>
      </c>
    </row>
    <row r="276" spans="1:36" x14ac:dyDescent="0.25">
      <c r="A276" s="9">
        <v>44470</v>
      </c>
      <c r="B276" s="3">
        <v>70.846641822599992</v>
      </c>
      <c r="C276" s="3">
        <v>204.83668607045351</v>
      </c>
      <c r="D276" s="3">
        <v>238.07896083438629</v>
      </c>
      <c r="E276" s="3">
        <v>805.91522874941177</v>
      </c>
      <c r="F276" s="3">
        <v>581.00473185899227</v>
      </c>
      <c r="G276" s="3">
        <v>431.49395267125158</v>
      </c>
      <c r="H276" s="3">
        <v>526.26858401974516</v>
      </c>
      <c r="I276" s="2">
        <v>377.85925435421501</v>
      </c>
      <c r="J276" s="3">
        <f t="shared" si="27"/>
        <v>0.26085006156988283</v>
      </c>
      <c r="K276" s="3">
        <f t="shared" si="28"/>
        <v>0.77677849639550167</v>
      </c>
      <c r="L276" s="3">
        <f t="shared" si="29"/>
        <v>0.57202248027297964</v>
      </c>
      <c r="M276" s="23">
        <v>44470</v>
      </c>
      <c r="N276" s="24">
        <v>231.60416666666666</v>
      </c>
      <c r="O276" s="24">
        <v>72.654166666666683</v>
      </c>
      <c r="P276" s="24">
        <v>23.333333333333332</v>
      </c>
      <c r="Q276" s="24">
        <v>0</v>
      </c>
      <c r="R276" s="24">
        <v>233.64583333333334</v>
      </c>
      <c r="S276" s="24">
        <v>5.166666666666667</v>
      </c>
      <c r="T276" s="24">
        <v>0.52083333333333337</v>
      </c>
      <c r="U276" s="24">
        <v>17.737500000000001</v>
      </c>
      <c r="V276" s="10">
        <v>0.92083704684426293</v>
      </c>
      <c r="W276" s="25">
        <v>0.23114583333333349</v>
      </c>
      <c r="X276" s="25">
        <v>0.32752083333333321</v>
      </c>
      <c r="Y276" s="25">
        <v>0.40604166666666647</v>
      </c>
      <c r="Z276" s="25">
        <v>0.41439583333333313</v>
      </c>
      <c r="AA276" s="25">
        <v>0.41249999999999987</v>
      </c>
      <c r="AB276" s="25">
        <v>0.32452083333333337</v>
      </c>
      <c r="AC276" s="25">
        <v>0.33408333333333334</v>
      </c>
      <c r="AD276" s="25">
        <v>0.29027083333333353</v>
      </c>
      <c r="AE276" s="25">
        <v>0.17864583333333331</v>
      </c>
      <c r="AF276" s="25">
        <v>0.12252777777777782</v>
      </c>
      <c r="AG276" s="25">
        <v>0.19860416666666672</v>
      </c>
      <c r="AH276" s="28">
        <f t="shared" si="30"/>
        <v>0.32182291666666668</v>
      </c>
      <c r="AI276" s="28">
        <f t="shared" si="31"/>
        <v>0.34947222222222218</v>
      </c>
      <c r="AJ276" s="28">
        <f t="shared" si="32"/>
        <v>0.34444507575757571</v>
      </c>
    </row>
    <row r="277" spans="1:36" x14ac:dyDescent="0.25">
      <c r="A277" s="9">
        <v>44471</v>
      </c>
      <c r="B277" s="3">
        <v>90.297153464400026</v>
      </c>
      <c r="C277" s="3">
        <v>160.43677030630334</v>
      </c>
      <c r="D277" s="3">
        <v>234.7105671741476</v>
      </c>
      <c r="E277" s="3">
        <v>750.91508810842095</v>
      </c>
      <c r="F277" s="3">
        <v>514.7489642719737</v>
      </c>
      <c r="G277" s="3">
        <v>390.95399654634923</v>
      </c>
      <c r="H277" s="3">
        <v>486.84130773338433</v>
      </c>
      <c r="I277" s="2">
        <v>342.35841477563804</v>
      </c>
      <c r="J277" s="3">
        <f t="shared" si="27"/>
        <v>0.25707277354862379</v>
      </c>
      <c r="K277" s="3">
        <f t="shared" si="28"/>
        <v>0.72100493006781141</v>
      </c>
      <c r="L277" s="3">
        <f t="shared" si="29"/>
        <v>0.51622111429717921</v>
      </c>
      <c r="M277" s="23">
        <v>44471</v>
      </c>
      <c r="N277" s="24">
        <v>200.41666666666666</v>
      </c>
      <c r="O277" s="24">
        <v>74.218749999999986</v>
      </c>
      <c r="P277" s="24">
        <v>23.633333333333336</v>
      </c>
      <c r="Q277" s="24">
        <v>0</v>
      </c>
      <c r="R277" s="24">
        <v>233.79166666666666</v>
      </c>
      <c r="S277" s="24">
        <v>9.1041666666666661</v>
      </c>
      <c r="T277" s="24">
        <v>1.2291666666666667</v>
      </c>
      <c r="U277" s="24">
        <v>18.547916666666673</v>
      </c>
      <c r="V277" s="10">
        <v>0.82914898722517083</v>
      </c>
      <c r="W277" s="25">
        <v>0.2288958333333333</v>
      </c>
      <c r="X277" s="25">
        <v>0.3204583333333334</v>
      </c>
      <c r="Y277" s="25">
        <v>0.40118750000000031</v>
      </c>
      <c r="Z277" s="25">
        <v>0.40689583333333307</v>
      </c>
      <c r="AA277" s="25">
        <v>0.40945833333333331</v>
      </c>
      <c r="AB277" s="25">
        <v>0.32212499999999999</v>
      </c>
      <c r="AC277" s="25">
        <v>0.32933333333333342</v>
      </c>
      <c r="AD277" s="25">
        <v>0.28543749999999984</v>
      </c>
      <c r="AE277" s="25">
        <v>0.16718750000000004</v>
      </c>
      <c r="AF277" s="25">
        <v>0.12151428571428571</v>
      </c>
      <c r="AG277" s="25">
        <v>0.19362500000000002</v>
      </c>
      <c r="AH277" s="28">
        <f t="shared" si="30"/>
        <v>0.31917708333333328</v>
      </c>
      <c r="AI277" s="28">
        <f t="shared" si="31"/>
        <v>0.34423958333333338</v>
      </c>
      <c r="AJ277" s="28">
        <f t="shared" si="32"/>
        <v>0.33968276515151519</v>
      </c>
    </row>
    <row r="278" spans="1:36" x14ac:dyDescent="0.25">
      <c r="A278" s="9">
        <v>44472</v>
      </c>
      <c r="B278" s="3">
        <v>113.7051572562</v>
      </c>
      <c r="C278" s="3">
        <v>153.01828786320661</v>
      </c>
      <c r="D278" s="3">
        <v>245.99119824928121</v>
      </c>
      <c r="E278" s="3">
        <v>621.7910590069157</v>
      </c>
      <c r="F278" s="3">
        <v>450.78997410961534</v>
      </c>
      <c r="G278" s="3">
        <v>309.39401325623089</v>
      </c>
      <c r="H278" s="3">
        <v>435.83039451224846</v>
      </c>
      <c r="I278" s="2">
        <v>270.93633740848139</v>
      </c>
      <c r="J278" s="3">
        <f t="shared" si="27"/>
        <v>0.26972277735765759</v>
      </c>
      <c r="K278" s="3">
        <f t="shared" si="28"/>
        <v>0.59006512668439837</v>
      </c>
      <c r="L278" s="3">
        <f t="shared" si="29"/>
        <v>0.43198625777626593</v>
      </c>
      <c r="M278" s="23">
        <v>44472</v>
      </c>
      <c r="N278" s="24">
        <v>169.8125</v>
      </c>
      <c r="O278" s="24">
        <v>75.635416666666671</v>
      </c>
      <c r="P278" s="24">
        <v>22.258333333333336</v>
      </c>
      <c r="Q278" s="24">
        <v>0</v>
      </c>
      <c r="R278" s="24">
        <v>229.97916666666666</v>
      </c>
      <c r="S278" s="24">
        <v>16.604166666666668</v>
      </c>
      <c r="T278" s="24">
        <v>4.4375</v>
      </c>
      <c r="U278" s="24">
        <v>17.65208333333333</v>
      </c>
      <c r="V278" s="10">
        <v>0.69231985283720154</v>
      </c>
      <c r="W278" s="25">
        <v>0.22643750000000018</v>
      </c>
      <c r="X278" s="25">
        <v>0.31454166666666672</v>
      </c>
      <c r="Y278" s="25">
        <v>0.39716666666666667</v>
      </c>
      <c r="Z278" s="25">
        <v>0.40177083333333347</v>
      </c>
      <c r="AA278" s="25">
        <v>0.40518750000000009</v>
      </c>
      <c r="AB278" s="25">
        <v>0.31906249999999997</v>
      </c>
      <c r="AC278" s="25">
        <v>0.32441666666666641</v>
      </c>
      <c r="AD278" s="25">
        <v>0.28185416666666657</v>
      </c>
      <c r="AE278" s="25">
        <v>0.15868749999999995</v>
      </c>
      <c r="AF278" s="25">
        <v>0.11811111111111111</v>
      </c>
      <c r="AG278" s="25">
        <v>0.18929166666666666</v>
      </c>
      <c r="AH278" s="28">
        <f t="shared" si="30"/>
        <v>0.31581250000000016</v>
      </c>
      <c r="AI278" s="28">
        <f t="shared" si="31"/>
        <v>0.33980208333333328</v>
      </c>
      <c r="AJ278" s="28">
        <f t="shared" si="32"/>
        <v>0.33544034090909092</v>
      </c>
    </row>
    <row r="279" spans="1:36" x14ac:dyDescent="0.25">
      <c r="A279" s="9">
        <v>44473</v>
      </c>
      <c r="B279" s="3">
        <v>55.963129514399995</v>
      </c>
      <c r="C279" s="3">
        <v>76.206440473827257</v>
      </c>
      <c r="D279" s="3">
        <v>189.8232244803234</v>
      </c>
      <c r="E279" s="3">
        <v>560.47210466403646</v>
      </c>
      <c r="F279" s="3">
        <v>398.07148512104646</v>
      </c>
      <c r="G279" s="3">
        <v>256.11772274585581</v>
      </c>
      <c r="H279" s="3">
        <v>381.61237981159644</v>
      </c>
      <c r="I279" s="2">
        <v>224.28228980854595</v>
      </c>
      <c r="J279" s="3">
        <f t="shared" si="27"/>
        <v>0.20673648896735028</v>
      </c>
      <c r="K279" s="3">
        <f t="shared" si="28"/>
        <v>0.52788388992155411</v>
      </c>
      <c r="L279" s="3">
        <f t="shared" si="29"/>
        <v>0.36738827498261906</v>
      </c>
      <c r="M279" s="23">
        <v>44473</v>
      </c>
      <c r="N279" s="24">
        <v>132.0625</v>
      </c>
      <c r="O279" s="24">
        <v>76.312499999999986</v>
      </c>
      <c r="P279" s="24">
        <v>21.881249999999998</v>
      </c>
      <c r="Q279" s="24">
        <v>0</v>
      </c>
      <c r="R279" s="24">
        <v>231.77083333333334</v>
      </c>
      <c r="S279" s="24">
        <v>16.5</v>
      </c>
      <c r="T279" s="24">
        <v>3.6875</v>
      </c>
      <c r="U279" s="24">
        <v>17.477083333333333</v>
      </c>
      <c r="V279" s="10">
        <v>0.6406294546545942</v>
      </c>
      <c r="W279" s="25">
        <v>0.22441666666666671</v>
      </c>
      <c r="X279" s="25">
        <v>0.31016666666666637</v>
      </c>
      <c r="Y279" s="25">
        <v>0.39408333333333351</v>
      </c>
      <c r="Z279" s="25">
        <v>0.39816666666666661</v>
      </c>
      <c r="AA279" s="25">
        <v>0.40114583333333326</v>
      </c>
      <c r="AB279" s="25">
        <v>0.31624999999999998</v>
      </c>
      <c r="AC279" s="25">
        <v>0.31979166666666664</v>
      </c>
      <c r="AD279" s="25">
        <v>0.27868749999999981</v>
      </c>
      <c r="AE279" s="25">
        <v>0.15272916666666664</v>
      </c>
      <c r="AF279" s="29">
        <f>AG279*0.5711-0.0033</f>
        <v>0.10276992708333332</v>
      </c>
      <c r="AG279" s="25">
        <v>0.18572916666666664</v>
      </c>
      <c r="AH279" s="28">
        <f t="shared" si="30"/>
        <v>0.31278125000000001</v>
      </c>
      <c r="AI279" s="28">
        <f t="shared" si="31"/>
        <v>0.33619097222222211</v>
      </c>
      <c r="AJ279" s="28">
        <f t="shared" si="32"/>
        <v>0.33193465909090897</v>
      </c>
    </row>
    <row r="280" spans="1:36" x14ac:dyDescent="0.25">
      <c r="A280" s="9">
        <v>44474</v>
      </c>
      <c r="B280" s="3">
        <v>71.464678749000015</v>
      </c>
      <c r="C280" s="3">
        <v>203.63619229053995</v>
      </c>
      <c r="D280" s="3">
        <v>217.26743235015996</v>
      </c>
      <c r="E280" s="3">
        <v>895.10664430965574</v>
      </c>
      <c r="F280" s="3">
        <v>518.42681706324959</v>
      </c>
      <c r="G280" s="3">
        <v>417.20095831854201</v>
      </c>
      <c r="H280" s="3">
        <v>377.0188380253831</v>
      </c>
      <c r="I280" s="2">
        <v>365.34287919954727</v>
      </c>
      <c r="J280" s="3">
        <f t="shared" si="27"/>
        <v>0.23751219041322319</v>
      </c>
      <c r="K280" s="3">
        <f t="shared" si="28"/>
        <v>0.8672241438726721</v>
      </c>
      <c r="L280" s="3">
        <f t="shared" si="29"/>
        <v>0.49907326462998547</v>
      </c>
      <c r="M280" s="23">
        <v>44474</v>
      </c>
      <c r="N280" s="24">
        <v>236.35416666666666</v>
      </c>
      <c r="O280" s="24">
        <v>69.177083333333329</v>
      </c>
      <c r="P280" s="24">
        <v>23.047916666666662</v>
      </c>
      <c r="Q280" s="24">
        <v>0</v>
      </c>
      <c r="R280" s="24">
        <v>232.02083333333334</v>
      </c>
      <c r="S280" s="24">
        <v>14.020833333333334</v>
      </c>
      <c r="T280" s="24">
        <v>3</v>
      </c>
      <c r="U280" s="24">
        <v>16.758333333333329</v>
      </c>
      <c r="V280" s="10">
        <v>0.96966430727233044</v>
      </c>
      <c r="W280" s="25">
        <v>0.22277083333333356</v>
      </c>
      <c r="X280" s="25">
        <v>0.30633333333333324</v>
      </c>
      <c r="Y280" s="25">
        <v>0.39085416666666667</v>
      </c>
      <c r="Z280" s="25">
        <v>0.39495833333333347</v>
      </c>
      <c r="AA280" s="25">
        <v>0.39922916666666647</v>
      </c>
      <c r="AB280" s="25">
        <v>0.31383333333333335</v>
      </c>
      <c r="AC280" s="25">
        <v>0.31512500000000021</v>
      </c>
      <c r="AD280" s="25">
        <v>0.2750416666666668</v>
      </c>
      <c r="AE280" s="25">
        <v>0.1483541666666667</v>
      </c>
      <c r="AF280" s="25">
        <v>0.11327272727272729</v>
      </c>
      <c r="AG280" s="25">
        <v>0.1841249999999999</v>
      </c>
      <c r="AH280" s="28">
        <f t="shared" si="30"/>
        <v>0.311</v>
      </c>
      <c r="AI280" s="28">
        <f t="shared" si="31"/>
        <v>0.33269097222222233</v>
      </c>
      <c r="AJ280" s="28">
        <f t="shared" si="32"/>
        <v>0.32874715909090918</v>
      </c>
    </row>
    <row r="281" spans="1:36" x14ac:dyDescent="0.25">
      <c r="A281" s="9">
        <v>44475</v>
      </c>
      <c r="B281" s="3">
        <v>21.918843599400002</v>
      </c>
      <c r="C281" s="3">
        <v>109.35651042872796</v>
      </c>
      <c r="D281" s="3">
        <v>138.87062799839478</v>
      </c>
      <c r="E281" s="3">
        <v>734.41067096714619</v>
      </c>
      <c r="F281" s="3">
        <v>396.63173007638676</v>
      </c>
      <c r="G281" s="3">
        <v>311.74648430518727</v>
      </c>
      <c r="H281" s="3">
        <v>305.05883062735899</v>
      </c>
      <c r="I281" s="2">
        <v>272.99639630605247</v>
      </c>
      <c r="J281" s="3">
        <f t="shared" si="27"/>
        <v>0.1495986803391281</v>
      </c>
      <c r="K281" s="3">
        <f t="shared" si="28"/>
        <v>0.70426842369890386</v>
      </c>
      <c r="L281" s="3">
        <f t="shared" si="29"/>
        <v>0.37747843829754862</v>
      </c>
      <c r="M281" s="23">
        <v>44475</v>
      </c>
      <c r="N281" s="24">
        <v>166</v>
      </c>
      <c r="O281" s="24">
        <v>71.347916666666649</v>
      </c>
      <c r="P281" s="24">
        <v>22.900000000000002</v>
      </c>
      <c r="Q281" s="24">
        <v>0</v>
      </c>
      <c r="R281" s="24">
        <v>234.54166666666666</v>
      </c>
      <c r="S281" s="24">
        <v>8.4791666666666661</v>
      </c>
      <c r="T281" s="24">
        <v>1.1875</v>
      </c>
      <c r="U281" s="24">
        <v>17.272916666666664</v>
      </c>
      <c r="V281" s="10">
        <v>0.85812654559213897</v>
      </c>
      <c r="W281" s="25">
        <v>0.22116666666666665</v>
      </c>
      <c r="X281" s="25">
        <v>0.30354166666666682</v>
      </c>
      <c r="Y281" s="25">
        <v>0.38831250000000023</v>
      </c>
      <c r="Z281" s="25">
        <v>0.39172916666666674</v>
      </c>
      <c r="AA281" s="25">
        <v>0.39664583333333353</v>
      </c>
      <c r="AB281" s="25">
        <v>0.31195833333333328</v>
      </c>
      <c r="AC281" s="25">
        <v>0.31127083333333333</v>
      </c>
      <c r="AD281" s="25">
        <v>0.27174999999999994</v>
      </c>
      <c r="AE281" s="25">
        <v>0.14375000000000002</v>
      </c>
      <c r="AF281" s="25">
        <v>0.1096</v>
      </c>
      <c r="AG281" s="25">
        <v>0.17981250000000001</v>
      </c>
      <c r="AH281" s="28">
        <f t="shared" si="30"/>
        <v>0.3089062500000001</v>
      </c>
      <c r="AI281" s="28">
        <f t="shared" si="31"/>
        <v>0.32976041666666672</v>
      </c>
      <c r="AJ281" s="28">
        <f t="shared" si="32"/>
        <v>0.32596875000000008</v>
      </c>
    </row>
    <row r="282" spans="1:36" x14ac:dyDescent="0.25">
      <c r="A282" s="9">
        <v>44476</v>
      </c>
      <c r="B282" s="3">
        <v>5.4751520394000002</v>
      </c>
      <c r="C282" s="3">
        <v>64.693298922896744</v>
      </c>
      <c r="D282" s="3">
        <v>76.400870045057331</v>
      </c>
      <c r="E282" s="3">
        <v>462.15162224418879</v>
      </c>
      <c r="F282" s="3">
        <v>269.78999636273534</v>
      </c>
      <c r="G282" s="3">
        <v>183.88438450255907</v>
      </c>
      <c r="H282" s="3">
        <v>267.84006274392863</v>
      </c>
      <c r="I282" s="2">
        <v>161.027555508891</v>
      </c>
      <c r="J282" s="3">
        <f t="shared" si="27"/>
        <v>7.9545624725856037E-2</v>
      </c>
      <c r="K282" s="3">
        <f t="shared" si="28"/>
        <v>0.42818080037114359</v>
      </c>
      <c r="L282" s="3">
        <f t="shared" si="29"/>
        <v>0.251489707561806</v>
      </c>
      <c r="M282" s="23">
        <v>44476</v>
      </c>
      <c r="N282" s="24">
        <v>111.33333333333333</v>
      </c>
      <c r="O282" s="24">
        <v>75.914583333333312</v>
      </c>
      <c r="P282" s="24">
        <v>21.589583333333326</v>
      </c>
      <c r="Q282" s="24">
        <v>0</v>
      </c>
      <c r="R282" s="24">
        <v>216</v>
      </c>
      <c r="S282" s="24">
        <v>2.8541666666666665</v>
      </c>
      <c r="T282" s="24">
        <v>8.3333333333333329E-2</v>
      </c>
      <c r="U282" s="24">
        <v>17.056250000000002</v>
      </c>
      <c r="V282" s="10">
        <v>0.66044896499588523</v>
      </c>
      <c r="W282" s="25">
        <v>0.21968750000000012</v>
      </c>
      <c r="X282" s="25">
        <v>0.30127083333333343</v>
      </c>
      <c r="Y282" s="25">
        <v>0.38641666666666646</v>
      </c>
      <c r="Z282" s="25">
        <v>0.38979166666666648</v>
      </c>
      <c r="AA282" s="25">
        <v>0.39316666666666689</v>
      </c>
      <c r="AB282" s="25">
        <v>0.30966666666666631</v>
      </c>
      <c r="AC282" s="25">
        <v>0.30735416666666643</v>
      </c>
      <c r="AD282" s="25">
        <v>0.26958333333333334</v>
      </c>
      <c r="AE282" s="25">
        <v>0.14014583333333333</v>
      </c>
      <c r="AF282" s="25">
        <v>0.108</v>
      </c>
      <c r="AG282" s="25">
        <v>0.17689583333333334</v>
      </c>
      <c r="AH282" s="28">
        <f t="shared" si="30"/>
        <v>0.30642708333333352</v>
      </c>
      <c r="AI282" s="28">
        <f t="shared" si="31"/>
        <v>0.32734722222222207</v>
      </c>
      <c r="AJ282" s="28">
        <f t="shared" si="32"/>
        <v>0.32354356060606049</v>
      </c>
    </row>
    <row r="283" spans="1:36" x14ac:dyDescent="0.25">
      <c r="A283" s="9">
        <v>44477</v>
      </c>
      <c r="B283" s="3">
        <v>49.457127475800007</v>
      </c>
      <c r="C283" s="3">
        <v>142.7012430914948</v>
      </c>
      <c r="D283" s="3">
        <v>60.21368426462562</v>
      </c>
      <c r="E283" s="3">
        <v>715.56098412360632</v>
      </c>
      <c r="F283" s="3">
        <v>338.93758896033881</v>
      </c>
      <c r="G283" s="3">
        <v>298.4523386078522</v>
      </c>
      <c r="H283" s="3">
        <v>334.825395324753</v>
      </c>
      <c r="I283" s="2">
        <v>261.35471291889615</v>
      </c>
      <c r="J283" s="3">
        <f t="shared" si="27"/>
        <v>6.1393452173082966E-2</v>
      </c>
      <c r="K283" s="3">
        <f t="shared" si="28"/>
        <v>0.68515366786061005</v>
      </c>
      <c r="L283" s="3">
        <f t="shared" si="29"/>
        <v>0.36263434139200901</v>
      </c>
      <c r="M283" s="23">
        <v>44477</v>
      </c>
      <c r="N283" s="24">
        <v>208.89583333333334</v>
      </c>
      <c r="O283" s="24">
        <v>73.32083333333334</v>
      </c>
      <c r="P283" s="24">
        <v>19.837499999999999</v>
      </c>
      <c r="Q283" s="24">
        <v>0.89999999999999991</v>
      </c>
      <c r="R283" s="24">
        <v>235.58333333333334</v>
      </c>
      <c r="S283" s="24">
        <v>5.520833333333333</v>
      </c>
      <c r="T283" s="24">
        <v>0.1875</v>
      </c>
      <c r="U283" s="24">
        <v>14.437500000000002</v>
      </c>
      <c r="V283" s="10">
        <v>0.73644561989090762</v>
      </c>
      <c r="W283" s="25">
        <v>0.21816666666666659</v>
      </c>
      <c r="X283" s="25">
        <v>0.2988541666666667</v>
      </c>
      <c r="Y283" s="25">
        <v>0.38479166666666681</v>
      </c>
      <c r="Z283" s="25">
        <v>0.38806249999999992</v>
      </c>
      <c r="AA283" s="25">
        <v>0.39066666666666655</v>
      </c>
      <c r="AB283" s="25">
        <v>0.30747916666666647</v>
      </c>
      <c r="AC283" s="25">
        <v>0.30393749999999992</v>
      </c>
      <c r="AD283" s="25">
        <v>0.26779166666666665</v>
      </c>
      <c r="AE283" s="25">
        <v>0.13737500000000005</v>
      </c>
      <c r="AF283" s="25">
        <v>0.10627777777777779</v>
      </c>
      <c r="AG283" s="25">
        <v>0.17662499999999992</v>
      </c>
      <c r="AH283" s="28">
        <f t="shared" si="30"/>
        <v>0.30441666666666656</v>
      </c>
      <c r="AI283" s="28">
        <f t="shared" si="31"/>
        <v>0.32515277777777779</v>
      </c>
      <c r="AJ283" s="28">
        <f t="shared" si="32"/>
        <v>0.32138257575757573</v>
      </c>
    </row>
    <row r="284" spans="1:36" x14ac:dyDescent="0.25">
      <c r="A284" s="9">
        <v>44478</v>
      </c>
      <c r="B284" s="3">
        <v>1.4816009952000002</v>
      </c>
      <c r="C284" s="3">
        <v>89.595368004690613</v>
      </c>
      <c r="D284" s="3">
        <v>52.773150491237537</v>
      </c>
      <c r="E284" s="3">
        <v>424.61423382953325</v>
      </c>
      <c r="F284" s="3">
        <v>185.12663858039045</v>
      </c>
      <c r="G284" s="3">
        <v>142.66661509251361</v>
      </c>
      <c r="H284" s="3">
        <v>246.58520638197973</v>
      </c>
      <c r="I284" s="2">
        <v>124.93315483651418</v>
      </c>
      <c r="J284" s="3">
        <f t="shared" si="27"/>
        <v>5.3049700839694978E-2</v>
      </c>
      <c r="K284" s="3">
        <f t="shared" si="28"/>
        <v>0.39011555184425645</v>
      </c>
      <c r="L284" s="3">
        <f t="shared" si="29"/>
        <v>0.19588247621183821</v>
      </c>
      <c r="M284" s="23">
        <v>44478</v>
      </c>
      <c r="N284" s="24">
        <v>107.02083333333333</v>
      </c>
      <c r="O284" s="24">
        <v>81.902083333333323</v>
      </c>
      <c r="P284" s="24">
        <v>18.279166666666665</v>
      </c>
      <c r="Q284" s="24">
        <v>1.2</v>
      </c>
      <c r="R284" s="24">
        <v>237.33333333333334</v>
      </c>
      <c r="S284" s="24">
        <v>4.6875</v>
      </c>
      <c r="T284" s="24">
        <v>2.0833333333333332E-2</v>
      </c>
      <c r="U284" s="24">
        <v>14.954166666666667</v>
      </c>
      <c r="V284" s="10">
        <v>0.43639121965116173</v>
      </c>
      <c r="W284" s="25">
        <v>0.21645833333333322</v>
      </c>
      <c r="X284" s="25">
        <v>0.29627083333333321</v>
      </c>
      <c r="Y284" s="25">
        <v>0.3829375000000001</v>
      </c>
      <c r="Z284" s="25">
        <v>0.38620833333333349</v>
      </c>
      <c r="AA284" s="25">
        <v>0.38627083333333351</v>
      </c>
      <c r="AB284" s="25">
        <v>0.30537500000000001</v>
      </c>
      <c r="AC284" s="25">
        <v>0.30100000000000021</v>
      </c>
      <c r="AD284" s="25">
        <v>0.26600000000000018</v>
      </c>
      <c r="AE284" s="25">
        <v>0.12095833333333339</v>
      </c>
      <c r="AF284" s="25">
        <v>0.10356521739130439</v>
      </c>
      <c r="AG284" s="25">
        <v>0.15689583333333332</v>
      </c>
      <c r="AH284" s="28">
        <f t="shared" si="30"/>
        <v>0.30136458333333338</v>
      </c>
      <c r="AI284" s="28">
        <f t="shared" si="31"/>
        <v>0.32296527777777784</v>
      </c>
      <c r="AJ284" s="28">
        <f t="shared" si="32"/>
        <v>0.31903787878787887</v>
      </c>
    </row>
    <row r="285" spans="1:36" x14ac:dyDescent="0.25">
      <c r="A285" s="9">
        <v>44481</v>
      </c>
      <c r="B285" s="3">
        <v>3.4944718068</v>
      </c>
      <c r="C285" s="3">
        <v>20.468941201365428</v>
      </c>
      <c r="D285" s="3">
        <v>22.906496206745505</v>
      </c>
      <c r="E285" s="3">
        <v>164.08301604289159</v>
      </c>
      <c r="F285" s="3">
        <v>94.621949048880253</v>
      </c>
      <c r="G285" s="3">
        <v>74.992321214802615</v>
      </c>
      <c r="H285" s="3">
        <v>227.53264376588106</v>
      </c>
      <c r="I285" s="2">
        <v>65.670775687802646</v>
      </c>
      <c r="J285" s="3">
        <f t="shared" si="27"/>
        <v>1.9557488573773887E-2</v>
      </c>
      <c r="K285" s="3">
        <f t="shared" si="28"/>
        <v>0.12592067913464741</v>
      </c>
      <c r="L285" s="3">
        <f t="shared" si="29"/>
        <v>0.12294750540580737</v>
      </c>
      <c r="M285" s="23">
        <v>44481</v>
      </c>
      <c r="N285" s="24">
        <v>81.229166666666671</v>
      </c>
      <c r="O285" s="24">
        <v>87.866666666666674</v>
      </c>
      <c r="P285" s="24">
        <v>14.514583333333334</v>
      </c>
      <c r="Q285" s="24">
        <v>0.2</v>
      </c>
      <c r="R285" s="24">
        <v>212.35416666666666</v>
      </c>
      <c r="S285" s="24">
        <v>4.25</v>
      </c>
      <c r="T285" s="24">
        <v>4.1666666666666664E-2</v>
      </c>
      <c r="U285" s="24">
        <v>12.460416666666667</v>
      </c>
      <c r="V285" s="10">
        <v>0.2178841865181016</v>
      </c>
      <c r="W285" s="25">
        <v>0.21647916666666681</v>
      </c>
      <c r="X285" s="25">
        <v>0.29302083333333306</v>
      </c>
      <c r="Y285" s="25">
        <v>0.37837500000000007</v>
      </c>
      <c r="Z285" s="25">
        <v>0.38647916666666643</v>
      </c>
      <c r="AA285" s="25">
        <v>0.41320833333333357</v>
      </c>
      <c r="AB285" s="25">
        <v>0.29793750000000002</v>
      </c>
      <c r="AC285" s="25">
        <v>0.29622916666666649</v>
      </c>
      <c r="AD285" s="25">
        <v>0.26299999999999996</v>
      </c>
      <c r="AE285" s="25">
        <v>0.21818750000000001</v>
      </c>
      <c r="AF285" s="25">
        <v>0.22733333333333336</v>
      </c>
      <c r="AG285" s="25">
        <v>0.38116666666666671</v>
      </c>
      <c r="AH285" s="28">
        <f t="shared" si="30"/>
        <v>0.3148437500000002</v>
      </c>
      <c r="AI285" s="28">
        <f t="shared" si="31"/>
        <v>0.31917361111111103</v>
      </c>
      <c r="AJ285" s="28">
        <f t="shared" si="32"/>
        <v>0.31838636363636358</v>
      </c>
    </row>
    <row r="286" spans="1:36" x14ac:dyDescent="0.25">
      <c r="A286" s="9">
        <v>44485</v>
      </c>
      <c r="B286" s="3">
        <v>3.6504187775999997</v>
      </c>
      <c r="C286" s="3">
        <v>4.12319953677199</v>
      </c>
      <c r="D286" s="3">
        <v>5.4661209556858212</v>
      </c>
      <c r="E286" s="3">
        <v>44.553296805134167</v>
      </c>
      <c r="F286" s="3">
        <v>38.863413187111533</v>
      </c>
      <c r="G286" s="3">
        <v>18.373695912698118</v>
      </c>
      <c r="H286" s="3">
        <v>136.79976491791163</v>
      </c>
      <c r="I286" s="2">
        <v>16.089845510749743</v>
      </c>
      <c r="J286" s="3">
        <f t="shared" si="27"/>
        <v>0</v>
      </c>
      <c r="K286" s="3">
        <f t="shared" si="28"/>
        <v>4.7101031917063897E-3</v>
      </c>
      <c r="L286" s="3">
        <f t="shared" si="29"/>
        <v>4.3986850944733098E-2</v>
      </c>
      <c r="M286" s="23">
        <v>44485</v>
      </c>
      <c r="N286" s="24">
        <v>43.979166666666664</v>
      </c>
      <c r="O286" s="24">
        <v>84.61666666666666</v>
      </c>
      <c r="P286" s="24">
        <v>11.516666666666667</v>
      </c>
      <c r="Q286" s="24">
        <v>0.2</v>
      </c>
      <c r="R286" s="24">
        <v>251.10416666666666</v>
      </c>
      <c r="S286" s="24">
        <v>5.291666666666667</v>
      </c>
      <c r="T286" s="24">
        <v>6.25E-2</v>
      </c>
      <c r="U286" s="24">
        <v>8.997916666666665</v>
      </c>
      <c r="V286" s="10">
        <v>0.21130365239483226</v>
      </c>
      <c r="W286" s="25">
        <v>0.21674999999999986</v>
      </c>
      <c r="X286" s="25">
        <v>0.28999999999999976</v>
      </c>
      <c r="Y286" s="25">
        <v>0.37547916666666664</v>
      </c>
      <c r="Z286" s="25">
        <v>0.38458333333333333</v>
      </c>
      <c r="AA286" s="25">
        <v>0.39441666666666664</v>
      </c>
      <c r="AB286" s="25">
        <v>0.29679166666666662</v>
      </c>
      <c r="AC286" s="25">
        <v>0.29452083333333351</v>
      </c>
      <c r="AD286" s="25">
        <v>0.26110416666666642</v>
      </c>
      <c r="AE286" s="25">
        <v>0.20927083333333332</v>
      </c>
      <c r="AF286" s="25">
        <v>0.20600000000000002</v>
      </c>
      <c r="AG286" s="25">
        <v>0.3340625000000001</v>
      </c>
      <c r="AH286" s="28">
        <f t="shared" si="30"/>
        <v>0.30558333333333326</v>
      </c>
      <c r="AI286" s="28">
        <f t="shared" si="31"/>
        <v>0.31707986111111103</v>
      </c>
      <c r="AJ286" s="28">
        <f t="shared" si="32"/>
        <v>0.31498958333333327</v>
      </c>
    </row>
    <row r="287" spans="1:36" x14ac:dyDescent="0.25">
      <c r="A287" s="9">
        <v>44486</v>
      </c>
      <c r="B287" s="3">
        <v>3.2805177750000003</v>
      </c>
      <c r="C287" s="3">
        <v>47.21713658915823</v>
      </c>
      <c r="D287" s="3">
        <v>55.651217808190758</v>
      </c>
      <c r="E287" s="3">
        <v>185.21520850450531</v>
      </c>
      <c r="F287" s="3">
        <v>119.83240771995467</v>
      </c>
      <c r="G287" s="3">
        <v>88.100947586810605</v>
      </c>
      <c r="H287" s="3">
        <v>190.42086990005916</v>
      </c>
      <c r="I287" s="2">
        <v>77.149999801770051</v>
      </c>
      <c r="J287" s="3">
        <f t="shared" si="27"/>
        <v>5.6277141067074522E-2</v>
      </c>
      <c r="K287" s="3">
        <f t="shared" si="28"/>
        <v>0.14735003775394012</v>
      </c>
      <c r="L287" s="3">
        <f t="shared" si="29"/>
        <v>0.12640123029446068</v>
      </c>
      <c r="M287" s="23">
        <v>44486</v>
      </c>
      <c r="N287" s="24">
        <v>88.9375</v>
      </c>
      <c r="O287" s="24">
        <v>83.708333333333329</v>
      </c>
      <c r="P287" s="24">
        <v>11.2875</v>
      </c>
      <c r="Q287" s="24">
        <v>0</v>
      </c>
      <c r="R287" s="24">
        <v>241.08333333333334</v>
      </c>
      <c r="S287" s="24">
        <v>4.395833333333333</v>
      </c>
      <c r="T287" s="24">
        <v>0.27083333333333331</v>
      </c>
      <c r="U287" s="24">
        <v>8.5708333333333311</v>
      </c>
      <c r="V287" s="10">
        <v>0.23138127693421309</v>
      </c>
      <c r="W287" s="25">
        <v>0.21483333333333343</v>
      </c>
      <c r="X287" s="25">
        <v>0.28768750000000032</v>
      </c>
      <c r="Y287" s="25">
        <v>0.37293749999999992</v>
      </c>
      <c r="Z287" s="25">
        <v>0.38262499999999999</v>
      </c>
      <c r="AA287" s="25">
        <v>0.38877083333333345</v>
      </c>
      <c r="AB287" s="25">
        <v>0.29514583333333333</v>
      </c>
      <c r="AC287" s="25">
        <v>0.29347916666666629</v>
      </c>
      <c r="AD287" s="25">
        <v>0.26093749999999982</v>
      </c>
      <c r="AE287" s="25">
        <v>0.19475000000000006</v>
      </c>
      <c r="AF287" s="29">
        <f>AG287*0.5711-0.0033</f>
        <v>0.18130807500000001</v>
      </c>
      <c r="AG287" s="25">
        <v>0.32324999999999998</v>
      </c>
      <c r="AH287" s="28">
        <f t="shared" si="30"/>
        <v>0.30180208333333347</v>
      </c>
      <c r="AI287" s="28">
        <f t="shared" si="31"/>
        <v>0.31546874999999996</v>
      </c>
      <c r="AJ287" s="28">
        <f t="shared" si="32"/>
        <v>0.31298390151515154</v>
      </c>
    </row>
    <row r="288" spans="1:36" x14ac:dyDescent="0.25">
      <c r="A288" s="9">
        <v>44487</v>
      </c>
      <c r="B288" s="3">
        <v>64.285386141600029</v>
      </c>
      <c r="C288" s="3">
        <v>125.00338614412181</v>
      </c>
      <c r="D288" s="3">
        <v>157.27652321135076</v>
      </c>
      <c r="E288" s="3">
        <v>319.08797223130148</v>
      </c>
      <c r="F288" s="3">
        <v>244.63913683910755</v>
      </c>
      <c r="G288" s="3">
        <v>215.32221064326066</v>
      </c>
      <c r="H288" s="3">
        <v>255.1796081347444</v>
      </c>
      <c r="I288" s="2">
        <v>188.55765986030337</v>
      </c>
      <c r="J288" s="3">
        <f t="shared" si="27"/>
        <v>0.17023889479182996</v>
      </c>
      <c r="K288" s="3">
        <f t="shared" si="28"/>
        <v>0.28310535365258616</v>
      </c>
      <c r="L288" s="3">
        <f t="shared" si="29"/>
        <v>0.26006665427083664</v>
      </c>
      <c r="M288" s="23">
        <v>44487</v>
      </c>
      <c r="N288" s="24">
        <v>135.33333333333334</v>
      </c>
      <c r="O288" s="24">
        <v>83.985416666666652</v>
      </c>
      <c r="P288" s="24">
        <v>14.381249999999996</v>
      </c>
      <c r="Q288" s="24">
        <v>0</v>
      </c>
      <c r="R288" s="24">
        <v>242.08333333333334</v>
      </c>
      <c r="S288" s="24">
        <v>4.4375</v>
      </c>
      <c r="T288" s="24">
        <v>0.16666666666666666</v>
      </c>
      <c r="U288" s="24">
        <v>11.514583333333336</v>
      </c>
      <c r="V288" s="10">
        <v>0.33493215851641162</v>
      </c>
      <c r="W288" s="25">
        <v>0.21447916666666667</v>
      </c>
      <c r="X288" s="25">
        <v>0.28658333333333336</v>
      </c>
      <c r="Y288" s="25">
        <v>0.37189583333333348</v>
      </c>
      <c r="Z288" s="25">
        <v>0.38102083333333331</v>
      </c>
      <c r="AA288" s="25">
        <v>0.38664583333333341</v>
      </c>
      <c r="AB288" s="25">
        <v>0.29485416666666664</v>
      </c>
      <c r="AC288" s="25">
        <v>0.29277083333333315</v>
      </c>
      <c r="AD288" s="25">
        <v>0.26016666666666655</v>
      </c>
      <c r="AE288" s="25">
        <v>0.18414583333333326</v>
      </c>
      <c r="AF288" s="25">
        <v>0.17879999999999999</v>
      </c>
      <c r="AG288" s="25">
        <v>0.3147916666666668</v>
      </c>
      <c r="AH288" s="28">
        <f t="shared" si="30"/>
        <v>0.30056250000000007</v>
      </c>
      <c r="AI288" s="28">
        <f t="shared" si="31"/>
        <v>0.3145486111111111</v>
      </c>
      <c r="AJ288" s="28">
        <f t="shared" si="32"/>
        <v>0.31200568181818183</v>
      </c>
    </row>
    <row r="289" spans="1:36" x14ac:dyDescent="0.25">
      <c r="A289" s="9">
        <v>44488</v>
      </c>
      <c r="B289" s="3">
        <v>7.4393739107999997</v>
      </c>
      <c r="C289" s="3">
        <v>66.005105330996372</v>
      </c>
      <c r="D289" s="3">
        <v>37.678938835678331</v>
      </c>
      <c r="E289" s="3">
        <v>140.96253409364073</v>
      </c>
      <c r="F289" s="3">
        <v>117.73186189823973</v>
      </c>
      <c r="G289" s="3">
        <v>77.000198055702228</v>
      </c>
      <c r="H289" s="3">
        <v>187.08176192944083</v>
      </c>
      <c r="I289" s="2">
        <v>67.429073437378449</v>
      </c>
      <c r="J289" s="3">
        <f t="shared" si="27"/>
        <v>3.6123180180927209E-2</v>
      </c>
      <c r="K289" s="3">
        <f t="shared" si="28"/>
        <v>0.10247507120535326</v>
      </c>
      <c r="L289" s="3">
        <f t="shared" si="29"/>
        <v>0.11789069223144925</v>
      </c>
      <c r="M289" s="23">
        <v>44488</v>
      </c>
      <c r="N289" s="24">
        <v>69.208333333333329</v>
      </c>
      <c r="O289" s="24">
        <v>89.424999999999969</v>
      </c>
      <c r="P289" s="24">
        <v>15.558333333333335</v>
      </c>
      <c r="Q289" s="24">
        <v>0.4</v>
      </c>
      <c r="R289" s="24">
        <v>223.52083333333334</v>
      </c>
      <c r="S289" s="24">
        <v>5.395833333333333</v>
      </c>
      <c r="T289" s="24">
        <v>0.35416666666666669</v>
      </c>
      <c r="U289" s="24">
        <v>13.756250000000003</v>
      </c>
      <c r="V289" s="10">
        <v>0.21910551725581071</v>
      </c>
      <c r="W289" s="25">
        <v>0.21560416666666649</v>
      </c>
      <c r="X289" s="25">
        <v>0.28706250000000028</v>
      </c>
      <c r="Y289" s="25">
        <v>0.37299999999999994</v>
      </c>
      <c r="Z289" s="25">
        <v>0.38089583333333349</v>
      </c>
      <c r="AA289" s="25">
        <v>0.38602083333333326</v>
      </c>
      <c r="AB289" s="25">
        <v>0.29633333333333339</v>
      </c>
      <c r="AC289" s="25">
        <v>0.29356249999999989</v>
      </c>
      <c r="AD289" s="25">
        <v>0.25991666666666652</v>
      </c>
      <c r="AE289" s="25">
        <v>0.18220833333333333</v>
      </c>
      <c r="AF289" s="25">
        <v>0.168625</v>
      </c>
      <c r="AG289" s="25">
        <v>0.30325000000000008</v>
      </c>
      <c r="AH289" s="28">
        <f t="shared" si="30"/>
        <v>0.30081249999999987</v>
      </c>
      <c r="AI289" s="28">
        <f t="shared" si="31"/>
        <v>0.31512847222222223</v>
      </c>
      <c r="AJ289" s="28">
        <f t="shared" si="32"/>
        <v>0.31252556818181815</v>
      </c>
    </row>
    <row r="290" spans="1:36" x14ac:dyDescent="0.25">
      <c r="A290" s="9">
        <v>44492</v>
      </c>
      <c r="B290" s="3">
        <v>0.10512000000000001</v>
      </c>
      <c r="C290" s="3">
        <v>41.09673364481683</v>
      </c>
      <c r="D290" s="3">
        <v>111.60630656579271</v>
      </c>
      <c r="E290" s="3">
        <v>262.9657450233413</v>
      </c>
      <c r="F290" s="3">
        <v>169.16341186814932</v>
      </c>
      <c r="G290" s="3">
        <v>117.56848663600293</v>
      </c>
      <c r="H290" s="3">
        <v>292.45796622323689</v>
      </c>
      <c r="I290" s="2">
        <v>102.95472374714777</v>
      </c>
      <c r="J290" s="3">
        <f t="shared" si="27"/>
        <v>0.11902470201504273</v>
      </c>
      <c r="K290" s="3">
        <f t="shared" si="28"/>
        <v>0.22619392169693725</v>
      </c>
      <c r="L290" s="3">
        <f t="shared" si="29"/>
        <v>0.19029578650145534</v>
      </c>
      <c r="M290" s="23">
        <v>44492</v>
      </c>
      <c r="N290" s="24">
        <v>116.22916666666667</v>
      </c>
      <c r="O290" s="24">
        <v>78.749999999999986</v>
      </c>
      <c r="P290" s="24">
        <v>11.202083333333334</v>
      </c>
      <c r="Q290" s="24">
        <v>0</v>
      </c>
      <c r="R290" s="24">
        <v>242.60416666666666</v>
      </c>
      <c r="S290" s="24">
        <v>1.9791666666666667</v>
      </c>
      <c r="T290" s="24">
        <v>0</v>
      </c>
      <c r="U290" s="24">
        <v>7.5249999999999977</v>
      </c>
      <c r="V290" s="10">
        <v>0.31381204751249286</v>
      </c>
      <c r="W290" s="25">
        <v>0.21237499999999979</v>
      </c>
      <c r="X290" s="25">
        <v>0.28237499999999988</v>
      </c>
      <c r="Y290" s="25">
        <v>0.36706250000000024</v>
      </c>
      <c r="Z290" s="25">
        <v>0.37656249999999997</v>
      </c>
      <c r="AA290" s="25">
        <v>0.37660416666666668</v>
      </c>
      <c r="AB290" s="25">
        <v>0.29122916666666671</v>
      </c>
      <c r="AC290" s="25">
        <v>0.29006249999999961</v>
      </c>
      <c r="AD290" s="25">
        <v>0.2573541666666665</v>
      </c>
      <c r="AE290" s="25">
        <v>0.20733333333333326</v>
      </c>
      <c r="AF290" s="25">
        <v>0.1998421052631579</v>
      </c>
      <c r="AG290" s="25">
        <v>0.35593749999999996</v>
      </c>
      <c r="AH290" s="28">
        <f t="shared" si="30"/>
        <v>0.29448958333333325</v>
      </c>
      <c r="AI290" s="28">
        <f t="shared" si="31"/>
        <v>0.31077430555555546</v>
      </c>
      <c r="AJ290" s="28">
        <f t="shared" si="32"/>
        <v>0.30781344696969692</v>
      </c>
    </row>
    <row r="291" spans="1:36" x14ac:dyDescent="0.25">
      <c r="A291" s="9">
        <v>44493</v>
      </c>
      <c r="B291" s="3">
        <v>20.483755930799997</v>
      </c>
      <c r="C291" s="3">
        <v>77.945635056689355</v>
      </c>
      <c r="D291" s="3">
        <v>110.52160916706218</v>
      </c>
      <c r="E291" s="3">
        <v>217.17934746330627</v>
      </c>
      <c r="F291" s="3">
        <v>181.17611178362827</v>
      </c>
      <c r="G291" s="3">
        <v>141.03694839286965</v>
      </c>
      <c r="H291" s="3">
        <v>254.26700405759985</v>
      </c>
      <c r="I291" s="2">
        <v>123.50605570763595</v>
      </c>
      <c r="J291" s="3">
        <f t="shared" si="27"/>
        <v>0.11780833157138582</v>
      </c>
      <c r="K291" s="3">
        <f t="shared" si="28"/>
        <v>0.17976366440196967</v>
      </c>
      <c r="L291" s="3">
        <f t="shared" si="29"/>
        <v>0.19618972728154602</v>
      </c>
      <c r="M291" s="23">
        <v>44493</v>
      </c>
      <c r="N291" s="24">
        <v>97.729166666666671</v>
      </c>
      <c r="O291" s="24">
        <v>79.88333333333334</v>
      </c>
      <c r="P291" s="24">
        <v>12.193750000000001</v>
      </c>
      <c r="Q291" s="24">
        <v>0</v>
      </c>
      <c r="R291" s="24">
        <v>251.08333333333334</v>
      </c>
      <c r="S291" s="24">
        <v>2.2708333333333335</v>
      </c>
      <c r="T291" s="24">
        <v>0</v>
      </c>
      <c r="U291" s="24">
        <v>8.7145833333333336</v>
      </c>
      <c r="V291" s="10">
        <v>0.3107960999148609</v>
      </c>
      <c r="W291" s="25">
        <v>0.21272916666666644</v>
      </c>
      <c r="X291" s="25">
        <v>0.28260416666666655</v>
      </c>
      <c r="Y291" s="25">
        <v>0.36718750000000028</v>
      </c>
      <c r="Z291" s="25">
        <v>0.37547916666666664</v>
      </c>
      <c r="AA291" s="25">
        <v>0.37760416666666674</v>
      </c>
      <c r="AB291" s="25">
        <v>0.29197916666666651</v>
      </c>
      <c r="AC291" s="25">
        <v>0.28999999999999965</v>
      </c>
      <c r="AD291" s="25">
        <v>0.25693749999999987</v>
      </c>
      <c r="AE291" s="25">
        <v>0.20260416666666667</v>
      </c>
      <c r="AF291" s="25">
        <v>0.1910869565217391</v>
      </c>
      <c r="AG291" s="25">
        <v>0.34231250000000008</v>
      </c>
      <c r="AH291" s="28">
        <f t="shared" si="30"/>
        <v>0.29516666666666658</v>
      </c>
      <c r="AI291" s="28">
        <f t="shared" si="31"/>
        <v>0.31069791666666652</v>
      </c>
      <c r="AJ291" s="28">
        <f t="shared" si="32"/>
        <v>0.30787405303030291</v>
      </c>
    </row>
    <row r="292" spans="1:36" x14ac:dyDescent="0.25">
      <c r="A292" s="9">
        <v>44494</v>
      </c>
      <c r="B292" s="3">
        <v>3.1829811209999996</v>
      </c>
      <c r="C292" s="3">
        <v>40.434863333362131</v>
      </c>
      <c r="D292" s="3">
        <v>48.960310897526988</v>
      </c>
      <c r="E292" s="3">
        <v>121.08027988696905</v>
      </c>
      <c r="F292" s="3">
        <v>74.451930820940291</v>
      </c>
      <c r="G292" s="3">
        <v>31.864201320099241</v>
      </c>
      <c r="H292" s="3">
        <v>155.82326030447123</v>
      </c>
      <c r="I292" s="2">
        <v>27.903481096010907</v>
      </c>
      <c r="J292" s="3">
        <f t="shared" si="27"/>
        <v>4.8774014926165343E-2</v>
      </c>
      <c r="K292" s="3">
        <f t="shared" si="28"/>
        <v>8.2313227784295714E-2</v>
      </c>
      <c r="L292" s="3">
        <f t="shared" si="29"/>
        <v>6.8146975446862365E-2</v>
      </c>
      <c r="M292" s="23">
        <v>44494</v>
      </c>
      <c r="N292" s="24">
        <v>68.416666666666671</v>
      </c>
      <c r="O292" s="24">
        <v>83.870833333333351</v>
      </c>
      <c r="P292" s="24">
        <v>12.600000000000001</v>
      </c>
      <c r="Q292" s="24">
        <v>0</v>
      </c>
      <c r="R292" s="24">
        <v>232.375</v>
      </c>
      <c r="S292" s="24">
        <v>5.5</v>
      </c>
      <c r="T292" s="24">
        <v>0.41666666666666669</v>
      </c>
      <c r="U292" s="24">
        <v>9.9208333333333325</v>
      </c>
      <c r="V292" s="10">
        <v>0.23897778895482968</v>
      </c>
      <c r="W292" s="25">
        <v>0.21297916666666653</v>
      </c>
      <c r="X292" s="25">
        <v>0.28299999999999986</v>
      </c>
      <c r="Y292" s="25">
        <v>0.36795833333333339</v>
      </c>
      <c r="Z292" s="25">
        <v>0.375</v>
      </c>
      <c r="AA292" s="25">
        <v>0.37758333333333355</v>
      </c>
      <c r="AB292" s="25">
        <v>0.29272916666666643</v>
      </c>
      <c r="AC292" s="25">
        <v>0.28999999999999965</v>
      </c>
      <c r="AD292" s="25">
        <v>0.2564583333333334</v>
      </c>
      <c r="AE292" s="25">
        <v>0.19762500000000008</v>
      </c>
      <c r="AF292" s="29">
        <f>AG292*0.5711-0.0033</f>
        <v>0.18468708333333336</v>
      </c>
      <c r="AG292" s="25">
        <v>0.32916666666666666</v>
      </c>
      <c r="AH292" s="28">
        <f t="shared" si="30"/>
        <v>0.29528125000000005</v>
      </c>
      <c r="AI292" s="28">
        <f t="shared" si="31"/>
        <v>0.31085763888888879</v>
      </c>
      <c r="AJ292" s="28">
        <f t="shared" si="32"/>
        <v>0.30802556818181814</v>
      </c>
    </row>
    <row r="293" spans="1:36" x14ac:dyDescent="0.25">
      <c r="A293" s="9">
        <v>44504</v>
      </c>
      <c r="B293" s="3">
        <v>20.5710727572</v>
      </c>
      <c r="C293" s="3">
        <v>36.011172786472265</v>
      </c>
      <c r="D293" s="3">
        <v>35.683428667736138</v>
      </c>
      <c r="E293" s="3">
        <v>257.56562739142538</v>
      </c>
      <c r="F293" s="3">
        <v>107.98859180954483</v>
      </c>
      <c r="G293" s="3">
        <v>72.254054914935637</v>
      </c>
      <c r="H293" s="3">
        <v>238.60690035866625</v>
      </c>
      <c r="I293" s="2">
        <v>63.272875889009143</v>
      </c>
      <c r="J293" s="3">
        <f t="shared" si="27"/>
        <v>3.388543203924043E-2</v>
      </c>
      <c r="K293" s="3">
        <f t="shared" si="28"/>
        <v>0.22071786626488035</v>
      </c>
      <c r="L293" s="3">
        <f t="shared" si="29"/>
        <v>0.12841416825931243</v>
      </c>
      <c r="M293" s="23">
        <v>44504</v>
      </c>
      <c r="N293" s="24">
        <v>109.85416666666667</v>
      </c>
      <c r="O293" s="24">
        <v>88.929166666666674</v>
      </c>
      <c r="P293" s="24">
        <v>16.835416666666671</v>
      </c>
      <c r="Q293" s="24">
        <v>0.2</v>
      </c>
      <c r="R293" s="24">
        <v>235.0625</v>
      </c>
      <c r="S293" s="24">
        <v>7.416666666666667</v>
      </c>
      <c r="T293" s="24">
        <v>0.72916666666666663</v>
      </c>
      <c r="U293" s="24">
        <v>14.914583333333331</v>
      </c>
      <c r="V293" s="10">
        <v>0.23679353814954784</v>
      </c>
      <c r="W293" s="25">
        <v>0.22070833333333326</v>
      </c>
      <c r="X293" s="25">
        <v>0.28456249999999988</v>
      </c>
      <c r="Y293" s="25">
        <v>0.36764583333333345</v>
      </c>
      <c r="Z293" s="25">
        <v>0.37443750000000015</v>
      </c>
      <c r="AA293" s="25">
        <v>0.41604166666666687</v>
      </c>
      <c r="AB293" s="25">
        <v>0.29424999999999985</v>
      </c>
      <c r="AC293" s="25">
        <v>0.29093750000000013</v>
      </c>
      <c r="AD293" s="25">
        <v>0.25483333333333352</v>
      </c>
      <c r="AE293" s="25">
        <v>0.28254166666666658</v>
      </c>
      <c r="AF293" s="29">
        <f>AG293*0.5711-0.0033</f>
        <v>0.23365890833333341</v>
      </c>
      <c r="AG293" s="25">
        <v>0.41491666666666677</v>
      </c>
      <c r="AH293" s="28">
        <f t="shared" si="30"/>
        <v>0.31837500000000007</v>
      </c>
      <c r="AI293" s="28">
        <f t="shared" si="31"/>
        <v>0.31111111111111117</v>
      </c>
      <c r="AJ293" s="28">
        <f t="shared" si="32"/>
        <v>0.31243181818181825</v>
      </c>
    </row>
    <row r="294" spans="1:36" x14ac:dyDescent="0.25">
      <c r="A294" s="9">
        <v>44505</v>
      </c>
      <c r="B294" s="3">
        <v>60.62690107440001</v>
      </c>
      <c r="C294" s="3">
        <v>100.33016870260003</v>
      </c>
      <c r="D294" s="3">
        <v>148.03916139531324</v>
      </c>
      <c r="E294" s="3">
        <v>302.23400660646456</v>
      </c>
      <c r="F294" s="3">
        <v>243.3813342306189</v>
      </c>
      <c r="G294" s="3">
        <v>218.83366682743141</v>
      </c>
      <c r="H294" s="3">
        <v>292.3247425113704</v>
      </c>
      <c r="I294" s="2">
        <v>191.63264204078169</v>
      </c>
      <c r="J294" s="3">
        <f t="shared" si="27"/>
        <v>0.15988019576337917</v>
      </c>
      <c r="K294" s="3">
        <f t="shared" si="28"/>
        <v>0.26601438336221417</v>
      </c>
      <c r="L294" s="3">
        <f t="shared" si="29"/>
        <v>0.27354477159505791</v>
      </c>
      <c r="M294" s="23">
        <v>44505</v>
      </c>
      <c r="N294" s="24">
        <v>133.625</v>
      </c>
      <c r="O294" s="24">
        <v>84.252083333333346</v>
      </c>
      <c r="P294" s="24">
        <v>18.462500000000009</v>
      </c>
      <c r="Q294" s="24">
        <v>0</v>
      </c>
      <c r="R294" s="24">
        <v>227.375</v>
      </c>
      <c r="S294" s="24">
        <v>5.708333333333333</v>
      </c>
      <c r="T294" s="24">
        <v>0.375</v>
      </c>
      <c r="U294" s="24">
        <v>15.591666666666661</v>
      </c>
      <c r="V294" s="10">
        <v>0.38168800473613679</v>
      </c>
      <c r="W294" s="25">
        <v>0.22275000000000014</v>
      </c>
      <c r="X294" s="25">
        <v>0.28716666666666685</v>
      </c>
      <c r="Y294" s="25">
        <v>0.37037499999999995</v>
      </c>
      <c r="Z294" s="25">
        <v>0.37587499999999996</v>
      </c>
      <c r="AA294" s="25">
        <v>0.41287500000000027</v>
      </c>
      <c r="AB294" s="25">
        <v>0.29716666666666663</v>
      </c>
      <c r="AC294" s="25">
        <v>0.29293749999999991</v>
      </c>
      <c r="AD294" s="25">
        <v>0.25575000000000009</v>
      </c>
      <c r="AE294" s="25">
        <v>0.27579166666666671</v>
      </c>
      <c r="AF294" s="25">
        <v>0.22550000000000001</v>
      </c>
      <c r="AG294" s="25">
        <v>0.40237499999999993</v>
      </c>
      <c r="AH294" s="28">
        <f t="shared" si="30"/>
        <v>0.31781250000000022</v>
      </c>
      <c r="AI294" s="28">
        <f t="shared" si="31"/>
        <v>0.31321180555555556</v>
      </c>
      <c r="AJ294" s="28">
        <f t="shared" si="32"/>
        <v>0.31404829545454549</v>
      </c>
    </row>
    <row r="295" spans="1:36" x14ac:dyDescent="0.25">
      <c r="A295" s="9">
        <v>44506</v>
      </c>
      <c r="B295" s="3">
        <v>97.6666028004</v>
      </c>
      <c r="C295" s="3">
        <v>148.97116781650013</v>
      </c>
      <c r="D295" s="3">
        <v>188.03748814411082</v>
      </c>
      <c r="E295" s="3">
        <v>608.7221389079989</v>
      </c>
      <c r="F295" s="3">
        <v>361.65983377854991</v>
      </c>
      <c r="G295" s="3">
        <v>306.16366419270514</v>
      </c>
      <c r="H295" s="3">
        <v>322.890948554641</v>
      </c>
      <c r="I295" s="2">
        <v>268.10752073355189</v>
      </c>
      <c r="J295" s="3">
        <f t="shared" si="27"/>
        <v>0.2047339794176129</v>
      </c>
      <c r="K295" s="3">
        <f t="shared" si="28"/>
        <v>0.57681242817356981</v>
      </c>
      <c r="L295" s="3">
        <f t="shared" si="29"/>
        <v>0.36994933929580792</v>
      </c>
      <c r="M295" s="23">
        <v>44506</v>
      </c>
      <c r="N295" s="24">
        <v>172.95833333333334</v>
      </c>
      <c r="O295" s="24">
        <v>78.845833333333346</v>
      </c>
      <c r="P295" s="24">
        <v>18.925000000000001</v>
      </c>
      <c r="Q295" s="24">
        <v>0</v>
      </c>
      <c r="R295" s="24">
        <v>221.22916666666666</v>
      </c>
      <c r="S295" s="24">
        <v>4.104166666666667</v>
      </c>
      <c r="T295" s="24">
        <v>0.20833333333333334</v>
      </c>
      <c r="U295" s="24">
        <v>14.54791666666666</v>
      </c>
      <c r="V295" s="10">
        <v>0.58810271569958228</v>
      </c>
      <c r="W295" s="25">
        <v>0.22377083333333336</v>
      </c>
      <c r="X295" s="25">
        <v>0.28933333333333294</v>
      </c>
      <c r="Y295" s="25">
        <v>0.37333333333333324</v>
      </c>
      <c r="Z295" s="25">
        <v>0.37785416666666682</v>
      </c>
      <c r="AA295" s="25">
        <v>0.4073958333333334</v>
      </c>
      <c r="AB295" s="25">
        <v>0.29966666666666669</v>
      </c>
      <c r="AC295" s="25">
        <v>0.29466666666666658</v>
      </c>
      <c r="AD295" s="25">
        <v>0.25747916666666643</v>
      </c>
      <c r="AE295" s="25">
        <v>0.26854166666666673</v>
      </c>
      <c r="AF295" s="25">
        <v>0.20670588235294124</v>
      </c>
      <c r="AG295" s="25">
        <v>0.38854166666666679</v>
      </c>
      <c r="AH295" s="28">
        <f t="shared" si="30"/>
        <v>0.31558333333333338</v>
      </c>
      <c r="AI295" s="28">
        <f t="shared" si="31"/>
        <v>0.31538888888888877</v>
      </c>
      <c r="AJ295" s="28">
        <f t="shared" si="32"/>
        <v>0.31542424242424233</v>
      </c>
    </row>
    <row r="296" spans="1:36" x14ac:dyDescent="0.25">
      <c r="A296" s="9">
        <v>44507</v>
      </c>
      <c r="B296" s="3">
        <v>18.951458565600003</v>
      </c>
      <c r="C296" s="3">
        <v>19.099658403419454</v>
      </c>
      <c r="D296" s="3">
        <v>51.253518170664627</v>
      </c>
      <c r="E296" s="3">
        <v>118.07046010992858</v>
      </c>
      <c r="F296" s="3">
        <v>52.425785803164487</v>
      </c>
      <c r="G296" s="3">
        <v>27.419088854320631</v>
      </c>
      <c r="H296" s="3">
        <v>85.534422376733843</v>
      </c>
      <c r="I296" s="2">
        <v>24.010896109728577</v>
      </c>
      <c r="J296" s="3">
        <f t="shared" si="27"/>
        <v>5.134559807137086E-2</v>
      </c>
      <c r="K296" s="3">
        <f t="shared" si="28"/>
        <v>7.9261083171340826E-2</v>
      </c>
      <c r="L296" s="3">
        <f t="shared" si="29"/>
        <v>3.7265526422901846E-2</v>
      </c>
      <c r="M296" s="23">
        <v>44507</v>
      </c>
      <c r="N296" s="24">
        <v>76.333333333333329</v>
      </c>
      <c r="O296" s="24">
        <v>77.989583333333357</v>
      </c>
      <c r="P296" s="24">
        <v>10.543749999999999</v>
      </c>
      <c r="Q296" s="24">
        <v>0</v>
      </c>
      <c r="R296" s="24">
        <v>248.125</v>
      </c>
      <c r="S296" s="24">
        <v>7.375</v>
      </c>
      <c r="T296" s="24">
        <v>0.20833333333333334</v>
      </c>
      <c r="U296" s="24">
        <v>6.8104166666666694</v>
      </c>
      <c r="V296" s="10">
        <v>0.2683729990951122</v>
      </c>
      <c r="W296" s="25">
        <v>0.22204166666666669</v>
      </c>
      <c r="X296" s="25">
        <v>0.28964583333333316</v>
      </c>
      <c r="Y296" s="25">
        <v>0.3746458333333334</v>
      </c>
      <c r="Z296" s="25">
        <v>0.37962500000000016</v>
      </c>
      <c r="AA296" s="25">
        <v>0.39733333333333337</v>
      </c>
      <c r="AB296" s="25">
        <v>0.30097916666666685</v>
      </c>
      <c r="AC296" s="25">
        <v>0.2959374999999998</v>
      </c>
      <c r="AD296" s="25">
        <v>0.25839583333333344</v>
      </c>
      <c r="AE296" s="25">
        <v>0.25639583333333338</v>
      </c>
      <c r="AF296" s="25">
        <v>0.19648936170212769</v>
      </c>
      <c r="AG296" s="25">
        <v>0.36920833333333336</v>
      </c>
      <c r="AH296" s="28">
        <f t="shared" si="30"/>
        <v>0.3096875</v>
      </c>
      <c r="AI296" s="28">
        <f t="shared" si="31"/>
        <v>0.31653819444444442</v>
      </c>
      <c r="AJ296" s="28">
        <f t="shared" si="32"/>
        <v>0.31529261363636363</v>
      </c>
    </row>
    <row r="297" spans="1:36" x14ac:dyDescent="0.25">
      <c r="A297" s="9">
        <v>44508</v>
      </c>
      <c r="B297" s="3">
        <v>15.998152768200001</v>
      </c>
      <c r="C297" s="3">
        <v>132.53491595018207</v>
      </c>
      <c r="D297" s="3">
        <v>174.46731023508525</v>
      </c>
      <c r="E297" s="3">
        <v>411.41693988477783</v>
      </c>
      <c r="F297" s="3">
        <v>219.83037782877184</v>
      </c>
      <c r="G297" s="3">
        <v>127.25836711740182</v>
      </c>
      <c r="H297" s="3">
        <v>218.30088630955802</v>
      </c>
      <c r="I297" s="2">
        <v>111.44015208470877</v>
      </c>
      <c r="J297" s="3">
        <f t="shared" si="27"/>
        <v>0.1895164972488321</v>
      </c>
      <c r="K297" s="3">
        <f t="shared" si="28"/>
        <v>0.3767326742625714</v>
      </c>
      <c r="L297" s="3">
        <f t="shared" si="29"/>
        <v>0.18704386415485602</v>
      </c>
      <c r="M297" s="23">
        <v>44508</v>
      </c>
      <c r="N297" s="24">
        <v>145.41666666666666</v>
      </c>
      <c r="O297" s="24">
        <v>63.789583333333333</v>
      </c>
      <c r="P297" s="24">
        <v>8.0374999999999979</v>
      </c>
      <c r="Q297" s="24">
        <v>0</v>
      </c>
      <c r="R297" s="24">
        <v>242.5625</v>
      </c>
      <c r="S297" s="24">
        <v>3.8958333333333335</v>
      </c>
      <c r="T297" s="24">
        <v>0</v>
      </c>
      <c r="U297" s="24">
        <v>1.3979166666666665</v>
      </c>
      <c r="V297" s="10">
        <v>0.42454339627103388</v>
      </c>
      <c r="W297" s="25">
        <v>0.21700000000000016</v>
      </c>
      <c r="X297" s="25">
        <v>0.28558333333333347</v>
      </c>
      <c r="Y297" s="25">
        <v>0.37031249999999988</v>
      </c>
      <c r="Z297" s="25">
        <v>0.37799999999999995</v>
      </c>
      <c r="AA297" s="25">
        <v>0.3848541666666665</v>
      </c>
      <c r="AB297" s="25">
        <v>0.29672916666666643</v>
      </c>
      <c r="AC297" s="25">
        <v>0.29339583333333313</v>
      </c>
      <c r="AD297" s="25">
        <v>0.25824999999999976</v>
      </c>
      <c r="AE297" s="25">
        <v>0.2456666666666667</v>
      </c>
      <c r="AF297" s="25">
        <v>0.18568750000000003</v>
      </c>
      <c r="AG297" s="25">
        <v>0.34889583333333335</v>
      </c>
      <c r="AH297" s="28">
        <f t="shared" si="30"/>
        <v>0.30092708333333335</v>
      </c>
      <c r="AI297" s="28">
        <f t="shared" si="31"/>
        <v>0.31371180555555545</v>
      </c>
      <c r="AJ297" s="28">
        <f t="shared" si="32"/>
        <v>0.31138731060606051</v>
      </c>
    </row>
    <row r="298" spans="1:36" x14ac:dyDescent="0.25">
      <c r="A298" s="9">
        <v>44509</v>
      </c>
      <c r="B298" s="3">
        <v>0</v>
      </c>
      <c r="C298" s="3">
        <v>18.990175623962315</v>
      </c>
      <c r="D298" s="3">
        <v>30.09803031198398</v>
      </c>
      <c r="E298" s="3">
        <v>56.90077059517391</v>
      </c>
      <c r="F298" s="3">
        <v>47.718722973690085</v>
      </c>
      <c r="G298" s="3">
        <v>14.805069876534475</v>
      </c>
      <c r="H298" s="3">
        <v>74.374476878751366</v>
      </c>
      <c r="I298" s="2">
        <v>12.96479969088124</v>
      </c>
      <c r="J298" s="3">
        <f t="shared" si="27"/>
        <v>2.7622013795647243E-2</v>
      </c>
      <c r="K298" s="3">
        <f t="shared" si="28"/>
        <v>1.7231210235839071E-2</v>
      </c>
      <c r="L298" s="3">
        <f t="shared" si="29"/>
        <v>2.4644232803275923E-2</v>
      </c>
      <c r="M298" s="23">
        <v>44509</v>
      </c>
      <c r="N298" s="24">
        <v>41.729166666666664</v>
      </c>
      <c r="O298" s="24">
        <v>71.391666666666637</v>
      </c>
      <c r="P298" s="24">
        <v>7.4854166666666684</v>
      </c>
      <c r="Q298" s="24">
        <v>0</v>
      </c>
      <c r="R298" s="24">
        <v>228.64583333333334</v>
      </c>
      <c r="S298" s="24">
        <v>4.104166666666667</v>
      </c>
      <c r="T298" s="24">
        <v>0</v>
      </c>
      <c r="U298" s="24">
        <v>2.6124999999999998</v>
      </c>
      <c r="V298" s="10">
        <v>0.29948533341611233</v>
      </c>
      <c r="W298" s="25">
        <v>0.21537500000000007</v>
      </c>
      <c r="X298" s="25">
        <v>0.28366666666666646</v>
      </c>
      <c r="Y298" s="25">
        <v>0.36754166666666688</v>
      </c>
      <c r="Z298" s="25">
        <v>0.37545833333333328</v>
      </c>
      <c r="AA298" s="25">
        <v>0.37906250000000014</v>
      </c>
      <c r="AB298" s="25">
        <v>0.29460416666666672</v>
      </c>
      <c r="AC298" s="25">
        <v>0.29120833333333324</v>
      </c>
      <c r="AD298" s="25">
        <v>0.25672916666666662</v>
      </c>
      <c r="AE298" s="25">
        <v>0.23704166666666657</v>
      </c>
      <c r="AF298" s="29">
        <f>AG298*0.5711-0.0033</f>
        <v>0.18544855000000002</v>
      </c>
      <c r="AG298" s="25">
        <v>0.33050000000000002</v>
      </c>
      <c r="AH298" s="28">
        <f t="shared" si="30"/>
        <v>0.29721875000000009</v>
      </c>
      <c r="AI298" s="28">
        <f t="shared" si="31"/>
        <v>0.31153472222222223</v>
      </c>
      <c r="AJ298" s="28">
        <f t="shared" si="32"/>
        <v>0.3089318181818182</v>
      </c>
    </row>
    <row r="299" spans="1:36" x14ac:dyDescent="0.25">
      <c r="A299" s="9">
        <v>44510</v>
      </c>
      <c r="B299" s="3">
        <v>69.100934889599998</v>
      </c>
      <c r="C299" s="3">
        <v>164.25925701731626</v>
      </c>
      <c r="D299" s="3">
        <v>219.17903534748319</v>
      </c>
      <c r="E299" s="3">
        <v>827.82229258613108</v>
      </c>
      <c r="F299" s="3">
        <v>372.94359480994353</v>
      </c>
      <c r="G299" s="3">
        <v>280.28076218880102</v>
      </c>
      <c r="H299" s="3">
        <v>284.9719911754666</v>
      </c>
      <c r="I299" s="2">
        <v>245.44186344873307</v>
      </c>
      <c r="J299" s="3">
        <f t="shared" si="27"/>
        <v>0.23965584576693866</v>
      </c>
      <c r="K299" s="3">
        <f t="shared" si="28"/>
        <v>0.79899362282431652</v>
      </c>
      <c r="L299" s="3">
        <f t="shared" si="29"/>
        <v>0.34512580551746053</v>
      </c>
      <c r="M299" s="23">
        <v>44510</v>
      </c>
      <c r="N299" s="24">
        <v>184.9375</v>
      </c>
      <c r="O299" s="24">
        <v>63.302083333333336</v>
      </c>
      <c r="P299" s="24">
        <v>11.027083333333335</v>
      </c>
      <c r="Q299" s="24">
        <v>0</v>
      </c>
      <c r="R299" s="24">
        <v>276.35416666666669</v>
      </c>
      <c r="S299" s="24">
        <v>2.9166666666666665</v>
      </c>
      <c r="T299" s="24">
        <v>2.0833333333333332E-2</v>
      </c>
      <c r="U299" s="24">
        <v>3.9187499999999997</v>
      </c>
      <c r="V299" s="10">
        <v>0.56338182536644588</v>
      </c>
      <c r="W299" s="25">
        <v>0.21420833333333331</v>
      </c>
      <c r="X299" s="25">
        <v>0.28179166666666661</v>
      </c>
      <c r="Y299" s="25">
        <v>0.36510416666666679</v>
      </c>
      <c r="Z299" s="25">
        <v>0.3731041666666664</v>
      </c>
      <c r="AA299" s="25">
        <v>0.37606249999999997</v>
      </c>
      <c r="AB299" s="25">
        <v>0.29195833333333315</v>
      </c>
      <c r="AC299" s="25">
        <v>0.28935416666666652</v>
      </c>
      <c r="AD299" s="25">
        <v>0.2552291666666669</v>
      </c>
      <c r="AE299" s="25">
        <v>0.2305625</v>
      </c>
      <c r="AF299" s="25">
        <v>0.159</v>
      </c>
      <c r="AG299" s="25">
        <v>0.31487500000000007</v>
      </c>
      <c r="AH299" s="28">
        <f t="shared" si="30"/>
        <v>0.29513541666666665</v>
      </c>
      <c r="AI299" s="28">
        <f t="shared" si="31"/>
        <v>0.30942361111111105</v>
      </c>
      <c r="AJ299" s="28">
        <f t="shared" si="32"/>
        <v>0.30682575757575759</v>
      </c>
    </row>
  </sheetData>
  <autoFilter ref="A7:AJ7" xr:uid="{BEFEABEE-0D87-4AA4-9063-BE76459D9D0F}"/>
  <mergeCells count="12">
    <mergeCell ref="AE6:AG6"/>
    <mergeCell ref="F5:I5"/>
    <mergeCell ref="J5:L6"/>
    <mergeCell ref="AH6:AJ6"/>
    <mergeCell ref="B4:I4"/>
    <mergeCell ref="M4:M6"/>
    <mergeCell ref="W4:AD4"/>
    <mergeCell ref="B5:E5"/>
    <mergeCell ref="W5:Z5"/>
    <mergeCell ref="AA5:AD5"/>
    <mergeCell ref="W6:AD6"/>
    <mergeCell ref="J1:Q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sapflow_daily_from baseliner</vt:lpstr>
      <vt:lpstr>AWS_SWC_SWP_daily</vt:lpstr>
      <vt:lpstr>组合</vt:lpstr>
      <vt:lpstr>筛选后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LIU</dc:creator>
  <cp:lastModifiedBy>Qin LIU</cp:lastModifiedBy>
  <dcterms:created xsi:type="dcterms:W3CDTF">2015-06-05T18:19:34Z</dcterms:created>
  <dcterms:modified xsi:type="dcterms:W3CDTF">2025-04-03T08:28:52Z</dcterms:modified>
</cp:coreProperties>
</file>